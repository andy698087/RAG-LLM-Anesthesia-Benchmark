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<sst xmlns="http://schemas.openxmlformats.org/spreadsheetml/2006/main" count="10573" uniqueCount="2470">
  <si>
    <t>SUMMARY RESULT BETWEEN TEST</t>
  </si>
  <si>
    <t>Temp</t>
  </si>
  <si>
    <t>Topp</t>
  </si>
  <si>
    <t>Parameters</t>
  </si>
  <si>
    <r>
      <rPr>
        <rFont val="Arial"/>
        <color theme="1"/>
      </rPr>
      <t>embed_model="</t>
    </r>
    <r>
      <rPr>
        <rFont val="Arial"/>
        <b/>
        <color rgb="FF4A86E8"/>
      </rPr>
      <t>neuml/pubmedbert-base-embeddings</t>
    </r>
    <r>
      <rPr>
        <rFont val="Arial"/>
        <color theme="1"/>
      </rPr>
      <t>"
max_new_tokens=1024
k=4</t>
    </r>
  </si>
  <si>
    <r>
      <rPr>
        <rFont val="Arial"/>
        <color theme="1"/>
      </rPr>
      <t>embed_model="</t>
    </r>
    <r>
      <rPr>
        <rFont val="Arial"/>
        <b/>
        <color rgb="FF4A86E8"/>
      </rPr>
      <t>neuml/pubmedbert-base-embeddings</t>
    </r>
    <r>
      <rPr>
        <rFont val="Arial"/>
        <color theme="1"/>
      </rPr>
      <t>"
max_new_tokens=1024
k=4</t>
    </r>
  </si>
  <si>
    <r>
      <rPr>
        <rFont val="Arial"/>
        <color theme="1"/>
      </rPr>
      <t>embed_model="</t>
    </r>
    <r>
      <rPr>
        <rFont val="Arial"/>
        <b/>
        <color rgb="FF4A86E8"/>
      </rPr>
      <t>neuml/pubmedbert-base-embeddings</t>
    </r>
    <r>
      <rPr>
        <rFont val="Arial"/>
        <color theme="1"/>
      </rPr>
      <t>"
max_new_tokens=1024
k=4</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</si>
  <si>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</si>
  <si>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</si>
  <si>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</si>
  <si>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</si>
  <si>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</si>
  <si>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</si>
  <si>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</si>
  <si>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</si>
  <si>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neuml/pubmedbert-base-embeddings</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</si>
  <si>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</si>
  <si>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</si>
  <si>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</si>
  <si>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</si>
  <si>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</si>
  <si>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</si>
  <si>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</si>
  <si>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</si>
  <si>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</si>
  <si>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</si>
  <si>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</si>
  <si>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</si>
  <si>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</si>
  <si>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</si>
  <si>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</si>
  <si>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</si>
  <si>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</si>
  <si>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</si>
  <si>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</si>
  <si>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</si>
  <si>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</si>
  <si>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</si>
  <si>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</si>
  <si>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"Rocuronium and acetylcholine compete for binding sites at the myoneural junction, as described in the context, where one receptor has attracted two acetylcholine molecules and has opened its channel, and another has attracted one molecule of NDMR; its channel will not open, and no current will flow, even if one acetylcholine molecule binds to the other site."</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</si>
  <si>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</si>
  <si>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</si>
  <si>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</si>
  <si>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</si>
  <si>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</si>
  <si>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</si>
  <si>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</si>
  <si>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</si>
  <si>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to the dependent portions of the lung, ventilation of the alveoli becomes less due to decreased compliance, making it more difficult for air to flow into the alveoli."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</si>
  <si>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</si>
  <si>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</si>
  <si>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</si>
  <si>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</si>
  <si>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</si>
  <si>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</si>
  <si>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</si>
  <si>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a medication used to treat type 2 diabetes mellitus, not type 1 diabetes. It is not a member of the biguanide class of oral hypoglycemic agents like metformin, nor is it a thiazolidinedione like rosiglitazone, nor is it used for prevention of heart disease in type 2 diabetics." }</t>
  </si>
  <si>
    <t>The most important site of drug transformation is usually the</t>
  </si>
  <si>
    <t>A. liver</t>
  </si>
  <si>
    <t>B. spleen</t>
  </si>
  <si>
    <t>C. kidney</t>
  </si>
  <si>
    <t>D. lungs</t>
  </si>
  <si>
    <t>E. bloodstream</t>
  </si>
  <si>
    <t>{   "Answer": "A",   "Explain": "The most important site of drug transformation is usually the liver, as it is responsible for metabolizing most of the drugs we take, and its function can be altered by various factors such as enzyme inhibition, enzyme induction, and liver disease."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</si>
  <si>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</si>
  <si>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</si>
  <si>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</si>
  <si>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</si>
  <si>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</si>
  <si>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</si>
  <si>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</si>
  <si>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"C",   Explain: "Esmolol is hydrolyzed by blood-borne esterases, resulting in a half-life for the drug of only 9 to 10 minutes."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</si>
  <si>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</si>
  <si>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</si>
  <si>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</si>
  <si>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</si>
  <si>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</si>
  <si>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</si>
  <si>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not a sign of Addison disease, but rather skin hyperpigmentation is a common symptom of the condition."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</si>
  <si>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</si>
  <si>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</si>
  <si>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</si>
  <si>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</si>
  <si>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</si>
  <si>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</si>
  <si>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which is administered orally."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</si>
  <si>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</si>
  <si>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</si>
  <si>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</si>
  <si>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</si>
  <si>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</si>
  <si>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</si>
  <si>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a common complication of anorexia nervosa, but it is not typically a characteristic of this condition." }</t>
  </si>
  <si>
    <t>In cases of unequivocal intraoperative awareness, the incidence of posttraumatic stress disorder may be approximately</t>
  </si>
  <si>
    <t>A. 0.1%</t>
  </si>
  <si>
    <t>B. 1%</t>
  </si>
  <si>
    <t>C. 10%</t>
  </si>
  <si>
    <t>D. 50%</t>
  </si>
  <si>
    <t>E. 99%</t>
  </si>
  <si>
    <t>{   "Answer": "B",   "Explain": "According to the context, approximately one third of patients who have an episode of intraoperative awareness have late psychological sequelae, and one of these sequelae is posttraumatic stress disorder, which has an incidence of approximately 1%."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</si>
  <si>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</si>
  <si>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</si>
  <si>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</si>
  <si>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</si>
  <si>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</si>
  <si>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</si>
  <si>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is a risk factor for perioperative cardiac arrhythmias, which can lead to serious complications. Therefore, patients with a prolonged QTc interval are at increased risk for perioperative morbidity and mortality related to cardiac arrhythmias."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</si>
  <si>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</si>
  <si>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</si>
  <si>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</si>
  <si>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</si>
  <si>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</si>
  <si>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</si>
  <si>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varies with pH, urine flow rate, and renal blood flow, as mentioned in the context: 'The renal clearance of drugs or their metabolites depends on three things: glomerular filtration (GFR and protein binding), active secretion by the renal tubules, and passive reabsorption (favors nonionized compounds) by the tubules.'"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</si>
  <si>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</si>
  <si>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</si>
  <si>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</si>
  <si>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</si>
  <si>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</si>
  <si>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</si>
  <si>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"A 50-year-old man planned for shoulder surgery is judged to be in New York Heart Association functional class III, which means he has marked limitation of physical activity, which is option A."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</si>
  <si>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</si>
  <si>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</si>
  <si>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</si>
  <si>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</si>
  <si>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</si>
  <si>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</si>
  <si>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not decreased in obesity, as it is a measure of the volume of air remaining in the lungs at the end of a normal exhalation, and obesity does not directly affect this volume."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</si>
  <si>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</si>
  <si>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</si>
  <si>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</si>
  <si>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</si>
  <si>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</si>
  <si>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</si>
  <si>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"The patient's eyes remaining open with slight nystagmus and occasional purposeless movements indicate that the dose of ketamine is adequate for anesthesia, as described in the context." }</t>
  </si>
  <si>
    <t>Under normal physiologic conditions cerebral blood flow is</t>
  </si>
  <si>
    <t>A. 1 mL/ 100g/ min</t>
  </si>
  <si>
    <t>B. 10 mL/ 100g/ min</t>
  </si>
  <si>
    <t>C. 25 mL/ 100g/ min</t>
  </si>
  <si>
    <t>D. 50 mL/ 100g/ min</t>
  </si>
  <si>
    <t>E. 100 mL/ 100g/ min</t>
  </si>
  <si>
    <t>{   "Answer": "D",   Explain: "Under normal physiologic conditions, cerebral blood flow is approximately 50 mL/100g/min, which reflects adequate oxygen delivery for maintaining structural integrity and function." }</t>
  </si>
  <si>
    <t>A 50-year-old man has a bicuspid aortic valve. Surgical repair of his ascending aorta is indicated at a diameter of</t>
  </si>
  <si>
    <t>A. 4 cm</t>
  </si>
  <si>
    <t>B. 4.5 cm</t>
  </si>
  <si>
    <t>C. 5 cm</t>
  </si>
  <si>
    <t>D. 5.5 cm</t>
  </si>
  <si>
    <t>E. 6 cm</t>
  </si>
  <si>
    <t>{   Answer: "C",   Explain: "According to the context, surgical repair of the ascending aorta is indicated at a diameter of 5 cm, which is the typical threshold for surgical intervention." }</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</si>
  <si>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</si>
  <si>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</si>
  <si>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</si>
  <si>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</si>
  <si>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</si>
  <si>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</si>
  <si>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"The peripheral chemoreceptors are poorly perfused and therefore respond slowly to changes in the oxygen content of the blood." }</t>
  </si>
  <si>
    <t>Which one of the following agents should be avoided in a patient with heparin-induced thrombocytopenia type II?</t>
  </si>
  <si>
    <t>A. danaparoid</t>
  </si>
  <si>
    <t>B. lepirudin</t>
  </si>
  <si>
    <t>C. argatroban</t>
  </si>
  <si>
    <t>D. warfarin</t>
  </si>
  <si>
    <t>E. benzod iazepines</t>
  </si>
  <si>
    <t>{   "Answer": "D",   "Explain": "Warfarin is a vitamin K antagonist that should be avoided in a patient with heparin-induced thrombocytopenia type II because it can exacerbate the condition."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</si>
  <si>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</si>
  <si>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</si>
  <si>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</si>
  <si>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</si>
  <si>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</si>
  <si>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</si>
  <si>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as it can lead to error in up to 48% of placements, as stated in the context."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</si>
  <si>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</si>
  <si>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</si>
  <si>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</si>
  <si>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</si>
  <si>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</si>
  <si>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</si>
  <si>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causes blood flow to be diverted from hypoxic to non-hypoxic lung areas, which helps to improve gas exchange by shunting blood to areas of the lung that are ventilating normally." }</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</si>
  <si>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</si>
  <si>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</si>
  <si>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</si>
  <si>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</si>
  <si>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</si>
  <si>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</si>
  <si>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"The most likely cause of the arrhythmia is hyperkalemia, which is a known complication of succinylcholine administration in patients with burns, especially within 48-72 hours after injury."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</si>
  <si>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</si>
  <si>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</si>
  <si>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</si>
  <si>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</si>
  <si>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</si>
  <si>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</si>
  <si>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"To find the answer, we need to calculate the time it takes for the desflurane concentration in the circuit to reach 8.5%. The fresh gas flow is 1 L/min, and the combined volume of the circle system and anesthesia circuit is 5 L. The formula to calculate the time is: time = (volume of the circuit x (100% - 8.5%)) / (fresh gas flow x 0.5). Plugging in the values, we get: time = (5 L x 91.5%) / (1 L/min x 0.5) = 17 minutes." }</t>
  </si>
  <si>
    <t>A 20-year-old patient with hemophilia B (Christm as disease) is planned for appendectomy. The coagulation deficit is that of clotting factor</t>
  </si>
  <si>
    <t>A. II</t>
  </si>
  <si>
    <t>B. VII</t>
  </si>
  <si>
    <t>C. VIII</t>
  </si>
  <si>
    <t>D. IX</t>
  </si>
  <si>
    <t>E. XII</t>
  </si>
  <si>
    <t>{   "Answer": "D",   "Explain": "Hemophilia B is caused by a deficiency of clotting factor IX, which is an X-linked recessive inherited disorder that almost exclusively manifests in males." }</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</si>
  <si>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</si>
  <si>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</si>
  <si>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</si>
  <si>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</si>
  <si>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</si>
  <si>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</si>
  <si>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which makes it easy to mix with other medications and allows for rapid onset of action." }</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</si>
  <si>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</si>
  <si>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</si>
  <si>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</si>
  <si>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</si>
  <si>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</si>
  <si>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</si>
  <si>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as there is no established evidence to support this practice."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</si>
  <si>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</si>
  <si>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</si>
  <si>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</si>
  <si>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</si>
  <si>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</si>
  <si>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</si>
  <si>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"In this position, while the aortic root remains stationary, one arm is necessarily higher than the other. However, as long as the pressure transducer remains fixed at the level of the heart, the measured pressure remains completely unaffected by the position of the arms, or location of the arterial catheter."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</si>
  <si>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</si>
  <si>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</si>
  <si>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</si>
  <si>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</si>
  <si>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</si>
  <si>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</si>
  <si>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"Recognition of hypoxemia in the recovery room depends on the detection of hypoxemia, which is best accomplished with pulse oximetry, a non-invasive and continuous monitoring device that measures the percentage of oxygen saturation of hemoglobin in arterial blood."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</si>
  <si>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</si>
  <si>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</si>
  <si>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</si>
  <si>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</si>
  <si>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</si>
  <si>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</si>
  <si>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"Resistance to non-depolarizing neuromuscular blockers is most likely due to the recent large body surface area burn, which can cause muscle damage and denervation, leading to reduced sensitivity to these medications."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</si>
  <si>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</si>
  <si>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</si>
  <si>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</si>
  <si>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</si>
  <si>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</si>
  <si>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</si>
  <si>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which is not related to the options A, C, D, or E."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</si>
  <si>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</si>
  <si>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</si>
  <si>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</si>
  <si>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</si>
  <si>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</si>
  <si>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</si>
  <si>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a symptom of hypothyroidism, not hyperthyroidism. Hyperthyroidism is characterized by symptoms such as sweating, fatigue, tachycardia, hypermotility, and diarrhea, but not shivering."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</si>
  <si>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</si>
  <si>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</si>
  <si>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</si>
  <si>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</si>
  <si>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</si>
  <si>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</si>
  <si>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as patients under deep sedation can still respond to repeated or painful stimuli, but may not be able to follow complex commands."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</si>
  <si>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</si>
  <si>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</si>
  <si>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</si>
  <si>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</si>
  <si>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</si>
  <si>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</si>
  <si>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"D",   "Explain": "Cisatracurium is less likely to result in histamine release compared to atracurium, as it does not invoke histamine release with its administration."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</si>
  <si>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</si>
  <si>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</si>
  <si>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</si>
  <si>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</si>
  <si>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</si>
  <si>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</si>
  <si>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electrical activity of the ventricles during ventricular repolarization, whereas the second heart sound is caused by the closure of the aortic and pulmonic valves during ventricular systole."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</si>
  <si>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</si>
  <si>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</si>
  <si>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</si>
  <si>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</si>
  <si>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</si>
  <si>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</si>
  <si>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line measures the patient’s sensitivity to carbon dioxide, as it represents the change in minute ventilation in response to a given change in carbon dioxide concentration."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</si>
  <si>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</si>
  <si>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</si>
  <si>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</si>
  <si>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</si>
  <si>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</si>
  <si>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</si>
  <si>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is the primary blood supply to the motor tracts of the spinal cord, as it originates from the vertebral artery and supplies the ventral (motor) portion of the spinal cord."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</si>
  <si>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</si>
  <si>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</si>
  <si>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</si>
  <si>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</si>
  <si>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</si>
  <si>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</si>
  <si>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"During tetanic stimulation, the observer detects one strong, sustained muscle contraction, and fade after tetanic stimulation is the basis for evaluation of nondepolarizing block. The inability to sustain contraction (fade) during tetanic contraction is due to the inability to transmit rapid electrical impulses."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</si>
  <si>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</si>
  <si>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</si>
  <si>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</si>
  <si>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</si>
  <si>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</si>
  <si>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</si>
  <si>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</si>
  <si>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</si>
  <si>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</si>
  <si>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</si>
  <si>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</si>
  <si>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</si>
  <si>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</si>
  <si>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"Calcium enters the cardiac cell, causing excitation, which is a direct effect of calcium on cardiac muscle contraction."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</si>
  <si>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</si>
  <si>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</si>
  <si>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</si>
  <si>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</si>
  <si>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</si>
  <si>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</si>
  <si>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"Prolonged surgery on the spine in the prone position is occasionally followed by postoperative visual loss, and the most common etiology of such visual loss is posterior ischemic optic neuropathy." }</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</si>
  <si>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</si>
  <si>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</si>
  <si>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</si>
  <si>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</si>
  <si>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</si>
  <si>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</si>
  <si>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the prevention of PONV if administered preoperatively, making option A the correct answer."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</si>
  <si>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</si>
  <si>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</si>
  <si>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</si>
  <si>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</si>
  <si>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</si>
  <si>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</si>
  <si>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minute ventilation, we need to multiply the tidal volume by the respiratory rate. In this case, the tidal volume is 50 mL and the respiratory rate is 20 breaths per minute. 50 mL x 20 breaths/min = 1000 mL/min. Since the patient is being ventilated, the minute ventilation is equal to the tidal volume multiplied by the respiratory rate, which is 1000 mL/min. The oxygen flow is 2.5 L/min and the nitrous oxide flow is 3.5 L/min, but these flows are not directly related to the minute ventilation. Therefore, the correct answer is 2.5 L/min."</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</si>
  <si>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</si>
  <si>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</si>
  <si>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</si>
  <si>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</si>
  <si>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</si>
  <si>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</si>
  <si>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"In elderly patients, the closing capacity of the lungs increases, making it more difficult to maintain adequate oxygenation during anesthesia."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</si>
  <si>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</si>
  <si>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</si>
  <si>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</si>
  <si>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</si>
  <si>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</si>
  <si>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</si>
  <si>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"When succinylcholine is given to facilitate intubation, it causes a rapid onset of neuromuscular blockade, which is followed by a rapid recovery. After full recovery from the depolarizing block, the patient's sensitivity to non-depolarizing muscle relaxants like pancuronium is increased, requiring a lower dose to achieve the same level of neuromuscular blockade."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</si>
  <si>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</si>
  <si>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</si>
  <si>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</si>
  <si>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</si>
  <si>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</si>
  <si>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</si>
  <si>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specific gravity of a drug to a reference specific gravity, which is typically defined as the density of cerebrospinal fluid (CSF), which is 1.00059 g/mL at 37°C." }</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</si>
  <si>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</si>
  <si>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</si>
  <si>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</si>
  <si>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</si>
  <si>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</si>
  <si>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</si>
  <si>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it can produce a toxic concentration of ozone, which can be harmful to patients."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</si>
  <si>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</si>
  <si>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</si>
  <si>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</si>
  <si>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</si>
  <si>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</si>
  <si>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</si>
  <si>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low blood pressure cuff readings occur in obese patients because most blood pressure cuffs are designed for a more cylindrical profile and may not remain in position or function optimally on a cone-shaped arm." }</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</si>
  <si>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</si>
  <si>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</si>
  <si>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</si>
  <si>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</si>
  <si>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</si>
  <si>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</si>
  <si>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medication commonly used to treat peptic ulcer disease, which is a condition characterized by sores or erosions in the lining of the stomach or small intestine. It is a proton pump inhibitor that reduces the amount of acid produced in the stomach, which helps to alleviate symptoms and promote healing of the ulcers."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</si>
  <si>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</si>
  <si>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</si>
  <si>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</si>
  <si>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</si>
  <si>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</si>
  <si>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</si>
  <si>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help reduce the formation of aqueous humor in the eye, making it a medication that may be indicated for the treatment of glaucoma."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</si>
  <si>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</si>
  <si>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</si>
  <si>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</si>
  <si>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</si>
  <si>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</si>
  <si>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</si>
  <si>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used to treat type 2 diabetes mellitus, making it a suitable option for this disease."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</si>
  <si>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</si>
  <si>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</si>
  <si>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</si>
  <si>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</si>
  <si>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</si>
  <si>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</si>
  <si>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which is an intravenous anesthetic drug."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</si>
  <si>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</si>
  <si>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</si>
  <si>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</si>
  <si>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</si>
  <si>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</si>
  <si>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</si>
  <si>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"Since the anesthesiologists have brought sevoflurane with them, they will be using it to deliver the anesthetic. Among the options, isoflurane vaporizers are the least likely to have a significant difference between set and delivered concentrations of sevoflurane, making it the best choice." }</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</si>
  <si>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</si>
  <si>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</si>
  <si>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</si>
  <si>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</si>
  <si>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</si>
  <si>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</si>
  <si>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making it the best option to avoid in this scenario."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</si>
  <si>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</si>
  <si>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</si>
  <si>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</si>
  <si>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</si>
  <si>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</si>
  <si>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</si>
  <si>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"A",   "Explain": "FRC is markedly reduced in the supine position because of the gravitational pull of the diaphragm cephalad, which causes the lungs to compress and reduce functional residual capacity."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</si>
  <si>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</si>
  <si>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</si>
  <si>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</si>
  <si>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</si>
  <si>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</si>
  <si>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</si>
  <si>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"Adsorption of the agent by soda lime is a process that reduces the inspired partial pressure of isoflurane, not increases it."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</si>
  <si>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</si>
  <si>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</si>
  <si>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</si>
  <si>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</si>
  <si>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</si>
  <si>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</si>
  <si>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actually decreases the rate of onset of anesthetic effects by increasing the rate of anesthetic elimination from the body, not increasing it."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</si>
  <si>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</si>
  <si>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</si>
  <si>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</si>
  <si>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</si>
  <si>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</si>
  <si>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</si>
  <si>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as it can take some time for the condition to develop after the underlying cause has occurred."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</si>
  <si>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</si>
  <si>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</si>
  <si>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</si>
  <si>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</si>
  <si>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</si>
  <si>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</si>
  <si>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number of calories required to raise the temperature of 1 gram of a substance by 1°C is known as its specific heat, which is a measure of its thermal energy capacity. This value is unique to each substance and does not change depending on the context or situation."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</si>
  <si>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</si>
  <si>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</si>
  <si>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</si>
  <si>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</si>
  <si>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</si>
  <si>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</si>
  <si>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"B",   "Explain": "Myocardial hypertrophy is a long-term adaptation to increased cardiac workload, not a mechanism to compensate for low cardiac output in patients with failing hearts."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</si>
  <si>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</si>
  <si>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</si>
  <si>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</si>
  <si>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</si>
  <si>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</si>
  <si>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</si>
  <si>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making it impossible to attach an oxygen cylinder to any yoke on the anesthesia machine other than that designed for oxygen."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</si>
  <si>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</si>
  <si>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</si>
  <si>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</si>
  <si>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</si>
  <si>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</si>
  <si>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</si>
  <si>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resulting from decreased erythropoiesis due to chronic kidney failure."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</si>
  <si>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</si>
  <si>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</si>
  <si>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</si>
  <si>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</si>
  <si>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</si>
  <si>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</si>
  <si>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"The transplanted heart does not respond to isoproterenol because it is a direct-acting drug that relies on the release of epinephrine and norepinephrine from the adrenal glands, which is not intact in a transplanted heart." }</t>
  </si>
  <si>
    <t>Cerebrospinal fluid (CSF) flows through all of the following EXCEPT the</t>
  </si>
  <si>
    <t>A. arachnoid villi</t>
  </si>
  <si>
    <t>B. cerebral ventricle</t>
  </si>
  <si>
    <t>C. lateral ventricle</t>
  </si>
  <si>
    <t>D. subarachnoid space</t>
  </si>
  <si>
    <t>E. epidural space</t>
  </si>
  <si>
    <t>{   "Answer": "E",   "Explain": "The epidural space is the area between the periphery of the dura mater and the inner surface of the skull or the periphery of the sacrum. It does not contain cerebrospinal fluid (CSF), which flows through the arachnoid villi, cerebral ventricles, subarachnoid space, and other areas, but not the epidural space."</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</si>
  <si>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</si>
  <si>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</si>
  <si>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</si>
  <si>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</si>
  <si>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</si>
  <si>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</si>
  <si>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as it blocks the AV node and slows down the heart rate."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</si>
  <si>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</si>
  <si>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</si>
  <si>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</si>
  <si>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</si>
  <si>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</si>
  <si>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</si>
  <si>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"When the resident tipped the vaporizer on its side, it is essential to properly flush it to ensure the delivery of a consistent and safe anesthetic mixture. To do this, leave the vaporizer setting at 'off' and press the oxygen flush valve for 10 minutes to remove any potential contaminants or debris that may have entered the vaporizer during the fall."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</si>
  <si>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</si>
  <si>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</si>
  <si>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</si>
  <si>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</si>
  <si>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</si>
  <si>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</si>
  <si>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as mentioned in the context that 'the heart rate does not change significantly in most patients during spinal anesthesia. However, in an estimated 10% to 15% of patients, significant bradycardia occurs. As with hypotension, the risk for bradycardia increases with increasing sensory levels of anesthesia.'"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</si>
  <si>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</si>
  <si>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</si>
  <si>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</si>
  <si>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</si>
  <si>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</si>
  <si>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</si>
  <si>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"Proceed with giving 40 mEq of potassium by mouth before starting the procedure to help correct the patient's asymptomatic hypokalemia, as the patient is otherwise healthy and the procedure is not emergent."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</si>
  <si>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</si>
  <si>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</si>
  <si>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</si>
  <si>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</si>
  <si>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</si>
  <si>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</si>
  <si>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(ICP) because it does not accurately reflect the pressure within the intracranial space." }</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</si>
  <si>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</si>
  <si>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</si>
  <si>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</si>
  <si>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</si>
  <si>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</si>
  <si>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</si>
  <si>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contributes a partial pressure that is proportional to its molecular fraction, as stated in Dalton's law of partial pressures."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</si>
  <si>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</si>
  <si>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</si>
  <si>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</si>
  <si>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</si>
  <si>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</si>
  <si>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</si>
  <si>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acts as a muscarinic cholinergic agonist, which increases the release of acetylcholine, a neurotransmitter that stimulates the contraction of smooth muscles in the gut, leading to increased gut motility."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</si>
  <si>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</si>
  <si>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</si>
  <si>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</si>
  <si>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</si>
  <si>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</si>
  <si>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</si>
  <si>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a rare cause of cirrhosis, and the patient's record indicates that he has biopsy-proven hepatic cirrhosis, but no history of cystic fibrosis."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</si>
  <si>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</si>
  <si>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</si>
  <si>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</si>
  <si>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</si>
  <si>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</si>
  <si>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</si>
  <si>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usually associated with increased blood volume and cardiac output, not decreased preload and cardiac output, which is characteristic of hypovolemia."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</si>
  <si>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</si>
  <si>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</si>
  <si>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</si>
  <si>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</si>
  <si>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</si>
  <si>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</si>
  <si>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is scheduled for appendectomy and has a history of myocardial infarction 4 years ago, but is now asymptomatic and plays tennis regularly. He would be categorized as ASA Physical Status II, which means he has no significant underlying medical conditions that would increase his risk of complications during surgery."</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</si>
  <si>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</si>
  <si>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</si>
  <si>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</si>
  <si>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</si>
  <si>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</si>
  <si>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</si>
  <si>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patient is taking amiodarone, which should be stopped before surgery due to its potential to prolong QT intervals and increase the risk of arrhythmias during anesthesia and surgery."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</si>
  <si>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</si>
  <si>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</si>
  <si>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</si>
  <si>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</si>
  <si>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</si>
  <si>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</si>
  <si>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which is a critical blood vessel that provides oxygenated blood to the anterior spinal cord." }</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</si>
  <si>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</si>
  <si>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</si>
  <si>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</si>
  <si>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</si>
  <si>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</si>
  <si>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</si>
  <si>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because it is defined as the amount of energy required to change 1 g of liquid into vapor at a constant temperature. This means that the latent heat of vaporization changes depending on the temperature of the liquid, not just the liquid itself." }</t>
  </si>
  <si>
    <t>Carbon monoxide diffusion capacity (DLCO) will decrease with</t>
  </si>
  <si>
    <t>A. smoking within 24h of the test</t>
  </si>
  <si>
    <t>B. exercise</t>
  </si>
  <si>
    <t>C. pulmonary fibrosis</t>
  </si>
  <si>
    <t>D. increased hemoglobin</t>
  </si>
  <si>
    <t>E. congestive heart failure</t>
  </si>
  <si>
    <t>{   "Answer": "D",   "Explain": "Increased hemoglobin can decrease carbon monoxide diffusion capacity (DLCO) because it binds to carbon monoxide, reducing the amount of carbon monoxide that can diffuse into the blood." }</t>
  </si>
  <si>
    <t>A local anesthetic that inhibits the reuptake of norepinephrine is</t>
  </si>
  <si>
    <t>A. procaine</t>
  </si>
  <si>
    <t>B. cocaine</t>
  </si>
  <si>
    <t>C. bupivacaine</t>
  </si>
  <si>
    <t>D. mepivacaine</t>
  </si>
  <si>
    <t>E. lidocaine with epinephrine</t>
  </si>
  <si>
    <t>{   "Answer": "B",   "Explain": "Cocaine inhibits the reuptake of norepinephrine, a neurotransmitter that plays a crucial role in pain modulation, which is why it is often used as a local anesthetic." }</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</si>
  <si>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</si>
  <si>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</si>
  <si>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</si>
  <si>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</si>
  <si>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</si>
  <si>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</si>
  <si>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 renergic blockade is instituted at the same time as β-adrenergic blockade to prevent the surge of catecholamine release during surgery, which can lead to hypertension and arrhythmias."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</si>
  <si>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</si>
  <si>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</si>
  <si>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</si>
  <si>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</si>
  <si>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</si>
  <si>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</si>
  <si>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presence of an accessory pathway (bundle of Kent) that permits both retrograde and antegrade conduction, resulting in a characteristic electrocardiogram (ECG) pattern."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</si>
  <si>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</si>
  <si>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</si>
  <si>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</si>
  <si>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</si>
  <si>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</si>
  <si>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</si>
  <si>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making option D the correct answer."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</si>
  <si>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</si>
  <si>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</si>
  <si>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</si>
  <si>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</si>
  <si>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</si>
  <si>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</si>
  <si>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"Cyclic AMP does not directly activate the platelet glycoprotein IIb/IIIa receptor, so option A is the correct answer."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</si>
  <si>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</si>
  <si>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</si>
  <si>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</si>
  <si>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</si>
  <si>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</si>
  <si>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</si>
  <si>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cause a sudden increase in cerebrospinal fluid pressure due to the sudden and substantial increases in both cerebral arterial and venous pressure, which can lead to edema formation, bleeding, and elevation of ICP." }</t>
  </si>
  <si>
    <t>Isoflurane</t>
  </si>
  <si>
    <t>A. is a poor muscle relaxant compared with halothane</t>
  </si>
  <si>
    <t>B. has a vapor pressure of 175 mmHg at 20°C</t>
  </si>
  <si>
    <t>C. stimulates ventilation</t>
  </si>
  <si>
    <t>D. has a MAC of approximately 1.2%</t>
  </si>
  <si>
    <t>E. should be delivered by spontaneous ventilation</t>
  </si>
  <si>
    <t>{   "Answer": "B",   Explain: "Isoflurane has a vapor pressure of 175 mmHg at 20°C, which is a significant factor to consider when using this anesthetic agent." }</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</si>
  <si>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</si>
  <si>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</si>
  <si>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</si>
  <si>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</si>
  <si>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</si>
  <si>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</si>
  <si>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"When inhaling from functional residual capacity (FRC) to maximal inspiration, the basilar alveoli do not become larger than apical alveoli. Instead, the airways dilate and the alveoli at the base of the lung expand more than those at the apex due to the difference in compliance between the two regions."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</si>
  <si>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</si>
  <si>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</si>
  <si>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</si>
  <si>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</si>
  <si>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</si>
  <si>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</si>
  <si>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does not decrease the latency of somatosensory evoked potentials, which is a measure of the time it takes for the brain to respond to sensory stimuli. Instead, it has been shown to increase the latency of somatosensory evoked potentials, indicating a decrease in cortical activity."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</si>
  <si>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</si>
  <si>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</si>
  <si>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</si>
  <si>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</si>
  <si>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</si>
  <si>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</si>
  <si>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multiple steps in the intrinsic pathway of blood clotting, making it a more complex anticoagulant compared to other options."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</si>
  <si>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</si>
  <si>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</si>
  <si>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</si>
  <si>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</si>
  <si>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</si>
  <si>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</si>
  <si>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"D",   "Explain": "The severity of a hemolytic transfusion reaction is not always related to the volume of transfused blood, as even a small amount of incompatible blood can cause a severe reaction."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</si>
  <si>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</si>
  <si>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</si>
  <si>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</si>
  <si>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</si>
  <si>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</si>
  <si>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</si>
  <si>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includes ventricular septal defect (VSD), pulmonary outflow obstruction, right ventricular hypertrophy, and an overriding aorta." }</t>
  </si>
  <si>
    <t>The pressure of oxygen delivered by the wall connectors in an operating room is approximately</t>
  </si>
  <si>
    <t>A. 1900 psi</t>
  </si>
  <si>
    <t>B. 750psi</t>
  </si>
  <si>
    <t>C. 50 psi</t>
  </si>
  <si>
    <t>D. 1 atm</t>
  </si>
  <si>
    <t>E. 760mmHg</t>
  </si>
  <si>
    <t>{   "Answer": "C",   "Explain": "According to the context, the pressure of oxygen delivered by the wall connectors in an operating room is approximately 50 psi, as stated in point 4 of the document."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</si>
  <si>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</si>
  <si>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</si>
  <si>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</si>
  <si>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</si>
  <si>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</si>
  <si>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</si>
  <si>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"The patient has a history of drug abuse and is experiencing acute onset of anterior chest pain radiating into the back between the shoulder blades, which is a sign of aortic dissection. The patient's vital signs are also concerning, with a heart rate of 107 and blood pressure of 172/98. Therefore, caution is needed when administering epinephrine, as it can exacerbate the patient's condition and worsen the aortic dissection."</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</si>
  <si>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</si>
  <si>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</si>
  <si>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</si>
  <si>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</si>
  <si>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</si>
  <si>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</si>
  <si>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"C",   "Explain": "The Bernoulli theorem is used to measure minute ventilation using a spinning turbine, which is a device that measures the flow rate of air in and out of the lungs."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</si>
  <si>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</si>
  <si>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</si>
  <si>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</si>
  <si>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</si>
  <si>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</si>
  <si>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</si>
  <si>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but rather, smoking cessation can reduce the risk of postoperative complications, including respiratory and wound healing complications."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</si>
  <si>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</si>
  <si>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</si>
  <si>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</si>
  <si>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</si>
  <si>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</si>
  <si>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</si>
  <si>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reducing the formation of atelectasis and increasing lung volume."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</si>
  <si>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</si>
  <si>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</si>
  <si>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</si>
  <si>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</si>
  <si>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</si>
  <si>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</si>
  <si>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most likely to increase cerebral blood flow because it is a cerebral vasodilator and can cause an increase in cerebral blood volume, which can lead to increased intracranial pressure."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</si>
  <si>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</si>
  <si>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</si>
  <si>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</si>
  <si>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</si>
  <si>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</si>
  <si>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</si>
  <si>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can be correlated with the degree of hypovolemia, as an increase in pulse pressure variability is often seen in patients with hypovolemia, indicating that the heart is working harder to maintain blood pressure due to decreased blood volume."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</si>
  <si>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</si>
  <si>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</si>
  <si>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</si>
  <si>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</si>
  <si>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</si>
  <si>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</si>
  <si>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"A",   "Explain": "Prilocaine is used exclusively for topical purposes because of its low systemic absorption rate and minimal cardiovascular effects, making it a safer choice for awake fiberoptic intubation."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</si>
  <si>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</si>
  <si>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</si>
  <si>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</si>
  <si>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</si>
  <si>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</si>
  <si>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</si>
  <si>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"Deficiency in thyroid function is uncommon in acromegaly, so hyperthyroidism is not a common comorbidity in this condition."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</si>
  <si>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</si>
  <si>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</si>
  <si>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</si>
  <si>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</si>
  <si>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</si>
  <si>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</si>
  <si>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"When combined with volatile anesthetics, calcium channel blockers like verapamil may prolong atrioventricular conduction time, which is a significant concern in anesthesia management."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</si>
  <si>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</si>
  <si>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</si>
  <si>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</si>
  <si>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</si>
  <si>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</si>
  <si>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</si>
  <si>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because it is a small, protected area that can be easily accessed in emergency situations, and it is located at the level of C6."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</si>
  <si>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</si>
  <si>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</si>
  <si>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</si>
  <si>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</si>
  <si>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</si>
  <si>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</si>
  <si>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because of the absorption of the irrigating solution, which can lead to hyponatremia and hypoosmolality."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</si>
  <si>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</si>
  <si>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</si>
  <si>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</si>
  <si>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</si>
  <si>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</si>
  <si>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</si>
  <si>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is actually a cause of decreased carbon dioxide levels, not increased levels, as it results in a decrease in alveolar ventilation and a subsequent decrease in CO2 production." }</t>
  </si>
  <si>
    <t>An anesthetic agent for which a specific antagonist exists is</t>
  </si>
  <si>
    <t>A. etomidate</t>
  </si>
  <si>
    <t>B. butorphanol</t>
  </si>
  <si>
    <t>C. thiopental</t>
  </si>
  <si>
    <t>D. propofol</t>
  </si>
  <si>
    <t>E. succinylcholine</t>
  </si>
  <si>
    <t>{   "Answer": "E",   Explain: "Succinylcholine is an anesthetic agent for which a specific antagonist, atropine, exists."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</si>
  <si>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</si>
  <si>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</si>
  <si>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</si>
  <si>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</si>
  <si>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</si>
  <si>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</si>
  <si>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is not recommended as it can increase myocardial and systemic oxygen requirements, which is not ideal for a patient with acute myocardial infarction and hypertensive heart disease."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</si>
  <si>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</si>
  <si>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</si>
  <si>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</si>
  <si>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</si>
  <si>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</si>
  <si>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</si>
  <si>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worsens as the heart rate and blood pressure are reduced with metoprolol and nitroglycerin, suggesting that the patient's cardiac reserve is compromised. An inhibitor of cyclic-GMP phosphodiesterase, such as sildenafil, could potentially increase cardiac contractility and improve cardiac reserve, making it a suitable option to consider." }</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</si>
  <si>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</si>
  <si>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</si>
  <si>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</si>
  <si>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</si>
  <si>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</si>
  <si>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</si>
  <si>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the discharge to home of a previously healthy, ASA I patient, who had hernia repair under general anesthesia would be a heart rate 20% higher than baseline, which is a sign of unstable dysrhythmias." }</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</si>
  <si>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</si>
  <si>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</si>
  <si>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</si>
  <si>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</si>
  <si>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</si>
  <si>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</si>
  <si>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"In the given scenario, the patient has a high concentration of deoxyhemoglobin due to his hypertensive heart disease and acute myocardial infarction, which introduces the greatest degree of error in the measurement of hemoglobin saturation by pulse oximetry."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</si>
  <si>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</si>
  <si>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</si>
  <si>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</si>
  <si>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</si>
  <si>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</si>
  <si>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</si>
  <si>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 mA, the initial action should be to unplug the last device that was connected to the circuit, as it is the most likely source of the problem."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</si>
  <si>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</si>
  <si>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</si>
  <si>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</si>
  <si>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</si>
  <si>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</si>
  <si>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</si>
  <si>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"If the line isolation monitor alarms and the meter indicates 8 mA, it is a potentially harmful current flowing through the patient, and the OR staff should take immediate action to relocate the patient to a different operating room while maintaining anesthesia to ensure patient safety."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</si>
  <si>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</si>
  <si>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</si>
  <si>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</si>
  <si>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</si>
  <si>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</si>
  <si>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</si>
  <si>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"Assuming the patient is experiencing symptoms of local anesthetic toxicity (LAST), the most appropriate intervention is to administer 1.5 mL/kg Intralipid 20% followed by a continuous infusion, and also administer lidocaine and phenylephrine to help reverse the effects of the local anesthetic toxicity." }</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</si>
  <si>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</si>
  <si>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</si>
  <si>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</si>
  <si>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</si>
  <si>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</si>
  <si>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</si>
  <si>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"E",   "Explain": "Methohexital may be preferred to thiopental for the maintenance of anesthesia, as accumulation and saturation of peripheral sites takes longer. However, in neurosurgical patients to whom larger doses of methohexital were administered to produce burst suppression of the EEG, refractory seizures have occurred." }</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</si>
  <si>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</si>
  <si>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</si>
  <si>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</si>
  <si>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</si>
  <si>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</si>
  <si>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</si>
  <si>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"E",   "Explain": "Alveolar ventilation only responds to endogenous CO2, not to changes in carbon dioxide and hydrogen ion concentration." }</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</si>
  <si>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</si>
  <si>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</si>
  <si>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</si>
  <si>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</si>
  <si>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</si>
  <si>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</si>
  <si>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known effect of fat embolism."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</si>
  <si>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</si>
  <si>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</si>
  <si>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</si>
  <si>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</si>
  <si>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</si>
  <si>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</si>
  <si>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"According to the context, propofol is reported to be safe for patients with AIP, whereas other anesthetics like barbiturates, phenytoin, and valproic acid are considered unsafe."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</si>
  <si>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</si>
  <si>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</si>
  <si>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</si>
  <si>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</si>
  <si>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</si>
  <si>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</si>
  <si>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"Patients with myasthenia gravis often have diaphragmatic weakness, which can lead to respiratory complications."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</si>
  <si>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</si>
  <si>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</si>
  <si>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</si>
  <si>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</si>
  <si>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</si>
  <si>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</si>
  <si>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</si>
  <si>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</si>
  <si>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</si>
  <si>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</si>
  <si>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</si>
  <si>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</si>
  <si>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</si>
  <si>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"The addition of adenine to the preservative solution allows red blood cells to resynthesize adenosine triphosphate, allowing them to continue to fuel their metabolic requirements and increases their survival time in storage."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</si>
  <si>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</si>
  <si>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</si>
  <si>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</si>
  <si>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</si>
  <si>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</si>
  <si>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</si>
  <si>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cessation before surgery may actually reduce airway hyperreactivity, not increase it, making option E the correct answer."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</si>
  <si>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</si>
  <si>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</si>
  <si>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</si>
  <si>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</si>
  <si>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</si>
  <si>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</si>
  <si>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to cause ventricular arrhythmias after accidental intravenous injection compared to bupivacaine, making it a safer option in terms of cardiac toxicity."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</si>
  <si>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</si>
  <si>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</si>
  <si>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</si>
  <si>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</si>
  <si>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</si>
  <si>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</si>
  <si>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 may sweat as a result of a process mediated by β-adrenoreceptors, which is not a direct response to the given situation. The patient's temperature is dropping, and the hot air warmer is not initiated, but the patient is not experiencing a β-adrenergic response."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</si>
  <si>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</si>
  <si>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</si>
  <si>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</si>
  <si>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</si>
  <si>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</si>
  <si>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</si>
  <si>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"The core temperature in a patient under general anesthesia is closely regulated by the hypothalamus, which maintains a set point temperature of around 37°C. The hypothalamus adjusts heat loss and gain to maintain this set point, and it is not directly affected by peripheral vasodilation or ambient temperature."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</si>
  <si>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</si>
  <si>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</si>
  <si>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</si>
  <si>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</si>
  <si>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</si>
  <si>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</si>
  <si>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natural response to cold stress that helps to generate heat, but in this context, the question is asking about regulation of body core temperature, not shivering as a means of heat production."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</si>
  <si>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</si>
  <si>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</si>
  <si>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</si>
  <si>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</si>
  <si>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</si>
  <si>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</si>
  <si>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sum of transpulmonary pressure and chest wall transmural pressure, as transpulmonary pressure refers to the pressure drop across the lungs alone, and chest wall transmural pressure refers to the pressure drop across the chest wall."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</si>
  <si>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</si>
  <si>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</si>
  <si>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</si>
  <si>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</si>
  <si>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</si>
  <si>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</si>
  <si>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because as lung volume increases, the airway diameter also increases, leading to a decrease in resistance."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</si>
  <si>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</si>
  <si>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</si>
  <si>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</si>
  <si>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</si>
  <si>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</si>
  <si>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</si>
  <si>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reduces cerebral edema by drawing water out of the brain parenchyma and excreting it, thereby decreasing the volume of the brain and reducing intracranial pressure." }</t>
  </si>
  <si>
    <t>Sickle cell formation is facilitated by all of the following EXCEPT</t>
  </si>
  <si>
    <t>A. hypoxemia</t>
  </si>
  <si>
    <t>B. sevoflurane</t>
  </si>
  <si>
    <t>C. acidosis</t>
  </si>
  <si>
    <t>D. fever</t>
  </si>
  <si>
    <t>E. dehydration</t>
  </si>
  <si>
    <t>{   "Answer": "B",   "Explain": "Sevoflurane is a volatile anesthetic agent that does not directly contribute to sickle cell formation."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</si>
  <si>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</si>
  <si>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</si>
  <si>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</si>
  <si>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</si>
  <si>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</si>
  <si>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</si>
  <si>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making her a high-risk hyperthyroid patient."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</si>
  <si>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</si>
  <si>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</si>
  <si>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</si>
  <si>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</si>
  <si>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</si>
  <si>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</si>
  <si>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"General anesthetic effects may be explained by their ability to disrupt membrane lipid-protein interactions, which is a characteristic of general anesthetic agents." }</t>
  </si>
  <si>
    <t>Milrinone</t>
  </si>
  <si>
    <t>A. inhibits Na,K-ATPase</t>
  </si>
  <si>
    <t>B. causes vasodilation</t>
  </si>
  <si>
    <t>C. is an end othelin receptor antagonist</t>
  </si>
  <si>
    <t>D. stimulates phosphodiesterasel</t>
  </si>
  <si>
    <t>E. has inotropic effects via β1-adrenoceptor stimulation</t>
  </si>
  <si>
    <t>{   "Answer": "D",   "Explain": "Milrinone is a selective phosphodiesterase III inhibitor that increases cyclic adenosine monophosphate by inhibiting breakdown, which has both inotropic and vasodilator effects without acting on α and β receptors." }</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</si>
  <si>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</si>
  <si>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</si>
  <si>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</si>
  <si>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</si>
  <si>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</si>
  <si>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</si>
  <si>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as it can exacerbate the disease process by inducing the enzyme ALA synthetase."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</si>
  <si>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</si>
  <si>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</si>
  <si>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</si>
  <si>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</si>
  <si>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</si>
  <si>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</si>
  <si>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does not directly cause a decrease in heart rate, but rather the direct effect of hypoxemia on the heart is to increase heart rate due to sympathetic stimulation, which is the opposite of the expected response." }</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</si>
  <si>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</si>
  <si>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</si>
  <si>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</si>
  <si>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</si>
  <si>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</si>
  <si>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</si>
  <si>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"Dopamine in a low dose infusion can cause vasodilation and inhibit the release of norepinephrine from sympathetic nerves." }</t>
  </si>
  <si>
    <t>Agents in anesthetic practice that can cause bronchodilatation include all of the following, EXCEPT</t>
  </si>
  <si>
    <t>B. atropine</t>
  </si>
  <si>
    <t>C. isoflurane</t>
  </si>
  <si>
    <t>D. sevoflurane</t>
  </si>
  <si>
    <t>E. thiopental</t>
  </si>
  <si>
    <t>{   "Answer": "E",   "Explain": "Thiopental is not a bronchodilator and can precipitate bronchoconstriction." }</t>
  </si>
  <si>
    <t>A-δ fibers</t>
  </si>
  <si>
    <t>A. are unmyelinated</t>
  </si>
  <si>
    <t>B. are low-threshold mechanoreceptors</t>
  </si>
  <si>
    <t>C.increase their firing as the intensity of the stimulus increases</t>
  </si>
  <si>
    <t>D. do not respond to noxious stimuli</t>
  </si>
  <si>
    <t>E. are thick nerves</t>
  </si>
  <si>
    <t>{   "Answer": "A",   Explain: "A-δ fibers are unmyelinated, meaning they do not have a myelin sheath around their axons, which is in contrast to Aα and Aβ fibers that are myelinated." }</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</si>
  <si>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</si>
  <si>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</si>
  <si>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</si>
  <si>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</si>
  <si>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</si>
  <si>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</si>
  <si>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inhibit osteoblasts, but rather inhibit the recruitment and function of osteoclasts, which helps to reduce bone resorption and relieve bone pain in patients with skeletal metastases." }</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</si>
  <si>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</si>
  <si>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</si>
  <si>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</si>
  <si>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</si>
  <si>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</si>
  <si>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</si>
  <si>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I and II of the dorsal horn of the spinal cord, which are responsible for processing and transmitting pain information to higher centers." }</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</si>
  <si>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</si>
  <si>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</si>
  <si>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</si>
  <si>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</si>
  <si>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</si>
  <si>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</si>
  <si>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"Seizure activity is more likely with meperidine, especially in the elderly and with renal dysfunction, due to its unique mechanism of action and potential accumulation in the body." }</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</si>
  <si>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</si>
  <si>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</si>
  <si>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</si>
  <si>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</si>
  <si>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</si>
  <si>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</si>
  <si>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increases the excitability of spinal neurons in the dorsal horn, leading to an increased response to subsequent painful stimuli." }</t>
  </si>
  <si>
    <t>The cricoid cartilage corresponds with which vertebra?</t>
  </si>
  <si>
    <t>A. C1</t>
  </si>
  <si>
    <t>B. C3</t>
  </si>
  <si>
    <t>C. C5</t>
  </si>
  <si>
    <t>D. C6</t>
  </si>
  <si>
    <t>E. C8</t>
  </si>
  <si>
    <t>{   "Answer": "B",   "Explain": "The cricoid cartilage corresponds with the C3 vertebra." }</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</si>
  <si>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</si>
  <si>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</si>
  <si>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</si>
  <si>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</si>
  <si>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</si>
  <si>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</si>
  <si>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as stated in the context: 'The nearly perpendicular orientation of the spinous process in the lumbar area and the downward angular orientation in the thoracic area define the angle required for placement and advancement of a needle intended to access the vertebral canal.'" }</t>
  </si>
  <si>
    <t>Vertebroplasty is ind cated for all of the following conditions EXCEPT</t>
  </si>
  <si>
    <t>A. multiple myeloma</t>
  </si>
  <si>
    <t>B. chronic compression fractures of vertebral body</t>
  </si>
  <si>
    <t>C. osteolytic metastatic tumors</t>
  </si>
  <si>
    <t>D. facet arthropathy</t>
  </si>
  <si>
    <t>{   "Answer": "E",   Explain: "THIS IS NOT AN ANSWER is not a condition that vertebroplasty is indicated for, as it is not a correct answer choice." }</t>
  </si>
  <si>
    <t>Ziconotide, found in snail venom, acts primarily on which type of calcium channel?</t>
  </si>
  <si>
    <t>A. N-type</t>
  </si>
  <si>
    <t>B. T-type</t>
  </si>
  <si>
    <t>C. L-type</t>
  </si>
  <si>
    <t>D. P-type</t>
  </si>
  <si>
    <t>E.Q-type</t>
  </si>
  <si>
    <t>{   "Answer": "A",   "Explain": "Ziconotide acts primarily on N-type calcium channels, which are a type of voltage-dependent calcium channel that is involved in the regulation of neurotransmitter release."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</si>
  <si>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</si>
  <si>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</si>
  <si>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</si>
  <si>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</si>
  <si>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</si>
  <si>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</si>
  <si>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</si>
  <si>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</si>
  <si>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</si>
  <si>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</si>
  <si>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</si>
  <si>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</si>
  <si>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state of increased pain perception and sensitivity to pain stimuli." }</t>
  </si>
  <si>
    <t>Indications for lumbar sympathetic blockade include all of the following EXCEPT</t>
  </si>
  <si>
    <t>A. acute herpes zoster</t>
  </si>
  <si>
    <t>B. phantom limb pain</t>
  </si>
  <si>
    <t>C. complex regional pain syndrome</t>
  </si>
  <si>
    <t>D. lumbar facet syndrome</t>
  </si>
  <si>
    <t>E. vascular insufficiency</t>
  </si>
  <si>
    <t>{   "Answer": "A",   Explain: "Acute herpes zoster is not an indication for lumbar sympathetic blockade, as it is not a condition that typically requires sympathetic blockage for pain relief." }</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</si>
  <si>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</si>
  <si>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</si>
  <si>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</si>
  <si>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</si>
  <si>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</si>
  <si>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causes reduction in pain transmission by modulating the excitatory neurotransmitters in the dorsal horn of the spinal cord, thereby reducing the transmission of pain signals to the brain." }</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</si>
  <si>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</si>
  <si>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</si>
  <si>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</si>
  <si>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</si>
  <si>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</si>
  <si>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</si>
  <si>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"Methadone is known to cause sedation and respiratory depression that can outlast its analgesic action, which is an important consideration when prescribing it on an outpatient basis." }</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</si>
  <si>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</si>
  <si>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</si>
  <si>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</si>
  <si>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</si>
  <si>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</si>
  <si>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intrapleural catheters, but rather, the usual dose of bupivacaine is 20-30 mL, and pneumothorax can occur, and the mechanism of action is not a unilateral intercostal nerve block." }</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</si>
  <si>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</si>
  <si>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</si>
  <si>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</si>
  <si>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</si>
  <si>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</si>
  <si>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"During evaluation of a 35-year-old woman with pelvic pain, endometriosis is an important consideration because it is a common cause of pelvic pain in women, and it is often responsive to correction of the underlying disorder for relief of pain."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</si>
  <si>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</si>
  <si>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</si>
  <si>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</si>
  <si>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</si>
  <si>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</si>
  <si>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</si>
  <si>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symptoms do not generally resolve if a rheumatic process is identified and treated appropriately, and there are both primary and secondary fibromyalgia syndromes."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</si>
  <si>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</si>
  <si>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</si>
  <si>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</si>
  <si>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</si>
  <si>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</si>
  <si>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"A recommended practice in the management of patients with cancer pain is considering the use of adjuvant drugs, such as tricyclic antidepressants, anticonvulsants, and corticosteroids, in addition to opioids to provide better pain relief and address other symptoms like depression, mood, and appetite." }</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</si>
  <si>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</si>
  <si>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</si>
  <si>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</si>
  <si>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</si>
  <si>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</si>
  <si>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</si>
  <si>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"Postherpetic neuralgia (PHN) is pain that persists for more than 120 days, which is the correct answer. The other options are incorrect: A, Zoster reactivation is not always accompanied by a rash; B, Zoster reactivation may occur multiple times in a healthy individual; D, the incidence of PHN is not expected to remain stable in the future; and E, antiviral agents like ganciclovir are not used to treat PHN." }</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</si>
  <si>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</si>
  <si>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</si>
  <si>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</si>
  <si>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</si>
  <si>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</si>
  <si>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a patient with sickle cell disease commonly involves the back, legs, and eyes because these areas are prone to infarction and tissue damage due to the occlusion of blood vessels by sickled erythrocytes." }</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</si>
  <si>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</si>
  <si>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</si>
  <si>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</si>
  <si>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</si>
  <si>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</si>
  <si>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</si>
  <si>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"CRPS II differs from CRPS I because in CRPS II there is evidence of major nerve damage, such as a pelvic fracture with a partial sciatic nerve transection, whereas CRPS I does not have an identifiable nerve injury."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</si>
  <si>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</si>
  <si>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</si>
  <si>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</si>
  <si>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</si>
  <si>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</si>
  <si>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</si>
  <si>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coupling with opioid receptors to sodium and potassium ion channels, thereby inhibiting neurotransmitter release (presynaptically) and inhibiting neuronal firing (postsynaptically)." }</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</si>
  <si>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</si>
  <si>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</si>
  <si>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</si>
  <si>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</si>
  <si>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</si>
  <si>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</si>
  <si>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not an important nociceptive neurotransmitter. It is actually a neurotransmitter involved in the transmission of pain signals, but it does not lower the threshold of synaptic excitability or sensitize second-order spinal neurons." }</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</si>
  <si>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</si>
  <si>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</si>
  <si>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</si>
  <si>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</si>
  <si>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</si>
  <si>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</si>
  <si>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patient's symptoms of severe, stabbing pain at the base of the tongue triggered by swallowing, yawning, and coughing are consistent with glossopharyngeal neuralgia, which is a rare condition characterized by pain in the throat and neck caused by compression or irritation of the glossopharyngeal nerve." }</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</si>
  <si>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</si>
  <si>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</si>
  <si>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</si>
  <si>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</si>
  <si>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</si>
  <si>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does not require any action on the part of the patient, as it is a non-invasive technique that uses electrical impulses to stimulate nerves and reduce pain, without the need for patient instruction or participation."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</si>
  <si>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</si>
  <si>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</si>
  <si>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</si>
  <si>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</si>
  <si>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</si>
  <si>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</si>
  <si>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CRPS is based on the appearance of typical signs and symptoms after injury and the absence of any other underlying condition, which can be determined through a thorough history and physical examination." }</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</si>
  <si>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</si>
  <si>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</si>
  <si>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</si>
  <si>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</si>
  <si>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</si>
  <si>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</si>
  <si>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which is one of the true statements about central pain."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</si>
  <si>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</si>
  <si>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</si>
  <si>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</si>
  <si>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</si>
  <si>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</si>
  <si>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are most useful for treating acute radicular pain, where a steroid injection given within 6 weeks can accelerate the resolution of leg pain." }</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</si>
  <si>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</si>
  <si>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</si>
  <si>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</si>
  <si>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</si>
  <si>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</si>
  <si>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</si>
  <si>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"C",   Explain: "Diarrhea is not a complication of a celiac plexus block procedure with 20 mL of 50% alcohol, as mentioned in the context, the complications listed are intravascular injection and vascular trauma, subarachnoid or epidural injection and paraplegia, renal injury, pneumothorax, chylothorax, damage to surrounding structures and retroperitoneal hematoma, peritonitis and abscess, but not diarrhea." }</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</si>
  <si>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</si>
  <si>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</si>
  <si>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</si>
  <si>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</si>
  <si>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</si>
  <si>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</si>
  <si>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after receiving 1 mL of 0.25% bupivacaine, which is a rapid onset of symptoms, suggesting a high spinal anesthetic effect, likely due to accidental intrathecal injection." }</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</si>
  <si>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</si>
  <si>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</si>
  <si>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</si>
  <si>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</si>
  <si>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</si>
  <si>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"A",   "Explain": "Oxcarbazepine has more adverse effects than carbamazepine, as it has a lower incidence of severe blood dyscrasias and fewer drug-drug interactions compared to carbamazepine." }</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</si>
  <si>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</si>
  <si>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</si>
  <si>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</si>
  <si>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</si>
  <si>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</si>
  <si>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</si>
  <si>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"Spinal cord stimulation (SCS) has not been proven to be effective for treating peripheral vascular disease, and therefore, it is not a recommended treatment option for this condition." }</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</si>
  <si>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</si>
  <si>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</si>
  <si>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</si>
  <si>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</si>
  <si>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</si>
  <si>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treatment option for complex regional pain syndrome, it is a statement that is not an answer to the question." }</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</si>
  <si>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</si>
  <si>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</si>
  <si>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</si>
  <si>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</si>
  <si>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</si>
  <si>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</si>
  <si>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"C",   "Explain": "It is often periodic and builds to peaks is not a characteristic of visceral pain, which is typically dull and constant." }</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</si>
  <si>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</si>
  <si>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</si>
  <si>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</si>
  <si>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</si>
  <si>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</si>
  <si>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</si>
  <si>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not a significant predictor of long-term pain, which means that the intensity of pain in the early postoperative period does not necessarily determine the development of chronic pain." }</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</si>
  <si>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</si>
  <si>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</si>
  <si>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</si>
  <si>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</si>
  <si>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</si>
  <si>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</si>
  <si>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in fact, women are more commonly affected by postherpetic neuralgia." }</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</si>
  <si>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</si>
  <si>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</si>
  <si>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</si>
  <si>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</si>
  <si>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</si>
  <si>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toxic even before undergoing metabolism, as it can cause liver damage and potentially lead to liver failure."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</si>
  <si>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</si>
  <si>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</si>
  <si>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</si>
  <si>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</si>
  <si>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</si>
  <si>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</si>
  <si>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"B",   "Explain": "Opioids produce a leftward shift of the CO2 responsiveness curve, meaning that the body's natural response to rising CO2 levels is reduced, leading to a decrease in respiratory drive and potentially life-threatening respiratory depression." }</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</si>
  <si>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</si>
  <si>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</si>
  <si>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</si>
  <si>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</si>
  <si>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</si>
  <si>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"Of the two principal neurolytic agents, alcohol has the greater tendency to produce neuritis."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</si>
  <si>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</si>
  <si>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</si>
  <si>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</si>
  <si>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</si>
  <si>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</si>
  <si>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"Pain theories currently being proposed postulate a system involving excitatory and inhibitory input with resulting sensation, where nociceptors are stimulated by thermal, mechanical, or chemical tissue damage, and the signals are transmitted to the dorsal horn of the spinal cord, where integration of peripheral nociceptive and descending modulatory input occurs." }</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</si>
  <si>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</si>
  <si>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</si>
  <si>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</si>
  <si>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</si>
  <si>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</si>
  <si>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</si>
  <si>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</si>
  <si>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</si>
  <si>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</si>
  <si>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</si>
  <si>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</si>
  <si>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</si>
  <si>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</si>
  <si>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"Orthostatic headache is pathognomonic for spontaneous intracranial hypotension."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</si>
  <si>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</si>
  <si>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</si>
  <si>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</si>
  <si>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</si>
  <si>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</si>
  <si>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</si>
  <si>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mentioned as an adverse effect of epidurally administered glucocorticoids in the provided context."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</si>
  <si>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</si>
  <si>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</si>
  <si>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</si>
  <si>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</si>
  <si>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</si>
  <si>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</si>
  <si>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not only a minor consideration in an SCI patient, but it can also have a major impact on their quality of life and overall well-being."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</si>
  <si>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</si>
  <si>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</si>
  <si>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</si>
  <si>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</si>
  <si>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</si>
  <si>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</si>
  <si>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complex regional pain syndrome is mainly clinical, as there is no single diagnostic test that can confirm the diagnosis. The diagnosis is based on the appearance of typical signs and symptoms after injury and the absence of any other underlying condition." }</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</si>
  <si>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</si>
  <si>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</si>
  <si>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</si>
  <si>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</si>
  <si>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</si>
  <si>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</si>
  <si>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"Bowel and bladder function is not always preserved after neurolytic treatment, and patients may experience urinary retention or bowel dysfunction." }</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</si>
  <si>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</si>
  <si>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</si>
  <si>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</si>
  <si>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</si>
  <si>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</si>
  <si>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</si>
  <si>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but it is not mentioned as an advantage of intrathecal drug delivery in the given context." }</t>
  </si>
  <si>
    <t>Which one of the following opioids does not produce dose-dependant bradycardia?</t>
  </si>
  <si>
    <t>A. Morphine</t>
  </si>
  <si>
    <t>B. Fentanyl</t>
  </si>
  <si>
    <t>C. Meperidine</t>
  </si>
  <si>
    <t>D. Sufentanil</t>
  </si>
  <si>
    <t>E. Alfentanil</t>
  </si>
  <si>
    <t>{   "Answer": "C",   Explain: "Meperidine does not produce dose-dependent bradycardia." }</t>
  </si>
  <si>
    <t>The stellate ganglion is located between</t>
  </si>
  <si>
    <t>A. C6-C7</t>
  </si>
  <si>
    <t>B.C7-T1</t>
  </si>
  <si>
    <t>C. C5-C7</t>
  </si>
  <si>
    <t>D. C5-C6</t>
  </si>
  <si>
    <t>E. T1-T2</t>
  </si>
  <si>
    <t>{   "Answer": "B",   Explain: "The stellate ganglion is located between C7-T1, according to the provided context, which states that another approach to the ganglion is approaching it at the level of C7; however, this carries a substantial risk of pneumothorax."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</si>
  <si>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</si>
  <si>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</si>
  <si>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</si>
  <si>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</si>
  <si>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</si>
  <si>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</si>
  <si>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"Tramadol does not have a direct effect on norepinephrine or serotonin neurotransmission, but rather inhibits their reuptake, which is a key mechanism of its analgesic action." }</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</si>
  <si>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</si>
  <si>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</si>
  <si>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</si>
  <si>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</si>
  <si>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</si>
  <si>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</si>
  <si>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a typical symptom of paroxysmal hemicranias, which are rare benign headache disorders characterized by recurrent brief episodes of severe headache, often accompanied by conjunctival injection, rhinorrhea, and ptosis."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</si>
  <si>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</si>
  <si>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</si>
  <si>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</si>
  <si>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</si>
  <si>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</si>
  <si>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</si>
  <si>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"E. acupuncture should not be offered as part of comprehensive pain management until more clinical trials proving its efficacy have been completed is the correct answer because while acupuncture has been studied for its potential benefits in pain management, more research is needed to fully understand its effectiveness and potential risks and benefits."</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</si>
  <si>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</si>
  <si>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</si>
  <si>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</si>
  <si>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</si>
  <si>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</si>
  <si>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</si>
  <si>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such as group I fibers, can 'close the gate' by stimulating the inhibitory interneurons in the dorsal horn of the spinal cord, thereby reducing the transmission of pain signals."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</si>
  <si>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</si>
  <si>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</si>
  <si>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</si>
  <si>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</si>
  <si>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</si>
  <si>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</si>
  <si>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 activity by acetylating a serine residue on the enzyme, which prevents the production of TxA2 in platelets. This means that once aspirin has irreversibly inhibited COX, the platelets are unable to synthesize new COX-1, leading to a prolonged duration of aspirin's effect." }</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</si>
  <si>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</si>
  <si>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</si>
  <si>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</si>
  <si>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</si>
  <si>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</si>
  <si>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</si>
  <si>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"NSAIDs exert their analgesic effect through inhibition of prostaglandins, which are important mediators of peripheral sensitization and hyperalgesia, and this is achieved through inhibition of prostaglandin G/H synthase enzymes." }</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</si>
  <si>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</si>
  <si>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</si>
  <si>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</si>
  <si>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</si>
  <si>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</si>
  <si>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</si>
  <si>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"C",   "Explain": "Methadone has known active metabolites, not no known active metabolites, which is stated in the context that 'one of methadone’s isomers, it also exerts an inhibitory effect on NMDA receptors'."</t>
  </si>
  <si>
    <t>Ketamine and memantine are NMDA receptor</t>
  </si>
  <si>
    <t>A. allosteric regulators</t>
  </si>
  <si>
    <t>B. agonists</t>
  </si>
  <si>
    <t>C. inverse agonists</t>
  </si>
  <si>
    <t>D. antagonists</t>
  </si>
  <si>
    <t>{   "Answer": "D",   Explain: "Ketamine is a non-competitive antagonist of NMDA receptors, meaning it alters the conformation of the receptor by irreversibly binding to it, thereby blocking its normal function." }</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</si>
  <si>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</si>
  <si>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</si>
  <si>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</si>
  <si>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</si>
  <si>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</si>
  <si>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</si>
  <si>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"C",   "Explain": "Nonselective COX inhibitors, such as aspirin and ibuprofen, act mainly in the periphery, meaning they primarily affect tissues and organs outside of the central nervous system." }</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</si>
  <si>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</si>
  <si>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</si>
  <si>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</si>
  <si>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</si>
  <si>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</si>
  <si>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</si>
  <si>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the greater occipital nerve, which is a branch of the cervical plexus that supplies sensation to the posterior scalp and neck." }</t>
  </si>
  <si>
    <t>A tricyclic antidepressant in the secondary amine class is</t>
  </si>
  <si>
    <t>A. imipramine</t>
  </si>
  <si>
    <t>B. nortriptyline</t>
  </si>
  <si>
    <t>C. doxepin</t>
  </si>
  <si>
    <t>D. amitriptyline</t>
  </si>
  <si>
    <t>E. trazodone</t>
  </si>
  <si>
    <t>{   "Answer": "D",   "Explain": "A tricyclic antidepressant in the secondary amine class is amitriptyline, which is mentioned in the context as an example of a tricyclic antidepressant drug." }</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</si>
  <si>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</si>
  <si>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</si>
  <si>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</si>
  <si>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</si>
  <si>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</si>
  <si>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that transmits pain signals from the periphery to the spinal cord, so it is not an inhibitory substance that modulates the transmission of nociceptive signals in the dorsal horn of the spinal cord." }</t>
  </si>
  <si>
    <t>Which one of the following is a nociceptor?</t>
  </si>
  <si>
    <t>A. Meissner’s corpuscles</t>
  </si>
  <si>
    <t>B. Pacinian corpuscles</t>
  </si>
  <si>
    <t>C. Merkel’s disks</t>
  </si>
  <si>
    <t>D. Free nerve endings on A-delta and C fibers</t>
  </si>
  <si>
    <t>E. Golgi–Mazzoni endings</t>
  </si>
  <si>
    <t>{   "Answer": "D",   "Explain": "D. Free nerve endings on A-delta and C fibers are nociceptors, which transduce noxious stimuli into action potentials and conduct them to the dorsal horn of the spinal cord." }</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</si>
  <si>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</si>
  <si>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</si>
  <si>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</si>
  <si>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</si>
  <si>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</si>
  <si>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</si>
  <si>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"A",   Explain: "Myofascial pain is not dermatomal in distribution, it is usually described as a dull ache or burning sensation in a specific area of the body, often related to muscle tension or inflammation."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</si>
  <si>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</si>
  <si>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</si>
  <si>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</si>
  <si>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</si>
  <si>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</si>
  <si>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</si>
  <si>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a region in the brain that is involved in attention and arousal, but it is not a major anatomic structure in the transmission and relay of nociceptive information." }</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</si>
  <si>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</si>
  <si>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</si>
  <si>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</si>
  <si>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</si>
  <si>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</si>
  <si>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</si>
  <si>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</si>
  <si>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</si>
  <si>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</si>
  <si>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</si>
  <si>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</si>
  <si>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</si>
  <si>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"There is no need to adjust dosing parameters with increasing age in patient-controlled analgesia (PCA), unlike other forms of analgesia." }</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</si>
  <si>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</si>
  <si>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</si>
  <si>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</si>
  <si>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</si>
  <si>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</si>
  <si>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</si>
  <si>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dependent on the location of the injection, concentration, volume, and needle size, but not on the histology of the nerve."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</si>
  <si>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</si>
  <si>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</si>
  <si>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</si>
  <si>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</si>
  <si>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</si>
  <si>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</si>
  <si>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"Intercostal blocks with bupivacaine provide pain relief without significantly affecting vital capacity, resulting in a marked improvement in respiratory function compared to controls." }</t>
  </si>
  <si>
    <t>The McGill Pain Questionnaire</t>
  </si>
  <si>
    <t>A. consists of three major measures</t>
  </si>
  <si>
    <t>B. was developed by McGill</t>
  </si>
  <si>
    <t>C. is not widely used</t>
  </si>
  <si>
    <t>D. is a single-dimensional pain scale</t>
  </si>
  <si>
    <t>E. does not ask about the location of pain</t>
  </si>
  <si>
    <t>{   "Answer": "B",   "Explain": "The McGill Pain Questionnaire was developed by McGill, and it is a multidimensional pain scale that captures a broader range of important details, including pain intensity, pain location, and pain-related factors." }</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</si>
  <si>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</si>
  <si>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</si>
  <si>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</si>
  <si>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</si>
  <si>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</si>
  <si>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making it important to closely monitor patients for a longer period than initially expected."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</si>
  <si>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</si>
  <si>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</si>
  <si>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</si>
  <si>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</si>
  <si>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</si>
  <si>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</si>
  <si>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most likely be followed by decreased arterial blood pressure, as the sudden increase in venous capacitance that accompanies unclamping can result in a decrease in systolic blood pressure by about 40 mm Hg."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</si>
  <si>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</si>
  <si>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</si>
  <si>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</si>
  <si>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</si>
  <si>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</si>
  <si>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</si>
  <si>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"D",   "Explain": "The oculocardiac reflex is known to be fatigable, meaning that repeated stimulation can lead to a decrease in its severity or even its disappearance. Therefore, option D, 'fatigability of the reflex', is not an associated feature of the oculocardiac reflex." }</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</si>
  <si>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</si>
  <si>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</si>
  <si>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</si>
  <si>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</si>
  <si>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</si>
  <si>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</si>
  <si>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meaning it is a man-made substance that contains particles suspended in a liquid, whereas crystalloids are simply water-based solutions."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</si>
  <si>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</si>
  <si>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</si>
  <si>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</si>
  <si>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</si>
  <si>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</si>
  <si>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</si>
  <si>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and cardiac muscle are actually affected by myasthenia gravis, which is a neuromuscular disorder that can cause muscle weakness and fatigue. The statement is incorrect."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</si>
  <si>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</si>
  <si>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</si>
  <si>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</si>
  <si>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</si>
  <si>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</si>
  <si>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</si>
  <si>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should not be used cautiously in this patient with myasthenia gravis, but rather they are the preferred method for pain management during labor." }</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</si>
  <si>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</si>
  <si>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</si>
  <si>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</si>
  <si>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</si>
  <si>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</si>
  <si>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</si>
  <si>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"A",   Explain: "The recommended dose of 0.5% bupivacaine for a 2-year-old child weighing 12 kg is 3-5 mg/kg. Since 0.5% bupivacaine is 5 mg/mL, the recommended dose would be 0.6-1 mL. Therefore, 3 mL is the most appropriate dose for this patient." }</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</si>
  <si>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</si>
  <si>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</si>
  <si>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</si>
  <si>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</si>
  <si>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</si>
  <si>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</si>
  <si>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"Given the patient's history of severe rash following beta-lactam antibiotics, it is best to avoid using azithromycin (B) and other beta-lactam antibiotics. Clindamycin (A) is a good alternative, as it is a macrolide antibiotic that is less likely to cause a severe reaction."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</si>
  <si>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</si>
  <si>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</si>
  <si>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</si>
  <si>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</si>
  <si>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</si>
  <si>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</si>
  <si>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</si>
  <si>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</si>
  <si>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</si>
  <si>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</si>
  <si>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</si>
  <si>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</si>
  <si>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</si>
  <si>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patient had a sandwich 2 hours before his accident, so it's recommended to pass a nasogastric tube to remove gastric contents before induction to reduce the risk of aspiration."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</si>
  <si>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</si>
  <si>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</si>
  <si>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</si>
  <si>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</si>
  <si>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</si>
  <si>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</si>
  <si>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not typically associated with large expected amounts of intraoperative blood loss during scoliosis correction surgery. The other options, including Duchenne muscular dystrophy, arthrogryposis, Marfan syndrome, and idiopathic infantile scoliosis, are all known to be associated with significant blood loss during spine surgery."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</si>
  <si>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</si>
  <si>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</si>
  <si>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</si>
  <si>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</si>
  <si>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</si>
  <si>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</si>
  <si>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"E",   "Explain": "There is no mention of a combined respiratory alkalosis and compensatory metabolic acidosis in the given context, which describes various physiological changes that occur during pregnancy and labor."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</si>
  <si>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</si>
  <si>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</si>
  <si>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</si>
  <si>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</si>
  <si>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</si>
  <si>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</si>
  <si>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a goal of anesthesia for carotid endarterectomy, as it can actually increase the risk of cerebral ischemia and worsen neurological symptoms." }</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</si>
  <si>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</si>
  <si>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</si>
  <si>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</si>
  <si>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</si>
  <si>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</si>
  <si>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</si>
  <si>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"Opioids produce analgesia by activating presynaptic opioid receptors, which ultimately results in hyperpolarization of the cell and leads to a suppression of synaptic transmission."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</si>
  <si>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</si>
  <si>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</si>
  <si>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</si>
  <si>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</si>
  <si>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</si>
  <si>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</si>
  <si>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patient's hematocrit is 30, which is not anemic. The lowest post-delivery hematocrit value is typically around 25-30, so this patient's value is within the normal range. Therefore, there is no need to cancel the surgery or transfuse blood."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</si>
  <si>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</si>
  <si>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</si>
  <si>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</si>
  <si>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</si>
  <si>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</si>
  <si>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</si>
  <si>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cause hypoxia in patients with pheochromocytoma, which can exacerbate the condition's symptoms and potentially lead to cardiac complications."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</si>
  <si>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</si>
  <si>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</si>
  <si>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</si>
  <si>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</si>
  <si>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</si>
  <si>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</si>
  <si>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should not be kept supine, as this can increase the risk of aspiration and worsen respiratory and cardiovascular status." }</t>
  </si>
  <si>
    <t>Esmolol</t>
  </si>
  <si>
    <t>A. is a β1-adrenoceptor agonist</t>
  </si>
  <si>
    <t>C. is contraindicated in the patient with AV block</t>
  </si>
  <si>
    <t>D. is more likely than propranolol to cause bronchospasm</t>
  </si>
  <si>
    <t>E. is metabolized in the liver</t>
  </si>
  <si>
    <t>{   "Answer": "D",   Explain: "Esmolol is more likely than propranolol to cause bronchospasm because it is a cardioselective beta blocker, whereas propranolol is a non-selective beta blocker that can cause bronchospasm."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</si>
  <si>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</si>
  <si>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</si>
  <si>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</si>
  <si>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</si>
  <si>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</si>
  <si>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</si>
  <si>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</si>
  <si>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</si>
  <si>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</si>
  <si>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</si>
  <si>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</si>
  <si>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</si>
  <si>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</si>
  <si>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in critically ill patients can lead to an underestimation of the anion gap because the gap is corrected for albumin levels. If albumin levels are low, the gap may be normal or even negative, masking significant metabolic disturbances."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</si>
  <si>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</si>
  <si>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</si>
  <si>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</si>
  <si>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</si>
  <si>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</si>
  <si>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</si>
  <si>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bulge through weakened areas in the skull and potentially lead to bleeding." }</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</si>
  <si>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</si>
  <si>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</si>
  <si>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</si>
  <si>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</si>
  <si>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</si>
  <si>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similar to trigeminal neuralgia but affects the anterior two-thirds of the tongue, tonsils, and pharynx."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</si>
  <si>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</si>
  <si>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</si>
  <si>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</si>
  <si>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</si>
  <si>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</si>
  <si>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</si>
  <si>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is the most significant factor in affecting intraoperative arterial oxygenation, as it increases pulmonary resistance and decreases dynamic lung compliance, leading to decreased oxygenation."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</si>
  <si>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</si>
  <si>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</si>
  <si>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</si>
  <si>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</si>
  <si>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</si>
  <si>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</si>
  <si>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by about 25% resulting in a clinically relevant prolongation of paralysis after a single dose of succinylcholine, which is not a hematologic change that occurs in pregnancy."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</si>
  <si>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</si>
  <si>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</si>
  <si>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</si>
  <si>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</si>
  <si>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</si>
  <si>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</si>
  <si>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"A",   Explain: "A PaCO2 test would be the least useful in evaluating a 65-year-old male with a right hilar mass and postobstructive pneumonia for pneumonectomy, as it does not provide information about the patient's lung function or ability to tolerate surgery."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</si>
  <si>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</si>
  <si>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</si>
  <si>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</si>
  <si>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</si>
  <si>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</si>
  <si>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</si>
  <si>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complete removal of a lung, which is not a therapy that can be used to treat a right hilar mass with postobstructive pneumonia, as it would only worsen the patient's condition."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</si>
  <si>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</si>
  <si>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</si>
  <si>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</si>
  <si>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</si>
  <si>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</si>
  <si>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</si>
  <si>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"C",   "Explain": "The best method to provide good surgical exposure for a left lower lobectomy is to use a right-sided double-lumen tube, as it allows for better visualization of the operative site and easier management of the left lung."</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</si>
  <si>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</si>
  <si>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</si>
  <si>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</si>
  <si>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</si>
  <si>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</si>
  <si>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</si>
  <si>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"When an endobronchial tube is placed in the right bronchus for isolation of the right lung, the right mainstem bronchus may be blocked by tumor, making it difficult to ventilate the right lung."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</si>
  <si>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</si>
  <si>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</si>
  <si>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</si>
  <si>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</si>
  <si>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</si>
  <si>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</si>
  <si>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may not be the best option in this scenario as it may further compromise the patient's already compromised cardiovascular status, leading to a further decrease in blood pressure and cardiac output."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</si>
  <si>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</si>
  <si>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</si>
  <si>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</si>
  <si>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</si>
  <si>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</si>
  <si>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</si>
  <si>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"Higher estrogen concentrations actually decrease the seizure threshold during pregnancy, not increase it." }</t>
  </si>
  <si>
    <t>The agent with the highest ratio of β-adrenergic agonist to α-adrenergic agonist activity is</t>
  </si>
  <si>
    <t>A. isoproterenol</t>
  </si>
  <si>
    <t>B. dobutamine</t>
  </si>
  <si>
    <t>C. epinephrine</t>
  </si>
  <si>
    <t>D. norepinephrine</t>
  </si>
  <si>
    <t>{   "Answer": "A",   "Explain": "Isoproterenol has the highest ratio of β-adrenergic agonist to α-adrenergic agonist activity, making it the agent with the highest selectivity for β-receptors."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</si>
  <si>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</si>
  <si>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</si>
  <si>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</si>
  <si>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</si>
  <si>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</si>
  <si>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</si>
  <si>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with a SpO2 of 92% on FIO2 1.0, indicating that the current ventilator settings may not be optimal. Given the patient's hemodynamic instability and bilateral diffuse infiltrates on chest x-ray, a higher PEEP of 12 is likely necessary to improve oxygenation. Option C, with a PEEP of 12, is the most appropriate choice to increase the pressure and potentially improve oxygenation."</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</si>
  <si>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</si>
  <si>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</si>
  <si>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</si>
  <si>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</si>
  <si>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</si>
  <si>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</si>
  <si>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"The patient has a hemoglobin level of 7.8 g/dL and an INR of 1.6, indicating ongoing bleeding and coagulopathy. Fresh frozen plasma (FFP) is indicated to correct the coagulopathy and help stabilize the patient's hemodynamics."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</si>
  <si>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</si>
  <si>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</si>
  <si>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</si>
  <si>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</si>
  <si>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</si>
  <si>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</si>
  <si>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worsening oxygenation after being stabilized, and a chest x-ray showed bilateral diffuse infiltrates. The patient's hemoglobin level was 8 mg/dL, and she had received blood products. These findings suggest that the most likely cause of her respiratory failure is TRALI (transfusion-related acute lung injury), which is a complication of massive blood transfusion."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</si>
  <si>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</si>
  <si>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</si>
  <si>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</si>
  <si>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</si>
  <si>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</si>
  <si>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</si>
  <si>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"B",   "Explain": "Mechanical ventilation with PEEP increases left ventricular afterload, as the increased pressure in the lungs causes the left ventricle to work harder to pump blood. At the same time, PEEP also decreases preload by reducing venous return to the heart due to the increased pressure in the lungs, which can lead to a decrease in cardiac output."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</si>
  <si>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</si>
  <si>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</si>
  <si>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</si>
  <si>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</si>
  <si>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</si>
  <si>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</si>
  <si>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by allowing for early identification of patients who can breathe spontaneously and can be extubated, thereby reducing the need for mechanical ventilation."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</si>
  <si>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</si>
  <si>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</si>
  <si>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</si>
  <si>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</si>
  <si>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</si>
  <si>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</si>
  <si>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traditional antipsychotics like haloperidol and chlorpromazine in that they cause less extrapyramidal effects, which are a common side effect of traditional antipsychotics."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</si>
  <si>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</si>
  <si>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</si>
  <si>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</si>
  <si>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</si>
  <si>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</si>
  <si>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</si>
  <si>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uterine relaxation compared to regional anesthesia, which is beneficial for fetal well-being during cesarean delivery."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</si>
  <si>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</si>
  <si>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</si>
  <si>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</si>
  <si>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</si>
  <si>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</si>
  <si>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</si>
  <si>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decreased breath sounds in the right lower zone of the lung fields, suggest a possible inhaled foreign body, which is a common cause of sudden onset wheezing in children."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</si>
  <si>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</si>
  <si>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</si>
  <si>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</si>
  <si>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</si>
  <si>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</si>
  <si>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</si>
  <si>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virtually nonpulsatile because the roller pump or centrifugal pump used in the cardiopulmonary bypass machine delivers a continuous flow of blood, rather than a pulsatile one."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</si>
  <si>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</si>
  <si>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</si>
  <si>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</si>
  <si>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</si>
  <si>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</si>
  <si>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</si>
  <si>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containing solutions, such as D5W, may exacerbate hyperglycemia in neurosurgical patients, which can lead to complications and worsen existing conditions."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</si>
  <si>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</si>
  <si>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</si>
  <si>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</si>
  <si>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</si>
  <si>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</si>
  <si>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</si>
  <si>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"B states that migraine with aura is more common than migraine without aura, but according to the provided context, it is actually the opposite, as stated in the International Headache Society's diagnostic criteria for migraine."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</si>
  <si>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</si>
  <si>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</si>
  <si>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</si>
  <si>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</si>
  <si>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</si>
  <si>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</si>
  <si>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when given as an infusion, can markedly reduce the minimum alveolar concentration (MAC) of inhalational anesthetics, making it a useful adjunct during general anesthesia."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</si>
  <si>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</si>
  <si>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</si>
  <si>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</si>
  <si>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</si>
  <si>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</si>
  <si>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</si>
  <si>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a decrease in blood volume, as a result of increased blood pressure and fluid retention." }</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</si>
  <si>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</si>
  <si>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</si>
  <si>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</si>
  <si>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</si>
  <si>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</si>
  <si>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added to the fresh gas supply of the oxygenator during hypothermic cardiopulmonary bypass to maintain the corrected PaCO2 at 40 mm Hg."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</si>
  <si>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</si>
  <si>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</si>
  <si>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</si>
  <si>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</si>
  <si>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</si>
  <si>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</si>
  <si>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worsen the condition."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</si>
  <si>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</si>
  <si>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</si>
  <si>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</si>
  <si>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</si>
  <si>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</si>
  <si>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</si>
  <si>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mater and the arachnoid membrane, allowing for the delivery of local anesthetics and opioids to the spinal cord and surrounding tissues." }</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</si>
  <si>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</si>
  <si>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</si>
  <si>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</si>
  <si>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</si>
  <si>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</si>
  <si>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</si>
  <si>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"Ask the surgeon to change the irrigating solution to normal saline, as the patient is experiencing symptoms of TURP syndrome, which is caused by absorption of sorbitol irrigation solution, and normal saline is not absorbed by the body." }</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</si>
  <si>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</si>
  <si>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</si>
  <si>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</si>
  <si>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</si>
  <si>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</si>
  <si>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</si>
  <si>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anesthetist should lower the head to improve venous drainage and reduce the risk of increased intracranial pressure, which may be causing the bradycardia."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</si>
  <si>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</si>
  <si>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</si>
  <si>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</si>
  <si>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</si>
  <si>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</si>
  <si>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</si>
  <si>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which is a decrease in blood pressure, as mentioned in the context." }</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</si>
  <si>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</si>
  <si>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</si>
  <si>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</si>
  <si>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</si>
  <si>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</si>
  <si>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</si>
  <si>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answer." }</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</si>
  <si>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</si>
  <si>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</si>
  <si>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</si>
  <si>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</si>
  <si>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</si>
  <si>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</si>
  <si>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"The best strategy for preventing cerebral ischemia during surgery is selective antegrade cerebral perfusion with cold, oxygenated blood into a single aortic arch branch vessel, which allows for continued perfusion of the brain during deep hypothermic cardiac arrest."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</si>
  <si>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</si>
  <si>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</si>
  <si>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</si>
  <si>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</si>
  <si>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</si>
  <si>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</si>
  <si>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fever, tachycardia, hypoxia, and increased secretions, which are indicative of a pulmonary complication. Given the patient's recent splenectomy and the presence of a new pulmonary infiltrate on chest x-ray, the most appropriate next step in management is to start antibiotics to cover for possible pneumonia."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</si>
  <si>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</si>
  <si>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</si>
  <si>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</si>
  <si>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</si>
  <si>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</si>
  <si>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</si>
  <si>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new pulmonary infiltrate, rhonchi, and is intubated, which suggests a respiratory infection. Given the patient's trauma history, including a ruptured spleen and T10 burst fracture, and the presence of a new pulmonary infiltrate, the most appropriate pharmacotherapy would be a combination of vancomycin and ceftriaxone to cover for potential infections, including pneumonia and sepsis."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</si>
  <si>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</si>
  <si>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</si>
  <si>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</si>
  <si>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</si>
  <si>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</si>
  <si>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</si>
  <si>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"Continue current antibiotics because the patient has already been treated with antibiotics for 48 hours and has shown improvement, and changing antibiotics may lead to antibiotic resistance and treatment failure." }</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</si>
  <si>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</si>
  <si>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</si>
  <si>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</si>
  <si>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</si>
  <si>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</si>
  <si>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</si>
  <si>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"Statement B says that 'amplitude of evoked potentials is greater than those of the EEG'. However, according to the context, cortical responses may arise from many different structures, and cortical SERs are usually recorded from scalp electrodes. The amplitude of evoked potentials is not necessarily greater than those of the EEG."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</si>
  <si>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</si>
  <si>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</si>
  <si>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</si>
  <si>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</si>
  <si>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</si>
  <si>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</si>
  <si>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an appropriate technique for a low outlet forceps delivery as it does not provide adequate anesthesia for the perineal area and may not be effective in reducing pain and discomfort during the procedure."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</si>
  <si>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</si>
  <si>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</si>
  <si>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</si>
  <si>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</si>
  <si>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</si>
  <si>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</si>
  <si>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preferentially stimulates β2 receptors, causing bronchodilation, and avoids cardiac stimulation produced by drugs that stimulate β1 receptors." }</t>
  </si>
  <si>
    <t>The one best block for pain secondary to pancreatic cancer is a(n)</t>
  </si>
  <si>
    <t>B. Bier block</t>
  </si>
  <si>
    <t>C. block of the hypogastric plexus</t>
  </si>
  <si>
    <t>D. celiac plexus block</t>
  </si>
  <si>
    <t>E. intrathecal neurolysis</t>
  </si>
  <si>
    <t>{   "Answer": "D",   Explain: "The one best block for pain secondary to pancreatic cancer is a celiac plexus block, which is a neurolytic block that targets the celiac ganglion, anterolateral to the aorta, to provide pain relief for 70% to 90% of patients." }</t>
  </si>
  <si>
    <t>Pulmonary vascular resistance is increased by</t>
  </si>
  <si>
    <t>A. sevoflurane</t>
  </si>
  <si>
    <t>B. desflurane</t>
  </si>
  <si>
    <t>D. nitrous oxide</t>
  </si>
  <si>
    <t>E. oxygen</t>
  </si>
  <si>
    <t>{   "Answer": "D",   Explain: "Nitrous oxide dilutes the alveolar gas producing a transient decrease in alveolar oxygen pressure that can persist for up to 5 to 10 minutes after discontinuation of nitrous oxide, which can lead to arterial hypoxemia." }</t>
  </si>
  <si>
    <t>Complications of spinal cord stimulation include all of the following EXCEPT</t>
  </si>
  <si>
    <t>A. lead migration</t>
  </si>
  <si>
    <t>B. increased risk of development of chordoma</t>
  </si>
  <si>
    <t>C. lead breakage</t>
  </si>
  <si>
    <t>D. bleeding</t>
  </si>
  <si>
    <t>{   "Answer": "B",   "Explain": "Bleeding is a possible complication of spinal cord stimulation, but chordoma is not a known or mentioned complication in the provided context."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</si>
  <si>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</si>
  <si>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</si>
  <si>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</si>
  <si>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</si>
  <si>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</si>
  <si>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</si>
  <si>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"Upon release of the tourniquet, the surgeon expects to see a decrease in end-tidal CO2 due to the sudden increase in systemic vascular resistance and decreased blood flow to the lungs."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</si>
  <si>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</si>
  <si>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</si>
  <si>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</si>
  <si>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</si>
  <si>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</si>
  <si>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</si>
  <si>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"Avoidance of phenothiazines is crucial in patients taking levodopa as they inhibit the release of dopamine or compete with dopamine at the receptor, which can worsen Parkinson's disease symptoms." }</t>
  </si>
  <si>
    <t>Acute treatment of cerebral edema includes all of the following EXCEPT</t>
  </si>
  <si>
    <t>A. osmotic diuretics</t>
  </si>
  <si>
    <t>B. loop diuretics</t>
  </si>
  <si>
    <t>C. glucocorticoids</t>
  </si>
  <si>
    <t>D. surgical decompression</t>
  </si>
  <si>
    <t>E. drainage of CSF</t>
  </si>
  <si>
    <t>{   "Answer": "B",   "Explain": "Loop diuretics are not typically used to treat cerebral edema, as they can cause a rapid increase in serum osmolality, which can worsen cerebral edema and increase intracranial pressure." }</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</si>
  <si>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</si>
  <si>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</si>
  <si>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</si>
  <si>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</si>
  <si>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</si>
  <si>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</si>
  <si>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"Intracervical prostaglandin F2α is not a recommended treatment for uterine atony, as it may cause uterine contractions to become more intense and may not effectively treat atony."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</si>
  <si>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</si>
  <si>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</si>
  <si>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</si>
  <si>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</si>
  <si>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</si>
  <si>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</si>
  <si>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6-month-old infant is considered a term infant, and normal heart rate for this age group is around 120 beats per minute. Normal blood pressure for a 6-month-old infant is around 90/60 mmHg. Normal oxygen consumption for a 6-month-old infant is around 5-6 mL/kg, which is also within the normal range for this age group."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</si>
  <si>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</si>
  <si>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</si>
  <si>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</si>
  <si>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</si>
  <si>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</si>
  <si>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by the International Headache Society and the International Association for the Study of Pain (IASP) do not include relief of acute attacks by blocking the V2 branch of the trigeminal nerve with local anesthetic as one of the criteria."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</si>
  <si>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</si>
  <si>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</si>
  <si>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</si>
  <si>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</si>
  <si>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</si>
  <si>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</si>
  <si>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"Upon noticing the patient is somewhat stridorous with sternal retractions, a positive Chvostek sign is likely, which is a sign of hypocalcemia, a common complication after thyroid surgery."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</si>
  <si>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</si>
  <si>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</si>
  <si>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</si>
  <si>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</si>
  <si>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</si>
  <si>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</si>
  <si>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cause vasoconstriction, which means they cause blood vessels to narrow and constrict, leading to increased blood pressure." }</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</si>
  <si>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</si>
  <si>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</si>
  <si>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</si>
  <si>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</si>
  <si>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</si>
  <si>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</si>
  <si>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consistent with myocardial ischemia is not typically seen in patients with acute subarachnoid hemorrhage, as the cardiac injury is often reversible and may not cause significant cardiac damage."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</si>
  <si>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</si>
  <si>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</si>
  <si>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</si>
  <si>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</si>
  <si>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</si>
  <si>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</si>
  <si>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"Preoxygenation with four vital capacity breaths with 100% O2 within 30 seconds is the least effective means of preventing desaturation in this patient because it does not provide adequate time for the patient to equilibrate with 100% O2, and the patient's rapid desaturation suggests a more severe respiratory compromise." }</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</si>
  <si>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</si>
  <si>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</si>
  <si>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</si>
  <si>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</si>
  <si>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</si>
  <si>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</si>
  <si>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severe bilateral buttock, upper back, and shoulder pain, which is not typical of a failed epidural block. The most likely cause is a retroperitoneal or retrovascular injection of the epidural anesthetic, which can cause damage to the artery of Adamkiewicz, leading to bilateral lower extremity motor loss. Therefore, the initial step in management should be to remove the epidural catheter and culture the tip to rule out any potential infection or damage to the surrounding tissues."</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</si>
  <si>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</si>
  <si>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</si>
  <si>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</si>
  <si>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</si>
  <si>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</si>
  <si>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</si>
  <si>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"The MELD score, which is used for liver transplant listing, is based on the patient's serum bilirubin level, along with other factors. The criterion common to both the MELD score and the Child-Pugh classification is serum bilirubin, which is a key indicator of liver function and prognosis in patients with cirrhosis."</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</si>
  <si>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</si>
  <si>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</si>
  <si>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</si>
  <si>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</si>
  <si>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</si>
  <si>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"D",   "Explain": "When comparing the results of this patient's study with those of a 5'8", 84-kg male with a similar medical history, one would expect the greatest difference in FVC, as the patient's height and weight are different, which would affect the predicted normal values for FVC."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</si>
  <si>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</si>
  <si>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</si>
  <si>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</si>
  <si>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</si>
  <si>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</si>
  <si>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</si>
  <si>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in respiratory distress with stridorous inspirations, sternal retractions, and agitation, which is most likely due to incisional hemorrhage, as it can cause compression of the trachea and lead to respiratory failure."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</si>
  <si>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</si>
  <si>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</si>
  <si>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</si>
  <si>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</si>
  <si>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</si>
  <si>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</si>
  <si>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that is most ideal in this situation is a combination of O2, air, desflurane, fentanyl, and cisatracurium. Desflurane is a volatile anesthetic that is not associated with nephrotoxicity, and cisatracurium is a neuromuscular blocking drug that does not rely primarily on renal clearance, making it a suitable choice for patients with end-stage renal disease." }</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</si>
  <si>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</si>
  <si>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</si>
  <si>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</si>
  <si>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</si>
  <si>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</si>
  <si>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</si>
  <si>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most likely cause of the visual disturbance is glycine toxicity, as glycine is a non-essential amino acid that can cause neurologic and cardiac effects when absorbed in significant amounts. During TURP, glycine is absorbed into the bloodstream and can cause transient blindness, which is characterized by sluggish or non-reactive pupils, suggesting a retinal effect." }</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</si>
  <si>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</si>
  <si>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</si>
  <si>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</si>
  <si>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</si>
  <si>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</si>
  <si>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</si>
  <si>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"After 3 days of dialysis, the patient's potassium levels may not have fully equilibrated, and succinylcholine can cause a rapid release of potassium from the muscles, leading to an increase in serum potassium levels by 1.5 mEq/L." }</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</si>
  <si>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</si>
  <si>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</si>
  <si>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</si>
  <si>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</si>
  <si>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</si>
  <si>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</si>
  <si>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"Minimizing inspired oxygen concentration is the most effective means to avoid an airway fire in this case, as oxygen is a primary fuel source for combustion and reducing its concentration can significantly decrease the risk of an airway fire." }</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</si>
  <si>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</si>
  <si>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</si>
  <si>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</si>
  <si>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</si>
  <si>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</si>
  <si>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</si>
  <si>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"A",   "Explain": "Dosing should be instituted after β-adrenoceptor blockade, not before, to prevent unopposed β-adrenergic stimulation and potential cardiac arrhythmias."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</si>
  <si>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</si>
  <si>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</si>
  <si>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</si>
  <si>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</si>
  <si>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</si>
  <si>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</si>
  <si>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"E",   "Explain": "A fetal scalp pH of 7.27 is not necessarily indicative of fetal wellbeing, as it can be within the normal range despite fetal acidosis. A pH of 7.27 is actually slightly acidic, indicating that the fetus may be experiencing some degree of hypoxia."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</si>
  <si>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</si>
  <si>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</si>
  <si>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</si>
  <si>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</si>
  <si>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</si>
  <si>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</si>
  <si>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 hours of life, the neonate's circulatory system undergoes significant changes, including a decrease in afterload on the left ventricle due to closure of the ductus arteriosus and a decrease in volume load on the left ventricle due to increased peripheral resistance. This is in contrast to the increased volume load on the left ventricle that would occur in a premature infant with a patent ductus arteriosus."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</si>
  <si>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</si>
  <si>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</si>
  <si>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</si>
  <si>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</si>
  <si>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</si>
  <si>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"There is no statement mentioned in the context that suggests the incidence of CRPS is 20% after brain lesion, or that extremities affected by a brain injury are at higher risk of developing CRPS, or that CRPS following spinal cord injury is frequent, or that lower extremities are more commonly affected than upper extremities." }</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</si>
  <si>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</si>
  <si>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</si>
  <si>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</si>
  <si>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</si>
  <si>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</si>
  <si>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</si>
  <si>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"A",   "Explain": "A fresh gas flow of less than 2 L/min decreases the risk of airway fire by reducing the amount of oxygen available to support combustion."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</si>
  <si>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</si>
  <si>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</si>
  <si>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</si>
  <si>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</si>
  <si>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</si>
  <si>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</si>
  <si>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because of the risk of coagulopathy, which is a common complication of preeclampsia, and the potential for spinal hematoma."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</si>
  <si>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</si>
  <si>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</si>
  <si>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</si>
  <si>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</si>
  <si>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</si>
  <si>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"A supraclavicular block is not a reasonable regional anesthetic block for surgeries distal to the elbow because it primarily anesthetizes the T1-T4 nerve roots, which are not necessary for anesthesia of the hand and forearm."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</si>
  <si>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</si>
  <si>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</si>
  <si>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</si>
  <si>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</si>
  <si>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</si>
  <si>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</si>
  <si>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"The end-tidal nitrogen monitor is the most sensitive indicator of a venous air embolism because it can detect small changes in the concentration of nitrogen in the exhaled gases, which is a sensitive indicator of air entrainment."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</si>
  <si>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</si>
  <si>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</si>
  <si>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</si>
  <si>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</si>
  <si>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</si>
  <si>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</si>
  <si>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 breathing dry gases, because breathing dry gases does not directly cause heat loss in infants under anesthesia."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</si>
  <si>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</si>
  <si>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</si>
  <si>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</si>
  <si>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</si>
  <si>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</si>
  <si>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"According to the context, acupuncture has been shown to have a mean pain-free postoperative time that is significantly longer than in the placebo group, indicating a possible advantage of acupuncture over other methods of pain therapy in terms of safety."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</si>
  <si>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</si>
  <si>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</si>
  <si>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</si>
  <si>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</si>
  <si>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</si>
  <si>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"Hypercarbia can increase intraocular pressure, which is a concern for patients with a history of closed-angle glaucoma."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</si>
  <si>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</si>
  <si>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</si>
  <si>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</si>
  <si>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</si>
  <si>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</si>
  <si>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</si>
  <si>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hypothermia is an additional intervention to decrease the risk of spinal cord ischemia in this patient. This is because hypothermia has been shown to reduce the metabolic demands of the spinal cord, thereby decreasing the risk of ischemia and injury."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</si>
  <si>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</si>
  <si>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</si>
  <si>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</si>
  <si>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</si>
  <si>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</si>
  <si>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the principal prejunctional receptors that inhibit sympathetic neurotransmitter release."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</si>
  <si>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</si>
  <si>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</si>
  <si>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</si>
  <si>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</si>
  <si>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</si>
  <si>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</si>
  <si>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"D. Plateau pressure &lt; 30 cm H2O is most likely beneficial in preventing ventilator-induced lung injury. This is because high plateau pressures can cause overdistension of alveoli, leading to further lung injury and decreased lung function."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</si>
  <si>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</si>
  <si>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</si>
  <si>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</si>
  <si>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</si>
  <si>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</si>
  <si>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</si>
  <si>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spontaneous breathing trial (SBT), the patient's vital signs are stable, with a respiratory rate of 36, oxygen saturation of 96%, and a heart rate of 98. These values suggest that the patient is tolerating the SBT and may be ready for extubation."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</si>
  <si>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</si>
  <si>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</si>
  <si>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</si>
  <si>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</si>
  <si>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</si>
  <si>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</si>
  <si>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"A",   "Explain": "Increased neonatal depression has been observed after nonurgent cesarean delivery when general anesthesia is used compared to regional anesthesia, as volatile anesthetics can negatively impact neonatal outcome."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</si>
  <si>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</si>
  <si>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</si>
  <si>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</si>
  <si>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</si>
  <si>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</si>
  <si>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</si>
  <si>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is relatively contraindicated for any length of time during intracranial surgery because it may decrease cerebral perfusion pressure, which can be harmful for patients with elevated intracranial pressure."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</si>
  <si>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</si>
  <si>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</si>
  <si>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</si>
  <si>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</si>
  <si>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</si>
  <si>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</si>
  <si>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"Given that the patient has a mild cough and runny nose with yellow discharge, but no fever, and is eating and drinking normally, it is not necessary to postpone surgery. However, the patient's age and the potential for postoperative apnea in premature infants suggest that it would be reasonable to postpone surgery for 2-4 weeks to ensure that the patient's respiratory status stabilizes." }</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</si>
  <si>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</si>
  <si>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</si>
  <si>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</si>
  <si>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</si>
  <si>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</si>
  <si>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have a less frequent incidence of gastrointestinal complications and exhibit minimal platelet inhibition, even when administered in supratherapeutic doses, making them a better option for patients who need analgesia without the side effects associated with COX-1 inhibition." }</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</si>
  <si>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</si>
  <si>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</si>
  <si>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</si>
  <si>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</si>
  <si>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</si>
  <si>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</si>
  <si>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an antihistamine, is occasionally used as a bedtime sedative, but it can cause CNS excitation a few hours after taking it, making it a suitable answer choice."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</si>
  <si>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</si>
  <si>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</si>
  <si>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</si>
  <si>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</si>
  <si>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</si>
  <si>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</si>
  <si>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"On a cardiac catheterization report, 'left dominant' refers to the fact that the posterior descending artery is supplied by the left circumflex artery, which is a normal anatomical variation." }</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</si>
  <si>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</si>
  <si>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</si>
  <si>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</si>
  <si>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</si>
  <si>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</si>
  <si>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generally not less severe in persons with underlying anxiety or depression, but rather the presence of anxiety or depression can worsen the condition and make it more challenging to manage."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</si>
  <si>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</si>
  <si>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</si>
  <si>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</si>
  <si>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</si>
  <si>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</si>
  <si>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</si>
  <si>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can reduce regional cerebral blood flow and metabolism, which is a characteristic of seizure activity." }</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</si>
  <si>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</si>
  <si>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</si>
  <si>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</si>
  <si>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</si>
  <si>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</si>
  <si>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</si>
  <si>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"E",   Explain: "An infant's tongue is not larger relative to the rest of the airway, but rather smaller in proportion to the size of the mouth compared to an adult, making it easier to intubate."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</si>
  <si>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</si>
  <si>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</si>
  <si>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</si>
  <si>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</si>
  <si>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</si>
  <si>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</si>
  <si>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"Lupus anticoagulant and anticardiolipin antibody are associated with both venous and arterial thrombotic events, which is relevant to the patient's history of antiphospholipid syndrome and recurrent pregnancy loss."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</si>
  <si>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</si>
  <si>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</si>
  <si>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</si>
  <si>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</si>
  <si>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</si>
  <si>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</si>
  <si>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not associated with arrhythmia."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</si>
  <si>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</si>
  <si>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</si>
  <si>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</si>
  <si>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</si>
  <si>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</si>
  <si>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</si>
  <si>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no change in placental perfusion." }</t>
  </si>
  <si>
    <t>An active agent useful in the performance of a neurolytic block i</t>
  </si>
  <si>
    <t>A. 40% potassium hydroxide</t>
  </si>
  <si>
    <t>B. 10% glycerin</t>
  </si>
  <si>
    <t>C. 50% alcohol</t>
  </si>
  <si>
    <t>D. 100% phenol</t>
  </si>
  <si>
    <t>{   Answer: "A",   Explain: "40% potassium hydroxide is an active agent useful in the performance of a neurolytic block, which is a type of regional anesthesia technique used to numb a specific area of the body." }</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</si>
  <si>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</si>
  <si>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</si>
  <si>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</si>
  <si>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</si>
  <si>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</si>
  <si>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</si>
  <si>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which is a major side effect of the medication."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</si>
  <si>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</si>
  <si>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</si>
  <si>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</si>
  <si>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</si>
  <si>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the anesthetic agent best avoided in this patient due to its potential to cause hyperkalemia, which is already a concern given the patient's preoperative potassium level of 5.3 mEq/L."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</si>
  <si>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</si>
  <si>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</si>
  <si>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</si>
  <si>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</si>
  <si>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</si>
  <si>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surgeon is concerned about the risk of a postoperative epidural hematoma, and asks that you use parenteral opioids for postoperative analgesia rather than place an epidural catheter. Morphine is the opioid that would be affected the most by this patient's renal dysfunction, as it is metabolized by the kidneys and its active metabolite, morphine-3-glucuronide, can accumulate in patients with renal failure, leading to prolonged sedation and respiratory depression."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</si>
  <si>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</si>
  <si>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</si>
  <si>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</si>
  <si>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</si>
  <si>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</si>
  <si>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facilitate immediate graft function in this patient. This is because the patient has been on dialysis and has a history of type I diabetes, making them prone to hypovolemia and electrolyte imbalances, which can lead to acute tubular necrosis. Volume expansion will help to correct these imbalances and ensure adequate perfusion of the transplanted kidney."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</si>
  <si>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</si>
  <si>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</si>
  <si>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</si>
  <si>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</si>
  <si>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</si>
  <si>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</si>
  <si>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"Pregnant women with corrected idiopathic scoliosis do not necessarily tolerate pregnancy, labor, and delivery well, as they may experience complications such as respiratory insufficiency, cardiac compromise, and increased risk of complications during anesthesia."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</si>
  <si>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</si>
  <si>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</si>
  <si>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</si>
  <si>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</si>
  <si>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</si>
  <si>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</si>
  <si>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"Increasing oxygen flow to the anesthesia circuit may not be effective in improving oxygen saturation as the patient's oxygen saturation is falling due to perfusion of the non-ventilated lung. Adding 10 cm H2O PEEP to the ventilated lung can help to improve oxygenation by increasing the amount of perfusion to the ventilated lung and reducing shunting."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</si>
  <si>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</si>
  <si>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</si>
  <si>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</si>
  <si>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</si>
  <si>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</si>
  <si>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</si>
  <si>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"Among the given options, labetalol has the best safety profile in pregnancy due to its ability to lower blood pressure without affecting uterine blood flow, making it a preferred choice for hypertensive patients."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</si>
  <si>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</si>
  <si>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</si>
  <si>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</si>
  <si>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</si>
  <si>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</si>
  <si>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</si>
  <si>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exacerbate any potential cervical spine injury and compromise the airway."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</si>
  <si>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</si>
  <si>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</si>
  <si>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</si>
  <si>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</si>
  <si>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</si>
  <si>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right-sided thoracic pain after a painful rash has resolved suggests a possible neuropathic pain condition, which responds poorly to analgesics used for somatic pain. Tricyclic antidepressants, such as amitriptyline, are a first-line therapy for neuropathic pain and can be used to treat conditions like painful diabetic neuropathy, phantom pain, and fibromyalgia."</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</si>
  <si>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</si>
  <si>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</si>
  <si>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</si>
  <si>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</si>
  <si>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</si>
  <si>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</si>
  <si>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"Lung isolation is not likely to be necessary for this procedure, as the child is already on oxygen therapy and is hemodynamically stable, and the procedure is a left-sided VATS procedure, which does not require lung isolation."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</si>
  <si>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</si>
  <si>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</si>
  <si>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</si>
  <si>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</si>
  <si>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</si>
  <si>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</si>
  <si>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majority of painful stimuli result from afferent nerve impulses from the lower uterine segment and cervix, which are transmitted to the dorsal root ganglia of T10 to L1 level. In the second stage of labor, afferents innervating the vagina, perineum, and pelvic floor travel primarily via the pudendal nerve to the dorsal root ganglia of the S2 to S4 levels."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</si>
  <si>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</si>
  <si>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</si>
  <si>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</si>
  <si>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</si>
  <si>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</si>
  <si>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</si>
  <si>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38 years old and has a congenital cardiac lesion, which is more likely to be an atrial septal defect (ASD) than a ventricular septal defect (VSD) or other options given the age of presentation."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</si>
  <si>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</si>
  <si>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</si>
  <si>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</si>
  <si>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</si>
  <si>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</si>
  <si>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</si>
  <si>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subsequent ST elevations in lead V, as well as a rise in pulmonary artery pressure, which is most likely caused by hypovolemia, as the patient's cardiac output and blood pressure decreased, leading to a reduction in perfusion pressure and a subsequent increase in pulmonary artery pressure."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</si>
  <si>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</si>
  <si>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</si>
  <si>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</si>
  <si>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</si>
  <si>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</si>
  <si>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</si>
  <si>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pulmonary artery pressure, indicating a potential increase in myocardial oxygen demand. Sodium nitroprusside is a vasodilator that can help reduce blood pressure and pulmonary artery pressure, making it the most appropriate agent to administer in this situation."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</si>
  <si>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</si>
  <si>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</si>
  <si>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</si>
  <si>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</si>
  <si>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</si>
  <si>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</si>
  <si>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"Inform the surgeon and request that he/she stop until the heart rate recovers, as the sudden and significant decrease in heart rate may be a sign of a serious underlying condition that requires immediate attention."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</si>
  <si>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</si>
  <si>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</si>
  <si>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</si>
  <si>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</si>
  <si>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</si>
  <si>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</si>
  <si>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a reflex that can cause bradycardia during strabismus repair surgery. The afferent limb of this reflex is the trigeminal nerve, which is stimulated by traction on the extraocular muscles. The efferent limb is the vagus nerve, which is responsible for the bradycardia response."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</si>
  <si>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</si>
  <si>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</si>
  <si>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</si>
  <si>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</si>
  <si>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</si>
  <si>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</si>
  <si>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not cross the placenta in appreciable amounts, but this statement is incorrect. Methimazole is known to cross the placenta and can cause fetal hypothyroidism and other complications."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</si>
  <si>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</si>
  <si>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</si>
  <si>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</si>
  <si>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</si>
  <si>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</si>
  <si>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</si>
  <si>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"Extrapyramidal effects are least likely to occur with zaleplon compared to triazolam, as zaleplon is a non-benzodiazepine receptor agonist and does not have the same mechanism of action as triazolam, which is a benzodiazepine receptor agonist."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</si>
  <si>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</si>
  <si>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</si>
  <si>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</si>
  <si>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</si>
  <si>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</si>
  <si>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</si>
  <si>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"Avoidance of sedation is necessary to maintain an unequivocal neurological exam in patients with closed head trauma and elevated intracranial pressure, as it can mask signs of worsening neurological function and make it difficult to diagnose and treat life-threatening complications." }</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</si>
  <si>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</si>
  <si>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</si>
  <si>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</si>
  <si>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</si>
  <si>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</si>
  <si>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</si>
  <si>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patient's condition suggests that they were likely born prematurely and had in utero stress and fetal hypoxia, which led to meconium aspiration." }</t>
  </si>
  <si>
    <t>α1-antitrypsin deficiency is</t>
  </si>
  <si>
    <t>A. a nonvascular lung disease</t>
  </si>
  <si>
    <t>B. determined by a serum assay</t>
  </si>
  <si>
    <t>C. nonfamilial</t>
  </si>
  <si>
    <t>D. due to a lack of an enzyme produced by the lung</t>
  </si>
  <si>
    <t>E. the most common cause of COPD</t>
  </si>
  <si>
    <t>{   "Answer": "E",   Explain: "α1-antitrypsin deficiency is not the most common cause of COPD, but rather a genetic disorder that can cause COPD in some cases."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</si>
  <si>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</si>
  <si>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</si>
  <si>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</si>
  <si>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</si>
  <si>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</si>
  <si>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</si>
  <si>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"There is no mention in the given context that longer-than-normal spinal needles are more frequently required for neuraxial anesthesia than longer-than-normal epidural needles."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</si>
  <si>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</si>
  <si>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</si>
  <si>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</si>
  <si>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</si>
  <si>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</si>
  <si>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</si>
  <si>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 has a normal oxygen saturation reading despite being comatose, which suggests that the patient may have carbon monoxide poisoning. Carbon monoxide has a binding affinity for hemoglobin that is about 200 times greater than that of oxygen, which can lead to a functional anemia and a normal oxygen saturation reading despite a lack of oxygen delivery to the tissues."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</si>
  <si>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</si>
  <si>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</si>
  <si>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</si>
  <si>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</si>
  <si>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</si>
  <si>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</si>
  <si>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"A",   "Explain": "During hyperbaric oxygen therapy, cardiac output and pulmonary vascular resistance are decreased, which may lead to bradycardia."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</si>
  <si>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</si>
  <si>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</si>
  <si>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</si>
  <si>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</si>
  <si>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</si>
  <si>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immediately is not recommended as the first step in resuscitating a newborn with an Apgar score of 4 at one minute. Instead, the initial steps should include clearing the airway with a bulb syringe, followed by bag-mask ventilation at 60 breaths per minute, and stimulation of the neonate." }</t>
  </si>
  <si>
    <t>Which one of the following medications is MOST selective for inhibiting COX-2?</t>
  </si>
  <si>
    <t>A. Celecoxib</t>
  </si>
  <si>
    <t>B. Ibuprofen</t>
  </si>
  <si>
    <t>C. Indomethacin</t>
  </si>
  <si>
    <t>D. Ketorolac</t>
  </si>
  <si>
    <t>E. Acetaminophen</t>
  </si>
  <si>
    <t>{   "Answer": "A",   Explain: "Celecoxib is a selective COX-2 inhibitor, meaning it specifically targets and blocks the production of prostaglandins by COX-2 enzymes, while sparing COX-1 enzymes, which are responsible for maintaining platelet function and protecting the stomach lining."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</si>
  <si>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</si>
  <si>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</si>
  <si>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</si>
  <si>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</si>
  <si>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</si>
  <si>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</si>
  <si>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"When properly positioned, a left-sided double-lumen tube will have its lumens ending in the left bronchus and the trachea, allowing for separate ventilation of the left upper and lower lobes."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</si>
  <si>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</si>
  <si>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</si>
  <si>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</si>
  <si>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</si>
  <si>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</si>
  <si>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</si>
  <si>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 therapy is gastric side effects, including bleeding, ulcers, and perforation, due to inhibition of COX-1, which is required for the synthesis of cytoprotective gastric mucosal prostaglandins."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</si>
  <si>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</si>
  <si>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</si>
  <si>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</si>
  <si>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</si>
  <si>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</si>
  <si>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</si>
  <si>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"C",   Explain: "Within 4 days after injury, carbon monoxide levels in the blood can be monitored using pulse oximetry, which is a non-invasive method to detect the presence of carbon monoxide poisoning." }</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</si>
  <si>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</si>
  <si>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</si>
  <si>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</si>
  <si>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</si>
  <si>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</si>
  <si>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</si>
  <si>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"Getting a daily dose of disulfiram would be least effective in helping the anesthesiologist maintain sobriety because it is a medication that can cause unpleasant reactions when combined with alcohol, which may not be effective in preventing relapse and may even encourage the anesthesiologist to continue drinking to avoid these reactions."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</si>
  <si>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</si>
  <si>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</si>
  <si>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</si>
  <si>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</si>
  <si>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</si>
  <si>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is useful for postoperative pain management, particularly for patients with intractable back pain."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</si>
  <si>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</si>
  <si>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</si>
  <si>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</si>
  <si>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</si>
  <si>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</si>
  <si>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</si>
  <si>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increase chloride conductance through the GABA-activated chloride ion channel, resulting in neuronal hyperpolarization and accounting for their classification as 'inhibitory' substances."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</si>
  <si>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</si>
  <si>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</si>
  <si>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</si>
  <si>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</si>
  <si>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</si>
  <si>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"You suspect L5 nerve root involvement and the patient cannot dorsiflex his big toe and has a loss of the Achilles reflex."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</si>
  <si>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</si>
  <si>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</si>
  <si>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</si>
  <si>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</si>
  <si>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</si>
  <si>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"C",   Explain: "Fetal hemoglobin has a greater P50 value than adult hemoglobin, which means it requires a lower partial pressure of oxygen to be 50% saturated, allowing for more efficient transfer of oxygen from mother to fetus."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</si>
  <si>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</si>
  <si>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</si>
  <si>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</si>
  <si>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</si>
  <si>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</si>
  <si>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</si>
  <si>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"Induction of anesthesia with sevoflurane is inadvisable because of the relatively slow uptake of inhalational agents in infants."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</si>
  <si>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</si>
  <si>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</si>
  <si>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</si>
  <si>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</si>
  <si>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</si>
  <si>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</si>
  <si>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"A",   Explain: "The patient has a history of asymmetrical cardiac septal hypertrophy (HOCM) and is undergoing a liver resection, which may lead to sudden large volume blood loss and hypotension. The patient is started on phenylephrine and epinephrine, but still experiences worsening hemodynamic instability and cyanosis. An emergent TEE is performed and is likely to reveal a dilated right atrium and ventricle, and collapsed left atrium and ventricle, indicating cardiac tamponade due to the increased pressure and volume overload."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</si>
  <si>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</si>
  <si>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</si>
  <si>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</si>
  <si>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</si>
  <si>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</si>
  <si>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</si>
  <si>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"A",   Explain: "The patient is experiencing worsening hemodynamic instability and cyanosis, which suggests that the epinephrine infusion is causing increased myocardial oxygen demand and decreased perfusion. Addition of milrinone, a phosphodiesterase inhibitor, may help to reduce cardiac workload and improve cardiac output by increasing contractility and reducing afterload." }</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</si>
  <si>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</si>
  <si>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</si>
  <si>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</si>
  <si>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</si>
  <si>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</si>
  <si>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</si>
  <si>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worsen with lying down, which suggests vascular compression, and a widened mediastinum on chest x-ray is consistent with anterior mediastinal mass, making epiglottitis the most likely diagnosis." }</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</si>
  <si>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</si>
  <si>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</si>
  <si>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</si>
  <si>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</si>
  <si>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</si>
  <si>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the most appropriate choice in this situation because it is a sedative agent that can be used for postoperative sedation and has a ceiling effect, meaning it does not cause respiratory depression, which is a concern given the patient's recent fall and potential airway edema." }</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</si>
  <si>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</si>
  <si>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</si>
  <si>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</si>
  <si>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</si>
  <si>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</si>
  <si>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has been shown to reduce the incidence of ventilator-associated pneumonia by reducing the amount of bacteria on the oropharyngeal mucosa and in the respiratory tract." }</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</si>
  <si>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</si>
  <si>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</si>
  <si>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</si>
  <si>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</si>
  <si>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</si>
  <si>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</si>
  <si>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typically causes longer warm ischemic time than donation after brain death because the patient's circulation is not restored immediately after cardiac arrest, allowing for a longer period of warm ischemia before organ retrieval." }</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</si>
  <si>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</si>
  <si>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</si>
  <si>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</si>
  <si>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</si>
  <si>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</si>
  <si>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fallen to 30 and blood pressure to 65/38, indicating a bradycardic response. Atropine is a medication that can help increase heart rate and is often used in this situation. It is the most appropriate first intervention in this case."</t>
  </si>
  <si>
    <r>
      <rPr>
        <rFont val="Arial"/>
        <color theme="1"/>
      </rPr>
      <t>embed_model="</t>
    </r>
    <r>
      <rPr>
        <rFont val="Arial"/>
        <b/>
        <color rgb="FF4A86E8"/>
      </rPr>
      <t>neuml/pubmedbert-base-embeddings</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</si>
  <si>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</si>
  <si>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"Rocuronium and acetylcholine compete for binding sites at the myoneural junction, as described in the context, where a single molecule of antagonist (relaxant) is adequate to prevent depolarization of that receptor, modifying the competition by strongly biasing it in favor of the antagonist." }</t>
  </si>
  <si>
    <t>{   "Answer": "A",   "Explain": "Exenatide is a glucagon-like peptide-1 receptor agonist, a medication used to treat type 2 diabetes mellitus, not type 1 diabetes. It is not a member of the biguanide class of oral hypoglycemic agents like metformin, nor is it a thiazolidinedione like rosiglitazone, nor is it used for prevention of heart disease in type 2 diabetics." }</t>
  </si>
  <si>
    <t>{   "Answer": "A",   "Explain": "The most important site of drug transformation is usually the liver, as it is responsible for metabolizing most drugs and is the primary site of biotransformation." }</t>
  </si>
  <si>
    <t>{   "Answer": "C",   "Explain": "Esmolol is hydrolyzed by blood-borne esterases, resulting in a half-life for the drug of only 9 to 10 minutes." }</t>
  </si>
  <si>
    <t>{   "Answer": "D",   "Explain": "Hypotension is not an exception to the list of complications associated with anorexia nervosa in a 21-year-old woman. The other options, osteoporosis, increased risk of intraoperative dysrhythmias, delayed gastric emptying, and resting tachycardia, are all potential complications that can occur in patients with a history of anorexia nervosa."</t>
  </si>
  <si>
    <t>{   "Answer": "A",   Explain: "The patient's prolonged QT interval (QTc 500msec) puts her at increased risk for perioperative cardiac arrhythmias, which can lead to serious complications. As a result, option A is the correct answer." }</t>
  </si>
  <si>
    <t>{   "Answer": "B",   "Explain": "The peripheral chemoreceptors are poorly perfused and therefore respond slowly to changes in the oxygen content of the blood." }</t>
  </si>
  <si>
    <t>{   "Answer": "E",   "Explain": "To find the answer, we need to calculate the time it takes for the desflurane concentration in the circuit to reach 8.5%. The fresh gas flow is 1 L/min, and the combined volume of the circle system and anesthesia circuit is 5 L. The formula to calculate the time is: time = (volume of the system x (100% - 8.5%)) / (fresh gas flow x 0.5). Plugging in the values, we get: time = (5 L x 91.5%) / (1 L/min x 0.5) = 17 minutes." }</t>
  </si>
  <si>
    <t>{   "Answer": "A",   "Explain": "The systolic blood pressure is highest in the ascending aorta because the aortic root remains stationary, and one arm is necessarily higher than the other, making the measured pressure completely unaffected by the position of the arms or location of the arterial catheter." }</t>
  </si>
  <si>
    <t>{   "Answer": "D",   "Explain": "Shivering is not a symptom of hyperthyroidism, as it is typically associated with hypothyroidism, which is characterized by decreased thyroid hormone levels." }</t>
  </si>
  <si>
    <t>{   Answer: "E",   Explain: "When calcium chloride is administered to a patient receiving citrated plasma transfusions, it enters the cardiac cell, causing excitation, which helps to counteract the effects of citrate-induced hypocalcemia." }</t>
  </si>
  <si>
    <t>{   Answer: "A",   Explain: "When desflurane is passed through very dry carbon dioxide absorbent, it can produce a toxic concentration of ozone." }</t>
  </si>
  <si>
    <t>{   "Answer": "A",   "Explain": "FRC is markedly reduced in the supine position because of the gravitational pull of the diaphragm cephalad, which decreases functional residual capacity." }</t>
  </si>
  <si>
    <t>{   "Answer": "A",   "Explain": "Coughing can increase cerebrospinal fluid pressure by transmitting sudden increases in intra-thoracic pressure to both arteries and veins, producing transient increases in both cerebral arterial and venous pressure, which can lead to edema formation, bleeding, and elevation of ICP." }</t>
  </si>
  <si>
    <t>{   "Answer": "E",   "Explain": "Propofol does not decrease the latency of somatosensory evoked potentials, but rather has a sedative effect that can lead to a decrease in cerebral metabolic rate and cerebral blood flow, making it a better choice for patients with elevated intracranial pressure." }</t>
  </si>
  <si>
    <t>{   "Answer": "A",   "Explain": "Atrial septal defect (ASD) is not a characteristic feature of tetralogy of Fallot, which is a cyanotic congenital heart defect that includes ventricular septal defect (VSD), pulmonary outflow obstruction, right ventricular hypertrophy, and an overriding aorta." }</t>
  </si>
  <si>
    <t>{   "Answer": "A",   "Explain": "Ketamine is most likely to increase cerebral blood flow because it is a cerebral vasodilator and can increase cerebral metabolic rate, leading to increased cerebral blood flow." }</t>
  </si>
  <si>
    <t>{   "Answer": "B",   "Explain": "Ropivacaine is less likely than bupivacaine to cause ventricular arrhythmias after accidental intravenous injection due to its reduced cardiotoxicity profile." }</t>
  </si>
  <si>
    <t>{   "Answer": "D",   "Explain": "Milrinone is a selective phosphodiesterase III inhibitor that increases cyclic adenosine monophosphate by inhibiting breakdown, which leads to both inotropic and vasodilator effects without acting on α and β receptors." }</t>
  </si>
  <si>
    <t>{   "Answer": "C",   "Explain": "Central pain is a common sequela following neurosurgical procedures, which is one of the options listed." }</t>
  </si>
  <si>
    <t>{   "Answer": "B",   "Explain": "Early postoperative pain is not a significant predictor of long-term pain, which means that the severity of pain in the immediate postoperative period does not necessarily determine the development of chronic pain." }</t>
  </si>
  <si>
    <t>{   "Answer": "B",   "Explain": "The patient had a sandwich 2 hours before his accident, so it is recommended to pass a nasogastric tube to remove gastric contents before induction to reduce the risk of aspiration." }</t>
  </si>
  <si>
    <t>{   "Answer": "D",   "Explain": "Given the patient's worsening oxygenation, hemoglobin of 7.8 g/dL, and INR of 1.6, transfusion of one unit of fresh frozen plasma is the most appropriate intervention to address her coagulopathy and potential bleeding complications." }</t>
  </si>
  <si>
    <t>{   "Answer": "B",   "Explain": "Daily spontaneous breathing trials have been shown to reduce the number of days that a patient requires mechanical ventilation by allowing for early identification of patients who can breathe spontaneously and can be extubated, thereby reducing the need for continued mechanical ventilation." }</t>
  </si>
  <si>
    <t>{   "Answer": "E",   "Explain": "The patient has developed a new pulmonary infiltrate, fever, tachycardia, and hypoxia, which suggests a potential infection. Given the patient's recent splenectomy and trauma, it is essential to start antibiotics to cover potential pathogens and prevent sepsis." }</t>
  </si>
  <si>
    <t>{   "Answer": "B",   Explain: "A paracervical block is not appropriate for a low outlet forceps delivery because it does not provide adequate anesthesia for the perineal area, which is necessary for the procedure." }</t>
  </si>
  <si>
    <t>{   "Answer": "C",   "Explain": "α-adrenoceptors cause vasoconstriction, which means they cause blood vessels to narrow and constrict, leading to an increase in blood pressure." }</t>
  </si>
  <si>
    <r>
      <rPr>
        <rFont val="Arial"/>
        <color theme="1"/>
      </rPr>
      <t>embed_model="</t>
    </r>
    <r>
      <rPr>
        <rFont val="Arial"/>
        <b/>
        <color rgb="FF4A86E8"/>
      </rPr>
      <t>neuml/pubmedbert-base-embeddings</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</si>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</sst>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188</v>
      </c>
      <c r="C5" s="18">
        <f t="shared" si="1"/>
        <v>188</v>
      </c>
      <c r="D5" s="18">
        <f t="shared" si="1"/>
        <v>188</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0.5371428571</v>
      </c>
      <c r="C7" s="20">
        <f t="shared" si="2"/>
        <v>0.5371428571</v>
      </c>
      <c r="D7" s="20">
        <f t="shared" si="2"/>
        <v>0.5371428571</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11</v>
      </c>
      <c r="C12" s="25" t="s">
        <v>11</v>
      </c>
      <c r="D12" s="25" t="s">
        <v>11</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11</v>
      </c>
      <c r="C21" s="25" t="s">
        <v>11</v>
      </c>
      <c r="D21" s="25" t="s">
        <v>11</v>
      </c>
      <c r="E21" s="31"/>
      <c r="F21" s="28"/>
      <c r="G21" s="31"/>
      <c r="H21" s="32"/>
      <c r="I21" s="31"/>
      <c r="J21" s="31"/>
    </row>
    <row r="22">
      <c r="A22" s="23">
        <v>15.0</v>
      </c>
      <c r="B22" s="30" t="s">
        <v>11</v>
      </c>
      <c r="C22" s="25" t="s">
        <v>11</v>
      </c>
      <c r="D22" s="25" t="s">
        <v>11</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11</v>
      </c>
      <c r="C30" s="25" t="s">
        <v>11</v>
      </c>
      <c r="D30" s="25" t="s">
        <v>11</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12</v>
      </c>
      <c r="C38" s="25" t="s">
        <v>12</v>
      </c>
      <c r="D38" s="25" t="s">
        <v>12</v>
      </c>
      <c r="E38" s="31"/>
      <c r="F38" s="28"/>
      <c r="G38" s="31"/>
      <c r="H38" s="32"/>
      <c r="I38" s="31"/>
      <c r="J38" s="31"/>
    </row>
    <row r="39">
      <c r="A39" s="23">
        <v>32.0</v>
      </c>
      <c r="B39" s="30" t="s">
        <v>11</v>
      </c>
      <c r="C39" s="25" t="s">
        <v>11</v>
      </c>
      <c r="D39" s="25" t="s">
        <v>11</v>
      </c>
      <c r="E39" s="31"/>
      <c r="F39" s="28"/>
      <c r="G39" s="31"/>
      <c r="H39" s="32"/>
      <c r="I39" s="31"/>
      <c r="J39" s="31"/>
    </row>
    <row r="40">
      <c r="A40" s="23">
        <v>33.0</v>
      </c>
      <c r="B40" s="30" t="s">
        <v>12</v>
      </c>
      <c r="C40" s="25" t="s">
        <v>12</v>
      </c>
      <c r="D40" s="25" t="s">
        <v>12</v>
      </c>
      <c r="E40" s="31"/>
      <c r="F40" s="28"/>
      <c r="G40" s="31"/>
      <c r="H40" s="32"/>
      <c r="I40" s="31"/>
      <c r="J40" s="31"/>
    </row>
    <row r="41">
      <c r="A41" s="23">
        <v>34.0</v>
      </c>
      <c r="B41" s="30" t="s">
        <v>11</v>
      </c>
      <c r="C41" s="25" t="s">
        <v>11</v>
      </c>
      <c r="D41" s="25" t="s">
        <v>11</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11</v>
      </c>
      <c r="C53" s="25" t="s">
        <v>11</v>
      </c>
      <c r="D53" s="25" t="s">
        <v>11</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12</v>
      </c>
      <c r="C60" s="25" t="s">
        <v>12</v>
      </c>
      <c r="D60" s="25" t="s">
        <v>12</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12</v>
      </c>
      <c r="C65" s="25" t="s">
        <v>12</v>
      </c>
      <c r="D65" s="25" t="s">
        <v>12</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12</v>
      </c>
      <c r="C100" s="25" t="s">
        <v>12</v>
      </c>
      <c r="D100" s="25" t="s">
        <v>12</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12</v>
      </c>
      <c r="C117" s="25" t="s">
        <v>12</v>
      </c>
      <c r="D117" s="25" t="s">
        <v>12</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11</v>
      </c>
      <c r="C128" s="25" t="s">
        <v>11</v>
      </c>
      <c r="D128" s="25" t="s">
        <v>11</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11</v>
      </c>
      <c r="C139" s="25" t="s">
        <v>11</v>
      </c>
      <c r="D139" s="25" t="s">
        <v>11</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12</v>
      </c>
      <c r="C145" s="25" t="s">
        <v>12</v>
      </c>
      <c r="D145" s="25" t="s">
        <v>12</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12</v>
      </c>
      <c r="C151" s="25" t="s">
        <v>12</v>
      </c>
      <c r="D151" s="25" t="s">
        <v>12</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11</v>
      </c>
      <c r="C188" s="25" t="s">
        <v>11</v>
      </c>
      <c r="D188" s="25" t="s">
        <v>11</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11</v>
      </c>
      <c r="C190" s="25" t="s">
        <v>11</v>
      </c>
      <c r="D190" s="25" t="s">
        <v>11</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11</v>
      </c>
      <c r="C197" s="25" t="s">
        <v>11</v>
      </c>
      <c r="D197" s="25" t="s">
        <v>11</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11</v>
      </c>
      <c r="C202" s="25" t="s">
        <v>11</v>
      </c>
      <c r="D202" s="25" t="s">
        <v>11</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12</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12</v>
      </c>
      <c r="C208" s="25" t="s">
        <v>12</v>
      </c>
      <c r="D208" s="25" t="s">
        <v>12</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11</v>
      </c>
      <c r="C212" s="25" t="s">
        <v>11</v>
      </c>
      <c r="D212" s="25" t="s">
        <v>11</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12</v>
      </c>
      <c r="C215" s="25" t="s">
        <v>12</v>
      </c>
      <c r="D215" s="25" t="s">
        <v>12</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12</v>
      </c>
      <c r="C220" s="25" t="s">
        <v>12</v>
      </c>
      <c r="D220" s="25" t="s">
        <v>12</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11</v>
      </c>
      <c r="C225" s="25" t="s">
        <v>11</v>
      </c>
      <c r="D225" s="25" t="s">
        <v>11</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12</v>
      </c>
      <c r="C233" s="25" t="s">
        <v>12</v>
      </c>
      <c r="D233" s="25" t="s">
        <v>12</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12</v>
      </c>
      <c r="C235" s="25" t="s">
        <v>12</v>
      </c>
      <c r="D235" s="25" t="s">
        <v>12</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11</v>
      </c>
      <c r="C237" s="25" t="s">
        <v>11</v>
      </c>
      <c r="D237" s="25" t="s">
        <v>11</v>
      </c>
      <c r="E237" s="32"/>
      <c r="F237" s="28"/>
      <c r="G237" s="31"/>
      <c r="H237" s="32"/>
      <c r="I237" s="31"/>
      <c r="J237" s="31"/>
    </row>
    <row r="238">
      <c r="A238" s="23">
        <v>231.0</v>
      </c>
      <c r="B238" s="30" t="s">
        <v>11</v>
      </c>
      <c r="C238" s="25" t="s">
        <v>11</v>
      </c>
      <c r="D238" s="25" t="s">
        <v>11</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12</v>
      </c>
      <c r="C243" s="25" t="s">
        <v>12</v>
      </c>
      <c r="D243" s="25" t="s">
        <v>12</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11</v>
      </c>
      <c r="C252" s="25" t="s">
        <v>11</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11</v>
      </c>
      <c r="C275" s="25" t="s">
        <v>11</v>
      </c>
      <c r="D275" s="25" t="s">
        <v>11</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12</v>
      </c>
      <c r="C289" s="25" t="s">
        <v>12</v>
      </c>
      <c r="D289" s="25" t="s">
        <v>12</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12</v>
      </c>
      <c r="C291" s="25" t="s">
        <v>12</v>
      </c>
      <c r="D291" s="25" t="s">
        <v>12</v>
      </c>
      <c r="E291" s="32"/>
      <c r="F291" s="28"/>
      <c r="G291" s="31"/>
      <c r="H291" s="32"/>
      <c r="I291" s="31"/>
      <c r="J291" s="31"/>
    </row>
    <row r="292">
      <c r="A292" s="23">
        <v>285.0</v>
      </c>
      <c r="B292" s="30" t="s">
        <v>12</v>
      </c>
      <c r="C292" s="25" t="s">
        <v>12</v>
      </c>
      <c r="D292" s="25" t="s">
        <v>12</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11</v>
      </c>
      <c r="C297" s="25" t="s">
        <v>11</v>
      </c>
      <c r="D297" s="25" t="s">
        <v>11</v>
      </c>
      <c r="E297" s="32"/>
      <c r="F297" s="28"/>
      <c r="G297" s="31"/>
      <c r="H297" s="32"/>
      <c r="I297" s="31"/>
      <c r="J297" s="31"/>
    </row>
    <row r="298">
      <c r="A298" s="23">
        <v>291.0</v>
      </c>
      <c r="B298" s="30" t="s">
        <v>11</v>
      </c>
      <c r="C298" s="25" t="s">
        <v>11</v>
      </c>
      <c r="D298" s="25" t="s">
        <v>11</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12</v>
      </c>
      <c r="C311" s="25" t="s">
        <v>12</v>
      </c>
      <c r="D311" s="25" t="s">
        <v>12</v>
      </c>
      <c r="E311" s="32"/>
      <c r="F311" s="28"/>
      <c r="G311" s="31"/>
      <c r="H311" s="32"/>
      <c r="I311" s="31"/>
      <c r="J311" s="31"/>
    </row>
    <row r="312">
      <c r="A312" s="23">
        <v>305.0</v>
      </c>
      <c r="B312" s="30" t="s">
        <v>11</v>
      </c>
      <c r="C312" s="25" t="s">
        <v>11</v>
      </c>
      <c r="D312" s="25" t="s">
        <v>11</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12</v>
      </c>
      <c r="C320" s="25" t="s">
        <v>12</v>
      </c>
      <c r="D320" s="25" t="s">
        <v>12</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11</v>
      </c>
      <c r="C338" s="25" t="s">
        <v>11</v>
      </c>
      <c r="D338" s="25" t="s">
        <v>11</v>
      </c>
      <c r="E338" s="32"/>
      <c r="F338" s="28"/>
      <c r="G338" s="31"/>
      <c r="H338" s="32"/>
      <c r="I338" s="31"/>
      <c r="J338" s="31"/>
    </row>
    <row r="339">
      <c r="A339" s="23">
        <v>332.0</v>
      </c>
      <c r="B339" s="30" t="s">
        <v>12</v>
      </c>
      <c r="C339" s="25" t="s">
        <v>12</v>
      </c>
      <c r="D339" s="25" t="s">
        <v>12</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12</v>
      </c>
      <c r="C342" s="25" t="s">
        <v>12</v>
      </c>
      <c r="D342" s="25" t="s">
        <v>12</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11</v>
      </c>
      <c r="C346" s="25" t="s">
        <v>11</v>
      </c>
      <c r="D346" s="25" t="s">
        <v>11</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12</v>
      </c>
      <c r="C349" s="25" t="s">
        <v>12</v>
      </c>
      <c r="D349" s="25" t="s">
        <v>12</v>
      </c>
      <c r="E349" s="32"/>
      <c r="F349" s="28"/>
      <c r="G349" s="31"/>
      <c r="H349" s="32"/>
      <c r="I349" s="31"/>
      <c r="J349" s="31"/>
    </row>
    <row r="350">
      <c r="A350" s="23">
        <v>343.0</v>
      </c>
      <c r="B350" s="30" t="s">
        <v>11</v>
      </c>
      <c r="C350" s="25" t="s">
        <v>11</v>
      </c>
      <c r="D350" s="25" t="s">
        <v>11</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188</v>
      </c>
      <c r="I4" s="48"/>
      <c r="L4" s="49">
        <f>AVERAGE(L7:L52)</f>
        <v>25236.93478</v>
      </c>
    </row>
    <row r="5">
      <c r="A5" s="50" t="s">
        <v>30</v>
      </c>
      <c r="B5" s="2"/>
      <c r="C5" s="2"/>
      <c r="D5" s="2"/>
      <c r="E5" s="12"/>
      <c r="F5" s="51"/>
      <c r="G5" s="51"/>
      <c r="H5" s="46">
        <v>350.0</v>
      </c>
      <c r="L5" s="52"/>
    </row>
    <row r="6">
      <c r="A6" s="45" t="s">
        <v>31</v>
      </c>
      <c r="B6" s="2"/>
      <c r="C6" s="2"/>
      <c r="D6" s="2"/>
      <c r="E6" s="12"/>
      <c r="F6" s="46"/>
      <c r="G6" s="46"/>
      <c r="H6" s="53">
        <f>H4/H5</f>
        <v>0.5371428571</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38753.0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23652.0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42477.0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25845.0</v>
      </c>
    </row>
    <row r="11" ht="60.0" customHeight="1">
      <c r="A11" s="55">
        <v>5.0</v>
      </c>
      <c r="B11" s="56" t="s">
        <v>64</v>
      </c>
      <c r="C11" s="56" t="s">
        <v>65</v>
      </c>
      <c r="D11" s="56" t="s">
        <v>66</v>
      </c>
      <c r="E11" s="56" t="s">
        <v>67</v>
      </c>
      <c r="F11" s="56" t="s">
        <v>68</v>
      </c>
      <c r="G11" s="56" t="s">
        <v>69</v>
      </c>
      <c r="H11" s="55" t="str">
        <f t="shared" si="1"/>
        <v>CORRECT</v>
      </c>
      <c r="I11" s="55" t="s">
        <v>70</v>
      </c>
      <c r="J11" s="57" t="s">
        <v>70</v>
      </c>
      <c r="K11" s="58" t="s">
        <v>71</v>
      </c>
      <c r="L11" s="59">
        <v>18778.0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17792.0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16610.0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17855.0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25458.0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26895.0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38449.0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22560.0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23701.0</v>
      </c>
    </row>
    <row r="20" ht="60.0" customHeight="1">
      <c r="A20" s="55">
        <v>14.0</v>
      </c>
      <c r="B20" s="56" t="s">
        <v>128</v>
      </c>
      <c r="C20" s="56" t="s">
        <v>129</v>
      </c>
      <c r="D20" s="56" t="s">
        <v>130</v>
      </c>
      <c r="E20" s="56" t="s">
        <v>131</v>
      </c>
      <c r="F20" s="56" t="s">
        <v>132</v>
      </c>
      <c r="G20" s="56" t="s">
        <v>133</v>
      </c>
      <c r="H20" s="55" t="str">
        <f t="shared" si="1"/>
        <v>CORRECT</v>
      </c>
      <c r="I20" s="55" t="s">
        <v>46</v>
      </c>
      <c r="J20" s="57" t="s">
        <v>46</v>
      </c>
      <c r="K20" s="58" t="s">
        <v>134</v>
      </c>
      <c r="L20" s="59">
        <v>20262.0</v>
      </c>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v>19382.0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18859.0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15324.0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21834.0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23161.0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26671.0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24010.0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59086.0</v>
      </c>
    </row>
    <row r="29" ht="60.0" customHeight="1">
      <c r="A29" s="55">
        <v>23.0</v>
      </c>
      <c r="B29" s="56" t="s">
        <v>191</v>
      </c>
      <c r="C29" s="56" t="s">
        <v>192</v>
      </c>
      <c r="D29" s="56" t="s">
        <v>193</v>
      </c>
      <c r="E29" s="56" t="s">
        <v>194</v>
      </c>
      <c r="F29" s="56" t="s">
        <v>195</v>
      </c>
      <c r="G29" s="56" t="s">
        <v>196</v>
      </c>
      <c r="H29" s="55" t="str">
        <f t="shared" si="1"/>
        <v>CORRECT</v>
      </c>
      <c r="I29" s="55" t="s">
        <v>46</v>
      </c>
      <c r="J29" s="57" t="s">
        <v>46</v>
      </c>
      <c r="K29" s="58" t="s">
        <v>197</v>
      </c>
      <c r="L29" s="59">
        <v>19015.0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17731.0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18691.0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32331.0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27257.0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24079.0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21634.0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26750.0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26321.0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21145.0</v>
      </c>
    </row>
    <row r="39" ht="60.0" customHeight="1">
      <c r="A39" s="55">
        <v>33.0</v>
      </c>
      <c r="B39" s="56" t="s">
        <v>261</v>
      </c>
      <c r="C39" s="56" t="s">
        <v>262</v>
      </c>
      <c r="D39" s="56" t="s">
        <v>263</v>
      </c>
      <c r="E39" s="56" t="s">
        <v>264</v>
      </c>
      <c r="F39" s="56" t="s">
        <v>265</v>
      </c>
      <c r="G39" s="56" t="s">
        <v>266</v>
      </c>
      <c r="H39" s="55" t="str">
        <f t="shared" si="1"/>
        <v>WRONG</v>
      </c>
      <c r="I39" s="55" t="s">
        <v>70</v>
      </c>
      <c r="J39" s="57" t="s">
        <v>46</v>
      </c>
      <c r="K39" s="58" t="s">
        <v>267</v>
      </c>
      <c r="L39" s="59">
        <v>30905.0</v>
      </c>
    </row>
    <row r="40" ht="60.0" customHeight="1">
      <c r="A40" s="55">
        <v>34.0</v>
      </c>
      <c r="B40" s="56" t="s">
        <v>268</v>
      </c>
      <c r="C40" s="56" t="s">
        <v>269</v>
      </c>
      <c r="D40" s="56" t="s">
        <v>270</v>
      </c>
      <c r="E40" s="56" t="s">
        <v>271</v>
      </c>
      <c r="F40" s="56" t="s">
        <v>272</v>
      </c>
      <c r="G40" s="56" t="s">
        <v>273</v>
      </c>
      <c r="H40" s="55" t="str">
        <f t="shared" si="1"/>
        <v>CORRECT</v>
      </c>
      <c r="I40" s="55" t="s">
        <v>47</v>
      </c>
      <c r="J40" s="57" t="s">
        <v>47</v>
      </c>
      <c r="K40" s="58" t="s">
        <v>274</v>
      </c>
      <c r="L40" s="59">
        <v>18777.0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23718.0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28787.0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15642.0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15681.0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23120.0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18783.0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60718.0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15657.0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37787.0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27542.0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18397.0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v>23017.0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34359.0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22937.0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19803.0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18193.0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393</v>
      </c>
      <c r="L57" s="59">
        <v>33116.0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18547.0</v>
      </c>
    </row>
    <row r="59" ht="60.0" customHeight="1">
      <c r="A59" s="55">
        <v>53.0</v>
      </c>
      <c r="B59" s="56" t="s">
        <v>401</v>
      </c>
      <c r="C59" s="56" t="s">
        <v>402</v>
      </c>
      <c r="D59" s="56" t="s">
        <v>403</v>
      </c>
      <c r="E59" s="56" t="s">
        <v>404</v>
      </c>
      <c r="F59" s="56" t="s">
        <v>405</v>
      </c>
      <c r="G59" s="56" t="s">
        <v>406</v>
      </c>
      <c r="H59" s="55" t="str">
        <f t="shared" si="1"/>
        <v>WRONG</v>
      </c>
      <c r="I59" s="55" t="s">
        <v>70</v>
      </c>
      <c r="J59" s="57" t="s">
        <v>55</v>
      </c>
      <c r="K59" s="58" t="s">
        <v>407</v>
      </c>
      <c r="L59" s="59">
        <v>21015.0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18514.0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18148.0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20176.0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28934.0</v>
      </c>
    </row>
    <row r="64" ht="60.0" customHeight="1">
      <c r="A64" s="55">
        <v>58.0</v>
      </c>
      <c r="B64" s="56" t="s">
        <v>436</v>
      </c>
      <c r="C64" s="56" t="s">
        <v>437</v>
      </c>
      <c r="D64" s="56" t="s">
        <v>438</v>
      </c>
      <c r="E64" s="56" t="s">
        <v>439</v>
      </c>
      <c r="F64" s="56" t="s">
        <v>440</v>
      </c>
      <c r="G64" s="56" t="s">
        <v>441</v>
      </c>
      <c r="H64" s="55" t="str">
        <f t="shared" si="1"/>
        <v>WRONG</v>
      </c>
      <c r="I64" s="55" t="s">
        <v>70</v>
      </c>
      <c r="J64" s="57" t="s">
        <v>38</v>
      </c>
      <c r="K64" s="58" t="s">
        <v>442</v>
      </c>
      <c r="L64" s="59">
        <v>19460.0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28485.0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19440.0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28818.0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37866.0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19419.0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36603.0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44182.0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23384.0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23814.0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15646.0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25558.0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24161.0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23585.0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31026.0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21034.0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24769.0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31732.0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20981.0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23699.0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23268.0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30653.0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17391.0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18234.0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20788.0</v>
      </c>
    </row>
    <row r="89" ht="60.0" customHeight="1">
      <c r="A89" s="55">
        <v>83.0</v>
      </c>
      <c r="B89" s="56" t="s">
        <v>611</v>
      </c>
      <c r="C89" s="56" t="s">
        <v>612</v>
      </c>
      <c r="D89" s="56" t="s">
        <v>613</v>
      </c>
      <c r="E89" s="56" t="s">
        <v>614</v>
      </c>
      <c r="F89" s="56" t="s">
        <v>615</v>
      </c>
      <c r="G89" s="56" t="s">
        <v>616</v>
      </c>
      <c r="H89" s="55" t="str">
        <f t="shared" si="1"/>
        <v>WRONG</v>
      </c>
      <c r="I89" s="55" t="s">
        <v>46</v>
      </c>
      <c r="J89" s="57" t="s">
        <v>38</v>
      </c>
      <c r="K89" s="58" t="s">
        <v>617</v>
      </c>
      <c r="L89" s="59">
        <v>12709.0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56" t="s">
        <v>624</v>
      </c>
      <c r="L90" s="60">
        <v>21582.0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56" t="s">
        <v>631</v>
      </c>
      <c r="L91" s="60">
        <v>20278.0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56" t="s">
        <v>638</v>
      </c>
      <c r="L92" s="60">
        <v>12397.0</v>
      </c>
    </row>
    <row r="93" ht="60.0" customHeight="1">
      <c r="A93" s="55">
        <v>87.0</v>
      </c>
      <c r="B93" s="56" t="s">
        <v>639</v>
      </c>
      <c r="C93" s="56" t="s">
        <v>640</v>
      </c>
      <c r="D93" s="56" t="s">
        <v>641</v>
      </c>
      <c r="E93" s="56" t="s">
        <v>642</v>
      </c>
      <c r="F93" s="56" t="s">
        <v>643</v>
      </c>
      <c r="G93" s="56" t="s">
        <v>644</v>
      </c>
      <c r="H93" s="55" t="str">
        <f t="shared" si="1"/>
        <v>WRONG</v>
      </c>
      <c r="I93" s="55" t="s">
        <v>70</v>
      </c>
      <c r="J93" s="55" t="s">
        <v>46</v>
      </c>
      <c r="K93" s="56" t="s">
        <v>645</v>
      </c>
      <c r="L93" s="60">
        <v>13979.0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56" t="s">
        <v>652</v>
      </c>
      <c r="L94" s="60">
        <v>16984.0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56" t="s">
        <v>659</v>
      </c>
      <c r="L95" s="60">
        <v>13691.0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56" t="s">
        <v>666</v>
      </c>
      <c r="L96" s="60">
        <v>28531.0</v>
      </c>
    </row>
    <row r="97" ht="60.0" customHeight="1">
      <c r="A97" s="55">
        <v>91.0</v>
      </c>
      <c r="B97" s="56" t="s">
        <v>667</v>
      </c>
      <c r="C97" s="56" t="s">
        <v>668</v>
      </c>
      <c r="D97" s="56" t="s">
        <v>669</v>
      </c>
      <c r="E97" s="56" t="s">
        <v>670</v>
      </c>
      <c r="F97" s="56" t="s">
        <v>671</v>
      </c>
      <c r="G97" s="56" t="s">
        <v>672</v>
      </c>
      <c r="H97" s="55" t="str">
        <f t="shared" si="1"/>
        <v>WRONG</v>
      </c>
      <c r="I97" s="55" t="s">
        <v>46</v>
      </c>
      <c r="J97" s="55" t="s">
        <v>70</v>
      </c>
      <c r="K97" s="56" t="s">
        <v>673</v>
      </c>
      <c r="L97" s="60">
        <v>13557.0</v>
      </c>
    </row>
    <row r="98" ht="60.0" customHeight="1">
      <c r="A98" s="55">
        <v>92.0</v>
      </c>
      <c r="B98" s="56" t="s">
        <v>674</v>
      </c>
      <c r="C98" s="56" t="s">
        <v>675</v>
      </c>
      <c r="D98" s="56" t="s">
        <v>676</v>
      </c>
      <c r="E98" s="56" t="s">
        <v>677</v>
      </c>
      <c r="F98" s="56" t="s">
        <v>678</v>
      </c>
      <c r="G98" s="56" t="s">
        <v>679</v>
      </c>
      <c r="H98" s="55" t="str">
        <f t="shared" si="1"/>
        <v>WRONG</v>
      </c>
      <c r="I98" s="55" t="s">
        <v>55</v>
      </c>
      <c r="J98" s="55" t="s">
        <v>38</v>
      </c>
      <c r="K98" s="56" t="s">
        <v>680</v>
      </c>
      <c r="L98" s="60">
        <v>13073.0</v>
      </c>
    </row>
    <row r="99" ht="60.0" customHeight="1">
      <c r="A99" s="55">
        <v>93.0</v>
      </c>
      <c r="B99" s="56" t="s">
        <v>681</v>
      </c>
      <c r="C99" s="56" t="s">
        <v>682</v>
      </c>
      <c r="D99" s="56" t="s">
        <v>683</v>
      </c>
      <c r="E99" s="56" t="s">
        <v>684</v>
      </c>
      <c r="F99" s="56" t="s">
        <v>685</v>
      </c>
      <c r="G99" s="56" t="s">
        <v>686</v>
      </c>
      <c r="H99" s="55" t="str">
        <f t="shared" si="1"/>
        <v>WRONG</v>
      </c>
      <c r="I99" s="55" t="s">
        <v>46</v>
      </c>
      <c r="J99" s="55" t="s">
        <v>55</v>
      </c>
      <c r="K99" s="56" t="s">
        <v>687</v>
      </c>
      <c r="L99" s="60">
        <v>12874.0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56" t="s">
        <v>694</v>
      </c>
      <c r="L100" s="60">
        <v>15249.0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56" t="s">
        <v>701</v>
      </c>
      <c r="L101" s="60">
        <v>19011.0</v>
      </c>
    </row>
    <row r="102" ht="60.0" customHeight="1">
      <c r="A102" s="55">
        <v>96.0</v>
      </c>
      <c r="B102" s="56" t="s">
        <v>702</v>
      </c>
      <c r="C102" s="56" t="s">
        <v>703</v>
      </c>
      <c r="D102" s="56" t="s">
        <v>704</v>
      </c>
      <c r="E102" s="56" t="s">
        <v>705</v>
      </c>
      <c r="F102" s="56" t="s">
        <v>706</v>
      </c>
      <c r="G102" s="56" t="s">
        <v>707</v>
      </c>
      <c r="H102" s="55" t="str">
        <f t="shared" si="1"/>
        <v>WRONG</v>
      </c>
      <c r="I102" s="55" t="s">
        <v>47</v>
      </c>
      <c r="J102" s="55" t="s">
        <v>55</v>
      </c>
      <c r="K102" s="56" t="s">
        <v>708</v>
      </c>
      <c r="L102" s="60">
        <v>13496.0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56" t="s">
        <v>715</v>
      </c>
      <c r="L103" s="60">
        <v>12080.0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56" t="s">
        <v>722</v>
      </c>
      <c r="L104" s="60">
        <v>13486.0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56" t="s">
        <v>729</v>
      </c>
      <c r="L105" s="60">
        <v>16552.0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56" t="s">
        <v>736</v>
      </c>
      <c r="L106" s="60">
        <v>21559.0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56" t="s">
        <v>743</v>
      </c>
      <c r="L107" s="60">
        <v>14581.0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56" t="s">
        <v>750</v>
      </c>
      <c r="L108" s="60">
        <v>9967.0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56" t="s">
        <v>757</v>
      </c>
      <c r="L109" s="60">
        <v>14313.0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56" t="s">
        <v>764</v>
      </c>
      <c r="L110" s="60">
        <v>22698.0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56" t="s">
        <v>771</v>
      </c>
      <c r="L111" s="60">
        <v>17186.0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56" t="s">
        <v>778</v>
      </c>
      <c r="L112" s="60">
        <v>17515.0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56" t="s">
        <v>785</v>
      </c>
      <c r="L113" s="60">
        <v>14980.0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56" t="s">
        <v>792</v>
      </c>
      <c r="L114" s="60">
        <v>16878.0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56" t="s">
        <v>799</v>
      </c>
      <c r="L115" s="60">
        <v>21000.0</v>
      </c>
    </row>
    <row r="116" ht="60.0" customHeight="1">
      <c r="A116" s="55">
        <v>110.0</v>
      </c>
      <c r="B116" s="56" t="s">
        <v>800</v>
      </c>
      <c r="C116" s="56" t="s">
        <v>801</v>
      </c>
      <c r="D116" s="56" t="s">
        <v>802</v>
      </c>
      <c r="E116" s="56" t="s">
        <v>803</v>
      </c>
      <c r="F116" s="56" t="s">
        <v>804</v>
      </c>
      <c r="G116" s="56" t="s">
        <v>805</v>
      </c>
      <c r="H116" s="55" t="str">
        <f t="shared" si="1"/>
        <v>WRONG</v>
      </c>
      <c r="I116" s="55" t="s">
        <v>46</v>
      </c>
      <c r="J116" s="55" t="s">
        <v>47</v>
      </c>
      <c r="K116" s="56" t="s">
        <v>806</v>
      </c>
      <c r="L116" s="60">
        <v>19939.0</v>
      </c>
    </row>
    <row r="117" ht="60.0" customHeight="1">
      <c r="A117" s="55">
        <v>111.0</v>
      </c>
      <c r="B117" s="56" t="s">
        <v>807</v>
      </c>
      <c r="C117" s="56" t="s">
        <v>808</v>
      </c>
      <c r="D117" s="56" t="s">
        <v>809</v>
      </c>
      <c r="E117" s="56" t="s">
        <v>810</v>
      </c>
      <c r="F117" s="56" t="s">
        <v>811</v>
      </c>
      <c r="G117" s="56" t="s">
        <v>812</v>
      </c>
      <c r="H117" s="55" t="str">
        <f t="shared" si="1"/>
        <v>WRONG</v>
      </c>
      <c r="I117" s="55" t="s">
        <v>38</v>
      </c>
      <c r="J117" s="55" t="s">
        <v>47</v>
      </c>
      <c r="K117" s="56" t="s">
        <v>813</v>
      </c>
      <c r="L117" s="60">
        <v>10494.0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56" t="s">
        <v>820</v>
      </c>
      <c r="L118" s="60">
        <v>9236.0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56" t="s">
        <v>827</v>
      </c>
      <c r="L119" s="60">
        <v>16210.0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56" t="s">
        <v>834</v>
      </c>
      <c r="L120" s="60">
        <v>9844.0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56" t="s">
        <v>841</v>
      </c>
      <c r="L121" s="60">
        <v>12273.0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56" t="s">
        <v>848</v>
      </c>
      <c r="L122" s="60">
        <v>15657.0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56" t="s">
        <v>855</v>
      </c>
      <c r="L123" s="60">
        <v>11149.0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56" t="s">
        <v>862</v>
      </c>
      <c r="L124" s="60">
        <v>14574.0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56" t="s">
        <v>869</v>
      </c>
      <c r="L125" s="60">
        <v>19713.0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56" t="s">
        <v>876</v>
      </c>
      <c r="L126" s="60">
        <v>19826.0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56" t="s">
        <v>883</v>
      </c>
      <c r="L127" s="60">
        <v>15207.0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56" t="s">
        <v>890</v>
      </c>
      <c r="L128" s="60">
        <v>20265.0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56" t="s">
        <v>897</v>
      </c>
      <c r="L129" s="60">
        <v>10997.0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56" t="s">
        <v>904</v>
      </c>
      <c r="L130" s="60">
        <v>14611.0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56" t="s">
        <v>911</v>
      </c>
      <c r="L131" s="60">
        <v>10488.0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56" t="s">
        <v>918</v>
      </c>
      <c r="L132" s="60">
        <v>12553.0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56" t="s">
        <v>925</v>
      </c>
      <c r="L133" s="60">
        <v>11746.0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56" t="s">
        <v>932</v>
      </c>
      <c r="L134" s="60">
        <v>16433.0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56" t="s">
        <v>939</v>
      </c>
      <c r="L135" s="60">
        <v>13759.0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56" t="s">
        <v>946</v>
      </c>
      <c r="L136" s="60">
        <v>16213.0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56" t="s">
        <v>953</v>
      </c>
      <c r="L137" s="60">
        <v>11708.0</v>
      </c>
    </row>
    <row r="138" ht="60.0" customHeight="1">
      <c r="A138" s="55">
        <v>132.0</v>
      </c>
      <c r="B138" s="56" t="s">
        <v>954</v>
      </c>
      <c r="C138" s="56" t="s">
        <v>689</v>
      </c>
      <c r="D138" s="56" t="s">
        <v>955</v>
      </c>
      <c r="E138" s="56" t="s">
        <v>956</v>
      </c>
      <c r="F138" s="56" t="s">
        <v>957</v>
      </c>
      <c r="G138" s="56" t="s">
        <v>958</v>
      </c>
      <c r="H138" s="55" t="str">
        <f t="shared" si="1"/>
        <v>CORRECT</v>
      </c>
      <c r="I138" s="55" t="s">
        <v>47</v>
      </c>
      <c r="J138" s="55" t="s">
        <v>47</v>
      </c>
      <c r="K138" s="56" t="s">
        <v>959</v>
      </c>
      <c r="L138" s="60">
        <v>9857.0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56" t="s">
        <v>966</v>
      </c>
      <c r="L139" s="60">
        <v>15007.0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56" t="s">
        <v>973</v>
      </c>
      <c r="L140" s="60">
        <v>15528.0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56" t="s">
        <v>980</v>
      </c>
      <c r="L141" s="60">
        <v>14720.0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56" t="s">
        <v>987</v>
      </c>
      <c r="L142" s="60">
        <v>13727.0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56" t="s">
        <v>994</v>
      </c>
      <c r="L143" s="60">
        <v>16059.0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56" t="s">
        <v>1001</v>
      </c>
      <c r="L144" s="60">
        <v>8301.0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56" t="s">
        <v>1008</v>
      </c>
      <c r="L145" s="60">
        <v>21410.0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47</v>
      </c>
      <c r="K146" s="56" t="s">
        <v>1014</v>
      </c>
      <c r="L146" s="60">
        <v>11717.0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56" t="s">
        <v>1021</v>
      </c>
      <c r="L147" s="60">
        <v>12640.0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56" t="s">
        <v>1027</v>
      </c>
      <c r="L148" s="60">
        <v>9767.0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56" t="s">
        <v>1034</v>
      </c>
      <c r="L149" s="60">
        <v>14014.0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56" t="s">
        <v>1041</v>
      </c>
      <c r="L150" s="60">
        <v>13009.0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56" t="s">
        <v>1047</v>
      </c>
      <c r="L151" s="60">
        <v>15455.0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56" t="s">
        <v>1054</v>
      </c>
      <c r="L152" s="60">
        <v>13408.0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56" t="s">
        <v>1060</v>
      </c>
      <c r="L153" s="60">
        <v>20523.0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56" t="s">
        <v>1066</v>
      </c>
      <c r="L154" s="60">
        <v>17289.0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56" t="s">
        <v>1073</v>
      </c>
      <c r="L155" s="60">
        <v>14004.0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56" t="s">
        <v>1079</v>
      </c>
      <c r="L156" s="60">
        <v>20485.0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56" t="s">
        <v>1086</v>
      </c>
      <c r="L157" s="60">
        <v>30380.0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56" t="s">
        <v>1092</v>
      </c>
      <c r="L158" s="60">
        <v>17463.0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56" t="s">
        <v>1099</v>
      </c>
      <c r="L159" s="60">
        <v>16140.0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56" t="s">
        <v>1106</v>
      </c>
      <c r="L160" s="60">
        <v>15733.0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56" t="s">
        <v>1113</v>
      </c>
      <c r="L161" s="60">
        <v>16598.0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56" t="s">
        <v>1120</v>
      </c>
      <c r="L162" s="60">
        <v>20262.0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56" t="s">
        <v>1126</v>
      </c>
      <c r="L163" s="60">
        <v>14967.0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56" t="s">
        <v>1133</v>
      </c>
      <c r="L164" s="60">
        <v>14510.0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56" t="s">
        <v>1140</v>
      </c>
      <c r="L165" s="60">
        <v>10827.0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56" t="s">
        <v>1146</v>
      </c>
      <c r="L166" s="60">
        <v>12845.0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56" t="s">
        <v>1153</v>
      </c>
      <c r="L167" s="60">
        <v>30188.0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56" t="s">
        <v>1160</v>
      </c>
      <c r="L168" s="60">
        <v>16940.0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56" t="s">
        <v>1166</v>
      </c>
      <c r="L169" s="60">
        <v>15428.0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56" t="s">
        <v>1173</v>
      </c>
      <c r="L170" s="60">
        <v>13631.0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56" t="s">
        <v>1179</v>
      </c>
      <c r="L171" s="60">
        <v>12348.0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70</v>
      </c>
      <c r="K172" s="56" t="s">
        <v>1186</v>
      </c>
      <c r="L172" s="60">
        <v>10669.0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56" t="s">
        <v>1193</v>
      </c>
      <c r="L173" s="60">
        <v>14366.0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56" t="s">
        <v>1200</v>
      </c>
      <c r="L174" s="60">
        <v>13213.0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56" t="s">
        <v>1206</v>
      </c>
      <c r="L175" s="60">
        <v>11045.0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56" t="s">
        <v>1213</v>
      </c>
      <c r="L176" s="60">
        <v>15884.0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56" t="s">
        <v>1219</v>
      </c>
      <c r="L177" s="60">
        <v>9537.0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56" t="s">
        <v>1225</v>
      </c>
      <c r="L178" s="60">
        <v>21467.0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56" t="s">
        <v>1232</v>
      </c>
      <c r="L179" s="60">
        <v>9792.0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56" t="s">
        <v>1239</v>
      </c>
      <c r="L180" s="60">
        <v>9086.0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56" t="s">
        <v>1246</v>
      </c>
      <c r="L181" s="60">
        <v>11414.0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56" t="s">
        <v>1253</v>
      </c>
      <c r="L182" s="60">
        <v>15017.0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56" t="s">
        <v>1260</v>
      </c>
      <c r="L183" s="60">
        <v>16553.0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56" t="s">
        <v>1267</v>
      </c>
      <c r="L184" s="60">
        <v>10970.0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56" t="s">
        <v>1274</v>
      </c>
      <c r="L185" s="60">
        <v>13298.0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56" t="s">
        <v>1281</v>
      </c>
      <c r="L186" s="60">
        <v>7673.0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56" t="s">
        <v>1288</v>
      </c>
      <c r="L187" s="60">
        <v>17413.0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56" t="s">
        <v>1295</v>
      </c>
      <c r="L188" s="60">
        <v>15258.0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56" t="s">
        <v>1302</v>
      </c>
      <c r="L189" s="60">
        <v>18002.0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56" t="s">
        <v>1309</v>
      </c>
      <c r="L190" s="60">
        <v>18791.0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56" t="s">
        <v>1316</v>
      </c>
      <c r="L191" s="60">
        <v>17748.0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56" t="s">
        <v>1323</v>
      </c>
      <c r="L192" s="60">
        <v>23639.0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56" t="s">
        <v>1330</v>
      </c>
      <c r="L193" s="60">
        <v>17347.0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56" t="s">
        <v>1337</v>
      </c>
      <c r="L194" s="60">
        <v>16872.0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56" t="s">
        <v>1343</v>
      </c>
      <c r="L195" s="60">
        <v>13979.0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56" t="s">
        <v>1350</v>
      </c>
      <c r="L196" s="60">
        <v>14107.0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56" t="s">
        <v>1357</v>
      </c>
      <c r="L197" s="60">
        <v>12441.0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56" t="s">
        <v>1364</v>
      </c>
      <c r="L198" s="60">
        <v>14667.0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56" t="s">
        <v>1370</v>
      </c>
      <c r="L199" s="60">
        <v>18138.0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56" t="s">
        <v>1377</v>
      </c>
      <c r="L200" s="60">
        <v>14825.0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56" t="s">
        <v>1384</v>
      </c>
      <c r="L201" s="60">
        <v>13849.0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56" t="s">
        <v>1391</v>
      </c>
      <c r="L202" s="60">
        <v>14298.0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56" t="s">
        <v>1397</v>
      </c>
      <c r="L203" s="60">
        <v>7536.0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56" t="s">
        <v>1404</v>
      </c>
      <c r="L204" s="60">
        <v>12219.0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56" t="s">
        <v>1411</v>
      </c>
      <c r="L205" s="60">
        <v>14789.0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56" t="s">
        <v>1418</v>
      </c>
      <c r="L206" s="60">
        <v>12819.0</v>
      </c>
    </row>
    <row r="207" ht="60.0" customHeight="1">
      <c r="A207" s="55">
        <v>201.0</v>
      </c>
      <c r="B207" s="56" t="s">
        <v>1419</v>
      </c>
      <c r="C207" s="56" t="s">
        <v>1420</v>
      </c>
      <c r="D207" s="56" t="s">
        <v>1421</v>
      </c>
      <c r="E207" s="56" t="s">
        <v>1422</v>
      </c>
      <c r="F207" s="56" t="s">
        <v>1423</v>
      </c>
      <c r="G207" s="56" t="s">
        <v>1424</v>
      </c>
      <c r="H207" s="55" t="str">
        <f t="shared" si="1"/>
        <v>WRONG</v>
      </c>
      <c r="I207" s="55" t="s">
        <v>55</v>
      </c>
      <c r="J207" s="55" t="s">
        <v>38</v>
      </c>
      <c r="K207" s="56" t="s">
        <v>1425</v>
      </c>
      <c r="L207" s="60">
        <v>14748.0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56" t="s">
        <v>1431</v>
      </c>
      <c r="L208" s="60">
        <v>17134.0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56" t="s">
        <v>1438</v>
      </c>
      <c r="L209" s="60">
        <v>18604.0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56" t="s">
        <v>1445</v>
      </c>
      <c r="L210" s="60">
        <v>18898.0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56" t="s">
        <v>1452</v>
      </c>
      <c r="L211" s="60">
        <v>13119.0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56" t="s">
        <v>1459</v>
      </c>
      <c r="L212" s="60">
        <v>13072.0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56" t="s">
        <v>1466</v>
      </c>
      <c r="L213" s="60">
        <v>12621.0</v>
      </c>
    </row>
    <row r="214" ht="60.0" customHeight="1">
      <c r="A214" s="55">
        <v>208.0</v>
      </c>
      <c r="B214" s="56" t="s">
        <v>1467</v>
      </c>
      <c r="C214" s="56" t="s">
        <v>1468</v>
      </c>
      <c r="D214" s="56" t="s">
        <v>1469</v>
      </c>
      <c r="E214" s="56" t="s">
        <v>1470</v>
      </c>
      <c r="F214" s="56" t="s">
        <v>1471</v>
      </c>
      <c r="G214" s="56" t="s">
        <v>1472</v>
      </c>
      <c r="H214" s="55" t="str">
        <f t="shared" si="1"/>
        <v>WRONG</v>
      </c>
      <c r="I214" s="55" t="s">
        <v>38</v>
      </c>
      <c r="J214" s="55" t="s">
        <v>55</v>
      </c>
      <c r="K214" s="56" t="s">
        <v>1473</v>
      </c>
      <c r="L214" s="60">
        <v>23983.0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56" t="s">
        <v>1480</v>
      </c>
      <c r="L215" s="60">
        <v>21503.0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56" t="s">
        <v>1487</v>
      </c>
      <c r="L216" s="60">
        <v>9335.0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56" t="s">
        <v>1494</v>
      </c>
      <c r="L217" s="60">
        <v>14240.0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56" t="s">
        <v>1501</v>
      </c>
      <c r="L218" s="60">
        <v>22589.0</v>
      </c>
    </row>
    <row r="219" ht="60.0" customHeight="1">
      <c r="A219" s="55">
        <v>213.0</v>
      </c>
      <c r="B219" s="56" t="s">
        <v>1502</v>
      </c>
      <c r="C219" s="56" t="s">
        <v>1503</v>
      </c>
      <c r="D219" s="56" t="s">
        <v>1504</v>
      </c>
      <c r="E219" s="56" t="s">
        <v>1505</v>
      </c>
      <c r="F219" s="56" t="s">
        <v>1506</v>
      </c>
      <c r="G219" s="56" t="s">
        <v>1507</v>
      </c>
      <c r="H219" s="55" t="str">
        <f t="shared" si="1"/>
        <v>WRONG</v>
      </c>
      <c r="I219" s="55" t="s">
        <v>55</v>
      </c>
      <c r="J219" s="55" t="s">
        <v>47</v>
      </c>
      <c r="K219" s="56" t="s">
        <v>1508</v>
      </c>
      <c r="L219" s="60">
        <v>13102.0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56" t="s">
        <v>1515</v>
      </c>
      <c r="L220" s="60">
        <v>13472.0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56" t="s">
        <v>1522</v>
      </c>
      <c r="L221" s="60">
        <v>13612.0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56" t="s">
        <v>1529</v>
      </c>
      <c r="L222" s="60">
        <v>19975.0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56" t="s">
        <v>1536</v>
      </c>
      <c r="L223" s="60">
        <v>12903.0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56" t="s">
        <v>1543</v>
      </c>
      <c r="L224" s="60">
        <v>10696.0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56" t="s">
        <v>1549</v>
      </c>
      <c r="L225" s="60">
        <v>16568.0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56" t="s">
        <v>1556</v>
      </c>
      <c r="L226" s="60">
        <v>11557.0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56" t="s">
        <v>1563</v>
      </c>
      <c r="L227" s="60">
        <v>17639.0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56" t="s">
        <v>1570</v>
      </c>
      <c r="L228" s="60">
        <v>13647.0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56" t="s">
        <v>1576</v>
      </c>
      <c r="L229" s="60">
        <v>13967.0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56" t="s">
        <v>1583</v>
      </c>
      <c r="L230" s="60">
        <v>14057.0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56" t="s">
        <v>1590</v>
      </c>
      <c r="L231" s="60">
        <v>16893.0</v>
      </c>
    </row>
    <row r="232" ht="60.0" customHeight="1">
      <c r="A232" s="55">
        <v>226.0</v>
      </c>
      <c r="B232" s="56" t="s">
        <v>1591</v>
      </c>
      <c r="C232" s="56" t="s">
        <v>1592</v>
      </c>
      <c r="D232" s="56" t="s">
        <v>1593</v>
      </c>
      <c r="E232" s="56" t="s">
        <v>1594</v>
      </c>
      <c r="F232" s="56" t="s">
        <v>1595</v>
      </c>
      <c r="G232" s="56" t="s">
        <v>1596</v>
      </c>
      <c r="H232" s="55" t="str">
        <f t="shared" si="1"/>
        <v>WRONG</v>
      </c>
      <c r="I232" s="55" t="s">
        <v>38</v>
      </c>
      <c r="J232" s="55" t="s">
        <v>55</v>
      </c>
      <c r="K232" s="56" t="s">
        <v>1597</v>
      </c>
      <c r="L232" s="60">
        <v>17463.0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56" t="s">
        <v>1604</v>
      </c>
      <c r="L233" s="60">
        <v>16298.0</v>
      </c>
    </row>
    <row r="234" ht="60.0" customHeight="1">
      <c r="A234" s="55">
        <v>228.0</v>
      </c>
      <c r="B234" s="56" t="s">
        <v>1605</v>
      </c>
      <c r="C234" s="56" t="s">
        <v>1606</v>
      </c>
      <c r="D234" s="56" t="s">
        <v>1607</v>
      </c>
      <c r="E234" s="56" t="s">
        <v>1608</v>
      </c>
      <c r="F234" s="56" t="s">
        <v>1609</v>
      </c>
      <c r="G234" s="56" t="s">
        <v>1610</v>
      </c>
      <c r="H234" s="55" t="str">
        <f t="shared" si="1"/>
        <v>WRONG</v>
      </c>
      <c r="I234" s="55" t="s">
        <v>46</v>
      </c>
      <c r="J234" s="55" t="s">
        <v>70</v>
      </c>
      <c r="K234" s="56" t="s">
        <v>1611</v>
      </c>
      <c r="L234" s="60">
        <v>15560.0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56" t="s">
        <v>1618</v>
      </c>
      <c r="L235" s="60">
        <v>16541.0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56" t="s">
        <v>1625</v>
      </c>
      <c r="L236" s="60">
        <v>15056.0</v>
      </c>
    </row>
    <row r="237" ht="60.0" customHeight="1">
      <c r="A237" s="55">
        <v>231.0</v>
      </c>
      <c r="B237" s="56" t="s">
        <v>1626</v>
      </c>
      <c r="C237" s="56" t="s">
        <v>1627</v>
      </c>
      <c r="D237" s="56" t="s">
        <v>1628</v>
      </c>
      <c r="E237" s="56" t="s">
        <v>1629</v>
      </c>
      <c r="F237" s="56" t="s">
        <v>1630</v>
      </c>
      <c r="G237" s="56" t="s">
        <v>1631</v>
      </c>
      <c r="H237" s="55" t="str">
        <f t="shared" si="1"/>
        <v>CORRECT</v>
      </c>
      <c r="I237" s="55" t="s">
        <v>47</v>
      </c>
      <c r="J237" s="55" t="s">
        <v>47</v>
      </c>
      <c r="K237" s="56" t="s">
        <v>1632</v>
      </c>
      <c r="L237" s="60">
        <v>8553.0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56" t="s">
        <v>1638</v>
      </c>
      <c r="L238" s="60">
        <v>15234.0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56" t="s">
        <v>1645</v>
      </c>
      <c r="L239" s="60">
        <v>29142.0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56" t="s">
        <v>1652</v>
      </c>
      <c r="L240" s="60">
        <v>19897.0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56" t="s">
        <v>1659</v>
      </c>
      <c r="L241" s="60">
        <v>23895.0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56" t="s">
        <v>1666</v>
      </c>
      <c r="L242" s="60">
        <v>22112.0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56" t="s">
        <v>1673</v>
      </c>
      <c r="L243" s="60">
        <v>16266.0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56" t="s">
        <v>1680</v>
      </c>
      <c r="L244" s="60">
        <v>19025.0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56" t="s">
        <v>1687</v>
      </c>
      <c r="L245" s="60">
        <v>10991.0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56" t="s">
        <v>1694</v>
      </c>
      <c r="L246" s="60">
        <v>16810.0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56" t="s">
        <v>1701</v>
      </c>
      <c r="L247" s="60">
        <v>16781.0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56" t="s">
        <v>1708</v>
      </c>
      <c r="L248" s="60">
        <v>13888.0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56" t="s">
        <v>1715</v>
      </c>
      <c r="L249" s="60">
        <v>15217.0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56" t="s">
        <v>1722</v>
      </c>
      <c r="L250" s="60">
        <v>15152.0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56" t="s">
        <v>1729</v>
      </c>
      <c r="L251" s="60">
        <v>12924.0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56" t="s">
        <v>1735</v>
      </c>
      <c r="L252" s="60">
        <v>14041.0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56" t="s">
        <v>1742</v>
      </c>
      <c r="L253" s="60">
        <v>14422.0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56" t="s">
        <v>1749</v>
      </c>
      <c r="L254" s="60">
        <v>16650.0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56" t="s">
        <v>1756</v>
      </c>
      <c r="L255" s="60">
        <v>15757.0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56" t="s">
        <v>1763</v>
      </c>
      <c r="L256" s="60">
        <v>17144.0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56" t="s">
        <v>1770</v>
      </c>
      <c r="L257" s="60">
        <v>11246.0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56" t="s">
        <v>1777</v>
      </c>
      <c r="L258" s="60">
        <v>10732.0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56" t="s">
        <v>1784</v>
      </c>
      <c r="L259" s="60">
        <v>17406.0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56" t="s">
        <v>1791</v>
      </c>
      <c r="L260" s="60">
        <v>22494.0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56" t="s">
        <v>1798</v>
      </c>
      <c r="L261" s="60">
        <v>26731.0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56" t="s">
        <v>1805</v>
      </c>
      <c r="L262" s="60">
        <v>13179.0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56" t="s">
        <v>1812</v>
      </c>
      <c r="L263" s="60">
        <v>20711.0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56" t="s">
        <v>1819</v>
      </c>
      <c r="L264" s="60">
        <v>15799.0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56" t="s">
        <v>1826</v>
      </c>
      <c r="L265" s="60">
        <v>15450.0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56" t="s">
        <v>1832</v>
      </c>
      <c r="L266" s="60">
        <v>19196.0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56" t="s">
        <v>1838</v>
      </c>
      <c r="L267" s="60">
        <v>16533.0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56" t="s">
        <v>1844</v>
      </c>
      <c r="L268" s="60">
        <v>11292.0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56" t="s">
        <v>1851</v>
      </c>
      <c r="L269" s="60">
        <v>14794.0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56" t="s">
        <v>1858</v>
      </c>
      <c r="L270" s="60">
        <v>14721.0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56" t="s">
        <v>1865</v>
      </c>
      <c r="L271" s="60">
        <v>15415.0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56" t="s">
        <v>1872</v>
      </c>
      <c r="L272" s="60">
        <v>15719.0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56" t="s">
        <v>1879</v>
      </c>
      <c r="L273" s="60">
        <v>24754.0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56" t="s">
        <v>1885</v>
      </c>
      <c r="L274" s="60">
        <v>19200.0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56" t="s">
        <v>1892</v>
      </c>
      <c r="L275" s="60">
        <v>15053.0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56" t="s">
        <v>1899</v>
      </c>
      <c r="L276" s="60">
        <v>11822.0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56" t="s">
        <v>1906</v>
      </c>
      <c r="L277" s="60">
        <v>15082.0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56" t="s">
        <v>1913</v>
      </c>
      <c r="L278" s="60">
        <v>22740.0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56" t="s">
        <v>1920</v>
      </c>
      <c r="L279" s="60">
        <v>31023.0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56" t="s">
        <v>1927</v>
      </c>
      <c r="L280" s="60">
        <v>22411.0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56" t="s">
        <v>1933</v>
      </c>
      <c r="L281" s="60">
        <v>20132.0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56" t="s">
        <v>1940</v>
      </c>
      <c r="L282" s="60">
        <v>17443.0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56" t="s">
        <v>1947</v>
      </c>
      <c r="L283" s="60">
        <v>28200.0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56" t="s">
        <v>1954</v>
      </c>
      <c r="L284" s="60">
        <v>23217.0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56" t="s">
        <v>1961</v>
      </c>
      <c r="L285" s="60">
        <v>18552.0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56" t="s">
        <v>1968</v>
      </c>
      <c r="L286" s="60">
        <v>16338.0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56" t="s">
        <v>1975</v>
      </c>
      <c r="L287" s="60">
        <v>12976.0</v>
      </c>
    </row>
    <row r="288" ht="60.0" customHeight="1">
      <c r="A288" s="55">
        <v>282.0</v>
      </c>
      <c r="B288" s="56" t="s">
        <v>1976</v>
      </c>
      <c r="C288" s="56" t="s">
        <v>1977</v>
      </c>
      <c r="D288" s="56" t="s">
        <v>1978</v>
      </c>
      <c r="E288" s="56" t="s">
        <v>1979</v>
      </c>
      <c r="F288" s="56" t="s">
        <v>1980</v>
      </c>
      <c r="G288" s="56" t="s">
        <v>1981</v>
      </c>
      <c r="H288" s="55" t="str">
        <f t="shared" si="1"/>
        <v>WRONG</v>
      </c>
      <c r="I288" s="55" t="s">
        <v>46</v>
      </c>
      <c r="J288" s="55" t="s">
        <v>47</v>
      </c>
      <c r="K288" s="56" t="s">
        <v>1982</v>
      </c>
      <c r="L288" s="60">
        <v>19003.0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56" t="s">
        <v>1989</v>
      </c>
      <c r="L289" s="60">
        <v>28304.0</v>
      </c>
    </row>
    <row r="290" ht="60.0" customHeight="1">
      <c r="A290" s="55">
        <v>284.0</v>
      </c>
      <c r="B290" s="56" t="s">
        <v>1990</v>
      </c>
      <c r="C290" s="56" t="s">
        <v>1991</v>
      </c>
      <c r="D290" s="56" t="s">
        <v>1992</v>
      </c>
      <c r="E290" s="56" t="s">
        <v>1993</v>
      </c>
      <c r="F290" s="56" t="s">
        <v>1994</v>
      </c>
      <c r="G290" s="56" t="s">
        <v>972</v>
      </c>
      <c r="H290" s="55" t="str">
        <f t="shared" si="1"/>
        <v>WRONG</v>
      </c>
      <c r="I290" s="55" t="s">
        <v>38</v>
      </c>
      <c r="J290" s="55" t="s">
        <v>47</v>
      </c>
      <c r="K290" s="56" t="s">
        <v>1995</v>
      </c>
      <c r="L290" s="60">
        <v>21613.0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56" t="s">
        <v>2002</v>
      </c>
      <c r="L291" s="60">
        <v>12086.0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56" t="s">
        <v>2009</v>
      </c>
      <c r="L292" s="60">
        <v>16998.0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56" t="s">
        <v>2015</v>
      </c>
      <c r="L293" s="60">
        <v>16837.0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56" t="s">
        <v>2022</v>
      </c>
      <c r="L294" s="60">
        <v>16647.0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56" t="s">
        <v>2029</v>
      </c>
      <c r="L295" s="60">
        <v>9987.0</v>
      </c>
    </row>
    <row r="296" ht="60.0" customHeight="1">
      <c r="A296" s="55">
        <v>290.0</v>
      </c>
      <c r="B296" s="56" t="s">
        <v>2030</v>
      </c>
      <c r="C296" s="56" t="s">
        <v>2031</v>
      </c>
      <c r="D296" s="56" t="s">
        <v>2032</v>
      </c>
      <c r="E296" s="56" t="s">
        <v>2033</v>
      </c>
      <c r="F296" s="56" t="s">
        <v>2034</v>
      </c>
      <c r="G296" s="56" t="s">
        <v>972</v>
      </c>
      <c r="H296" s="55" t="str">
        <f t="shared" si="1"/>
        <v>CORRECT</v>
      </c>
      <c r="I296" s="55" t="s">
        <v>55</v>
      </c>
      <c r="J296" s="55" t="s">
        <v>55</v>
      </c>
      <c r="K296" s="56" t="s">
        <v>2035</v>
      </c>
      <c r="L296" s="60">
        <v>16281.0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56" t="s">
        <v>2041</v>
      </c>
      <c r="L297" s="60">
        <v>10526.0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56" t="s">
        <v>2048</v>
      </c>
      <c r="L298" s="60">
        <v>18890.0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56" t="s">
        <v>2054</v>
      </c>
      <c r="L299" s="60">
        <v>11042.0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56" t="s">
        <v>2061</v>
      </c>
      <c r="L300" s="60">
        <v>17526.0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56" t="s">
        <v>2068</v>
      </c>
      <c r="L301" s="60">
        <v>21546.0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55</v>
      </c>
      <c r="K302" s="56" t="s">
        <v>2075</v>
      </c>
      <c r="L302" s="60">
        <v>13949.0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56" t="s">
        <v>2082</v>
      </c>
      <c r="L303" s="60">
        <v>16216.0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56" t="s">
        <v>2089</v>
      </c>
      <c r="L304" s="60">
        <v>24487.0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56" t="s">
        <v>2095</v>
      </c>
      <c r="L305" s="60">
        <v>18292.0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56" t="s">
        <v>2102</v>
      </c>
      <c r="L306" s="60">
        <v>15988.0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56" t="s">
        <v>2109</v>
      </c>
      <c r="L307" s="60">
        <v>14499.0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56" t="s">
        <v>2115</v>
      </c>
      <c r="L308" s="60">
        <v>14008.0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56" t="s">
        <v>2122</v>
      </c>
      <c r="L309" s="60">
        <v>9337.0</v>
      </c>
    </row>
    <row r="310" ht="60.0" customHeight="1">
      <c r="A310" s="55">
        <v>304.0</v>
      </c>
      <c r="B310" s="56" t="s">
        <v>2123</v>
      </c>
      <c r="C310" s="56" t="s">
        <v>2124</v>
      </c>
      <c r="D310" s="56" t="s">
        <v>2125</v>
      </c>
      <c r="E310" s="56" t="s">
        <v>2126</v>
      </c>
      <c r="F310" s="56" t="s">
        <v>2127</v>
      </c>
      <c r="G310" s="56" t="s">
        <v>2128</v>
      </c>
      <c r="H310" s="55" t="str">
        <f t="shared" si="1"/>
        <v>WRONG</v>
      </c>
      <c r="I310" s="55" t="s">
        <v>46</v>
      </c>
      <c r="J310" s="55" t="s">
        <v>47</v>
      </c>
      <c r="K310" s="56" t="s">
        <v>2129</v>
      </c>
      <c r="L310" s="60">
        <v>14554.0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56" t="s">
        <v>2136</v>
      </c>
      <c r="L311" s="60">
        <v>16986.0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56" t="s">
        <v>2143</v>
      </c>
      <c r="L312" s="60">
        <v>7566.0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56" t="s">
        <v>2150</v>
      </c>
      <c r="L313" s="60">
        <v>10021.0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56" t="s">
        <v>2156</v>
      </c>
      <c r="L314" s="60">
        <v>13612.0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56" t="s">
        <v>2163</v>
      </c>
      <c r="L315" s="60">
        <v>10407.0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56" t="s">
        <v>2168</v>
      </c>
      <c r="L316" s="60">
        <v>17175.0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56" t="s">
        <v>2174</v>
      </c>
      <c r="L317" s="60">
        <v>29367.0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56" t="s">
        <v>2180</v>
      </c>
      <c r="L318" s="60">
        <v>28960.0</v>
      </c>
    </row>
    <row r="319" ht="60.0" customHeight="1">
      <c r="A319" s="55">
        <v>313.0</v>
      </c>
      <c r="B319" s="56" t="s">
        <v>2181</v>
      </c>
      <c r="C319" s="56" t="s">
        <v>2182</v>
      </c>
      <c r="D319" s="56" t="s">
        <v>2183</v>
      </c>
      <c r="E319" s="56" t="s">
        <v>2184</v>
      </c>
      <c r="F319" s="56" t="s">
        <v>2185</v>
      </c>
      <c r="G319" s="56" t="s">
        <v>2186</v>
      </c>
      <c r="H319" s="55" t="str">
        <f t="shared" si="1"/>
        <v>WRONG</v>
      </c>
      <c r="I319" s="55" t="s">
        <v>46</v>
      </c>
      <c r="J319" s="55" t="s">
        <v>55</v>
      </c>
      <c r="K319" s="56" t="s">
        <v>2187</v>
      </c>
      <c r="L319" s="60">
        <v>16276.0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56" t="s">
        <v>2194</v>
      </c>
      <c r="L320" s="60">
        <v>22905.0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56" t="s">
        <v>2201</v>
      </c>
      <c r="L321" s="60">
        <v>15128.0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56" t="s">
        <v>2208</v>
      </c>
      <c r="L322" s="60">
        <v>12218.0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56" t="s">
        <v>2214</v>
      </c>
      <c r="L323" s="60">
        <v>26014.0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56" t="s">
        <v>2221</v>
      </c>
      <c r="L324" s="60">
        <v>16731.0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56" t="s">
        <v>2228</v>
      </c>
      <c r="L325" s="60">
        <v>28171.0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56" t="s">
        <v>2235</v>
      </c>
      <c r="L326" s="60">
        <v>16926.0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56" t="s">
        <v>2242</v>
      </c>
      <c r="L327" s="60">
        <v>23178.0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56" t="s">
        <v>2249</v>
      </c>
      <c r="L328" s="60">
        <v>24302.0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56" t="s">
        <v>2256</v>
      </c>
      <c r="L329" s="60">
        <v>14847.0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56" t="s">
        <v>2263</v>
      </c>
      <c r="L330" s="60">
        <v>23315.0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56" t="s">
        <v>2270</v>
      </c>
      <c r="L331" s="60">
        <v>15633.0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70</v>
      </c>
      <c r="K332" s="56" t="s">
        <v>2277</v>
      </c>
      <c r="L332" s="60">
        <v>21331.0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56" t="s">
        <v>2284</v>
      </c>
      <c r="L333" s="60">
        <v>16869.0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56" t="s">
        <v>2291</v>
      </c>
      <c r="L334" s="60">
        <v>12177.0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47</v>
      </c>
      <c r="K335" s="56" t="s">
        <v>2298</v>
      </c>
      <c r="L335" s="60">
        <v>12687.0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56" t="s">
        <v>2305</v>
      </c>
      <c r="L336" s="60">
        <v>12703.0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56" t="s">
        <v>2312</v>
      </c>
      <c r="L337" s="60">
        <v>22980.0</v>
      </c>
    </row>
    <row r="338" ht="60.0" customHeight="1">
      <c r="A338" s="55">
        <v>332.0</v>
      </c>
      <c r="B338" s="56" t="s">
        <v>2313</v>
      </c>
      <c r="C338" s="56" t="s">
        <v>2314</v>
      </c>
      <c r="D338" s="56" t="s">
        <v>2315</v>
      </c>
      <c r="E338" s="56" t="s">
        <v>2316</v>
      </c>
      <c r="F338" s="56" t="s">
        <v>2317</v>
      </c>
      <c r="G338" s="56" t="s">
        <v>2318</v>
      </c>
      <c r="H338" s="55" t="str">
        <f t="shared" si="1"/>
        <v>WRONG</v>
      </c>
      <c r="I338" s="55" t="s">
        <v>46</v>
      </c>
      <c r="J338" s="55" t="s">
        <v>55</v>
      </c>
      <c r="K338" s="56" t="s">
        <v>2319</v>
      </c>
      <c r="L338" s="60">
        <v>11254.0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56" t="s">
        <v>2325</v>
      </c>
      <c r="L339" s="60">
        <v>21896.0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56" t="s">
        <v>2332</v>
      </c>
      <c r="L340" s="60">
        <v>20505.0</v>
      </c>
    </row>
    <row r="341" ht="60.0" customHeight="1">
      <c r="A341" s="55">
        <v>335.0</v>
      </c>
      <c r="B341" s="56" t="s">
        <v>2333</v>
      </c>
      <c r="C341" s="56" t="s">
        <v>2334</v>
      </c>
      <c r="D341" s="56" t="s">
        <v>2335</v>
      </c>
      <c r="E341" s="56" t="s">
        <v>2336</v>
      </c>
      <c r="F341" s="56" t="s">
        <v>2337</v>
      </c>
      <c r="G341" s="56" t="s">
        <v>2338</v>
      </c>
      <c r="H341" s="55" t="str">
        <f t="shared" si="1"/>
        <v>WRONG</v>
      </c>
      <c r="I341" s="55" t="s">
        <v>38</v>
      </c>
      <c r="J341" s="55" t="s">
        <v>55</v>
      </c>
      <c r="K341" s="56" t="s">
        <v>2339</v>
      </c>
      <c r="L341" s="60">
        <v>15542.0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56" t="s">
        <v>2346</v>
      </c>
      <c r="L342" s="60">
        <v>18424.0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70</v>
      </c>
      <c r="K343" s="56" t="s">
        <v>2353</v>
      </c>
      <c r="L343" s="60">
        <v>14238.0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56" t="s">
        <v>2360</v>
      </c>
      <c r="L344" s="60">
        <v>21441.0</v>
      </c>
    </row>
    <row r="345" ht="60.0" customHeight="1">
      <c r="A345" s="55">
        <v>339.0</v>
      </c>
      <c r="B345" s="56" t="s">
        <v>2361</v>
      </c>
      <c r="C345" s="56" t="s">
        <v>2362</v>
      </c>
      <c r="D345" s="56" t="s">
        <v>2363</v>
      </c>
      <c r="E345" s="56" t="s">
        <v>2364</v>
      </c>
      <c r="F345" s="56" t="s">
        <v>2365</v>
      </c>
      <c r="G345" s="56" t="s">
        <v>972</v>
      </c>
      <c r="H345" s="55" t="str">
        <f t="shared" si="1"/>
        <v>CORRECT</v>
      </c>
      <c r="I345" s="55" t="s">
        <v>46</v>
      </c>
      <c r="J345" s="55" t="s">
        <v>46</v>
      </c>
      <c r="K345" s="56" t="s">
        <v>2366</v>
      </c>
      <c r="L345" s="60">
        <v>10292.0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56" t="s">
        <v>2373</v>
      </c>
      <c r="L346" s="60">
        <v>14970.0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56" t="s">
        <v>2379</v>
      </c>
      <c r="L347" s="60">
        <v>11388.0</v>
      </c>
    </row>
    <row r="348" ht="60.0" customHeight="1">
      <c r="A348" s="55">
        <v>342.0</v>
      </c>
      <c r="B348" s="56" t="s">
        <v>2380</v>
      </c>
      <c r="C348" s="56" t="s">
        <v>2381</v>
      </c>
      <c r="D348" s="56" t="s">
        <v>2382</v>
      </c>
      <c r="E348" s="56" t="s">
        <v>2383</v>
      </c>
      <c r="F348" s="56" t="s">
        <v>2384</v>
      </c>
      <c r="G348" s="56" t="s">
        <v>972</v>
      </c>
      <c r="H348" s="55" t="str">
        <f t="shared" si="1"/>
        <v>WRONG</v>
      </c>
      <c r="I348" s="55" t="s">
        <v>46</v>
      </c>
      <c r="J348" s="55" t="s">
        <v>70</v>
      </c>
      <c r="K348" s="56" t="s">
        <v>2385</v>
      </c>
      <c r="L348" s="60">
        <v>15528.0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56" t="s">
        <v>2392</v>
      </c>
      <c r="L349" s="60">
        <v>11913.0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56" t="s">
        <v>2399</v>
      </c>
      <c r="L350" s="60">
        <v>33655.0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56" t="s">
        <v>2406</v>
      </c>
      <c r="L351" s="60">
        <v>98225.0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56" t="s">
        <v>2413</v>
      </c>
      <c r="L352" s="60">
        <v>29312.0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56" t="s">
        <v>2419</v>
      </c>
      <c r="L353" s="60">
        <v>20672.0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56" t="s">
        <v>2425</v>
      </c>
      <c r="L354" s="60">
        <v>14618.0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56" t="s">
        <v>2432</v>
      </c>
      <c r="L355" s="60">
        <v>19339.0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56" t="s">
        <v>2438</v>
      </c>
      <c r="L356" s="60">
        <v>30082.0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2439</v>
      </c>
      <c r="C2" s="2"/>
      <c r="D2" s="2"/>
      <c r="E2" s="2"/>
      <c r="F2" s="2"/>
      <c r="G2" s="2"/>
      <c r="H2" s="2"/>
      <c r="I2" s="2"/>
      <c r="J2" s="12"/>
      <c r="K2" s="43" t="s">
        <v>2440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188</v>
      </c>
      <c r="I4" s="48"/>
      <c r="L4" s="49">
        <f>AVERAGE(L7:L52)</f>
        <v>25079.91304</v>
      </c>
    </row>
    <row r="5">
      <c r="A5" s="50" t="s">
        <v>30</v>
      </c>
      <c r="B5" s="2"/>
      <c r="C5" s="2"/>
      <c r="D5" s="2"/>
      <c r="E5" s="12"/>
      <c r="F5" s="51"/>
      <c r="G5" s="51"/>
      <c r="H5" s="46">
        <v>350.0</v>
      </c>
      <c r="L5" s="52"/>
    </row>
    <row r="6">
      <c r="A6" s="45" t="s">
        <v>31</v>
      </c>
      <c r="B6" s="2"/>
      <c r="C6" s="2"/>
      <c r="D6" s="2"/>
      <c r="E6" s="12"/>
      <c r="F6" s="46"/>
      <c r="G6" s="46"/>
      <c r="H6" s="53">
        <f>H4/H5</f>
        <v>0.5371428571</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2441</v>
      </c>
      <c r="L7" s="59">
        <v>31915.0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23695.0</v>
      </c>
    </row>
    <row r="9" ht="60.0" customHeight="1">
      <c r="A9" s="55">
        <v>3.0</v>
      </c>
      <c r="B9" s="56" t="s">
        <v>49</v>
      </c>
      <c r="C9" s="56" t="s">
        <v>50</v>
      </c>
      <c r="D9" s="56" t="s">
        <v>51</v>
      </c>
      <c r="E9" s="56" t="s">
        <v>52</v>
      </c>
      <c r="F9" s="56" t="s">
        <v>53</v>
      </c>
      <c r="G9" s="56" t="s">
        <v>54</v>
      </c>
      <c r="H9" s="55" t="str">
        <f t="shared" si="1"/>
        <v>CORRECT</v>
      </c>
      <c r="I9" s="55" t="s">
        <v>55</v>
      </c>
      <c r="J9" s="57" t="s">
        <v>55</v>
      </c>
      <c r="K9" s="58" t="s">
        <v>2442</v>
      </c>
      <c r="L9" s="59">
        <v>43235.0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2443</v>
      </c>
      <c r="L10" s="59">
        <v>19841.0</v>
      </c>
    </row>
    <row r="11" ht="60.0" customHeight="1">
      <c r="A11" s="55">
        <v>5.0</v>
      </c>
      <c r="B11" s="56" t="s">
        <v>64</v>
      </c>
      <c r="C11" s="56" t="s">
        <v>65</v>
      </c>
      <c r="D11" s="56" t="s">
        <v>66</v>
      </c>
      <c r="E11" s="56" t="s">
        <v>67</v>
      </c>
      <c r="F11" s="56" t="s">
        <v>68</v>
      </c>
      <c r="G11" s="56" t="s">
        <v>69</v>
      </c>
      <c r="H11" s="55" t="str">
        <f t="shared" si="1"/>
        <v>CORRECT</v>
      </c>
      <c r="I11" s="55" t="s">
        <v>70</v>
      </c>
      <c r="J11" s="57" t="s">
        <v>70</v>
      </c>
      <c r="K11" s="58" t="s">
        <v>2444</v>
      </c>
      <c r="L11" s="59">
        <v>20363.0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17635.0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16530.0</v>
      </c>
    </row>
    <row r="14" ht="60.0" customHeight="1">
      <c r="A14" s="55">
        <v>8.0</v>
      </c>
      <c r="B14" s="56" t="s">
        <v>86</v>
      </c>
      <c r="C14" s="56" t="s">
        <v>87</v>
      </c>
      <c r="D14" s="56" t="s">
        <v>88</v>
      </c>
      <c r="E14" s="56" t="s">
        <v>89</v>
      </c>
      <c r="F14" s="56" t="s">
        <v>90</v>
      </c>
      <c r="G14" s="56" t="s">
        <v>91</v>
      </c>
      <c r="H14" s="55" t="str">
        <f t="shared" si="1"/>
        <v>WRONG</v>
      </c>
      <c r="I14" s="55" t="s">
        <v>47</v>
      </c>
      <c r="J14" s="57" t="s">
        <v>46</v>
      </c>
      <c r="K14" s="58" t="s">
        <v>2445</v>
      </c>
      <c r="L14" s="59">
        <v>37368.0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25779.0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2446</v>
      </c>
      <c r="L16" s="59">
        <v>23688.0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37485.0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22289.0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23595.0</v>
      </c>
    </row>
    <row r="20" ht="60.0" customHeight="1">
      <c r="A20" s="55">
        <v>14.0</v>
      </c>
      <c r="B20" s="56" t="s">
        <v>128</v>
      </c>
      <c r="C20" s="56" t="s">
        <v>129</v>
      </c>
      <c r="D20" s="56" t="s">
        <v>130</v>
      </c>
      <c r="E20" s="56" t="s">
        <v>131</v>
      </c>
      <c r="F20" s="56" t="s">
        <v>132</v>
      </c>
      <c r="G20" s="56" t="s">
        <v>133</v>
      </c>
      <c r="H20" s="55" t="str">
        <f t="shared" si="1"/>
        <v>CORRECT</v>
      </c>
      <c r="I20" s="55" t="s">
        <v>46</v>
      </c>
      <c r="J20" s="57" t="s">
        <v>46</v>
      </c>
      <c r="K20" s="58" t="s">
        <v>134</v>
      </c>
      <c r="L20" s="59">
        <v>20149.0</v>
      </c>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v>19372.0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18644.0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2447</v>
      </c>
      <c r="L23" s="59">
        <v>16587.0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21705.0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23202.0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26085.0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23965.0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2448</v>
      </c>
      <c r="L28" s="59">
        <v>58262.0</v>
      </c>
    </row>
    <row r="29" ht="60.0" customHeight="1">
      <c r="A29" s="55">
        <v>23.0</v>
      </c>
      <c r="B29" s="56" t="s">
        <v>191</v>
      </c>
      <c r="C29" s="56" t="s">
        <v>192</v>
      </c>
      <c r="D29" s="56" t="s">
        <v>193</v>
      </c>
      <c r="E29" s="56" t="s">
        <v>194</v>
      </c>
      <c r="F29" s="56" t="s">
        <v>195</v>
      </c>
      <c r="G29" s="56" t="s">
        <v>196</v>
      </c>
      <c r="H29" s="55" t="str">
        <f t="shared" si="1"/>
        <v>CORRECT</v>
      </c>
      <c r="I29" s="55" t="s">
        <v>46</v>
      </c>
      <c r="J29" s="57" t="s">
        <v>46</v>
      </c>
      <c r="K29" s="58" t="s">
        <v>197</v>
      </c>
      <c r="L29" s="59">
        <v>20016.0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17166.0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18678.0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2449</v>
      </c>
      <c r="L32" s="59">
        <v>27280.0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27020.0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23872.0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21591.0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2450</v>
      </c>
      <c r="L36" s="59">
        <v>19991.0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26176.0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20896.0</v>
      </c>
    </row>
    <row r="39" ht="60.0" customHeight="1">
      <c r="A39" s="55">
        <v>33.0</v>
      </c>
      <c r="B39" s="56" t="s">
        <v>261</v>
      </c>
      <c r="C39" s="56" t="s">
        <v>262</v>
      </c>
      <c r="D39" s="56" t="s">
        <v>263</v>
      </c>
      <c r="E39" s="56" t="s">
        <v>264</v>
      </c>
      <c r="F39" s="56" t="s">
        <v>265</v>
      </c>
      <c r="G39" s="56" t="s">
        <v>266</v>
      </c>
      <c r="H39" s="55" t="str">
        <f t="shared" si="1"/>
        <v>WRONG</v>
      </c>
      <c r="I39" s="55" t="s">
        <v>70</v>
      </c>
      <c r="J39" s="57" t="s">
        <v>46</v>
      </c>
      <c r="K39" s="58" t="s">
        <v>267</v>
      </c>
      <c r="L39" s="59">
        <v>30593.0</v>
      </c>
    </row>
    <row r="40" ht="60.0" customHeight="1">
      <c r="A40" s="55">
        <v>34.0</v>
      </c>
      <c r="B40" s="56" t="s">
        <v>268</v>
      </c>
      <c r="C40" s="56" t="s">
        <v>269</v>
      </c>
      <c r="D40" s="56" t="s">
        <v>270</v>
      </c>
      <c r="E40" s="56" t="s">
        <v>271</v>
      </c>
      <c r="F40" s="56" t="s">
        <v>272</v>
      </c>
      <c r="G40" s="56" t="s">
        <v>273</v>
      </c>
      <c r="H40" s="55" t="str">
        <f t="shared" si="1"/>
        <v>CORRECT</v>
      </c>
      <c r="I40" s="55" t="s">
        <v>47</v>
      </c>
      <c r="J40" s="57" t="s">
        <v>47</v>
      </c>
      <c r="K40" s="58" t="s">
        <v>274</v>
      </c>
      <c r="L40" s="59">
        <v>19158.0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23482.0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28631.0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15371.0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2451</v>
      </c>
      <c r="L44" s="59">
        <v>22412.0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22763.0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17860.0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59576.0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15752.0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38290.0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26869.0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2452</v>
      </c>
      <c r="L51" s="59">
        <v>15851.0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v>22993.0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33252.0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23439.0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19570.0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18799.0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393</v>
      </c>
      <c r="L57" s="59">
        <v>32833.0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18311.0</v>
      </c>
    </row>
    <row r="59" ht="60.0" customHeight="1">
      <c r="A59" s="55">
        <v>53.0</v>
      </c>
      <c r="B59" s="56" t="s">
        <v>401</v>
      </c>
      <c r="C59" s="56" t="s">
        <v>402</v>
      </c>
      <c r="D59" s="56" t="s">
        <v>403</v>
      </c>
      <c r="E59" s="56" t="s">
        <v>404</v>
      </c>
      <c r="F59" s="56" t="s">
        <v>405</v>
      </c>
      <c r="G59" s="56" t="s">
        <v>406</v>
      </c>
      <c r="H59" s="55" t="str">
        <f t="shared" si="1"/>
        <v>WRONG</v>
      </c>
      <c r="I59" s="55" t="s">
        <v>70</v>
      </c>
      <c r="J59" s="57" t="s">
        <v>55</v>
      </c>
      <c r="K59" s="58" t="s">
        <v>2453</v>
      </c>
      <c r="L59" s="59">
        <v>19066.0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18261.0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17853.0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20780.0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28709.0</v>
      </c>
    </row>
    <row r="64" ht="60.0" customHeight="1">
      <c r="A64" s="55">
        <v>58.0</v>
      </c>
      <c r="B64" s="56" t="s">
        <v>436</v>
      </c>
      <c r="C64" s="56" t="s">
        <v>437</v>
      </c>
      <c r="D64" s="56" t="s">
        <v>438</v>
      </c>
      <c r="E64" s="56" t="s">
        <v>439</v>
      </c>
      <c r="F64" s="56" t="s">
        <v>440</v>
      </c>
      <c r="G64" s="56" t="s">
        <v>441</v>
      </c>
      <c r="H64" s="55" t="str">
        <f t="shared" si="1"/>
        <v>WRONG</v>
      </c>
      <c r="I64" s="55" t="s">
        <v>70</v>
      </c>
      <c r="J64" s="57" t="s">
        <v>38</v>
      </c>
      <c r="K64" s="58" t="s">
        <v>442</v>
      </c>
      <c r="L64" s="59">
        <v>19120.0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28089.0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18524.0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28452.0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38197.0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19307.0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37244.0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42478.0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24001.0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23636.0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16140.0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25351.0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23416.0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23109.0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30681.0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21465.0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24493.0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31503.0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20953.0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23925.0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22700.0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30332.0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17182.0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18423.0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2454</v>
      </c>
      <c r="L88" s="59">
        <v>29067.0</v>
      </c>
    </row>
    <row r="89" ht="60.0" customHeight="1">
      <c r="A89" s="55">
        <v>83.0</v>
      </c>
      <c r="B89" s="56" t="s">
        <v>611</v>
      </c>
      <c r="C89" s="56" t="s">
        <v>612</v>
      </c>
      <c r="D89" s="56" t="s">
        <v>613</v>
      </c>
      <c r="E89" s="56" t="s">
        <v>614</v>
      </c>
      <c r="F89" s="56" t="s">
        <v>615</v>
      </c>
      <c r="G89" s="56" t="s">
        <v>616</v>
      </c>
      <c r="H89" s="55" t="str">
        <f t="shared" si="1"/>
        <v>WRONG</v>
      </c>
      <c r="I89" s="55" t="s">
        <v>46</v>
      </c>
      <c r="J89" s="57" t="s">
        <v>38</v>
      </c>
      <c r="K89" s="58" t="s">
        <v>617</v>
      </c>
      <c r="L89" s="59">
        <v>19960.0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624</v>
      </c>
      <c r="L90" s="60">
        <v>32878.0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2" t="s">
        <v>2455</v>
      </c>
      <c r="L91" s="60">
        <v>29125.0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0">
        <v>19280.0</v>
      </c>
    </row>
    <row r="93" ht="60.0" customHeight="1">
      <c r="A93" s="55">
        <v>87.0</v>
      </c>
      <c r="B93" s="56" t="s">
        <v>639</v>
      </c>
      <c r="C93" s="56" t="s">
        <v>640</v>
      </c>
      <c r="D93" s="56" t="s">
        <v>641</v>
      </c>
      <c r="E93" s="56" t="s">
        <v>642</v>
      </c>
      <c r="F93" s="56" t="s">
        <v>643</v>
      </c>
      <c r="G93" s="56" t="s">
        <v>644</v>
      </c>
      <c r="H93" s="55" t="str">
        <f t="shared" si="1"/>
        <v>WRONG</v>
      </c>
      <c r="I93" s="55" t="s">
        <v>70</v>
      </c>
      <c r="J93" s="55" t="s">
        <v>46</v>
      </c>
      <c r="K93" s="62" t="s">
        <v>645</v>
      </c>
      <c r="L93" s="60">
        <v>21708.0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2456</v>
      </c>
      <c r="L94" s="60">
        <v>30254.0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659</v>
      </c>
      <c r="L95" s="60">
        <v>20252.0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666</v>
      </c>
      <c r="L96" s="60">
        <v>43283.0</v>
      </c>
    </row>
    <row r="97" ht="60.0" customHeight="1">
      <c r="A97" s="55">
        <v>91.0</v>
      </c>
      <c r="B97" s="56" t="s">
        <v>667</v>
      </c>
      <c r="C97" s="56" t="s">
        <v>668</v>
      </c>
      <c r="D97" s="56" t="s">
        <v>669</v>
      </c>
      <c r="E97" s="56" t="s">
        <v>670</v>
      </c>
      <c r="F97" s="56" t="s">
        <v>671</v>
      </c>
      <c r="G97" s="56" t="s">
        <v>672</v>
      </c>
      <c r="H97" s="55" t="str">
        <f t="shared" si="1"/>
        <v>WRONG</v>
      </c>
      <c r="I97" s="55" t="s">
        <v>46</v>
      </c>
      <c r="J97" s="55" t="s">
        <v>70</v>
      </c>
      <c r="K97" s="62" t="s">
        <v>673</v>
      </c>
      <c r="L97" s="60">
        <v>20737.0</v>
      </c>
    </row>
    <row r="98" ht="60.0" customHeight="1">
      <c r="A98" s="55">
        <v>92.0</v>
      </c>
      <c r="B98" s="56" t="s">
        <v>674</v>
      </c>
      <c r="C98" s="56" t="s">
        <v>675</v>
      </c>
      <c r="D98" s="56" t="s">
        <v>676</v>
      </c>
      <c r="E98" s="56" t="s">
        <v>677</v>
      </c>
      <c r="F98" s="56" t="s">
        <v>678</v>
      </c>
      <c r="G98" s="56" t="s">
        <v>679</v>
      </c>
      <c r="H98" s="55" t="str">
        <f t="shared" si="1"/>
        <v>WRONG</v>
      </c>
      <c r="I98" s="55" t="s">
        <v>55</v>
      </c>
      <c r="J98" s="55" t="s">
        <v>38</v>
      </c>
      <c r="K98" s="62" t="s">
        <v>680</v>
      </c>
      <c r="L98" s="60">
        <v>19473.0</v>
      </c>
    </row>
    <row r="99" ht="60.0" customHeight="1">
      <c r="A99" s="55">
        <v>93.0</v>
      </c>
      <c r="B99" s="56" t="s">
        <v>681</v>
      </c>
      <c r="C99" s="56" t="s">
        <v>682</v>
      </c>
      <c r="D99" s="56" t="s">
        <v>683</v>
      </c>
      <c r="E99" s="56" t="s">
        <v>684</v>
      </c>
      <c r="F99" s="56" t="s">
        <v>685</v>
      </c>
      <c r="G99" s="56" t="s">
        <v>686</v>
      </c>
      <c r="H99" s="55" t="str">
        <f t="shared" si="1"/>
        <v>WRONG</v>
      </c>
      <c r="I99" s="55" t="s">
        <v>46</v>
      </c>
      <c r="J99" s="55" t="s">
        <v>55</v>
      </c>
      <c r="K99" s="62" t="s">
        <v>687</v>
      </c>
      <c r="L99" s="60">
        <v>20015.0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2457</v>
      </c>
      <c r="L100" s="60">
        <v>20791.0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701</v>
      </c>
      <c r="L101" s="60">
        <v>28084.0</v>
      </c>
    </row>
    <row r="102" ht="60.0" customHeight="1">
      <c r="A102" s="55">
        <v>96.0</v>
      </c>
      <c r="B102" s="56" t="s">
        <v>702</v>
      </c>
      <c r="C102" s="56" t="s">
        <v>703</v>
      </c>
      <c r="D102" s="56" t="s">
        <v>704</v>
      </c>
      <c r="E102" s="56" t="s">
        <v>705</v>
      </c>
      <c r="F102" s="56" t="s">
        <v>706</v>
      </c>
      <c r="G102" s="56" t="s">
        <v>707</v>
      </c>
      <c r="H102" s="55" t="str">
        <f t="shared" si="1"/>
        <v>WRONG</v>
      </c>
      <c r="I102" s="55" t="s">
        <v>47</v>
      </c>
      <c r="J102" s="55" t="s">
        <v>55</v>
      </c>
      <c r="K102" s="62" t="s">
        <v>708</v>
      </c>
      <c r="L102" s="60">
        <v>20896.0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715</v>
      </c>
      <c r="L103" s="60">
        <v>18697.0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0">
        <v>21038.0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729</v>
      </c>
      <c r="L105" s="60">
        <v>23595.0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736</v>
      </c>
      <c r="L106" s="60">
        <v>33374.0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0">
        <v>22141.0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2" t="s">
        <v>750</v>
      </c>
      <c r="L108" s="60">
        <v>15561.0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757</v>
      </c>
      <c r="L109" s="60">
        <v>22328.0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764</v>
      </c>
      <c r="L110" s="60">
        <v>36155.0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771</v>
      </c>
      <c r="L111" s="60">
        <v>26970.0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2" t="s">
        <v>778</v>
      </c>
      <c r="L112" s="60">
        <v>27523.0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785</v>
      </c>
      <c r="L113" s="60">
        <v>23532.0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792</v>
      </c>
      <c r="L114" s="60">
        <v>25878.0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0">
        <v>32756.0</v>
      </c>
    </row>
    <row r="116" ht="60.0" customHeight="1">
      <c r="A116" s="55">
        <v>110.0</v>
      </c>
      <c r="B116" s="56" t="s">
        <v>800</v>
      </c>
      <c r="C116" s="56" t="s">
        <v>801</v>
      </c>
      <c r="D116" s="56" t="s">
        <v>802</v>
      </c>
      <c r="E116" s="56" t="s">
        <v>803</v>
      </c>
      <c r="F116" s="56" t="s">
        <v>804</v>
      </c>
      <c r="G116" s="56" t="s">
        <v>805</v>
      </c>
      <c r="H116" s="55" t="str">
        <f t="shared" si="1"/>
        <v>WRONG</v>
      </c>
      <c r="I116" s="55" t="s">
        <v>46</v>
      </c>
      <c r="J116" s="55" t="s">
        <v>47</v>
      </c>
      <c r="K116" s="62" t="s">
        <v>806</v>
      </c>
      <c r="L116" s="60">
        <v>31283.0</v>
      </c>
    </row>
    <row r="117" ht="60.0" customHeight="1">
      <c r="A117" s="55">
        <v>111.0</v>
      </c>
      <c r="B117" s="56" t="s">
        <v>807</v>
      </c>
      <c r="C117" s="56" t="s">
        <v>808</v>
      </c>
      <c r="D117" s="56" t="s">
        <v>809</v>
      </c>
      <c r="E117" s="56" t="s">
        <v>810</v>
      </c>
      <c r="F117" s="56" t="s">
        <v>811</v>
      </c>
      <c r="G117" s="56" t="s">
        <v>812</v>
      </c>
      <c r="H117" s="55" t="str">
        <f t="shared" si="1"/>
        <v>WRONG</v>
      </c>
      <c r="I117" s="55" t="s">
        <v>38</v>
      </c>
      <c r="J117" s="55" t="s">
        <v>47</v>
      </c>
      <c r="K117" s="62" t="s">
        <v>813</v>
      </c>
      <c r="L117" s="60">
        <v>16505.0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0">
        <v>14630.0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2" t="s">
        <v>827</v>
      </c>
      <c r="L119" s="60">
        <v>24706.0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834</v>
      </c>
      <c r="L120" s="60">
        <v>15315.0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0">
        <v>17170.0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0">
        <v>24368.0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0">
        <v>17062.0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2458</v>
      </c>
      <c r="L124" s="60">
        <v>20745.0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869</v>
      </c>
      <c r="L125" s="60">
        <v>31110.0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876</v>
      </c>
      <c r="L126" s="60">
        <v>30707.0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2" t="s">
        <v>883</v>
      </c>
      <c r="L127" s="60">
        <v>23417.0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0">
        <v>30844.0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62" t="s">
        <v>897</v>
      </c>
      <c r="L129" s="60">
        <v>16983.0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0">
        <v>22576.0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0">
        <v>16330.0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0">
        <v>19739.0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62" t="s">
        <v>925</v>
      </c>
      <c r="L133" s="60">
        <v>18576.0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2459</v>
      </c>
      <c r="L134" s="60">
        <v>25113.0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939</v>
      </c>
      <c r="L135" s="60">
        <v>21485.0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0">
        <v>25158.0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0">
        <v>18024.0</v>
      </c>
    </row>
    <row r="138" ht="60.0" customHeight="1">
      <c r="A138" s="55">
        <v>132.0</v>
      </c>
      <c r="B138" s="56" t="s">
        <v>954</v>
      </c>
      <c r="C138" s="56" t="s">
        <v>689</v>
      </c>
      <c r="D138" s="56" t="s">
        <v>955</v>
      </c>
      <c r="E138" s="56" t="s">
        <v>956</v>
      </c>
      <c r="F138" s="56" t="s">
        <v>957</v>
      </c>
      <c r="G138" s="56" t="s">
        <v>958</v>
      </c>
      <c r="H138" s="55" t="str">
        <f t="shared" si="1"/>
        <v>CORRECT</v>
      </c>
      <c r="I138" s="55" t="s">
        <v>47</v>
      </c>
      <c r="J138" s="55" t="s">
        <v>47</v>
      </c>
      <c r="K138" s="62" t="s">
        <v>959</v>
      </c>
      <c r="L138" s="60">
        <v>15249.0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2" t="s">
        <v>966</v>
      </c>
      <c r="L139" s="60">
        <v>23173.0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0">
        <v>23750.0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0">
        <v>22690.0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0">
        <v>20735.0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0">
        <v>24242.0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62" t="s">
        <v>1001</v>
      </c>
      <c r="L144" s="60">
        <v>13023.0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0">
        <v>32859.0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47</v>
      </c>
      <c r="K146" s="62" t="s">
        <v>1014</v>
      </c>
      <c r="L146" s="60">
        <v>18143.0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0">
        <v>19391.0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0">
        <v>14384.0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0">
        <v>21675.0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1041</v>
      </c>
      <c r="L150" s="60">
        <v>18318.0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1047</v>
      </c>
      <c r="L151" s="60">
        <v>23872.0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0">
        <v>20377.0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0">
        <v>32295.0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0">
        <v>26735.0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0">
        <v>21018.0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0">
        <v>31409.0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0">
        <v>47431.0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0">
        <v>26904.0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0">
        <v>24936.0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0">
        <v>24152.0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0">
        <v>25286.0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0">
        <v>30496.0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0">
        <v>23146.0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0">
        <v>22329.0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2460</v>
      </c>
      <c r="L165" s="60">
        <v>15209.0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0">
        <v>20059.0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2" t="s">
        <v>1153</v>
      </c>
      <c r="L167" s="60">
        <v>43768.0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0">
        <v>26289.0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2" t="s">
        <v>1166</v>
      </c>
      <c r="L169" s="60">
        <v>23807.0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62" t="s">
        <v>1173</v>
      </c>
      <c r="L170" s="60">
        <v>21026.0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0">
        <v>19077.0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70</v>
      </c>
      <c r="K172" s="62" t="s">
        <v>1186</v>
      </c>
      <c r="L172" s="60">
        <v>16592.0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2461</v>
      </c>
      <c r="L173" s="60">
        <v>21827.0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0">
        <v>20282.0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2" t="s">
        <v>1206</v>
      </c>
      <c r="L175" s="60">
        <v>17263.0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62" t="s">
        <v>1213</v>
      </c>
      <c r="L176" s="60">
        <v>24004.0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0">
        <v>14811.0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0">
        <v>33060.0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0">
        <v>15229.0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0">
        <v>14173.0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0">
        <v>17063.0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0">
        <v>24015.0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0">
        <v>25889.0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0">
        <v>16777.0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62" t="s">
        <v>1274</v>
      </c>
      <c r="L185" s="60">
        <v>21451.0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0">
        <v>11724.0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1288</v>
      </c>
      <c r="L187" s="60">
        <v>27450.0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0">
        <v>23425.0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62" t="s">
        <v>1302</v>
      </c>
      <c r="L189" s="60">
        <v>26835.0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0">
        <v>28999.0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0">
        <v>27251.0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0">
        <v>36386.0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0">
        <v>26320.0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62" t="s">
        <v>1337</v>
      </c>
      <c r="L194" s="60">
        <v>26036.0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1343</v>
      </c>
      <c r="L195" s="60">
        <v>21543.0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2" t="s">
        <v>1350</v>
      </c>
      <c r="L196" s="60">
        <v>21841.0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0">
        <v>18836.0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1364</v>
      </c>
      <c r="L198" s="60">
        <v>22636.0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0">
        <v>27019.0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0">
        <v>22717.0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2" t="s">
        <v>1384</v>
      </c>
      <c r="L201" s="60">
        <v>21032.0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0">
        <v>21893.0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2" t="s">
        <v>1397</v>
      </c>
      <c r="L203" s="60">
        <v>11335.0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0">
        <v>18728.0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2" t="s">
        <v>1411</v>
      </c>
      <c r="L205" s="60">
        <v>21206.0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0">
        <v>19869.0</v>
      </c>
    </row>
    <row r="207" ht="60.0" customHeight="1">
      <c r="A207" s="55">
        <v>201.0</v>
      </c>
      <c r="B207" s="56" t="s">
        <v>1419</v>
      </c>
      <c r="C207" s="56" t="s">
        <v>1420</v>
      </c>
      <c r="D207" s="56" t="s">
        <v>1421</v>
      </c>
      <c r="E207" s="56" t="s">
        <v>1422</v>
      </c>
      <c r="F207" s="56" t="s">
        <v>1423</v>
      </c>
      <c r="G207" s="56" t="s">
        <v>1424</v>
      </c>
      <c r="H207" s="55" t="str">
        <f t="shared" si="1"/>
        <v>WRONG</v>
      </c>
      <c r="I207" s="55" t="s">
        <v>55</v>
      </c>
      <c r="J207" s="55" t="s">
        <v>38</v>
      </c>
      <c r="K207" s="62" t="s">
        <v>1425</v>
      </c>
      <c r="L207" s="60">
        <v>22189.0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0">
        <v>26107.0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0">
        <v>28970.0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62" t="s">
        <v>1445</v>
      </c>
      <c r="L210" s="60">
        <v>29688.0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0">
        <v>20346.0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0">
        <v>20498.0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62" t="s">
        <v>1466</v>
      </c>
      <c r="L213" s="60">
        <v>19378.0</v>
      </c>
    </row>
    <row r="214" ht="60.0" customHeight="1">
      <c r="A214" s="55">
        <v>208.0</v>
      </c>
      <c r="B214" s="56" t="s">
        <v>1467</v>
      </c>
      <c r="C214" s="56" t="s">
        <v>1468</v>
      </c>
      <c r="D214" s="56" t="s">
        <v>1469</v>
      </c>
      <c r="E214" s="56" t="s">
        <v>1470</v>
      </c>
      <c r="F214" s="56" t="s">
        <v>1471</v>
      </c>
      <c r="G214" s="56" t="s">
        <v>1472</v>
      </c>
      <c r="H214" s="55" t="str">
        <f t="shared" si="1"/>
        <v>WRONG</v>
      </c>
      <c r="I214" s="55" t="s">
        <v>38</v>
      </c>
      <c r="J214" s="55" t="s">
        <v>55</v>
      </c>
      <c r="K214" s="62" t="s">
        <v>1473</v>
      </c>
      <c r="L214" s="60">
        <v>37112.0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0">
        <v>32404.0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0">
        <v>14465.0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2462</v>
      </c>
      <c r="L217" s="60">
        <v>21886.0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2" t="s">
        <v>1501</v>
      </c>
      <c r="L218" s="60">
        <v>34712.0</v>
      </c>
    </row>
    <row r="219" ht="60.0" customHeight="1">
      <c r="A219" s="55">
        <v>213.0</v>
      </c>
      <c r="B219" s="56" t="s">
        <v>1502</v>
      </c>
      <c r="C219" s="56" t="s">
        <v>1503</v>
      </c>
      <c r="D219" s="56" t="s">
        <v>1504</v>
      </c>
      <c r="E219" s="56" t="s">
        <v>1505</v>
      </c>
      <c r="F219" s="56" t="s">
        <v>1506</v>
      </c>
      <c r="G219" s="56" t="s">
        <v>1507</v>
      </c>
      <c r="H219" s="55" t="str">
        <f t="shared" si="1"/>
        <v>WRONG</v>
      </c>
      <c r="I219" s="55" t="s">
        <v>55</v>
      </c>
      <c r="J219" s="55" t="s">
        <v>47</v>
      </c>
      <c r="K219" s="62" t="s">
        <v>1508</v>
      </c>
      <c r="L219" s="60">
        <v>20190.0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0">
        <v>20670.0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0">
        <v>21060.0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0">
        <v>30522.0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0">
        <v>19800.0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2" t="s">
        <v>1543</v>
      </c>
      <c r="L224" s="60">
        <v>15895.0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2" t="s">
        <v>1549</v>
      </c>
      <c r="L225" s="60">
        <v>25838.0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0">
        <v>17440.0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0">
        <v>26354.0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0">
        <v>20460.0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0">
        <v>20758.0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2" t="s">
        <v>1583</v>
      </c>
      <c r="L230" s="60">
        <v>21476.0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0">
        <v>25371.0</v>
      </c>
    </row>
    <row r="232" ht="60.0" customHeight="1">
      <c r="A232" s="55">
        <v>226.0</v>
      </c>
      <c r="B232" s="56" t="s">
        <v>1591</v>
      </c>
      <c r="C232" s="56" t="s">
        <v>1592</v>
      </c>
      <c r="D232" s="56" t="s">
        <v>1593</v>
      </c>
      <c r="E232" s="56" t="s">
        <v>1594</v>
      </c>
      <c r="F232" s="56" t="s">
        <v>1595</v>
      </c>
      <c r="G232" s="56" t="s">
        <v>1596</v>
      </c>
      <c r="H232" s="55" t="str">
        <f t="shared" si="1"/>
        <v>WRONG</v>
      </c>
      <c r="I232" s="55" t="s">
        <v>38</v>
      </c>
      <c r="J232" s="55" t="s">
        <v>55</v>
      </c>
      <c r="K232" s="62" t="s">
        <v>1597</v>
      </c>
      <c r="L232" s="60">
        <v>26891.0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0">
        <v>25149.0</v>
      </c>
    </row>
    <row r="234" ht="60.0" customHeight="1">
      <c r="A234" s="55">
        <v>228.0</v>
      </c>
      <c r="B234" s="56" t="s">
        <v>1605</v>
      </c>
      <c r="C234" s="56" t="s">
        <v>1606</v>
      </c>
      <c r="D234" s="56" t="s">
        <v>1607</v>
      </c>
      <c r="E234" s="56" t="s">
        <v>1608</v>
      </c>
      <c r="F234" s="56" t="s">
        <v>1609</v>
      </c>
      <c r="G234" s="56" t="s">
        <v>1610</v>
      </c>
      <c r="H234" s="55" t="str">
        <f t="shared" si="1"/>
        <v>WRONG</v>
      </c>
      <c r="I234" s="55" t="s">
        <v>46</v>
      </c>
      <c r="J234" s="55" t="s">
        <v>70</v>
      </c>
      <c r="K234" s="62" t="s">
        <v>1611</v>
      </c>
      <c r="L234" s="60">
        <v>24314.0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0">
        <v>25604.0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0">
        <v>23096.0</v>
      </c>
    </row>
    <row r="237" ht="60.0" customHeight="1">
      <c r="A237" s="55">
        <v>231.0</v>
      </c>
      <c r="B237" s="56" t="s">
        <v>1626</v>
      </c>
      <c r="C237" s="56" t="s">
        <v>1627</v>
      </c>
      <c r="D237" s="56" t="s">
        <v>1628</v>
      </c>
      <c r="E237" s="56" t="s">
        <v>1629</v>
      </c>
      <c r="F237" s="56" t="s">
        <v>1630</v>
      </c>
      <c r="G237" s="56" t="s">
        <v>1631</v>
      </c>
      <c r="H237" s="55" t="str">
        <f t="shared" si="1"/>
        <v>CORRECT</v>
      </c>
      <c r="I237" s="55" t="s">
        <v>47</v>
      </c>
      <c r="J237" s="55" t="s">
        <v>47</v>
      </c>
      <c r="K237" s="62" t="s">
        <v>1632</v>
      </c>
      <c r="L237" s="60">
        <v>12982.0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0">
        <v>23721.0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0">
        <v>44975.0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2463</v>
      </c>
      <c r="L240" s="60">
        <v>28101.0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0">
        <v>36714.0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1666</v>
      </c>
      <c r="L242" s="60">
        <v>34842.0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2464</v>
      </c>
      <c r="L243" s="60">
        <v>25609.0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0">
        <v>28963.0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0">
        <v>16998.0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1694</v>
      </c>
      <c r="L246" s="60">
        <v>26515.0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0">
        <v>26194.0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0">
        <v>21558.0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0">
        <v>23635.0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0">
        <v>22944.0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62" t="s">
        <v>1729</v>
      </c>
      <c r="L251" s="60">
        <v>19314.0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0">
        <v>21739.0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0">
        <v>22468.0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0">
        <v>25879.0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0">
        <v>24956.0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0">
        <v>27903.0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0">
        <v>17237.0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0">
        <v>16906.0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0">
        <v>27162.0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2465</v>
      </c>
      <c r="L260" s="60">
        <v>29682.0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0">
        <v>41525.0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0">
        <v>20116.0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0">
        <v>32725.0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2466</v>
      </c>
      <c r="L264" s="60">
        <v>20893.0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0">
        <v>23859.0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0">
        <v>29323.0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0">
        <v>26084.0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0">
        <v>18099.0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2" t="s">
        <v>1851</v>
      </c>
      <c r="L269" s="60">
        <v>22710.0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0">
        <v>22785.0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0">
        <v>23968.0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1872</v>
      </c>
      <c r="L272" s="60">
        <v>24722.0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0">
        <v>38151.0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2" t="s">
        <v>1885</v>
      </c>
      <c r="L274" s="60">
        <v>29424.0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0">
        <v>23228.0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2467</v>
      </c>
      <c r="L276" s="60">
        <v>19172.0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0">
        <v>23166.0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0">
        <v>35164.0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0">
        <v>47554.0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0">
        <v>34352.0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1933</v>
      </c>
      <c r="L281" s="60">
        <v>30877.0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1940</v>
      </c>
      <c r="L282" s="60">
        <v>26585.0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0">
        <v>43295.0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0">
        <v>36337.0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2" t="s">
        <v>1961</v>
      </c>
      <c r="L285" s="60">
        <v>28950.0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0">
        <v>25048.0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2" t="s">
        <v>1975</v>
      </c>
      <c r="L287" s="60">
        <v>20247.0</v>
      </c>
    </row>
    <row r="288" ht="60.0" customHeight="1">
      <c r="A288" s="55">
        <v>282.0</v>
      </c>
      <c r="B288" s="56" t="s">
        <v>1976</v>
      </c>
      <c r="C288" s="56" t="s">
        <v>1977</v>
      </c>
      <c r="D288" s="56" t="s">
        <v>1978</v>
      </c>
      <c r="E288" s="56" t="s">
        <v>1979</v>
      </c>
      <c r="F288" s="56" t="s">
        <v>1980</v>
      </c>
      <c r="G288" s="56" t="s">
        <v>1981</v>
      </c>
      <c r="H288" s="55" t="str">
        <f t="shared" si="1"/>
        <v>WRONG</v>
      </c>
      <c r="I288" s="55" t="s">
        <v>46</v>
      </c>
      <c r="J288" s="55" t="s">
        <v>47</v>
      </c>
      <c r="K288" s="62" t="s">
        <v>1982</v>
      </c>
      <c r="L288" s="60">
        <v>29314.0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0">
        <v>43920.0</v>
      </c>
    </row>
    <row r="290" ht="60.0" customHeight="1">
      <c r="A290" s="55">
        <v>284.0</v>
      </c>
      <c r="B290" s="56" t="s">
        <v>1990</v>
      </c>
      <c r="C290" s="56" t="s">
        <v>1991</v>
      </c>
      <c r="D290" s="56" t="s">
        <v>1992</v>
      </c>
      <c r="E290" s="56" t="s">
        <v>1993</v>
      </c>
      <c r="F290" s="56" t="s">
        <v>1994</v>
      </c>
      <c r="G290" s="56" t="s">
        <v>972</v>
      </c>
      <c r="H290" s="55" t="str">
        <f t="shared" si="1"/>
        <v>WRONG</v>
      </c>
      <c r="I290" s="55" t="s">
        <v>38</v>
      </c>
      <c r="J290" s="55" t="s">
        <v>47</v>
      </c>
      <c r="K290" s="62" t="s">
        <v>1995</v>
      </c>
      <c r="L290" s="60">
        <v>33584.0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2" t="s">
        <v>2002</v>
      </c>
      <c r="L291" s="60">
        <v>18919.0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2009</v>
      </c>
      <c r="L292" s="60">
        <v>26039.0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0">
        <v>25914.0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0">
        <v>25380.0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2029</v>
      </c>
      <c r="L295" s="60">
        <v>15692.0</v>
      </c>
    </row>
    <row r="296" ht="60.0" customHeight="1">
      <c r="A296" s="55">
        <v>290.0</v>
      </c>
      <c r="B296" s="56" t="s">
        <v>2030</v>
      </c>
      <c r="C296" s="56" t="s">
        <v>2031</v>
      </c>
      <c r="D296" s="56" t="s">
        <v>2032</v>
      </c>
      <c r="E296" s="56" t="s">
        <v>2033</v>
      </c>
      <c r="F296" s="56" t="s">
        <v>2034</v>
      </c>
      <c r="G296" s="56" t="s">
        <v>972</v>
      </c>
      <c r="H296" s="55" t="str">
        <f t="shared" si="1"/>
        <v>CORRECT</v>
      </c>
      <c r="I296" s="55" t="s">
        <v>55</v>
      </c>
      <c r="J296" s="55" t="s">
        <v>55</v>
      </c>
      <c r="K296" s="62" t="s">
        <v>2035</v>
      </c>
      <c r="L296" s="60">
        <v>24706.0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2" t="s">
        <v>2041</v>
      </c>
      <c r="L297" s="60">
        <v>15988.0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0">
        <v>28898.0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0">
        <v>17127.0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0">
        <v>26984.0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2068</v>
      </c>
      <c r="L301" s="60">
        <v>30875.0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55</v>
      </c>
      <c r="K302" s="62" t="s">
        <v>2075</v>
      </c>
      <c r="L302" s="60">
        <v>21576.0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62" t="s">
        <v>2082</v>
      </c>
      <c r="L303" s="60">
        <v>24514.0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0">
        <v>38114.0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0">
        <v>28605.0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0">
        <v>23943.0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0">
        <v>22113.0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0">
        <v>21653.0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2122</v>
      </c>
      <c r="L309" s="60">
        <v>14129.0</v>
      </c>
    </row>
    <row r="310" ht="60.0" customHeight="1">
      <c r="A310" s="55">
        <v>304.0</v>
      </c>
      <c r="B310" s="56" t="s">
        <v>2123</v>
      </c>
      <c r="C310" s="56" t="s">
        <v>2124</v>
      </c>
      <c r="D310" s="56" t="s">
        <v>2125</v>
      </c>
      <c r="E310" s="56" t="s">
        <v>2126</v>
      </c>
      <c r="F310" s="56" t="s">
        <v>2127</v>
      </c>
      <c r="G310" s="56" t="s">
        <v>2128</v>
      </c>
      <c r="H310" s="55" t="str">
        <f t="shared" si="1"/>
        <v>WRONG</v>
      </c>
      <c r="I310" s="55" t="s">
        <v>46</v>
      </c>
      <c r="J310" s="55" t="s">
        <v>47</v>
      </c>
      <c r="K310" s="62" t="s">
        <v>2129</v>
      </c>
      <c r="L310" s="60">
        <v>22470.0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62" t="s">
        <v>2136</v>
      </c>
      <c r="L311" s="60">
        <v>26267.0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62" t="s">
        <v>2143</v>
      </c>
      <c r="L312" s="60">
        <v>11364.0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2" t="s">
        <v>2150</v>
      </c>
      <c r="L313" s="60">
        <v>15632.0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0">
        <v>20934.0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0">
        <v>16427.0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0">
        <v>26715.0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2174</v>
      </c>
      <c r="L317" s="60">
        <v>45644.0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0">
        <v>45323.0</v>
      </c>
    </row>
    <row r="319" ht="60.0" customHeight="1">
      <c r="A319" s="55">
        <v>313.0</v>
      </c>
      <c r="B319" s="56" t="s">
        <v>2181</v>
      </c>
      <c r="C319" s="56" t="s">
        <v>2182</v>
      </c>
      <c r="D319" s="56" t="s">
        <v>2183</v>
      </c>
      <c r="E319" s="56" t="s">
        <v>2184</v>
      </c>
      <c r="F319" s="56" t="s">
        <v>2185</v>
      </c>
      <c r="G319" s="56" t="s">
        <v>2186</v>
      </c>
      <c r="H319" s="55" t="str">
        <f t="shared" si="1"/>
        <v>WRONG</v>
      </c>
      <c r="I319" s="55" t="s">
        <v>46</v>
      </c>
      <c r="J319" s="55" t="s">
        <v>55</v>
      </c>
      <c r="K319" s="62" t="s">
        <v>2187</v>
      </c>
      <c r="L319" s="60">
        <v>25513.0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0">
        <v>36211.0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0">
        <v>23403.0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0">
        <v>19015.0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0">
        <v>39824.0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2221</v>
      </c>
      <c r="L324" s="60">
        <v>25797.0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0">
        <v>43408.0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0">
        <v>26471.0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0">
        <v>35054.0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0">
        <v>38015.0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0">
        <v>22282.0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0">
        <v>35501.0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2" t="s">
        <v>2270</v>
      </c>
      <c r="L331" s="60">
        <v>24378.0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70</v>
      </c>
      <c r="K332" s="62" t="s">
        <v>2277</v>
      </c>
      <c r="L332" s="60">
        <v>32586.0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2" t="s">
        <v>2284</v>
      </c>
      <c r="L333" s="60">
        <v>25849.0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0">
        <v>18947.0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47</v>
      </c>
      <c r="K335" s="62" t="s">
        <v>2298</v>
      </c>
      <c r="L335" s="60">
        <v>19687.0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0">
        <v>19731.0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0">
        <v>35941.0</v>
      </c>
    </row>
    <row r="338" ht="60.0" customHeight="1">
      <c r="A338" s="55">
        <v>332.0</v>
      </c>
      <c r="B338" s="56" t="s">
        <v>2313</v>
      </c>
      <c r="C338" s="56" t="s">
        <v>2314</v>
      </c>
      <c r="D338" s="56" t="s">
        <v>2315</v>
      </c>
      <c r="E338" s="56" t="s">
        <v>2316</v>
      </c>
      <c r="F338" s="56" t="s">
        <v>2317</v>
      </c>
      <c r="G338" s="56" t="s">
        <v>2318</v>
      </c>
      <c r="H338" s="55" t="str">
        <f t="shared" si="1"/>
        <v>WRONG</v>
      </c>
      <c r="I338" s="55" t="s">
        <v>46</v>
      </c>
      <c r="J338" s="55" t="s">
        <v>55</v>
      </c>
      <c r="K338" s="62" t="s">
        <v>2319</v>
      </c>
      <c r="L338" s="60">
        <v>17093.0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0">
        <v>33718.0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0">
        <v>27763.0</v>
      </c>
    </row>
    <row r="341" ht="60.0" customHeight="1">
      <c r="A341" s="55">
        <v>335.0</v>
      </c>
      <c r="B341" s="56" t="s">
        <v>2333</v>
      </c>
      <c r="C341" s="56" t="s">
        <v>2334</v>
      </c>
      <c r="D341" s="56" t="s">
        <v>2335</v>
      </c>
      <c r="E341" s="56" t="s">
        <v>2336</v>
      </c>
      <c r="F341" s="56" t="s">
        <v>2337</v>
      </c>
      <c r="G341" s="56" t="s">
        <v>2338</v>
      </c>
      <c r="H341" s="55" t="str">
        <f t="shared" si="1"/>
        <v>WRONG</v>
      </c>
      <c r="I341" s="55" t="s">
        <v>38</v>
      </c>
      <c r="J341" s="55" t="s">
        <v>55</v>
      </c>
      <c r="K341" s="62" t="s">
        <v>2339</v>
      </c>
      <c r="L341" s="60">
        <v>23737.0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0">
        <v>27763.0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70</v>
      </c>
      <c r="K343" s="62" t="s">
        <v>2353</v>
      </c>
      <c r="L343" s="60">
        <v>21966.0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2" t="s">
        <v>2360</v>
      </c>
      <c r="L344" s="60">
        <v>33092.0</v>
      </c>
    </row>
    <row r="345" ht="60.0" customHeight="1">
      <c r="A345" s="55">
        <v>339.0</v>
      </c>
      <c r="B345" s="56" t="s">
        <v>2361</v>
      </c>
      <c r="C345" s="56" t="s">
        <v>2362</v>
      </c>
      <c r="D345" s="56" t="s">
        <v>2363</v>
      </c>
      <c r="E345" s="56" t="s">
        <v>2364</v>
      </c>
      <c r="F345" s="56" t="s">
        <v>2365</v>
      </c>
      <c r="G345" s="56" t="s">
        <v>972</v>
      </c>
      <c r="H345" s="55" t="str">
        <f t="shared" si="1"/>
        <v>CORRECT</v>
      </c>
      <c r="I345" s="55" t="s">
        <v>46</v>
      </c>
      <c r="J345" s="55" t="s">
        <v>46</v>
      </c>
      <c r="K345" s="62" t="s">
        <v>2366</v>
      </c>
      <c r="L345" s="60">
        <v>16315.0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0">
        <v>23323.0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0">
        <v>17697.0</v>
      </c>
    </row>
    <row r="348" ht="60.0" customHeight="1">
      <c r="A348" s="55">
        <v>342.0</v>
      </c>
      <c r="B348" s="56" t="s">
        <v>2380</v>
      </c>
      <c r="C348" s="56" t="s">
        <v>2381</v>
      </c>
      <c r="D348" s="56" t="s">
        <v>2382</v>
      </c>
      <c r="E348" s="56" t="s">
        <v>2383</v>
      </c>
      <c r="F348" s="56" t="s">
        <v>2384</v>
      </c>
      <c r="G348" s="56" t="s">
        <v>972</v>
      </c>
      <c r="H348" s="55" t="str">
        <f t="shared" si="1"/>
        <v>WRONG</v>
      </c>
      <c r="I348" s="55" t="s">
        <v>46</v>
      </c>
      <c r="J348" s="55" t="s">
        <v>70</v>
      </c>
      <c r="K348" s="62" t="s">
        <v>2385</v>
      </c>
      <c r="L348" s="60">
        <v>23308.0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0">
        <v>18388.0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62" t="s">
        <v>2399</v>
      </c>
      <c r="L350" s="60">
        <v>50705.0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2" t="s">
        <v>2406</v>
      </c>
      <c r="L351" s="60">
        <v>32007.0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0">
        <v>25437.0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0">
        <v>31489.0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0">
        <v>22197.0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0">
        <v>25665.0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0">
        <v>29408.0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2468</v>
      </c>
      <c r="C2" s="2"/>
      <c r="D2" s="2"/>
      <c r="E2" s="2"/>
      <c r="F2" s="2"/>
      <c r="G2" s="2"/>
      <c r="H2" s="2"/>
      <c r="I2" s="2"/>
      <c r="J2" s="12"/>
      <c r="K2" s="43" t="s">
        <v>2469</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188</v>
      </c>
      <c r="I4" s="48"/>
      <c r="L4" s="49">
        <f>AVERAGE(L7:L52)</f>
        <v>24993.67391</v>
      </c>
    </row>
    <row r="5">
      <c r="A5" s="50" t="s">
        <v>30</v>
      </c>
      <c r="B5" s="2"/>
      <c r="C5" s="2"/>
      <c r="D5" s="2"/>
      <c r="E5" s="12"/>
      <c r="F5" s="51"/>
      <c r="G5" s="51"/>
      <c r="H5" s="46">
        <v>350.0</v>
      </c>
      <c r="L5" s="52"/>
    </row>
    <row r="6">
      <c r="A6" s="45" t="s">
        <v>31</v>
      </c>
      <c r="B6" s="2"/>
      <c r="C6" s="2"/>
      <c r="D6" s="2"/>
      <c r="E6" s="12"/>
      <c r="F6" s="46"/>
      <c r="G6" s="46"/>
      <c r="H6" s="53">
        <f>H4/H5</f>
        <v>0.5371428571</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2441</v>
      </c>
      <c r="L7" s="59">
        <v>31663.0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23322.0</v>
      </c>
    </row>
    <row r="9" ht="60.0" customHeight="1">
      <c r="A9" s="55">
        <v>3.0</v>
      </c>
      <c r="B9" s="56" t="s">
        <v>49</v>
      </c>
      <c r="C9" s="56" t="s">
        <v>50</v>
      </c>
      <c r="D9" s="56" t="s">
        <v>51</v>
      </c>
      <c r="E9" s="56" t="s">
        <v>52</v>
      </c>
      <c r="F9" s="56" t="s">
        <v>53</v>
      </c>
      <c r="G9" s="56" t="s">
        <v>54</v>
      </c>
      <c r="H9" s="55" t="str">
        <f t="shared" si="1"/>
        <v>CORRECT</v>
      </c>
      <c r="I9" s="55" t="s">
        <v>55</v>
      </c>
      <c r="J9" s="57" t="s">
        <v>55</v>
      </c>
      <c r="K9" s="58" t="s">
        <v>2442</v>
      </c>
      <c r="L9" s="59">
        <v>43295.0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2443</v>
      </c>
      <c r="L10" s="59">
        <v>19998.0</v>
      </c>
    </row>
    <row r="11" ht="60.0" customHeight="1">
      <c r="A11" s="55">
        <v>5.0</v>
      </c>
      <c r="B11" s="56" t="s">
        <v>64</v>
      </c>
      <c r="C11" s="56" t="s">
        <v>65</v>
      </c>
      <c r="D11" s="56" t="s">
        <v>66</v>
      </c>
      <c r="E11" s="56" t="s">
        <v>67</v>
      </c>
      <c r="F11" s="56" t="s">
        <v>68</v>
      </c>
      <c r="G11" s="56" t="s">
        <v>69</v>
      </c>
      <c r="H11" s="55" t="str">
        <f t="shared" si="1"/>
        <v>CORRECT</v>
      </c>
      <c r="I11" s="55" t="s">
        <v>70</v>
      </c>
      <c r="J11" s="57" t="s">
        <v>70</v>
      </c>
      <c r="K11" s="58" t="s">
        <v>2444</v>
      </c>
      <c r="L11" s="59">
        <v>20377.0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17271.0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16515.0</v>
      </c>
    </row>
    <row r="14" ht="60.0" customHeight="1">
      <c r="A14" s="55">
        <v>8.0</v>
      </c>
      <c r="B14" s="56" t="s">
        <v>86</v>
      </c>
      <c r="C14" s="56" t="s">
        <v>87</v>
      </c>
      <c r="D14" s="56" t="s">
        <v>88</v>
      </c>
      <c r="E14" s="56" t="s">
        <v>89</v>
      </c>
      <c r="F14" s="56" t="s">
        <v>90</v>
      </c>
      <c r="G14" s="56" t="s">
        <v>91</v>
      </c>
      <c r="H14" s="55" t="str">
        <f t="shared" si="1"/>
        <v>WRONG</v>
      </c>
      <c r="I14" s="55" t="s">
        <v>47</v>
      </c>
      <c r="J14" s="57" t="s">
        <v>46</v>
      </c>
      <c r="K14" s="58" t="s">
        <v>2445</v>
      </c>
      <c r="L14" s="59">
        <v>37539.0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25730.0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2446</v>
      </c>
      <c r="L16" s="59">
        <v>24263.0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38729.0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21876.0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24134.0</v>
      </c>
    </row>
    <row r="20" ht="60.0" customHeight="1">
      <c r="A20" s="55">
        <v>14.0</v>
      </c>
      <c r="B20" s="56" t="s">
        <v>128</v>
      </c>
      <c r="C20" s="56" t="s">
        <v>129</v>
      </c>
      <c r="D20" s="56" t="s">
        <v>130</v>
      </c>
      <c r="E20" s="56" t="s">
        <v>131</v>
      </c>
      <c r="F20" s="56" t="s">
        <v>132</v>
      </c>
      <c r="G20" s="56" t="s">
        <v>133</v>
      </c>
      <c r="H20" s="55" t="str">
        <f t="shared" si="1"/>
        <v>CORRECT</v>
      </c>
      <c r="I20" s="55" t="s">
        <v>46</v>
      </c>
      <c r="J20" s="57" t="s">
        <v>46</v>
      </c>
      <c r="K20" s="58" t="s">
        <v>134</v>
      </c>
      <c r="L20" s="59">
        <v>19406.0</v>
      </c>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v>18613.0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18456.0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2447</v>
      </c>
      <c r="L23" s="59">
        <v>16416.0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21370.0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23458.0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25761.0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23817.0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2448</v>
      </c>
      <c r="L28" s="59">
        <v>57830.0</v>
      </c>
    </row>
    <row r="29" ht="60.0" customHeight="1">
      <c r="A29" s="55">
        <v>23.0</v>
      </c>
      <c r="B29" s="56" t="s">
        <v>191</v>
      </c>
      <c r="C29" s="56" t="s">
        <v>192</v>
      </c>
      <c r="D29" s="56" t="s">
        <v>193</v>
      </c>
      <c r="E29" s="56" t="s">
        <v>194</v>
      </c>
      <c r="F29" s="56" t="s">
        <v>195</v>
      </c>
      <c r="G29" s="56" t="s">
        <v>196</v>
      </c>
      <c r="H29" s="55" t="str">
        <f t="shared" si="1"/>
        <v>CORRECT</v>
      </c>
      <c r="I29" s="55" t="s">
        <v>46</v>
      </c>
      <c r="J29" s="57" t="s">
        <v>46</v>
      </c>
      <c r="K29" s="58" t="s">
        <v>197</v>
      </c>
      <c r="L29" s="59">
        <v>18910.0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17566.0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17868.0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2449</v>
      </c>
      <c r="L32" s="59">
        <v>27000.0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26952.0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23948.0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20999.0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2450</v>
      </c>
      <c r="L36" s="59">
        <v>20058.0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26225.0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20816.0</v>
      </c>
    </row>
    <row r="39" ht="60.0" customHeight="1">
      <c r="A39" s="55">
        <v>33.0</v>
      </c>
      <c r="B39" s="56" t="s">
        <v>261</v>
      </c>
      <c r="C39" s="56" t="s">
        <v>262</v>
      </c>
      <c r="D39" s="56" t="s">
        <v>263</v>
      </c>
      <c r="E39" s="56" t="s">
        <v>264</v>
      </c>
      <c r="F39" s="56" t="s">
        <v>265</v>
      </c>
      <c r="G39" s="56" t="s">
        <v>266</v>
      </c>
      <c r="H39" s="55" t="str">
        <f t="shared" si="1"/>
        <v>WRONG</v>
      </c>
      <c r="I39" s="55" t="s">
        <v>70</v>
      </c>
      <c r="J39" s="57" t="s">
        <v>46</v>
      </c>
      <c r="K39" s="58" t="s">
        <v>267</v>
      </c>
      <c r="L39" s="59">
        <v>30870.0</v>
      </c>
    </row>
    <row r="40" ht="60.0" customHeight="1">
      <c r="A40" s="55">
        <v>34.0</v>
      </c>
      <c r="B40" s="56" t="s">
        <v>268</v>
      </c>
      <c r="C40" s="56" t="s">
        <v>269</v>
      </c>
      <c r="D40" s="56" t="s">
        <v>270</v>
      </c>
      <c r="E40" s="56" t="s">
        <v>271</v>
      </c>
      <c r="F40" s="56" t="s">
        <v>272</v>
      </c>
      <c r="G40" s="56" t="s">
        <v>273</v>
      </c>
      <c r="H40" s="55" t="str">
        <f t="shared" si="1"/>
        <v>CORRECT</v>
      </c>
      <c r="I40" s="55" t="s">
        <v>47</v>
      </c>
      <c r="J40" s="57" t="s">
        <v>47</v>
      </c>
      <c r="K40" s="58" t="s">
        <v>274</v>
      </c>
      <c r="L40" s="59">
        <v>19100.0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24020.0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28423.0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15240.0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2451</v>
      </c>
      <c r="L44" s="59">
        <v>22222.0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22910.0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18433.0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59277.0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16000.0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37792.0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26691.0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2452</v>
      </c>
      <c r="L51" s="59">
        <v>15687.0</v>
      </c>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v>22863.0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33070.0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23288.0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19458.0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18308.0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393</v>
      </c>
      <c r="L57" s="59">
        <v>32736.0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17768.0</v>
      </c>
    </row>
    <row r="59" ht="60.0" customHeight="1">
      <c r="A59" s="55">
        <v>53.0</v>
      </c>
      <c r="B59" s="56" t="s">
        <v>401</v>
      </c>
      <c r="C59" s="56" t="s">
        <v>402</v>
      </c>
      <c r="D59" s="56" t="s">
        <v>403</v>
      </c>
      <c r="E59" s="56" t="s">
        <v>404</v>
      </c>
      <c r="F59" s="56" t="s">
        <v>405</v>
      </c>
      <c r="G59" s="56" t="s">
        <v>406</v>
      </c>
      <c r="H59" s="55" t="str">
        <f t="shared" si="1"/>
        <v>WRONG</v>
      </c>
      <c r="I59" s="55" t="s">
        <v>70</v>
      </c>
      <c r="J59" s="57" t="s">
        <v>55</v>
      </c>
      <c r="K59" s="58" t="s">
        <v>2453</v>
      </c>
      <c r="L59" s="59">
        <v>18721.0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18206.0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17989.0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21050.0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28731.0</v>
      </c>
    </row>
    <row r="64" ht="60.0" customHeight="1">
      <c r="A64" s="55">
        <v>58.0</v>
      </c>
      <c r="B64" s="56" t="s">
        <v>436</v>
      </c>
      <c r="C64" s="56" t="s">
        <v>437</v>
      </c>
      <c r="D64" s="56" t="s">
        <v>438</v>
      </c>
      <c r="E64" s="56" t="s">
        <v>439</v>
      </c>
      <c r="F64" s="56" t="s">
        <v>440</v>
      </c>
      <c r="G64" s="56" t="s">
        <v>441</v>
      </c>
      <c r="H64" s="55" t="str">
        <f t="shared" si="1"/>
        <v>WRONG</v>
      </c>
      <c r="I64" s="55" t="s">
        <v>70</v>
      </c>
      <c r="J64" s="57" t="s">
        <v>38</v>
      </c>
      <c r="K64" s="58" t="s">
        <v>442</v>
      </c>
      <c r="L64" s="59">
        <v>19277.0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28009.0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18940.0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28329.0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37905.0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19767.0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36338.0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43066.0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23952.0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23572.0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16081.0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25225.0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23384.0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22455.0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30137.0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21391.0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24522.0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31374.0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21463.0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23530.0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22621.0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30248.0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16574.0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18312.0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2454</v>
      </c>
      <c r="L88" s="59">
        <v>28786.0</v>
      </c>
    </row>
    <row r="89" ht="60.0" customHeight="1">
      <c r="A89" s="55">
        <v>83.0</v>
      </c>
      <c r="B89" s="56" t="s">
        <v>611</v>
      </c>
      <c r="C89" s="56" t="s">
        <v>612</v>
      </c>
      <c r="D89" s="56" t="s">
        <v>613</v>
      </c>
      <c r="E89" s="56" t="s">
        <v>614</v>
      </c>
      <c r="F89" s="56" t="s">
        <v>615</v>
      </c>
      <c r="G89" s="56" t="s">
        <v>616</v>
      </c>
      <c r="H89" s="55" t="str">
        <f t="shared" si="1"/>
        <v>WRONG</v>
      </c>
      <c r="I89" s="55" t="s">
        <v>46</v>
      </c>
      <c r="J89" s="57" t="s">
        <v>38</v>
      </c>
      <c r="K89" s="58" t="s">
        <v>617</v>
      </c>
      <c r="L89" s="59">
        <v>19642.0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624</v>
      </c>
      <c r="L90" s="60">
        <v>32963.0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2" t="s">
        <v>2455</v>
      </c>
      <c r="L91" s="60">
        <v>28596.0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0">
        <v>18532.0</v>
      </c>
    </row>
    <row r="93" ht="60.0" customHeight="1">
      <c r="A93" s="55">
        <v>87.0</v>
      </c>
      <c r="B93" s="56" t="s">
        <v>639</v>
      </c>
      <c r="C93" s="56" t="s">
        <v>640</v>
      </c>
      <c r="D93" s="56" t="s">
        <v>641</v>
      </c>
      <c r="E93" s="56" t="s">
        <v>642</v>
      </c>
      <c r="F93" s="56" t="s">
        <v>643</v>
      </c>
      <c r="G93" s="56" t="s">
        <v>644</v>
      </c>
      <c r="H93" s="55" t="str">
        <f t="shared" si="1"/>
        <v>WRONG</v>
      </c>
      <c r="I93" s="55" t="s">
        <v>70</v>
      </c>
      <c r="J93" s="55" t="s">
        <v>46</v>
      </c>
      <c r="K93" s="62" t="s">
        <v>645</v>
      </c>
      <c r="L93" s="60">
        <v>21519.0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2456</v>
      </c>
      <c r="L94" s="60">
        <v>30717.0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659</v>
      </c>
      <c r="L95" s="60">
        <v>20270.0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666</v>
      </c>
      <c r="L96" s="60">
        <v>43473.0</v>
      </c>
    </row>
    <row r="97" ht="60.0" customHeight="1">
      <c r="A97" s="55">
        <v>91.0</v>
      </c>
      <c r="B97" s="56" t="s">
        <v>667</v>
      </c>
      <c r="C97" s="56" t="s">
        <v>668</v>
      </c>
      <c r="D97" s="56" t="s">
        <v>669</v>
      </c>
      <c r="E97" s="56" t="s">
        <v>670</v>
      </c>
      <c r="F97" s="56" t="s">
        <v>671</v>
      </c>
      <c r="G97" s="56" t="s">
        <v>672</v>
      </c>
      <c r="H97" s="55" t="str">
        <f t="shared" si="1"/>
        <v>WRONG</v>
      </c>
      <c r="I97" s="55" t="s">
        <v>46</v>
      </c>
      <c r="J97" s="55" t="s">
        <v>70</v>
      </c>
      <c r="K97" s="62" t="s">
        <v>673</v>
      </c>
      <c r="L97" s="60">
        <v>20758.0</v>
      </c>
    </row>
    <row r="98" ht="60.0" customHeight="1">
      <c r="A98" s="55">
        <v>92.0</v>
      </c>
      <c r="B98" s="56" t="s">
        <v>674</v>
      </c>
      <c r="C98" s="56" t="s">
        <v>675</v>
      </c>
      <c r="D98" s="56" t="s">
        <v>676</v>
      </c>
      <c r="E98" s="56" t="s">
        <v>677</v>
      </c>
      <c r="F98" s="56" t="s">
        <v>678</v>
      </c>
      <c r="G98" s="56" t="s">
        <v>679</v>
      </c>
      <c r="H98" s="55" t="str">
        <f t="shared" si="1"/>
        <v>WRONG</v>
      </c>
      <c r="I98" s="55" t="s">
        <v>55</v>
      </c>
      <c r="J98" s="55" t="s">
        <v>38</v>
      </c>
      <c r="K98" s="62" t="s">
        <v>680</v>
      </c>
      <c r="L98" s="60">
        <v>20113.0</v>
      </c>
    </row>
    <row r="99" ht="60.0" customHeight="1">
      <c r="A99" s="55">
        <v>93.0</v>
      </c>
      <c r="B99" s="56" t="s">
        <v>681</v>
      </c>
      <c r="C99" s="56" t="s">
        <v>682</v>
      </c>
      <c r="D99" s="56" t="s">
        <v>683</v>
      </c>
      <c r="E99" s="56" t="s">
        <v>684</v>
      </c>
      <c r="F99" s="56" t="s">
        <v>685</v>
      </c>
      <c r="G99" s="56" t="s">
        <v>686</v>
      </c>
      <c r="H99" s="55" t="str">
        <f t="shared" si="1"/>
        <v>WRONG</v>
      </c>
      <c r="I99" s="55" t="s">
        <v>46</v>
      </c>
      <c r="J99" s="55" t="s">
        <v>55</v>
      </c>
      <c r="K99" s="62" t="s">
        <v>687</v>
      </c>
      <c r="L99" s="60">
        <v>19495.0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2457</v>
      </c>
      <c r="L100" s="60">
        <v>20848.0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701</v>
      </c>
      <c r="L101" s="60">
        <v>27421.0</v>
      </c>
    </row>
    <row r="102" ht="60.0" customHeight="1">
      <c r="A102" s="55">
        <v>96.0</v>
      </c>
      <c r="B102" s="56" t="s">
        <v>702</v>
      </c>
      <c r="C102" s="56" t="s">
        <v>703</v>
      </c>
      <c r="D102" s="56" t="s">
        <v>704</v>
      </c>
      <c r="E102" s="56" t="s">
        <v>705</v>
      </c>
      <c r="F102" s="56" t="s">
        <v>706</v>
      </c>
      <c r="G102" s="56" t="s">
        <v>707</v>
      </c>
      <c r="H102" s="55" t="str">
        <f t="shared" si="1"/>
        <v>WRONG</v>
      </c>
      <c r="I102" s="55" t="s">
        <v>47</v>
      </c>
      <c r="J102" s="55" t="s">
        <v>55</v>
      </c>
      <c r="K102" s="62" t="s">
        <v>708</v>
      </c>
      <c r="L102" s="60">
        <v>21245.0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715</v>
      </c>
      <c r="L103" s="60">
        <v>18317.0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0">
        <v>20739.0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729</v>
      </c>
      <c r="L105" s="60">
        <v>23186.0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736</v>
      </c>
      <c r="L106" s="60">
        <v>33488.0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0">
        <v>22710.0</v>
      </c>
    </row>
    <row r="108" ht="60.0" customHeight="1">
      <c r="A108" s="55">
        <v>102.0</v>
      </c>
      <c r="B108" s="56" t="s">
        <v>744</v>
      </c>
      <c r="C108" s="56" t="s">
        <v>745</v>
      </c>
      <c r="D108" s="56" t="s">
        <v>746</v>
      </c>
      <c r="E108" s="56" t="s">
        <v>747</v>
      </c>
      <c r="F108" s="56" t="s">
        <v>748</v>
      </c>
      <c r="G108" s="56" t="s">
        <v>749</v>
      </c>
      <c r="H108" s="55" t="str">
        <f t="shared" si="1"/>
        <v>WRONG</v>
      </c>
      <c r="I108" s="55" t="s">
        <v>38</v>
      </c>
      <c r="J108" s="55" t="s">
        <v>47</v>
      </c>
      <c r="K108" s="62" t="s">
        <v>750</v>
      </c>
      <c r="L108" s="60">
        <v>15213.0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757</v>
      </c>
      <c r="L109" s="60">
        <v>22359.0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764</v>
      </c>
      <c r="L110" s="60">
        <v>36050.0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771</v>
      </c>
      <c r="L111" s="60">
        <v>26757.0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2" t="s">
        <v>778</v>
      </c>
      <c r="L112" s="60">
        <v>27333.0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785</v>
      </c>
      <c r="L113" s="60">
        <v>23443.0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792</v>
      </c>
      <c r="L114" s="60">
        <v>26208.0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0">
        <v>32430.0</v>
      </c>
    </row>
    <row r="116" ht="60.0" customHeight="1">
      <c r="A116" s="55">
        <v>110.0</v>
      </c>
      <c r="B116" s="56" t="s">
        <v>800</v>
      </c>
      <c r="C116" s="56" t="s">
        <v>801</v>
      </c>
      <c r="D116" s="56" t="s">
        <v>802</v>
      </c>
      <c r="E116" s="56" t="s">
        <v>803</v>
      </c>
      <c r="F116" s="56" t="s">
        <v>804</v>
      </c>
      <c r="G116" s="56" t="s">
        <v>805</v>
      </c>
      <c r="H116" s="55" t="str">
        <f t="shared" si="1"/>
        <v>WRONG</v>
      </c>
      <c r="I116" s="55" t="s">
        <v>46</v>
      </c>
      <c r="J116" s="55" t="s">
        <v>47</v>
      </c>
      <c r="K116" s="62" t="s">
        <v>806</v>
      </c>
      <c r="L116" s="60">
        <v>30985.0</v>
      </c>
    </row>
    <row r="117" ht="60.0" customHeight="1">
      <c r="A117" s="55">
        <v>111.0</v>
      </c>
      <c r="B117" s="56" t="s">
        <v>807</v>
      </c>
      <c r="C117" s="56" t="s">
        <v>808</v>
      </c>
      <c r="D117" s="56" t="s">
        <v>809</v>
      </c>
      <c r="E117" s="56" t="s">
        <v>810</v>
      </c>
      <c r="F117" s="56" t="s">
        <v>811</v>
      </c>
      <c r="G117" s="56" t="s">
        <v>812</v>
      </c>
      <c r="H117" s="55" t="str">
        <f t="shared" si="1"/>
        <v>WRONG</v>
      </c>
      <c r="I117" s="55" t="s">
        <v>38</v>
      </c>
      <c r="J117" s="55" t="s">
        <v>47</v>
      </c>
      <c r="K117" s="62" t="s">
        <v>813</v>
      </c>
      <c r="L117" s="60">
        <v>16547.0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0">
        <v>14565.0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2" t="s">
        <v>827</v>
      </c>
      <c r="L119" s="60">
        <v>24606.0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834</v>
      </c>
      <c r="L120" s="60">
        <v>15280.0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0">
        <v>17036.0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0">
        <v>23890.0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0">
        <v>17541.0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2458</v>
      </c>
      <c r="L124" s="60">
        <v>20703.0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869</v>
      </c>
      <c r="L125" s="60">
        <v>30958.0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876</v>
      </c>
      <c r="L126" s="60">
        <v>30622.0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2" t="s">
        <v>883</v>
      </c>
      <c r="L127" s="60">
        <v>23426.0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0">
        <v>30779.0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62" t="s">
        <v>897</v>
      </c>
      <c r="L129" s="60">
        <v>16556.0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0">
        <v>22591.0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0">
        <v>15903.0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0">
        <v>19674.0</v>
      </c>
    </row>
    <row r="133" ht="60.0" customHeight="1">
      <c r="A133" s="55">
        <v>127.0</v>
      </c>
      <c r="B133" s="56" t="s">
        <v>919</v>
      </c>
      <c r="C133" s="56" t="s">
        <v>920</v>
      </c>
      <c r="D133" s="56" t="s">
        <v>921</v>
      </c>
      <c r="E133" s="56" t="s">
        <v>922</v>
      </c>
      <c r="F133" s="56" t="s">
        <v>923</v>
      </c>
      <c r="G133" s="56" t="s">
        <v>924</v>
      </c>
      <c r="H133" s="55" t="str">
        <f t="shared" si="1"/>
        <v>WRONG</v>
      </c>
      <c r="I133" s="55" t="s">
        <v>47</v>
      </c>
      <c r="J133" s="55" t="s">
        <v>70</v>
      </c>
      <c r="K133" s="62" t="s">
        <v>925</v>
      </c>
      <c r="L133" s="60">
        <v>17883.0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2459</v>
      </c>
      <c r="L134" s="60">
        <v>25322.0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939</v>
      </c>
      <c r="L135" s="60">
        <v>21477.0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0">
        <v>25149.0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0">
        <v>18028.0</v>
      </c>
    </row>
    <row r="138" ht="60.0" customHeight="1">
      <c r="A138" s="55">
        <v>132.0</v>
      </c>
      <c r="B138" s="56" t="s">
        <v>954</v>
      </c>
      <c r="C138" s="56" t="s">
        <v>689</v>
      </c>
      <c r="D138" s="56" t="s">
        <v>955</v>
      </c>
      <c r="E138" s="56" t="s">
        <v>956</v>
      </c>
      <c r="F138" s="56" t="s">
        <v>957</v>
      </c>
      <c r="G138" s="56" t="s">
        <v>958</v>
      </c>
      <c r="H138" s="55" t="str">
        <f t="shared" si="1"/>
        <v>CORRECT</v>
      </c>
      <c r="I138" s="55" t="s">
        <v>47</v>
      </c>
      <c r="J138" s="55" t="s">
        <v>47</v>
      </c>
      <c r="K138" s="62" t="s">
        <v>959</v>
      </c>
      <c r="L138" s="60">
        <v>15316.0</v>
      </c>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2" t="s">
        <v>966</v>
      </c>
      <c r="L139" s="60">
        <v>22595.0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0">
        <v>24176.0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0">
        <v>22323.0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0">
        <v>21329.0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0">
        <v>24749.0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62" t="s">
        <v>1001</v>
      </c>
      <c r="L144" s="60">
        <v>12509.0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0">
        <v>33455.0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47</v>
      </c>
      <c r="K146" s="62" t="s">
        <v>1014</v>
      </c>
      <c r="L146" s="60">
        <v>18130.0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0">
        <v>19377.0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0">
        <v>14485.0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0">
        <v>21452.0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1041</v>
      </c>
      <c r="L150" s="60">
        <v>18352.0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1047</v>
      </c>
      <c r="L151" s="60">
        <v>24000.0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0">
        <v>20890.0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0">
        <v>31611.0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0">
        <v>26778.0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0">
        <v>21119.0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0">
        <v>31836.0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0">
        <v>46358.0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0">
        <v>27660.0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0">
        <v>24920.0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0">
        <v>24265.0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0">
        <v>25520.0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0">
        <v>31928.0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0">
        <v>23089.0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0">
        <v>21910.0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2460</v>
      </c>
      <c r="L165" s="60">
        <v>15650.0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0">
        <v>19830.0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2" t="s">
        <v>1153</v>
      </c>
      <c r="L167" s="60">
        <v>44470.0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0">
        <v>26430.0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2" t="s">
        <v>1166</v>
      </c>
      <c r="L169" s="60">
        <v>23950.0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62" t="s">
        <v>1173</v>
      </c>
      <c r="L170" s="60">
        <v>21103.0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0">
        <v>19271.0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70</v>
      </c>
      <c r="K172" s="62" t="s">
        <v>1186</v>
      </c>
      <c r="L172" s="60">
        <v>16071.0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2461</v>
      </c>
      <c r="L173" s="60">
        <v>22097.0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0">
        <v>20372.0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2" t="s">
        <v>1206</v>
      </c>
      <c r="L175" s="60">
        <v>17352.0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62" t="s">
        <v>1213</v>
      </c>
      <c r="L176" s="60">
        <v>24740.0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0">
        <v>14979.0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0">
        <v>32589.0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0">
        <v>14816.0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0">
        <v>14154.0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0">
        <v>17121.0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0">
        <v>23612.0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0">
        <v>26485.0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0">
        <v>16650.0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62" t="s">
        <v>1274</v>
      </c>
      <c r="L185" s="60">
        <v>20940.0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0">
        <v>11594.0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1288</v>
      </c>
      <c r="L187" s="60">
        <v>26843.0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0">
        <v>22993.0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62" t="s">
        <v>1302</v>
      </c>
      <c r="L189" s="60">
        <v>27274.0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0">
        <v>28968.0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0">
        <v>26740.0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0">
        <v>36716.0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0">
        <v>26859.0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70</v>
      </c>
      <c r="K194" s="62" t="s">
        <v>1337</v>
      </c>
      <c r="L194" s="60">
        <v>26223.0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1343</v>
      </c>
      <c r="L195" s="60">
        <v>21715.0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2" t="s">
        <v>1350</v>
      </c>
      <c r="L196" s="60">
        <v>21923.0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0">
        <v>19454.0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1364</v>
      </c>
      <c r="L198" s="60">
        <v>22816.0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0">
        <v>26402.0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0">
        <v>22492.0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2" t="s">
        <v>1384</v>
      </c>
      <c r="L201" s="60">
        <v>21060.0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0">
        <v>21916.0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2" t="s">
        <v>1397</v>
      </c>
      <c r="L203" s="60">
        <v>11955.0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0">
        <v>18479.0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2" t="s">
        <v>1411</v>
      </c>
      <c r="L205" s="60">
        <v>21288.0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0">
        <v>19426.0</v>
      </c>
    </row>
    <row r="207" ht="60.0" customHeight="1">
      <c r="A207" s="55">
        <v>201.0</v>
      </c>
      <c r="B207" s="56" t="s">
        <v>1419</v>
      </c>
      <c r="C207" s="56" t="s">
        <v>1420</v>
      </c>
      <c r="D207" s="56" t="s">
        <v>1421</v>
      </c>
      <c r="E207" s="56" t="s">
        <v>1422</v>
      </c>
      <c r="F207" s="56" t="s">
        <v>1423</v>
      </c>
      <c r="G207" s="56" t="s">
        <v>1424</v>
      </c>
      <c r="H207" s="55" t="str">
        <f t="shared" si="1"/>
        <v>WRONG</v>
      </c>
      <c r="I207" s="55" t="s">
        <v>55</v>
      </c>
      <c r="J207" s="55" t="s">
        <v>38</v>
      </c>
      <c r="K207" s="62" t="s">
        <v>1425</v>
      </c>
      <c r="L207" s="60">
        <v>22819.0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0">
        <v>26805.0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0">
        <v>28793.0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62" t="s">
        <v>1445</v>
      </c>
      <c r="L210" s="60">
        <v>30037.0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0">
        <v>20597.0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0">
        <v>20139.0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62" t="s">
        <v>1466</v>
      </c>
      <c r="L213" s="60">
        <v>19960.0</v>
      </c>
    </row>
    <row r="214" ht="60.0" customHeight="1">
      <c r="A214" s="55">
        <v>208.0</v>
      </c>
      <c r="B214" s="56" t="s">
        <v>1467</v>
      </c>
      <c r="C214" s="56" t="s">
        <v>1468</v>
      </c>
      <c r="D214" s="56" t="s">
        <v>1469</v>
      </c>
      <c r="E214" s="56" t="s">
        <v>1470</v>
      </c>
      <c r="F214" s="56" t="s">
        <v>1471</v>
      </c>
      <c r="G214" s="56" t="s">
        <v>1472</v>
      </c>
      <c r="H214" s="55" t="str">
        <f t="shared" si="1"/>
        <v>WRONG</v>
      </c>
      <c r="I214" s="55" t="s">
        <v>38</v>
      </c>
      <c r="J214" s="55" t="s">
        <v>55</v>
      </c>
      <c r="K214" s="62" t="s">
        <v>1473</v>
      </c>
      <c r="L214" s="60">
        <v>36798.0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0">
        <v>32807.0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0">
        <v>14463.0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2462</v>
      </c>
      <c r="L217" s="60">
        <v>21786.0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2" t="s">
        <v>1501</v>
      </c>
      <c r="L218" s="60">
        <v>34949.0</v>
      </c>
    </row>
    <row r="219" ht="60.0" customHeight="1">
      <c r="A219" s="55">
        <v>213.0</v>
      </c>
      <c r="B219" s="56" t="s">
        <v>1502</v>
      </c>
      <c r="C219" s="56" t="s">
        <v>1503</v>
      </c>
      <c r="D219" s="56" t="s">
        <v>1504</v>
      </c>
      <c r="E219" s="56" t="s">
        <v>1505</v>
      </c>
      <c r="F219" s="56" t="s">
        <v>1506</v>
      </c>
      <c r="G219" s="56" t="s">
        <v>1507</v>
      </c>
      <c r="H219" s="55" t="str">
        <f t="shared" si="1"/>
        <v>WRONG</v>
      </c>
      <c r="I219" s="55" t="s">
        <v>55</v>
      </c>
      <c r="J219" s="55" t="s">
        <v>47</v>
      </c>
      <c r="K219" s="62" t="s">
        <v>1508</v>
      </c>
      <c r="L219" s="60">
        <v>20234.0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0">
        <v>20700.0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0">
        <v>21140.0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0">
        <v>30387.0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0">
        <v>19729.0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2" t="s">
        <v>1543</v>
      </c>
      <c r="L224" s="60">
        <v>16495.0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46</v>
      </c>
      <c r="K225" s="62" t="s">
        <v>1549</v>
      </c>
      <c r="L225" s="60">
        <v>25269.0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0">
        <v>17865.0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0">
        <v>26969.0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0">
        <v>20985.0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0">
        <v>21324.0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2" t="s">
        <v>1583</v>
      </c>
      <c r="L230" s="60">
        <v>21401.0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0">
        <v>25778.0</v>
      </c>
    </row>
    <row r="232" ht="60.0" customHeight="1">
      <c r="A232" s="55">
        <v>226.0</v>
      </c>
      <c r="B232" s="56" t="s">
        <v>1591</v>
      </c>
      <c r="C232" s="56" t="s">
        <v>1592</v>
      </c>
      <c r="D232" s="56" t="s">
        <v>1593</v>
      </c>
      <c r="E232" s="56" t="s">
        <v>1594</v>
      </c>
      <c r="F232" s="56" t="s">
        <v>1595</v>
      </c>
      <c r="G232" s="56" t="s">
        <v>1596</v>
      </c>
      <c r="H232" s="55" t="str">
        <f t="shared" si="1"/>
        <v>WRONG</v>
      </c>
      <c r="I232" s="55" t="s">
        <v>38</v>
      </c>
      <c r="J232" s="55" t="s">
        <v>55</v>
      </c>
      <c r="K232" s="62" t="s">
        <v>1597</v>
      </c>
      <c r="L232" s="60">
        <v>26963.0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0">
        <v>25052.0</v>
      </c>
    </row>
    <row r="234" ht="60.0" customHeight="1">
      <c r="A234" s="55">
        <v>228.0</v>
      </c>
      <c r="B234" s="56" t="s">
        <v>1605</v>
      </c>
      <c r="C234" s="56" t="s">
        <v>1606</v>
      </c>
      <c r="D234" s="56" t="s">
        <v>1607</v>
      </c>
      <c r="E234" s="56" t="s">
        <v>1608</v>
      </c>
      <c r="F234" s="56" t="s">
        <v>1609</v>
      </c>
      <c r="G234" s="56" t="s">
        <v>1610</v>
      </c>
      <c r="H234" s="55" t="str">
        <f t="shared" si="1"/>
        <v>WRONG</v>
      </c>
      <c r="I234" s="55" t="s">
        <v>46</v>
      </c>
      <c r="J234" s="55" t="s">
        <v>70</v>
      </c>
      <c r="K234" s="62" t="s">
        <v>1611</v>
      </c>
      <c r="L234" s="60">
        <v>23464.0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0">
        <v>25523.0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0">
        <v>23602.0</v>
      </c>
    </row>
    <row r="237" ht="60.0" customHeight="1">
      <c r="A237" s="55">
        <v>231.0</v>
      </c>
      <c r="B237" s="56" t="s">
        <v>1626</v>
      </c>
      <c r="C237" s="56" t="s">
        <v>1627</v>
      </c>
      <c r="D237" s="56" t="s">
        <v>1628</v>
      </c>
      <c r="E237" s="56" t="s">
        <v>1629</v>
      </c>
      <c r="F237" s="56" t="s">
        <v>1630</v>
      </c>
      <c r="G237" s="56" t="s">
        <v>1631</v>
      </c>
      <c r="H237" s="55" t="str">
        <f t="shared" si="1"/>
        <v>CORRECT</v>
      </c>
      <c r="I237" s="55" t="s">
        <v>47</v>
      </c>
      <c r="J237" s="55" t="s">
        <v>47</v>
      </c>
      <c r="K237" s="62" t="s">
        <v>1632</v>
      </c>
      <c r="L237" s="60">
        <v>13339.0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0">
        <v>22917.0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0">
        <v>44924.0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2463</v>
      </c>
      <c r="L240" s="60">
        <v>28659.0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0">
        <v>36163.0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1666</v>
      </c>
      <c r="L242" s="60">
        <v>35209.0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2464</v>
      </c>
      <c r="L243" s="60">
        <v>25260.0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0">
        <v>28646.0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0">
        <v>17106.0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1694</v>
      </c>
      <c r="L246" s="60">
        <v>26599.0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0">
        <v>25549.0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0">
        <v>21355.0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0">
        <v>23325.0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0">
        <v>23184.0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62" t="s">
        <v>1729</v>
      </c>
      <c r="L251" s="60">
        <v>19806.0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0">
        <v>21178.0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0">
        <v>22205.0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0">
        <v>25735.0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0">
        <v>24857.0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0">
        <v>26519.0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0">
        <v>17522.0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0">
        <v>16756.0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0">
        <v>26801.0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2465</v>
      </c>
      <c r="L260" s="60">
        <v>29335.0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0">
        <v>40425.0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0">
        <v>19815.0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0">
        <v>31022.0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2466</v>
      </c>
      <c r="L264" s="60">
        <v>21254.0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0">
        <v>23715.0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0">
        <v>29170.0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0">
        <v>25835.0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0">
        <v>17524.0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2" t="s">
        <v>1851</v>
      </c>
      <c r="L269" s="60">
        <v>22651.0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0">
        <v>22082.0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0">
        <v>23705.0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1872</v>
      </c>
      <c r="L272" s="60">
        <v>24704.0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0">
        <v>38273.0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2" t="s">
        <v>1885</v>
      </c>
      <c r="L274" s="60">
        <v>29414.0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0">
        <v>23263.0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2467</v>
      </c>
      <c r="L276" s="60">
        <v>18808.0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0">
        <v>23259.0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0">
        <v>34754.0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0">
        <v>48127.0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0">
        <v>34695.0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1933</v>
      </c>
      <c r="L281" s="60">
        <v>30757.0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1940</v>
      </c>
      <c r="L282" s="60">
        <v>26595.0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0">
        <v>43159.0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0">
        <v>35563.0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2" t="s">
        <v>1961</v>
      </c>
      <c r="L285" s="60">
        <v>29004.0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0">
        <v>25227.0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2" t="s">
        <v>1975</v>
      </c>
      <c r="L287" s="60">
        <v>20314.0</v>
      </c>
    </row>
    <row r="288" ht="60.0" customHeight="1">
      <c r="A288" s="55">
        <v>282.0</v>
      </c>
      <c r="B288" s="56" t="s">
        <v>1976</v>
      </c>
      <c r="C288" s="56" t="s">
        <v>1977</v>
      </c>
      <c r="D288" s="56" t="s">
        <v>1978</v>
      </c>
      <c r="E288" s="56" t="s">
        <v>1979</v>
      </c>
      <c r="F288" s="56" t="s">
        <v>1980</v>
      </c>
      <c r="G288" s="56" t="s">
        <v>1981</v>
      </c>
      <c r="H288" s="55" t="str">
        <f t="shared" si="1"/>
        <v>WRONG</v>
      </c>
      <c r="I288" s="55" t="s">
        <v>46</v>
      </c>
      <c r="J288" s="55" t="s">
        <v>47</v>
      </c>
      <c r="K288" s="62" t="s">
        <v>1982</v>
      </c>
      <c r="L288" s="60">
        <v>29108.0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0">
        <v>43077.0</v>
      </c>
    </row>
    <row r="290" ht="60.0" customHeight="1">
      <c r="A290" s="55">
        <v>284.0</v>
      </c>
      <c r="B290" s="56" t="s">
        <v>1990</v>
      </c>
      <c r="C290" s="56" t="s">
        <v>1991</v>
      </c>
      <c r="D290" s="56" t="s">
        <v>1992</v>
      </c>
      <c r="E290" s="56" t="s">
        <v>1993</v>
      </c>
      <c r="F290" s="56" t="s">
        <v>1994</v>
      </c>
      <c r="G290" s="56" t="s">
        <v>972</v>
      </c>
      <c r="H290" s="55" t="str">
        <f t="shared" si="1"/>
        <v>WRONG</v>
      </c>
      <c r="I290" s="55" t="s">
        <v>38</v>
      </c>
      <c r="J290" s="55" t="s">
        <v>47</v>
      </c>
      <c r="K290" s="62" t="s">
        <v>1995</v>
      </c>
      <c r="L290" s="60">
        <v>33318.0</v>
      </c>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2" t="s">
        <v>2002</v>
      </c>
      <c r="L291" s="60">
        <v>18364.0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2009</v>
      </c>
      <c r="L292" s="60">
        <v>26069.0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0">
        <v>26126.0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0">
        <v>25700.0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2029</v>
      </c>
      <c r="L295" s="60">
        <v>15819.0</v>
      </c>
    </row>
    <row r="296" ht="60.0" customHeight="1">
      <c r="A296" s="55">
        <v>290.0</v>
      </c>
      <c r="B296" s="56" t="s">
        <v>2030</v>
      </c>
      <c r="C296" s="56" t="s">
        <v>2031</v>
      </c>
      <c r="D296" s="56" t="s">
        <v>2032</v>
      </c>
      <c r="E296" s="56" t="s">
        <v>2033</v>
      </c>
      <c r="F296" s="56" t="s">
        <v>2034</v>
      </c>
      <c r="G296" s="56" t="s">
        <v>972</v>
      </c>
      <c r="H296" s="55" t="str">
        <f t="shared" si="1"/>
        <v>CORRECT</v>
      </c>
      <c r="I296" s="55" t="s">
        <v>55</v>
      </c>
      <c r="J296" s="55" t="s">
        <v>55</v>
      </c>
      <c r="K296" s="62" t="s">
        <v>2035</v>
      </c>
      <c r="L296" s="60">
        <v>25151.0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2" t="s">
        <v>2041</v>
      </c>
      <c r="L297" s="60">
        <v>16020.0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0">
        <v>29643.0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0">
        <v>16684.0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0">
        <v>27015.0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2068</v>
      </c>
      <c r="L301" s="60">
        <v>31485.0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55</v>
      </c>
      <c r="K302" s="62" t="s">
        <v>2075</v>
      </c>
      <c r="L302" s="60">
        <v>21433.0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62" t="s">
        <v>2082</v>
      </c>
      <c r="L303" s="60">
        <v>25004.0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0">
        <v>38809.0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0">
        <v>28546.0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0">
        <v>24477.0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0">
        <v>22288.0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0">
        <v>21621.0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2122</v>
      </c>
      <c r="L309" s="60">
        <v>14718.0</v>
      </c>
    </row>
    <row r="310" ht="60.0" customHeight="1">
      <c r="A310" s="55">
        <v>304.0</v>
      </c>
      <c r="B310" s="56" t="s">
        <v>2123</v>
      </c>
      <c r="C310" s="56" t="s">
        <v>2124</v>
      </c>
      <c r="D310" s="56" t="s">
        <v>2125</v>
      </c>
      <c r="E310" s="56" t="s">
        <v>2126</v>
      </c>
      <c r="F310" s="56" t="s">
        <v>2127</v>
      </c>
      <c r="G310" s="56" t="s">
        <v>2128</v>
      </c>
      <c r="H310" s="55" t="str">
        <f t="shared" si="1"/>
        <v>WRONG</v>
      </c>
      <c r="I310" s="55" t="s">
        <v>46</v>
      </c>
      <c r="J310" s="55" t="s">
        <v>47</v>
      </c>
      <c r="K310" s="62" t="s">
        <v>2129</v>
      </c>
      <c r="L310" s="60">
        <v>21942.0</v>
      </c>
    </row>
    <row r="311" ht="60.0" customHeight="1">
      <c r="A311" s="55">
        <v>305.0</v>
      </c>
      <c r="B311" s="56" t="s">
        <v>2130</v>
      </c>
      <c r="C311" s="56" t="s">
        <v>2131</v>
      </c>
      <c r="D311" s="56" t="s">
        <v>2132</v>
      </c>
      <c r="E311" s="56" t="s">
        <v>2133</v>
      </c>
      <c r="F311" s="56" t="s">
        <v>2134</v>
      </c>
      <c r="G311" s="56" t="s">
        <v>2135</v>
      </c>
      <c r="H311" s="55" t="str">
        <f t="shared" si="1"/>
        <v>CORRECT</v>
      </c>
      <c r="I311" s="55" t="s">
        <v>46</v>
      </c>
      <c r="J311" s="55" t="s">
        <v>46</v>
      </c>
      <c r="K311" s="62" t="s">
        <v>2136</v>
      </c>
      <c r="L311" s="60">
        <v>26128.0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62" t="s">
        <v>2143</v>
      </c>
      <c r="L312" s="60">
        <v>11338.0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46</v>
      </c>
      <c r="K313" s="62" t="s">
        <v>2150</v>
      </c>
      <c r="L313" s="60">
        <v>15764.0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0">
        <v>21125.0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0">
        <v>16692.0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0">
        <v>26731.0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2174</v>
      </c>
      <c r="L317" s="60">
        <v>44842.0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0">
        <v>45482.0</v>
      </c>
    </row>
    <row r="319" ht="60.0" customHeight="1">
      <c r="A319" s="55">
        <v>313.0</v>
      </c>
      <c r="B319" s="56" t="s">
        <v>2181</v>
      </c>
      <c r="C319" s="56" t="s">
        <v>2182</v>
      </c>
      <c r="D319" s="56" t="s">
        <v>2183</v>
      </c>
      <c r="E319" s="56" t="s">
        <v>2184</v>
      </c>
      <c r="F319" s="56" t="s">
        <v>2185</v>
      </c>
      <c r="G319" s="56" t="s">
        <v>2186</v>
      </c>
      <c r="H319" s="55" t="str">
        <f t="shared" si="1"/>
        <v>WRONG</v>
      </c>
      <c r="I319" s="55" t="s">
        <v>46</v>
      </c>
      <c r="J319" s="55" t="s">
        <v>55</v>
      </c>
      <c r="K319" s="62" t="s">
        <v>2187</v>
      </c>
      <c r="L319" s="60">
        <v>25608.0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0">
        <v>36306.0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0">
        <v>23417.0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0">
        <v>18349.0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0">
        <v>40086.0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2221</v>
      </c>
      <c r="L324" s="60">
        <v>25848.0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0">
        <v>43309.0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0">
        <v>25986.0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0">
        <v>35947.0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0">
        <v>37889.0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0">
        <v>23030.0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0">
        <v>36090.0</v>
      </c>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2" t="s">
        <v>2270</v>
      </c>
      <c r="L331" s="60">
        <v>24178.0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70</v>
      </c>
      <c r="K332" s="62" t="s">
        <v>2277</v>
      </c>
      <c r="L332" s="60">
        <v>32856.0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2" t="s">
        <v>2284</v>
      </c>
      <c r="L333" s="60">
        <v>26050.0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0">
        <v>18393.0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47</v>
      </c>
      <c r="K335" s="62" t="s">
        <v>2298</v>
      </c>
      <c r="L335" s="60">
        <v>19058.0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0">
        <v>19592.0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0">
        <v>35763.0</v>
      </c>
    </row>
    <row r="338" ht="60.0" customHeight="1">
      <c r="A338" s="55">
        <v>332.0</v>
      </c>
      <c r="B338" s="56" t="s">
        <v>2313</v>
      </c>
      <c r="C338" s="56" t="s">
        <v>2314</v>
      </c>
      <c r="D338" s="56" t="s">
        <v>2315</v>
      </c>
      <c r="E338" s="56" t="s">
        <v>2316</v>
      </c>
      <c r="F338" s="56" t="s">
        <v>2317</v>
      </c>
      <c r="G338" s="56" t="s">
        <v>2318</v>
      </c>
      <c r="H338" s="55" t="str">
        <f t="shared" si="1"/>
        <v>WRONG</v>
      </c>
      <c r="I338" s="55" t="s">
        <v>46</v>
      </c>
      <c r="J338" s="55" t="s">
        <v>55</v>
      </c>
      <c r="K338" s="62" t="s">
        <v>2319</v>
      </c>
      <c r="L338" s="60">
        <v>17097.0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0">
        <v>34209.0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0">
        <v>27251.0</v>
      </c>
    </row>
    <row r="341" ht="60.0" customHeight="1">
      <c r="A341" s="55">
        <v>335.0</v>
      </c>
      <c r="B341" s="56" t="s">
        <v>2333</v>
      </c>
      <c r="C341" s="56" t="s">
        <v>2334</v>
      </c>
      <c r="D341" s="56" t="s">
        <v>2335</v>
      </c>
      <c r="E341" s="56" t="s">
        <v>2336</v>
      </c>
      <c r="F341" s="56" t="s">
        <v>2337</v>
      </c>
      <c r="G341" s="56" t="s">
        <v>2338</v>
      </c>
      <c r="H341" s="55" t="str">
        <f t="shared" si="1"/>
        <v>WRONG</v>
      </c>
      <c r="I341" s="55" t="s">
        <v>38</v>
      </c>
      <c r="J341" s="55" t="s">
        <v>55</v>
      </c>
      <c r="K341" s="62" t="s">
        <v>2339</v>
      </c>
      <c r="L341" s="60">
        <v>24123.0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0">
        <v>28264.0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70</v>
      </c>
      <c r="K343" s="62" t="s">
        <v>2353</v>
      </c>
      <c r="L343" s="60">
        <v>21851.0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2" t="s">
        <v>2360</v>
      </c>
      <c r="L344" s="60">
        <v>32747.0</v>
      </c>
    </row>
    <row r="345" ht="60.0" customHeight="1">
      <c r="A345" s="55">
        <v>339.0</v>
      </c>
      <c r="B345" s="56" t="s">
        <v>2361</v>
      </c>
      <c r="C345" s="56" t="s">
        <v>2362</v>
      </c>
      <c r="D345" s="56" t="s">
        <v>2363</v>
      </c>
      <c r="E345" s="56" t="s">
        <v>2364</v>
      </c>
      <c r="F345" s="56" t="s">
        <v>2365</v>
      </c>
      <c r="G345" s="56" t="s">
        <v>972</v>
      </c>
      <c r="H345" s="55" t="str">
        <f t="shared" si="1"/>
        <v>CORRECT</v>
      </c>
      <c r="I345" s="55" t="s">
        <v>46</v>
      </c>
      <c r="J345" s="55" t="s">
        <v>46</v>
      </c>
      <c r="K345" s="62" t="s">
        <v>2366</v>
      </c>
      <c r="L345" s="60">
        <v>16158.0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0">
        <v>22661.0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0">
        <v>17586.0</v>
      </c>
    </row>
    <row r="348" ht="60.0" customHeight="1">
      <c r="A348" s="55">
        <v>342.0</v>
      </c>
      <c r="B348" s="56" t="s">
        <v>2380</v>
      </c>
      <c r="C348" s="56" t="s">
        <v>2381</v>
      </c>
      <c r="D348" s="56" t="s">
        <v>2382</v>
      </c>
      <c r="E348" s="56" t="s">
        <v>2383</v>
      </c>
      <c r="F348" s="56" t="s">
        <v>2384</v>
      </c>
      <c r="G348" s="56" t="s">
        <v>972</v>
      </c>
      <c r="H348" s="55" t="str">
        <f t="shared" si="1"/>
        <v>WRONG</v>
      </c>
      <c r="I348" s="55" t="s">
        <v>46</v>
      </c>
      <c r="J348" s="55" t="s">
        <v>70</v>
      </c>
      <c r="K348" s="62" t="s">
        <v>2385</v>
      </c>
      <c r="L348" s="60">
        <v>23761.0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0">
        <v>17797.0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62" t="s">
        <v>2399</v>
      </c>
      <c r="L350" s="60">
        <v>51451.0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2" t="s">
        <v>2406</v>
      </c>
      <c r="L351" s="60">
        <v>32629.0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0">
        <v>24746.0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0">
        <v>31798.0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0">
        <v>22131.0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0">
        <v>25725.0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0">
        <v>29972.0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