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MPARE" sheetId="2" r:id="rId6"/>
  </sheets>
  <definedNames/>
  <calcPr/>
</workbook>
</file>

<file path=xl/sharedStrings.xml><?xml version="1.0" encoding="utf-8"?>
<sst xmlns="http://schemas.openxmlformats.org/spreadsheetml/2006/main" count="302" uniqueCount="173">
  <si>
    <t>MANAGE THE TEST PARAMETERS</t>
  </si>
  <si>
    <t>3 Question_Sets</t>
  </si>
  <si>
    <t>Set 1</t>
  </si>
  <si>
    <t>Set 2</t>
  </si>
  <si>
    <t>Set 3</t>
  </si>
  <si>
    <t>Notes</t>
  </si>
  <si>
    <t>Test Flow</t>
  </si>
  <si>
    <t>Model</t>
  </si>
  <si>
    <t>Category</t>
  </si>
  <si>
    <t>Name</t>
  </si>
  <si>
    <t>Expect required GPUs</t>
  </si>
  <si>
    <t>Old Model set</t>
  </si>
  <si>
    <t>Qwen-2.5-72B-Instruct</t>
  </si>
  <si>
    <t>All models will be loaded in 8-bit quantization</t>
  </si>
  <si>
    <t>Done 3/5</t>
  </si>
  <si>
    <t>Llama-3.0-8B-Instruct</t>
  </si>
  <si>
    <t>Llama-3.1-8B-Instruct</t>
  </si>
  <si>
    <t>Llama-3.2-3B-Instruct</t>
  </si>
  <si>
    <t>Llama-3.3-70B-Instruct</t>
  </si>
  <si>
    <t>Reasoning Model</t>
  </si>
  <si>
    <t xml:space="preserve">Qwen3-4B-FP8 </t>
  </si>
  <si>
    <t>These model have to be tested with 1 sample first (before massive run)</t>
  </si>
  <si>
    <t>Qwen3-8B-FP8</t>
  </si>
  <si>
    <t>Qwen3-14B-FP8</t>
  </si>
  <si>
    <t>Done 0/5</t>
  </si>
  <si>
    <t xml:space="preserve">Qwen3-32B-FP8 </t>
  </si>
  <si>
    <t>1 (or 2)</t>
  </si>
  <si>
    <t>MoE Model</t>
  </si>
  <si>
    <t>Qwen3-30B-A3B-FP8</t>
  </si>
  <si>
    <t>3 (or 4)</t>
  </si>
  <si>
    <t>Embedding Models</t>
  </si>
  <si>
    <t>Embedding model name</t>
  </si>
  <si>
    <t>k</t>
  </si>
  <si>
    <t>Chunking</t>
  </si>
  <si>
    <t>Threshold</t>
  </si>
  <si>
    <t>Text embedding only</t>
  </si>
  <si>
    <t>*gte-Qwen2-1.5B-instruct</t>
  </si>
  <si>
    <r>
      <rPr>
        <rFont val="Times New Roman"/>
        <color theme="1"/>
      </rPr>
      <t>Semantic chunking with '</t>
    </r>
    <r>
      <rPr>
        <rFont val="Times New Roman"/>
        <b/>
        <color theme="1"/>
        <u/>
      </rPr>
      <t>percentile</t>
    </r>
    <r>
      <rPr>
        <rFont val="Times New Roman"/>
        <color theme="1"/>
      </rPr>
      <t>' &amp; '</t>
    </r>
    <r>
      <rPr>
        <rFont val="Times New Roman"/>
        <b/>
        <color theme="1"/>
        <u/>
      </rPr>
      <t>gradient</t>
    </r>
    <r>
      <rPr>
        <rFont val="Times New Roman"/>
        <color theme="1"/>
      </rPr>
      <t>'</t>
    </r>
  </si>
  <si>
    <t>*percentile = 95
gradient = 95
*currently using this</t>
  </si>
  <si>
    <t xml:space="preserve">*multilingual-e5-large-instruct </t>
  </si>
  <si>
    <t>gte-reranker-modernbert-base</t>
  </si>
  <si>
    <t>Multimodal embedding</t>
  </si>
  <si>
    <t>gme-Qwen2-VL-2B-Instruct</t>
  </si>
  <si>
    <t>Abbreviation</t>
  </si>
  <si>
    <t>Direct Explanation</t>
  </si>
  <si>
    <t>The explanation from the question textbook is put into the corresponding question prompt directly</t>
  </si>
  <si>
    <t>Combined Explanation</t>
  </si>
  <si>
    <t>All explanation is combined into 1 text/string ==&gt; retriever ==&gt; documents</t>
  </si>
  <si>
    <t>Combined + Redundant</t>
  </si>
  <si>
    <t>Add other NOT RELEVANT questions' explanation into the combined original explanation text</t>
  </si>
  <si>
    <t>Others + Table + Picture</t>
  </si>
  <si>
    <t>Make the source documents more complicated</t>
  </si>
  <si>
    <t>Miller</t>
  </si>
  <si>
    <t xml:space="preserve">Run with miller textbook again (use </t>
  </si>
  <si>
    <t>NOTES</t>
  </si>
  <si>
    <t>1. Reasoning model may stuck at some points</t>
  </si>
  <si>
    <t>2. Reasoning model may reject the context and answer on its own if it think that the context IS IRRELEVANT</t>
  </si>
  <si>
    <t>DeepSeek-R1</t>
  </si>
  <si>
    <t>AnesBench</t>
  </si>
  <si>
    <t>0.85</t>
  </si>
  <si>
    <t>Anesbench</t>
  </si>
  <si>
    <t>https://arxiv.org/html/2504.02404v1</t>
  </si>
  <si>
    <t>COMPARE RESULT</t>
  </si>
  <si>
    <t>Direct = GOLDEN (should be likely to be the best case)</t>
  </si>
  <si>
    <t>Llama_3.0_8B_Instruct</t>
  </si>
  <si>
    <r>
      <rPr>
        <rFont val="Times New Roman"/>
        <color theme="1"/>
      </rPr>
      <t>Qwen_2.5_</t>
    </r>
    <r>
      <rPr>
        <rFont val="Times New Roman"/>
        <b/>
        <color theme="1"/>
      </rPr>
      <t>72</t>
    </r>
    <r>
      <rPr>
        <rFont val="Times New Roman"/>
        <color theme="1"/>
      </rPr>
      <t>B_Instruct</t>
    </r>
  </si>
  <si>
    <t>Embed Model &amp; Settings</t>
  </si>
  <si>
    <t>gte-Qwen2-1.5B-instruct</t>
  </si>
  <si>
    <t>k = 1</t>
  </si>
  <si>
    <t>percentile = 95.0</t>
  </si>
  <si>
    <t>Question Set</t>
  </si>
  <si>
    <t>Average</t>
  </si>
  <si>
    <t>Bare</t>
  </si>
  <si>
    <t>Direct (Golden)</t>
  </si>
  <si>
    <t>Combined (263 explanations)</t>
  </si>
  <si>
    <r>
      <rPr>
        <rFont val="Times New Roman"/>
        <color theme="1"/>
      </rPr>
      <t xml:space="preserve">68% </t>
    </r>
    <r>
      <rPr>
        <rFont val="Times New Roman"/>
        <color rgb="FFFF0000"/>
      </rPr>
      <t>(-14%)</t>
    </r>
  </si>
  <si>
    <r>
      <rPr>
        <rFont val="Times New Roman"/>
        <color theme="1"/>
      </rPr>
      <t xml:space="preserve">73% </t>
    </r>
    <r>
      <rPr>
        <rFont val="Times New Roman"/>
        <color rgb="FFFF0000"/>
      </rPr>
      <t>(-12%)</t>
    </r>
  </si>
  <si>
    <r>
      <rPr>
        <rFont val="Times New Roman"/>
        <color theme="1"/>
      </rPr>
      <t xml:space="preserve">70% </t>
    </r>
    <r>
      <rPr>
        <rFont val="Times New Roman"/>
        <color rgb="FFFF0000"/>
      </rPr>
      <t>(-13%)</t>
    </r>
  </si>
  <si>
    <t>Combined</t>
  </si>
  <si>
    <r>
      <rPr>
        <rFont val="Times New Roman"/>
        <color theme="1"/>
      </rPr>
      <t xml:space="preserve">88% </t>
    </r>
    <r>
      <rPr>
        <rFont val="Times New Roman"/>
        <color rgb="FFFF0000"/>
      </rPr>
      <t>(-4%)</t>
    </r>
  </si>
  <si>
    <r>
      <rPr>
        <rFont val="Times New Roman"/>
        <color theme="1"/>
      </rPr>
      <t xml:space="preserve">85% </t>
    </r>
    <r>
      <rPr>
        <rFont val="Times New Roman"/>
        <color rgb="FFFF0000"/>
      </rPr>
      <t>(-9%)</t>
    </r>
  </si>
  <si>
    <r>
      <rPr>
        <rFont val="Times New Roman"/>
        <color theme="1"/>
      </rPr>
      <t xml:space="preserve">84% </t>
    </r>
    <r>
      <rPr>
        <rFont val="Times New Roman"/>
        <color rgb="FFFF0000"/>
      </rPr>
      <t>(-16%)</t>
    </r>
  </si>
  <si>
    <t>Combined + Redundant (Ez)</t>
  </si>
  <si>
    <r>
      <rPr>
        <rFont val="Times New Roman"/>
        <color theme="1"/>
      </rPr>
      <t xml:space="preserve">66% </t>
    </r>
    <r>
      <rPr>
        <rFont val="Times New Roman"/>
        <color rgb="FFFF0000"/>
      </rPr>
      <t>(-16%)</t>
    </r>
  </si>
  <si>
    <r>
      <rPr>
        <rFont val="Times New Roman"/>
        <color theme="1"/>
      </rPr>
      <t xml:space="preserve">71% </t>
    </r>
    <r>
      <rPr>
        <rFont val="Times New Roman"/>
        <color rgb="FFFF0000"/>
      </rPr>
      <t>(-16%)</t>
    </r>
  </si>
  <si>
    <r>
      <rPr>
        <rFont val="Times New Roman"/>
        <color theme="1"/>
      </rPr>
      <t xml:space="preserve">64% </t>
    </r>
    <r>
      <rPr>
        <rFont val="Times New Roman"/>
        <color rgb="FFFF0000"/>
      </rPr>
      <t>(-19%)</t>
    </r>
  </si>
  <si>
    <r>
      <rPr>
        <rFont val="Times New Roman"/>
        <color theme="1"/>
      </rPr>
      <t xml:space="preserve">86% </t>
    </r>
    <r>
      <rPr>
        <rFont val="Times New Roman"/>
        <color rgb="FFFF0000"/>
      </rPr>
      <t>(-6%)</t>
    </r>
  </si>
  <si>
    <r>
      <rPr>
        <rFont val="Times New Roman"/>
        <color theme="1"/>
      </rPr>
      <t xml:space="preserve">86% </t>
    </r>
    <r>
      <rPr>
        <rFont val="Times New Roman"/>
        <color rgb="FFFF0000"/>
      </rPr>
      <t>(-8%)</t>
    </r>
  </si>
  <si>
    <r>
      <rPr>
        <rFont val="Times New Roman"/>
        <color theme="1"/>
      </rPr>
      <t xml:space="preserve">84% </t>
    </r>
    <r>
      <rPr>
        <rFont val="Times New Roman"/>
        <color rgb="FFFF0000"/>
      </rPr>
      <t>(-16%)</t>
    </r>
  </si>
  <si>
    <t>Combined + Redundant (Med)</t>
  </si>
  <si>
    <r>
      <rPr>
        <rFont val="Times New Roman"/>
        <color theme="1"/>
      </rPr>
      <t xml:space="preserve">65% </t>
    </r>
    <r>
      <rPr>
        <rFont val="Times New Roman"/>
        <color rgb="FFFF0000"/>
      </rPr>
      <t>(-17%)</t>
    </r>
  </si>
  <si>
    <r>
      <rPr>
        <rFont val="Times New Roman"/>
        <color theme="1"/>
      </rPr>
      <t xml:space="preserve">64% </t>
    </r>
    <r>
      <rPr>
        <rFont val="Times New Roman"/>
        <color rgb="FFFF0000"/>
      </rPr>
      <t>(-23%)</t>
    </r>
  </si>
  <si>
    <r>
      <rPr>
        <rFont val="Times New Roman"/>
        <color theme="1"/>
      </rPr>
      <t xml:space="preserve">60% </t>
    </r>
    <r>
      <rPr>
        <rFont val="Times New Roman"/>
        <color rgb="FFFF0000"/>
      </rPr>
      <t>(-23%)</t>
    </r>
  </si>
  <si>
    <r>
      <rPr>
        <rFont val="Times New Roman"/>
        <color theme="1"/>
      </rPr>
      <t xml:space="preserve">82%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</si>
  <si>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84%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</si>
  <si>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78% </t>
    </r>
    <r>
      <rPr>
        <rFont val="Times New Roman"/>
        <color rgb="FFFF0000"/>
      </rPr>
      <t>(-22%)</t>
    </r>
  </si>
  <si>
    <t>Combined + Redundant (Hard)</t>
  </si>
  <si>
    <r>
      <rPr>
        <rFont val="Times New Roman"/>
        <color theme="1"/>
      </rPr>
      <t xml:space="preserve">62% </t>
    </r>
    <r>
      <rPr>
        <rFont val="Times New Roman"/>
        <color rgb="FFFF0000"/>
      </rPr>
      <t>(-20%)</t>
    </r>
  </si>
  <si>
    <r>
      <rPr>
        <rFont val="Times New Roman"/>
        <color theme="1"/>
      </rPr>
      <t xml:space="preserve">67% </t>
    </r>
    <r>
      <rPr>
        <rFont val="Times New Roman"/>
        <color rgb="FFFF0000"/>
      </rPr>
      <t>(-14%)</t>
    </r>
  </si>
  <si>
    <r>
      <rPr>
        <rFont val="Times New Roman"/>
        <color theme="1"/>
      </rPr>
      <t xml:space="preserve">61% </t>
    </r>
    <r>
      <rPr>
        <rFont val="Times New Roman"/>
        <color rgb="FFFF0000"/>
      </rPr>
      <t>(-16%)</t>
    </r>
  </si>
  <si>
    <r>
      <rPr>
        <rFont val="Times New Roman"/>
        <color theme="1"/>
      </rPr>
      <t xml:space="preserve">83% </t>
    </r>
    <r>
      <rPr>
        <rFont val="Times New Roman"/>
        <color rgb="FFFF0000"/>
      </rPr>
      <t>(-9%)</t>
    </r>
  </si>
  <si>
    <r>
      <rPr>
        <rFont val="Times New Roman"/>
        <color theme="1"/>
      </rPr>
      <t xml:space="preserve">83% </t>
    </r>
    <r>
      <rPr>
        <rFont val="Times New Roman"/>
        <color rgb="FFFF0000"/>
      </rPr>
      <t>(-11%)</t>
    </r>
  </si>
  <si>
    <r>
      <rPr>
        <rFont val="Times New Roman"/>
        <color theme="1"/>
      </rPr>
      <t xml:space="preserve">81% </t>
    </r>
    <r>
      <rPr>
        <rFont val="Times New Roman"/>
        <color rgb="FFFF0000"/>
      </rPr>
      <t>(-19%)</t>
    </r>
  </si>
  <si>
    <t>Combined Complex</t>
  </si>
  <si>
    <t>Llama_3.1_8B_Instruct</t>
  </si>
  <si>
    <t>Qwen_3.0_8B (Reasoning)</t>
  </si>
  <si>
    <t>Demo reasoning capability</t>
  </si>
  <si>
    <r>
      <rPr>
        <rFont val="Times New Roman"/>
        <color theme="1"/>
      </rPr>
      <t xml:space="preserve">77% </t>
    </r>
    <r>
      <rPr>
        <rFont val="Times New Roman"/>
        <color rgb="FFFF0000"/>
      </rPr>
      <t>(-7%)</t>
    </r>
  </si>
  <si>
    <r>
      <rPr>
        <rFont val="Times New Roman"/>
        <color theme="1"/>
      </rPr>
      <t xml:space="preserve">75%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</si>
  <si>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76% </t>
    </r>
    <r>
      <rPr>
        <rFont val="Times New Roman"/>
        <color rgb="FFFF0000"/>
      </rPr>
      <t>(-13%)</t>
    </r>
  </si>
  <si>
    <r>
      <rPr>
        <rFont val="Times New Roman"/>
        <color theme="1"/>
      </rPr>
      <t xml:space="preserve">82% </t>
    </r>
    <r>
      <rPr>
        <rFont val="Times New Roman"/>
        <color rgb="FFFF0000"/>
      </rPr>
      <t>(-5%)</t>
    </r>
  </si>
  <si>
    <r>
      <rPr>
        <rFont val="Times New Roman"/>
        <color theme="1"/>
      </rPr>
      <t xml:space="preserve">88% </t>
    </r>
    <r>
      <rPr>
        <rFont val="Times New Roman"/>
        <color rgb="FFFF0000"/>
      </rPr>
      <t>(-6%)</t>
    </r>
  </si>
  <si>
    <r>
      <rPr>
        <rFont val="Times New Roman"/>
        <color theme="1"/>
      </rPr>
      <t xml:space="preserve">83% </t>
    </r>
    <r>
      <rPr>
        <rFont val="Times New Roman"/>
        <color rgb="FFFF0000"/>
      </rPr>
      <t>(-5%)</t>
    </r>
  </si>
  <si>
    <r>
      <rPr>
        <rFont val="Times New Roman"/>
        <color theme="1"/>
      </rPr>
      <t xml:space="preserve">69% </t>
    </r>
    <r>
      <rPr>
        <rFont val="Times New Roman"/>
        <color rgb="FFFF0000"/>
      </rPr>
      <t>(-15%)</t>
    </r>
  </si>
  <si>
    <r>
      <rPr>
        <rFont val="Times New Roman"/>
        <color theme="1"/>
      </rPr>
      <t xml:space="preserve">72% </t>
    </r>
    <r>
      <rPr>
        <rFont val="Times New Roman"/>
        <color rgb="FFFF0000"/>
      </rPr>
      <t>(-13%)</t>
    </r>
  </si>
  <si>
    <r>
      <rPr>
        <rFont val="Times New Roman"/>
        <color theme="1"/>
      </rPr>
      <t xml:space="preserve">66% </t>
    </r>
    <r>
      <rPr>
        <rFont val="Times New Roman"/>
        <color rgb="FFFF0000"/>
      </rPr>
      <t>(-23%)</t>
    </r>
  </si>
  <si>
    <r>
      <rPr>
        <rFont val="Times New Roman"/>
        <color theme="1"/>
      </rPr>
      <t xml:space="preserve">84% </t>
    </r>
    <r>
      <rPr>
        <rFont val="Times New Roman"/>
        <color rgb="FFFF0000"/>
      </rPr>
      <t>(-3%)</t>
    </r>
  </si>
  <si>
    <r>
      <rPr>
        <rFont val="Times New Roman"/>
        <color theme="1"/>
      </rPr>
      <t xml:space="preserve">86% </t>
    </r>
    <r>
      <rPr>
        <rFont val="Times New Roman"/>
        <color rgb="FFFF0000"/>
      </rPr>
      <t>(-8%)</t>
    </r>
  </si>
  <si>
    <r>
      <rPr>
        <rFont val="Times New Roman"/>
        <color theme="1"/>
      </rPr>
      <t xml:space="preserve">80% </t>
    </r>
    <r>
      <rPr>
        <rFont val="Times New Roman"/>
        <color rgb="FFFF0000"/>
      </rPr>
      <t>(-8%)</t>
    </r>
  </si>
  <si>
    <r>
      <rPr>
        <rFont val="Times New Roman"/>
        <color theme="1"/>
      </rPr>
      <t xml:space="preserve">68% </t>
    </r>
    <r>
      <rPr>
        <rFont val="Times New Roman"/>
        <color rgb="FFFF0000"/>
      </rPr>
      <t>(-16%)</t>
    </r>
  </si>
  <si>
    <r>
      <rPr>
        <rFont val="Times New Roman"/>
        <color theme="1"/>
      </rPr>
      <t xml:space="preserve">68% </t>
    </r>
    <r>
      <rPr>
        <rFont val="Times New Roman"/>
        <color rgb="FFFF0000"/>
      </rPr>
      <t>(-17%)</t>
    </r>
  </si>
  <si>
    <r>
      <rPr>
        <rFont val="Times New Roman"/>
        <color theme="1"/>
      </rPr>
      <t xml:space="preserve">66% </t>
    </r>
    <r>
      <rPr>
        <rFont val="Times New Roman"/>
        <color rgb="FFFF0000"/>
      </rPr>
      <t>(-23%)</t>
    </r>
  </si>
  <si>
    <r>
      <rPr>
        <rFont val="Times New Roman"/>
        <color theme="1"/>
      </rPr>
      <t xml:space="preserve">77%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</si>
  <si>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86% </t>
    </r>
    <r>
      <rPr>
        <rFont val="Times New Roman"/>
        <color rgb="FFFF0000"/>
      </rPr>
      <t>(-8%)</t>
    </r>
  </si>
  <si>
    <r>
      <rPr>
        <rFont val="Times New Roman"/>
        <color theme="1"/>
      </rPr>
      <t xml:space="preserve">77% </t>
    </r>
    <r>
      <rPr>
        <rFont val="Times New Roman"/>
        <color rgb="FFFF0000"/>
      </rPr>
      <t>(-11%)</t>
    </r>
  </si>
  <si>
    <r>
      <rPr>
        <rFont val="Times New Roman"/>
        <color theme="1"/>
      </rPr>
      <t xml:space="preserve">64% </t>
    </r>
    <r>
      <rPr>
        <rFont val="Times New Roman"/>
        <color rgb="FFFF0000"/>
      </rPr>
      <t>(-20%)</t>
    </r>
  </si>
  <si>
    <r>
      <rPr>
        <rFont val="Times New Roman"/>
        <color theme="1"/>
      </rPr>
      <t xml:space="preserve">73% </t>
    </r>
    <r>
      <rPr>
        <rFont val="Times New Roman"/>
        <color rgb="FFFF0000"/>
      </rPr>
      <t>(-12%)</t>
    </r>
  </si>
  <si>
    <r>
      <rPr>
        <rFont val="Times New Roman"/>
        <color theme="1"/>
      </rPr>
      <t xml:space="preserve">63% </t>
    </r>
    <r>
      <rPr>
        <rFont val="Times New Roman"/>
        <color rgb="FFFF0000"/>
      </rPr>
      <t>(-26%)</t>
    </r>
  </si>
  <si>
    <r>
      <rPr>
        <rFont val="Times New Roman"/>
        <color theme="1"/>
      </rPr>
      <t xml:space="preserve">66% </t>
    </r>
    <r>
      <rPr>
        <rFont val="Times New Roman"/>
        <color rgb="FFFF0000"/>
      </rPr>
      <t>(-21%)</t>
    </r>
  </si>
  <si>
    <r>
      <rPr>
        <rFont val="Times New Roman"/>
        <color theme="1"/>
      </rPr>
      <t xml:space="preserve">81% </t>
    </r>
    <r>
      <rPr>
        <rFont val="Times New Roman"/>
        <color rgb="FFFF0000"/>
      </rPr>
      <t>(-13%)</t>
    </r>
  </si>
  <si>
    <r>
      <rPr>
        <rFont val="Times New Roman"/>
        <color theme="1"/>
      </rPr>
      <t xml:space="preserve">72% </t>
    </r>
    <r>
      <rPr>
        <rFont val="Times New Roman"/>
        <color rgb="FFFF0000"/>
      </rPr>
      <t>(-16%)</t>
    </r>
  </si>
  <si>
    <t>--</t>
  </si>
  <si>
    <t>Llama_3.2_3B_Instruct</t>
  </si>
  <si>
    <t>Qwen_3.0_32B (Reasoning)</t>
  </si>
  <si>
    <r>
      <rPr>
        <rFont val="Times New Roman"/>
        <color theme="1"/>
      </rPr>
      <t xml:space="preserve">53% </t>
    </r>
    <r>
      <rPr>
        <rFont val="Times New Roman"/>
        <color rgb="FFFF0000"/>
      </rPr>
      <t>(-15%)</t>
    </r>
  </si>
  <si>
    <r>
      <rPr>
        <rFont val="Times New Roman"/>
        <color theme="1"/>
      </rPr>
      <t xml:space="preserve">60% </t>
    </r>
    <r>
      <rPr>
        <rFont val="Times New Roman"/>
        <color rgb="FFFF0000"/>
      </rPr>
      <t>(-8%)</t>
    </r>
  </si>
  <si>
    <r>
      <rPr>
        <rFont val="Times New Roman"/>
        <color theme="1"/>
      </rPr>
      <t xml:space="preserve">55% </t>
    </r>
    <r>
      <rPr>
        <rFont val="Times New Roman"/>
        <color rgb="FFFF0000"/>
      </rPr>
      <t>(-11%)</t>
    </r>
  </si>
  <si>
    <r>
      <rPr>
        <rFont val="Times New Roman"/>
        <color theme="1"/>
      </rPr>
      <t xml:space="preserve">90% </t>
    </r>
    <r>
      <rPr>
        <rFont val="Times New Roman"/>
        <color rgb="FFFF0000"/>
      </rPr>
      <t>(-6%)</t>
    </r>
  </si>
  <si>
    <r>
      <rPr>
        <rFont val="Times New Roman"/>
        <color theme="1"/>
      </rPr>
      <t xml:space="preserve">89% </t>
    </r>
    <r>
      <rPr>
        <rFont val="Times New Roman"/>
        <color rgb="FFFF0000"/>
      </rPr>
      <t>(-7%)</t>
    </r>
  </si>
  <si>
    <r>
      <rPr>
        <rFont val="Times New Roman"/>
        <color theme="1"/>
      </rPr>
      <t xml:space="preserve">87% </t>
    </r>
    <r>
      <rPr>
        <rFont val="Times New Roman"/>
        <color rgb="FFFF0000"/>
      </rPr>
      <t>(-9%)</t>
    </r>
  </si>
  <si>
    <r>
      <rPr>
        <rFont val="Times New Roman"/>
        <color theme="1"/>
      </rPr>
      <t xml:space="preserve">51% </t>
    </r>
    <r>
      <rPr>
        <rFont val="Times New Roman"/>
        <color rgb="FFFF0000"/>
      </rPr>
      <t>(-17%)</t>
    </r>
  </si>
  <si>
    <r>
      <rPr>
        <rFont val="Times New Roman"/>
        <color theme="1"/>
      </rPr>
      <t xml:space="preserve">56% </t>
    </r>
    <r>
      <rPr>
        <rFont val="Times New Roman"/>
        <color rgb="FFFF0000"/>
      </rPr>
      <t>(-12%)</t>
    </r>
  </si>
  <si>
    <r>
      <rPr>
        <rFont val="Times New Roman"/>
        <color theme="1"/>
      </rPr>
      <t xml:space="preserve">48% </t>
    </r>
    <r>
      <rPr>
        <rFont val="Times New Roman"/>
        <color rgb="FFFF0000"/>
      </rPr>
      <t>(-18%)</t>
    </r>
  </si>
  <si>
    <r>
      <rPr>
        <rFont val="Times New Roman"/>
        <color theme="1"/>
      </rPr>
      <t xml:space="preserve">89% </t>
    </r>
    <r>
      <rPr>
        <rFont val="Times New Roman"/>
        <color rgb="FFFF0000"/>
      </rPr>
      <t>(-7%)</t>
    </r>
  </si>
  <si>
    <r>
      <rPr>
        <rFont val="Times New Roman"/>
        <color theme="1"/>
      </rPr>
      <t xml:space="preserve">87% </t>
    </r>
    <r>
      <rPr>
        <rFont val="Times New Roman"/>
        <color rgb="FFFF0000"/>
      </rPr>
      <t>(-9%)</t>
    </r>
  </si>
  <si>
    <r>
      <rPr>
        <rFont val="Times New Roman"/>
        <color theme="1"/>
      </rPr>
      <t xml:space="preserve">83% </t>
    </r>
    <r>
      <rPr>
        <rFont val="Times New Roman"/>
        <color rgb="FFFF0000"/>
      </rPr>
      <t>(-13%)</t>
    </r>
  </si>
  <si>
    <r>
      <rPr>
        <rFont val="Times New Roman"/>
        <color theme="1"/>
      </rPr>
      <t xml:space="preserve">50% </t>
    </r>
    <r>
      <rPr>
        <rFont val="Times New Roman"/>
        <color rgb="FFFF0000"/>
      </rPr>
      <t>(-18%)</t>
    </r>
  </si>
  <si>
    <r>
      <rPr>
        <rFont val="Times New Roman"/>
        <color theme="1"/>
      </rPr>
      <t xml:space="preserve">57% </t>
    </r>
    <r>
      <rPr>
        <rFont val="Times New Roman"/>
        <color rgb="FFFF0000"/>
      </rPr>
      <t>(-11%)</t>
    </r>
  </si>
  <si>
    <r>
      <rPr>
        <rFont val="Times New Roman"/>
        <color theme="1"/>
      </rPr>
      <t xml:space="preserve">46% </t>
    </r>
    <r>
      <rPr>
        <rFont val="Times New Roman"/>
        <color rgb="FFFF0000"/>
      </rPr>
      <t>(-20%)</t>
    </r>
  </si>
  <si>
    <r>
      <rPr>
        <rFont val="Times New Roman"/>
        <color theme="1"/>
      </rPr>
      <t xml:space="preserve">86%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</si>
  <si>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90% </t>
    </r>
    <r>
      <rPr>
        <rFont val="Times New Roman"/>
        <color rgb="FFFF0000"/>
      </rPr>
      <t>(-6%)</t>
    </r>
  </si>
  <si>
    <r>
      <rPr>
        <rFont val="Times New Roman"/>
        <color theme="1"/>
      </rPr>
      <t xml:space="preserve">85% </t>
    </r>
    <r>
      <rPr>
        <rFont val="Times New Roman"/>
        <color rgb="FFFF0000"/>
      </rPr>
      <t>(-11%)</t>
    </r>
  </si>
  <si>
    <r>
      <rPr>
        <rFont val="Times New Roman"/>
        <color theme="1"/>
      </rPr>
      <t xml:space="preserve">47% </t>
    </r>
    <r>
      <rPr>
        <rFont val="Times New Roman"/>
        <color rgb="FFFF0000"/>
      </rPr>
      <t>(-21%)</t>
    </r>
  </si>
  <si>
    <r>
      <rPr>
        <rFont val="Times New Roman"/>
        <color theme="1"/>
      </rPr>
      <t xml:space="preserve">54% </t>
    </r>
    <r>
      <rPr>
        <rFont val="Times New Roman"/>
        <color rgb="FFFF0000"/>
      </rPr>
      <t>(-14%)</t>
    </r>
  </si>
  <si>
    <r>
      <rPr>
        <rFont val="Times New Roman"/>
        <color theme="1"/>
      </rPr>
      <t xml:space="preserve">43% </t>
    </r>
    <r>
      <rPr>
        <rFont val="Times New Roman"/>
        <color rgb="FFFF0000"/>
      </rPr>
      <t>(-23%)</t>
    </r>
  </si>
  <si>
    <r>
      <rPr>
        <rFont val="Times New Roman"/>
        <color theme="1"/>
      </rPr>
      <t xml:space="preserve">81% </t>
    </r>
    <r>
      <rPr>
        <rFont val="Times New Roman"/>
        <color rgb="FFFF0000"/>
      </rPr>
      <t>(-15%)</t>
    </r>
  </si>
  <si>
    <r>
      <rPr>
        <rFont val="Times New Roman"/>
        <color theme="1"/>
      </rPr>
      <t xml:space="preserve">86%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</si>
  <si>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82% </t>
    </r>
    <r>
      <rPr>
        <rFont val="Times New Roman"/>
        <color rgb="FFFF0000"/>
      </rPr>
      <t>(-14%)</t>
    </r>
  </si>
  <si>
    <t>Llama_3.3_70B_Instruct</t>
  </si>
  <si>
    <t>Qwen_3.0_32B_SFT_Medical (Reasoning)</t>
  </si>
  <si>
    <t>Skip this model (no better than the original Qwen_3.0_32B)</t>
  </si>
  <si>
    <r>
      <rPr>
        <rFont val="Times New Roman"/>
        <color theme="1"/>
      </rPr>
      <t xml:space="preserve">79% </t>
    </r>
    <r>
      <rPr>
        <rFont val="Times New Roman"/>
        <color rgb="FFFF0000"/>
      </rPr>
      <t>(-8%)</t>
    </r>
  </si>
  <si>
    <r>
      <rPr>
        <rFont val="Times New Roman"/>
        <color theme="1"/>
      </rPr>
      <t xml:space="preserve">81%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</si>
  <si>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79% </t>
    </r>
    <r>
      <rPr>
        <rFont val="Times New Roman"/>
        <color rgb="FFFF0000"/>
      </rPr>
      <t>(-10%)</t>
    </r>
  </si>
  <si>
    <r>
      <rPr>
        <rFont val="Times New Roman"/>
        <color theme="1"/>
      </rPr>
      <t xml:space="preserve">70% </t>
    </r>
    <r>
      <rPr>
        <rFont val="Times New Roman"/>
        <color rgb="FFFF0000"/>
      </rPr>
      <t>(-17%)</t>
    </r>
  </si>
  <si>
    <r>
      <rPr>
        <rFont val="Times New Roman"/>
        <color theme="1"/>
      </rPr>
      <t xml:space="preserve">76% </t>
    </r>
    <r>
      <rPr>
        <rFont val="Times New Roman"/>
        <color rgb="FFFF0000"/>
      </rPr>
      <t>(-15%)</t>
    </r>
  </si>
  <si>
    <r>
      <rPr>
        <rFont val="Times New Roman"/>
        <color theme="1"/>
      </rPr>
      <t xml:space="preserve">67% </t>
    </r>
    <r>
      <rPr>
        <rFont val="Times New Roman"/>
        <color rgb="FFFF0000"/>
      </rPr>
      <t>(-22%)</t>
    </r>
  </si>
  <si>
    <r>
      <rPr>
        <rFont val="Times New Roman"/>
        <color theme="1"/>
      </rPr>
      <t xml:space="preserve">72% </t>
    </r>
    <r>
      <rPr>
        <rFont val="Times New Roman"/>
        <color rgb="FFFF0000"/>
      </rPr>
      <t>(-15%)</t>
    </r>
  </si>
  <si>
    <r>
      <rPr>
        <rFont val="Times New Roman"/>
        <color theme="1"/>
      </rPr>
      <t xml:space="preserve">80% </t>
    </r>
    <r>
      <rPr>
        <rFont val="Times New Roman"/>
        <color rgb="FFFF0000"/>
      </rPr>
      <t>(-11%)</t>
    </r>
  </si>
  <si>
    <r>
      <rPr>
        <rFont val="Times New Roman"/>
        <color theme="1"/>
      </rPr>
      <t xml:space="preserve">65% </t>
    </r>
    <r>
      <rPr>
        <rFont val="Times New Roman"/>
        <color rgb="FFFF0000"/>
      </rPr>
      <t>(-24%)</t>
    </r>
  </si>
  <si>
    <r>
      <rPr>
        <rFont val="Times New Roman"/>
        <color theme="1"/>
      </rPr>
      <t xml:space="preserve">64% </t>
    </r>
    <r>
      <rPr>
        <rFont val="Times New Roman"/>
        <color rgb="FFFF0000"/>
      </rPr>
      <t>(-23%)</t>
    </r>
  </si>
  <si>
    <r>
      <rPr>
        <rFont val="Times New Roman"/>
        <color theme="1"/>
      </rPr>
      <t xml:space="preserve">74% </t>
    </r>
    <r>
      <rPr>
        <rFont val="Times New Roman"/>
        <color rgb="FFFF0000"/>
      </rPr>
      <t>(-17%)</t>
    </r>
  </si>
  <si>
    <r>
      <rPr>
        <rFont val="Times New Roman"/>
        <color theme="1"/>
      </rPr>
      <t xml:space="preserve">69% </t>
    </r>
    <r>
      <rPr>
        <rFont val="Times New Roman"/>
        <color rgb="FFFF0000"/>
      </rPr>
      <t>(-20%)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</si>
</sst>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b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u/>
      <color rgb="FF0000FF"/>
    </font>
    <font>
      <b/>
      <sz val="30.0"/>
      <color theme="1"/>
      <name val="Times New Roman"/>
    </font>
    <font>
      <b/>
      <color rgb="FFFFFF0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9" fillId="4" fontId="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12" fillId="0" fontId="2" numFmtId="0" xfId="0" applyBorder="1" applyFont="1"/>
    <xf borderId="13" fillId="0" fontId="2" numFmtId="0" xfId="0" applyBorder="1" applyFont="1"/>
    <xf borderId="4" fillId="5" fontId="4" numFmtId="0" xfId="0" applyAlignment="1" applyBorder="1" applyFill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2" fontId="4" numFmtId="0" xfId="0" applyBorder="1" applyFont="1"/>
    <xf borderId="1" fillId="6" fontId="4" numFmtId="0" xfId="0" applyAlignment="1" applyBorder="1" applyFill="1" applyFont="1">
      <alignment horizontal="center" readingOrder="0" shrinkToFit="0" vertical="center" wrapText="1"/>
    </xf>
    <xf borderId="0" fillId="2" fontId="4" numFmtId="0" xfId="0" applyFont="1"/>
    <xf borderId="5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horizontal="left" readingOrder="0" vertical="center"/>
    </xf>
    <xf borderId="4" fillId="7" fontId="4" numFmtId="0" xfId="0" applyAlignment="1" applyBorder="1" applyFill="1" applyFon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/>
    </xf>
    <xf borderId="4" fillId="9" fontId="4" numFmtId="0" xfId="0" applyAlignment="1" applyBorder="1" applyFill="1" applyFont="1">
      <alignment horizontal="center" readingOrder="0" vertical="center"/>
    </xf>
    <xf borderId="4" fillId="0" fontId="4" numFmtId="9" xfId="0" applyAlignment="1" applyBorder="1" applyFont="1" applyNumberFormat="1">
      <alignment horizontal="center" readingOrder="0" vertical="center"/>
    </xf>
    <xf borderId="0" fillId="0" fontId="5" numFmtId="9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4" fillId="0" fontId="4" numFmtId="0" xfId="0" applyAlignment="1" applyBorder="1" applyFont="1">
      <alignment vertical="center"/>
    </xf>
    <xf borderId="0" fillId="10" fontId="4" numFmtId="0" xfId="0" applyAlignment="1" applyFill="1" applyFont="1">
      <alignment readingOrder="0" shrinkToFit="0" vertical="center" wrapText="1"/>
    </xf>
    <xf borderId="0" fillId="11" fontId="8" numFmtId="0" xfId="0" applyAlignment="1" applyFill="1" applyFont="1">
      <alignment readingOrder="0" shrinkToFit="0" vertical="center" wrapText="1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1</xdr:row>
      <xdr:rowOff>161925</xdr:rowOff>
    </xdr:from>
    <xdr:ext cx="6981825" cy="54768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html/2504.02404v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3"/>
      <c r="C2" s="4" t="s">
        <v>2</v>
      </c>
      <c r="D2" s="3"/>
      <c r="E2" s="4" t="s">
        <v>3</v>
      </c>
      <c r="F2" s="3"/>
      <c r="G2" s="4" t="s">
        <v>4</v>
      </c>
      <c r="H2" s="3"/>
      <c r="I2" s="5" t="s">
        <v>5</v>
      </c>
      <c r="L2" s="6" t="s">
        <v>6</v>
      </c>
      <c r="M2" s="2"/>
      <c r="N2" s="2"/>
      <c r="O2" s="2"/>
      <c r="P2" s="2"/>
      <c r="Q2" s="2"/>
      <c r="R2" s="3"/>
    </row>
    <row r="3">
      <c r="A3" s="7"/>
    </row>
    <row r="4">
      <c r="A4" s="8" t="s">
        <v>7</v>
      </c>
      <c r="B4" s="9"/>
      <c r="C4" s="10" t="s">
        <v>8</v>
      </c>
      <c r="D4" s="11" t="s">
        <v>9</v>
      </c>
      <c r="E4" s="3"/>
      <c r="F4" s="10" t="s">
        <v>10</v>
      </c>
      <c r="G4" s="12"/>
      <c r="H4" s="12"/>
      <c r="I4" s="13"/>
    </row>
    <row r="5">
      <c r="A5" s="14"/>
      <c r="B5" s="15"/>
      <c r="C5" s="16" t="s">
        <v>11</v>
      </c>
      <c r="D5" s="17" t="s">
        <v>12</v>
      </c>
      <c r="E5" s="3"/>
      <c r="F5" s="10">
        <v>4.0</v>
      </c>
      <c r="G5" s="10"/>
      <c r="H5" s="10"/>
      <c r="I5" s="18" t="s">
        <v>13</v>
      </c>
      <c r="J5" s="19" t="s">
        <v>14</v>
      </c>
    </row>
    <row r="6">
      <c r="A6" s="14"/>
      <c r="B6" s="15"/>
      <c r="C6" s="20"/>
      <c r="D6" s="17" t="s">
        <v>15</v>
      </c>
      <c r="E6" s="3"/>
      <c r="F6" s="10">
        <v>1.0</v>
      </c>
      <c r="G6" s="12"/>
      <c r="H6" s="12"/>
      <c r="I6" s="20"/>
      <c r="J6" s="19" t="s">
        <v>14</v>
      </c>
    </row>
    <row r="7">
      <c r="A7" s="14"/>
      <c r="B7" s="15"/>
      <c r="C7" s="20"/>
      <c r="D7" s="17" t="s">
        <v>16</v>
      </c>
      <c r="E7" s="3"/>
      <c r="F7" s="10">
        <v>1.0</v>
      </c>
      <c r="G7" s="12"/>
      <c r="H7" s="12"/>
      <c r="I7" s="20"/>
      <c r="J7" s="19" t="s">
        <v>14</v>
      </c>
    </row>
    <row r="8">
      <c r="A8" s="14"/>
      <c r="B8" s="15"/>
      <c r="C8" s="20"/>
      <c r="D8" s="17" t="s">
        <v>17</v>
      </c>
      <c r="E8" s="3"/>
      <c r="F8" s="10">
        <v>1.0</v>
      </c>
      <c r="G8" s="12"/>
      <c r="H8" s="12"/>
      <c r="I8" s="20"/>
      <c r="J8" s="19" t="s">
        <v>14</v>
      </c>
    </row>
    <row r="9">
      <c r="A9" s="14"/>
      <c r="B9" s="15"/>
      <c r="C9" s="21"/>
      <c r="D9" s="17" t="s">
        <v>18</v>
      </c>
      <c r="E9" s="3"/>
      <c r="F9" s="10">
        <v>4.0</v>
      </c>
      <c r="G9" s="12"/>
      <c r="H9" s="12"/>
      <c r="I9" s="20"/>
      <c r="J9" s="19" t="s">
        <v>14</v>
      </c>
    </row>
    <row r="10">
      <c r="A10" s="14"/>
      <c r="B10" s="15"/>
      <c r="C10" s="22" t="s">
        <v>19</v>
      </c>
      <c r="D10" s="23" t="s">
        <v>20</v>
      </c>
      <c r="E10" s="3"/>
      <c r="F10" s="24">
        <v>1.0</v>
      </c>
      <c r="G10" s="25" t="s">
        <v>21</v>
      </c>
      <c r="H10" s="9"/>
      <c r="I10" s="20"/>
      <c r="J10" s="19" t="s">
        <v>14</v>
      </c>
    </row>
    <row r="11">
      <c r="A11" s="14"/>
      <c r="B11" s="15"/>
      <c r="C11" s="20"/>
      <c r="D11" s="23" t="s">
        <v>22</v>
      </c>
      <c r="E11" s="3"/>
      <c r="F11" s="24">
        <v>1.0</v>
      </c>
      <c r="G11" s="14"/>
      <c r="H11" s="15"/>
      <c r="I11" s="20"/>
      <c r="J11" s="19" t="s">
        <v>14</v>
      </c>
    </row>
    <row r="12">
      <c r="A12" s="14"/>
      <c r="B12" s="15"/>
      <c r="C12" s="20"/>
      <c r="D12" s="23" t="s">
        <v>23</v>
      </c>
      <c r="E12" s="3"/>
      <c r="F12" s="24">
        <v>1.0</v>
      </c>
      <c r="G12" s="14"/>
      <c r="H12" s="15"/>
      <c r="I12" s="20"/>
      <c r="J12" s="19" t="s">
        <v>24</v>
      </c>
    </row>
    <row r="13">
      <c r="A13" s="14"/>
      <c r="B13" s="15"/>
      <c r="C13" s="21"/>
      <c r="D13" s="26" t="s">
        <v>25</v>
      </c>
      <c r="E13" s="3"/>
      <c r="F13" s="27" t="s">
        <v>26</v>
      </c>
      <c r="G13" s="28"/>
      <c r="H13" s="29"/>
      <c r="I13" s="20"/>
      <c r="J13" s="19" t="s">
        <v>14</v>
      </c>
    </row>
    <row r="14">
      <c r="A14" s="28"/>
      <c r="B14" s="29"/>
      <c r="C14" s="30" t="s">
        <v>27</v>
      </c>
      <c r="D14" s="31" t="s">
        <v>28</v>
      </c>
      <c r="E14" s="3"/>
      <c r="F14" s="30" t="s">
        <v>29</v>
      </c>
      <c r="G14" s="13"/>
      <c r="H14" s="13"/>
      <c r="I14" s="21"/>
      <c r="J14" s="19" t="s">
        <v>24</v>
      </c>
    </row>
    <row r="15">
      <c r="A15" s="32"/>
      <c r="B15" s="2"/>
      <c r="C15" s="2"/>
      <c r="D15" s="2"/>
      <c r="E15" s="2"/>
      <c r="F15" s="2"/>
      <c r="G15" s="2"/>
      <c r="H15" s="2"/>
      <c r="I15" s="3"/>
    </row>
    <row r="16">
      <c r="A16" s="8" t="s">
        <v>30</v>
      </c>
      <c r="B16" s="9"/>
      <c r="C16" s="10" t="s">
        <v>8</v>
      </c>
      <c r="D16" s="11" t="s">
        <v>31</v>
      </c>
      <c r="E16" s="3"/>
      <c r="F16" s="10" t="s">
        <v>32</v>
      </c>
      <c r="G16" s="10" t="s">
        <v>33</v>
      </c>
      <c r="H16" s="10" t="s">
        <v>34</v>
      </c>
      <c r="I16" s="13"/>
    </row>
    <row r="17">
      <c r="A17" s="14"/>
      <c r="B17" s="15"/>
      <c r="C17" s="18" t="s">
        <v>35</v>
      </c>
      <c r="D17" s="33" t="s">
        <v>36</v>
      </c>
      <c r="E17" s="3"/>
      <c r="F17" s="18">
        <v>1.0</v>
      </c>
      <c r="G17" s="18" t="s">
        <v>37</v>
      </c>
      <c r="H17" s="18" t="s">
        <v>38</v>
      </c>
      <c r="I17" s="13"/>
    </row>
    <row r="18">
      <c r="A18" s="14"/>
      <c r="B18" s="15"/>
      <c r="C18" s="20"/>
      <c r="D18" s="33" t="s">
        <v>39</v>
      </c>
      <c r="E18" s="3"/>
      <c r="F18" s="20"/>
      <c r="G18" s="20"/>
      <c r="H18" s="20"/>
      <c r="I18" s="13"/>
    </row>
    <row r="19">
      <c r="A19" s="14"/>
      <c r="B19" s="15"/>
      <c r="C19" s="21"/>
      <c r="D19" s="11" t="s">
        <v>40</v>
      </c>
      <c r="E19" s="3"/>
      <c r="F19" s="20"/>
      <c r="G19" s="20"/>
      <c r="H19" s="20"/>
      <c r="I19" s="13"/>
    </row>
    <row r="20">
      <c r="A20" s="28"/>
      <c r="B20" s="29"/>
      <c r="C20" s="10" t="s">
        <v>41</v>
      </c>
      <c r="D20" s="11" t="s">
        <v>42</v>
      </c>
      <c r="E20" s="3"/>
      <c r="F20" s="21"/>
      <c r="G20" s="21"/>
      <c r="H20" s="21"/>
      <c r="I20" s="13"/>
    </row>
    <row r="21">
      <c r="A21" s="34"/>
    </row>
    <row r="22">
      <c r="A22" s="35" t="s">
        <v>43</v>
      </c>
      <c r="B22" s="9"/>
      <c r="C22" s="36" t="s">
        <v>44</v>
      </c>
      <c r="D22" s="37" t="s">
        <v>45</v>
      </c>
      <c r="E22" s="2"/>
      <c r="F22" s="2"/>
      <c r="G22" s="2"/>
      <c r="H22" s="2"/>
      <c r="I22" s="3"/>
    </row>
    <row r="23">
      <c r="A23" s="14"/>
      <c r="B23" s="15"/>
      <c r="C23" s="36" t="s">
        <v>46</v>
      </c>
      <c r="D23" s="37" t="s">
        <v>47</v>
      </c>
      <c r="E23" s="2"/>
      <c r="F23" s="2"/>
      <c r="G23" s="2"/>
      <c r="H23" s="2"/>
      <c r="I23" s="3"/>
    </row>
    <row r="24">
      <c r="A24" s="14"/>
      <c r="B24" s="15"/>
      <c r="C24" s="36" t="s">
        <v>48</v>
      </c>
      <c r="D24" s="37" t="s">
        <v>49</v>
      </c>
      <c r="E24" s="2"/>
      <c r="F24" s="2"/>
      <c r="G24" s="2"/>
      <c r="H24" s="2"/>
      <c r="I24" s="3"/>
    </row>
    <row r="25">
      <c r="A25" s="14"/>
      <c r="B25" s="15"/>
      <c r="C25" s="36" t="s">
        <v>50</v>
      </c>
      <c r="D25" s="37" t="s">
        <v>51</v>
      </c>
      <c r="E25" s="2"/>
      <c r="F25" s="2"/>
      <c r="G25" s="2"/>
      <c r="H25" s="2"/>
      <c r="I25" s="3"/>
    </row>
    <row r="26">
      <c r="A26" s="28"/>
      <c r="B26" s="29"/>
      <c r="C26" s="36" t="s">
        <v>52</v>
      </c>
      <c r="D26" s="37" t="s">
        <v>53</v>
      </c>
      <c r="E26" s="2"/>
      <c r="F26" s="2"/>
      <c r="G26" s="2"/>
      <c r="H26" s="2"/>
      <c r="I26" s="3"/>
    </row>
    <row r="29">
      <c r="A29" s="1" t="s">
        <v>54</v>
      </c>
      <c r="B29" s="2"/>
      <c r="C29" s="2"/>
      <c r="D29" s="2"/>
      <c r="E29" s="2"/>
      <c r="F29" s="2"/>
      <c r="G29" s="2"/>
      <c r="H29" s="2"/>
      <c r="I29" s="3"/>
    </row>
    <row r="30">
      <c r="A30" s="38" t="s">
        <v>55</v>
      </c>
    </row>
    <row r="31">
      <c r="A31" s="38" t="s">
        <v>56</v>
      </c>
    </row>
    <row r="32">
      <c r="L32" s="38" t="s">
        <v>57</v>
      </c>
      <c r="M32" s="38" t="s">
        <v>58</v>
      </c>
      <c r="N32" s="38" t="s">
        <v>59</v>
      </c>
    </row>
    <row r="34">
      <c r="L34" s="38" t="s">
        <v>60</v>
      </c>
      <c r="M34" s="39" t="s">
        <v>61</v>
      </c>
    </row>
  </sheetData>
  <mergeCells count="45">
    <mergeCell ref="D14:E14"/>
    <mergeCell ref="A15:I15"/>
    <mergeCell ref="D16:E16"/>
    <mergeCell ref="D17:E17"/>
    <mergeCell ref="F17:F20"/>
    <mergeCell ref="G17:G20"/>
    <mergeCell ref="H17:H20"/>
    <mergeCell ref="D20:E20"/>
    <mergeCell ref="A21:I21"/>
    <mergeCell ref="D22:I22"/>
    <mergeCell ref="D23:I23"/>
    <mergeCell ref="D24:I24"/>
    <mergeCell ref="D25:I25"/>
    <mergeCell ref="D26:I26"/>
    <mergeCell ref="E2:F2"/>
    <mergeCell ref="D4:E4"/>
    <mergeCell ref="C5:C9"/>
    <mergeCell ref="D5:E5"/>
    <mergeCell ref="D6:E6"/>
    <mergeCell ref="D7:E7"/>
    <mergeCell ref="D8:E8"/>
    <mergeCell ref="D9:E9"/>
    <mergeCell ref="A4:B14"/>
    <mergeCell ref="C10:C13"/>
    <mergeCell ref="A16:B20"/>
    <mergeCell ref="C17:C19"/>
    <mergeCell ref="A22:B26"/>
    <mergeCell ref="D10:E10"/>
    <mergeCell ref="G10:H13"/>
    <mergeCell ref="D11:E11"/>
    <mergeCell ref="D12:E12"/>
    <mergeCell ref="D13:E13"/>
    <mergeCell ref="A1:I1"/>
    <mergeCell ref="A2:B2"/>
    <mergeCell ref="C2:D2"/>
    <mergeCell ref="G2:H2"/>
    <mergeCell ref="L2:R2"/>
    <mergeCell ref="A3:I3"/>
    <mergeCell ref="I5:I14"/>
    <mergeCell ref="D18:E18"/>
    <mergeCell ref="D19:E19"/>
    <mergeCell ref="A29:I29"/>
    <mergeCell ref="A30:I30"/>
    <mergeCell ref="A31:I31"/>
    <mergeCell ref="M34:O34"/>
  </mergeCells>
  <hyperlinks>
    <hyperlink r:id="rId1" ref="M3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6" max="6" width="21.75"/>
    <col customWidth="1" min="10" max="10" width="15.0"/>
  </cols>
  <sheetData>
    <row r="1">
      <c r="A1" s="40" t="s">
        <v>62</v>
      </c>
      <c r="J1" s="41"/>
      <c r="K1" s="41"/>
    </row>
    <row r="2">
      <c r="A2" s="42" t="s">
        <v>63</v>
      </c>
      <c r="J2" s="41"/>
      <c r="K2" s="41"/>
    </row>
    <row r="3">
      <c r="A3" s="43" t="s">
        <v>7</v>
      </c>
      <c r="B3" s="44" t="s">
        <v>64</v>
      </c>
      <c r="C3" s="2"/>
      <c r="D3" s="3"/>
      <c r="F3" s="43" t="s">
        <v>7</v>
      </c>
      <c r="G3" s="44" t="s">
        <v>65</v>
      </c>
      <c r="H3" s="2"/>
      <c r="I3" s="3"/>
      <c r="J3" s="41"/>
      <c r="K3" s="41"/>
    </row>
    <row r="4">
      <c r="A4" s="45" t="s">
        <v>66</v>
      </c>
      <c r="B4" s="46" t="s">
        <v>67</v>
      </c>
      <c r="C4" s="2"/>
      <c r="D4" s="3"/>
      <c r="F4" s="45" t="s">
        <v>66</v>
      </c>
      <c r="G4" s="46" t="s">
        <v>67</v>
      </c>
      <c r="H4" s="2"/>
      <c r="I4" s="3"/>
      <c r="J4" s="41"/>
      <c r="K4" s="41"/>
    </row>
    <row r="5">
      <c r="A5" s="21"/>
      <c r="B5" s="47" t="s">
        <v>68</v>
      </c>
      <c r="C5" s="47" t="s">
        <v>69</v>
      </c>
      <c r="D5" s="47"/>
      <c r="F5" s="21"/>
      <c r="G5" s="47" t="s">
        <v>68</v>
      </c>
      <c r="H5" s="47" t="s">
        <v>69</v>
      </c>
      <c r="I5" s="47"/>
      <c r="J5" s="41"/>
      <c r="K5" s="41"/>
    </row>
    <row r="6">
      <c r="A6" s="47" t="s">
        <v>70</v>
      </c>
      <c r="B6" s="47">
        <v>1.0</v>
      </c>
      <c r="C6" s="47">
        <v>2.0</v>
      </c>
      <c r="D6" s="47">
        <v>3.0</v>
      </c>
      <c r="E6" s="48" t="s">
        <v>71</v>
      </c>
      <c r="F6" s="47" t="s">
        <v>70</v>
      </c>
      <c r="G6" s="47">
        <v>1.0</v>
      </c>
      <c r="H6" s="47">
        <v>2.0</v>
      </c>
      <c r="I6" s="47">
        <v>3.0</v>
      </c>
      <c r="J6" s="48" t="s">
        <v>71</v>
      </c>
      <c r="K6" s="41"/>
    </row>
    <row r="7">
      <c r="A7" s="49" t="s">
        <v>72</v>
      </c>
      <c r="B7" s="50">
        <v>0.47</v>
      </c>
      <c r="C7" s="50">
        <v>0.53</v>
      </c>
      <c r="D7" s="50">
        <v>0.47</v>
      </c>
      <c r="E7" s="51">
        <f>AVERAGE(B7:D7)</f>
        <v>0.49</v>
      </c>
      <c r="F7" s="49" t="s">
        <v>72</v>
      </c>
      <c r="G7" s="50">
        <v>0.75</v>
      </c>
      <c r="H7" s="50">
        <v>0.67</v>
      </c>
      <c r="I7" s="50">
        <v>0.75</v>
      </c>
      <c r="J7" s="52">
        <f>(75+67+75)/300</f>
        <v>0.7233333333</v>
      </c>
      <c r="K7" s="41"/>
    </row>
    <row r="8">
      <c r="A8" s="49" t="s">
        <v>73</v>
      </c>
      <c r="B8" s="50">
        <v>0.82</v>
      </c>
      <c r="C8" s="50">
        <v>0.85</v>
      </c>
      <c r="D8" s="50">
        <v>0.83</v>
      </c>
      <c r="E8" s="51">
        <f>(82+85+83)/300</f>
        <v>0.8333333333</v>
      </c>
      <c r="F8" s="49" t="s">
        <v>73</v>
      </c>
      <c r="G8" s="50">
        <v>0.92</v>
      </c>
      <c r="H8" s="50">
        <v>0.94</v>
      </c>
      <c r="I8" s="50">
        <v>0.91</v>
      </c>
      <c r="J8" s="52">
        <f>(92+94+91)/300</f>
        <v>0.9233333333</v>
      </c>
      <c r="K8" s="41"/>
    </row>
    <row r="9">
      <c r="A9" s="49" t="s">
        <v>74</v>
      </c>
      <c r="B9" s="47" t="s">
        <v>75</v>
      </c>
      <c r="C9" s="47" t="s">
        <v>76</v>
      </c>
      <c r="D9" s="47" t="s">
        <v>77</v>
      </c>
      <c r="E9" s="51">
        <f>(68+73+70)/300</f>
        <v>0.7033333333</v>
      </c>
      <c r="F9" s="49" t="s">
        <v>78</v>
      </c>
      <c r="G9" s="47" t="s">
        <v>79</v>
      </c>
      <c r="H9" s="47" t="s">
        <v>80</v>
      </c>
      <c r="I9" s="47" t="s">
        <v>81</v>
      </c>
      <c r="J9" s="52">
        <f>(88+85+84)/300</f>
        <v>0.8566666667</v>
      </c>
      <c r="K9" s="41"/>
    </row>
    <row r="10">
      <c r="A10" s="49" t="s">
        <v>82</v>
      </c>
      <c r="B10" s="47" t="s">
        <v>83</v>
      </c>
      <c r="C10" s="47" t="s">
        <v>84</v>
      </c>
      <c r="D10" s="47" t="s">
        <v>85</v>
      </c>
      <c r="E10" s="51">
        <f>(66+71+64)/300</f>
        <v>0.67</v>
      </c>
      <c r="F10" s="49" t="s">
        <v>82</v>
      </c>
      <c r="G10" s="47" t="s">
        <v>86</v>
      </c>
      <c r="H10" s="47" t="s">
        <v>87</v>
      </c>
      <c r="I10" s="47" t="s">
        <v>88</v>
      </c>
      <c r="J10" s="52">
        <f>(86+86+84)/300</f>
        <v>0.8533333333</v>
      </c>
      <c r="K10" s="41"/>
    </row>
    <row r="11">
      <c r="A11" s="49" t="s">
        <v>89</v>
      </c>
      <c r="B11" s="47" t="s">
        <v>90</v>
      </c>
      <c r="C11" s="47" t="s">
        <v>91</v>
      </c>
      <c r="D11" s="47" t="s">
        <v>92</v>
      </c>
      <c r="E11" s="51">
        <f>(65+64+60)/300</f>
        <v>0.63</v>
      </c>
      <c r="F11" s="49" t="s">
        <v>89</v>
      </c>
      <c r="G11" s="47" t="s">
        <v>93</v>
      </c>
      <c r="H11" s="47" t="s">
        <v>94</v>
      </c>
      <c r="I11" s="47" t="s">
        <v>95</v>
      </c>
      <c r="J11" s="52">
        <f>(82+84+78)/300</f>
        <v>0.8133333333</v>
      </c>
      <c r="K11" s="41"/>
    </row>
    <row r="12">
      <c r="A12" s="49" t="s">
        <v>96</v>
      </c>
      <c r="B12" s="47" t="s">
        <v>97</v>
      </c>
      <c r="C12" s="47" t="s">
        <v>98</v>
      </c>
      <c r="D12" s="47" t="s">
        <v>99</v>
      </c>
      <c r="E12" s="51">
        <f>(62+67+61)/300</f>
        <v>0.6333333333</v>
      </c>
      <c r="F12" s="49" t="s">
        <v>96</v>
      </c>
      <c r="G12" s="47" t="s">
        <v>100</v>
      </c>
      <c r="H12" s="47" t="s">
        <v>101</v>
      </c>
      <c r="I12" s="47" t="s">
        <v>102</v>
      </c>
      <c r="J12" s="52">
        <f>(83+83+81)/300</f>
        <v>0.8233333333</v>
      </c>
      <c r="K12" s="41"/>
    </row>
    <row r="13">
      <c r="A13" s="49" t="s">
        <v>103</v>
      </c>
      <c r="B13" s="53"/>
      <c r="C13" s="53"/>
      <c r="D13" s="53"/>
      <c r="F13" s="49" t="s">
        <v>103</v>
      </c>
      <c r="G13" s="53"/>
      <c r="H13" s="53"/>
      <c r="I13" s="53"/>
      <c r="J13" s="41"/>
      <c r="K13" s="41"/>
    </row>
    <row r="14">
      <c r="A14" s="49" t="s">
        <v>52</v>
      </c>
      <c r="B14" s="53"/>
      <c r="C14" s="53"/>
      <c r="D14" s="53"/>
      <c r="F14" s="49" t="s">
        <v>52</v>
      </c>
      <c r="G14" s="50">
        <v>0.72</v>
      </c>
      <c r="H14" s="50">
        <v>0.74</v>
      </c>
      <c r="I14" s="50">
        <v>0.74</v>
      </c>
      <c r="J14" s="52">
        <f>(72+74+74)/300</f>
        <v>0.7333333333</v>
      </c>
      <c r="K14" s="41"/>
    </row>
    <row r="15">
      <c r="J15" s="41"/>
      <c r="K15" s="41"/>
    </row>
    <row r="16">
      <c r="A16" s="43" t="s">
        <v>7</v>
      </c>
      <c r="B16" s="44" t="s">
        <v>104</v>
      </c>
      <c r="C16" s="2"/>
      <c r="D16" s="3"/>
      <c r="F16" s="43" t="s">
        <v>7</v>
      </c>
      <c r="G16" s="44" t="s">
        <v>105</v>
      </c>
      <c r="H16" s="2"/>
      <c r="I16" s="3"/>
      <c r="J16" s="41"/>
      <c r="K16" s="41"/>
    </row>
    <row r="17">
      <c r="A17" s="45" t="s">
        <v>66</v>
      </c>
      <c r="B17" s="46" t="s">
        <v>67</v>
      </c>
      <c r="C17" s="2"/>
      <c r="D17" s="3"/>
      <c r="F17" s="45" t="s">
        <v>66</v>
      </c>
      <c r="G17" s="46" t="s">
        <v>67</v>
      </c>
      <c r="H17" s="2"/>
      <c r="I17" s="3"/>
      <c r="J17" s="41"/>
      <c r="K17" s="41"/>
    </row>
    <row r="18">
      <c r="A18" s="21"/>
      <c r="B18" s="47" t="s">
        <v>68</v>
      </c>
      <c r="C18" s="47" t="s">
        <v>69</v>
      </c>
      <c r="D18" s="47"/>
      <c r="F18" s="21"/>
      <c r="G18" s="47" t="s">
        <v>68</v>
      </c>
      <c r="H18" s="47" t="s">
        <v>69</v>
      </c>
      <c r="I18" s="47"/>
      <c r="J18" s="41"/>
      <c r="K18" s="41"/>
    </row>
    <row r="19">
      <c r="A19" s="47" t="s">
        <v>70</v>
      </c>
      <c r="B19" s="47">
        <v>1.0</v>
      </c>
      <c r="C19" s="47">
        <v>2.0</v>
      </c>
      <c r="D19" s="47">
        <v>3.0</v>
      </c>
      <c r="E19" s="48" t="s">
        <v>71</v>
      </c>
      <c r="F19" s="47" t="s">
        <v>70</v>
      </c>
      <c r="G19" s="47">
        <v>1.0</v>
      </c>
      <c r="H19" s="47">
        <v>2.0</v>
      </c>
      <c r="I19" s="47">
        <v>3.0</v>
      </c>
      <c r="J19" s="48" t="s">
        <v>71</v>
      </c>
      <c r="K19" s="41"/>
    </row>
    <row r="20">
      <c r="A20" s="49" t="s">
        <v>72</v>
      </c>
      <c r="B20" s="50">
        <v>0.51</v>
      </c>
      <c r="C20" s="50">
        <v>0.62</v>
      </c>
      <c r="D20" s="50">
        <v>0.5</v>
      </c>
      <c r="E20" s="51">
        <f>(51+62+50)/300</f>
        <v>0.5433333333</v>
      </c>
      <c r="F20" s="49" t="s">
        <v>72</v>
      </c>
      <c r="G20" s="50">
        <v>0.62</v>
      </c>
      <c r="H20" s="50">
        <v>0.73</v>
      </c>
      <c r="I20" s="50">
        <v>0.66</v>
      </c>
      <c r="J20" s="52">
        <f>(62+73+66)/300</f>
        <v>0.67</v>
      </c>
      <c r="K20" s="41"/>
    </row>
    <row r="21">
      <c r="A21" s="49" t="s">
        <v>73</v>
      </c>
      <c r="B21" s="50">
        <v>0.84</v>
      </c>
      <c r="C21" s="50">
        <v>0.85</v>
      </c>
      <c r="D21" s="50">
        <v>0.89</v>
      </c>
      <c r="E21" s="51">
        <f>AVERAGE(B21:D21)</f>
        <v>0.86</v>
      </c>
      <c r="F21" s="49" t="s">
        <v>73</v>
      </c>
      <c r="G21" s="50">
        <v>0.87</v>
      </c>
      <c r="H21" s="50">
        <v>0.94</v>
      </c>
      <c r="I21" s="50">
        <v>0.88</v>
      </c>
      <c r="J21" s="52">
        <f>(87+94+88)/300</f>
        <v>0.8966666667</v>
      </c>
      <c r="K21" s="54" t="s">
        <v>106</v>
      </c>
    </row>
    <row r="22">
      <c r="A22" s="49" t="s">
        <v>78</v>
      </c>
      <c r="B22" s="47" t="s">
        <v>107</v>
      </c>
      <c r="C22" s="47" t="s">
        <v>108</v>
      </c>
      <c r="D22" s="47" t="s">
        <v>109</v>
      </c>
      <c r="E22" s="51">
        <f>(77+75+76)/300</f>
        <v>0.76</v>
      </c>
      <c r="F22" s="49" t="s">
        <v>78</v>
      </c>
      <c r="G22" s="47" t="s">
        <v>110</v>
      </c>
      <c r="H22" s="47" t="s">
        <v>111</v>
      </c>
      <c r="I22" s="47" t="s">
        <v>112</v>
      </c>
      <c r="J22" s="52">
        <f>(82+88+83)/300</f>
        <v>0.8433333333</v>
      </c>
    </row>
    <row r="23">
      <c r="A23" s="49" t="s">
        <v>82</v>
      </c>
      <c r="B23" s="47" t="s">
        <v>113</v>
      </c>
      <c r="C23" s="47" t="s">
        <v>114</v>
      </c>
      <c r="D23" s="47" t="s">
        <v>115</v>
      </c>
      <c r="E23" s="51">
        <f>(69+72+66)/300</f>
        <v>0.69</v>
      </c>
      <c r="F23" s="49" t="s">
        <v>82</v>
      </c>
      <c r="G23" s="47" t="s">
        <v>116</v>
      </c>
      <c r="H23" s="47" t="s">
        <v>117</v>
      </c>
      <c r="I23" s="47" t="s">
        <v>118</v>
      </c>
      <c r="J23" s="52">
        <f>(84+86+80)/300</f>
        <v>0.8333333333</v>
      </c>
      <c r="K23" s="41"/>
    </row>
    <row r="24">
      <c r="A24" s="49" t="s">
        <v>89</v>
      </c>
      <c r="B24" s="47" t="s">
        <v>119</v>
      </c>
      <c r="C24" s="47" t="s">
        <v>120</v>
      </c>
      <c r="D24" s="47" t="s">
        <v>121</v>
      </c>
      <c r="E24" s="51">
        <f>(68+68+66)/300</f>
        <v>0.6733333333</v>
      </c>
      <c r="F24" s="49" t="s">
        <v>89</v>
      </c>
      <c r="G24" s="47" t="s">
        <v>122</v>
      </c>
      <c r="H24" s="47" t="s">
        <v>123</v>
      </c>
      <c r="I24" s="47" t="s">
        <v>124</v>
      </c>
      <c r="J24" s="52">
        <f>(77+86+77)/300</f>
        <v>0.8</v>
      </c>
      <c r="K24" s="41"/>
    </row>
    <row r="25">
      <c r="A25" s="49" t="s">
        <v>96</v>
      </c>
      <c r="B25" s="47" t="s">
        <v>125</v>
      </c>
      <c r="C25" s="47" t="s">
        <v>126</v>
      </c>
      <c r="D25" s="47" t="s">
        <v>127</v>
      </c>
      <c r="E25" s="51">
        <f>(64+73+63)/300</f>
        <v>0.6666666667</v>
      </c>
      <c r="F25" s="49" t="s">
        <v>96</v>
      </c>
      <c r="G25" s="47" t="s">
        <v>128</v>
      </c>
      <c r="H25" s="47" t="s">
        <v>129</v>
      </c>
      <c r="I25" s="47" t="s">
        <v>130</v>
      </c>
      <c r="J25" s="52">
        <f>(66+81+72)/300</f>
        <v>0.73</v>
      </c>
      <c r="K25" s="41"/>
    </row>
    <row r="26">
      <c r="A26" s="49" t="s">
        <v>103</v>
      </c>
      <c r="B26" s="53"/>
      <c r="C26" s="53"/>
      <c r="D26" s="53"/>
      <c r="F26" s="49" t="s">
        <v>103</v>
      </c>
      <c r="G26" s="53"/>
      <c r="H26" s="53"/>
      <c r="I26" s="53"/>
      <c r="J26" s="41"/>
      <c r="K26" s="41"/>
    </row>
    <row r="27">
      <c r="A27" s="49" t="s">
        <v>52</v>
      </c>
      <c r="B27" s="50">
        <v>0.51</v>
      </c>
      <c r="C27" s="50">
        <v>0.58</v>
      </c>
      <c r="D27" s="50">
        <v>0.61</v>
      </c>
      <c r="E27" s="51">
        <f>(51+58+61)/300</f>
        <v>0.5666666667</v>
      </c>
      <c r="F27" s="49" t="s">
        <v>52</v>
      </c>
      <c r="G27" s="47" t="s">
        <v>131</v>
      </c>
      <c r="H27" s="47" t="s">
        <v>131</v>
      </c>
      <c r="I27" s="47" t="s">
        <v>131</v>
      </c>
      <c r="J27" s="41"/>
      <c r="K27" s="41"/>
    </row>
    <row r="28">
      <c r="J28" s="41"/>
      <c r="K28" s="41"/>
    </row>
    <row r="29">
      <c r="A29" s="43" t="s">
        <v>7</v>
      </c>
      <c r="B29" s="44" t="s">
        <v>132</v>
      </c>
      <c r="C29" s="2"/>
      <c r="D29" s="3"/>
      <c r="F29" s="43" t="s">
        <v>7</v>
      </c>
      <c r="G29" s="44" t="s">
        <v>133</v>
      </c>
      <c r="H29" s="2"/>
      <c r="I29" s="3"/>
      <c r="J29" s="41"/>
      <c r="K29" s="41"/>
    </row>
    <row r="30">
      <c r="A30" s="45" t="s">
        <v>66</v>
      </c>
      <c r="B30" s="46" t="s">
        <v>67</v>
      </c>
      <c r="C30" s="2"/>
      <c r="D30" s="3"/>
      <c r="F30" s="45" t="s">
        <v>66</v>
      </c>
      <c r="G30" s="46" t="s">
        <v>67</v>
      </c>
      <c r="H30" s="2"/>
      <c r="I30" s="3"/>
      <c r="J30" s="41"/>
      <c r="K30" s="41"/>
    </row>
    <row r="31">
      <c r="A31" s="21"/>
      <c r="B31" s="47" t="s">
        <v>68</v>
      </c>
      <c r="C31" s="47" t="s">
        <v>69</v>
      </c>
      <c r="D31" s="47"/>
      <c r="F31" s="21"/>
      <c r="G31" s="47" t="s">
        <v>68</v>
      </c>
      <c r="H31" s="47" t="s">
        <v>69</v>
      </c>
      <c r="I31" s="47"/>
      <c r="J31" s="41"/>
      <c r="K31" s="41"/>
    </row>
    <row r="32">
      <c r="A32" s="47" t="s">
        <v>70</v>
      </c>
      <c r="B32" s="47">
        <v>1.0</v>
      </c>
      <c r="C32" s="47">
        <v>2.0</v>
      </c>
      <c r="D32" s="47">
        <v>3.0</v>
      </c>
      <c r="E32" s="48" t="s">
        <v>71</v>
      </c>
      <c r="F32" s="47" t="s">
        <v>70</v>
      </c>
      <c r="G32" s="47">
        <v>1.0</v>
      </c>
      <c r="H32" s="47">
        <v>2.0</v>
      </c>
      <c r="I32" s="47">
        <v>3.0</v>
      </c>
      <c r="J32" s="48" t="s">
        <v>71</v>
      </c>
      <c r="K32" s="41"/>
    </row>
    <row r="33">
      <c r="A33" s="49" t="s">
        <v>72</v>
      </c>
      <c r="B33" s="50">
        <v>0.42</v>
      </c>
      <c r="C33" s="50">
        <v>0.48</v>
      </c>
      <c r="D33" s="50">
        <v>0.37</v>
      </c>
      <c r="E33" s="51">
        <f>(42+48+37)/300</f>
        <v>0.4233333333</v>
      </c>
      <c r="F33" s="49" t="s">
        <v>72</v>
      </c>
      <c r="G33" s="50">
        <v>0.72</v>
      </c>
      <c r="H33" s="50">
        <v>0.74</v>
      </c>
      <c r="I33" s="50">
        <v>0.74</v>
      </c>
      <c r="J33" s="52">
        <f>(72+74+74)/300</f>
        <v>0.7333333333</v>
      </c>
      <c r="K33" s="41"/>
    </row>
    <row r="34">
      <c r="A34" s="49" t="s">
        <v>73</v>
      </c>
      <c r="B34" s="50">
        <v>0.68</v>
      </c>
      <c r="C34" s="50">
        <v>0.68</v>
      </c>
      <c r="D34" s="50">
        <v>0.66</v>
      </c>
      <c r="E34" s="51">
        <f>(68+68+66)/300</f>
        <v>0.6733333333</v>
      </c>
      <c r="F34" s="49" t="s">
        <v>73</v>
      </c>
      <c r="G34" s="50">
        <v>0.96</v>
      </c>
      <c r="H34" s="50">
        <v>0.96</v>
      </c>
      <c r="I34" s="50">
        <v>0.96</v>
      </c>
      <c r="J34" s="52">
        <f>(96+96+96)/300</f>
        <v>0.96</v>
      </c>
      <c r="K34" s="54" t="s">
        <v>106</v>
      </c>
    </row>
    <row r="35">
      <c r="A35" s="49" t="s">
        <v>78</v>
      </c>
      <c r="B35" s="47" t="s">
        <v>134</v>
      </c>
      <c r="C35" s="47" t="s">
        <v>135</v>
      </c>
      <c r="D35" s="47" t="s">
        <v>136</v>
      </c>
      <c r="E35" s="51">
        <f>(53+60+55)/300</f>
        <v>0.56</v>
      </c>
      <c r="F35" s="49" t="s">
        <v>78</v>
      </c>
      <c r="G35" s="47" t="s">
        <v>137</v>
      </c>
      <c r="H35" s="47" t="s">
        <v>138</v>
      </c>
      <c r="I35" s="47" t="s">
        <v>139</v>
      </c>
      <c r="J35" s="52">
        <f>(90+89+87)/300</f>
        <v>0.8866666667</v>
      </c>
    </row>
    <row r="36">
      <c r="A36" s="49" t="s">
        <v>82</v>
      </c>
      <c r="B36" s="47" t="s">
        <v>140</v>
      </c>
      <c r="C36" s="47" t="s">
        <v>141</v>
      </c>
      <c r="D36" s="47" t="s">
        <v>142</v>
      </c>
      <c r="E36" s="51">
        <f>(51+56+48)/300</f>
        <v>0.5166666667</v>
      </c>
      <c r="F36" s="49" t="s">
        <v>82</v>
      </c>
      <c r="G36" s="47" t="s">
        <v>143</v>
      </c>
      <c r="H36" s="47" t="s">
        <v>144</v>
      </c>
      <c r="I36" s="47" t="s">
        <v>145</v>
      </c>
      <c r="J36" s="52">
        <f>(89+87+83)/300</f>
        <v>0.8633333333</v>
      </c>
      <c r="K36" s="41"/>
    </row>
    <row r="37">
      <c r="A37" s="49" t="s">
        <v>89</v>
      </c>
      <c r="B37" s="47" t="s">
        <v>146</v>
      </c>
      <c r="C37" s="47" t="s">
        <v>147</v>
      </c>
      <c r="D37" s="47" t="s">
        <v>148</v>
      </c>
      <c r="E37" s="51">
        <f>(50+57+46)/300</f>
        <v>0.51</v>
      </c>
      <c r="F37" s="49" t="s">
        <v>89</v>
      </c>
      <c r="G37" s="47" t="s">
        <v>149</v>
      </c>
      <c r="H37" s="47" t="s">
        <v>150</v>
      </c>
      <c r="I37" s="47" t="s">
        <v>151</v>
      </c>
      <c r="J37" s="52">
        <f>(86+90+85)/300</f>
        <v>0.87</v>
      </c>
      <c r="K37" s="41"/>
    </row>
    <row r="38">
      <c r="A38" s="49" t="s">
        <v>96</v>
      </c>
      <c r="B38" s="47" t="s">
        <v>152</v>
      </c>
      <c r="C38" s="47" t="s">
        <v>153</v>
      </c>
      <c r="D38" s="47" t="s">
        <v>154</v>
      </c>
      <c r="E38" s="51">
        <f>(47+54+43)/300</f>
        <v>0.48</v>
      </c>
      <c r="F38" s="49" t="s">
        <v>96</v>
      </c>
      <c r="G38" s="47" t="s">
        <v>155</v>
      </c>
      <c r="H38" s="47" t="s">
        <v>156</v>
      </c>
      <c r="I38" s="47" t="s">
        <v>157</v>
      </c>
      <c r="J38" s="52">
        <f>(81+86+82)/300</f>
        <v>0.83</v>
      </c>
      <c r="K38" s="41"/>
    </row>
    <row r="39">
      <c r="A39" s="49" t="s">
        <v>103</v>
      </c>
      <c r="B39" s="53"/>
      <c r="C39" s="53"/>
      <c r="D39" s="53"/>
      <c r="F39" s="49" t="s">
        <v>103</v>
      </c>
      <c r="G39" s="53"/>
      <c r="H39" s="53"/>
      <c r="I39" s="53"/>
      <c r="J39" s="41"/>
      <c r="K39" s="41"/>
    </row>
    <row r="40">
      <c r="A40" s="49" t="s">
        <v>52</v>
      </c>
      <c r="B40" s="47" t="s">
        <v>131</v>
      </c>
      <c r="C40" s="47" t="s">
        <v>131</v>
      </c>
      <c r="D40" s="47" t="s">
        <v>131</v>
      </c>
      <c r="F40" s="49" t="s">
        <v>52</v>
      </c>
      <c r="G40" s="47" t="s">
        <v>131</v>
      </c>
      <c r="H40" s="47" t="s">
        <v>131</v>
      </c>
      <c r="I40" s="47" t="s">
        <v>131</v>
      </c>
      <c r="J40" s="41"/>
      <c r="K40" s="41"/>
    </row>
    <row r="41">
      <c r="J41" s="41"/>
      <c r="K41" s="41"/>
    </row>
    <row r="42">
      <c r="A42" s="43" t="s">
        <v>7</v>
      </c>
      <c r="B42" s="44" t="s">
        <v>158</v>
      </c>
      <c r="C42" s="2"/>
      <c r="D42" s="3"/>
      <c r="F42" s="43" t="s">
        <v>7</v>
      </c>
      <c r="G42" s="44" t="s">
        <v>159</v>
      </c>
      <c r="H42" s="2"/>
      <c r="I42" s="3"/>
      <c r="J42" s="55" t="s">
        <v>160</v>
      </c>
      <c r="K42" s="41"/>
    </row>
    <row r="43">
      <c r="A43" s="45" t="s">
        <v>66</v>
      </c>
      <c r="B43" s="46" t="s">
        <v>67</v>
      </c>
      <c r="C43" s="2"/>
      <c r="D43" s="3"/>
      <c r="F43" s="45" t="s">
        <v>66</v>
      </c>
      <c r="G43" s="46" t="s">
        <v>67</v>
      </c>
      <c r="H43" s="2"/>
      <c r="I43" s="3"/>
      <c r="K43" s="41"/>
    </row>
    <row r="44">
      <c r="A44" s="21"/>
      <c r="B44" s="47" t="s">
        <v>68</v>
      </c>
      <c r="C44" s="47" t="s">
        <v>69</v>
      </c>
      <c r="D44" s="47"/>
      <c r="F44" s="21"/>
      <c r="G44" s="47" t="s">
        <v>68</v>
      </c>
      <c r="H44" s="47" t="s">
        <v>69</v>
      </c>
      <c r="I44" s="47"/>
      <c r="K44" s="41"/>
    </row>
    <row r="45">
      <c r="A45" s="47" t="s">
        <v>70</v>
      </c>
      <c r="B45" s="47">
        <v>1.0</v>
      </c>
      <c r="C45" s="47">
        <v>2.0</v>
      </c>
      <c r="D45" s="47">
        <v>3.0</v>
      </c>
      <c r="E45" s="48" t="s">
        <v>71</v>
      </c>
      <c r="F45" s="47" t="s">
        <v>70</v>
      </c>
      <c r="G45" s="47">
        <v>1.0</v>
      </c>
      <c r="H45" s="47">
        <v>2.0</v>
      </c>
      <c r="I45" s="47">
        <v>3.0</v>
      </c>
      <c r="K45" s="41"/>
    </row>
    <row r="46">
      <c r="A46" s="49" t="s">
        <v>72</v>
      </c>
      <c r="B46" s="50">
        <v>0.56</v>
      </c>
      <c r="C46" s="50">
        <v>0.64</v>
      </c>
      <c r="D46" s="50">
        <v>0.59</v>
      </c>
      <c r="E46" s="51">
        <f>(56+64+59)/300</f>
        <v>0.5966666667</v>
      </c>
      <c r="F46" s="49" t="s">
        <v>72</v>
      </c>
      <c r="G46" s="50">
        <v>0.6</v>
      </c>
      <c r="H46" s="50">
        <v>0.69</v>
      </c>
      <c r="I46" s="50">
        <v>0.65</v>
      </c>
      <c r="J46" s="52">
        <f>(60+69+65)/300</f>
        <v>0.6466666667</v>
      </c>
      <c r="K46" s="41"/>
    </row>
    <row r="47">
      <c r="A47" s="49" t="s">
        <v>73</v>
      </c>
      <c r="B47" s="50">
        <v>0.87</v>
      </c>
      <c r="C47" s="50">
        <v>0.91</v>
      </c>
      <c r="D47" s="50">
        <v>0.89</v>
      </c>
      <c r="E47" s="51">
        <f>(87+91+89)/300</f>
        <v>0.89</v>
      </c>
      <c r="F47" s="49" t="s">
        <v>73</v>
      </c>
      <c r="G47" s="50">
        <v>0.89</v>
      </c>
      <c r="H47" s="50">
        <v>0.94</v>
      </c>
      <c r="I47" s="50">
        <v>0.88</v>
      </c>
      <c r="J47" s="52">
        <f>(89+94+88)/300</f>
        <v>0.9033333333</v>
      </c>
      <c r="K47" s="41"/>
    </row>
    <row r="48">
      <c r="A48" s="49" t="s">
        <v>78</v>
      </c>
      <c r="B48" s="47" t="s">
        <v>161</v>
      </c>
      <c r="C48" s="47" t="s">
        <v>162</v>
      </c>
      <c r="D48" s="47" t="s">
        <v>163</v>
      </c>
      <c r="E48" s="51">
        <f>(79+81+79)/300</f>
        <v>0.7966666667</v>
      </c>
      <c r="F48" s="49" t="s">
        <v>78</v>
      </c>
      <c r="G48" s="50"/>
      <c r="H48" s="50"/>
      <c r="I48" s="50"/>
      <c r="J48" s="41"/>
      <c r="K48" s="41"/>
    </row>
    <row r="49">
      <c r="A49" s="49" t="s">
        <v>82</v>
      </c>
      <c r="B49" s="47" t="s">
        <v>164</v>
      </c>
      <c r="C49" s="47" t="s">
        <v>165</v>
      </c>
      <c r="D49" s="47" t="s">
        <v>166</v>
      </c>
      <c r="E49" s="51">
        <f>(70+76+67)/300</f>
        <v>0.71</v>
      </c>
      <c r="F49" s="49" t="s">
        <v>82</v>
      </c>
      <c r="G49" s="56"/>
      <c r="H49" s="56"/>
      <c r="I49" s="56"/>
      <c r="J49" s="41"/>
      <c r="K49" s="41"/>
    </row>
    <row r="50">
      <c r="A50" s="49" t="s">
        <v>89</v>
      </c>
      <c r="B50" s="47" t="s">
        <v>167</v>
      </c>
      <c r="C50" s="47" t="s">
        <v>168</v>
      </c>
      <c r="D50" s="47" t="s">
        <v>169</v>
      </c>
      <c r="E50" s="51">
        <f>(72+80+65)/300</f>
        <v>0.7233333333</v>
      </c>
      <c r="F50" s="49" t="s">
        <v>89</v>
      </c>
      <c r="G50" s="56"/>
      <c r="H50" s="56"/>
      <c r="I50" s="56"/>
      <c r="J50" s="41"/>
      <c r="K50" s="41"/>
    </row>
    <row r="51">
      <c r="A51" s="49" t="s">
        <v>96</v>
      </c>
      <c r="B51" s="47" t="s">
        <v>170</v>
      </c>
      <c r="C51" s="47" t="s">
        <v>171</v>
      </c>
      <c r="D51" s="47" t="s">
        <v>172</v>
      </c>
      <c r="E51" s="51">
        <f>(64+74+69)/300</f>
        <v>0.69</v>
      </c>
      <c r="F51" s="49" t="s">
        <v>96</v>
      </c>
      <c r="G51" s="56"/>
      <c r="H51" s="56"/>
      <c r="I51" s="56"/>
      <c r="J51" s="41"/>
      <c r="K51" s="41"/>
    </row>
    <row r="52">
      <c r="A52" s="49" t="s">
        <v>103</v>
      </c>
      <c r="B52" s="53"/>
      <c r="C52" s="53"/>
      <c r="D52" s="53"/>
      <c r="F52" s="49" t="s">
        <v>103</v>
      </c>
      <c r="G52" s="53"/>
      <c r="H52" s="53"/>
      <c r="I52" s="53"/>
      <c r="J52" s="41"/>
      <c r="K52" s="41"/>
    </row>
    <row r="53">
      <c r="A53" s="49" t="s">
        <v>52</v>
      </c>
      <c r="B53" s="47" t="s">
        <v>131</v>
      </c>
      <c r="C53" s="47" t="s">
        <v>131</v>
      </c>
      <c r="D53" s="47" t="s">
        <v>131</v>
      </c>
      <c r="F53" s="49" t="s">
        <v>52</v>
      </c>
      <c r="G53" s="47" t="s">
        <v>131</v>
      </c>
      <c r="H53" s="47" t="s">
        <v>131</v>
      </c>
      <c r="I53" s="47" t="s">
        <v>131</v>
      </c>
      <c r="J53" s="41"/>
      <c r="K53" s="41"/>
    </row>
  </sheetData>
  <mergeCells count="29">
    <mergeCell ref="A1:I1"/>
    <mergeCell ref="A2:I2"/>
    <mergeCell ref="B3:D3"/>
    <mergeCell ref="G3:I3"/>
    <mergeCell ref="A4:A5"/>
    <mergeCell ref="F4:F5"/>
    <mergeCell ref="G4:I4"/>
    <mergeCell ref="B4:D4"/>
    <mergeCell ref="B16:D16"/>
    <mergeCell ref="G16:I16"/>
    <mergeCell ref="A17:A18"/>
    <mergeCell ref="F17:F18"/>
    <mergeCell ref="G17:I17"/>
    <mergeCell ref="K21:K22"/>
    <mergeCell ref="B30:D30"/>
    <mergeCell ref="B42:D42"/>
    <mergeCell ref="G42:I42"/>
    <mergeCell ref="J42:J45"/>
    <mergeCell ref="A43:A44"/>
    <mergeCell ref="B43:D43"/>
    <mergeCell ref="F43:F44"/>
    <mergeCell ref="G43:I43"/>
    <mergeCell ref="B17:D17"/>
    <mergeCell ref="B29:D29"/>
    <mergeCell ref="G29:I29"/>
    <mergeCell ref="A30:A31"/>
    <mergeCell ref="F30:F31"/>
    <mergeCell ref="G30:I30"/>
    <mergeCell ref="K34:K35"/>
  </mergeCells>
  <drawing r:id="rId1"/>
</worksheet>
</file>