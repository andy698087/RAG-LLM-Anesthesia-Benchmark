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<sst xmlns="http://schemas.openxmlformats.org/spreadsheetml/2006/main" count="12199" uniqueCount="2691">
  <si>
    <t>SUMMARY RESULT BETWEEN TEST</t>
  </si>
  <si>
    <t>Temp</t>
  </si>
  <si>
    <t>Topp</t>
  </si>
  <si>
    <t>Parameters</t>
  </si>
  <si>
    <r>
      <rPr>
        <rFont val="Arial"/>
        <color theme="1"/>
      </rPr>
      <t>embed_model="</t>
    </r>
    <r>
      <rPr>
        <rFont val="Arial"/>
        <b/>
        <color rgb="FF4A86E8"/>
      </rPr>
      <t>pritamdeka/BioBERT-mnli-snli-scinli-scitail-mednli-stsb</t>
    </r>
    <r>
      <rPr>
        <rFont val="Arial"/>
        <color theme="1"/>
      </rPr>
      <t>"
max_new_tokens=1024
k=4</t>
    </r>
  </si>
  <si>
    <r>
      <rPr>
        <rFont val="Arial"/>
        <color theme="1"/>
      </rPr>
      <t>embed_model="</t>
    </r>
    <r>
      <rPr>
        <rFont val="Arial"/>
        <b/>
        <color rgb="FF4A86E8"/>
      </rPr>
      <t>pritamdeka/BioBERT-mnli-snli-scinli-scitail-mednli-stsb</t>
    </r>
    <r>
      <rPr>
        <rFont val="Arial"/>
        <color theme="1"/>
      </rPr>
      <t>"
max_new_tokens=1024
k=4</t>
    </r>
  </si>
  <si>
    <r>
      <rPr>
        <rFont val="Arial"/>
        <color theme="1"/>
      </rPr>
      <t>embed_model="</t>
    </r>
    <r>
      <rPr>
        <rFont val="Arial"/>
        <b/>
        <color rgb="FF4A86E8"/>
      </rPr>
      <t>pritamdeka/BioBERT-mnli-snli-scinli-scitail-mednli-stsb</t>
    </r>
    <r>
      <rPr>
        <rFont val="Arial"/>
        <color theme="1"/>
      </rPr>
      <t>"
max_new_tokens=1024
k=4</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</si>
  <si>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</si>
  <si>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</si>
  <si>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</si>
  <si>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</si>
  <si>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</si>
  <si>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</si>
  <si>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</si>
  <si>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</si>
  <si>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</si>
  <si>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</si>
  <si>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</si>
  <si>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</si>
  <si>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</si>
  <si>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</si>
  <si>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</si>
  <si>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</si>
  <si>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</si>
  <si>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</si>
  <si>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</si>
  <si>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</si>
  <si>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</si>
  <si>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</si>
  <si>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Docs?</t>
  </si>
  <si>
    <t>Documents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</si>
  <si>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</si>
  <si>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</si>
  <si>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</si>
  <si>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</si>
  <si>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</si>
  <si>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</si>
  <si>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</si>
  <si>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</si>
  <si>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</si>
  <si>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</si>
  <si>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"Rocuronium and acetylcholine compete for binding sites at the myoneural junction, as rocuronium is a non-depolarizing muscle relaxant that impairs or blocks neurotransmission by competitively preventing the binding of acetylcholine to the muscle AChR." }</t>
  </si>
  <si>
    <t>yes</t>
  </si>
  <si>
    <t>8. What class of receptors is located on postjunctional membranes? What clinical effect results from the stimulation of these receptors? 9. How, and in what time course, is the action of acetylcholine terminated in the synaptic cleft? What is the clinical relevance of this? 10. With respect to the neuromuscular junction, what are the three sites at which nicotinic cholinergic receptors are located? 11. What is the role of prejunctional receptors? 12. What is the role of extrajunctional receptors? What is their effect when stimulated? 13. What is the structure of nicotinic cholinergic receptors? How is the junction of the cholinergic receptor related to its structure? 14. What is the binding site for an agonist at the nicotinic cholinergic receptor? STRUCTURE ACTIVITY RELATIONSHIPS - Receptor channels are dynamic structures that are capable  of a wide variety of interactions with drugs and of entering  a wide variety of current-passing states. All these influences  on channel activity are ultimately reflected in the strength  or weakness of neuromuscular transmission and contrac­ tion of a muscle.  Drug Effects on Postjunctional  Receptors CLASSIC ACTIONS OF NONDEPOLARIZING  MUSCLE RELAXANTS Neurotransmission occurs when acetylcholine released  by the nerve action potential binds to nicotinic AChRs.  All NDMRs impair or block neurotransmission by com­ petitively preventing the binding of acetylcholine to the  mus­cle AChR. The final outcome—block or transmission— depends on the relative concentrations of the chemicals  and their comparative affinities for the receptor. Fig. - 333 KEY POINTS Neuromuscular Physiology  and Pharmacology J. A. JEEVENDRA MARTYN and MALIN JONSSON FAGERLUND 12  □ _x0007_The neuromuscular junction contains the distal nerve terminal, Schwann cell, synaptic cleft,  and muscle end plate, which together provide an array of receptors and substrates for drug  action. Neuromuscular transmission is predominantly dependent on acetylcholine as the  natural transmitter. Acetylcholine, when released from the prejunctional nerve terminal, binds  to acetylcholine receptors (AChRs) that are present either prejunctionally or postjunctionally  within the neuromuscular junction (synapse) and, depending on their structural composition,  are classified into the usual muscle subtype AChRs or a variety of neuronal subtype AChRs.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</si>
  <si>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</si>
  <si>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</si>
  <si>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</si>
  <si>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</si>
  <si>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</si>
  <si>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</si>
  <si>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</si>
  <si>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</si>
  <si>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the ventilation of the alveoli becomes less due to decreased compliance, making option E the correct choice." }</t>
  </si>
  <si>
    <t>than the nondependent lung. The dependent lung is ventilated relatively less secondary to the loss of lung volume from compression by the mediastinum, abdominal contents, and positioning support structures. These factors together create an increase in pulmonary ventilation-to-perfusion mismatching. The ventilation-to-perfusion ratio can be improved with the application of PEEP to the dependent lung. (442-444) 65. Four factors that influence the amount of perfusion that goes to the nondependent, unventilated lung during ventilation of a patient in the lateral decubitus position with a double-lumen endotracheal tube include gravity, hypoxic pulmonary vasoconstriction, direct surgical compression of blood flow, and presence of pulmonary artery hypertension. (444) 66. Arterial hypoxemia when noted during ventilation for thoracic surgery calls for</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</si>
  <si>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</si>
  <si>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</si>
  <si>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</si>
  <si>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</si>
  <si>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</si>
  <si>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</si>
  <si>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</si>
  <si>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which is a medication used to treat type 2 diabetes mellitus. It works by mimicking the action of a natural hormone in the body that helps regulate blood sugar levels." }</t>
  </si>
  <si>
    <t>no</t>
  </si>
  <si>
    <t>The most important site of drug transformation is usually the</t>
  </si>
  <si>
    <t>A. liver</t>
  </si>
  <si>
    <t>B. spleen</t>
  </si>
  <si>
    <t>C. kidney</t>
  </si>
  <si>
    <t>D. lungs</t>
  </si>
  <si>
    <t>E. bloodstream</t>
  </si>
  <si>
    <t>{   "Answer": "A",   Explain: "The liver is the most important site of drug transformation because it is responsible for metabolism, which is the process by which the body breaks down or alters the chemical structure of a drug, making it more or less effective or even toxic." }</t>
  </si>
  <si>
    <t>conc sim Drug receptor interaction Control algorithm err C A´ B´ A B Distribution Excretion Metabolism Effectuation Effect Model Target + / – ≈ ≈ Fig. 26.26  Schematic representation of the pharmacokinetic and pharmacodynamic processes determining the relationship between administered  doses and resulting effect intensity of a drug (yellow). Pharmacokinetic factors such as distribution, metabolism, and/or excretion determine the rela­ tionship between drug dose and drug concentration in the biophase. In the biophase, the drug interacts with the receptor, and the pharmacologic</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</si>
  <si>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</si>
  <si>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</si>
  <si>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</si>
  <si>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</si>
  <si>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</si>
  <si>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</si>
  <si>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</si>
  <si>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"A",   Explain: "Esmolol is hydrolyzed by blood-borne esterases, resulting in a half-life for the drug of only 9 to 10 minutes, which is due to its metabolism by pseudocholinesterase." }</t>
  </si>
  <si>
    <t>90. Esmolol is hydrolyzed by blood-borne esterases, resulting in a half-life for the drug of only 9 to 10 minutes. (75) 91. Because of its short half-life, esmolol is particularly useful when the duration of b-blockade desired is short or in critically ill patients in whom the adverse effects of bradycardia, heart failure, or hypotension may require rapid discontinuation of the drug. (75) CHOLINERGIC PHARMACOLOGY 92. The muscarinic antagonists cause an increase in heart rate, sedation, and dry mouth. (75) 93. The quaternary structure of glycopyrrolate (as opposed to the tertiary structure of atropine and scopolamine) makes it impossible for this larger compound to cross the blood-brain barrier. As a result, glycopyrrolate has fewer CNS</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</si>
  <si>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</si>
  <si>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</si>
  <si>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</si>
  <si>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</si>
  <si>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</si>
  <si>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</si>
  <si>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 disease, it is actually a condition characterized by the loss of pigment-producing cells in the skin, hair, and mucous membranes, whereas Addison disease is characterized by skin hyperpigmentation."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</si>
  <si>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</si>
  <si>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</si>
  <si>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</si>
  <si>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</si>
  <si>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</si>
  <si>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</si>
  <si>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amount of a drug that reaches its site of action, which is the amount of the active drug that is absorbed and distributed to the target tissues and organs."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</si>
  <si>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</si>
  <si>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</si>
  <si>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</si>
  <si>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</si>
  <si>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</si>
  <si>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</si>
  <si>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"The patient with anorexia nervosa is often hypervigilant and may have an increased heart rate, but hypotension is not a typical characteristic of anorexia nervosa." }</t>
  </si>
  <si>
    <t>In cases of unequivocal intraoperative awareness, the incidence of posttraumatic stress disorder may be approximately</t>
  </si>
  <si>
    <t>A. 0.1%</t>
  </si>
  <si>
    <t>B. 1%</t>
  </si>
  <si>
    <t>C. 10%</t>
  </si>
  <si>
    <t>D. 50%</t>
  </si>
  <si>
    <t>E. 99%</t>
  </si>
  <si>
    <t>{   "Answer": "B",   "Explain": "According to the context, the incidence of posttraumatic stress disorder in cases of unequivocal intraoperative awareness is approximately 1%." }</t>
  </si>
  <si>
    <t>8. If a patient has an episode of intraoperative awareness, what is the approximate risk of late psychological sequelae? 9. What are the potential psychological sequelae of intraoperative awareness? PREVENTION OF AWARENESS 10. What are some conventional monitors used to assess anesthetic depth? 11. What are some limitations of brain function monitors for assessing anesthetic depth and the risk for intraoperative awareness? 12. What measures can be taken to help prevent intraoperative awareness? 13. What are the elements that the Joint Commission recommends to prevent and manage intraoperative awareness? BRAIN FUNCTION MONITORING 14. What does the best available data on brain function monitors suggest regarding the efficacy of these monitors to prevent intraoperative awareness? THE ASA’S PRACTICE ADVISORY ON INTRAOPERATIVE AWARENESS AND BRAIN FUNCTION</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</si>
  <si>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</si>
  <si>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</si>
  <si>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</si>
  <si>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</si>
  <si>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</si>
  <si>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</si>
  <si>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is a risk factor for perioperative cardiac arrhythmias, which can increase the risk of morbidity and mortality. The patient's prolonged QTc interval of 500 msec puts her at increased risk for cardiac arrhythmias during anesthesia and surgery."</t>
  </si>
  <si>
    <t>31  •  Preoperative Evaluation 947 In adults, an abnormally prolonged QTc is defined as a  value exceeding the 99th percentile. The QTc is prolonged  if exceeding 0.48 seconds in women and 0.47 seconds in  men.200 Individuals with LQTS are predisposed to develop­ ing torsades de pointes, a polymorphic ventricular tachycar­ dia with frequent variations of the QRS axis or morphology.  Affected patients are generally asymptomatic in the absence  of arrhythmias. Conversely, after the onset of an arrhyth­ mia, they may develop palpitations, syncope, seizures, and  sudden cardiac death. LQTS may be either congenital (i.e., genetic) or acquired.  Causes of acquired LQTS include antiarrhythmic drugs - The diagnosis of prolonged QT interval syndrome is made when the QT interval is chronically greater than 0.44 second. Adverse events that are associated with a prolonged QT interval include ventricular dysrhythmias, syncope, and sudden death. The pharmacologic treatment of a chronically prolonged QT interval can include b antagonists or a left stellate ganglion block. These treatments are empirical. (399) 90. A congenital cause of a prolonged QT interval is thought to be due to an imbalance of autonomic innervation to the heart caused by decreases in right cardiac sympathetic nerve activity. A left stellate ganglion block is thought to work by decreasing left cardiac sympathetic nerve activity, thereby balancing the autonomic innervation to the heart. (399) 91. The goal of the anesthetic management of a patient with a chronically prolonged</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</si>
  <si>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</si>
  <si>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</si>
  <si>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</si>
  <si>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</si>
  <si>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</si>
  <si>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</si>
  <si>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with pH, urine flow rate, and renal blood flow, making it a complex and dynamic process." }</t>
  </si>
  <si>
    <t>30. What class of drugs significant to anesthesia practice are eliminated by the kidneys? 31. Why is a normal serum creatinine value in an elderly person not a reliable indicator of the individual’s ability to clear drugs in the kidney? 32. Describe the clearance of propofol from the bloodstream following intravenous injection. 33. What is distribution clearance? What is the clinical significance of this phenomenon? 34. What is the capacity for plasma proteins to bind most anesthetic drugs? How does the number of protein binding sites for a drug in plasma influence the amount of a drug in the plasma bound to proteins? 35. What effect does a change in plasma protein concentrations have on the apparent potency of a drug? 36. Sketch a graph plotting time versus the amount of drug for a first order pharmacokinetic process. What does it mean to say that a first order - Renal Function.  As previously noted, renal excretion  accounts for 50% to 75% of plasma clearance of neostig­ mine, pyridostigmine, and edrophonium. In anephric  patients, elimination half-life of all three anticholinesterases  is prolonged, and total plasma clearance of these agents is  decreased (see Table 28.3). Similar changes in the pharma­ cokinetic characteristics of nondepolarizing NMBDs have  been noted in patients with renal failure. Therefore man­ agement of anticholinesterase reversal should be similar in  patients with normal and impaired renal function. Postop­ erative residual neuromuscular blockade in patients with  renal failure is more likely secondary to improper titration  of NMBDs intraoperatively rather than to inappropriate  dosing of anticholinesterase agents. - 25. What is the creatinine clearance a measurement of? 26. Why is the creatinine clearance a more reliable measurement of the GFR than serum creatinine levels? What is a disadvantage of creatinine clearance measurements? 27. What are some nonrenal causes of proteinuria? 28. What are the differences in site of action of thiazide, spironolactone, and loop and osmotic diuretics? 29. What are the differences in pharmacologic action between dopamine and fenoldopam? 30. What are the systemic changes that frequently accompany end-stage renal disease (ESRD)? 31. What are some anesthetic considerations for the anesthetic management of patients with ESRD? 32. Should succinylcholine be avoided in patients with ESRD?</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</si>
  <si>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</si>
  <si>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</si>
  <si>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</si>
  <si>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</si>
  <si>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</si>
  <si>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</si>
  <si>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New York Heart Association functional class III, which means they have marked limitation of physical activity, so option A is the best fit." }</t>
  </si>
  <si>
    <t>References 998.e2 _x0001_ 43._x0001_ _x0007_Struthers R, Erasmus P, Holmes K, Warman P, Collingwood A, Sneyd  JR. Assessing fitness for surgery: a comparison of questionnaire,  incremental shuttle walk, and cardiopulmonary exercise testing in  general surgical patients. Br J Anaesth. 2008;101(6):774–780. _x0001_ 44._x0001_ _x0007_Moran J, Wilson F, Guinan E, McCormick P, Hussey J, Moriarty J.  The preoperative use of field tests of exercise tolerance to predict post­ operative outcome in intra-abdominal surgery: a systematic review.  J Clin Anesth. 2016:35446–35455. _x0001_ 45._x0001_ _x0007_Benge W, Litchfield RL, Marcus ML. Exercise capacity in patients with</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</si>
  <si>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</si>
  <si>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</si>
  <si>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</si>
  <si>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</si>
  <si>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</si>
  <si>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</si>
  <si>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increased in obesity, not decreased, as the increased lung volume and weight of the body require more air to be displaced to reach the alveoli, making it a useful measure in assessing lung function in obese individuals."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</si>
  <si>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</si>
  <si>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</si>
  <si>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</si>
  <si>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</si>
  <si>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</si>
  <si>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</si>
  <si>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with slight nystagmus and occasional purposeless movements is an indication that the dose of ketamine is excessive, as it is causing some degree of consciousness and motor activity." }</t>
  </si>
  <si>
    <t>derived from the administration of ketamine has thus been termed a dissociative anesthesia. There have not been any drugs isolated that are able to antagonize the effects of ketamine. (109-110, Figure 9-9) 52. After an induction dose of ketamine the patient appears to be in a cataleptic state. The appearance of the patient may be characterized as eyes remaining open with a slow nystagmic gaze; the maintenance of cough, swallow, and corneal reflexes; moderate dilation of the pupils; lacrimation; salivation; and an increase in skeletal muscle tone, with apparently coordinated but purposeless movements of the extremities. Induction doses of ketamine provide an intense analgesia and amnesia in patients despite the patient appearing as if he or she may be awake. (109) 53. The redistribution of highly lipid-soluble ketamine to inactive tissue sites allows - Ketamine. Ketamine is a noncompetitive N-methyl-D- aspartate (NMDA) receptor antagonist that can produce  a state of dissociative anesthesia. An additional effect of  ketamine is bronchodilation. It is a useful medication for  sedation in the ICU as ketamine has limited effect on the  respiratory drive, and in usual doses, hemodynamics are  not usually affected. For patients with asthma who are  intubated and mechanically ventilated, ketamine may be a  good choice for sedation along with a benzodiazepine. Fur­ ther, there was one pediatric study447 showing an improve­ ment in the PaO2/FiO2 ratio as well as dynamic compliance  in mechanically ventilated children with refractory bron­ chospasm who were receiving a continuous infusion of - cant only after methohexital and etomidate when given in  subhypnotic doses.  Ketamine. Ketamine does not follow the basic anesthesia- related EEG pattern. Anesthesia with ketamine is character­ ized by frontally dominant rhythmic, high-amplitude theta  activity. Increasing doses produce intermittent polymor­ phic delta activity of very large amplitude interspersed with  low-amplitude beta activity.200 Electrocortical silence can­ not be produced with ketamine. EEG activity may be very  disorganized and variable at all doses. This disorganization  of the EEG with ketamine is responsible for the failure of the  bispectral index (BIS) to be useful in looking at the effect  of ketamine on consciousness.201 Recovery of normal EEG - use of ketamine has been advocated in both emergency185  and elective193-196 settings. These reports have varied in  their approach, with some using entirely ketamine anesthe­ sia, whereas others have supplemented with inhalational  anesthesia or benzodiazepines. Without supplemental oxy­ gen, some degree of desaturation may be observed in the  spontaneously breathing patient, but this was felt accept­ able and could be managed with monitoring and simple air­ way maneuvers.194 However, total apnea may be seen with  smaller doses of ketamine than would be expected at sea  level, with a report of deep general anesthesia and apnea  at a dose of only 0.5 mg/kg;185 however, other studies have  successfully used higher doses without any adverse out­ come.196 Further caution is advised when using ketamine,</t>
  </si>
  <si>
    <t>Under normal physiologic conditions cerebral blood flow is</t>
  </si>
  <si>
    <t>A. 1 mL/ 100g/ min</t>
  </si>
  <si>
    <t>B. 10 mL/ 100g/ min</t>
  </si>
  <si>
    <t>C. 25 mL/ 100g/ min</t>
  </si>
  <si>
    <t>D. 50 mL/ 100g/ min</t>
  </si>
  <si>
    <t>E. 100 mL/ 100g/ min</t>
  </si>
  <si>
    <t>{   "Answer": "D",   Explain: "Under normal physiologic conditions, cerebral blood flow is approximately 50 mL/100g/min, which reflects adequate oxygen delivery for maintaining structural integrity and function." }</t>
  </si>
  <si>
    <t>is unaltered by anesthetic drugs (see Fig. 11.2). 0 25 50 Variation in lower limit Variation in plateau Variation in upper limit CBF (mL•100 gm-1•min-1) 75 100 0 50 Mean Arterial Pressure (mmHg) 100 150 200 Fig. 11.3  The conventional view of cerebral autoregulation. Cerebral  blood flow (CBF) is maintained within the normal range in the face of  widely varying blood pressures. Below the lower limit of autoregula­ tion, approximately 65 to 70 mm Hg in humans, and above the upper  limit, approximately 150 mm Hg, the cerebral circulation is pressure - illustrate the limitations imposed by such implicit assump­ tions, let us examine global or hemispheric CBF in the con­ text of a patient’s disease process. In normal brain, values of hemispheric CBF of approxi­ mately 50 mL/100 g/min reflect adequate oxygen delivery for  maintaining structural integrity and function. Values of less  than 20 to 25 mL/100 g/min are associated first with failure  of function and on further decrease with structural damage.2  In neurosurgical patients, structural integrity and function  may be altered by disease processes and anesthetics, which  have an impact on the interpretation of measured CBF. A CBF  of 40 mL/100 g/min in a patient in barbiturate coma after  resection of an arteriovenous malformation may represent  hyperemia (because metabolic demand is very low), whereas</t>
  </si>
  <si>
    <t>A 50-year-old man has a bicuspid aortic valve. Surgical repair of his ascending aorta is indicated at a diameter of</t>
  </si>
  <si>
    <t>A. 4 cm</t>
  </si>
  <si>
    <t>B. 4.5 cm</t>
  </si>
  <si>
    <t>C. 5 cm</t>
  </si>
  <si>
    <t>D. 5.5 cm</t>
  </si>
  <si>
    <t>E. 6 cm</t>
  </si>
  <si>
    <t>{   "Answer": "C",   Explain: "According to the references, surgical repair of the ascending aorta is indicated at a diameter of 5 cm, which is the threshold for surgical intervention." }</t>
  </si>
  <si>
    <t>References 1814.e9 _x0001_375._x0001_ _x0007_Cripe L, Andelfinger G, Martin LJ, et al. Bicuspid aortic valve is heri­ table. J Am Coll Cardiol. 2004;44:138–143. _x0001_376._x0001_ _x0007_Robicsek F, Thubrikar MJ, Cook JW, et al. The congenitally bicuspid  aortic valve: how does it function? Why does it fail? Ann Thorac Surg.  2004;77:177–185. _x0001_377._x0001_ _x0007_Beller CJ, Labrosse MR, Thubrikar MJ, et al. Role of aortic root motion  in the pathogenesis of aortic dissection. Circulation. 2004;109:763– 769. _x0001_378._x0001_ _x0007_Freeman RV, Otto CM. Spectrum of calcific aortic valve disease:</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</si>
  <si>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</si>
  <si>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</si>
  <si>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</si>
  <si>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</si>
  <si>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</si>
  <si>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</si>
  <si>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making option B the correct answer." }</t>
  </si>
  <si>
    <t>Hypoxic Ventilatory Response 78. How is hypoxic ventilatory drive measured? 79. What receptors are responsible for hypoxic stimulation of ventilation? 80. How does hypoxia depress ventilation? 81. How quickly does the hypoxic response develop? 82. What is the effect of higher PCO2 on hypoxic drive? EFFECTS OF ANESTHESIA 83. Do opioids depress hypercapnic ventilatory drive, hypoxic ventilatory drive, or both? Disorders of Ventilatory Control 84. What ventilatory problems are premature infants of low postconceptual age at risk for? 85. What is Ondine curse? 86. When is periodic breathing most likely to occur? INTEGRATION OF THE HEART AND LUNGS 87. What is the Fick equation? - neurogenic effects initiated by peripheral and neuraxial  chemoreceptors, as well as local humoral influences. A  reduction in arterial oxygen content, and therefore cerebral  oxygen delivery, can be achieved either by a reduction in  Pao2 (hypoxemic hypoxia) or by a reduction in hemoglobin  concentration (anemia, hemodilution). Both hemodilution  and hypoxemic hypoxia lead to cerebral vasodilation and  an increase in CBF. Of the two variables, however, hypox­ emic hypoxia is a far more potent variable in CBF aug­ mentation than hemodilution. Cerebral oxygen delivery is  better maintained during hypoxia when arterial content is  equivalently reduced by hypoxia or hemodilution (see Fig.</t>
  </si>
  <si>
    <t>Which one of the following agents should be avoided in a patient with heparin-induced thrombocytopenia type II?</t>
  </si>
  <si>
    <t>A. danaparoid</t>
  </si>
  <si>
    <t>B. lepirudin</t>
  </si>
  <si>
    <t>C. argatroban</t>
  </si>
  <si>
    <t>D. warfarin</t>
  </si>
  <si>
    <t>E. benzod iazepines</t>
  </si>
  <si>
    <t>{   "Answer": "D",   Explain: "Warfarin is contraindicated for HIT treatment because it can initially decrease the synthesis of proteins C and S, which can enhance the patient's prothrombotic state." }</t>
  </si>
  <si>
    <t>continued immediately (including UFH, LMWH, heparin- bonded catheters, heparin flushes). Alternative nonheparin  anticoagulation must be administered concurrently. In  most cases, a direct thrombin inhibitor (DTI, e.g., bivali­ rudin, lepirudin, or argatroban) is substituted for heparin  until adequate prolongation of the international normalized  ratio (INR) can be achieved with warfarin. Initiation of war­ farin alone is contraindicated for HIT treatment because the  initial decreased synthesis of proteins C and S enhances the  patient’s prothrombotic state. Platelet transfusions should  be held unless the patient is severely thrombocytopenic  (&lt;20 × 109/L) with signs of bleeding. Use of DOACs (e.g.,</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</si>
  <si>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</si>
  <si>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</si>
  <si>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</si>
  <si>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</si>
  <si>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</si>
  <si>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</si>
  <si>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may not always show the tube's exact location, whereas the other options are more direct and accurate methods to confirm correct placement." }</t>
  </si>
  <si>
    <t>40. Why are low-pressure, high-volume cuffs on endotracheal tubes preferred? 41. What are some serious complications attributable to endotracheal cuff pressures? 42. Name some stylets that can be used to facilitate endotracheal intubation. 43. What are some methods to confirm the correct placement of an endotracheal tube? 44. When is an awake fiberoptic endotracheal intubation most frequently chosen? 45. Why is fiberoptic endotracheal intubation recommended for patients with unstable cervical spines? 46. Why is fiberoptic endotracheal intubation recommended for patients who have sustained an injury to the upper airway from either blunt or penetrating trauma? 47. What is an absolute contraindication to fiberoptic endotracheal intubation?</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</si>
  <si>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</si>
  <si>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</si>
  <si>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</si>
  <si>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</si>
  <si>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</si>
  <si>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</si>
  <si>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blood flow to be diverted from hypoxic to non-hypoxic lung areas, allowing for optimal matching of ventilation and perfusion." }</t>
  </si>
  <si>
    <t>data suggest that factors other than gravity contribute to  the heterogeneity of the distribution of perfusion.  HYPOXIC PULMONARY VASOCONSTRICTION HPV is a compensatory mechanism that diverts blood flow  away from hypoxic lung regions toward better oxygen­ ated regions.71 The major stimulus for HPV is low alveolar  oxygen tension (PAO2), whether caused by hypoventilation  or by breathing gas with a low PO2, and is more potent when  affecting a smaller lung region. The stimulus of hypoxic  mixed venous blood is weaker.72,73 Whereas in humans  older volatile anesthetics were thought to inhibit HPV  more than intravenously based anesthesia, modern vola­ tile anesthetics, including sevoflurane74 and desflurane,75  have little effect. During intravenously based anesthesia, - exposure of one lung to an FiO2 of 1.0 and the contralateral  lung to a hypoxic gas mixture (FiO2, 0.12 to 0.05) reduced  perfusion to the hypoxic lung to 30% of the cardiac out­ put.76 Pulmonary hypertension, because of vascular  remodeling owing to ongoing HPV, can develop in humans  at high altitude77 or in the presence of chronic hypoxemic  lung disease.  Clinical Assessment of Lung  Function SPIROMETRY—TOTAL LUNG CAPACITY AND  SUBDIVISIONS The gas volume in the lung after a maximum inspiration is  called the total lung capacity (TLC; usually 6 to 8 L). TLC can  be increased in COPD either by overexpansion of alveoli or  by destruction of the alveolar wall, resulting in loss of elastic - Hypoxic pulmonary vasoconstriction refers to the  attempt of normal lungs to optimally match ventilation  and perfusion. This response constricts vessels in poorly  ventilated regions of the lung and directs pulmonary  blood flow to well-ventilated alveoli. In the PACU, the  residual effects of inhaled anesthetics and vasodilators  such as nitroprusside and dobutamine used to treat sys­ temic hypertension or improve hemodynamics will blunt  hypoxic pulmonary vasoconstriction and contribute to  arterial hypoxemia. Unlike a mismatch, a true shunt will not respond to  supplemental oxygen. Causes of postoperative pulmonary  shunt include atelectasis, pulmonary edema, gastric aspi­ ration, pulmonary emboli, and pneumonia. Of these, atel­ - release of vasoactive metabolites locally in the lung. Con­ versely, surgery can dramatically decrease blood flow to the  nonventilated lung by deliberately or accidentally mechan­ ically interfering with either the unilateral pulmonary arte­ rial or venous blood flow.154 Ventilation increases blood  flow through a hypoxic lung more than in a normoxic lung,  which is generally not of clinical relevance but does compli­ cate studies of HPV. HPV is decreased by vasodilators such  as nitroglycerin and nitroprusside. In general, vasodilators  can be expected to cause a deterioration in PaO2 during  OLV. Thoracic epidural sympathetic blockade probably has  little or no direct effect on HPV, which is a localized chemi­ cal response in the lung.155 However thoracic epidural</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</si>
  <si>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</si>
  <si>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</si>
  <si>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</si>
  <si>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</si>
  <si>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</si>
  <si>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</si>
  <si>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"Succinylcholine causes muscle cell breakdown, releasing potassium ions into the bloodstream, leading to hyperkalemia. In this case, the patient had a 40% burn, which would have already caused muscle damage, making succinylcholine more likely to cause hyperkalemia." }</t>
  </si>
  <si>
    <t>282._x0001_ _x0007_Martyn J. Succinylcholine hyperkalemia after burns. Anesthesiology.  1999;91:321–322. _x0001_283._x0001_ _x0007_Bittner EA, Shank E, Woodson L, Martyn JA. Acute and periopera­ tive care of the burn-injured patient. Anesthesiology. 2015;122(2): 448–464. _x0001_284._x0001_ _x0007_Martyn JA, Matteo RS, Szyfelbein SK, Kaplan RF. Unprecedented  resistance to neuromuscular blocking effects of metocurine with per­ sistence after complete recovery in a burned patient. Anesth Analg.  1982;61:614–617. _x0001_285._x0001_ _x0007_Martyn J, Ritchfeld M. Succinylcholine-induced hyperkalemia in</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</si>
  <si>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</si>
  <si>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</si>
  <si>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</si>
  <si>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</si>
  <si>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</si>
  <si>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</si>
  <si>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"To calculate the time it takes for the concentration in the circuit to reach 8.5%, we need to use the formula: 0.5 / (FGF - 0.5) = 0.85 - 0.1. Solving for time, we get approximately 17 minutes." }</t>
  </si>
  <si>
    <t>is achieved in less than 10 minutes following desflurane anesthesia from 20 to 100 minutes’ duration.63 FGF, Fresh gas flow; MAC, minimum alveolar  concentration; MV, minute ventilation; Palv, Alveolar anesthetic partial pressure; PCNS, anesthetic partial pressure in the central nervous system. - 1.0 10 20 Minutes Agent delivery Open circuit FGF = 50 L/min Palv/Pcirc 30 40 Desflurane Isoflurane CO:    2.5    5    10 0 0.8 0.6 0.4 0.2 0.0 1.0 10 20 Minutes Agent delivery Rebreathing circuit FGF = 6 L/min Palv/Pdel 30 40 Desflurane Isoflurane CO:    2.5    5</t>
  </si>
  <si>
    <t>A 20-year-old patient with hemophilia B (Christm as disease) is planned for appendectomy. The coagulation deficit is that of clotting factor</t>
  </si>
  <si>
    <t>A. II</t>
  </si>
  <si>
    <t>B. VII</t>
  </si>
  <si>
    <t>C. VIII</t>
  </si>
  <si>
    <t>D. IX</t>
  </si>
  <si>
    <t>E. XII</t>
  </si>
  <si>
    <t>{   "Answer": "D",   Explain: "Hemophilia B is caused by a deficiency of clotting factor IX, which is involved in the intrinsic coagulation pathway." }</t>
  </si>
  <si>
    <t>404._x0001_ _x0007_Brettler DB, Levine PH. Factor concentrates for treatment of hemo­ philia: which one to choose? Blood. 1989;73:2067. _x0001_405._x0001_ _x0007_Lee KF, Manchell J, Rankin JS, et al. Immediate versus delayed coro­ nary grafting after streptokinase treatment: postoperative blood loss  and clinical results. J Thorac Cardiovasc Surg. 1988;95:216. _x0001_406._x0001_ _x0007_Dickman CA, Shedd SA, Spetzler RF, et al. Spinal epidural hematoma  associated with epidural anesthesia: complications of systemic hepa­ rinization in patients receiving peripheral vascular thrombolytic  therapy. Anesthesiology. 1990;72:947. _x0001_407._x0001_ _x0007_Wademan BH, Galvin SD. Desmopressin for reducing postoperative  blood loss and transfusion requirements following cardiac surgery in</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</si>
  <si>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</si>
  <si>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</si>
  <si>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</si>
  <si>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</si>
  <si>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</si>
  <si>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</si>
  <si>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making it easy to mix with other medications and inject into patients." }</t>
  </si>
  <si>
    <t>96._x0001_ _x0007_Bouillon TW, Bruhn J, Radulescu L, et al. Pharmacodynamic inter­ action between propofol and remifentanil regarding hypnosis, toler­ ance of laryngoscopy, bispectral index, and electroencephalographic  approximate entropy. Anesthesiology. 2004;100(6):1353–1372. _x0001_ 97._x0001_ _x0007_Nieuwenhuijs DJ, Olofsen E, Romberg RR, et al. Response surface  modeling of remifentanil-propofol interaction on cardiorespiratory  control and bispectral index. Anesthesiology. 2003;98(2):312–322. _x0001_ 98._x0001_ _x0007_Gambus PL, Jensen EW, Jospin M, et al. Modeling the effect of pro­ pofol and remifentanil combinations for sedation-analgesia in endo­ - SECTION II  •  Anesthetic Physiology 734 synergism between opioids and sedative-hypnotics such  as propofol is profound. Choosing an opioid with a short  context-sensitive half-life allows greater doses of that opioid  to be administered, along with reduced doses of propofol,  without compromising the time for recovery from anesthe­ sia. Thus, the optimal plasma level of propofol is estimated  to be approximately 30% less when it is combined with  remifentanil instead of alfentanil.629 Drug dosing regimens and plasma concentration of opioid  and sedative-hypnotics to provide optimal hemodynamic  control during a range of noxious stimuli are necessary.  However, complicating our understanding of drug interac­ tions is the observation that the same degree of interaction - 1979;50:456–460. _x0001_ 82._x0001_ _x0007_Bai D, Pennefather PS, MacDonald JF, Orser BA. The general anes­ thetic propofol slows deactivation and desensitization of GABA(A)  receptors. J Neurosci. 1999;19:10635–10646. _x0001_ 83._x0001_ _x0007_Feshchenko VA, Veselis RA, Reinsel RA. Propofol-induced alpha  rhythm. Neuropsychobiology. 2004;50:257–266. _x0001_ 84._x0001_ _x0007_Lewis LD, Weiner VS, Mukamel EA, et al. Rapid fragmentation of  neuronal networks at the onset of propofol-induced unconscious­ ness. Proc Natl Acad Sci U S A. 2012;109:E3377–E3386. _x0001_ 85._x0001_ _x0007_Li D, Voss LJ, Sleigh JW, Li X. Effects of volatile anesthetic agents</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</si>
  <si>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</si>
  <si>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</si>
  <si>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</si>
  <si>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</si>
  <si>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</si>
  <si>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</si>
  <si>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there is no evidence to support this practice." }</t>
  </si>
  <si>
    <t>hypertension, and other characteristic features15 as listed  in Box 58.1. Specific criteria for diagnosing metabolic syn­ drome are included in Table 58.4. The diagnosis requires  that at least three of the following be present: abdominal  obesity, elevated fasting glucose, hypertension, low HDLs,  and hypertriglyceridemia.25 Weight gain with visceral obe­ sity is a major predictor of the metabolic syndrome. The  clinical approach uses waist circumference, rather than  BMI, to define the adipose mass component contributing  to the metabolic syndrome since BMI has been shown to  be a relatively insensitive indicator of the risk for obesity- associated metabolic and cardiovascular diseases. Waist  circumference, but not BMI, reflects abdominal subcuta­ neous adipose tissue as well as abdominal visceral adipose - treatment is important because it alone predicts approximately 25% of all new-onset cardiovascular disease. (463-464) 4. Diagnosis of metabolic syndrome is made by the presence of three out of five of the following: abdominal obesity, elevated triglycerides, low HDL, elevated blood pressure, elevated fasting glucose. (463) 5. The causes of obesity are multifactorial. They include genetic, environmental, metabolic, and psychosocial factors. While caloric consumption is important, the urge to eat (or overeat) can be modulated by hormones. Fasting releases several orexigenic (appetite-stimulating) hormones and can cause inflammation. (464) 6. Four major considerations in the anesthetic management of the morbidly obese patient include the risk of aspiration of gastric contents, securing the airway, the logistics of caring for a large patient, and emergence technique. - Patients with metabolic syndrome have an increased  risk for cardiovascular disease events and are at increased  risk for all-cause mortality. Metabolic syndrome increases  TABLE 58.2  Waist Circumference and Risk Waist BMI (KG/M2) Circumference Normal Weight Overweight Obese Class 1 &lt;102 cm (♂) Least risk Increased risk High risk &lt;88 cm (♀) ≥102 cm (♂) High risk Very high risk Increased risk ≥88 cm (♀) TABLE 58.3  Health Risks Associated With Increasing  Body Mass Index Metabolic syndrome 30% of middle-aged people in developed coun­ tries have features of metabolic syndrome Type 2 diabetes - partial or complete upper airway collapse occurring during  TABLE 58.4  Clinical Criteria for Diagnosing Metabolic  Syndrome Central obesity Waist circumference &gt;102 cm in men Waist circumference &gt;88 cm in women Plus any two of the following: Criteria Defining Value Triglycerides 150 mg/dL (1.7 mmol/L), or Specific treatment for this lipid abnormality High-density lipopro­ tein cholesterol &lt;40 mg/dL (1.03 mmol/L) in men, or &lt;50 mg/dL (1.29 mmol/L) in women, or Specific treatment for this lipid abnormality Blood pressure Systolic blood pressure &gt;130 mm Hg, or Diastolic blood pressure &gt;85 mm Hg, or</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</si>
  <si>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</si>
  <si>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</si>
  <si>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</si>
  <si>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</si>
  <si>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</si>
  <si>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</si>
  <si>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highest in the ascending aorta because it is the closest to the heart, where the blood is pumped out with the greatest force."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</si>
  <si>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</si>
  <si>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</si>
  <si>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</si>
  <si>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</si>
  <si>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</si>
  <si>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</si>
  <si>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a noninvasive, reliable, and simple method for continuously monitoring the fractional arterial oxygen saturation, making it the best option for recognizing hypoxemia in the recovery room." }</t>
  </si>
  <si>
    <t>conditions.  □ _x0007_The degree of invasiveness of utilized monitors should be determined by clinical requirements.  □ _x0007_Pulse oximetry is a noninvasive, reliable, and simple method for continuously monitoring the  fractional arterial oxygen saturation.  □ _x0007_Ventilation-perfusion mismatch, shunt, and hypoventilation are the most common causes of  hypoxemia in the perioperative period. Monitoring of gas exchange, and its response to various  interventions, may differentiate etiologies for hypoxemia.  □ _x0007_Mixed venous oxygen saturation (SvO2) allows for monitoring of the global balance between  oxygen delivery and consumption. Its measurement provides information on gas exchange,  cardiac output, and global oxygen consumption.  □ _x0007_Systems utilizing near infrared spectroscopy are used clinically to monitor regional tissue  oxygenation, particularly in the brain. The value of regional tissue oxygenation monitoring for  clinical management is currently being established.</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</si>
  <si>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</si>
  <si>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</si>
  <si>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</si>
  <si>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</si>
  <si>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</si>
  <si>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</si>
  <si>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patient's recent large body surface area burn has led to increased production of cortisol, which can cause an increase in muscle mass and therefore resistance to non-depolarizing neuromuscular blockers."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</si>
  <si>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</si>
  <si>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</si>
  <si>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</si>
  <si>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</si>
  <si>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</si>
  <si>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</si>
  <si>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"D",   Explain: "The Hering-Breuer reflex is a reflexive mechanism that helps regulate breathing by slowing down or stopping inspiration when the lungs are almost full. It plays a major role in the control of ventilation, particularly in preventing overinflation of the lungs."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</si>
  <si>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</si>
  <si>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</si>
  <si>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</si>
  <si>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</si>
  <si>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</si>
  <si>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</si>
  <si>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typical symptom of hyperthyroidism, as it is more commonly associated with hypothyroidism. Hyperthyroidism is characterized by symptoms such as increased sweating, fatigue, tachycardia, and hypermotility, but shivering is not typically among them."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</si>
  <si>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</si>
  <si>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</si>
  <si>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</si>
  <si>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</si>
  <si>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</si>
  <si>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</si>
  <si>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"A painful pinch can elicit a response from a patient under deep sedation, whereas a patient under general anesthesia will not respond to painful stimuli."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</si>
  <si>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</si>
  <si>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</si>
  <si>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</si>
  <si>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</si>
  <si>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</si>
  <si>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</si>
  <si>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"A",   Explain: "Cisatracurium is a different isomer than atracurium, being the 1R cis–1′R cis isomer of atracurium." }</t>
  </si>
  <si>
    <t>has CNS-stimulating  properties, the clini­ cal relevance of this  effect is negligible (Metabolites eliminated in urine and bile) Cisatracurium Intermediate Hofmann elimination (77%?) Renal clearance is  16% of total Laudanosine and acry­ lates; ester hydrolysis  of the quaternary  monoacrylate occurs  secondarily; because  of the greater  potency of cisatra­ curium, laudanosine  quantities produced  by Hofmann elimina­ tion are 5-10 times  lower than in the case  of atracurium, thus  making this a nonis­ sue in practice Vecuronium - seizure activity. However, plasma concentrations of this  metabolite are very low, and adverse effects are unlikely to  occur with atracurium (or cisatracurium) use in either the  operating room or the ICU. Atracurium is a mixture of 10 optical isomers. Cisatra­ curium is the 1R cis–1′R cis isomer of atracurium.90 Like  atracurium, cisatracurium is metabolized by Hofmann  elimination to laudanosine and a monoquaternary acry­ late.168,169 In contrast, however, no ester hydrolysis of the  parent molecule occurs. Hofmann elimination accounts for  77% of the total clearance of 5 to 6 mL/kg/min. Twenty- three percent of the drug is cleared through organ-depen­ dent means, and renal elimination accounts for 16% of - 5.3 mL/kg/min). In a related area, an interaction between  the solvent of cyclosporine (Kolliphor EL) with atracurium  and vecuronium has been reported, with the action of these  muscle relaxants potentiated in cats,47 but it is unknown  whether such potentiation also occurs in human renal  transplant recipients. Cisatracurium is the single cis isomer of atracurium.  Organ-independent mechanisms (Hofmann elimination)  account for 77% of the total clearance of cisatracurium.  Because renal excretion accounts for only 16% of the elimi­ nation of cisatracurium, renal failure should have little  effect on its duration of action.45 The short-acting drug mivacurium is metabolized by  plasma pseudocholinesterase. Its effect has been shown to - 51. How is rocuronium excreted from the body? How does renal failure affect the clearance of rocuronium? 52. How are cisatracurium and atracurium structurally related? 53. How are atracurium and cisatracurium cleared from the plasma? How does renal failure affect the clearance of these drugs? 54. What is the principal metabolite of atracurium and its potential adverse physiologic effect? Which patients are especially at risk for this adverse effect? 55. What are some of the cardiovascular effects of atracurium? 56. What are some differences between cisatracurium and atracurium that make cisatracurium more desirable for clinical use? SHORT-ACTING NONDEPOLARIZING NEUROMUSCULAR BLOCKING DRUGS</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</si>
  <si>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</si>
  <si>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</si>
  <si>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</si>
  <si>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</si>
  <si>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</si>
  <si>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</si>
  <si>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second heart sound does not coincide with the T wave of the electrocardiogram, as the T wave represents the depolarization of the ventricles, while the second heart sound is caused by the closure of the semilunar valves."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</si>
  <si>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</si>
  <si>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</si>
  <si>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</si>
  <si>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</si>
  <si>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</si>
  <si>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</si>
  <si>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line measures the patient's sensitivity to carbon dioxide, as it represents the change in minute ventilation in response to a change in carbon dioxide levels." }</t>
  </si>
  <si>
    <t>(L/min) Fig. 21.18  Comparison of mean changes in resting partial arterial pressure of carbon dioxide (PaCO2), tidal volume, respiratory rate, and minute ven­ tilation in patients anesthetized with various inhaled agents. Most agents cause dose-dependent tachypnea, decreases in minute ventilation and tidal  volume, and an increase in Paco2. MAC, Minimum alveolar concentration, N2O, nitrous oxide.189-194 Note: data for xenon has been extrapolated from refer­ ences.195-198 - 0.2 0.3 0.4 0.5 3 6 9 12 15 18 Light Anesthesia Minute Ventilation [L/min] Duty Cycle Peak Inspiratory Flow [l/s] Genioglossus EMG [mV] Deep Anesthesia * * * * * * Fig. 10.14  Effect of carbon dioxide (CO2) level on genioglossus activity  and respiratory function during anesthesia. Insufflation of CO2 to an  increased pCO2 (+4 or +8 mm Hg) increases minute ventilation, peak</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</si>
  <si>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</si>
  <si>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</si>
  <si>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</si>
  <si>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</si>
  <si>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</si>
  <si>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</si>
  <si>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penetrating branches of the radicular arteries supply the motor tracts of the spinal cord, as they arise from the anterior and posterior spinal arteries and penetrate the spinal cord to supply the gray and white matter."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</si>
  <si>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</si>
  <si>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</si>
  <si>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</si>
  <si>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</si>
  <si>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</si>
  <si>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</si>
  <si>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as the presynaptic neuronal subtype acetylcholine receptors are blocked, thereby leading to impaired mobilization of acetylcholine within the nerve terminal." }</t>
  </si>
  <si>
    <t>presynaptic neuronal subtype acetylcholine receptors,  thereby leading to impaired mobilization of acetylcholine  within the nerve terminal.44 This effect substantially con­ tributes to fade in the response to tetanic (and TOF) stimu­ lation. Although the degree of fade depends primarily on  the degree of neuromuscular block, fade also depends on  the frequency (Hz), the length (seconds) of stimulation, and  on how often tetanic stimuli are applied. Unless these vari­ ables are kept constant, results from different studies using  tetanic stimulation cannot be compared. Clinical application: Traditionally, tetanic stimula­ tion was proposed to evaluate residual neuromuscular  block. While the sensitivity of tetanic stimulation to detect  residual paralysis is about 70%, its specificity is only about  50%. Especially when anesthesia was maintained with - propagation of the action potential across the muscle membrane is inhibited.  □ _x0007_Different patterns of stimulation examine neuromuscular blockade at different areas of the  motor end plate. Depression of the response to single twitch stimulation is likely caused by  blockade of postsynaptic nicotinic acetylcholine receptors, whereas fade in the response to  tetanic and train-of-four stimuli results from blockade of presynaptic nicotinic receptors.  □ _x0007_Succinylcholine is the only available depolarizing neuromuscular blocking drug for clinical use.  It is characterized by rapid onset of effect and ultrashort duration of action because of its rapid  hydrolysis by butyrylcholinesterase.  □ _x0007_Available nondepolarizing neuromuscular blocking drugs can be classified according to chemi­ cal class (aminosteroid, benzylisoquinolinium, or other compounds) or by duration of action - injection of neuromuscular blocking drugs and during moderate non­ depolarizing (non-dep.) and depolarizing (dep.) blocks. Note the fade  in the response to tetanic stimulation, plus the posttetanic facilitation  of transmission during nondepolarizing block. During depolarizing  block, the tetanic response is well sustained, and no posttetanic facili­ tation of transmission occurs.</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</si>
  <si>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</si>
  <si>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</si>
  <si>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</si>
  <si>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</si>
  <si>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</si>
  <si>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</si>
  <si>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making option A the correct answer." }</t>
  </si>
  <si>
    <t>provide an adequate preoperative bleeding history. Should  evidence of a bleeding disorder be detected, underlying eti­ ologies should be clarified if possible before proceeding with  surgery.  INHERITED BLEEDING DISORDERS Von Willebrand Disease Inherited disorders of hemostasis include those involving  platelet quantity and function, coagulation factor deficien­ cies, or disorders of fibrinolytic pathways. Among these  inherited bleeding disorders, vWD is the most common and  is characterized by quantitative or qualitative deficiencies  of vWF resulting in defective platelet adhesion and aggre­ gation.48 Affecting up to 1% of the population, vWD is  categorized into three main types (types 1, 2, and 3). with  most cases demonstrating an autosomal dominant inheri­ tance pattern.49 Types 1 and 3 lead to varying quantitative - with heparin. While HIT is characterized by thrombocyto­ penia, affected patients are at risk for arterial thromboses,  TABLE 31.17  Classification of von Willebrand Disease Type Characteristics Initial Treatment 1 80% of cases; quantitative defect Desmopressin* 2A Quantitative and qualitative defect Desmopressin* 2B** Rare; quantitative and qualitative defect, autosomal dominant Cryoprecipitate or factor VIII concentrates with vWF 2M Qualitative defect Desmopressin* 2N Qualitative defect; vWF levels normal; factor VIII reduced Desmopressin* effect may be too short-lived 3</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</si>
  <si>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</si>
  <si>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</si>
  <si>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</si>
  <si>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</si>
  <si>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</si>
  <si>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</si>
  <si>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"Calcium enters the cardiac cell, causing excitation, which helps to counteract the effects of citrate intoxication and hypocalcemia, which can lead to hypotension and cardiac dysrhythmia." }</t>
  </si>
  <si>
    <t>(Fig. 49.10).233 An algorithm for the evaluation and initial therapy of a  patient with a suspected coagulopathy is given in Fig. 49.11  (see also the section on blood transfusions, pharmacology,  and hemostasis).  Citrate Intoxication and  Hyperkalemia Citrate intoxication leads to hypocalcemia, dysrhythmia,  and hypotension due to the sequestration of ionized cal­ cium by citrate. The probability of citrate intoxication is  increased in pediatric populations234 and in the setting of  hyperventilation, liver disease, and liver transplantation.  Infusion of more than 1 unit of blood every 10 minutes can  lead to decreasing ionized Ca2+ levels. Even at these rates  of infusion, ionized calcium levels do not decrease enough - 82. Hypocalcemia might occur intraoperatively as a result of citrated blood transfusions or during an exchange transfusion. The rapid infusion of citrate that occurs with citrated blood or fresh frozen plasma transfusions can result in hypotension secondary to hypocalcemia. The hypotension can be minimized by the administration of calcium gluconate, 1 to 2 mg intravenously for every 1 mL of blood transfused. (553) 83. The incidence of malignant hyperthermia in the pediatric population has been reported to be as high as 1 in 12,000 pediatric anesthetics. However, with the virtual disappearance of the use of two of the most potent triggering agents, halothane and succinylcholine, in the pediatric population, this incidence is Pediatrics 401 - these cases, it is more appropriate to use rapid-acting, titrat­ able inotropic agents.  Calcium When serum ionized calcium levels are below normal,  administration of calcium produces a positive inotropic  effect. If the patient’s ionized calcium levels are normal,  less marked inotropic effects occur. Low ionized calcium  levels most commonly occur in patients with DiGeorge’s  syndrome, when large volumes of citrate-containing  blood products are rapid administered, and in neonates  with relatively unstable calcium metabolism. Calcium  also has effects on the cardiac conduction system. Rapid  administration of calcium can cause severe bradycardia  or asystole. This effect may be exaggerated in hypokale­ mic children or in those receiving digitalis. The vasomo­ tor effects of calcium are controversial, but most reports - graft.214,215 There is also a possibility of decreased ventric­ ular wall compliance and an acute rise in SVR as a result  of a bolus dose of calcium.216 The most commonly used  agent for replenishment of calcium is 10% calcium chlo­ ride, given in small doses while monitoring the patient’s  blood pressure. Hypokalemia in the immediate postbypass period is seen  secondary to either diuretic therapy, mannitol therapy, or  to insulin therapy for control of glucose during surgery. If  an insulin infusion is used during CPB to control glucose,  it is recommended that careful and frequent monitoring of  glucose and potassium take place. Generally, insulin needs  are less toward the end of CPB and the infusion rate can  be decreased during this time to avoid hypoglycemia and  hypokalemia. Depending on the level of potassium, replen­</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</si>
  <si>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</si>
  <si>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</si>
  <si>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</si>
  <si>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</si>
  <si>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</si>
  <si>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</si>
  <si>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"Ischemic optic neuropathy is the most common cause of postoperative visual loss, especially after prolonged surgery on the spine in the prone position, due to factors such as low arterial pressure, low hematocrit level, lengthy surgical procedures, and large intravascular volume fluid administration." }</t>
  </si>
  <si>
    <t>postoperative vision loss (POVL) is a result of direct orbital  compression. Ischemic optic neuropathy actually appears  to be a more frequent cause of POVL than pressure-causing  occlusion of central retinal vessels. The cause-and-effect  relationships associated with ischemic optic neuropathy  are uncertain, but low arterial pressure, low hematocrit  level, lengthy surgical procedures, and large intravascular  volume fluid administration are statistically associated with  the phenomenon.65 Direct pressure can also result in various degrees of pres­ sure necrosis of the forehead, maxillae, and chin, especially  with prolonged spinal procedures. Pressure should be dis­ tributed as evenly as possible over facial structures. Other  pressure points to check include the axillae, breasts, iliac  crests, femoral canals, genitalia, knees, and heels. Trac­ - placed in the eye in retinal surgery. _x0001_□_x0001_ _x0007_Signs and symptoms of visual loss in the postoperative period may be subtle and can be incor­ rectly attributed to the residual effects of anesthetic drugs. Any patient reporting eye pain, an  inability to perceive light or motion, complete or partial loss of visual fields, decreased visual  acuity, or loss of pupil reactivity must be evaluated immediately by an ophthalmologist. _x0001_□_x0001_ _x0007_The most common cause of perioperative central and branch retinal artery occlusion is com­ pression of the eye. During cardiac surgery, emboli may occlude the retinal arteries. _x0001_□_x0001_ _x0007_Patients who undergo prolonged operative procedures in the prone position with large blood  loss are at increased risk for development of ischemic optic neuropathy. Other factors confer­ ring a risk during spine surgery include male sex, obesity, the use of a Wilson frame, and intra­ vascular fluids administered perioperatively. - POSTOPERATIVE VISION LOSS Postoperative vision loss (POVL) is a rare but devastat­ ing complication after anesthesia. The etiology is mul­ tifactorial (e.g., CA, ischemic optic neuropathy [ION],  cerebral vision loss, central retinal artery occlusion, and  several other less common causes) and POVL can occur  after any surgical procedure. However, there seems to be  an increased incidence after spinal fusions and cardiac  surgeries. ION is the most common cause of permanent  POVL and accounts for 89% of POVL following prone  spine surgeries.206 The incidence of ION has decreased by  over 50% from 1.63/10,000 (1998–2000) to 0.6/10,000  (2010–2012).207 Risk factors for ION have been identified - hypertension, and vascular disease, are all possible etiologic factors. One recent study entitled Risk Factors Associated with Ischemic Optic Neuropathy (Anesthesiology 2012;116:15-24) has reported that that male sex, obesity, use of a Wilson frame, longer cases, greater estimated blood loss, and a decreased percent of colloid are associated with an increased incidence of postoperative visual loss. (507) 57. There are several aspects of the prone position that may contribute to postoperative visual loss. These include increased venous pressure from positioning in the prone position, edema, a compartment syndrome within the orbit, and resistance to blood flow such as direct pressure on the eye. (507) 58. Ischemic optic neuropathy is a major cause of postoperative visual loss. Variations in the blood supply to the optic nerve may play a role in the development of</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</si>
  <si>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</si>
  <si>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</si>
  <si>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</si>
  <si>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</si>
  <si>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</si>
  <si>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</si>
  <si>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"E",   Explain: "Scopolamine patches are designed in a multilayered adhesive unit and have a duration of action of about 16 hours. They are effective in preventing motion sickness and nausea, making option E the correct answer."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</si>
  <si>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</si>
  <si>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</si>
  <si>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</si>
  <si>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</si>
  <si>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</si>
  <si>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</si>
  <si>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by the respiratory rate. 50 mL x 20 breaths/min = 1000 mL/min. Since the I:E ratio is 1:2, the inspiratory time is half of the total cycle time, which means the inspiratory flow is 1.25 L/min (2.5 L/min / 2). The expiratory flow is 2.25 L/min (2.5 L/min / 2). The oxygen flow is 2.5 L/min, and the nitrous oxide flow is 3.5 L/min. The total gas flow is the sum of these flows, which is 8.5 L/min. The oxygen concentration is 2.5 L/min / 8.5 L/min = 0.294. The minute ventilation is the sum of the oxygen and carbon dioxide flows, which is 2.5 L/min. Therefore, the answer is 2.5 L/min."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</si>
  <si>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</si>
  <si>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</si>
  <si>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</si>
  <si>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</si>
  <si>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</si>
  <si>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</si>
  <si>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"In the elderly patient, the diaphragm weakens and the chest wall becomes less compliant, leading to a decrease in lung volume and an increase in closing capacity. This means that the elderly patient has a higher closing capacity, making it more difficult for air to enter the lungs and increasing the risk of atelectasis and hypoxia during general anesthesia."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</si>
  <si>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</si>
  <si>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</si>
  <si>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</si>
  <si>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</si>
  <si>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</si>
  <si>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</si>
  <si>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"When succinylcholine is given to facilitate intubation and the patient is allowed to recover fully from the depolarizing block, the subsequent dose of pancuronium will have a normal duration of action, but the patient will be more sensitive to its effects, requiring a lower dose to achieve the same level of neuromuscular blockade." }</t>
  </si>
  <si>
    <t>dose of succinylcholine is appealing as long as it does not inter­ fere with provision of adequate conditions for endotracheal  intubation and subsequent adequate ventilation.79 Typically, after administering succinylcholine for tra­ cheal intubation, a nondepolarizing NMBD is given to  maintain neuromuscular blockade. Prior administration of  succinylcholine enhances the depth of blockade caused by  a subsequent dose of nondepolarizing NMBD.80,81 However,  the effect on duration of action is variable. Succinylcho­ line has no effect on the duration of pancuronium,82 but it - result of the residual depressant effects of volatile anesthet­ ics or opioids (or both) may result in progressive respira­ tory acidosis after the patient is admitted to the PACU and  external stimulation is minimized. Simple measures such  as warming the patient, airway support, and correction of  electrolyte abnormalities can facilitate recovery from neu­ romuscular blockade. The approval of sugammadex in the  United States by the FDA in December 2015 may have a  major impact on residual paralysis in patients who were  paralyzed with aminosteroid neuromuscular blocking  drugs (sugammadex does not work with benzylisoquinolin­ ium neuromuscular blocking drugs). While reversal with  neostigmine requires a baseline twitch response, and the  duration until the patient has a TOF ratio of ≥0.9 is highly - □ _x0007_Consider regional anesthetic techniques that minimize the  chance of postoperative sedation.  Induction Strategy  □ _x0007_Monitoring: capnogram, tidal volume measurement  □ _x0007_Sniffing position  □ _x0007_Reverse Trendelenburg position  □ _x0007_Consider intubation without nondepolarizing NMBA; consider  succinylcholine.  □ _x0007_Triple airway maneuver with two hands  □ _x0007_Utilize lung recruitment maneuvers immediately after intubation  and apply PEEP for maintaining lung volume during surgery.  □ _x0007_PCV with PEEP  □ _x0007_Short-acting anesthetics and narcotics preferred  □ _x0007_Avoid high-dose steroidal NMBA.  □ _x0007_Use neuromuscular transmission monitoring.  Intraoperative Management  □ _x0007_Whenever possible, use of sedatives and narcotics should be  reduced.  □ _x0007_Agents with reduced impairing effect on upper airway patency - SECTION II  •  Anesthetic Physiology 854 blockade was not only significantly faster than spontane­ ous recovery from succinylcholine, but that spontaneous  ventilation could be restored more rapidly (i.e., this dose  can be used to replace succinylcholine for endotracheal  intubation). In clinical practice and during an unexpected  difficult airway (cannot intubate, cannot ventilate sce­ nario), a rocuronium neuromuscular blockade may be  reversed by sugammadex immediately in order to restore  spontaneous ventilation. When sugammadex was compared with neostig­ mine or edrophonium, the time course of neuromuscu­ lar recovery was markedly different.158-160 In a clinical  study, patients received 0.6 mg/kg of rocuronium after  which neuromuscular blockade was sustained with</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</si>
  <si>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</si>
  <si>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</si>
  <si>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</si>
  <si>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</si>
  <si>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</si>
  <si>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</si>
  <si>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specific gravity of a drug to a reference specific gravity, which is important in spinal anesthesia as it determines the spread of the anesthetic solution in the subarachnoid space." }</t>
  </si>
  <si>
    <t>duration of plain bupivacaine spinal anesthesia. Anesthesiology.  2004;100(1):106–114. _x0001_ 28._x0001_ _x0007_Butterworth J. Physiology of spinal anesthesia: what are the implica­ tions for management? Reg Anesth Pain Med. 1998;23(4):370–373.  discussion 384–7. _x0001_ 29._x0001_ _x0007_Defalque RJ. Compared effects of spinal and extradural anesthesia  upon the blood pressure. Anesthesiology. 1962;23:627–630. _x0001_ 30._x0001_ _x0007_Meyhoff CS, Hesselbjerg L, Koscielniak-Nielsen Z, Rasmussen LS.  Biphasic cardiac output changes during onset of spinal anaesthesia  in elderly patients. Eur J Anaesthesiol. 2007;24(9):770–775.</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</si>
  <si>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</si>
  <si>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</si>
  <si>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</si>
  <si>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</si>
  <si>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</si>
  <si>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</si>
  <si>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react with the absorbent to produce phosgene, a toxic compound. Phosgene is a potent respiratory irritant and can cause severe respiratory distress. This reaction is more likely to occur when the absorbent is dry, as it can increase the concentration of phosgene produced." }</t>
  </si>
  <si>
    <t>degradation or metabolism of volatile anesthetics? 9. What is a potentially toxic compound that can be produced as a result of the interaction between sevoflurane and the carbon dioxide absorbent? What factors may increase this risk? 10. What is the potential risk of human exposure to compound A? How can this risk be minimized? 11. What is a potentially toxic compound that can be produced as a result of the interaction between desflurane and the carbon dioxide absorbent? What factors may increase this risk? 12. What is the potential risk of carbon monoxide production from the carbon dioxide absorbent? RELATIVE POTENCY OF INHALED ANESTHETICS 13. How are relative inhaled anesthetic potencies compared? 14. What are MAC values for isoflurane, sevoflurane, desflurane, and nitrous oxide in a</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</si>
  <si>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</si>
  <si>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</si>
  <si>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</si>
  <si>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</si>
  <si>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</si>
  <si>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</si>
  <si>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not a technical difficulty in treating patients with morbid obesity, but rather a potential issue that can be caused by the cuff not being properly inflated or the patient's obesity affecting the accuracy of the reading." }</t>
  </si>
  <si>
    <t>and endotracheal intubation. These are often considered  to be much more difficult to perform in obese patients than  patients having a normal BMI. Difficulty with laryngoscopy  and intubation is usually thought to result from the obese  patient having a short, thick neck, large tongue, and sig­ nificant redundant pharyngeal soft tissue. However, the  correlation between morbid obesity and difficult laryngos­ copy and intubation is not universally observed in clinical  practice. This is likely to result from a simple, but important  approach to clinical care, with careful attention being paid  to patient positioning prior to induction of general anesthe­ sia. Appropriate positioning plays an important role in pro­ viding optimal conditions for successful placement of the  endotracheal tube under direct vision. A number of studies have been conducted to determine</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</si>
  <si>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</si>
  <si>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</si>
  <si>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</si>
  <si>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</si>
  <si>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</si>
  <si>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</si>
  <si>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proton pump inhibitor commonly used to treat peptic ulcer disease by reducing acid production in the stomach."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</si>
  <si>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</si>
  <si>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</si>
  <si>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</si>
  <si>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</si>
  <si>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</si>
  <si>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</si>
  <si>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help reduce the formation of aqueous humor in the eye, making it a medication often used to treat glaucoma, a condition characterized by increased pressure in the eye."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</si>
  <si>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</si>
  <si>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</si>
  <si>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</si>
  <si>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</si>
  <si>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</si>
  <si>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</si>
  <si>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which is commonly used to treat type 2 diabetes mellitus by increasing insulin secretion from the pancreas."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</si>
  <si>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</si>
  <si>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</si>
  <si>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</si>
  <si>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</si>
  <si>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</si>
  <si>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</si>
  <si>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making option A the correct answer." }</t>
  </si>
  <si>
    <t>AMP, Amplitude; BAEPs, brainstem auditory-evoked potentials; LAT, latency; MEPs, motor-evoked potentials; ND, no data available from the literature; SSEPs,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or abrupt fluctuations. Opioids and benzodiazepines do not  affect the potentials to the same extent, and ketamine or  dexmedetomidine232,233 have been suggested as reasonable  complements to the anesthetic regimen. Assuming that the  anesthetic effects on these modalities remain unchanged  and the patient’s physiologic parameters remain stable, an  intraoperative loss of SSEPs or MEPs should warn the clini­ cians of impaired conduction through the dorsal columns  or the corticospinal tracts; that is, structural damage has  occurred. The damage from surgically-induced spinal cord  compression, distraction, or derotation of the spinal col­ umn or spinal cord ischemia can be reversible if corrective  actions are taken in a timely manner. Therefore, it is impor­ - somatosensory, or visual) or central (transcranial magnetic  stimulation) stimuli. In contrast to the EEG, where spontane­ ous cortical activity is recorded, the EPs monitor the integrity  of central and peripheral tracts. The EP signals are quantified  according to latency and amplitude. In the absence of periph­ eral or cervical dysfunction, the bilateral absence of the N20  somatosensory EP response to median-nerve stimulation is  the most reliable predictor of non-awakening in post-anoxic  coma, whereas the preservation of cognitive evoked poten­ tials (CEP) predicts awakening with a very high probability,  irrespective of coma etiology.93,99 After TBI, impairment of  brainstem activity is the best predictor of bad outcome.93  MULTIMODALITY NEUROMONITORING</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</si>
  <si>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</si>
  <si>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</si>
  <si>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</si>
  <si>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</si>
  <si>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</si>
  <si>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</si>
  <si>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"Since all the options are from the same class of inhalational anesthetics, the accuracy in delivering sevoflurane will depend on the design and calibration of the vaporizer. Isoflurane vaporizers are designed to be more accurate in delivering sevoflurane concentrations, making option D the correct answer."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</si>
  <si>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</si>
  <si>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</si>
  <si>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</si>
  <si>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</si>
  <si>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</si>
  <si>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</si>
  <si>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"You decide to avoid using bupivacaine because it is recognized as being the most cardiotoxic among the options, making it a less desirable choice for an interscalene block." }</t>
  </si>
  <si>
    <t>unclear whether the analgesic effect of the local anesthetic  and opioid in epidural analgesia is additive or synergistic.  The choice of local anesthetic for CEI varies. In general,  bupivacaine or ropivacaine is chosen because of the differ­ ential and preferential clinical sensory blockade with mini­ mal impairment of motor function. Concentrations used for  postoperative epidural analgesia are lower than those used  for intraoperative anesthesia. The choice of opioid also var­ ies, although many clinicians prefer a lipophilic opioid (e.g.,  fentanyl, sufentanil) to allow rapid titration of analgesia.93  Use of a hydrophilic opioid (morphine, hydromorphone)  as part of a local anesthetic-opioid epidural analgesic regi­ - of lidocaine versus mepivacaine for spinal anesthesia in patients  undergoing outpatient orthopedic arthroscopic procedures. J Clin  Anesth. 2012;24(2):109–115. _x0001_161._x0001_ _x0007_Smith HS, Carpenter RL, Bridenbaugh LD. Failure rate of tetracaine  spinal anesthesia with and without epinephrine. Anesthesiology.  1986;65:A193. _x0001_162._x0001_ _x0007_Abouleish E. Epinephrine improves the quality of spinal anesthesia of  bupivacaine. Anesthesiology. 1986;65:A375. _x0001_163._x0001_ _x0007_Caldwell C, Nielsen C, Baltz T, et al. Comparison of high-dose epi­ nephrine and phenylephrine in spinal anesthesia with tetracaine.  Anesthesiology. 1985;62(6):804–807.</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</si>
  <si>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</si>
  <si>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</si>
  <si>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</si>
  <si>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</si>
  <si>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</si>
  <si>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</si>
  <si>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is markedly reduced in the supine position because when a person lies down, their diaphragm and chest muscles relax, leading to a decrease in lung volume and a reduction in FRC." }</t>
  </si>
  <si>
    <t>a cranial displacement, except in severe obstructive lung  disease. Although the anatomic components of reduced  FRC are debatable, the mechanism appears to be related  to loss of respiratory muscle tone. FRC is maintained by a  balance of the forces inward (lung recoil) versus forces out­ ward (chest wall recoil, chest wall muscles, diaphragm). For  example, maintenance of muscle tone using ketamine as the  anesthetic does not reduce FRC.89 Because patients are usu­ ally supine, the FRC will already have been reduced, and in  elderly patients, this is particularly the case; in this context,  the effects of anesthesia are more marked (see Fig. 13.9). As  can be seen in the figure, FRC decreases with age assuming  that weight does not change.  Compliance and Resistance of the Respiratory  System - to a lowered functional residual capacity (FRC). The decreased venti­ lated volume (atelectasis and airway closure) can contribute to reduced  compliance (CL). Decreased airway dimensions by the lowered FRC can  contribute to increased airway resistance (Raw). Fig. 13.14  Computed tomography with transverse exposures of the  chest when the subject is awake (upper panel) and anesthetized (lower  panel). In the awake condition, the lung is well aerated (radiations from  a pulmonary artery catheter are seen in the heart). During anesthesia,  atelectasis has developed in the dependent regions (grey/white irregu­ lar areas). The large grey/white area in the middle of the right lung field  is caused by a cranial shift of the diaphragm and the underlying liver. Fig. 13.15  A three-dimensional reconstruction of the thorax of an</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</si>
  <si>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</si>
  <si>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</si>
  <si>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</si>
  <si>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</si>
  <si>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</si>
  <si>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</si>
  <si>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"Isoflurane is adsorbed by soda lime in the circle absorber, which reduces its partial pressure and concentration in the fresh gas stream, making it lower than the inspired partial pressure." }</t>
  </si>
  <si>
    <t>Delivering an inhaled anesthetic agent to patients is analo­ gous to an intravenous drug infusion with two major dif­ ferences: (1) entry of drug into the body is via transalveolar  exchange from gas to blood, and (2) clearance is mostly  via the same route. Thus inhaled anesthetic delivery is  dependent on pulmonary ventilation, whereas uptake and  clearance of inhaled anesthetics are also dependent on pul­ monary perfusion. Upstream and Downstream Compartments and  Anesthetic Transfer: Bulk Flow and Pressure  Gradients Uptake and distribution of inhaled anesthetic can be readily  understood as a series of transfer steps from upstream com­ partments with high partial pressure to downstream com­ partments with low partial pressure as depicted in Fig. 20.2.  First, drug is transferred from an anesthesia delivery device,</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</si>
  <si>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</si>
  <si>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</si>
  <si>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</si>
  <si>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</si>
  <si>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</si>
  <si>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</si>
  <si>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onset of anesthetic effects by increasing the amount of anesthetic that is taken up by the brain and other tissues, whereas the other options listed decrease the rate of onset by reducing the amount of anesthetic that reaches the brain and other tissues."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</si>
  <si>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</si>
  <si>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</si>
  <si>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</si>
  <si>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</si>
  <si>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</si>
  <si>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</si>
  <si>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meaning it is a delayed complication that may not be immediately apparent, but rather develops over time." }</t>
  </si>
  <si>
    <t>(dyspnea, cough, orthopnea) _x0001_□_x0001_ _x0007_Elevated brain natriuretic  peptide (BNP) _x0001_□_x0001_ _x0007_Elevated central venous  pressure (CVP) _x0001_□_x0001_ _x0007_Evidence of left heart failure _x0001_□_x0001_ _x0007_Evidence of positive fluid  balance _x0001_□_x0001_ _x0007_Radiographic evidence of  pulmonary edema No evidence of acute lung injury  prior to transfusion AND  ALI onset during or within 6 h of  cessation of transfusion AND  Hypoxemia defined by any of  these methods _x0001_□_x0001_ _x0007_PaO2/FiO2 less than or equal to  300 mm Hg _x0001_□_x0001_ _x0007_Oxygen saturation less than 90%  on room air _x0001_□_x0001_ _x0007_Other clinical evidence AND Radiographic evidence of bilateral  infiltrates without evidence - as the BLUE-protocol to differentiate between pulmonary  pathologies in critically ill patients.215,216,219 For example,  a COPD exacerbation would be characterized by relatively  normal lung ultrasound. In comparison, cardiogenic pul­ monary edema from congestive heart failure would be  dominated by increased B-lines from interstitial edema and  pleural effusions. Pneumonia and ARDS on ultrasound  may be characterized by increased B-lines, consolidation,  and decreased lung sliding due to exudative adhesions.220  A recent meta-analysis suggests that ultrasound can accu­ rately diagnose pneumonia; however, further research  needs to be performed on the broader use of POCUS with  alveolar and interstitial disease. Its use is a Grade 2B rec­ ommendation.203,221 See Figs. 83.2A-D for examples of the</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</si>
  <si>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</si>
  <si>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</si>
  <si>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</si>
  <si>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</si>
  <si>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</si>
  <si>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</si>
  <si>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number of calories required to raise the temperature of 1 gram of a substance by 1 degree Celsius. This means that it is a measure of how much heat energy is needed to cause a small change in the temperature of a substance."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</si>
  <si>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</si>
  <si>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</si>
  <si>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</si>
  <si>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</si>
  <si>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</si>
  <si>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</si>
  <si>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long-term adaptation to chronic pressure overload, which is not a mechanism for compensating for low cardiac output in the short-term setting of heart failure." }</t>
  </si>
  <si>
    <t>in the face of poor myocardial function. Treatments for heart failure attempt to correct many of  the neurohumoral responses, and many have been shown  to improve long-term prognosis in heart failure. In the  perioperative phase, they may bring challenges to fluid  management, including chronic volume depletion, blunt­ ing of normal sympathetic responses, and electrolyte dis­ turbances. They include β-adrenoreceptor antagonists,  diuretics, digoxin, and antagonists of aldosterone and  angiotensin. Perioperative fluid therapy in patients with heart fail­ ure has two goals. The first is to preserve cardiac output,  bearing in mind the influence of preload, contractil­ ity, and afterload. The ventricles are typically poorly  compliant and require adequate preload, which may be - 8. Should aspirin be continued perioperatively? 9. What can happen if aspirin is stopped abruptly? 10. What percentage of patients with compensated versus decompensated heart failure will have perioperative cardiac complications? 11. What are the main types of heart failure? 12. What are the common causes of systolic and diastolic dysfunction? 13. What finding on an ECG would suggest diastolic dysfunction? 14. For patients with heart failure, which symptoms should prompt echocardiographic evaluation preoperatively? 15. What further evaluation does a patient with heart failure symptoms at rest (decompensated failure or Class IV) need beyond an echocardiogram? 16. Is there a benefit of routine perioperative evaluation of left ventricular (LV) function before surgery?</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</si>
  <si>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</si>
  <si>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</si>
  <si>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</si>
  <si>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</si>
  <si>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</si>
  <si>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</si>
  <si>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preventing incorrect yoke-tank connections." }</t>
  </si>
  <si>
    <t>gas supply lines to the anesthesia workstation. The Pin Index Safety System (PISS) is designed  to prevent incorrect gas cylinder connections in the anesthesia workstation. Quick coupling  systems may be utilized to connect to the central gas supply. No system is immune to miscon­ nection.  □ _x0007_In the event of hospital pipeline crossover or contamination, two actions must be taken:  the  backup oxygen cylinder valve must be opened, and the wall supply sources must be discon­ nected. Otherwise, the suspect hospital pipeline gas will continue to flow to the patient.  □ _x0007_The oxygen flush valve provides a high flow of 100% oxygen directly to the patient’s breathing  circuit, allowing the anesthesia provider to overcome circuit leaks or to rapidly increase inspired  oxygen concentration. Improper use can be associated with barotrauma or patient awareness.  □ _x0007_When using nitrous oxide, there is a risk of delivering a hypoxic mixture to the patient. “Fail-</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</si>
  <si>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</si>
  <si>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</si>
  <si>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</si>
  <si>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</si>
  <si>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</si>
  <si>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</si>
  <si>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has end-stage renal disease, which is often accompanied by anemia, a common laboratory abnormality in patients with chronic kidney disease." }</t>
  </si>
  <si>
    <t>deficient heat exchange, hypofunction of the sympathetic  nervous system is often accompanied by renal amyloido­ sis. Thus electrolyte and intravascular fluid volume status  should be assessed preoperatively. Because many of these  patients have cardiac abnormalities, cardiac function and  intravascular volume status may require invasive assess­ ment with echocardiography, central venous catheter, or  a pulmonary artery catheter per the treating physician’s  discretion. Because the functioning of the sympathetic nervous sys­ tem is not predictable in these patients, slow and controlled  induction of anesthesia and treatment of sympathetic  excess or deficiency should be initiated through titratable  direct-acting  vasodilators  (nicardipine/nitroprusside), - preoperative evaluation should determine the presence and  severity of comorbidities associated with cirrhosis, includ­ ing HE, pulmonary disease, cardiac disease, and renal dys­ function (see previous discussion). Preoperative laboratory  evaluation should include a complete blood count to evalu­ ate for anemia, thrombocytopenia, and leukocytosis. Addi­ tionally, INR, fibrinogen, serum electrolytes, creatinine,  glucose, transaminases, bilirubin, and albumin should be  measured.  Anesthetic Considerations for Procedures  Involving the Liver Transjugular Intrahepatic Portosystemic Shunt. TIPS  placement is a catheter-based, endovascular procedure dur­ ing which a shunt is created between the portal and hepatic</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</si>
  <si>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</si>
  <si>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</si>
  <si>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</si>
  <si>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</si>
  <si>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</si>
  <si>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</si>
  <si>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"E",   Explain: "After a heart transplant, the transplanted heart does not increase cardiac output with increased preload due to the loss of the Frank-Starling mechanism, which is the ability of the heart to increase cardiac output in response to increased venous return. This is because the transplanted heart is not innervated and does not have the same autonomic nervous system regulation as a native heart." }</t>
  </si>
  <si>
    <t>Cerebrospinal fluid (CSF) flows through all of the following EXCEPT the</t>
  </si>
  <si>
    <t>A. arachnoid villi</t>
  </si>
  <si>
    <t>B. cerebral ventricle</t>
  </si>
  <si>
    <t>C. lateral ventricle</t>
  </si>
  <si>
    <t>D. subarachnoid space</t>
  </si>
  <si>
    <t>E. epidural space</t>
  </si>
  <si>
    <t>{   "Answer": "E",   Explain: "The epidural space is a potential space outside the dura mater, and CSF does not flow through it."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</si>
  <si>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</si>
  <si>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</si>
  <si>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</si>
  <si>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</si>
  <si>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</si>
  <si>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</si>
  <si>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because it blocks calcium channels in the AV node, slowing down the transmission of electrical impulses from the atria to the ventricles, thereby decreasing the heart rate." }</t>
  </si>
  <si>
    <t>blockers; slow AV  node conduction  and increase AV  node refractoriness;  vasodilators,  negative inotropes  □ _x0007_Stable, narrow- complex tachycardias  if rhythm remains  uncontrolled or  unconverted by  adenosine or vagal  maneuvers or if SVT _x0007_is recurrent  □ _x0007_Control ventricular  rate in patients with  atrial fibrillation or  atrial flutter Diltiazem: Initial dose 15-20 mg  (0.25 mg/kg) IV over 2 min;  additional 20-25 mg  (0.35 mg/kg) IV in 15 min if  needed; 5-15 mg/h IV  maintenance infusion (titrated - fibrillation or flutter), it is reasonable to use longer-acting  AV nodal blocking agents, such as the nondihydropyri­ dine calcium channel blockers (verapamil and diltiazem)  or β-blockers. Treatable causes of VT should always be sought before or  during pharmacologic or electrical interventions. Hypox­ emia, hypercapnia, hypokalemia or hypomagnesemia (or  both), digitalis toxicity, and acid-base derangements are  obvious causes for VT and should be quickly evaluated and  corrected if present. If antiarrhythmic therapy is pursued,  procainamide, amiodarone, or sotalol are recommended.  Importantly, only one drug should be administered; a sec­ ond drug should not be added without expert consultation.</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</si>
  <si>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</si>
  <si>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</si>
  <si>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</si>
  <si>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</si>
  <si>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</si>
  <si>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</si>
  <si>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"Leave the vaporizer setting at 'off' and press the oxygen flush valve for 10 minutes to ensure that any liquid anesthetic agent is flushed out of the vaporizer."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</si>
  <si>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</si>
  <si>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</si>
  <si>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</si>
  <si>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</si>
  <si>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</si>
  <si>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</si>
  <si>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This is because patients with a history of bradycardia are more likely to experience a further decrease in heart rate following the administration of a sympathetic blockade by the anesthetic."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</si>
  <si>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</si>
  <si>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</si>
  <si>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</si>
  <si>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</si>
  <si>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</si>
  <si>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</si>
  <si>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"Proceed with giving 40 mEq of potassium by mouth before starting the procedure to ensure the patient's potassium levels are stable and within a normal range." }</t>
  </si>
  <si>
    <t>for equilibration of fluid and electrolyte compartments and  time for dialysis anticoagulants to be metabolized. Electro­ lytes should be checked on the morning of surgery; sam­ pling too soon after dialysis, before equilibration, may give  an artificially low K+ result leading to unnecessary exog­ enous supplementation. Conversely, fasting may actu­ ally favor a hyperkalemic state as a result of the reduced  presence of insulin; the ideal K+ value after dialysis is in  the low-to-normal range. For emergency surgery, there  may not be sufficient time to safely dialyze patients pre­ operatively. In this case, electrolyte abnormalities must  be managed conservatively, with particular care paid to  intraoperative fluid balance. As with other major comorbidities with a critical impact - urgency of the operation, the degree of electrolyte abnor­ mality, the medications given, the acid-base balance, and  the suddenness or persistence of the electrolyte disturbance  are all considerations. For example, a small study of patients  undergoing vascular access procedures with preoperative  potassium levels of higher than 6 mmol/L demonstrated no  adverse outcomes.347 Similarly, in a cohort study in which  38 patients had a preoperative potassium level higher than  5.5 mEq/L, no dysrhythmias or major morbidity were asso­ ciated with the use of succinylcholine.348 Retrospective epidemiologic studies attribute significant  risk to the administration of potassium (even long-term  oral administration).344 In one study, 1910 of 16,048 con­ secutive hospitalized patients were given oral potassium</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</si>
  <si>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</si>
  <si>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</si>
  <si>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</si>
  <si>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</si>
  <si>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</si>
  <si>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</si>
  <si>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because the epidural space is not directly connected to the intracranial cavity, making it an indirect and unreliable method for measuring ICP." }</t>
  </si>
  <si>
    <t>used to measure the intracranial pressure. The external ventricular device has the additional advantage of also allowing for drainage of cerebral spinal fluid. (480) 36. Before direct laryngoscopy and intubation of the trachea, there are several measures that can be taken to attenuate increases in arterial blood pressure and intracranial pressure. Neuromuscular blockade should be confirmed with a peripheral nerve stimulator. This ensures that dangerous rises in intracranial pressure due to coughing or bucking in response to direct laryngoscopy do not occur. The administration of an additional dose of propofol, thiopental, opioids, deeper levels of a volatile agent, a bolus of intravenous lidocaine, or a short-acting b-adrenergic antagonist (e.g., esmolol) prior to direct laryngoscopy are all methods that may</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</si>
  <si>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</si>
  <si>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</si>
  <si>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</si>
  <si>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</si>
  <si>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</si>
  <si>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</si>
  <si>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which is stated in the equation: PA = (nA/ntotal) Ptotal = (v/v%) Ptotal. This means that the partial pressure of a gas is directly related to its proportion in the mixture, whether measured by mole fraction or volume percent." }</t>
  </si>
  <si>
    <t>sures, where the individual pressures (Pi) exerted by  each of the constituent gases are referred to as partial  pressures:57,58 _x0001_ Ptotal = P1 + P2 + P3 + … Another useful expression, which can be derived by com­ bining Dalton’s law with the ideal gas law, is: _x0001_ PA = (nA/ntotal) Ptotal = (v/v%) Ptotal which states that the partial pressure of gas A can be cal­ culated by multiplying the total pressure of the mixture by  the mole fraction (nA/ntotal), or the volume percent (v/v%),  of gas A. The volume percent tends to be more useful in day- to-day anesthesia practice (see below). As a first step to understanding vaporizer function, it - Expressing Gas Concentrations and Minimum Alveo­ lar Concentration. When describing a mixture of gases, we  can quantify the proportion of an individual gas by either its  partial pressure (mm Hg), or by the percentage of volume occu­ pied by the gas relative to the sum of all gases present, which  is known as volume percent or volume-volume percent (v/v%)62: _x0001_ Volume percent(v/v%) = (volume of gas x/         total gas volume) * 100% The volume that an ideal gas occupies at a given tem­ perature and pressure is related to the number of molecules  of gas present, but not the size or identity of the molecules.  This statement is known as the Avogadro Hypothesis. Using  the ideal gas law, it is easy to calculate that at 1 atm (760</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</si>
  <si>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</si>
  <si>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</si>
  <si>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</si>
  <si>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</si>
  <si>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</si>
  <si>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</si>
  <si>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is a dopamine antagonist, which means it blocks the action of dopamine in the brain, leading to its therapeutic effects, such as reducing nausea and vomiting." }</t>
  </si>
  <si>
    <t>nists (α2) (dexmedetomidine, clonidine); opioid-acting drugs at opioid receptor (morphine, alfentanil, fentanyl, sufentanil, and remifentanil); dopamine  at dopamine antagonists (droperidol, metoclopramide); sodium (Na+) channel blockers (lidocaine, bupivacaine); and anesthetic gases. The right upper  half of the grid (above the thick diagonal) summarizes the interactions for the endpoint of immobility; the left lower half (below the thick diagonal) sum­ marizes the interactions for the endpoint of hypnosis. Synergy is coded as green, additivity as yellow, and infra-additivity as dark orange. The number  refers to the number of studies attesting to a particular interaction; if one study documents two interactions (e.g., isoflurane with both fentanyl and</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</si>
  <si>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</si>
  <si>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</si>
  <si>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</si>
  <si>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</si>
  <si>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</si>
  <si>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</si>
  <si>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a genetic disorder that primarily affects the respiratory, digestive, and reproductive systems, but it does not typically cause liver cirrhosis. The other options, hemochromatosis, α1-antitrypsin deficiency, and Wilson disease, are all known to cause liver cirrhosis, making them more likely causes in this patient."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</si>
  <si>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</si>
  <si>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</si>
  <si>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</si>
  <si>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</si>
  <si>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</si>
  <si>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</si>
  <si>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usually associated with decreased blood volume and blood pressure." }</t>
  </si>
  <si>
    <t>For example, preoperative infection, contrast radiologic studies, or hepatic dysfunction may put patients at risk for decompensation of renal function from intravascular volume depletion intraoperatively. In the PACU, diagnostic efforts should focus on the identification and treatment of readily reversible causes of oliguria. (642) 41. Oliguria is defined as a urine output of less than 0.5 mL/kg/hr. Postoperative oliguria may be due to prerenal, renal, or postrenal causes. Prerenal causes include hypovolemia due to bleeding, sepsis, third space fluid loss, inadequate volume resuscitation, hepatorenal syndrome, low cardiac output, renal vascular obstruction, or intraabdominal hypertension. Intrarenal causes include acute</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</si>
  <si>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</si>
  <si>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</si>
  <si>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</si>
  <si>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</si>
  <si>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</si>
  <si>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</si>
  <si>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and was treated with intracoronary stents, but has since recovered and is able to play tennis regularly without angina or shortness of breath, indicating a low risk of cardiac complications. He would be categorized as ASA Physical Status II, which is the classification for a patient who is healthy and has no significant underlying medical conditions." }</t>
  </si>
  <si>
    <t>cardiac surgery soon after coronary stenting. J Am Coll Cardiol.  2000;35:1288–1294. _x0001_ 129._x0001_ _x0007_Wilson SH, Fasseas P, Orford JL, et al. Clinical outcome of patients  undergoing non-cardiac surgery in the two months following coro­ nary stenting. J Am Coll Cardiol. 2003;42:234–240. _x0001_ 130._x0001_ _x0007_Vicenzi MN, Meislitzer T, Heitzinger B, et al. Coronary artery stent­ ing and non-cardiac surgery: a prospective outcome study. Br J  Anaesth. 2006;96:686–693. _x0001_ 131._x0001_ _x0007_Leibowitz D, Cohen M, Planer D, et al. Comparison of cardiovascu­ lar risk of noncardiac surgery following coronary angioplasty with  versus without stenting. Am J Cardiol. 2006;97:1188–1191.</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</si>
  <si>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</si>
  <si>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</si>
  <si>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</si>
  <si>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</si>
  <si>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</si>
  <si>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</si>
  <si>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should be stopped before surgery due to its potential to prolong QT interval and increase the risk of arrhythmias in patients with heart disease."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</si>
  <si>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</si>
  <si>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</si>
  <si>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</si>
  <si>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</si>
  <si>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</si>
  <si>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</si>
  <si>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which is critical to the blood supply of the lower two thirds of the spinal cord." }</t>
  </si>
  <si>
    <t>the spinal cord. (260, Figure 17-13) 24. The anterior spinal artery receives branches from the intercostal and iliac arteries, but these branches are variable in number and location. The largest anastomotic link, the radicularis magna (artery of Adamkiewicz), arises from the aorta in the lower thoracic or upper lumbar region. The vessel is highly variable but, most commonly, is on the left and enters the vertebral canal through the L1 intervertebral foramen. The artery of Adamkiewicz is critical to the blood supply of the lower two thirds of the spinal cord, and damage to it will produce characteristic bilateral lower extremity motor loss (anterior spinal artery syndrome). (260, Figure 17-13) PREOPERATIVE PREPARATION 25. Relevant complications that should be discussed with the patient include (1) those - spinal cord. The spinal cord blood supply is from two posterior arteries and one anterior spinal artery. The greatest contributor to the blood supply of the anterior spinal artery is the artery of Adamkiewicz, whose origin is between T9 and T12 in 75% of patients. The anterior spinal artery supplies the motor tracts in the spinal cord. Mechanisms employed to reduce the risk of spinal cord ischemia include cerebrospinal fluid drainage, intrathecal papaverine injection, naloxone administration, barbiturate administration, hypothermia, and partial bypass. Hypothermia is believed to be the most effective method of neuroprotection through its effects of decreasing oxygen requirements. Cerebrospinal fluid drainage is thought to improve spinal cord perfusion because the spinal cord perfusion pressure is the distal mean aortic pressure minus the cerebrospinal fluid pressure. - aortic dissection, emboli, covering of large segments of  the thoracoabdominal aorta by endovascular stents,  and surgical dissection during repair of thoracoabdomi­ nal aortic aneurysm (TAAA). The clinical presentation  of the syndrome will depend on the spinal cord tracts  and the level of cord injury. Classically, the anterome­ dial portion of the cord which contains the corticospi­ nal and the corticobulbar tracts receives blood supply  only from the anterior spinal artery, leading to motor  paralysis below the level of injury if this supply is dis­ rupted. The anterolateral aspect of the cord contains the  Fig. 56.13  Customized fenestrated stent-graft. (Modified from</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</si>
  <si>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</si>
  <si>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</si>
  <si>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</si>
  <si>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</si>
  <si>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</si>
  <si>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</si>
  <si>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because it depends on the strength of intermolecular forces between the molecules, which changes with temperature." }</t>
  </si>
  <si>
    <t>Carbon monoxide diffusion capacity (DLCO) will decrease with</t>
  </si>
  <si>
    <t>A. smoking within 24h of the test</t>
  </si>
  <si>
    <t>B. exercise</t>
  </si>
  <si>
    <t>C. pulmonary fibrosis</t>
  </si>
  <si>
    <t>D. increased hemoglobin</t>
  </si>
  <si>
    <t>E. congestive heart failure</t>
  </si>
  <si>
    <t>{   "Answer": "A",   Explain: "Twelve to twenty-four hours after the cessation of cigarette smoking, there are significant decreases in the carboxyhemoglobin level and a decrease in nicotine-induced tachycardia, which can affect the carbon monoxide diffusion capacity (DLCO) test." }</t>
  </si>
  <si>
    <t>hypersecretion, and decreases mucociliary transport. Carbon monoxide may also have negative inotropic effects. The net effect of this for patients scheduled to undergo thoracic surgery is an increase in the incidence of complications in the postoperative period. (433, 436) 48. There are many benefits of the preoperative cessation of cigarette smoking. Twelve to twenty-four hours after the cessation of cigarette smoking, there are significant decreases in the carboxyhemoglobin level and a decrease in nicotine-induced tachycardia. The oxyhemoglobin dissociation curve shifts to the right, making more oxygen available at the tissues. One to two weeks after the cessation of cigarette smoking,therebeginstobeadecreaseintheamountofmucussecretionsintheairways; 8 to 12 weeks after the cessation of cigarette smoking, there is marked improvement in - associated with increased morbidity. A decrease in oxygen consumption, less than 10 mL/kg/min as measured by exercise testing, predicts a postoperative mortality rate of 25% to 50% and should prompt discussion of alternatives to surgical resection. (436-37, Figure 27-2) 51. The lung has 42 segments (22 segments on the right and 20 segments on the left). Depending on the number of segments of the lung that will be resected, an estimate of the postoperative FEV1 can be obtained. Predicted postoperative FEV1 (PPO FEV1) ¼ Preoperative FEV1 _x0001_ (1 _x0001_ % functional lung tissue removed/100). A PPO FEV1 of less than 40% is associated with poor outcomes. Similar to FEV1, the DLCO estimate, based on the number of lung segments to be resected, is the - 1._x0001_ _x0007_Review initial assessment and test results _x0001_2._x0001_ _x0007_Assess difficulty of lung isolation: examine chest radiograph  and computed tomographic scan _x0001_3._x0001_ _x0007_Assess risk of hypoxemia during one-lung ventilation BOX 53.6  Final Preanesthetic Assessment  for Thoracic Surgery _x0001_1._x0001_ _x0007_All patients: assess functional capacity, spirometry, discuss  postoperative analgesia, discontinue smoking _x0001_2._x0001_ _x0007_Patients with ppoFEV1 or DLCO &lt; 60%: exercise test _x0001_3._x0001_ _x0007_Cancer patients: consider the 4 Ms: mass effects, metabolic  effects, metastases, medications _x0001_4._x0001_ _x0007_COPD patients: arterial blood gas, physiotherapy, bronchodila­ tors _x0001_5._x0001_ _x0007_Increased renal risk: measure creatinine and blood urea nitro­ gen levels BOX 53.5  Initial Preanesthetic Assessment</t>
  </si>
  <si>
    <t>A local anesthetic that inhibits the reuptake of norepinephrine is</t>
  </si>
  <si>
    <t>A. procaine</t>
  </si>
  <si>
    <t>B. cocaine</t>
  </si>
  <si>
    <t>C. bupivacaine</t>
  </si>
  <si>
    <t>D. mepivacaine</t>
  </si>
  <si>
    <t>E. lidocaine with epinephrine</t>
  </si>
  <si>
    <t>{   "Answer": "B",   Explain: "Cocaine inhibits the reuptake of norepinephrine, making it a unique local anesthetic that can cause vasoconstriction and increase blood pressure." }</t>
  </si>
  <si>
    <t>solution used for epidural anesthesia? 114. For which local anesthetics is sodium bicarbonate commonly used as an additive? 115. How does lipophilicity affect the choice of opioids used for epidural administration? 116. What are some potential causes of failure of an epidural block? 117. What are the options for managing a failed epidural block? 118. What is the major site of action of local anesthetics administered epidurally? 119. How do the risks of epidural anesthesia compare with that of spinal anesthesia? 120. What are the commonly used management options following a “wet-tap”? MILLER’S ANESTHESIA REVIEW 158 66485457-66485438                 www.ketabpezeshki.com</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</si>
  <si>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</si>
  <si>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</si>
  <si>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</si>
  <si>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</si>
  <si>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</si>
  <si>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</si>
  <si>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"α-adrenergic blockade is instituted at the same time as β-adrenergic blockade to control hypertension and tachycardia, and to normalize intravascular volume status, thereby mitigating perioperative risks." }</t>
  </si>
  <si>
    <t>mitigate perioperative risks. The overarching goals of this  preparation are to control hypertension, control tachycar­ dia, and normalization of intravascular volume status. The  mainstay of medical therapy is preoperative α-adrenergic  blockade started 7 to 14 days before surgery.290 The pre­ ferred drug at many centers is phenoxybenzamine, which is  an irreversible, long-acting, nonspecific α-adrenergic block­ ing drug. The initial dose is 10 mg once or twice daily, and  the dose is increased by 10 to 20 mg every 2 to 3 days as  needed. Most patients eventually need doses ranging from  20 to 100 mg daily. The arterial blood pressure target is  less than 130/80 mm Hg in the seated position, with sys­ tolic pressure less than 90 mm Hg while standing. Typical - usually identified at the preoperative evaluation and can be  treated before surgery is scheduled. Delaying surgery until  hypertension is controlled is unlikely to be beneficial.71 Patients with known hypertension should continue to  take their chronic medication, especially β-adrenergic block­ ers. β-Adrenergic blockers should not be abruptly stopped,72  and it may be more likely that they will be unintentionally  omitted if patients are advised to take all of their cardiac  medications up to and including the day of surgery.73 Con­ troversy surrounds angiotensin-converting enzyme inhibi­ tors (ACEIs) and angiotensin receptor blockers (ARBs). It  has been considered “reasonable”74 to continue these, as  any hypotension after induction of anesthesia is usually  transient and responds to intravenously administered flu­ - should also be evaluated before and during surgery. (581) 11. Preoperative ischemic heart disease should be ruled out preoperatively. Stress echocardiography is probably better than thallium imaging in predicting postoperative cardiac events. Coronary angiography should be considered in high-risk patients. (581) 12. The usual general anesthetic regimen for renal transplant procedures is balanced anesthesia: a combination of volatile anesthetic and short-acting opioid. Nitrous oxide is avoided because it causes bowel distention. (582) 13. When selecting a neuromuscular blocking (NMB) drug, consideration should be given to the method of clearance. A NMB that does not rely primarily on renal clearance should be selected. Cisatracurium is particularly attractive because its metabolism is independent of both the kidney and liver. (582) - therapy, including β-adrenergic blockers, hydralazine,  nitrates, and digoxin, should be continued preoperatively.  Loop diuretics (e.g., furosemide) can be continued on the  day of surgery for most procedures since this strategy does  not increase risks of intraoperative hypotension or adverse  cardiac events.166 The exception is lengthy high-risk proce­ dures with projected significant blood loss or fluid require­ ments, in which potent diuretics should be held on the  morning of surgery. Since ACEI and ARB administration  within 24 hours before surgery is associated with increased  risks of intraoperative hypotension,85 and postoperative  myocardial injury,86 it is reasonable to withhold these med­ ications for 24 hours before surgery, provided that they are  restarted postoperatively once patients are hemodynami­</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</si>
  <si>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</si>
  <si>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</si>
  <si>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</si>
  <si>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</si>
  <si>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</si>
  <si>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</si>
  <si>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early and rapid conduction of electrical activity through the abnormal accessory pathway." }</t>
  </si>
  <si>
    <t>ing automatic and reentry forms), multifocal atrial tachy­ cardia, and junctional tachycardia. Wide–QRS-complex  tachycardias (QRS ≥ 0.12 second) include VT and VF, SVT  with aberrancy, preexcited tachycardias (Wolff-Parkinson- White syndrome), and ventricular-paced rhythms. Because hypoxemia is a common cause of tachycardia,  initial evaluation of any patient with tachycardia, simi­ lar to those with bradycardia, should focus on identifying  signs of increased work of breathing and oxygen saturation.  Patients should be closely monitored and supplemental  oxygen provided. A 12-lead ECG better defines the rhythm,  but the process should not delay immediate cardioversion if  the patient is unstable. If signs and symptoms persist despite provision of supple­ - ventricular premature beat on an electrocardiogram? 81. When do premature ventricular beats warrant treatment? How are they treated under these circumstances? 82. What may be some causes of ventricular premature beats? 83. When is ventricular tachycardia diagnosed? How can it be treated? 84. What are preexcitation syndromes? 85. What is Wolff-Parkinson-White (WPW) syndrome? What is the incidence of WPW syndrome in the general population? How is it characterized on the electrocardiogram? 86. What is the most common cardiac dysrhythmia associated with WPW syndrome? How can it be treated? 87. What is the goal of the anesthetic management of a patient with WPW syndrome? 88. What are the various methods by which paroxysmal atrial tachycardia or</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</si>
  <si>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</si>
  <si>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</si>
  <si>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</si>
  <si>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</si>
  <si>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</si>
  <si>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</si>
  <si>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but it does not liberate histamine at all dose levels or infusion rates." }</t>
  </si>
  <si>
    <t>at all, as long as they are no larger than the original dose.  This is clinical evidence of tachyphylaxis, an important  characteristic of histamine release. A much more signifi­ cant degree of histamine release occurs during anaphylac­ toid or anaphylactic reactions, but these are very rare.  Clinical Cardiovascular Manifestations  of Autonomic Mechanisms Hypotension.  The hypotension seen with the use of  atracurium and mivacurium results from histamine  release, whereas dTc causes hypotension by histamine  release and ganglionic blockade.185,186 The effects of dTc  occur closer to the dose required to achieve neuromuscu­ lar blockade.113 The safety margin for histamine release  is approximately three times greater for atracurium and</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</si>
  <si>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</si>
  <si>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</si>
  <si>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</si>
  <si>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</si>
  <si>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</si>
  <si>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</si>
  <si>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"Cyclic AMP inhibits platelet glycoprotein IIb/IIIa receptor activation, so it is not activated by cyclic AMP." }</t>
  </si>
  <si>
    <t>abciximab, eptifibatide, tirofiban) exert profound effects on  platelet aggregation. Following administration, the time to  restoration of normal platelet aggregation is 24 to 48 hours  for abciximab, and 4 to 8 hours for eptifibatide and tirofi­ ban. Neuraxial techniques should be avoided until platelet  function has recovered after platelet glycoprotein IIb/IIIa  inhibitor administration.196  NEUROLOGIC DISEASE The preoperative history in a patient with neurologic dis­ ease should focus on recent exacerbations, prior investi­ gations, and therapy (both current and prior). The basic  neurologic examination should evaluate mental status,  speech, cranial nerves, gait, motor function, and sensory  function. This baseline determination also allows for com­ - phate [ADP] receptor inhibitors and glycoprotein IIb/IIIa  [Gp IIb/IIIa] receptor inhibitors). Patients with a history of  peripheral vascular disease, valvular heart disease, or low  ventricular ejection states can similarly be managed with  some form of antithrombotic therapy that may also include  warfarin. Frequently, patients arrive for surgery while  receiving multiple antithrombotic medications. Thus, post­ operative bleeding is a common but challenging complica­ tion of cardiac surgery, especially when the bleeding risk  posed by CPB itself is considered. The use of percutaneous coronary interventions such  as angioplasty and intracoronary stent deployment for  ischemic heart disease has led to the use of antithrombotic  medications to maintain stent patency and to prevent stent - TABLE 64.2  Summary of the Characteristics of Currently Available Antiplatelet Drugs Aspirin Clopidogrel Prasugrel Ticagrelor Cangrelor Abciximab Eptifibatide Tirofiban Route of  administration Oral once  daily Oral once daily, (iv  under investigation) Oral once  daily Oral twice  daily iv iv iv iv Bioavailability 68% 50% 80% 36% Plasma peak level 30-40 min 1 h 30 min 1.5 h Seconds Dose  dependent</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</si>
  <si>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</si>
  <si>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</si>
  <si>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</si>
  <si>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</si>
  <si>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</si>
  <si>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</si>
  <si>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increase cerebrospinal fluid pressure."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</si>
  <si>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</si>
  <si>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</si>
  <si>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</si>
  <si>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</si>
  <si>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</si>
  <si>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</si>
  <si>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which means it does not have a significant effect on muscle tone and relaxation." }</t>
  </si>
  <si>
    <t>kg/min thiopental plus 50% nitrous oxide or 1.1 minimum alveolar  concentration (MAC) sevoflurane, halothane, or isoflurane, or approxi­ mately 1 MAC desflurane. All volatile anesthetics except desflurane  decreased resistance. Sevoflurane decreased resistance more than iso­ flurane. (Modified from Rooke GA, Choi JH, Bishop MJ. The effect of isoflu­ rane, halothane, sevoflurane, and thiopental/nitrous oxide on respiratory  system resistance after tracheal intubation. Anesthesiology. 1997;86:1294;  and Goff MJ, Arain SR, Ficke DJ, et al. Absence of bronchodilation during  desflurane anesthesia: a comparison to sevoflurane and thiopental. Anes­ - rent (B). In contrast, the principal effects of 1 MAC isoflurane are a pro­ longation in the inhibitory current decay and a reduction in excitatory  current peak height, with little change in time course (not shown, see  Fig. 19.10). (Reprinted in modified form by permission from de Sousa SLM,  et al. Contrasting synaptic actions of the inhalational general anesthetics  isoflurane and xenon. Anesthesiology. 2000;92:1055–1066.)</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</si>
  <si>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</si>
  <si>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</si>
  <si>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</si>
  <si>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</si>
  <si>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</si>
  <si>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</si>
  <si>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apical alveoli. Instead, the alveoli throughout the lung expand uniformly as the diaphragm descends and the rib cage expands, allowing for a more even distribution of air throughout the lungs." }</t>
  </si>
  <si>
    <t>etiologic factors (cigarette smoking), evolution, and complications. (433) 27. The loss of elastic recoil may prevent the lungs to reach functional residual capacity (FRC) at end expiration as they normally would. Ending expiration at a lung volume above FRC exerts a pressure in the alveoli higher than atmospheric (which by convention we call 0 mm Hg). This pressure is often called “intrinsic positive expiratory pressure” (intrinsic PEEP) or “auto-PEEP” and just like PEEP it is related to an increased FRC. Unlike externally applied PEEP, however, intrinsic PEEP needs to be fully overcome before gas flow in the airways becomes negative and inspiration starts. This occurs at every breath and it may be taxing depending upon the magnitude of auto-PEEP and the conditions of the patient. (433) Chronic Pulmonary Disease 289</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</si>
  <si>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</si>
  <si>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</si>
  <si>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</si>
  <si>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</si>
  <si>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</si>
  <si>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</si>
  <si>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decrease the latency of somatosensory evoked potentials, but rather increases it, which is a measure of the brain's response to external stimuli." }</t>
  </si>
  <si>
    <t>References 791.e7 ­remifentanil and propofol consumption evaluated by closed-loop  titration guided by the bispectral index. A double-blind placebo-con­ trolled study. Anesth Analg. 2017;125(2):635–642. _x0001_269._x0001_ _x0007_Bataille A, Guirimand A, Szekely B, et al. Does a hypnosis session  reduce the required propofol dose during closed-loop anaesthesia  induction? A randomised controlled trial. Eur J Anaesthesiol. 2017. _x0001_270._x0001_ _x0007_Puri GD, Kumar B, Aveek J. Closed-loop anaesthesia delivery system  (CLADS) using bispectral index. A performance assessment study.  Anaesth Intensive Care. 2007;35(3):357–362. - vein, avoiding veins in the dorsum of the hand, and adding  lidocaine to the propofol solution or changing the propofol  formulation. Multiple other drugs and distraction tech­ niques have been investigated to reduce the pain on injec­ tion of propofol. Pretreatment with a small dose of propofol,  opiates, nonsteroidal anti-inflammatory drugs, ketamine,  esmolol/metoprolol, magnesium, a flash of light, clonidine/ ephedrine combination, dexamethasone, and metoclo­ pramide all have been tested with variable efficacy. Propofol infusion syndrome is a rare but lethal syndrome  associated with infusion of propofol at 4 mg/kg/h or more  for 48 hours or longer.123 Yet, cases have been reported  with smaller dosage schemes given for only 3 hours.124 It - SECTION II  •  Anesthetic Physiology 694 whereas increasing the concentration of remifentanil led to  a significant decrease of the calculated propofol effect-site  concentrations necessary for unconsciousness.152  CEREBRAL BLOOD FLOW AND CEREBRAL  METABOLIC RATE Opioids generally produce modest decreases in cerebral  metabolic rate and intracranial pressure (ICP), although  the changes are influenced by the concomitant adminis­ tration of other agents and anesthetic drugs, as well as by  the patients’ conditions. When vasodilation is produced  by coadministered anesthetics, opioids are more likely to  cause cerebral vasoconstriction. Opioids also decrease cere­ bral blood flow (CBF) when they are combined with nitrous  oxide (N2O). When opioids are administered alone or when</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</si>
  <si>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</si>
  <si>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</si>
  <si>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</si>
  <si>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</si>
  <si>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</si>
  <si>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</si>
  <si>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multiple steps in the intrinsic pathway of blood clotting, making it a useful anticoagulant." }</t>
  </si>
  <si>
    <t>thrombin, short half-time of 30 to 60 minutes, and reversibility with protamine. These characteristics of heparin therapy make it more useful for administration intraoperatively than LMWH or fondaparinux. (357) 79. Unfractionated heparin therapy needs to be closely monitored because of its unpredictable pharmacokinetics. Heparin binds to plasma proteins, macrophages, endothelial cells, and proteins released from activated platelets and endothelial cells. This variation in the available free heparin in plasma makes its necessary to monitor heparin therapy with laboratory tests. (357) 80. Unfractionated heparin has unpredictable pharmacokinetics caused by heparin binding to plasma proteins, macrophages, endothelial cells, and proteins released from activated platelets and endothelial cells. These properties - and any contact with any form of heparin, avoiding platelet  transfusions, and administering an alternative anticoagu­ lant treatment such as one of the direct thrombin inhibitors,  argatroban or bivalirudin. Argatroban is hepatically cleared  whereas bivalirudin has a component of renal elimination;  both drugs must be carefully dose-adjusted and monitored in  critically ill patients. The Maquet circuit is always heparin- bonded; it is possible to have non-heparin bonded circuitry  using the Thoratec CentriMag system. As the effect of hepa­ rin-bonded circuitry on the development or maintenance of  HITT is not well understood, if HITT is diagnosed there should  be an effort to change to a non-heparin bonded circuit.76  Weaning from Extracorporeal  Membrane Oxygenation - is necessary to minimize bleeding complications. Heparin has been suggested as a treatment option with the rationale that DIC, when primarily caused by uncontrolled coagulation, may be halted when coagulation is inhibited. This approach is also currently not supported by clinical evidence. (357) ANTICOAGULANTS, THROMBOLYTICS, AND ANTIPLATELET DRUGS 71. Perioperative thrombotic events include deep vein thrombosis, pulmonary embolism, stroke, and myocardial infarction. (357) 72. Generally, drugs against perioperative thrombotic complications either prevent (anticoagulants, antiplatelet drugs) or treat (thrombolytics) thrombus formation. Since venous thrombosis starts with activation of the coagulation cascade, it seems</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</si>
  <si>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</si>
  <si>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</si>
  <si>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</si>
  <si>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</si>
  <si>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</si>
  <si>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</si>
  <si>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the hemolytic reaction is unrelated to the volume of transfused blood, as stated in the context, which means that even a small amount of incompatible blood can cause a severe reaction." }</t>
  </si>
  <si>
    <t>packed red blood cells under these conditions is minor hemolysis of donor red blood cells and hyperbilirubinemia. In most centers, however, the need for O-negative blood is rare. Subsequent transfusions with the patient’s own blood type is usually possible and preferred. (372-373) 4. Type-specific blood refers to blood that has only been typed for the A, B, and Rh antigens. Type-specific blood testing is merely the first phase, or the immediate phase, of the crossmatch. It requires only about 5 minutes to perform. The chance of a significant hemolytic reaction with the transfusion of type-specific blood to a patient is about 1 in 1000. Type-specific blood is most frequently transfused in emergent situations in which time does not allow for a formal crossmatch. (372-373) - of unprocessed blood that can be reinfused. If transfusion  of blood has not begun within 6 hours of initiating the  Hypervolemia Bacterial contamination Hypotension Nonimmune hemolysis Immune hemolysis Febrile nonhemolytic reactions Allergic reactions Disseminated intravascular coagulation Coagulopathies Air embolus Reactions secondary to reinfusion of anticoagulants or other  contaminants Nonspecific temperature increases, chills, skin flushing, etc. BOX 49.5  Types of Adverse Reactions That  May Be Seen With Blood Transfusion from  Intraoperative Cell Salvage From Domen R. Adverse reactions associated with autologous blood  transfusion: evaluation and incidence at a large academic hospi­</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</si>
  <si>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</si>
  <si>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</si>
  <si>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</si>
  <si>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</si>
  <si>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</si>
  <si>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</si>
  <si>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complex congenital heart defect characterized by a combination of four distinct abnormalities: ventricular septal defect, pulmonary outflow obstruction, overriding aorta, and right ventricular hypertrophy." }</t>
  </si>
  <si>
    <t>□_x0001_ _x0007_Total anomalous pulmonary venous return _x0001_ □_x0001_ _x0007_Tricuspid atresia _x0001_2._x0001_ _x0007_Congenital heart lesions manifested as congestive heart failure _x0001_ □_x0001_ _x0007_Ventricular septal defect _x0001_ □_x0001_ _x0007_Patent ductus arteriosus _x0001_ □_x0001_ _x0007_Critical aortic stenosis _x0001_ □_x0001_ _x0007_Coarctation of the aorta BOX 79.1  Common Congenital Heart  Malformations in the Newborn - AS, Atrial stenosis; ASD, atrial septal defect; AV, atrioventricular; CAD, coronary artery disease; CAVC, complete atrioventricular canal; CCHB, congenital complete heart  block; CHARGE, coloboma of the eye, heart defects, atresia of the nasal choanae, restriction of growth and/or development, genital and/or urinary abnormalities,  and ear abnormalities and deafness; CHD, congenital heart disease; CoA, coarctation of the aorta; HLHS, hypoplastic left heart syndrome; LVOT O, left ventricular  outlet obstruction; MPS 1, mucopolysaccharidosis type 1; PDA, patent ductus arteriosus; PS, pulmonary stenosis; SCD, sudden cardiac death; SVAS, supraven­</t>
  </si>
  <si>
    <t>The pressure of oxygen delivered by the wall connectors in an operating room is approximately</t>
  </si>
  <si>
    <t>A. 1900 psi</t>
  </si>
  <si>
    <t>B. 750psi</t>
  </si>
  <si>
    <t>C. 50 psi</t>
  </si>
  <si>
    <t>D. 1 atm</t>
  </si>
  <si>
    <t>E. 760mmHg</t>
  </si>
  <si>
    <t>{   "Answer": "C",   Explain: "The pressure of oxygen delivered by the wall connectors in an operating room is typically around 50 psi, which is a standard pressure for medical oxygen tanks."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</si>
  <si>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</si>
  <si>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</si>
  <si>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</si>
  <si>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</si>
  <si>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</si>
  <si>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</si>
  <si>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can cause hypertension, which could exacerbate the patient's aortic dissection. In contrast, the other options are not likely to worsen the condition."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</si>
  <si>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</si>
  <si>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</si>
  <si>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</si>
  <si>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</si>
  <si>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</si>
  <si>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</si>
  <si>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is used to measure cardiac output with a thermodilution pulmonary artery catheter by measuring the change in pressure caused by the injection of a known amount of cold fluid into the pulmonary artery, allowing for the calculation of cardiac output." }</t>
  </si>
  <si>
    <t>an in  vitro continuous flow test rig. Anesth Analg. 2011;112: 70–77. _x0001_173._x0001_ _x0007_Monnet X, Teboul JL. Transpulmonary thermodilution: advantages  and limits. Crit Care. 2017;21:147. _x0001_174._x0001_ _x0007_Heerdt PM, Blessios GA, Beach ML, Hogue CW. Flow dependency of  error in thermodilution measurement of cardiac output during acute  tricuspid regurgitation. J Cardiothorac Vasc Anesth. 2001;15:183– 187. _x0001_175._x0001_ _x0007_Connors Jr AF, Speroff T, Dawson NV, et al. The effectiveness of right  heart catheterization in the initial care of critically ill patients. Sup­ port investigators. JAMA. 1996;276:889–897.</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</si>
  <si>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</si>
  <si>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</si>
  <si>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</si>
  <si>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</si>
  <si>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</si>
  <si>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</si>
  <si>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"Varenicline for smoking cessation should not be started 1-2 weeks before a quit attempt, but rather has been shown to be effective when started 8 weeks or more preoperatively, as stated in the reference 'Wong J, Abrishami A, Yang Y, et al. A perioperative smoking cessation intervention with varenicline: a double-blind, randomized, placebo-controlled trial. Anesthesiology. 2012;117(4):755–764.'" }</t>
  </si>
  <si>
    <t>nary complications, smoking history, and physical findings.  ◼ _x0007_In patients with pulmonary disease, several strategies have been suggested, including cessation  of smoking 8 weeks or more preoperatively.  ◼ _x0007_Risk factors for perioperative renal dysfunction include advanced age, congestive heart failure,  previous myocardial revascularization, diabetes, and increased baseline blood creatinine con­ centration.  ◼ _x0007_One of the primary objectives for a patient with renal disease is ensuring that the renal dysfunc­ tion is not augmented and thereby increasing the chance for renal failure, coma, and death.  ◼ _x0007_Mild perioperative anemia may be clinically significant only in patients with ischemic heart  disease.  ◼ _x0007_Careful management of long-term drug administration should include questions about the ef­ fects and side effects of alternative as well as prescription drugs. - References 998.e7 _x0001_245._x0001_ _x0007_Berlin NL, Cutter C, Battaglia C. Will preoperative smoking cessation  programs generate long-term cessation? A systematic review and  meta-analysis. Am J Manag Care. 2015;21(11):e623–e631. _x0001_246._x0001_ _x0007_Wong J, Abrishami A, Yang Y, et al. A perioperative smoking ces­ sation intervention with varenicline: a double-blind, randomized,  placebo-controlled trial. Anesthesiology. 2012;117(4):755–764. _x0001_247._x0001_ _x0007_Lee SM, Landry J, Jones PM, Buhrmann O, Morley-Forster P. Long- term quit rates after a perioperative smoking cessation randomized  controlled trial. Anesth Analg. 2015;120(3):582–587. - fully assessed. Smoking: Pulmonary complications are decreased in  thoracic surgical patients who cease smoking for more  TABLE 53.2  Concurrent Problems That Should Be  Treated Prior to Anesthesia in Chronic Obstructive  Pulmonary Disease Patients Problem Method of Diagnosis Bronchospasm Auscultation Atelectasis Chest radiograph Infection History, sputum analysis Pulmonary edema Auscultation, chest radiograph</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</si>
  <si>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</si>
  <si>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</si>
  <si>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</si>
  <si>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</si>
  <si>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</si>
  <si>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</si>
  <si>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"Transferring an obese patient from the supine to the Trendelenburg position can worsen respiratory compliance and increase the risk of respiratory failure. Using positive end-expiratory pressure (PEEP) in the presence of atelectasis can help to recruit collapsed alveoli and improve arterial oxygen tension."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</si>
  <si>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</si>
  <si>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</si>
  <si>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</si>
  <si>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</si>
  <si>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</si>
  <si>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</si>
  <si>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most likely to increase cerebral blood flow because it is a direct vasodilator and increases cerebral perfusion pressure, which can worsen intracranial hypertension in patients with traumatic brain injury." }</t>
  </si>
  <si>
    <t>128._x0001_ _x0007_Bedford RF, Persing JA, Pobereskin L, Butler A. Lidocaine or thio­ pental for rapid control of intracranial hypertension? Anesth Analg.  1980;59(6):435–437. _x0001_129._x0001_ _x0007_Michenfelder JD, Milde JH. Influence of anesthetics on metabolic,  functional and pathological responses to regional cerebral ischemia.  Stroke. 1975;6(4):405–410. _x0001_130._x0001_ _x0007_Todd MM, Drummond JC. A comparison of the cerebrovascular and  metabolic effects of halothane and isoflurane in the cat. Anesthesiol­ ogy. 1984;60(4):276–282. _x0001_131._x0001_ _x0007_Lutz LJ, Milde JH, Milde LN. The cerebral functional, metabolic,  and hemodynamic effects of desflurane in dogs. Anesthesiology.</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</si>
  <si>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</si>
  <si>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</si>
  <si>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</si>
  <si>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</si>
  <si>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</si>
  <si>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</si>
  <si>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variability can be correlated with the degree of hypovolemia, as it is a measure of the variation in blood pressure caused by changes in blood volume. The anesthesiologist can use this value to assess the patient's fluid status and adjust treatment accordingly." }</t>
  </si>
  <si>
    <t>PULMONARY ARTERY CATHETERIZATION:  INDICATIONS AND OUTCOME CONTROVERSY The PAC allows continuous tracking of hemodynamic  variables, which seems particularly valuable in critically  ill high-risk patients with circulatory dysfunction. Mea­ surement of cardiac output (see below section on Ther­ modilution cardiac output) can separate shock states into  hypovolemic etiology (low cardiac output with low filling  pressures), cardiogenic etiology (low cardiac output and  high filling pressures), and distributive etiology (high car­ diac output and low SVR). Through measurement of car­ diac output and left and right filling pressures (PAWP and  CVP, respectively), it can separate out predominantly LV  or RV dysfunction or global dysfunction. For RV dysfunc­ - pulmonary artery catheters to monitor central filling pressures and cardiac output, they can be used to monitor the effects of inotropic, vasoactive agents, and volume status. Transesophageal echocardiography may be more useful than pulmonary artery catheterization but is not required. Monitors chosen should be influenced by the patient’s medical status, risk-benefit ratios, and the surgical procedure. (403) 116. Regional anesthesia for peripheral surgery in patients with congestive heart failure can be administered safely but is not proven to have reliably better outcomes than general anesthesia for these patients. Mild decreases in the systemic vascular resistance produced by an epidural or spinal anesthetic may provide for improvement in cardiac output in the patient with congestive heart failure. Greater decreases in the systemic vascular resistance should be avoided if possible. (403) HYPERTROPHIC CARDIOMYOPATHY</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</si>
  <si>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</si>
  <si>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</si>
  <si>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</si>
  <si>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</si>
  <si>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</si>
  <si>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</si>
  <si>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due to its slower onset and longer duration of action, making it suitable for awake intubation procedures." }</t>
  </si>
  <si>
    <t>comparison with racemic RS-bupivacaine. Br J Anaesth. 1998; 80(3):289–293. _x0001_257._x0001_ _x0007_Kopacz DJ, Allen HW, Thompson GE. A comparison of epidural  levobupivacaine 0.75% with racemic bupivacaine for lower abdomi­ nal surgery. Anesth Analg. 2000;90(3):642–648. _x0001_258._x0001_ _x0007_Huang YF, Pryor ME, Mather LE, Veering BT. Cardiovascular and  central nervous system effects of intravenous levobupivacaine and  bupivacaine in sheep. Anesth Analg. 1998;86(4):797–804. _x0001_259._x0001_ _x0007_McClure JH. Ropivacaine. Br J Anaesth. 1996;76(2):300–307.</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</si>
  <si>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</si>
  <si>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</si>
  <si>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</si>
  <si>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</si>
  <si>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</si>
  <si>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</si>
  <si>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a condition caused by excessive growth hormone production, which can lead to various symptoms such as joint pain, enlarged hands and feet, and facial changes. It is not associated with hyperthyroidism, which is a condition characterized by an overactive thyroid gland. Therefore, hyperthyroidism is unlikely to be a complication of acromegaly."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</si>
  <si>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</si>
  <si>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</si>
  <si>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</si>
  <si>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</si>
  <si>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</si>
  <si>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</si>
  <si>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"When combined with volatile anesthetics, calcium channel blockers like nicardipine can prolong atrioventricular conduction time, which is a known effect of these medications." }</t>
  </si>
  <si>
    <t>opioids are rare, but they may be more likely to occur in the  presence of Ca2+ channel or β-adrenergic blockers. The overall effect of opioid anesthesia is antiarrhythmic.  Naloxone, morphine, and levorphanol protected against  arrhythmia induced by coronary artery occlusion in  rats.281 A direct effect on ionic currents in cardiac muscle  was suggested as the mechanism of antiarrhythmic activity  of opioids. It was also reported that opioid antagonists are  more antiarrhythmogenic than agonists in rats.282 Some of  the electrophysiologic actions of opioids resemble those of  class III antiarrhythmogenic drugs.  Myocardial Ischemia Determining the effects and consequences of opioid action - 72  •  Ambulatory (Outpatient) Anesthesia 2263 Cardiovascular Drugs Although intraoperative hemodynamic disturbances are  usually managed by increasing the primary anesthetic  concentration, administering an opioid analgesic, or both,  it may be more appropriate to treat these responses with  cardiovascular drugs. Using an infusion of esmolol as an  alternative to alfentanil to control heart rate reduced emer­ gence times after arthroscopy,237 and substituting esmolol  for remifentanil reduced nausea after gynecologic laparos­ copy.228 Using a combination of esmolol and nicardipine  to blunt increases in heart rate and arterial blood pressure,  respectively, prevented the need for increases in inspired  anesthetic concentration and consequently shortened  emergence and recovery times.238 Ambulatory patients</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</si>
  <si>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</si>
  <si>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</si>
  <si>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</si>
  <si>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</si>
  <si>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</si>
  <si>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</si>
  <si>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because it is located in the midline at the level of C6, making it a quick and relatively easy access point in emergency situations." }</t>
  </si>
  <si>
    <t>serve as important landmarks for percutaneous airway  techniques and laryngeal nerve blocks. The cricoid carti­ lage, at the level of the sixth cervical vertebra, is the inferior  limit of the larynx and is anteriorly connected to the thy­ roid cartilage by the cricothyroid membrane (CTM). It is the  only complete cartilaginous ring in the airway. The aryte­ noid cartilages articulate with the posterior cricoid and are  the posterior attachments for the vocal cords. When viewed from the pharynx, as during direct laryn­ goscopy (DL), the larynx begins at the epiglottis, which is a  cartilaginous flap that serves as the anterior border of the  laryngeal inlet. It functions to divert food away from the  larynx during the act of swallowing, although its role in - Cricothyroid ligament Cricoid cartilage Thyroid cartilage Cricothyroid ligament Laryngeal prominence Fig. 44.7  Cartilaginous and membranous components of the larynx.  (From Redden RJ. Anatomic considerations in anesthesia. In: Hagberg CA,  ed. Handbook of Difficult Airway Management. Philadelphia: Churchill  Livingstone; 2000, p. 10, Fig. 1.9.)</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</si>
  <si>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</si>
  <si>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</si>
  <si>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</si>
  <si>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</si>
  <si>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</si>
  <si>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</si>
  <si>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because it can lead to dilutional hyponatremia, a condition where the body's sodium levels drop due to excessive fluid absorption, causing a range of symptoms including hypotension and tachycardia." }</t>
  </si>
  <si>
    <t>drome: a review of pathophysiology and management. Anesth Analg.  1997;84:438–446. _x0001_117._x0001_ _x0001_Hahn RG. The transurethral resection syndrome. Acta Anaesthesiol  Scand. 1991;35:557–567. _x0001_118._x0001_ _x0001_Harrison RH, Boren JS, Robison JR. Dilutional hyponatremic shock:  another concept of the transurethral prostatic resection reaction.  J Urol. 1956;75:95–110. _x0001_119._x0001_ _x0001_Hahn RG. Acid phosphatase levels in serum during transurethral  prostatectomy. Br J Urol. 1989;64:500–503. _x0001_120._x0001_ _x0001_Ceccarelli FE, Mantell LK. Studies on fluid and electrolyte alterations  during transurethral prostatectomy. J Urol. 1961;85:75–82. - 121._x0001_ _x0001_Sohn MH, Vogt C, Heinen G, et al. Fluid absorption and circulating  endotoxins during transurethral resection of the prostate. Br J Urol.  1993;72:605–610. _x0001_122._x0001_ _x0001_Hahn RG. Acid–base status following glycine absorption in transure­ thral surgery. Eur J Anaesthesiol. 1992;9:1–5. _x0001_123._x0001_ _x0001_Osborn DE, Rao PN, Green MJ, et al. Fluid absorption during trans­ urethral resection. Br Med J. 1980;281:1549–1550. _x0001_124._x0001_ _x0001_Henderson DJ, Middleton RG. Coma from hyponatremia following  transurethral resection of the prostate. Urology. 1980;15:267–271. _x0001_125._x0001_ _x0001_Hahn RG, Andersson T, Sikk M. Eye symptoms, visual evoked poten­ - 90._x0001_ _x0001_Jensen V. The TURP syndrome. Can J Anaesth. 1991;38:90–96. _x0001_ 91._x0001_ _x0001_Madsen PO, Madsen RE. Clinical and experimental evaluation of dif­ ferent irrigating fluids for transurethral surgery. Invest Urol. 1965;3:  122–129. _x0001_ 92._x0001_ _x0001_Marx GF, Orkin LR. Complications associated with transurethral  surgery. Anesthesiology. 1962;23:802–813. _x0001_ 93._x0001_ _x0001_Issa MM, Young MR, Bullock AR, et  al. Dilutional hyponatremia  of TURP syndrome: a historical event in the 21st century. Urology.  2004;64:298–301. _x0001_ 94._x0001_ _x0001_Azar I. Transurethral prostatectomy syndrome and other complica­ tions of urological procedures. In: McLeskey CH, ed. Geriatric Anes­</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</si>
  <si>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</si>
  <si>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</si>
  <si>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</si>
  <si>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</si>
  <si>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</si>
  <si>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</si>
  <si>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actually helps to reduce CO2 levels in the body, not increase it, so it is the exception to the list of causes of hypercarbia under anesthesia." }</t>
  </si>
  <si>
    <t>An anesthetic agent for which a specific antagonist exists is</t>
  </si>
  <si>
    <t>A. etomidate</t>
  </si>
  <si>
    <t>B. butorphanol</t>
  </si>
  <si>
    <t>C. thiopental</t>
  </si>
  <si>
    <t>D. propofol</t>
  </si>
  <si>
    <t>E. succinylcholine</t>
  </si>
  <si>
    <t>{   "Answer": "D",   Explain: "Propofol has a specific antagonist, flumazenil, which is used to reverse its sedative effects." }</t>
  </si>
  <si>
    <t>Chapter 6 INTRAVENOUS ANESTHETICS Helge Eilers 1. Name some examples of intravenous anesthetics. What are the potential clinical uses of intravenous anesthetics? PROPOFOL 2. What type of chemical structure is propofol? 3. What is the mechanism of action of propofol? 4. How is propofol cleared from the plasma? 5. What degree of metabolism does propofol undergo? How should the dose of propofol be altered when administered to patients with liver dysfunction? 6. What is the context-sensitive half-time of propofol relative to other intravenous anesthetics? What is the effect-site equilibration time of propofol relative to other intravenous anesthetics?</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</si>
  <si>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</si>
  <si>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</si>
  <si>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</si>
  <si>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</si>
  <si>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</si>
  <si>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</si>
  <si>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"A",   Explain: "Decreasing arterial blood pressure is not recommended as it may worsen perfusion pressure to vital organs already injured from cardiac arrest and CPR." }</t>
  </si>
  <si>
    <t>In addition, hypertension may occur, especially if the  patient receives vasoactive infusions for postarrest myo­ cardial dysfunction. Optimization of blood pressure postar­ rest is critical to maintain adequate perfusion pressure to  vital organs that may have already been injured from the  “no flow” and “low blood flow” states during initial cardiac  arrest and CPR. Cerebral blood flow in healthy patients is  tightly controlled over a wide range of mean arterial blood  pressure via cerebral neurovascular bundle (autoregula­ tion); however, adults resuscitated from cardiac arrest have  demonstrated impaired autoregulation of CBF, and this  may also be the case in children.219 Dysautoregulation of  the cerebral neurovascular bundle following cardiac arrest  may limit the brain’s ability to regulate excessive blood flow  and microvascular perfusion pressure, thereby leading to</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</si>
  <si>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</si>
  <si>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</si>
  <si>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</si>
  <si>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</si>
  <si>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</si>
  <si>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</si>
  <si>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as heart rate and blood pressure are reduced with metoprolol and nitroglycerin suggests that the beta blocker is exacerbating the angina, so an inhibitor of cyclic-GMP phosphodiesterase, such as sildenafil, might be used to counteract this effect." }</t>
  </si>
  <si>
    <t>with anesthetics and antihypertensive medications as appropriate. The patient should also be continually monitored for evidence of myocardial ischemia via a continuous electrocardiogram. (401, Table 25-11) 108. The maintenance of anesthesia in patients with essential hypertension can be achieved through the administration of a volatile anesthetic in conjunction with an opioid, intravenous agents, or nitrous oxide. An anesthetic dose sufficient to attenuate hypertensive responses to surgical stimulation should be administered. The maintenance of normotension intraoperatively may also require the administration of other medicines, such as b antagonists, vasoconstrictors, or nitrates. (401) 109. Intraoperative hypotension in patients with essential hypertension can be managed by the administration of intravenous fluids, by decreasing the - Ca, Calcium; CBC, complete blood count; HF, heart failure; CXR, chest x-ray; ECG, electrocardiogram; HTN, hypertension; IHD, ischemic heart disease; LFTs, liver  function tests; NSAID, nonsteroidal antiinflammatory drug; PAD, peripheral artery disease.</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</si>
  <si>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</si>
  <si>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</si>
  <si>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</si>
  <si>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</si>
  <si>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</si>
  <si>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</si>
  <si>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discharge to home would be a heart rate 20% higher than baseline, which is 124/minute, exceeding the normal range, indicating a high risk of complications." }</t>
  </si>
  <si>
    <t>with anesthetics and antihypertensive medications as appropriate. The patient should also be continually monitored for evidence of myocardial ischemia via a continuous electrocardiogram. (401, Table 25-11) 108. The maintenance of anesthesia in patients with essential hypertension can be achieved through the administration of a volatile anesthetic in conjunction with an opioid, intravenous agents, or nitrous oxide. An anesthetic dose sufficient to attenuate hypertensive responses to surgical stimulation should be administered. The maintenance of normotension intraoperatively may also require the administration of other medicines, such as b antagonists, vasoconstrictors, or nitrates. (401) 109. Intraoperative hypotension in patients with essential hypertension can be managed by the administration of intravenous fluids, by decreasing the</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</si>
  <si>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</si>
  <si>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</si>
  <si>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</si>
  <si>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</si>
  <si>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</si>
  <si>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</si>
  <si>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(D) introduces the greatest degree of error in the measurement of hemoglobin saturation by pulse oximetry because it can cause a false reading of low oxygen saturation, as the pulse oximeter may mistake deoxyhemoglobin for reduced hemoglobin."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</si>
  <si>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</si>
  <si>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</si>
  <si>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</si>
  <si>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</si>
  <si>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</si>
  <si>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</si>
  <si>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it means there is a potential electrical hazard. The initial action should be to identify and disconnect the last device that was connected to the circuit to prevent any further risk of electrical shock."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</si>
  <si>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</si>
  <si>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</si>
  <si>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</si>
  <si>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</si>
  <si>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</si>
  <si>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</si>
  <si>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"The line isolation monitor has detected a potentially harmful current of 8mA flowing through the patient, which requires immediate attention. The OR staff should relocate the patient to a different operating room to ensure a safe and controlled environment for the surgery."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</si>
  <si>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</si>
  <si>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</si>
  <si>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</si>
  <si>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</si>
  <si>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</si>
  <si>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</si>
  <si>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"Administering a bolus dose of Intralipid 20% is the most effective way to treat local anesthetic toxicity. Midazolam is not effective in treating LAST, and propofol can worsen the situation. Ventilation with 100% O2 and administration of lidocaine and phenylephrine are also necessary to manage the patient's symptoms." }</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</si>
  <si>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</si>
  <si>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</si>
  <si>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</si>
  <si>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</si>
  <si>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</si>
  <si>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</si>
  <si>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"E",   Explain: "Methohexital can increase the frequency and intensity of seizures, making it a less desirable choice for patients with a history of seizure disorders."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</si>
  <si>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</si>
  <si>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</si>
  <si>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</si>
  <si>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</si>
  <si>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</si>
  <si>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</si>
  <si>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"E",   Explain: "When alveolar ventilation is constant, a change in ventilation will directly affect the concentration of carbon dioxide in the body. As a result, the relationship between alveolar ventilation and carbon dioxide concentration is directly proportional. Therefore, option E is the correct answer."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</si>
  <si>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</si>
  <si>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</si>
  <si>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</si>
  <si>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</si>
  <si>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</si>
  <si>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</si>
  <si>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typical symptom of fat embolism, which is characterized by hypoxia, tachypnea, interstitial pulmonary edema, and neurological impairment."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</si>
  <si>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</si>
  <si>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</si>
  <si>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</si>
  <si>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</si>
  <si>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</si>
  <si>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</si>
  <si>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safe in patients with AIP because it can cause a severe porphyric attack, and alternative anesthetic agents should be used instead."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</si>
  <si>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</si>
  <si>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</si>
  <si>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</si>
  <si>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</si>
  <si>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</si>
  <si>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</si>
  <si>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"Myasthenia gravis patients often have diaphragmatic weakness, which can lead to respiratory complications such as aspiration and pneumonia." }</t>
  </si>
  <si>
    <t>Gravis Myasthenia gravis is a disease of the neuromuscular junc­ tion; affected patients have weakness caused by a decreased  number of acetylcholine receptors at the motor endplate.301  Patients may or may not have an associated thymoma.  Thymectomy is frequently performed to induce clinical  remission, even in the absence of a thymoma. The effects of  muscle relaxants are modified by this disease; myasthenic  patients are resistant to succinylcholine and extremely sen­ sitive to nondepolarizing blockers. Thymectomy may be  performed via full or partial sternotomy, or with a minimally  invasive approach via a transcervical incision or VATS. For  thymectomy with a thymoma, a sternotomy is used. In the  absence of an identifiable tumor, minimally invasive tech­ - is characterized by skeletal muscle weakness that worsens  with activity and improves with rest. Cardiac and smooth  muscle function is unaffected. Weakness is exacerbated by  stress, infections, hypokalemia, medications (e.g., amino­ glycosides, propranolol, ciprofloxacin, clindamycin), and  surgery. A classification system for severity of myasthenia  gravis is presented in Box 31.13. Patients with myasthenia  gravis commonly have other autoimmune diseases, such as  rheumatoid arthritis, polymyositis, and thyroid disorders. Ocular symptoms (i.e., diplopia, ptosis) are almost  always present; often, they are the presenting complaint  or sole complaint. Cranial nerve and bulbar involvement  are common, with an associated aspiration risk related to - (e.g., aspiration, pneumonia) systems. Potentially helpful  additional preoperative tests include ECGs, PFTs, and echo­ cardiography. Facioscapulohumeral muscular dystrophy  (also known as faciohumeroscapular or Landouzy-Dejerine  muscular dystrophy) is an autosomal dominant disorder  Class I: Ocular myasthenia Class IIA: Mild generalized myasthenia with slow progression: no  crises, responsive to drugs Class IIB: Moderately severe generalized myasthenia: severe  skeletal and bulbar involvement but no crises; drug response  less than satisfactory Class III: Acute fulminating myasthenia: rapid progression of  severe symptoms, with respiratory crises and poor drug response Class IV: Late severe myasthenia, same as III but progression over</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</si>
  <si>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</si>
  <si>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</si>
  <si>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</si>
  <si>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</si>
  <si>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</si>
  <si>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</si>
  <si>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a major artery that arises from the posterior inferior cerebellar artery and supplies the brain stem, cerebellum, and other structures."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</si>
  <si>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</si>
  <si>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</si>
  <si>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</si>
  <si>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</si>
  <si>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</si>
  <si>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</si>
  <si>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"When donated blood is initially collected, it is mixed with an anticoagulant and preservation solution containing glucose, citrate, phosphate, and adenine. The addition of adenine prolongs storage time by increasing the survival of RBCs, allowing them to resynthesize the ATP needed to fuel metabolic reactions, extending the storage time from 21 to 35 days." }</t>
  </si>
  <si>
    <t>used for blood stored at 1°C to 6°C. Citrate prevents clot­ ting by binding Ca2+. Phosphate serves as a buffer, and  dextrose is a red cell energy source, allowing the RBCs to  continue glycolysis and maintain sufficient concentrations  of high-energy nucleotides (adenosine triphosphate [ATP])  to ensure continued metabolism and subsequent viability  during storage. The addition of adenine prolongs storage  time by increasing the survival of RBCs, allowing them to  resynthesize the ATP needed to fuel metabolic reactions.  This extends the storage time from 21 to 35 days.35 With­ out adenine, RBCs gradually lose their ATP and their abil­ ity to survive after transfusion. Finally, storage at 1°C to  6°C assists preservation by reducing the rate of glycolysis - 6. What is contained in preservative solutions for the storage of blood? What is the benefit of adding adenine to the preservative solution? 7. How long can blood be stored? 8. What is the temperature at which blood is stored? Why? DECISION TO TRANSFUSE 9. What are the considerations when deciding whether to do a blood transfusion? 10. What are the indications for the transfusion of blood? BLOOD COMPONENTS 11. Name the components that can be derived from whole blood. What is the advantage of using components for blood therapy instead of whole blood? 12. What is the hematocrit and total volume in a unit of packed red blood cells? 13. How much will hemoglobin concentration increase with the transfusion of a single unit of packed red blood cells? 14. What is the indication for the administration of packed red blood cells?</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</si>
  <si>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</si>
  <si>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</si>
  <si>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</si>
  <si>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</si>
  <si>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</si>
  <si>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</si>
  <si>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cessation before surgery may reduce airway hyperreactivity, but the risk of postoperative nausea and vomiting is actually higher in smokers, making option E the correct exception." }</t>
  </si>
  <si>
    <t>hypersecretion, and decreases mucociliary transport. Carbon monoxide may also have negative inotropic effects. The net effect of this for patients scheduled to undergo thoracic surgery is an increase in the incidence of complications in the postoperative period. (433, 436) 48. There are many benefits of the preoperative cessation of cigarette smoking. Twelve to twenty-four hours after the cessation of cigarette smoking, there are significant decreases in the carboxyhemoglobin level and a decrease in nicotine-induced tachycardia. The oxyhemoglobin dissociation curve shifts to the right, making more oxygen available at the tissues. One to two weeks after the cessation of cigarette smoking,therebeginstobeadecreaseintheamountofmucussecretionsintheairways; 8 to 12 weeks after the cessation of cigarette smoking, there is marked improvement in - mucociliary transport, small airway reactivity, and secretions in the small airways. This is evidenced by the decrease in postoperative respiratory complications in patients who have quit smoking cigarettes for at least 8 weeks before surgery. (436) 49. Preoperative pulmonary function tests predict which patients may be at an increased risk for postoperative pulmonary complications after thoracic surgery. Patients with a history of chronic pulmonary disease or with severe, limiting pulmonary symptoms in the presence of abnormal findings on the physical examination or chest radiograph are candidates for preoperative pulmonary function studies. (436) 50. The following values from a pulmonary function test are indicative of increased risk of postoperative pulmonary morbidity after a pneumonectomy: FEV1 less than 2 L or FEV1 predicted less than 80%. Similarly DLCO less than 80% predicted is also - fully assessed. Smoking: Pulmonary complications are decreased in  thoracic surgical patients who cease smoking for more  TABLE 53.2  Concurrent Problems That Should Be  Treated Prior to Anesthesia in Chronic Obstructive  Pulmonary Disease Patients Problem Method of Diagnosis Bronchospasm Auscultation Atelectasis Chest radiograph Infection History, sputum analysis Pulmonary edema Auscultation, chest radiograph - SECTION IV  •  Adult Subspecialty Management 1658 than 4 weeks before surgery.67 Carboxyhemoglobin con­ centrations decrease if smoking is stopped more than 12  hours.68 It is extremely important for patients to avoid  smoking postoperatively. Smoking leads to a prolonged  period of tissue hypoxemia. Wound tissue oxygen tension  correlates with wound healing and resistance to infection.  There is no rebound increase in pulmonary complications if  patients stop for shorter (&lt;8 week) periods before surgery.69  Intensive smoking-cessation interventions are the most  successful.70  PRIMARY THORACIC TUMORS The majority of patients presenting for major pulmonary  surgery will have some type of malignancy. Because the dif­ ferent types of thoracic malignancies have varying implica­ tions for both surgery and anesthesia, it is important for the</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</si>
  <si>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</si>
  <si>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</si>
  <si>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</si>
  <si>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</si>
  <si>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</si>
  <si>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</si>
  <si>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lower cardiotoxicity." }</t>
  </si>
  <si>
    <t>from animal models suggest that bupivacaine has a 1.5 to  2.5 lower seizure threshold than ropivacaine. Ropivacaine  is also less cardiotoxic. When compared with bupivacaine  and levobupivacaine, ropivacaine at equivalent concentra­ tions has a relatively similar clinical profile. Ropivacaine  has a slightly shorter duration of action and less motor  block, although the reduced motor block may in fact reflect  different potencies of the drugs rather than a true motor- sparing effect of ropivacaine. Epidurally administered ropi­ vacaine is 40% less potent than bupivacaine.179,180,261  Epidural Additives Vasoconstrictors. Epinephrine reduces vascular absorp­ tion of local anesthetics in the epidural space. The local - roprocaine. Ropivacaine and levobupivacaine were synthe­ sized to reduce cardiotoxicity that occurs with inadvertent  intravascular bolus doses of bupivacaine. However, with  the dilute concentrations of local anesthetic currently used  for labor analgesia, cardiotoxicity is uncommon. The addition of fentanyl to bupivacaine has been shown  to reduce local anesthetic requirements while still provid­ ing similar pain relief.128,129 Therefore lipid-soluble opi­ oids, fentanyl 1 to 3 μg/mL, or sufentanil 0.1 to 0.5 μg/mL,  are typically added to local anesthetic labor epidural mix­ tures to reduce total local anesthetic administration and  thereby reduce motor blockade while preserving analgesia - unclear whether the analgesic effect of the local anesthetic  and opioid in epidural analgesia is additive or synergistic.  The choice of local anesthetic for CEI varies. In general,  bupivacaine or ropivacaine is chosen because of the differ­ ential and preferential clinical sensory blockade with mini­ mal impairment of motor function. Concentrations used for  postoperative epidural analgesia are lower than those used  for intraoperative anesthesia. The choice of opioid also var­ ies, although many clinicians prefer a lipophilic opioid (e.g.,  fentanyl, sufentanil) to allow rapid titration of analgesia.93  Use of a hydrophilic opioid (morphine, hydromorphone)  as part of a local anesthetic-opioid epidural analgesic regi­</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</si>
  <si>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</si>
  <si>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</si>
  <si>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</si>
  <si>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</si>
  <si>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</si>
  <si>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</si>
  <si>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may not sweat as a result of the process mediated by β-adrenergic receptors because vecuronium, a muscle relaxant, can block the effects of β-adrenergic stimulation, which is a known cause of sweating."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</si>
  <si>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</si>
  <si>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</si>
  <si>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</si>
  <si>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</si>
  <si>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</si>
  <si>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</si>
  <si>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"E",   Explain: "The patient's core temperature will tend to drift towards ambient temperature because the hypothalamus is not able to regulate body temperature effectively under general anesthesia. The patient's skin is warm and wet to touch, indicating that there is no peripheral vasoconstriction to help maintain body heat. As a result, the patient's core temperature will gradually decrease towards the ambient temperature."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</si>
  <si>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</si>
  <si>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</si>
  <si>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</si>
  <si>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</si>
  <si>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</si>
  <si>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</si>
  <si>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heat-producing mechanism, not a heat-dissipating mechanism. In this scenario, the patient is under anesthesia and muscle relaxation is provided by vecuronium, which means the patient is unable to shiver."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</si>
  <si>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</si>
  <si>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</si>
  <si>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</si>
  <si>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</si>
  <si>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</si>
  <si>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</si>
  <si>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t>
  </si>
  <si>
    <t>alveolar overdistention and barotrauma. Hence, there is no specific formula for success, and various combinations of the above may be tried and may work differently in each individual patient. It is important also to remember the reason for the expiratory flow limitation (high expiratory resistance, bronchospasm) and treat it with generous administration of bronchodilators. (432, 433) 34. Chronic bronchitis is a state of chronic inflammation of the airways with excessive secretions of mucus that causes a progressive increase in airway resistance to air flow. Predisposition to frequent bronchial infection aggravates the clinical MILLER’S ANESTHESIA REVIEW 290 66485457-66485438                 www.ketabpezeshki.com - 13  •  Respiratory Physiology and Pathophysiology 361 considering the PV characteristics using plethysmography  (where the area of the PV curve corresponds to work against  total pulmonary resistance) and esophageal pressure (where  the area of the PV curve corresponds to work against “tis­ sue” resistance).33 Alternative approaches mathematically  model the lung responses to varying respiratory frequen­ cies.34 Lung tissue resistance amounts to 20% of the total  resistance to breathing; it can be increased threefold or four­ fold in chronic lung disease35 and is reduced by panting res­ pirations.36 Finally, in adult respiratory distress syndrome  (ARDS) the chest wall resistance is increased.37  INERTIA OR ACCELERATION OF GAS AND TISSUE A final component of the total impedance to breathing is  inertance, or the pressure required to accelerate air and tis­ - –10 10 cm H2O 2.5 cm H2O Transpulmonary pressure (cm H2O) Volume (% TLC) Fig. 13.3  The pressure-volume relationships of the lung. The relationship is curvilinear (typical for an elastic structure). The pleural pressure is lower  (more subatmospheric) in the upper regions. In the upright subject, the transpulmonary pressure (PTP = PAW–PPL) is higher in apical than in basal regions.  This results in different positions on the pressure volume curve of the upper (flatter, less compliant) versus lower (steeper, more compliant) lung regions.  Thus lower lung regions expand more (i.e., receive more ventilation) for a given increase in transpulmonary pressure than upper units. TLC, Total lung  capacity. –0.5 0 1 2</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</si>
  <si>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</si>
  <si>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</si>
  <si>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</si>
  <si>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</si>
  <si>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</si>
  <si>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</si>
  <si>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as lung volume increases, the diameter of airways also increases, resulting in a decrease in resistance." }</t>
  </si>
  <si>
    <t>respiratory failure is more likely. Several factors can alter airflow resistance. First, resis­ tance lessens as lung volume increases; this is intuitive, as  increasing volume (positive pressure or spontaneous breath­ ing) stretches the diameter of the airways. Because this is the  key determinant of resistance, the resistance falls to a small  extent. The opposite occurs with exhalation (Fig. 13.5). How­ ever, as lung volume approaches residual volume (RV)—as  can happen during anesthesia—the airways are narrowed in  parallel with the compressing lung tissue and the resistance  rises exponentially. These effects are apparent with active or  passive ventilation. Second, active ventilation has additional  effects. Forced expiration can compress small airways (i.e.,  that do not contain cartilage).27 In addition, forced expira­</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</si>
  <si>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</si>
  <si>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</si>
  <si>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</si>
  <si>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</si>
  <si>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</si>
  <si>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</si>
  <si>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 brain barrier to dehydrate the brain, thereby reducing intracranial pressure." }</t>
  </si>
  <si>
    <t>neutral, hyperosmolar therapy, osmotic and loop diuretics, cerebrospinal fluid drainage, and the administration of drugs such as barbiturates that decrease both cerebral blood flow and cerebral metabolism. (684) 24. Mannitol is the osmotic diuretic that is most frequently administered to decrease ICP. Osmotic diuretics decrease ICP by drawing water out of tissues and into the intravascular space. Osmotic diuretics do so by transiently increasing the osmolarity of plasma. The dose of mannitol that is administered is 0.25 to 1.4 g/kg over 15 to 30 minutes. (684) 25. Glucose-containing intravenous solutions should be avoided in traumatic brain injury patients because of the potential for hyperglycemia and hypotonicity, both of which can be neurotoxic. (684) - venous drainage, avoidance of high ventilatory pressures and PEEP, avoidance of hypertension, and hyperventilation. Finally, osmotic diuretics such as mannitol, as well as surgical resection of space-occupying lesions and decompressive craniectomy, may reduce intracranial pressure from cerebral edema. (479, Table 30-1) Central Nervous System Disease 329 66485457-66485438                 www.ketabpezeshki.com</t>
  </si>
  <si>
    <t>Sickle cell formation is facilitated by all of the following EXCEPT</t>
  </si>
  <si>
    <t>A. hypoxemia</t>
  </si>
  <si>
    <t>B. sevoflurane</t>
  </si>
  <si>
    <t>C. acidosis</t>
  </si>
  <si>
    <t>D. fever</t>
  </si>
  <si>
    <t>E. dehydration</t>
  </si>
  <si>
    <t>{   "Answer": "B",   Explain: "Sevoflurane is an anesthetic gas that does not directly cause sickle cell formation. It is not a known trigger for sickling, unlike the other options, which are all known to contribute to sickling."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</si>
  <si>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</si>
  <si>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</si>
  <si>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</si>
  <si>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</si>
  <si>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</si>
  <si>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</si>
  <si>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had no treatment for hyperthyroidism for 4 days, so she is still in a hyperthyroid state. She is at high risk for thyroid storm during surgery, which is a life-threatening complication. Therefore, she should be considered a high-risk hyperthyroid patient."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</si>
  <si>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</si>
  <si>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</si>
  <si>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</si>
  <si>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</si>
  <si>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</si>
  <si>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</si>
  <si>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"B",   Explain: "All general anesthetic agents are gases at body temperature, which is a characteristic of general anesthetic agents." }</t>
  </si>
  <si>
    <t>endotracheal tube; many anesthetic drugs are also bronchodilators, such as halogenated inhalational agents and propofol. (432) 15. The goal of the anesthetic management of patients with asthma is to avoid precipitating bronchoconstriction. While regional or neuraxial anesthesia may be preferable, a well-conducted general anesthetic also has advantages, including the ability to deliver bronchodilators (volatile anesthetic agents) and to provide pulmonary toilet by deep tracheal suction and/or bronchoscopy. A sufficient depth of anesthesia before intubation of the trachea minimizes the risk of acute bronchospasm at the time of the induction of anesthesia. This can be accomplished both with intravenous agents and volatile anesthetics. The latter can be used as - abolished the inhibitory effects of volatile anesthetics on  carbachol-induced contraction of airway smooth muscle  in dogs,48 suggesting that intraoperative hypothermia may  also attenuate volatile anesthetic–induced bronchodilation. Bronchospasm may occur in conditions and with respi­ ratory diseases other than asthma. For example, healthy  patients undergoing surgical stimulation of lung paren­ chyma or airways including tracheal stimulation by an  endotracheal tube are at risk of developing bronchospasm.  Preoperative medications, sedatives, neuromuscular block­ ers, and volatile anesthetics are all important factors that  may trigger or attenuate bronchospasms. Regardless of  the airway sensitivity prior to induction, the different  pathways involved in an individual patient may yield dif­ - efforts on delineating how anesthetic interactions with lipid  membranes might lead to the behavioral changes observed  under anesthesia―the nonspecific lipoid theory. Because inhaled anesthetic concentrations reflect con­ centrations in the tissues after equilibration, which is most  rapidly achieved for well-perfused organs such as the brain  and heart, MAC is analogous to the plasma concentration  for 50% effect (EC50) for intravenous anesthetics. In clini­ cal applications, MAC is usually expressed as volume per­ cent (vol%), which varies considerably with temperature  owing to the large temperature dependence of partitioning  between the gas phase and condensed phases (be they water,  lipids, or proteins), whereas the equivalent condensed- phase molar concentrations are much less dependent on  temperature.5 The MAC concept provided researchers and - mL are below the seizure threshold. Bolus doses of 1.5 to 2.0  mg/kg therefore seem appropriate.  INHALED ANESTHETICS Volatile Anesthetics The pattern of volatile anesthetic effects on cerebral physi­ ology is quite different than that of intravenous anesthetics,  which generally cause parallel reductions in CMR and CBF.  All volatile anesthetics, in a manner similar to intravenous  sedative-hypnotic drugs, suppress cerebral metabolism in a  dose-related fashion.129-132 Volatile anesthetics also possess  intrinsic cerebral vasodilatory activity as a result of direct  effects on vascular smooth muscle. The net effect of volatile  anesthetics on CBF is therefore a balance between a reduc­ tion in CBF caused by CMR suppression and an augmen­</t>
  </si>
  <si>
    <t>Milrinone</t>
  </si>
  <si>
    <t>A. inhibits Na,K-ATPase</t>
  </si>
  <si>
    <t>B. causes vasodilation</t>
  </si>
  <si>
    <t>C. is an end othelin receptor antagonist</t>
  </si>
  <si>
    <t>D. stimulates phosphodiesterasel</t>
  </si>
  <si>
    <t>E. has inotropic effects via β1-adrenoceptor stimulation</t>
  </si>
  <si>
    <t>{   "Answer": "E",   Explain: "Milrinone is a phosphodiesterase inhibitor, which means it blocks the breakdown of cyclic adenosine monophosphate (cAMP), leading to increased levels of cAMP. This results in increased contractility of the heart muscle, making it a positive inotrope. It also has β1-adrenergic receptor agonist properties, which further enhance its inotropic effects." }</t>
  </si>
  <si>
    <t>Thiopental is contraind icated in</t>
  </si>
  <si>
    <t>A. porphyria congenita</t>
  </si>
  <si>
    <t>B. porphyria cutanea tarda</t>
  </si>
  <si>
    <t>C. acute intermittent porphyria</t>
  </si>
  <si>
    <t>D. myotonia</t>
  </si>
  <si>
    <t>E. chorea</t>
  </si>
  <si>
    <t>{   "Answer": "C",   Explain: "Thiopental is contraindicated in patients with acute intermittent porphyria because it can trigger an attack of porphyria, a rare genetic disorder that affects the production of certain enzymes in the body."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</si>
  <si>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</si>
  <si>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</si>
  <si>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</si>
  <si>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</si>
  <si>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</si>
  <si>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</si>
  <si>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does not directly slow down the heart rate, so option D is the correct answer. The other options are all signs of hypoxemia, including increased ventilatory effort, increased heart rate, and cyanosis." }</t>
  </si>
  <si>
    <t>depending on the underlying cause. Because hypoxemia is a common cause of bradycardia,  initial evaluation of any patient with bradycardia should  focus on signs of increased work of breathing (tachypnea,  intercostal retractions, suprasternal retractions, paradoxi­ cal abdominal breathing) and oxygen saturation as deter­ mined by pulse oximetry. If oxygenation is inadequate or  the patient shows signs of increased work of breathing, sup­ plementary oxygen should be provided. A monitor should  be attached to the patient for blood pressure, ECG, and oxy­ gen saturation monitoring, and IV access should be estab­ lished. If possible, obtain a 12-lead ECG to better define the  rhythm. While initiating treatment, evaluate the patient’s  clinical status and identify potentially reversible causes. The provider must identify signs and symptoms of poor</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</si>
  <si>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</si>
  <si>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</si>
  <si>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</si>
  <si>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</si>
  <si>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</si>
  <si>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</si>
  <si>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lower doses, dopamine has a more selective effect on inotropy and heart rate, causing vasodilation and inhibiting the release of norepinephrine from sympathetic nerves." }</t>
  </si>
  <si>
    <t>with transcutaneous pacing (TCP) or β-adrenergic ago­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 dose of dopamine is required, then a second vasoactive  agent can be added. Dopamine and other catecholamines  have beneficial antiinflammatory and immunomodulatory  effects. Vasopressin is recommended as the initial therapy of  choice for potential heart donors by the American College of  Cardiology.27 Vasopressin reduces catecholamine require­ ments and is an effective treatment for diabetes insipidus. For a potential heart donor, cardiac function should be  assessed, with early interventions to improve the donor  procurement rate. Echocardiography is useful since it can  identify both functional and structural abnormalities.  Functional abnormalities identified in the early stage can be  managed before heart transplantation, whereas structural  abnormalities may preclude transplantation. Coronary  angiography is useful in older donors with suspected or</t>
  </si>
  <si>
    <t>Agents in anesthetic practice that can cause bronchodilatation include all of the following, EXCEPT</t>
  </si>
  <si>
    <t>B. atropine</t>
  </si>
  <si>
    <t>C. isoflurane</t>
  </si>
  <si>
    <t>D. sevoflurane</t>
  </si>
  <si>
    <t>E. thiopental</t>
  </si>
  <si>
    <t>{   "Answer": "E",   Explain: "Thiopental is a barbiturate that causes bronchoconstriction, not bronchodilatation, making it the exception among the listed options." }</t>
  </si>
  <si>
    <t>SECTION I  •  Introduction 28 General Anesthetics and Oxygen  □ _x0007_Halothane, isoflurane, nitrous oxide  □ _x0007_Oxygen  □ _x0007_Ketamine  □ _x0007_Propofol (or thiopental)  □ _x0007_Bupivacaine  □ _x0007_Lidocaine  Muscle Relaxants  □ _x0007_Atracurium  □ _x0007_Neostigmine  □ _x0007_Suxamethonium  □ _x0007_Vecuronium  □ _x0007_Pyridostigmine*  Preoperative Medication and Sedation for Short-Term  Procedures  □ _x0007_Atropine  □ _x0007_Midazolam  □ _x0007_Morphine  Medicines for Pain and Palliative Care  □ _x0007_Acetylsalicylic acid  □ _x0007_Ibuprofen  □ _x0007_Paracetamol  □ _x0007_Codeine</t>
  </si>
  <si>
    <t>A-δ fibers</t>
  </si>
  <si>
    <t>A. are unmyelinated</t>
  </si>
  <si>
    <t>B. are low-threshold mechanoreceptors</t>
  </si>
  <si>
    <t>C.increase their firing as the intensity of the stimulus increases</t>
  </si>
  <si>
    <t>D. do not respond to noxious stimuli</t>
  </si>
  <si>
    <t>E. are thick nerves</t>
  </si>
  <si>
    <t>{   "Answer": "A",   Explain: "A-delta fibers are unmyelinated, which means they do not have a myelin sheath around their axons, making them less resistant to local anesthetic blockade." }</t>
  </si>
  <si>
    <t>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 - axon unit volume ratio. For example, the small preganglionic  sympathetic fibers (B fibers, 1-3 μm, minimally myelinated)  are most sensitive to local anesthetic blockade. Among the  sensory nerves, the C fibers (0.3-1 μm, unmyelinated), which  conduct cold temperature sensation, are blocked more read­ ily or earlier than the A-delta fibers (1-4 μm, myelinated),  which conduct pinprick sensation. The A-beta fibers (5-12  μm, myelinated), which conduct touch sensation, are the last  to be affected among the sensory fibers. The larger A-alpha  motor fibers (12-20 μm, myelinated) are more resistant than  any of the sensory fibers. Regression of blockade (“recovery”)  follows in the reverse order: motor function followed first by  touch, then pinprick, and finally cold sensation.20 Another - susceptible are the small, nonmyelinated C fibers. In fact, in  this last group, impulses in the slowest conducting popula­ tion (conduction velocity of 0.5-0.8 m/s) are the most resis­ tant to local anesthetic.18 Clinically, testing of block efficacy  is often performed using methods that target Aδ sensory  fibers, so these findings suggest that loss of temperature or  pin-prick discrimination does not guarantee complete and  reliable block of all sensory modalities. Selective Block of Na+ Channel Isoforms Nine different mammalian Na+ channels have been physi­ ologically identified and their genes have been sequenced.  At least four of them are found in peripheral neurons, and  some are exclusively associated with nociceptive afferents.  Obviously, it would be clinically advantageous to selectively  inhibit these channels and thus prevent or reduce pain</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</si>
  <si>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</si>
  <si>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</si>
  <si>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</si>
  <si>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</si>
  <si>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</si>
  <si>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</si>
  <si>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osteoclasts, which are responsible for bone resorption, and have no direct effect on osteoblasts, which are responsible for bone formation." }</t>
  </si>
  <si>
    <t>148._x0001_ _x0007_Aapro M, Abrahamsson PA, Body JJ, et al. Guidance on the use of  bisphosphonates in solid tumours: recommendations of an inter­ national expert panel. Ann Oncol. 2008;19:420–432. _x0001_ 149._x0001_ _x0007_Mundy GR. Metastasis to bone: causes, consequences and thera­ peutic opportunities. Nat Rev Cancer. 2002;2:584–593. _x0001_ 150._x0001_ _x0007_Smith HS, Barkin RL. Painful boney metastases. Am J Ther.  2013;21:106–130. _x0001_ 151._x0001_ _x0007_Buga S, Sarria JE. The management of pain in metastatic bone dis­ ease. Cancer Control. 2012;19:154–166. _x0001_ 152._x0001_ _x0007_Ferris FD, Bezjak A, Rosenthal SG. The palliative uses of radia­</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</si>
  <si>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</si>
  <si>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</si>
  <si>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</si>
  <si>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</si>
  <si>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</si>
  <si>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</si>
  <si>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pain information from both low- and high-intensity stimuli." }</t>
  </si>
  <si>
    <t>nociception and decide to administer more analgesic. The ascending nociceptive (pain) pathway begins with  A-delta and C-fibers whose free nerve endings bring noci­ ceptive information from the periphery to the spinal cord  (see Fig. 40.1).10 In the spinal cord, these fibers synapse in  the dorsal horn on projection neurons that travel through  the anterolateral fasciculus and synapse at multiple sites  in the brainstem, including the nucleus of the tractus soli­ tarius in the medulla.1,9 The autonomic response to a noci­ ceptive stimulus is initiated from the nucleus of the tractus  solitarius, which mediates sympathetic output through  the rostral ventral lateral medulla and the caudal ventral  lateral medulla to the heart and peripheral blood vessels  through projections to the thoracolumbar sympathetic</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</si>
  <si>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</si>
  <si>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</si>
  <si>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</si>
  <si>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</si>
  <si>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</si>
  <si>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</si>
  <si>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"Meperidine is more likely to cause seizures, especially in the elderly and with renal dysfunction, due to its active metabolite normeperidine, which can accumulate in patients with impaired kidney function and lead to seizures." }</t>
  </si>
  <si>
    <t>producing seizures in animals. The elimination half-life of  normeperidine is considerably greater than that of meperi­ dine, and thus repeated doses can easily produce accumula­ tion of this toxic metabolite in patients with renal disease,  with the potential for inducing seizures. Meperidine is frequently used for postoperative pain  management. A comparative study demonstrated that  morphine, meperidine, and tramadol resulted in equivalent  pain scores in intravenous PCA after abdominal hysterec­ tomy.552 Meperidine is also used to relieve pain and distress  in women in labor. Intravenous meperidine (50 mg) and  butorphanol (1 mg) significantly reduced pain intensity 15  minutes after injection in women with moderate to severe  labor pain, but the analgesia was often inadequate.553</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</si>
  <si>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</si>
  <si>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</si>
  <si>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</si>
  <si>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</si>
  <si>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</si>
  <si>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</si>
  <si>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leading to an increase in excitability of spinal neurons in the dorsal horn, making them more prone to firing." }</t>
  </si>
  <si>
    <t>The cricoid cartilage corresponds with which vertebra?</t>
  </si>
  <si>
    <t>A. C1</t>
  </si>
  <si>
    <t>B. C3</t>
  </si>
  <si>
    <t>C. C5</t>
  </si>
  <si>
    <t>D. C6</t>
  </si>
  <si>
    <t>E. C8</t>
  </si>
  <si>
    <t>{   "Answer": "B",   Explain: "The cricoid cartilage corresponds with C3 vertebra because it is located at the level of the third cervical vertebra, which is the lowest part of the neck and the beginning of the thoracic cavity."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</si>
  <si>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</si>
  <si>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</si>
  <si>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</si>
  <si>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</si>
  <si>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</si>
  <si>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</si>
  <si>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because they are positioned at an angle to allow for flexion, extension, and rotation of the spine, which is essential for movements like bending forward and twisting." }</t>
  </si>
  <si>
    <t>Vertebroplasty is ind cated for all of the following conditions EXCEPT</t>
  </si>
  <si>
    <t>A. multiple myeloma</t>
  </si>
  <si>
    <t>B. chronic compression fractures of vertebral body</t>
  </si>
  <si>
    <t>C. osteolytic metastatic tumors</t>
  </si>
  <si>
    <t>D. facet arthropathy</t>
  </si>
  <si>
    <t>{   "Answer": "E",   Explain: "This is not an answer option, it is a distractor to test the candidate's understanding of the condition. The other options are all potential indications for vertebroplasty, but this option is not a correct answer." }</t>
  </si>
  <si>
    <t>Ziconotide, found in snail venom, acts primarily on which type of calcium channel?</t>
  </si>
  <si>
    <t>A. N-type</t>
  </si>
  <si>
    <t>B. T-type</t>
  </si>
  <si>
    <t>C. L-type</t>
  </si>
  <si>
    <t>D. P-type</t>
  </si>
  <si>
    <t>E.Q-type</t>
  </si>
  <si>
    <t>{   "Answer": "A",   Explain: "Ziconotide acts primarily on N-type calcium channels, which are responsible for regulating synaptic plasticity and neurotransmitter release in the brain."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</si>
  <si>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</si>
  <si>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</si>
  <si>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</si>
  <si>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</si>
  <si>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</si>
  <si>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"Viscera are supplied by sympathetic nerves that contribute to pain generation and transmission. These nerves release all of the following chemical substances EXCEPT histamine, which is typically associated with allergic reactions and is not directly related to pain transmission."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</si>
  <si>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</si>
  <si>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</si>
  <si>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</si>
  <si>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</si>
  <si>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</si>
  <si>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</si>
  <si>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by blocking the activation of NMDA receptors, which are involved in the central processing of pain signals." }</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</si>
  <si>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</si>
  <si>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</si>
  <si>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</si>
  <si>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</si>
  <si>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</si>
  <si>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</si>
  <si>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not typically treated with lumbar sympathetic blockade, as it is a mechanical pain condition that requires physical therapy, chiropractic care, or injections targeting the facet joints."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</si>
  <si>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</si>
  <si>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</si>
  <si>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</si>
  <si>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</si>
  <si>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</si>
  <si>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which is a mechanism of pain modulation." }</t>
  </si>
  <si>
    <t>in complex networks like the spinal cord. A complementary  pharmacologic approach using experimental anesthetics  that inhibit NMDA receptors in vitro with different poten­ cies supports the conclusion that NMDA receptor blockade  does not contribute significantly to immobility by conven­ tional volatile anesthetics.269 Refinement of this strategy  involves the anatomically discrete application of drugs to  nuclei with known function. For example, the tuberomam­ millary nucleus (part of the endogenous sleep pathway)  mediates the sedative component of anesthesia for some  intravenous anesthetics (e.g., propofol).35 A discrete site of  general anesthetic action for GABAergic drugs in the meso­ pontine tegmentum has also been proposed based on this  strategy.33,34 However, these approaches suffer from the</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</si>
  <si>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</si>
  <si>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</si>
  <si>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</si>
  <si>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</si>
  <si>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</si>
  <si>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</si>
  <si>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"D. sedation and respiratory depression can outlast the analgesic action, because methadone has a long half-life, which means that its effects can last longer than the pain-relieving effects, making it important to consider this characteristic when prescribing it on an outpatient basis." }</t>
  </si>
  <si>
    <t>or dexmedetomidine) can be used instead of opioids for the  patient’s postoperative pain. Some authors suggest stopping  buprenorphine preoperatively and switching to a short-act­ ing opioid, or methadone, to prevent withdrawal symptoms  if the surgery is major and will generate severe pain. The  choice of methadone is a reasonable one, as it is an effec­ tive full opioid agonist but also has a long half-life, thereby  providing benefit for continuation of medication-assisted  treatment (MAT). Regardless of the approach, coordinated  communication between the acute pain team, surgical ser­ vice, and the primary buprenorphine prescriber should take  place to make sure that the patient eventually goes back to  their prescribed buprenorphine dose.170 Sometimes, the  logistics of this process can be difficult. Therefore, more often - induction of anesthesia in combination with etomidate, and  that methadone may have the potential for producing his­ tamine release.560 In patients undergoing posterior spinal  fusion surgery, methadone 0.2 mg/kg at the start of sur­ gery reduced postoperative opioid requirements, decreased  pain scores, and improved patient satisfaction.561 However,  perioperative use of methadone represents a major clinical  challenge, given the tremendous interpatient half-life vari­ ability which could contribute to unexpected postoperative  respiratory depression.  OXYMORPHONE Oxymorphone is a semisynthetic opioid agonist that is spe­ cific for the μ-opioid receptor and approved to treat both  acute and chronic pain. Due to extensive liver metabo­ lism, oral oxymorphone is contraindicated in patients with</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</si>
  <si>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</si>
  <si>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</si>
  <si>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</si>
  <si>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</si>
  <si>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</si>
  <si>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"C",   Explain: "The usual dose of bupivacaine for intrapleural catheters is typically 20-30 mL, not 0.5% bupivacaine."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</si>
  <si>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</si>
  <si>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</si>
  <si>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</si>
  <si>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</si>
  <si>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</si>
  <si>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leading cause of pelvic pain in women, and it's essential to consider it during the evaluation of a 35-year-old woman with pelvic pain symptoms."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</si>
  <si>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</si>
  <si>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</si>
  <si>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</si>
  <si>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</si>
  <si>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</si>
  <si>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</si>
  <si>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is classified into primary and secondary forms, with primary fibromyalgia being idiopathic and secondary fibromyalgia being associated with other underlying medical conditions."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</si>
  <si>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</si>
  <si>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</si>
  <si>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</si>
  <si>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</si>
  <si>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</si>
  <si>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"Cancer pain management involves considering the use of adjuvant drugs, which are medications that have an analgesic effect in addition to their primary therapeutic effect. These drugs can be used in combination with opioids to improve pain relief and reduce the risk of side effects."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</si>
  <si>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</si>
  <si>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</si>
  <si>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</si>
  <si>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</si>
  <si>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</si>
  <si>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</si>
  <si>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 herpetic neuralgia (PHN) is a condition characterized by chronic pain that persists for more than 120 days after the initial rash has healed. The patient's symptoms of chronic pain over her left breast for more than a year, which started after a rash in the same distribution, suggest that she may be experiencing PHN."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</si>
  <si>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</si>
  <si>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</si>
  <si>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</si>
  <si>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</si>
  <si>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</si>
  <si>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typically involves the back, legs, and eyes, which is a common presentation of the condition." }</t>
  </si>
  <si>
    <t>cause of an aplastic crisis is often infectious with greater  than 90% of cases due to parvovirus B19. A vascular  occlusive crisis is what is typically thought of as the classic  sickle cell crisis. A vascular occlusive crisis may be brought  on by infection, dehydration acidosis, or hypoxia. The  erythrocytes assume a sickled configuration, which blocks  small vessels leading to infarction. The infarcts can occur  in any organ but are frequent in the lungs, kidney, bones,  skin, spleen, eyes, and CNS.  Acute Chest Syndrome. A vascular occlusive crisis in  the lungs leads to acute chest syndrome (ACS). Acute  chest syndrome is leading cause of death and the second  most common complication in sickle cell disease. ACS is  defined as a new pulmonary infiltrate on a chest radio­ - hemolytic crisis secondary to hemolysis; and aplastic cri­ ses that occur with bone marrow exhaustion, which can  rapidly result in severe anemia. Patients currently in crisis  should not undergo surgery except for emergencies, and  then only after an exchange transfusion.372,374-378 Because sickling is increased with lowered oxygen ten­ sions, acidosis, hypothermia, and the presence of more  desaturated hemoglobin S; current therapy includes keep­ ing the patient warm and well hydrated, giving supplemen­ tal oxygen, maintaining high cardiac output, and avoiding  areas of stasis with pressure or tourniquets. Meticulous  attention to these practices in periods when we do not usu­ ally pay most careful attention (i.e., waiting in the preinduc­ tion area) or when gas exchange may be most unmatched - classic sickle cell shape. The abnormal erythrocytes have  a much shorter life-span and hemolyze more readily. In  turn, patients with sickle cell disease have a chronic severe  hemolytic anemia.  Sickle Cell Crisis. There are three types of sickle cell cri­ sis that can occur: hemolytic, aplastic, and vaso-occlusive.  A hemolytic crisis is characterized by increased hemolysis,  which results in an acute drop in hematocrit and hemoglo­ bin. This is typically accompanied by a significant increase  in red cell production or reticulocytosis. AI an aplastic cri­ sis there is a drop in hematocrit and hemoglobin, but there  is no associated reticulocytosis. The production of red cell  precursors in the bone marrow has slowed or stopped. The</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</si>
  <si>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</si>
  <si>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</si>
  <si>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</si>
  <si>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</si>
  <si>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</si>
  <si>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</si>
  <si>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"CRPS II, also known as causalgia, is a chronic pain condition that results from a specific nerve injury, whereas CRPS I does not require a specific nerve injury to develop."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</si>
  <si>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</si>
  <si>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</si>
  <si>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</si>
  <si>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</si>
  <si>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</si>
  <si>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</si>
  <si>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sodium and potassium ion channels, thereby inhibiting neurotransmitter release (presynaptically) and inhibiting neuronal firing (postsynaptically) at both presynaptic and postsynaptic sites in the dorsal horn of the spinal cord." }</t>
  </si>
  <si>
    <t>both presynaptic and postsynaptic sites in the dorsal horn  of the spinal cord. It is well known that opioids decrease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 Pain control by opioids needs to be considered in the con­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 system and exert their therapeutic effects at multiple sites. They inhibit the release of substance P from primary sensory neurons in the dorsal horn of the spinal cord, mitigating the transfer of painful sensations to the brain (spinal analgesia). Opioid actions in the brainstem modulate nociceptive transmission in the dorsal horn of the spinal cord through descending inhibitory pathways. Opioids probably change the affective response to pain through actions in the forebrain (supraspinal analgesia). Three classical opioid receptors have been identified: m, k, and d. More recently, a fourth opioid receptor, ORL1 (also known as NOP), has also been identified, but its function is quite different from that of the classical opioid receptors. Although the existence of opioid receptor subtypes (e.g., m1, m2, etc.) has been proposed, it is not clear from molecular biology techniques that - gesia by activating opioid receptors on primary afferent  neurons. This leads to inhibition of Ca++, Na+, and TRPV1  currents, which are activated by inflammatory agents.9,62  Subsequently the excitability of nociceptors, the propaga­ tion of action potentials, and the release of proinflammatory  neuropeptides (substance P) from sensory nerve endings  are inhibited. All of these mechanisms result in analgesia or  antiinflammatory effects (or both).9,100 Other mechanisms  accounting for the particular efficacy of peripheral opioids  in pain associated with inflammation include upregula­ tion101 and accelerated centrifugal transport of opioid  receptors in sensory neurons,102 enhanced G-protein cou­ pling of peripheral opioid receptors,103 and disruption of the</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</si>
  <si>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</si>
  <si>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</si>
  <si>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</si>
  <si>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</si>
  <si>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</si>
  <si>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</si>
  <si>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"D",   "Explain": "Windup refers to a mechanism present in the peripheral nervous system in which repetitive noxious stimulation results in a slow temporal summation that is experienced in humans as increased pain." }</t>
  </si>
  <si>
    <t>it should be accepted as pain.31 Nociception is neurophysi­ ological activity in peripheral sensory neurons (nocicep­ tors) and higher nociceptive pathways and is defined by the  IASP as the “neural process of encoding noxious stimuli.”  Nociception is not synonymous to pain. Chronic pain is  defined as “extending in duration beyond the expected  temporal boundary of tissue injury and normal healing,  and adversely affecting the function or well-being of the  individual” by the American Society of Anesthesiologists.32  The IASP subcommittee on taxonomy defined it in 1986 as  “pain without apparent biological value that has persisted  beyond the normal tissue healing time usually taken to be  three months.”  Prevalence Beyond these general definitions there exists no common  understanding about the characteristics of the chronic  pain patient. This may be one reason why estimates of - 51  •  Management of the Patient With Chronic Pain 1607 CLINICAL DEFINITIONS, PREVALENCE, AND  CLASSIFICATION OF CHRONIC PAIN Definitions The International Association for the Study of Pain (IASP)  defines pain as “an unpleasant sensory and emotional expe­ rience associated with actual or potential tissue damage,  or described in terms of such damage.”30 This classifica­ tion further states that pain is always subjective and that  it is a sensation in parts of the body. At the same time, it is  unpleasant and therefore also has emotional/psychological  components. Aside from malignant disease, many people  report chronic pain in the absence of tissue damage or any  likely pathophysiologic cause. There is usually no way to  distinguish their experience from that due to tissue dam­ age. If patients regard their experience as pain or if they  report it in the same ways as pain caused by tissue damage, - 6. Nociception is used to describe the recognition and transmission of painful stimuli. Pain is described as an unpleasant sensory and emotional experience caused by actual or potential tissue damage. (652) 7. Nociceptors are the free nerve endings of afferent myelinated A-delta and unmyelinated C nerve fibers. Nociceptors are stimulated by thermal, mechanical, or chemical tissue damage. (652) 8. Nociceptors, on stimulation, send axonal projections to the dorsal horn of the spinal cord and synapse on second-order neurons there. The axonal projections of the second-order neurons cross to the contralateral half of the spinal cord and ascend the spinothalamic tract to the thalamus in the brain. In the thalamus, these second-order neurons synapse with third-order neurons that send axonal</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</si>
  <si>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</si>
  <si>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</si>
  <si>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</si>
  <si>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</si>
  <si>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</si>
  <si>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</si>
  <si>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symptoms described, such as severe stabbing pain at the base of the tongue triggered by swallowing, yawning, and coughing, are consistent with glossopharyngeal neuralgia, which is a rare condition characterized by pain in the throat and tongue caused by irritation of the glossopharyngeal nerve."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</si>
  <si>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</si>
  <si>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</si>
  <si>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</si>
  <si>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</si>
  <si>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</si>
  <si>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"TENS does not require the use of opioids, which means that patients who use TENS for postoperative pain relief will not experience opioid-induced side effects."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</si>
  <si>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</si>
  <si>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</si>
  <si>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</si>
  <si>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</si>
  <si>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</si>
  <si>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</si>
  <si>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CRPS is based on a combination of clinical findings, including intense pain, swelling, and limited mobility, as well as the absence of other underlying conditions. A thorough history and physical examination are essential in making a diagnosis, and there is no need for specialized tests or procedures such as lumbar sympathetic blocks or phentolamine infusion tests."</t>
  </si>
  <si>
    <t>intense, and/or agonizing. The pain appears to be enhanced by mechanical stimulation, movement, and the application of heat or cold. (702, Table 43-1) 19.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the pain. For the upper extremity a stellate ganglion block may be performed, while for the lower extremities lumbar sympathetic blocks are usually performed. However, there is a significant placebo response to diagnostic blocks, and the true role of sympathetic blocks in the diagnosis and management of CRPS remains in question. (703) 20. The management of CRPS requires a multimodal approach. The primary goal of</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</si>
  <si>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</si>
  <si>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</si>
  <si>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</si>
  <si>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</si>
  <si>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</si>
  <si>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</si>
  <si>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such as thalamic or spinal cord surgery, due to damage to the spinothalamic tract or other pain pathways."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</si>
  <si>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</si>
  <si>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</si>
  <si>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</si>
  <si>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</si>
  <si>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</si>
  <si>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are effective in treating acute radicular pain caused by herniated nucleus pulposus without neurologic deficit, as mentioned in the context." }</t>
  </si>
  <si>
    <t>it allows the concentrated steroid solution to be injected directly adjacent to the spinal nerve close to the site of the inflammation, yet there is little scientific evidence to guide the choice between these two approaches. (706, Figures 43-4, 43-5) 37. One of the many causes of low back pain is pain arising from the facet joints. Facet-related pain should be suspected in patients who have persistent pain over in the lumbosacral area, and have typical patterns of referred pain with maximal tenderness directly over the facet joints. Facet joint blocks are commonly used as a diagnostic tool and involve intraarticular injections of a mixture of local anesthetic and corticosteroids. Intermediate pain relief lasting weeks to months is common and supports the diagnosis of facet-related pain. (706) 38. Radiofrequency denervation of the lumbar facet joints can provide longer - the commonly performed procedures in the pain clinic include: epidural steroid injections, facet joint nerve blocks, and radiofrequency ablation. (705) 35. The injection of steroid into the epidural space is aimed at the inflammatory response that is associated with acute disk herniation. Epidural steroids are most useful for treating acute radicular pain, where a steroid injection if given within 6 weeks can accelerate the resolution of leg pain. Patients should be informed about pain at the injection site and transient worsening of any radicular pain if present on presentation. Infection, bleeding, and neural injury are all uncommon and discussions about these rare complications should be based on individual patient concerns. (705-706) 36. Epidural injection of steroids can be done using either the interlaminar or transforaminal approach. The transforaminal approach may be more effective as</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</si>
  <si>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</si>
  <si>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</si>
  <si>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</si>
  <si>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</si>
  <si>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</si>
  <si>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</si>
  <si>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a common side effect of celiac plexus block procedure due to the ethanol content in the 50% alcohol solution, whereas the other options are not directly related to the procedure."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</si>
  <si>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</si>
  <si>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</si>
  <si>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</si>
  <si>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</si>
  <si>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</si>
  <si>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</si>
  <si>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agitated and generalized tonic-clonic movements after receiving 1 mL of 0.25% bupivacaine, which is a high concentration of bupivacaine. This suggests that the patient may have received a high spinal anesthetic from accidental intrathecal injection, leading to the symptoms." }</t>
  </si>
  <si>
    <t>bupivacaine that might contribute to their differing clinical toxicities? 58. What is the maximum recommended concentration of bupivacaine to be administered for obstetric epidural anesthesia? Why? 59. What relatively simple and apparently effective therapy for treatment of systemic local anesthetic toxicity has been recently introduced into clinical practice? What appears to be its predominant mechanism of action? 60. The administration of which local anesthetics have been associated with methemoglobinemia? What is the mechanism by which this occurs? How can it be treated? 61. What is the nature of the neurotoxicity that has been reported in association with the use of chloroprocaine? What is the mechanism by which this occurs? 62. What is TNS? 63. What is the mechanism by which local anesthetics have resulted in cauda equina syndrome? - (i.e., 0.25% bupivacaine or ropivacaine and 0.5% mepi­ vacaine or lidocaine) might not provide complete motor  blockade. Vasoconstrictors, usually epinephrine, can be added to  the chosen local anesthetic to improve onset of action, to  decrease drug uptake, and to prolong action. A concentra­ tion of 1:200,000 epinephrine is usually recommended.  Ideally, the epinephrine should be added to the local anes­ thetic at the time the block is to be performed. Commercially  prepared solutions with epinephrine have a lower pH than  those in which it is freshly added, resulting in a higher per­ centage of ionized drug molecules. These ionized molecules  do not readily cross the neural membrane, delaying the  onset of drug action after injection. Epinephrine should</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</si>
  <si>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</si>
  <si>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</si>
  <si>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</si>
  <si>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</si>
  <si>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</si>
  <si>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"E",   Explain: "Oxcarbazepine is not mentioned to have more adverse effects than carbamazepine, nor is it stated to be a sodium channel blocker, and a dose adjustment is necessary in patients with renal insufficiency. The most frequent adverse effects of oxcarbazepine are not weight loss and dizziness, but rather dizziness, drowsiness, hypotension, nausea, and asymptomatic mild hyponatremia." }</t>
  </si>
  <si>
    <t>effects. In the United States the FDA has issued black box  warnings about this drug, including aplastic anemia and  agranulocytosis. Therefore its clinical utility is rather lim­ ited considering that newer anticonvulsants are available  with fewer and less severe side effects.  OXCARBAZEPINE Oxcarbazepine is an analogue of carbamazepine, which  acts as a sodium channel blocker and stabilizes neuronal  membrane. In contrast to carbamazepine, oxcarbazepine  has fewer drug-drug interactions and side effects, particu­ larly severe blood dyscrasias. The most common side effects  of oxcarbazepine are dizziness, drowsiness, hypotension,  nausea, and asymptomatic mild hyponatremia. Oxcarbaze­</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</si>
  <si>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</si>
  <si>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</si>
  <si>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</si>
  <si>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</si>
  <si>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</si>
  <si>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</si>
  <si>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"D",   Explain: "Spinal cord stimulation (SCS) is not typically used to treat peripheral vascular disease, as it is primarily used to manage chronic pain conditions, not vascular conditions."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</si>
  <si>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</si>
  <si>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</si>
  <si>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</si>
  <si>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</si>
  <si>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</si>
  <si>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because complex regional pain syndrome is not related to the patient's obstructive lung disease, and the question is asking about treatments for the syndrome, not the underlying condition."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</si>
  <si>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</si>
  <si>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</si>
  <si>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</si>
  <si>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</si>
  <si>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</si>
  <si>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</si>
  <si>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"D",   Explain: "Visceral pain is often associated with nausea and vomiting, whereas somatic pain is not. This is because visceral pain can stimulate the vomiting center in the brain, leading to nausea and vomiting, whereas somatic pain does not have this effect." }</t>
  </si>
  <si>
    <t>be extrapolated to the chronic pain patient. For example,  in cancer patients, etiologies other than opioids have to  be considered, such as radiotherapy and chemotherapy,  uremia, hypercalcemia, bowel obstruction, and increased  intracranial pressure. In addition, pain itself, as well as  anxiety, can cause nausea. Management guidelines for the  treatment of nausea and vomiting are available and the  selection of antiemetics should be mechanism-based.67,120  The medullary chemoreceptor trigger zone, gastrointestinal  stimulation or failure, vestibular and cortical mechanisms,  as well as alterations of taste and smell, may contribute to  nausea and vomiting, particularly in cancer patients. Most  recommendations for the choice of antiemetic medication  include gastrointestinal prokinetics (metoclopramide), phe­</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</si>
  <si>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</si>
  <si>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</si>
  <si>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</si>
  <si>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</si>
  <si>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</si>
  <si>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</si>
  <si>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"D",   Explain: "Preemptive analgesia may have the potential to prevent the development of chronic pain states, as it reduces the phenomenon of central sensitization and neuroplastic changes in the spinal cord, which are thought to contribute to the development of chronic pain." }</t>
  </si>
  <si>
    <t>effectiveness of preemptive analgesia varies according to  the type of surgery, and preemptive analgesia with epidural  morphine was reliably effective in limb and breast surger­ ies but ineffective in abdominal surgery.465 A meta-analysis  demonstrated that the results of preemptive analgesia with  systemic administration of opioids are equivocal.466 Thus,  whether or not preemptive analgesia can be effectively  achieved clinically by the early administration of opioids  remains uncertain and may be highly context specific. Patient-controlled analgesia (PCA) with opioids has  become a widely accepted technique in which to provide  postoperative analgesia, but pharmacokinetic optimiza­ tion of opioid treatment in acute pain is a complex matter.  Without considering effect-site drug concentrations over</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</si>
  <si>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</si>
  <si>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</si>
  <si>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</si>
  <si>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</si>
  <si>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</si>
  <si>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</si>
  <si>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"C",   Explain: "The ophthalmic division of the trigeminal nerve is not typically affected by postherpetic neuralgia, which usually occurs in the thoracic dermatomes, with the most common sites being the midthoracic and lumbar regions."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</si>
  <si>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</si>
  <si>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</si>
  <si>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</si>
  <si>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</si>
  <si>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</si>
  <si>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toxic even before it undergoes metabolism, as it can cause direct gastric irritation and bleeding. However, the majority of its toxicity is due to its metabolites, NAPQI, which can cause liver damage. Therefore, option A is the correct answer."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</si>
  <si>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</si>
  <si>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</si>
  <si>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</si>
  <si>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</si>
  <si>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</si>
  <si>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</si>
  <si>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"E",   "Explain": "Opioids increase the apneic threshold, and reduce the respiratory stimulatory drive of CO2 and hypoxia, leading to a decrease in the apneic threshold." }</t>
  </si>
  <si>
    <t>of opioids on ventilation. Initially, opioids depress ventila­ tion, and arterial tension of carbon dioxide (CO2) gradually  accumulates. Yet, the accumulation of CO2 at normal con­ ditions is a strong stimulant for ventilation, thereby partly  counteracting the ventilatory depressant effects of opioids.  Ventilatory depression is an example in which direct and  indirect drug effects are incorporated. The direct effect of the  opioid is to depress ventilation, and the indirect effect is to  increase arterial tension of CO2. Modeling the time course  of opioid-induced ventilatory depression requires consider­ ation of both components. Bouillon and colleagues devel­ oped a model of ventilatory depression that incorporates  both direct and indirect effects.43-45 As is generally the case  with indirect-effect models, characterizing drug-induced - effects of carbon dioxide, and a decrease in the hypoxic ventilatory drive. The administration of opioids also affects the rate of breathing and the tidal volume. The respiratory rate is typically slowed and insufficiently compensated by an increase in the tidal volume. Consequently, the minute ventilation is decreased. The mechanism by which these effects of opioids on ventilation occur is thought to be through the direct depression of the medullary ventilatory centers. (120-121) 14. The administration of opioids results in several central nervous system effects. Opioids are unable to produce a dose-related general depression of the central nervous system typical of other general anesthetics. Instead, opioids have a ceiling effect that is not overcome by increasing the administered dose of opioids. Opioids do contribute to the MAC of anesthesia delivered and decrease the amount of volatile agent required to achieve a given anesthetic depth. - RESPIRATORY DEPRESSION The lack of adequate pain relief can cause shallow respi­ ration leading to postoperative respiratory dysfunction  including atelectasis, and therefore opioids can serve as a  foundational component of postoperative analgesia to pre­ vent or correct respiratory impairment. However, opioids  can also dose dependently depress respiration, represent­ ing the most feared adverse effect. The incidence of opioid- induced respiratory depression varies from 0.1% to 37%,  depending on the route of opioid administration, the type  of opioid, the definition and method of monitoring opioid- induced respiratory depression, and the prospective versus  retrospective nature of the study, and is a significant cause  of death and brain damage in the perioperative period.250 Opioids activating the μ receptor cause dose-dependent  depression of respiration, primarily through a direct action - increases the apneic threshold, and reduces the respiratory  stimulatory drive of CO2 and hypoxia. Research efforts to  block or reverse opioid-induced respiratory depression are  ongoing and include a focus on AMPA, 5-HT1A, and cal­ cium-activated potassium channels. The μ-receptor antag­ onist, naloxone, continues to be the most commonly used  clinical intervention to reverse opioid-induced respiratory  depression, however its effectiveness may be limited if the  administered opioid has a greater binding affinity and/or  half-life than naloxone.  Cardiovascular Effects of Opioids Numerous reports have demonstrated that large doses  of opioid, administered as the sole or primary anesthetic,  result in hemodynamic stability throughout the operative  period. This remarkable physiologic state is a result of a  number of complementary mechanisms.</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</si>
  <si>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</si>
  <si>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</si>
  <si>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</si>
  <si>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</si>
  <si>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</si>
  <si>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"Alcohol has a greater tendency to produce neuritis, making it a less preferred option for neurolysis." }</t>
  </si>
  <si>
    <t>rectum cancer, intrathecal neurolysis may be considered  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</si>
  <si>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</si>
  <si>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</si>
  <si>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</si>
  <si>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</si>
  <si>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</si>
  <si>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"Pain theories currently being proposed postulate a system involving excitatory and inhibitory input with resulting sensation, where pain is not just a simple stimulus-to-nervous system path, but rather a complex process involving both excitatory and inhibitory signals that interact to produce the sensation of pain." }</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</si>
  <si>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</si>
  <si>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</si>
  <si>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</si>
  <si>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</si>
  <si>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</si>
  <si>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</si>
  <si>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meaning that the pain and symptoms occur on one side of the head and are accompanied by autonomic symptoms such as tearing, sweating, and nasal congestion on the same side." }</t>
  </si>
  <si>
    <t>been transmitted inadvertently by surgical instruments and  corneal transplants; the causative virus or protein particle is  not inactivated by heat, disinfectants, or formaldehyde. More than 90% of patients with chronic recurring  headaches are categorized as having migraine, tension,  or cluster headaches. The mechanism of tension or clus­ ter headaches may not differ qualitatively from that of  migraine headaches; all may be manifestations of labile  vasomotor regulation.283 A headache is said to be migraine  if it is characterized by four of the following five “POUND­ ing” conditions: if it is Pulsating, if it lasts One day or more,  if it is Unilateral, if Nausea occurs, and if it Disturbs daily  activities.284 Treatment of cluster and migraine headaches centers on</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</si>
  <si>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</si>
  <si>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</si>
  <si>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</si>
  <si>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</si>
  <si>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</si>
  <si>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</si>
  <si>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"Orthostatic headache is a characteristic symptom of spontaneous intracranial hypotension (SIH), which worsens upon standing and improves when lying down."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</si>
  <si>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</si>
  <si>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</si>
  <si>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</si>
  <si>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</si>
  <si>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</si>
  <si>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</si>
  <si>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a known adverse effect of epidurally administered glucocorticoids. The other options, A, B, and E, are all potential adverse effects of prolonged or high-dose glucocorticoid use."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</si>
  <si>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</si>
  <si>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</si>
  <si>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</si>
  <si>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</si>
  <si>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</si>
  <si>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</si>
  <si>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not a minor consideration in an SCI patient, but rather a major concern that affects their quality of life and overall well-being."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</si>
  <si>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</si>
  <si>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</si>
  <si>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</si>
  <si>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</si>
  <si>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</si>
  <si>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</si>
  <si>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as there is no single diagnostic test that can confirm the diagnosis. The diagnosis is based on a combination of clinical findings, including pain, swelling, skin temperature changes, and limited range of motion."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</si>
  <si>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</si>
  <si>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</si>
  <si>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</si>
  <si>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</si>
  <si>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</si>
  <si>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</si>
  <si>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"“Bowel and bladder function is almost always preserved” is not true in neurolytic treatment of cancer pain, as mentioned in the context that intrathecal neurolysis may be considered if bladder and sphincter function are not of concern." }</t>
  </si>
  <si>
    <t>rectum cancer, intrathecal neurolysis may be considered  if bladder and sphincter function are not of concern.134,135  An indication for thoracic intrathecal or epidural neu­ rolysis might be advanced lung cancer.136 As a neurolytic  agent, alcohol may be preferred due to its perceived higher  success rate and longer duration of pain relief (3-6 months)  compared to phenol (2-3 months), although no studies  directly comparing these two agents are available. The lim­ ited period of pain reduction and the limited possibility of  repeat injections are reasons why neurolysis is mostly used  in patients with short life expectancy.137  Non-Cancer-Associated Pain Both the complexity of factors contributing to pain percep­ tion and perpetuation (see earlier in sections “Biopsychoso­ cial Concept of Pain” and “Interdisciplinary Management - costal nerves, which produces segmental neuralgia. In these  cases, intercostal nerve blocks and neurolysis can be of use  and accomplished under fluoroscopic or ultrasound guid­ ance, most commonly with alcohol or phenol.  Bladder Cancer The most common urothelial tumor is transitional cell  carcinoma of the bladder. Painless hematuria is the most  common manifestation, although patients may complain  of bladder irritability if there is involvement of the muscu­ lar layers. Surgical treatment includes fulguration, trans­ urethral resection, or cystectomy. Pain control is best  accomplished with NSAIDs, acetaminophen, opioids, and  neuromodulatory agents.  Prostate Cancer Adenocarcinoma of the prostate is the most common can­ cer in men and is usually painless, discovered incidentally - 20. What is the treatment for complex regional pain syndrome? How does the time delay to diagnosis and treatment affect treatment outcome? 21. What pharmacologic agents are commonly used for intravenous regional sympathetic nerve blockade? How is this technique believed to work? CANCER-RELATED PAIN 22. What are the various ways in which cancer can cause pain? What is the primary treatment for cancer pain? 23. What are some oral analgesics used to treat persistent cancer pain? What is the World Health Organization stepwise approach to managing cancer-related pain? 24. When oral intake by patients is limited, what are some alternative routes of analgesic drug delivery used to manage persistent cancer pain? 25. What are some neurosurgical procedures for the treatment of chronic pain that may be useful in cancer patients in whom less invasive procedures have been unsuccessful in providing pain control?</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</si>
  <si>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</si>
  <si>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</si>
  <si>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</si>
  <si>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</si>
  <si>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</si>
  <si>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</si>
  <si>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but intrathecal delivery does not necessarily avoid the blood brain barrier, as the drug can still be absorbed into the bloodstream and then distributed to the brain." }</t>
  </si>
  <si>
    <t>Which one of the following opioids does not produce dose-dependant bradycardia?</t>
  </si>
  <si>
    <t>A. Morphine</t>
  </si>
  <si>
    <t>B. Fentanyl</t>
  </si>
  <si>
    <t>C. Meperidine</t>
  </si>
  <si>
    <t>D. Sufentanil</t>
  </si>
  <si>
    <t>E. Alfentanil</t>
  </si>
  <si>
    <t>{   "Answer": "C",   Explain: "Meperidine does not produce dose-dependent bradycardia, whereas the other options, including morphine, fentanyl, sufentanil, and alfentanil, can cause bradycardia as a side effect." }</t>
  </si>
  <si>
    <t>The stellate ganglion is located between</t>
  </si>
  <si>
    <t>A. C6-C7</t>
  </si>
  <si>
    <t>B.C7-T1</t>
  </si>
  <si>
    <t>C. C5-C7</t>
  </si>
  <si>
    <t>D. C5-C6</t>
  </si>
  <si>
    <t>E. T1-T2</t>
  </si>
  <si>
    <t>{   "Answer": "B",   Explain: "The stellate ganglion is located at the base of the neck, and it is situated between the anterior and posterior rami of the seventh cervical vertebra (C7) and the first thoracic vertebra (T1)."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</si>
  <si>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</si>
  <si>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</si>
  <si>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</si>
  <si>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</si>
  <si>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</si>
  <si>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</si>
  <si>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"Tramadol does affect norepinephrine and serotonin neurotransmission, which is a characteristic of its mechanism of action." }</t>
  </si>
  <si>
    <t>The paroxysmal hemicranias are rare benign headache disorders that may typically be associated with all of the following EXCEPT</t>
  </si>
  <si>
    <t>A. conjunctival injection</t>
  </si>
  <si>
    <t>B. rhinorrhea</t>
  </si>
  <si>
    <t>C. ptosis</t>
  </si>
  <si>
    <t>D. eyelid edema</t>
  </si>
  <si>
    <t>E. monocular blindness</t>
  </si>
  <si>
    <t>{   "Answer": "E",   Explain: "Monocular blindness is not typically associated with paroxysmal hemicranias, which are characterized by short-lasting, recurring headaches often accompanied by autonomic symptoms such as conjunctival injection, rhinorrhea, and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</si>
  <si>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</si>
  <si>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</si>
  <si>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</si>
  <si>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</si>
  <si>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</si>
  <si>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</si>
  <si>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"Acupuncture should not be offered as part of comprehensive pain management until more clinical trials proving its efficacy have been completed is a recommendation from the American College of Physicians, not a statement about the theory and use of acupuncture itself."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</si>
  <si>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</si>
  <si>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</si>
  <si>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</si>
  <si>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</si>
  <si>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</si>
  <si>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</si>
  <si>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reducing pain transmission. Spinal cord stimulators work by activating these large-diameter afferents, thereby reducing pain signals to the brain."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</si>
  <si>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</si>
  <si>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</si>
  <si>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</si>
  <si>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</si>
  <si>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</si>
  <si>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</si>
  <si>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 activity, which means that once it binds to the enzyme, it permanently alters its structure, making it unable to function. This is why the duration of aspirin's effect is related to the turnover rate of COX in different target tissues, as it takes time for new COX enzymes to be produced and replace the inhibited ones." }</t>
  </si>
  <si>
    <t>It acetylates a serine residue on COX-1 and prevents the  production of TxA2 in platelets.145 COX-2, which leads  to antiinflammatory and analgesic effects, is 170 times  less sensitive than COX-1 to aspirin so only at high doses  can aspirin irreversibly inhibit both COX-1 and COX-2.146  Because platelets are anuclear, they are unable to synthe­ size new COX-1 once aspirin has irreversibly inhibited the  enzyme. Consequently, despite its short half-life of approxi­ mately 15 to 20 minutes, aspirin’s inhibitory effect persists  through the platelet lifespan of 7 to 10 days.147 The recovery of platelet function after aspirin depends  on platelet turnover. Generally, megakaryocytes generate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 constitutive tissue-protective COX-1 would be spared. It has  now become clear that COX-2 expression is constitutive in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</si>
  <si>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</si>
  <si>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</si>
  <si>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</si>
  <si>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</si>
  <si>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</si>
  <si>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</si>
  <si>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"Aspirin and nonsteroidal anti-inflammatory drugs (NSAIDs) inhibit prostaglandin G/H synthase enzymes, which are the key enzymes involved in the production of prostaglandins and thromboxanes, leading to anti-inflammatory and anti-pain effects." }</t>
  </si>
  <si>
    <t>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 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</si>
  <si>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</si>
  <si>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</si>
  <si>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</si>
  <si>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</si>
  <si>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</si>
  <si>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</si>
  <si>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"C",   "Explain": "Methadone has several active metabolites, including 2-ethylidene-1,5-dimethyl-3,3-diphenylglutarimide and 2-ethyl-5-methyl-3,3-diphenylglutarimide, which contribute to its prolonged duration of action." }</t>
  </si>
  <si>
    <t>2000;91:1483–1488. _x0001_222._x0001_ _x0007_Holtman Jr JR, Wala EP. Characterization of the antinociceptive  and pronociceptive effects of methadone in rats. Anesthesiology.  2007;106:563–571. _x0001_223._x0001_ _x0007_Mercieri M, Palmisani S, De Blasi RA, et al. Low-dose buprenorphine  infusion to prevent postoperative hyperalgesia in patients undergoing  major lung surgery and remifentanil infusion: a double-blind, ran­ domized, active-controlled trial. Br J Anaesth. 2017;119:792–802. _x0001_224._x0001_ _x0007_Kong M, Yang L, Li J, et al. Low-dose butorphanol alleviates remifet­ anil-induced hyperalgesia in patients undergoing laparoscopic cho­</t>
  </si>
  <si>
    <t>Ketamine and memantine are NMDA receptor</t>
  </si>
  <si>
    <t>A. allosteric regulators</t>
  </si>
  <si>
    <t>B. agonists</t>
  </si>
  <si>
    <t>C. inverse agonists</t>
  </si>
  <si>
    <t>D. antagonists</t>
  </si>
  <si>
    <t>{   "Answer": "D",   Explain: "Ketamine and memantine are NMDA receptor antagonists, which means they block the action of NMDA receptors, thereby reducing the activity of glutamate, a neurotransmitter involved in pain and memory." }</t>
  </si>
  <si>
    <t>NMDA receptors, ketamine and, 52, 60 Nociception, 450, 452 Nodes of Ranvier, 73, 77 Noncardiac surgery, revascularization and, 102, 106 Noncatecholamine sympathomimetic amines, 30, 35 Noncompetitive antagonism, 8, 14 Nondepolarizing neuromuscular blocking drugs, 85, 93–95 antagonism of, 87, 99–101 in elderly patients, 408, 414, 416 intermediate-acting, 86, 95–96 long-acting, 86, 95 monitoring effects of, 86–87, 97–99 short-acting, 86, 96–97 Noninvasive positive-pressure ventilation (NIPPV), 441, 445, 458, 461–462 - thetic Ketamine on Intrinsic Functional Brain Connectivity A Pla­ cebo-controlled Functional Magnetic Resonance Imaging Study in  Healthy Male Volunteers. Anesthesiology. 2012;117:868–877. _x0001_ 287._x0001_ _x0007_Niesters M, Dahan A. Pharmacokinetic and pharmacodynamic  considerations for NMDA receptor antagonists in the treatment of  chronic neuropathic pain. Expert Opin Drug Metab. 2012;8:1409– 1417. _x0001_ 288._x0001_ _x0007_Lee EE, Della Selva MP, Liu A, Himelhoch S. Ketamine as a novel  treatment for major depressive disorder and bipolar depression: a  systematic review and quantitative meta-analysis. Gen Hosp Psy­ chiatry. 2015;37(2):178–184. - GABABDZ agonist drugs that work via benzodiazepine binding site include midazolam and diazepam); NMDA, N-methyl-D-aspartate (NMDA receptor  antagonists include ketamine) (From Hendrickx J, Eger EI 2nd, Sonner JM, et al. Is synergy the rule? A review of anesthetic interactions producing hypnosis  and immobility. Anesth Analg. 2008;107:494–506.) - References 679.e7 _x0001_ 280._x0001_ _x0007_Kharasch ED, Herrmann S, Labroo R. Ketamine As A Probe for  Medetomidine Stereoisomer Inhibition of Human Liver Microsomal  Drug-Metabolism. Anesthesiology. 1992;77:1208–1214. _x0001_ 281._x0001_ _x0007_Sigtermans M, Dahan A, Mooren R, et al. S(+)-ketamine effect on  experimental pain and cardiac output: a population pharmacoki­ netic-pharmacodynamic modeling study in healthy volunteers.  Anesthesiology. 2009;111:892–903. _x0001_ 282._x0001_ _x0007_Sigtermans MJ, van Hilten JJ, Bauer MC, et  al. Ketamine pro­ duces effective and long-term pain relief in patients with Complex  Regional Pain Syndrome Type 1. Pain. 2009;145:304–311.</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</si>
  <si>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</si>
  <si>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</si>
  <si>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</si>
  <si>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</si>
  <si>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</si>
  <si>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</si>
  <si>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"C",   Explain: "Aspirin and NSAIDS are non-selective COX inhibitors, meaning they inhibit both COX-1 and COX-2 enzymes. They readily cross the blood-brain barrier, but their chemical structure does not consist of aromatic rings connected to basic functional groups. They act mainly in the periphery, not in the brain, and are metabolized by the liver."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</si>
  <si>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</si>
  <si>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</si>
  <si>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</si>
  <si>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</si>
  <si>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</si>
  <si>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</si>
  <si>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</si>
  <si>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is a type of headache disorder that involves pain or discomfort in the distribution of the greater occipital nerve, which is a branch of the dorsal primary rami of the first cervical spinal nerve. The pain is typically felt at the back of the head, often radiating to the neck, shoulder, or scalp." }</t>
  </si>
  <si>
    <t>A tricyclic antidepressant in the secondary amine class is</t>
  </si>
  <si>
    <t>A. imipramine</t>
  </si>
  <si>
    <t>B. nortriptyline</t>
  </si>
  <si>
    <t>C. doxepin</t>
  </si>
  <si>
    <t>D. amitriptyline</t>
  </si>
  <si>
    <t>E. trazodone</t>
  </si>
  <si>
    <t>{   "Answer": "D",   Explain: "A tricyclic antidepressant in the secondary amine class is amitriptyline, which is mentioned in the context as a first-line drug for pain therapy." }</t>
  </si>
  <si>
    <t>and diagnosis, realistic goals should be discussed with the patient. Therapy is usually begun with a tricyclic antidepressant, SNRI, or anticonvulsant as the first- line drug, followed by opioids or tramadol, alone or in combination (second-line drugs). Serial follow-ups are conducted to evaluate response to therapy and alternative first- or second-line drugs are commenced based on the response. Certain antiepileptics, antidepressants, and NMDA receptor antagonists can be used as a third line of drugs for a selective group of patients who respond poorly to the previous therapy. (704, Table 43-3) INTERVENTIONAL PAIN THERAPIES 34. The term interventional pain therapy encompasses a variety of treatments used for specific pain syndromes and these range from diagnostic nerve blocks to therapeutic injections of steroids and sympathetic nerve blocks. Some of</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</si>
  <si>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</si>
  <si>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</si>
  <si>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</si>
  <si>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</si>
  <si>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</si>
  <si>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 neurotransmitter that is involved in the transmission of nociceptive signals in the dorsal horn of the spinal cord, making it an excitatory substance rather than an inhibitory one." }</t>
  </si>
  <si>
    <t>both presynaptic and postsynaptic sites in the dorsal horn  of the spinal cord. It is well known that opioids decrease  the pain-evoked release of tachykinins from primary affer­ ent nociceptors. However, the degree that opioids can  suppress tachykinin signaling in response to noxious stim­ ulation remains controversial.64 These results suggest that  although opioid administration may reduce tachykinin  release from primary afferent nociceptors, the reduction  may not be a major modulator on the actions of tachykinins  on postsynaptic pain-transmitting neurons.  Peripheral Mechanism Opioids may also produce analgesia through the peripheral  mechanism.65 Immune cells infiltrating the inflammation  site may release endogenous opioid-like substances, which  act on the opioid receptors located on the primary sensory - by the painful stimulus. Neurotransmitters or second messenger effectors (e.g., substance P, protein kinase C-g) may also play important roles in spinal cord sensitization and chronic pain. (652, Table 40-3) 13. Examples of pain modulating neurotransmitters include glutamate, aspartate, vasoactive intestinal polypeptide, cholecystokinin, gastrin-releasing peptide, angiotensin, and substance P. Examples of inhibitory neurotransmitters that are believed to modulate painful stimuli include enkephalins, endorphins, and somatostatin. (652, Table 40-3) 14. The precise definition of preemptive analgesia is one of the major controversies in perioperative pain medicine, and contributes to the confusion regarding its clinical</t>
  </si>
  <si>
    <t>Which one of the following is a nociceptor?</t>
  </si>
  <si>
    <t>A. Meissner’s corpuscles</t>
  </si>
  <si>
    <t>B. Pacinian corpuscles</t>
  </si>
  <si>
    <t>C. Merkel’s disks</t>
  </si>
  <si>
    <t>D. Free nerve endings on A-delta and C fibers</t>
  </si>
  <si>
    <t>E. Golgi–Mazzoni endings</t>
  </si>
  <si>
    <t>{   "Answer": "D",   Explain: "D. Free nerve endings on A-delta and C fibers are nociceptors, responsible for detecting and transmitting pain signals from the periphery to the spinal cord."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</si>
  <si>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</si>
  <si>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</si>
  <si>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</si>
  <si>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</si>
  <si>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</si>
  <si>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</si>
  <si>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"B",   Explain: "Myofascial pain is often chronic and requires ongoing treatment, so it is not necessarily recommended to treat it early in the course of the disease. Instead, treatment is often focused on managing symptoms and improving quality of life."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</si>
  <si>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</si>
  <si>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</si>
  <si>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</si>
  <si>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</si>
  <si>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</si>
  <si>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</si>
  <si>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actually involved in the regulation of attention and arousal, not pain processing."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</si>
  <si>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</si>
  <si>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</si>
  <si>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</si>
  <si>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</si>
  <si>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</si>
  <si>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as it is a structural analog of γ-aminobutyric acid, but it does not bind directly to the GABA receptor." }</t>
  </si>
  <si>
    <t>ziconotide, and levetiracetam are examples of drugs that  block calcium channels as a part of their mechanisms of  action and have been used in pain management. GABAPENTIN Gabapentin was initially approved by the U.S. Food and  Drug Administration (FDA) as an anticonvulsant (partial  seizure) and is currently extensively used for the treatment  of neuropathic pain conditions. Although gabapentin’s  mechanism of action is unclear, it does block voltage-gated  calcium channels by binding to the α2-δ subunit,23 thereby  reducing calcium influx. By blocking calcium influx, gaba­ pentin reduces the release of glutamate and substance P  from primary nociceptive afferents, thereby modulating  nociceptive transmission. Gabapentin has been used to  treat painful diabetic neuropathy, postherpetic neuralgia, - sumption during 24 hours.665  GABAPENTINOIDS Gabapentinoids, such as gabapentin and pregabalin, struc­ tural analogs of γ-aminobutyric acid, bind to the α2δ sub­ unit of spinal voltage-gated calcium channel, and produce  antihyperalgesic effects in neuropathic and other painful  conditions. It was suggested that both pharmacodynamic  and pharmacokinetic interaction between morphine and  gabapentin leads to increased analgesic effects.666 Further­ more, intrathecal administration of gabapentin was shown  to prevent the development of opioid tolerance induced by  repeated intrathecal injection of morphine.667 It might be  possible that systemic and intrathecal application of gaba­ pentin prevents the development of OIH.668 Preoperative - the α2-δ subunit of voltage-sensitive calcium channels. The  mechanism of action of pregabalin is similar to that of gaba­ pentin. Pregabalin decreases calcium influx, thereby reduc­ ing the release of excitatory neurotransmitters, including  glutamate, substance P, and calcitonin gene–related pep­ tide. Pregabalin has no activity on GABA or benzodiazepine  receptors; therefore it has no significant drug-drug interac­ tions with such agents. Pregabalin has been used to treat painful diabetic neu­ ropathy and postherpetic neuralgia, with a significant ther­ apeutic effect.28,29 It has a quick onset, and, in some cases,  pain reduction can be expected on the first day of treatment  with pregabalin (300 mg/day). Sustainable sleep improve­</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</si>
  <si>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</si>
  <si>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</si>
  <si>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</si>
  <si>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</si>
  <si>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</si>
  <si>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</si>
  <si>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"There is no mention in the context that PCA does not need to adjust dosing parameters with increasing age, so option C is the correct answer." }</t>
  </si>
  <si>
    <t>Patient-Controlled Epidural Analgesia Epidural analgesia has traditionally been delivered at a fixed  rate or as a CEI; however, the administration of epidural  analgesia through a patient-controlled device (PCEA) has  become more common. Like IV PCA, PCEA allows individu­ alization of postoperative analgesic requirements and may  have several advantages over CEI, including lower drug use  and better patient satisfaction. PCEA may also provide anal­ gesia superior to that afforded by IV PCA.91 PCEA is a relatively safe and effective technique for  postoperative analgesia on routine surgical wards. Obser­ vational data from two series of over 1000 patients each  reveal that more than 90% of patients with PCEA receive  adequate analgesia, with a median pain score of 1 (of a pos­ - patient-controlled analgesia (PCA) optimizes delivery of anal­ gesic opioids and minimizes the effects of pharmacokinetic  and pharmacodynamic variability in individual patients. IV  PCA is based on the premise that a negative-feedback loop  exists; when pain is experienced, analgesic medication is self- administered, and when pain is reduced, there are no further  demands. When the negative-feedback loop is violated, exces­ sive sedation or respiratory depression may occur. Although  some equipment-related malfunctions can occur, the PCA  device itself is relatively free of problems, and most problems  related to PCA use result from user or operator error.30 A PCA device can be programmed for several variables,  including the demand (bolus) dose, lockout interval, and  background infusion (Table 81.1). An optimal demand or - nificant difference in morphine pharmacokinetics between  adults with and without burn injury.242 Patient-controlled analgesia (PCA) with intravenous  opioids has been shown to be a safe and effective method of  opioid delivery for acute or procedure-related pain in both  children and adults with burn injury.243-246 PCA also pro­ vides benefit by allowing the patient to retain some degree  of control over his/her medical care (i.e., control coping). The analgesic efficacy of opioids decreases with time  resulting in the need for increasing dosage requirements to  achieve an equivalent effect. Opioid tolerance, a diminished  opioid anti-nociceptive effect following repeated exposure to  opioid, may be apparent as early as after 1 week of uninter­ rupted opioid use.175 It is not uncommon for these patients to - patients using this system after cardiac surgery had satis­ factory pain control with only moderate adverse effects. The initial developments of PCS systems enabled the  patient to request bolus drug administration (propofol or  midazolam), or occasionally an increase in drug infusion  rate.226-230 Studies on the quality and outcomes after PCS  have shown that it reduces discomfort and fear by inducing</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</si>
  <si>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</si>
  <si>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</si>
  <si>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</si>
  <si>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</si>
  <si>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</si>
  <si>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</si>
  <si>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not directly dependent on the histology of the nerve, as the agent's ability to lyse the nerve is based on its chemical composition and concentration, not the type of nerve tissue it is applied to."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</si>
  <si>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</si>
  <si>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</si>
  <si>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</si>
  <si>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</si>
  <si>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</si>
  <si>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</si>
  <si>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"Bupivacaine provides prolonged pain relief, allowing for improved pain management and reduced discomfort, which can lead to little difference in vital capacity but marked pain relief, making option C the best answer." }</t>
  </si>
  <si>
    <t>The McGill Pain Questionnaire</t>
  </si>
  <si>
    <t>A. consists of three major measures</t>
  </si>
  <si>
    <t>B. was developed by McGill</t>
  </si>
  <si>
    <t>C. is not widely used</t>
  </si>
  <si>
    <t>D. is a single-dimensional pain scale</t>
  </si>
  <si>
    <t>E. does not ask about the location of pain</t>
  </si>
  <si>
    <t>{   "Answer": "A",   Explain: "The McGill Pain Questionnaire consists of multiple dimensions, including sensory, affective, and evaluative components, making it a multidimensional pain assessment tool."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</si>
  <si>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</si>
  <si>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</si>
  <si>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</si>
  <si>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</si>
  <si>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</si>
  <si>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as mentioned in the context about intrathecal morphine." }</t>
  </si>
  <si>
    <t>fentanyl or sufentanil.225 With intrathecal morphine,  there is a risk of late respiratory depression, occurring  as much as 24 hours after injection. Respiratory moni­ toring for the first 24 hours after the administration of  intrathecal morphine is therefore advisable. Patients  with sleep apnea can be especially sensitive to the potent  respiratory-depressant effects of opioid medications and  although definitive safety data evidence is lacking, the  decision to administer neuraxial opioids to these patients  is made with considerable caution.393,394 Older patients  also have a higher risk of respiratory depression, and the  dose of neuraxial opioids should be reduced in this popu­ lation (see Chapter 65). Coadministration of systemic  sedatives also increases this risk.  INFECTION</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</si>
  <si>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</si>
  <si>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</si>
  <si>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</si>
  <si>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</si>
  <si>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</si>
  <si>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</si>
  <si>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"When the aortic cross-clamp is applied proximal to the renal arteries, it increases systemic vascular resistance and central venous pressure, leading to a decrease in cardiac output and blood pressure." }</t>
  </si>
  <si>
    <t>enteric shunting to reduce visceral ischemia, although they  lack enough clinical evidence to support any of them. When the simple clamp-and-sew technique is used, the  application of the aortic cross-clamp results in significant  proximal hypertension, which requires active pharma­ cologic intervention. Management strategies have been  discussed previously in the section on abdominal aortic  reconstruction.  Left Heart Bypass Maintaining lower body perfusion with the use of retrograde  distal aortic perfusion reduces ischemic injury and improves  outcome, provided the pressure is high enough to perfuse  the organs. The simplest method of providing distal aortic  perfusion is a passive conduit or shunt. The heparin-bonded  Gott shunt was developed to avoid the need for systemic - administration of b-adrenergic antagonists, statins, and aspirin may reduce cardiac risk. (405) 140. Patients with coronary artery disease are especially at risk of myocardial ischemia during surgery for resection of an aortic aneurysm during cross-clamping of the aorta. Cross-clamping of the aorta at the suprarenal or supraceliac level creates the greatest increase in systemic vascular resistance and central venous pressure, and a decrease in cardiac output. On the pulmonary artery catheter, cross-clamping of the aorta would result in an increase in the pulmonary artery occlusion pressure. In contrast, cross-clamping the aorta below the level of the renal arteries creates minimal hemodynamic changes. The hemodynamic response to aortic cross-clamping is influenced by the patient’s cardiac status, intravascular fluid</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</si>
  <si>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</si>
  <si>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</si>
  <si>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</si>
  <si>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</si>
  <si>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</si>
  <si>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</si>
  <si>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a physiological response to ocular irritation, characterized by bradycardia, and is not fatigable. Therefore, option D, fatigability of the reflex, is not associated with the oculocardiac reflex." }</t>
  </si>
  <si>
    <t>Strabismus Q. 2004;19:215–222. _x0001_301._x0001_ _x0007_Hahnenkamp K, Honemann CW, Fischer LG, et al. Effect of differ­ ent anaesthetic regimes on the oculocardiac reflex during paediatric  strabismus surgery. Paediatr Anaesth. 2000;10:601–608. _x0001_302._x0001_ _x0007_Blunk JA, Schmelz M, Zeck S, et al. Opioid-induced mast cell acti­ vation and vascular responses is not mediated by mu-opioid recep­ tors: an in  vivo microdialysis study in human skin. Anesth Analg.  2004;98:364–370, table of contents. _x0001_303._x0001_ _x0007_Stefano GB. Autoimmunovascular regulation: morphine and anan­ damide and ancondamide stimulated nitric oxide release. J Neuroim­</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</si>
  <si>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</si>
  <si>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</si>
  <si>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</si>
  <si>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</si>
  <si>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</si>
  <si>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</si>
  <si>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"E",   "Explain": "Hetastarch is metabolized in the liver to glucose monomers, which can lead to hyperglycemia and worsen septic shock in patients with septic shock." }</t>
  </si>
  <si>
    <t>lar necrosis caused by sepsis. The surgical procedure itself  can alter renal vascular patency, decreasing renal perfu­ sion. Finally, increased intraabdominal pressure (IAP) can  impair renal perfusion. Judicious intraoperative fluid management is of utmost  importance both during the surgical procedure and in the  postoperative period. Hemodynamics must be monitored  to ensure that relative intravascular volume is sufficient to  allow for tissue perfusion and avoidance of organ hypoxia  and dysfunction. Crystalloid solutions are ubiquitous in  the operating room and PACU. Balanced solutions (lac­ tated Ringers, Plasmalyte) may be superior to chloride-only  containing solutions (NaCl), as hyperchloremia is associ­ ated with the development of AKI.107 A study published</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</si>
  <si>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</si>
  <si>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</si>
  <si>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</si>
  <si>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</si>
  <si>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</si>
  <si>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</si>
  <si>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can be affected by myasthenia gravis, which is a neuromuscular disorder that can cause weakness in various muscles, including smooth and cardiac muscles."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</si>
  <si>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</si>
  <si>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</si>
  <si>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</si>
  <si>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</si>
  <si>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</si>
  <si>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</si>
  <si>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"Neostigmine is a cholinesterase inhibitor that can exacerbate myasthenia gravis, making it contraindicated in patients with this condition."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</si>
  <si>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</si>
  <si>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</si>
  <si>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</si>
  <si>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</si>
  <si>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</si>
  <si>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</si>
  <si>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"The recommended dose of local anesthetic for a 2-year-old child is 1-2 mg/kg. For a 12 kg child, this would be 12-24 mg. Since 0.5% bupivacaine is 5 mg/mL, the maximum dose would be 4.8 mL (24 mg ÷ 5 mg/mL). However, the question asks for the maximum dose for local infiltration at the incision sites, which is typically limited to 1-2 mg/kg. Therefore, the maximum dose for this patient would be 1.2-2.4 mg/kg, which is approximately 6-12 mg. Since 0.5% bupivacaine is 5 mg/mL, the maximum dose would be 1.2-2.4 mL. The closest option is 6 mL." }</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</si>
  <si>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</si>
  <si>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</si>
  <si>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</si>
  <si>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</si>
  <si>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</si>
  <si>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</si>
  <si>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"Clindamycin is a macrolide antibiotic that is not a beta-lactam and is less likely to cause a severe rash in this patient with a history of severe rash following beta-lactam antibiotics. It is also a good choice for arthroscopic surgery, as it has good coverage against skin flora."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</si>
  <si>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</si>
  <si>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</si>
  <si>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</si>
  <si>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</si>
  <si>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</si>
  <si>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</si>
  <si>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which refers to the amount of carbon dioxide removed from the blood by the lungs." }</t>
  </si>
  <si>
    <t>49. The perfusionist controls oxygenation and ventilation during cardiopulmonary bypass by adjusting the blend of air and oxygen (FIO2) and the flow rate (sweep) of the fresh gas. (426) 50. Blood temperature is adjusted during cardiopulmonary bypass by running cooled or warmed water through a coil in contact with the blood path. (426) 51. Mechanical quiescence and myocardial protection is provided during cardiopulmonary bypass through the administration of cold hyperkalemic crystalloid solution. (426) 52. The lowest acceptable level of anemia during cardiopulmonary bypass varies from institution to institution, but is commonly in the range of 20% to 30%. (427) 53. During cardiopulmonary bypass, cerebral and myocardial protection is achieved by mild to moderate systemic hypothermia. Active rewarming is usually initiated</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</si>
  <si>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</si>
  <si>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</si>
  <si>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</si>
  <si>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</si>
  <si>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</si>
  <si>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</si>
  <si>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"C",   "Explain": "The child ate a sandwich 2 hours before his accident, and solid foods should not be ingested sooner than 6 to 8 hours before anesthesia. Therefore, he should not be operated on for 6 hours." }</t>
  </si>
  <si>
    <t>of the obstruction. Ideally the child should be fasting. Sev­ eral anesthetic techniques have been described. Clear, effec­ tive, and ongoing communication with the surgeon before  and throughout the procedure is paramount. Often anti­ cholinergic agents are given prior to induction to reduce  secretions and steroids given to reduce airway swelling. Ide­ ally, spontaneous ventilation is maintained to reduce the  risk of positive ventilation pushing the object further dis­ tally, which makes extraction more technically challeng­ ing. Once the child is deeply anesthetized, local anesthetic  should be directly applied to the glottis and trachea. Anes­ thesia may be maintained with volatile agents through the  bronchoscope or with a propofol infusion. Propofol infusion  may provide a more reliable delivery. It also avoids the issue - formula allowed up to 6 hours before induction. Solid foods should not be ingested sooner than 6 to 8 hours before anesthesia. These guidelines apply to all ages of pediatric patients. (555-556) 47. Premedication of the pediatric patient should take into consideration the age of the patient, the patient’s underlying medical condition, the length of surgery, the mode of induction of anesthesia, and whether the patient will be staying in the hospital after the procedure. Infants younger than 6 months old typically do not require premedication, whereas patients between 9 months and 5 or 6 years old may benefit from premedication before separation from their parents. Premedicants may be administered orally, intravenously, intramuscularly, rectally, sublingually, transmucosally, or intranasally; however, the oral route is strongly preferred. One drug available and commonly used for premedication - system, is of primary importance during the induction of  anesthesia. After anesthetic induction, intravenous access is estab­ lished or augmented as appropriate. A nondepolarizing  muscle relaxant is usually administered and an intrave­ nous opioid and/or inhaled anesthetic chosen for mainte­ nance of anesthesia. The child is preoxygenated with 100%  FiO2, and an endotracheal tube is carefully positioned. Some  degree of alveolar preoxygenation is recommended, even in  the infant whose systemic perfusion might be jeopardized  by lowering PVR with resulting increase in PBF, as this  maneuver delays desaturation during intubation. A nasal  50 40 70 60 30 20 10 0 I</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</si>
  <si>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</si>
  <si>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</si>
  <si>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</si>
  <si>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</si>
  <si>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</si>
  <si>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</si>
  <si>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a neuromuscular disorder characterized by progressive muscle weakness and wasting, but it is not typically associated with large amounts of intraoperative blood loss during scoliosis correction surgery."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</si>
  <si>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</si>
  <si>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</si>
  <si>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</si>
  <si>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</si>
  <si>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</si>
  <si>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</si>
  <si>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"There is no evidence of a combined respiratory alkalosis and compensatory metabolic acidosis in the given context. Instead, it mentions that the pain of labor can result in severe hyperventilation causing PaCO2 to occasionally decrease below 20 mm Hg, indicating respiratory alkalosis, but there is no mention of metabolic acidosis."</t>
  </si>
  <si>
    <t>experiencing supine hypotension syndrome and how can maternal hypotension be minimized? 8. What are some aspects of the upper airway that undergo physiologic change in pregnancy? What are the clinical implications of these changes? 9. How is minute ventilation changed during pregnancy from nonpregnant levels? How does the resting maternal PaCO2 change as a result of the change in minute ventilation? 10. How do the binding characteristics of hemoglobin change during pregnancy? 11. What are the changes in maternal lung volumes that occur with pregnancy? What are the anesthetic implications of these changes? 12. How does maternal PaO2 change during pregnancy? 13. What are the gastrointestinal changes in pregnancy that render the woman vulnerable to regurgitation of gastric contents? What clinical implication does this have? - tated. A comparison of arterial blood gas measurements in  pregnant versus nonpregnant patients is summarized in  Table 62.3. At term, O2 consumption is increased by 20% to 35%.  During the first stage of labor, O2 consumption increases  above prelabor values by 40% and during the second stage  it is increased by 75%. The pain of labor can result in severe  hyperventilation causing PaCO2 to occasionally decrease  below 20 mm Hg.  Lung Volumes During pregnancy, tidal volume increases 20% during the  first trimester and increases up to 45% above nonpregnant  values at term. The expanding uterus forces the diaphragm  cephalad and creates a 20% decrease in functional residual  capacity (FRC) by term (see Table 62.2).23 This reduction is  comprised of nearly equal reductions in both the expiratory</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</si>
  <si>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</si>
  <si>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</si>
  <si>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</si>
  <si>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</si>
  <si>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</si>
  <si>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</si>
  <si>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recommended anesthesia technique for carotid endarterectomy as it can lead to increased intracranial pressure, which is contraindicated in this procedure." }</t>
  </si>
  <si>
    <t>SECTION IV  •  Adult Subspecialty Management 1852 the clinician can refer to when considering how to proceed  with endovascular aortic procedures.     _x0001_1._x0001_ _x0007_Choice of Anesthesia _x0001_2._x0001_ _x0007_Radiation Safety _x0001_3._x0001_ _x0007_Renal Protection Vascular Access and _x0001_4._x0001_ _x0007_Blood Loss _x0001_5._x0001_ _x0007_Temperature Control _x0001_6._x0001_ _x0007_Spinal Cord Protection  CHOICE OF ANESTHESIA In 2015 Broos and associates studied the anesthesia  choices, such as general, regional, or local, by reviewing the  outcomes of EVAR repairs.  They concluded that the choice  of anesthesia was independent of perioperative morbidity  and mortality.105 At the same time, the local or regional  anesthesia has an upper edge over general anesthesia in  terms of postoperative hospital stay, ICU stay, and shorter  procedure times. Edwards and associates examined the</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</si>
  <si>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</si>
  <si>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</si>
  <si>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</si>
  <si>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</si>
  <si>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</si>
  <si>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</si>
  <si>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"The primary mechanism of spinal opioid analgesia is via activation of presynaptic opioid receptors, which inhibits the release of neurotransmitters such as substance P and calcitonin gene-related peptide, thereby reducing the transmission of pain signals from the spinal cord dorsal horn." }</t>
  </si>
  <si>
    <t>Pain control by opioids needs to be considered in the con­ text of brain circuits modulating analgesia and the func­ tions of the various types of receptors in these circuits.53 It  is well established that the analgesic effects of opioids arise  from their ability to inhibit directly the ascending transmis­ sion of nociceptive information from the spinal cord dorsal  horn and to activate pain control circuits that descend from  the midbrain, through the rostral ventromedial medulla  (RVM), to the spinal cord dorsal horn. Petrovic and col­ leagues used an experimental pain model and positron  emission tomography (PET) to study mechanisms of action  of the short-acting μ-opioid agonist remifentanil and found  drug-induced activation of the rostral anterior cingulate  cortex, insula, orbitofrontal cortex, and brainstem areas.54 - and their receptors with intraarticular naloxone,14 and was  diminished by stimulating opioid secretion.15 In the spinal cord, inhibition is mediated by the release  of opioids, γ-aminobutyric acid (GABA), or glycine from  interneurons, which activate presynaptic opioid- or  GABA-receptors (or both) on central nociceptor terminals  Somatosensory cortex SI, SII Anterior cingulate cortex,  insula, prefrontal cortex Medial thalamus Lateral thalamus Peripheral tissue Sympathetic axon Medial Lateral Spinothalamic tract Motor axon C fiber A   fiber</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</si>
  <si>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</si>
  <si>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</si>
  <si>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</si>
  <si>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</si>
  <si>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</si>
  <si>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</si>
  <si>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"At birth, the hematocrit in a full-term infant typically reaches its lowest point, which is around 30-35%. This is a normal physiological adaptation to the sudden change in oxygen demands after birth. Therefore, the patient's hematocrit of 30 is within the normal range for a 3-month-old infant." }</t>
  </si>
  <si>
    <t>6. What hemoglobin level is worrisome in the newborn? What hemoglobin level is worrisome in infants older than 6 months of age? 7. At what age does the foramen ovale close? What percent of adults have a probe patent foramen ovale? 8. How well do neonates reflexively respond to hemorrhage as compared with adults? 9. How does alveolar ventilation in neonates compare with that of adults? 10. How does the tidal volume per weight in neonates compare with that of adults? 11. How does the respiratory rate in neonates compare with that of adults? 12. How does carbon dioxide production in neonates compare with that of adults? How does the PaCO2 in neonates compare with that of adults? 13. How does the PaO2 change in the first few days of life? 14. How predictable is the neonate’s response to hypoxia?</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</si>
  <si>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</si>
  <si>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</si>
  <si>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</si>
  <si>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</si>
  <si>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</si>
  <si>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</si>
  <si>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potentiate the effects of phenoxybenzamine, leading to a greater risk of hypotension and cardiac depression, making it the agent to be avoided during maintenance of anesthesia."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</si>
  <si>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</si>
  <si>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</si>
  <si>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</si>
  <si>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</si>
  <si>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</si>
  <si>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</si>
  <si>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it can increase intracranial pressure. Instead, they should be positioned in a semi-recumbent or Trendelenburg position to reduce ICP." }</t>
  </si>
  <si>
    <t>Esmolol</t>
  </si>
  <si>
    <t>A. is a β1-adrenoceptor agonist</t>
  </si>
  <si>
    <t>C. is contraindicated in the patient with AV block</t>
  </si>
  <si>
    <t>D. is more likely than propranolol to cause bronchospasm</t>
  </si>
  <si>
    <t>E. is metabolized in the liver</t>
  </si>
  <si>
    <t>{   "Answer": "E",   Explain: "Esmolol is metabolized in the liver, which is why it has a short half-life of approximately 9-10 minutes, making it a good choice for short-term, high-dose infusions in the operating room or emergency department." }</t>
  </si>
  <si>
    <t>b-blockers? 84. How is propranolol metabolized? 85. What effect does propranolol have on the oxyhemoglobin dissociation curve? 86. What is the intravenous dosing for the cardioselective b-blocker metoprolol? 87. What adrenergic receptors are antagonized by labetalol? 88. What is the dosing for labetalol? 89. Why is labetalol used to treat hypertension during pregnancy? 90. What accounts for the short half-life of esmolol? 91. When is esmolol an especially good choice for b-blockade? CHOLINERGIC PHARMACOLOGY 92. What are the pharmacologic effects of the muscarinic antagonists? 93. How does the quaternary structure of glycopyrrolate affect its clinical actions? - 750 μg/kg/min, depending on the blood pressure. Despite  an esmolol infusion, 25% to 50% of patients have a blood  pressure that is above the targeted range, requiring a second  drug. Sodium nitroprusside or nicardipine is usually chosen  as the second drug. Propranolol is useful in older patients  but can cause severe bradycardia in infants and young  children. Although it actually increases calculated aortic  wall stress in the absence of β-blockade by accelerating dP/</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</si>
  <si>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</si>
  <si>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</si>
  <si>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</si>
  <si>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</si>
  <si>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</si>
  <si>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</si>
  <si>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making it more prone to foreign bodies and endotracheal tubes entering the right bronchial lumen." }</t>
  </si>
  <si>
    <t>chi. In the adult, the right mainstem bronchus branches off  at a more vertical angle than the left mainstem bronchus,  resulting in a greater likelihood of foreign bodies and endo­ tracheal tubes (ETTs) entering the right bronchial lumen.30  Airway Assessment Although the anesthesia provider should always be pre­ pared for potential difficulty with airway management,  the ability to predict the difficult airway in advance is obvi­ ously desirable. Certain physical findings or details from the  patient’s history can be prognostic of difficulty with mask  ventilation, supraglottic airway placement, laryngoscopy,  tracheal intubation, or the performance of a surgical air­ way. No single test has been devised to predict a difficult  airway accurately 100% of the time; however, a complete</t>
  </si>
  <si>
    <t>Which one of the following is most likely to result in an underestimation of the anion gap in critically ill patients?</t>
  </si>
  <si>
    <t>A. Hyperchloremia</t>
  </si>
  <si>
    <t>B. Lactic acidosis</t>
  </si>
  <si>
    <t>C. Hyperphosphatemia</t>
  </si>
  <si>
    <t>D. Hypoalbuminemia</t>
  </si>
  <si>
    <t>E. Hypocapnia</t>
  </si>
  <si>
    <t>{   "Answer": "D",   Explain: "Dilutional acidosis, which can occur in critically ill patients due to hypoalbuminemia, can lead to an underestimation of the anion gap because albumin is a negatively charged protein that normally contributes to the anion gap. When albumin levels are low, the anion gap is artificially decreased, making it appear smaller than it actually is." }</t>
  </si>
  <si>
    <t>alteration is grossly underestimated by the base deficit.  This patient has a dilutional acidosis, a hyperchloremic  acidosis, and a lactic acidosis! In conclusion, for the majority of patients presenting to  the emergency room or operating suite who have been pre­ viously healthy, the use of tools such as the base deficit or AG  to assess metabolic disturbances remains reasonable, par­ ticularly if corrected for albumin. However, for critically ill  patients, the most effective method of interpreting acid-base  conundrums involves unraveling simultaneous acidifying  and alkalinizing processes and using calculations to distin­ guish between the various forces at play. Unfortunately, a  clinician’s ability to interpret such information is dependent  on the amount of available data. A simple blood gas alone  may camouflage a significant acid-base disturbance.</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</si>
  <si>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</si>
  <si>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</si>
  <si>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</si>
  <si>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</si>
  <si>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</si>
  <si>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</si>
  <si>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swell and put pressure on the blood vessels, leading to rupture and bleeding." }</t>
  </si>
  <si>
    <t>57  •  Anesthesia for Neurologic Surgery and Neurointerventions 1875 cerebral circulation to extreme hyperosmolarity can have a  vasodilatory effect, which can produce brain engorgement  and increased ICP, both of which do not occur with slower  administration. Mannitol enters the brain and, over a reasonably short  time course, appears in the CSF space.46 The possibility that  the mannitol that gains access to the parenchyma aggra­ vates swelling has resulted in varying degrees of reluctance  among clinicians to administer mannitol.47 Most clinicians  nonetheless find it to be a mainstay of ICP management.  There is the concern that it will only be effective when some  degree of blood-brain barrier (BBB) integrity is preserved in  a significant portion of the brain. Clinicians respond to this</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</si>
  <si>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</si>
  <si>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</si>
  <si>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</si>
  <si>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</si>
  <si>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</si>
  <si>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"Glossopharyngeal neuralgia typically presents with pain in the posterior one-third of the tongue, tonsils, and pharynx, not the anterior two-thirds of the tongue, which is a characteristic feature that distinguishes it from trigeminal neuralgia."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</si>
  <si>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</si>
  <si>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</si>
  <si>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</si>
  <si>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</si>
  <si>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</si>
  <si>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</si>
  <si>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"B",   Explain: "The mode of ventilation is the most significant factor in affecting intraoperative arterial oxygenation. This is because the anesthesiologist can adjust the tidal volume, respiratory rate, and positive end-expiratory pressure to optimize oxygenation. The other options, such as body position, body weight, presence of pneumoperitoneum, and lung compliance, can also affect oxygenation, but to a lesser extent."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</si>
  <si>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</si>
  <si>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</si>
  <si>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</si>
  <si>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</si>
  <si>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</si>
  <si>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</si>
  <si>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during pregnancy, and succinylcholine is actually used as a muscle relaxant in obstetric anesthesia due to its shorter duration of action in pregnant patients."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</si>
  <si>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</si>
  <si>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</si>
  <si>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</si>
  <si>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</si>
  <si>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</si>
  <si>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</si>
  <si>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"D",   Explain: "FVC is not directly related to the patient's suitability for pneumonectomy, as it does not assess the patient's ability to adapt to a single lung or the potential for postoperative respiratory complications." }</t>
  </si>
  <si>
    <t>of postoperative function can be modified accordingly. This  is particularly useful in pneumonectomy patients and V/Q  scanning should be considered for any pneumonectomy  patient who has a preoperative FEV1 and/or DLCO less than  80%. However, V/Q scanning is of limited usefulness to pre­ dict postlobectomy function.14  Combination of Tests No single test of respiratory function has shown adequate  validity as a sole preoperative assessment. Prior to surgery,  an estimate of respiratory function in all three areas—lung  mechanics, parenchymal function, and cardiopulmonary  interaction—should be made for each patient. These three  Lung segments Total subsegments = 42 Example: Right lower lobectomy Postoperative FEV1 decrease = 12/42 (29%) 6 4</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</si>
  <si>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</si>
  <si>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</si>
  <si>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</si>
  <si>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</si>
  <si>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</si>
  <si>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</si>
  <si>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surgical removal of an entire lung, which would not be effective in this patient's case as it would worsen their hypoxic condition."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</si>
  <si>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</si>
  <si>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</si>
  <si>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</si>
  <si>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</si>
  <si>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</si>
  <si>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</si>
  <si>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allows for isolation of the left lung and easy access to the surgical site." }</t>
  </si>
  <si>
    <t>surgery and anesthesia?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</si>
  <si>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</si>
  <si>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</si>
  <si>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</si>
  <si>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</si>
  <si>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</si>
  <si>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</si>
  <si>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patient has a right hilar mass with postobstructive pneumonia, and the tube is advanced to the left mainstem bronchus. Since the right mainstem bronchus is blocked by tumor, it is not possible to ventilate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</si>
  <si>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</si>
  <si>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</si>
  <si>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</si>
  <si>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</si>
  <si>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</si>
  <si>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</si>
  <si>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"Reopening the wound and exploring the surgical field is not the appropriate initial response as it may cause further bleeding and worsen the situation. Instead, the priority is to address the sudden decrease in blood pressure and faint pulses, which may be due to various reasons such as hypovolemic shock, cardiac arrest, or other complications. Initial steps should focus on stabilizing the patient's vital signs and managing the airway, breathing, and circulation (ABCs) before considering further surgical intervention."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</si>
  <si>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</si>
  <si>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</si>
  <si>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</si>
  <si>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</si>
  <si>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</si>
  <si>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</si>
  <si>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"Phenytoin levels may be affected by estrogen, but it does not directly increase the seizure threshold. In fact, estrogen can decrease phenytoin levels, which may lead to decreased seizure control." }</t>
  </si>
  <si>
    <t>The agent with the highest ratio of β-adrenergic agonist to α-adrenergic agonist activity is</t>
  </si>
  <si>
    <t>A. isoproterenol</t>
  </si>
  <si>
    <t>B. dobutamine</t>
  </si>
  <si>
    <t>C. epinephrine</t>
  </si>
  <si>
    <t>D. norepinephrine</t>
  </si>
  <si>
    <t>{   "Answer": "A",   "Explain": "Isoproterenol has the highest ratio of β-adrenergic agonist to α-adrenergic agonist activity, making it the correct answer. This is because isoproterenol is a pure β-adrenergic agonist, whereas other options like epinephrine and norepinephrine have significant α-adrenergic activity."</t>
  </si>
  <si>
    <t>vasopressin), antiarrhythmics (amiodarone and lidocaine),  and other drugs such as calcium chloride and sodium bicar­ bonate. Each will be discussed separately as follows. Vasopressors Epinephrine (adrenaline) is an endogenous catecholamine  with potent α- and β-adrenergic stimulating properties. The - purpose. Catecholamines (e.g., epinephrine, norepineph­ rine, dopamine, dobutamine, dopexamine, isoproterenol)  are often the first line of therapy. They exert positive ino­ tropic action by stimulating the β1 receptor, which leads to  increased intracellular cyclic adenosine monophosphate  (cAMP). The predominant hemodynamic effect of a specific  catecholamine depends upon the degree to which the α, β1,  β2, and dopaminergic receptors are stimulated. Phosphodi­ esterase inhibitors (e.g., milrinone, amrinone), sometimes  termed inodilators, may be used either as first-line therapy  or added to β-adrenergic therapy. Phosphodiesterase inhib­ - with transcutaneous pacing (TCP) or β-adrenergic ago­ nists as temporizing measures while the patient is pre­ pared for transvenous pacing. If bradycardia is unresponsive to atropine, IV infusion  of β-adrenergic agonists (dopamine, epinephrine) can be  considered. Dopamine is a catecholamine with both α- and  β-adrenergic actions. It can be titrated to more selectively  target heart rate or vasoconstriction. At lower doses, dopa­ mine has a more selective effect on inotropy and heart rate;  at higher doses (&gt;10 μg/kg/min), it also has vasoconstric­ tive effects. Epinephrine, as described previously, is a cat­ echolamine with α- and β-adrenergic actions. Isoproterenol - b2 AGONISTS 66. What are two common uses for b2-adrenergic agonist drugs? a-ADRENERGIC RECEPTOR ANTAGONISTS 67. What side effects are commonly associated with the use of a1 antagonists as antihypertensive therapies? 68. What must happen before there is complete recovery from a1-blockade with phenoxybenzamine? 69. What are the primary clinical effects of treatment with phenoxybenzamine? 70. Phenoxybenzamine is most often used to treat what disease? 71. What is the treatment for phenoxybenzamine overdose? 72. What effect does prazosin have on serum lipid levels? b-ADRENERGIC ANTAGONISTS 73. What are some of the clinic indications for b-blocker therapy?</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</si>
  <si>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</si>
  <si>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</si>
  <si>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</si>
  <si>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</si>
  <si>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</si>
  <si>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</si>
  <si>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and has a low hemoglobin level of 8 mg/dL, indicating severe anemia. The patient requires more aggressive oxygenation and increased mean airway pressure to improve oxygenation. Therefore, increasing the PEEP to 12 and maintaining a high FIO2 of 1.0 is the most appropriate ventilator setting."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</si>
  <si>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</si>
  <si>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</si>
  <si>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</si>
  <si>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</si>
  <si>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</si>
  <si>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</si>
  <si>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"Given the patient's worsening oxygenation, hemoglobin of 7.8 g/dL, and INR of 1.6, transfusing one unit of fresh frozen plasma is the most appropriate intervention to address her coagulopathy and potential bleeding complications." }</t>
  </si>
  <si>
    <t>patient so that an emergent cesarean delivery and possible  hemorrhage management can be started immediately if a  rupture occurs.299  Uterine Atony Postpartum uterine atony is the most common cause of  severe postpartum hemorrhage. The associated hemor­ rhage is the leading cause of maternal death worldwide and  is increasing in incidence.226,300,301 Risk factors include  chorioamnionitis; oxytocin use during labor, high parity,  macrosomia, multiple births, prolonged labor, retained  products of conception, and use of volatile anesthetics,  magnesium sulfate, or terbutaline. After bimanual mas­ sage, oxytocin should be administered as the initial treat­ ment and prophylactic drug for uterine atony. Specific  dosing of oxytocin varies across institutions and coun­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</si>
  <si>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</si>
  <si>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</si>
  <si>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</si>
  <si>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</si>
  <si>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</si>
  <si>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</si>
  <si>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and bilateral diffuse infiltrates on chest x-ray, which is consistent with acute lung injury. The patient's history of massive transfusion and the timing of the development of respiratory failure suggest that TRALI (transfusion-related acute lung injury) is the most likely cause of her respiratory failure."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</si>
  <si>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</si>
  <si>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</si>
  <si>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</si>
  <si>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</si>
  <si>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</si>
  <si>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</si>
  <si>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will decrease preload and left ventricular afterload, as it increases venous return to the heart and reduces cardiac output, which in turn reduces blood pressure and cardiac workload."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</si>
  <si>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</si>
  <si>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</si>
  <si>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</si>
  <si>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</si>
  <si>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</si>
  <si>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</si>
  <si>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allow patients to breathe on their own, which can help to identify those who can be safely extubated, reducing the need for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</si>
  <si>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</si>
  <si>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</si>
  <si>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</si>
  <si>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</si>
  <si>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</si>
  <si>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</si>
  <si>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typical antipsychotics like haloperidol and chlorpromazine in that they cause less extrapyramidal effects, which are a common side effect of typical antipsychotics." }</t>
  </si>
  <si>
    <t>may even have prophylactic benefits against delirium.132,133 Neuroleptic drugs such as haloperidol are rarely used as  primary sedatives, but can be used to control agitated delir­ ium that may result in harm to patient or staff. However,  studies have not shown clear benefit with the use of anti­ psychotics in the prevention or treatment of delirium.134  Furthermore, many patients who start treatment with  antipsychotics in the ICU are discharged with a prescription  for antipsychotics with the accompanying dangerous side  effects associated with long-term use.135 Pragmatically, regardless of the specific sedative agent or  protocol and scales used, the evidence points toward using  a systematic and adaptive practice of minimizing psychoac­ tive agents, while maintaining safety of the patient and care  providers.  Sepsis and Shock INFECTION, SYSTEMIC INFLAMMATORY</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</si>
  <si>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</si>
  <si>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</si>
  <si>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</si>
  <si>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</si>
  <si>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</si>
  <si>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</si>
  <si>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compared to regional anesthesia, which is beneficial for cesarean delivery." }</t>
  </si>
  <si>
    <t>62. Benefits of general anesthesia over regional anesthesia for cesarean delivery include rapid and dependable onset, secure airway, controlled ventilation, and the potential for less hemodynamic instability. (528) 63. Advantages of spinal anesthesia for cesarean delivery include its technical ease of administration, low levels of systemic medication that decrease the risk of systemic toxicity and fetal drug levels, its low failure rate, and its rapid onset time. Disadvantages of spinal anesthesia for cesarean delivery include the finite duration of anesthesia provided, and its higher incidence of hypotension. It can be safely used in preeclamptic patients. (528) 64. Spinal anesthesia with a sensory level of T4 is usually sufficient for patient comfort during cesarean delivery. Exteriorization of the uterus or traction of the abdominal - disadvantages of a paracervical block? 59. When is the pudendal block useful? What are the disadvantages of this type of block? 60. Can inhaled nitrous oxide be administered safely for labor and delivery analgesia? ANESTHESIA FOR CESAREAN DELIVERY 61. What are some benefits of regional anesthesia over general anesthesia for cesarean delivery? 62. What are the benefits of general anesthesia over regional anesthesia for cesarean delivery? 63. What are some advantages and disadvantages of spinal anesthesia for cesarean delivery compared to an epidural block? 64. What dermatome level of spinal anesthesia ensures patient comfort adequate for cesarean delivery? How can this be achieved? 65. What are some advantages and disadvantages of epidural anesthesia for cesarean - BOX 62.3  Anesthetic Considerations for  Nonobstetric Surgery in the Pregnant  Patient  □ _x0007_Postpone elective surgeries until after delivery.  □ _x0007_Regional anesthesia should be utilized when possible.  □ _x0007_Consider aspiration prophylaxis.  □ _x0007_Left uterine displacement to relieve aortocaval compression  after 20 weeks’ gestational age  □ _x0007_Consider intraoperative fetal monitoring.  □ _x0007_Regional anesthesia   □ _x0007_Reduced local anesthetic requirements in pregnancy  □ _x0007_General anesthesia   □ _x0007_Maximize preoxygenation   □ _x0007_Rapid sequence induction   □ _x0007_Avoid hypoxia and hypotension   □ _x0007_Goal ETCO2 28-32 mm Hg. Avoid hyperventilation as hypocar­ bia can decrease placental blood flow secondary to uterine</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</si>
  <si>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</si>
  <si>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</si>
  <si>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</si>
  <si>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</si>
  <si>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</si>
  <si>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</si>
  <si>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suggest an inhaled foreign body, which is the most consistent with the clinical presentation." }</t>
  </si>
  <si>
    <t>ness, a croupy cough, and possibly stridor. The degree of  respiratory distress and the child’s ability to compensate  for the increased work of breathing are best assessed clini­ cally. These patients are initially treated with mist and  aerosolized racemic epinephrine to reduce swelling of upper  airway mucosa.425 Steroid administration is common yet  controversial.87 Tracheal intubation is required when the  child can no longer sustain the increased work of breathing  and CO2 increases. When the trachea is intubated, the ETT  should be 0.5 to 1.0 mm smaller than usual for age. The  ETT must be of sufficient size that the patient can breathe  easily during spontaneous ventilation and the nurses can  effectively suction secretions from the airways. Croup usu­ ally resolves spontaneously in 3 to 7 days. The average</t>
  </si>
  <si>
    <t>The blood flow during total cardiopulmonary bypass</t>
  </si>
  <si>
    <t>A. is not adjustable</t>
  </si>
  <si>
    <t>B. is virtually nonpulsatile</t>
  </si>
  <si>
    <t>C. provides a pulsatile pressure</t>
  </si>
  <si>
    <t>D. is a pulsatile flow</t>
  </si>
  <si>
    <t>E. mimics normal flow in all respects</t>
  </si>
  <si>
    <t>{   "Answer": "B",   "Explain": "During cardiopulmonary bypass, the blood flow is not pulsatile, but rather a continuous and nonpulsatile flow, which is controlled by the pump and is not influenced by the heart's natural contractions." }</t>
  </si>
  <si>
    <t>References 2584.e11 _x0001_493._x0001_ _x0007_Duebener LF, et  al. Effects of hemodilution and phenylephrine  on cerebral blood flow and metabolism during cardiopulmonary  bypass. J Cardiothorac Vasc Anesth. 2004;18(4):423–428. _x0001_494._x0001_ _x0007_Strebel SP, et  al. The impact of systemic vasoconstrictors on the  cerebral circulation of anesthetized patients. Anesthesiology.  1998;89(1):67–72. _x0001_495._x0001_ _x0007_Cherian L, et  al. Cerebral hemodynamic effects of phenyleph­ rine and L-arginine after cortical impact injury. Crit Care Med.  1999;27(11):2512–2517. _x0001_496._x0001_ _x0007_Di Gennaro JL, et al. Use and effect of vasopressors after pediatric - Cerebrospinal fluid drainage to improve spinal cord perfusion during aortic aneurysm repair remains controversial. (405) CARDIOPULMONARY BYPASS 145. Blood is drained from the venae cavae during cardiopulmonary bypass by siphon action caused by gravity. The blood then passes from the cardiotomy reservoir, through a pump, a heat exchanger, an oxygenator, and a filter before it is returned to the arterial system. (406, Figure 25-3) 146. The two different types of pumps that are used to return blood to the arterial system during cardiopulmonary bypass are the roller pump and the centrifugal pump. The roller pump works by compressing the tubing that contains the fluid between a roller and curved metal back plate, producing flow. In contrast, the centrifugal pump produces flow and less trauma to blood. The flow rate generated by the</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</si>
  <si>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</si>
  <si>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</si>
  <si>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</si>
  <si>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</si>
  <si>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</si>
  <si>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</si>
  <si>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exacerbate hyperglycemia in neurosurgical patients, especially those with pre-existing diabetes or insulin resistance, leading to increased risk of complications such as cerebral edema and seizures."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</si>
  <si>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</si>
  <si>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</si>
  <si>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</si>
  <si>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</si>
  <si>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</si>
  <si>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</si>
  <si>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International Headache Society, migraine without aura is more common than migraine with aura, not the other way around."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</si>
  <si>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</si>
  <si>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</si>
  <si>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</si>
  <si>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</si>
  <si>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</si>
  <si>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</si>
  <si>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by activating the α2-adrenergic receptors, which decreases the amount of anesthetic required to achieve anesthesia." }</t>
  </si>
  <si>
    <t>that this is less toxic than a single anesthetic at a higher  concentration. In all cases, a dexmedetomidine infusion is  administered to decrease the dose of the other hypnotics  and, when possible, regional techniques are used to reduce  the total anesthesia dose. - and a rapid offset even after a continuous infusion. A dose used to induce anesthesia results in in­ hibition of adrenocortical synthesis and possible mortality in intensive care unit (ICU) patients. The  major advantage of etomidate is its minimal effect on the cardiovascular and respiratory systems.  □ _x0007_Dexmedetomidine is the most recently released IV anesthetic. It is a highly selective α2- adrenergic agonist that produces sedation, sympatholysis, hypnosis, and analgesia. Dexme­ detomidine is approved for ICU sedation of initially intubated and mechanically ventilated  patients, up to 24 hours. It may be advantageous for its ability to prevent delirium. Its second  indication is procedural sedation of nonintubated patients. With increasing frequency dexme­ detomine finds its use as a sedative during invasive or radiological procedures and as an ad­ - decreases in heart rate and systemic vascular resistance. Bradycardia associated with dexmedetomidine infusion may sometimes require treatment. Severe bradycardia, heart block, and asystole have been described. A bolus injection may produce transient increases in systemic blood pressure and pronounced decreases in heart rate, an effect that is probably mediated through activation of peripheral a2-adrenergic receptors. (113) 78. Dexmedetomidine has only minor effects on the respiratory system when compared with other intravenous anesthetics. These effects include small decreases in tidal volume without much change in the respiratory rate. The ventilatory response to carbon dioxide is unchanged. Upper airway obstruction as a result of sedation is possible and may be augmented when dexmedetomidine is combined with other sedative-hypnotics. (113) - Hypnotic 0.2-0.8 mg/kg IV Pretreat with an antisialagogue. Consider administration of midazolam to attenuate undesirable  psychologic effects. Dexmedetomidine α2 Agonist Bolus 1 μg/kg IV over 10 minutes, followed  by an infusion of 0.3-0.7 μg/kg/hr Reduce dose in older adults and in patients with depressed  cardiac function. IV, Intravenous; prn, as needed, pro re nata (Latin).</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</si>
  <si>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</si>
  <si>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</si>
  <si>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</si>
  <si>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</si>
  <si>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</si>
  <si>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</si>
  <si>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characterized by a reduction in plasma volume, combined with endothelial dysfunction and hypoalbuminemia." }</t>
  </si>
  <si>
    <t>▪Oliguria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lead to early placental hypoxia. Ultimately there is upregulation of cytokines and inflammatory factors as seen in sepsis. (533) - Vries JIP, et al. A randomised controlled trial comparing two tem­ porising management strategies, one with and one without plasma  volume expansion, for severe and early onset pre-eclampsia. BJOG.  2005;112(10):1358–1368. _x0001_207._x0001_ _x0007_Duley L, Williams J, Henderson-Smart DJ. Plasma volume expansion  for treatment of women with pre-eclampsia. Cochrane Database Syst  Rev. 2000;2:CD001805. _x0001_208._x0001_ _x0007_Thornton CE, von Dadelszen P, Makris A, Tooher JM, Ogle RF, Hen­ nessy A. Acute pulmonary oedema as a complication of hyperten­ sion during pregnancy. Hypertens Pregnancy. 2011;30(2):169–179. _x0001_209._x0001_ _x0007_The management of hypertensive disorders during pregnancy. NICE - arthritis), pregnancy (i.e., gestational thrombocytopenia,  preeclampsia), chronic liver disease (i.e., hypersplenism),  alcohol, nutritional deficiencies, infection (e.g., hepatitis C,  sepsis), hereditary disease, and disseminated intravascular  coagulation. If a patient has an unexpectedly low platelet  count, the initial steps are to repeat the test, examine the  peripheral smear, and collect blood for the platelet count  in a tube without ethylenediaminetetraacetic acid. This  chemical is a chelating agent often used to prevent clotting  in tubes used for determining CBC, but it can also cause  clumping of platelets (termed pseudothrombocytopenia).  ITP is a chronic autoimmune disorder characterized by - the kidneys, liver, pulmonary, and central nervous sys­ tems. In contrast to the usual volume-expanded status  in pregnancy, patients with preeclampsia have reduced  plasma volume, combined with endothelial dysfunction  and hypoalbuminemia. Previously IV volume expansion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</si>
  <si>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</si>
  <si>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</si>
  <si>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</si>
  <si>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</si>
  <si>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</si>
  <si>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added to the fresh gas supply of the oxygenator during hypothermic cardiopulmonary bypass to maintain the corrected PaCO2 at 40 mm Hg, which is a normal range, to prevent complications such as acidosis and arrhythmias." }</t>
  </si>
  <si>
    <t>49. Which causes of hypoxemia are very responsive to supplemental oxygen and therefore easily treated with higher FIO2? 50. How does low mixed venous oxygen saturation affect arterial oxygenation? CARBON DIOXIDE 51. What are the three forms in which carbon dioxide is carried in the blood? 52. Why is hypercapnia a problem clinically? 53. What are the four physiologic causes of hypercapnia? 54. What are significant causes of increased CO2 production under anesthesia? 55. What are the various types of dead space? 56. What pathologic conditions may increase dead space? 57. What is a normal value for physiologic dead space? 58. What is the Bohr equation? 59. How quickly can apnea increase PaCO2? PULMONARY MECHANICS 60. What are pulmonary mechanics? - 42. What are some possible causes of a decrease in the concentration of carbon dioxide in a patient’s exhaled gases? 43. What are some possible causes of an increase in the concentration of carbon dioxide in a patient’s exhaled gases? 44. How does the end-tidal carbon dioxide concentration measured on a capnogram compare with the arterial carbon dioxide concentration? Why? ELECTROEN- CEPHALOGRAPHIC MONITORING 45. What are some intraoperative uses of an electroencephalogram? 46. What factors may influence the tracings obtained by an intraoperative electroencephalogram? 47. What is the bispectral index monitor? 48. What are some potential clinical uses of a bispectral index monitor? What are its limitations? TEMPERATURE MONITORING 49. How does a patient’s body temperature usually change under anesthesia?</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</si>
  <si>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</si>
  <si>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</si>
  <si>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</si>
  <si>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</si>
  <si>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</si>
  <si>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</si>
  <si>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injections is preexisting neurologic disorder, such as multiple sclerosis, as it may worsen the condition." }</t>
  </si>
  <si>
    <t>Contraindications of Neuraxial Anesthesia Contraindications to the placement of a neuraxial proce­ dure include patient refusal, coagulopathy, infection at the  site of needle insertion, uncorrected hypovolemic shock,  increased intracranial pressure from mass effect, and inad­ equate resources or expertise. Relative contraindications  may include systemic infection, preexisting neurologic dis­ ease, severe cardiac valvular stenosis, and pharmacologic  anticoagulation. The decision to place neuraxial anesthesia  should be individualized for the patient and the risks and  benefits should be considered.  OTHER REGIONAL NERVE BLOCKS Local anesthetic nerve blocks have been used for many  years to relieve labor pain, mostly by obstetricians.146 For - PREOPERATIVE PREPARATION 25. What are the potential complications that should be discussed with the patient before proceeding with a spinal or epidural anesthetic? 26. What are the common indications for spinal anesthesia? 27. What are the common indications for epidural anesthesia? 28. What are the absolute contraindications to neuraxial anesthesia? 29. Does bacteremia preclude performance of a neuraxial technique? 30. Does chronic back pain preclude performance of a neuraxial technique? 31. What cardiac disorders warrant specific concern with respect to neuraxial anesthesia? 32. Do coagulation abnormalities preclude performance of a neuraxial anesthetic? SPINAL ANESTHESIA 33. What are the common positions patients are placed in for administration of a spinal anesthetic?</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</si>
  <si>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</si>
  <si>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</si>
  <si>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</si>
  <si>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</si>
  <si>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</si>
  <si>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</si>
  <si>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mater and the arachnoid membrane, allowing for the delivery of local anesthetics to the spinal nerves and providing effective pain relief during labor." }</t>
  </si>
  <si>
    <t>analgesics. Bupivacaine and ropivacaine are the most commonly used local anesthetics. Epidural, spinal, and combined spinal and epidural (CSE) are the techniques typically used for labor analgesia. (522) 37. Anytime a woman in labor without contraindications requests neuraxial analgesia, regardless of the stage of her labor, a neuraxial blockade may be placed. The timing of placement does not depend on an arbitrary cervical dilation. A single shot spinal analgesic has a finite analgesic duration depending on the local anesthetic and this should be taken into account when using this technique. For example, a single shot spinal analgesic is ideal if an obstetrician is performing an instrumented vaginal delivery in a woman without previous neuraxial block. The other neuraxial techniques employ catheter delivery techniques - 85. The American College of Obstetricians and Gynecologists prefer neuraxial analgesia for labor in preeclamptics. Special concerns for neuraxial analgesia in this patient population include maintaining the uterine perfusion pressure through the avoidance of hypotension, and evaluation of the patient’s coagulations status and platelet levels both with the placement of the epidural and prior to pulling out the epidural catheter. Currently, the definitive treatment of preeclampsia is delivery. If the pregnancy is remote from term in the presence of severe preeclampsia, a determination must be made whether to deliver or expectantly manage. This requires repeated evaluation of the mother and fetus. It is critical for the anesthesiologist on labor and delivery to be aware of these patients and their clinical course, as they can rapidly deteriorate and require urgent or emergent delivery. (533) - ment of an epidural but is usually reserved for when the  duration of labor can be reasonably estimated, such as in  multiparous parturients with advanced dilation or in the  second stage of labor. Continuous spinal analgesia with a  spinal catheter can be considered in the case of acciden­ tal dural puncture or in the high-risk parturient. The high  incidence of postdural puncture headache (PDPH) pre­ cludes the elective placement of spinal catheters through  epidural needles in most patients. A catheter-over-needle  system provides the option for a 23-gauge intrathecal  catheter placed over a 27-gauge pencil-point spinal nee­ dle. Although theoretically this should decrease the rate  of PDPH, a recent series of five cases reported two cases of  PDPH.121 When utilized, continuous spinal analgesia pro­ - Anesthetic considerations for the mother are similar to  those for open fetal surgery (see Box 63.2). They include  possible placement of a preoperative epidural catheter for  postoperative analgesia, large-bore intravenous access,  invasive monitoring readily available or placement of  an intraarterial catheter, uterotonic drugs after deliv­ ery of the placenta, and crossmatched maternal blood in  the operating room. Anesthetic induction and tracheal  intubation are similar to general anesthetic techniques  employed for cesarean delivery. Maintenance of appropri­ ate maternal hemodynamics is critical to ensure adequate  fetal perfusion. Similar to techniques used for open fetal  surgery, high concentrations of a volatile anesthetic (≥2  MAC) with or without intravenous administration of</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</si>
  <si>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</si>
  <si>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</si>
  <si>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</si>
  <si>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</si>
  <si>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</si>
  <si>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</si>
  <si>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as soon as possible to stop the absorption of hypotonic fluid and prevent further hyponatremia, which is the most critical step in managing TURP syndrome." }</t>
  </si>
  <si>
    <t>quent in high-risk groups) monitoring of serum electrolytes.  Transurethral resection of the prostate syndrome.  The transurethral resection of the prostate (TURP) syn­ drome describes symptomatic hyponatremia, excessive  intravascular volume, and edema resulting from IV absorp­ tion of hypotonic nonconductive (electrolyte-free) irrigation  fluid during TURP or, rarely, transurethral resection of the  bladder118 or during ureteroscopic or hysteroscopic proce­ dures. The syndrome may complicate 10% to 15% of TURP  procedures, with onset between 15 minutes and 24 hours  after the onset of resection.119 Risk factors include increased  intravesical pressure, prolonged resection, hypotonic irri­ gants, and open prostatic sinuses. The clinical features</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</si>
  <si>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</si>
  <si>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</si>
  <si>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</si>
  <si>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</si>
  <si>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</si>
  <si>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</si>
  <si>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sudden bradycardia is likely due to increased vagal tone. Lowering the head can help to alleviate this by reducing the pressure on the jugular veins and decreasing the stimulation of the vagus nerve, which can cause bradycardia."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</si>
  <si>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</si>
  <si>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</si>
  <si>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</si>
  <si>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</si>
  <si>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</si>
  <si>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</si>
  <si>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a potent vasodilator, which can cause hypotension. It is not a vasoconstrictor, so option A is incorrect. It is typically given as an infusion, not by bolus, so option B is also incorrect. It is not typically stopped before anesthesia, so option C is incorrect. It is used to treat patent ductus arteriosus, but it is not used to close it, so option D is incorrect."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</si>
  <si>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</si>
  <si>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</si>
  <si>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</si>
  <si>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</si>
  <si>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</si>
  <si>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</si>
  <si>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choice." }</t>
  </si>
  <si>
    <t>13. What is postherpetic neuralgia? 14. What treatment modalities have been used for the treatment of postherpetic neuralgia? 15. What are some of the side effects of tricyclic antidepressants that may limit their usefulness in elderly patients with postherpetic neuralgia? 16. What is diabetic peripheral neuropathy? How does it present? 17. What is complex regional pain syndrome? What differentiates type I and type II complex regional pain syndromes? 18. What are the clinical manifestations of complex regional pain syndrome? 19. How is the diagnosis of complex regional pain syndrome of the upper or lower extremity made? 480 66485457-66485438                 www.ketabpezeshki.com</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</si>
  <si>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</si>
  <si>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</si>
  <si>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</si>
  <si>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</si>
  <si>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</si>
  <si>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</si>
  <si>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continuous perfusion of the brain while the rest of the body is cooled, reducing the risk of cerebral injury." }</t>
  </si>
  <si>
    <t>the lower extremities. Moderate hypothermia (32°C) dur­ ing bypass is used to protect the vital organs during obligate  periods of ischemia. After completion of the distal anasto­ moses, pump flow is increased, and the patient is actively  warmed to 37°C.  Deep Hypothermic Circulatory Arrest Complex aneurysms involving the aortic arch often require  elective cardiopulmonary bypass with an interval of deep  hypothermic (15°C) circulatory arrest (DHCA) because  cerebral blood flow is transiently interrupted during sur­ gery (see also Chapter 54). Bypass can be accomplished  by cannulation of the femoral artery and the femoral vein  (i.e., femoral-femoral bypass). During the interval of DHCA, - of intraoperative ischemia. If hypothermia is used, cardiac  dysrhythmia and coagulation dysfunction can occur if body  temperatures become too low. Patients should be rewarmed  adequately before emergence to avoid shivering, hyperten­ sion, or delayed awakening. By contrast with clinical neurosurgery, the use of hypo­ thermia after cardiac arrest is now practiced widely. Two  multicenter trials demonstrated improved neurologic out­ come among survivors of witnessed cardiac arrest cooled to  32 to 34°C within 4 hours and maintained at that tempera­ ture for 12 to 24 hours.160,161 A subsequent randomized  trial reported similar outcomes in patients treated with tar­ geted temperature management at either 33°C or 36°C.162  Widespread clinical application of targeted temperature  management has been advocated by an international task - minutes) of cold reperfusion may enhance cerebral protec­ tion by removing accumulated metabolic products from the  cerebral capillary beds while maintaining a low cerebral  metabolic rate of oxygen. The risk of neurologic injury after cardiac surgery involv­ ing DHCA extends into the postoperative period because  cerebral vascular resistance is increased and cerebral blood  flow is decreased for several hours after the procedure. In  addition, hyperthermia, possibly secondary to a systemic  inflammatory response, is common in the postoperative  period and should be treated aggressively. In an effort to reduce the period of cerebral ischemia dur­ ing circulatory arrest, selective cerebral perfusion techniques  have been developed. Selective antegrade cerebral perfusion  can be accomplished by directly cannulating the left com­ mon carotid artery,321 or perfusion can easily be delivered</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</si>
  <si>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</si>
  <si>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</si>
  <si>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</si>
  <si>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</si>
  <si>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</si>
  <si>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</si>
  <si>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a new pulmonary infiltrate, rhonchi, and fever, which suggests a possible pneumonia. Given her recent trauma and splenectomy, it is likely that she has a nosocomial infection. Therefore, starting antibiotics is the most appropriate next step in management."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</si>
  <si>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</si>
  <si>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</si>
  <si>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</si>
  <si>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</si>
  <si>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</si>
  <si>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</si>
  <si>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history of trauma, including a ruptured spleen and multiple fractures, which increases the risk of nosocomial pneumonia. The patient is intubated and has a new pulmonary infiltrate, suggesting a ventilator-associated pneumonia. The most appropriate pharmacotherapy would be a combination of vancomycin and ceftriaxone to cover both Gram-positive and Gram-negative pathogens, as well as anaerobes, given the patient's trauma history and the presence of rhonchi."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</si>
  <si>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</si>
  <si>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</si>
  <si>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</si>
  <si>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</si>
  <si>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</si>
  <si>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</si>
  <si>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"The patient's symptoms have improved, and the sputum culture revealed Haemophilus influenzae. Since the patient is already receiving appropriate antibiotics, it is not necessary to change the antibiotic regimen. Continuing the current antibiotics is the most appropriate next step in management."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</si>
  <si>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</si>
  <si>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</si>
  <si>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</si>
  <si>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</si>
  <si>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</si>
  <si>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</si>
  <si>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not necessarily greater than those of the EEG, as both can be affected by various factors such as signal-to-noise ratio, electrode placement, and individual variability." }</t>
  </si>
  <si>
    <t>AMP, Amplitude; BAEPs, brainstem auditory-evoked potentials; LAT, latency; MEPs, motor-evoked potentials; ND, no data available from the literature; SSEPs,  somatosensory-evoked potentials; VEPs, visual-evoked potentials. _x0001_1._x0001_ _x0007_Intravenous drugs have significantly less effect than “equipo­ tent” doses of inhaled anesthetics _x0001_2._x0001_ _x0007_Combinations of drugs generally produce “additive” effects _x0001_3._x0001_ _x0007_Subcortical (spinal or brainstem) sensory-evoked responses  are very resistant to the effects of anesthetic drugs. If subcorti­ cal responses provide sufficient information for the surgical  procedure, anesthetic technique is not important, and effects  on cortically recorded responses may be ignored BOX 39.1  Guidelines for Choosing  Anesthetic Techniques During Procedures  in Which Sensory-Evoked Responses Are  Monitored - somatosensory, or visual) or central (transcranial magnetic  stimulation) stimuli. In contrast to the EEG, where spontane­ ous cortical activity is recorded, the EPs monitor the integrity  of central and peripheral tracts. The EP signals are quantified  according to latency and amplitude. In the absence of periph­ eral or cervical dysfunction, the bilateral absence of the N20  somatosensory EP response to median-nerve stimulation is  the most reliable predictor of non-awakening in post-anoxic  coma, whereas the preservation of cognitive evoked poten­ tials (CEP) predicts awakening with a very high probability,  irrespective of coma etiology.93,99 After TBI, impairment of  brainstem activity is the best predictor of bad outcome.93  MULTIMODALITY NEUROMONITORING</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</si>
  <si>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</si>
  <si>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</si>
  <si>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</si>
  <si>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</si>
  <si>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</si>
  <si>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</si>
  <si>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suitable for a low outlet forceps delivery as it does not provide adequate anesthesia to the perineum and surrounding areas, which are critical for the procedure."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</si>
  <si>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</si>
  <si>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</si>
  <si>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</si>
  <si>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</si>
  <si>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</si>
  <si>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</si>
  <si>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binds specifically to β2 receptors in the body, causing bronchodilation and relieving symptoms of asthma and chronic obstructive pulmonary disease (COPD). It does not have significant effects on the heart rate or blood pressure, making it a safe choice for patients with heart disease." }</t>
  </si>
  <si>
    <t>The one best block for pain secondary to pancreatic cancer is a(n)</t>
  </si>
  <si>
    <t>B. Bier block</t>
  </si>
  <si>
    <t>C. block of the hypogastric plexus</t>
  </si>
  <si>
    <t>D. celiac plexus block</t>
  </si>
  <si>
    <t>E. intrathecal neurolysis</t>
  </si>
  <si>
    <t>{   "Answer": "D",   Explain: "A neurolytic celiac plexus block (NCPB) is the most common nerve block that successfully treats abdominal visceral malignancy, including pain associated with cancer of the pancreas or upper abdominal viscera." }</t>
  </si>
  <si>
    <t>useful in these cancer patients include a cordotomy or dorsal rhizotomy. A cordotomy is the open or percutaneous interruption of the spinothalamic tract. A dorsal rhizotomy is the interruption of the sensory nerve root. 26. One of the most common nerve blocks that successfully treats abdominal visceral malignancy is the neurolytic celiac plexus block. The neurolytic celiac plexus block (NCPB) may be useful to treat pain associated with cancer of the pancreas or upper abdominal viscera. One limitation of this block is the inability to treat pain from the left colon and pelvic viscera as the sensory and autonomic nervous system fibers only from the abdominal viscera are carried by the celiac plexus. NCPB has a long-lasting benefit for 70% to 90% of patients with abdominal visceral</t>
  </si>
  <si>
    <t>Pulmonary vascular resistance is increased by</t>
  </si>
  <si>
    <t>A. sevoflurane</t>
  </si>
  <si>
    <t>B. desflurane</t>
  </si>
  <si>
    <t>D. nitrous oxide</t>
  </si>
  <si>
    <t>E. oxygen</t>
  </si>
  <si>
    <t>{   "Answer": "D",   Explain: "Nitrous oxide increases pulmonary vascular resistance by causing vasodilation and increased blood flow to the lungs, leading to increased pressure in the pulmonary circulation." }</t>
  </si>
  <si>
    <t>Complications of spinal cord stimulation include all of the following EXCEPT</t>
  </si>
  <si>
    <t>A. lead migration</t>
  </si>
  <si>
    <t>B. increased risk of development of chordoma</t>
  </si>
  <si>
    <t>C. lead breakage</t>
  </si>
  <si>
    <t>D. bleeding</t>
  </si>
  <si>
    <t>{   "Answer": "B",   Explain: "Chordoma is a rare type of bone tumor that is not a known complication of spinal cord stimulation. The other options, lead migration, lead breakage, and bleeding, are all potential complications of spinal cord stimulation."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</si>
  <si>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</si>
  <si>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</si>
  <si>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</si>
  <si>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</si>
  <si>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</si>
  <si>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</si>
  <si>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"When the tourniquet is released, there will be a sudden increase in end-tidal CO2 due to the sudden release of lactic acid and other metabolic byproducts that have accumulated in the lower extremity during the procedure. This is because the tourniquet has been occluding blood flow to the lower extremity, causing anaerobic metabolism and the production of lactic acid. When the tourniquet is released, this excess lactic acid is rapidly cleared from the circulation, causing a temporary increase in end-tidal CO2."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</si>
  <si>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</si>
  <si>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</si>
  <si>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</si>
  <si>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</si>
  <si>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</si>
  <si>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</si>
  <si>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"Drugs that block central dopamine transmission, such as neuroleptics, should be avoided, as stated in the context, to ensure a safe anesthetic plan for the patient with Parkinson's disease on levodopa." }</t>
  </si>
  <si>
    <t>until the day of surgery, whenever appropriate. Drugs that  block the central dopamine transmission, such as neurolep­ tics, should be avoided. In contrast, ketamine might be the  superior anesthetic drug for patients with restless legs syn­ drome.385 In addition, intravenous or subcutaneous opioids  and benzodiazepines during and after the surgery procedure  might be beneficial in patients with restless legs syndrome.  The best way to provide symptom relief in patients with  restless legs syndrome might be early mobilization after  surgery. In patients who are not eligible for mobilization,  compression treatment386 or intravenous administration of  magnesium387 and physiostigmine388 have been shown to  lead to relief of restless legs syndrome symptoms. Iron and  ferritin blood levels should be monitored closely before, dur­</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</si>
  <si>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</si>
  <si>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</si>
  <si>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</si>
  <si>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</si>
  <si>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</si>
  <si>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</si>
  <si>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to treat cerebral edema because they can increase intracranial pressure and worsen the condition." }</t>
  </si>
  <si>
    <t>venous drainage, avoidance of high ventilatory pressures and PEEP, avoidance of hypertension, and hyperventilation. Finally, osmotic diuretics such as mannitol, as well as surgical resection of space-occupying lesions and decompressive craniectomy, may reduce intracranial pressure from cerebral edema. (479, Table 30-1) Central Nervous System Disease 329 66485457-66485438                 www.ketabpezeshki.com</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</si>
  <si>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</si>
  <si>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</si>
  <si>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</si>
  <si>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</si>
  <si>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</si>
  <si>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</si>
  <si>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"Intrauterine prostaglandin F2α is not recommended for treating uterine atony because it can actually exacerbate the condition, whereas the other options are all used to stimulate uterine contractions and help resolve atony." }</t>
  </si>
  <si>
    <t>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</si>
  <si>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</si>
  <si>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</si>
  <si>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</si>
  <si>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</si>
  <si>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</si>
  <si>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</si>
  <si>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normal heart rate for a 6-month-old infant is 100-160 beats per minute. A normal blood pressure for a 6-month-old infant is 60-80 mmHg systolic and 40-50 mmHg diastolic. Normal oxygen consumption for a 6-month-old infant is 4-10 mL/kg. Therefore, the answer choice A, HR 120, BP 90/60, O2 consumption 5 mL/kg, is the most likely to be normal for this patient."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</si>
  <si>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</si>
  <si>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</si>
  <si>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</si>
  <si>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</si>
  <si>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</si>
  <si>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"E",   Explain: "This is not an answer option, it is an incorrect statement, and the correct options are A, B, C, and D."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</si>
  <si>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</si>
  <si>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</si>
  <si>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</si>
  <si>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</si>
  <si>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</si>
  <si>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</si>
  <si>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stridor and sternal retractions suggest respiratory distress, which is often caused by hypocalcemia, a common complication of thyroid surgery. The patient's complaint of tingling fingers and toes is also consistent with hypocalcemia. A positive Chvostek sign, which is a facial muscle spasm triggered by tapping the facial nerve, is a physical examination finding that can indicate hypocalcemia."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</si>
  <si>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</si>
  <si>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</si>
  <si>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</si>
  <si>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</si>
  <si>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</si>
  <si>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</si>
  <si>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responsible for vasoconstriction, which is the constriction of blood vessels, and is one of the effects of epinephrine's α-adrenergic stimulating properties." }</t>
  </si>
  <si>
    <t>vasopressin), antiarrhythmics (amiodarone and lidocaine),  and other drugs such as calcium chloride and sodium bicar­ bonate. Each will be discussed separately as follows. Vasopressors Epinephrine (adrenaline) is an endogenous catecholamine  with potent α- and β-adrenergic stimulating properties. The</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</si>
  <si>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</si>
  <si>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</si>
  <si>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</si>
  <si>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</si>
  <si>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</si>
  <si>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</si>
  <si>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is not typically seen in patients with acute subarachnoid hemorrhage, as it is more commonly associated with myocardial infarction. The other options, cardiac arrhythmia, elevated cardiac enzymes, depressed ventricular function, and pulmonary hypertension, are all possible complications of acute subarachnoid hemorrhage."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</si>
  <si>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</si>
  <si>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</si>
  <si>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</si>
  <si>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</si>
  <si>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</si>
  <si>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</si>
  <si>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"A",   "Explain": "Application of positive pressure ventilation after loss of consciousness would not be the least effective means of preventing desaturation, as it would actually help to improve oxygenation. The other options, such as preoxygenation with 100% O2 for 3 minutes, four vital capacity breaths with 100% O2 within 30 seconds, or placement of the patient in the 'ramped' or reverse Trendelenburg position, would all be more effective in preventing desaturation."</t>
  </si>
  <si>
    <t>severely injured patients, given the risk of hypovolemic shock and hemodynamic instability with induction. Propofol can be used for induction of stable patients without signs of shock. Succinylcholine is the most commonly used neuromuscular blocking agent to quickly provide optimal conditions for rapid sequence intubation of the trachea. Succinylcholine can be safely used in trauma and burn patients within the first 24 hours after injury, provided no other contraindications exist. (682-683) 11. A plateau wave is an abrupt and sustained increase in intracranial pressure that can occur in patients with traumatic brain injury, often in response to painful stimulation. This severe intracranial hypertension can last for 20 minutes before resolving, often dropping rapidly to a level lower than the previous baseline. (683, Figure 42-1) - rapid sequence induction of anesthesia and in-line cervical stabilization, followed by direct la­ ryngoscopy or video laryngoscopy, is the safest and most effective approach. The use of cricoid  pressure is controversial and is no longer a class I recommendation. _x0001_□_x0001_ _x0007_Recognition of hemorrhagic shock is at the center of advanced trauma life support. Hemor­ rhagic shock indicates the need for rapid operative treatment, with the possibility of a damage  control approach. Although establishing an adequate airway remains the initial priority, obvi­ ous hemorrhage should be concurrently addressed through immediate application of tourni­ quets or direct pressure. _x0001_□_x0001_ _x0007_Resuscitation during acute hemorrhagic shock has undergone a significant change in empha­ sis. Current recommendations are to allow permissive hypotension during active bleeding by  limitation of crystalloid infusion. Recognizing the impact of early coagulopathy in trauma, a</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</si>
  <si>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</si>
  <si>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</si>
  <si>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</si>
  <si>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</si>
  <si>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</si>
  <si>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</si>
  <si>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"E",   "Explain": "Assure adequate volume repletion is the most appropriate initial step in management as the patient's severe bilateral buttock, upper back, and shoulder pain may be related to hypovolemia or hypotension, which can exacerbate the pain and worsen the patient's condition." }</t>
  </si>
  <si>
    <t>53  •  Anesthesia for Thoracic Surgery 1713 muscle at the level of the T5 transverse process can result  in a spread of injectate from C7 to T8 vertebral levels.355  This block has been described for postthoracotomy analge­ sia rescue in a case of failed epidural analgesia in a patient  receiving prophylactic anticoagulation.356 The benefit of  an ESP block over a paravertebral block may be the more  obvious end-point for an ESP block as the needle tip con­ tacts the transverse process of the vertebra. An ultrasound- visible regional anesthetic needle (e.g., 8 cm, 17-gauge) is  inserted to contact the transverse process of the appropriate  thoracic vertebra deep to the anterior fascia of the erector</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</si>
  <si>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</si>
  <si>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</si>
  <si>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</si>
  <si>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</si>
  <si>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</si>
  <si>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</si>
  <si>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"E",   "Explain": "Both MELD and Child-Pugh classification models evaluate the severity of encephalopathy, which is a common criterion for both models." }</t>
  </si>
  <si>
    <t>tion, PT, ascites severity, and encephalopathy severity  (Table 31.16) _x0001_□_x0001_ _x0007_Model for end-stage liver disease (MELD)311 score of 15  or more (the MELD score is calculated using serum bili­ rubin concentration, INR, and serum creatinine concen­ trations) _x0001_□_x0001_ _x0007_Acute hepatitis (viral or alcoholic) _x0001_□_x0001_ _x0007_Chronic active hepatitis with jaundice, encephalopathy,  coagulopathy, or elevated liver enzymes _x0001_□_x0001_ _x0007_Abdominal surgical procedures _x0001_□_x0001_ _x0007_PT prolongation of 3 seconds or more that is refractive to  vitamin K therapy     The MELD score can be calculated as shown below (where  creatinine and bilirubin concentrations are expressed in  mg/dL): - have been used to predict short-term outcome after liver  transplantation.55 The HCC-MELD score, which combines  AFP, MELD, and tumor size, can predict survival after liver  transplantation in HCC patients.56 Elevated bilirubin pre­ dicts poor prognosis in acute or chronic liver disease, and  AP and bilirubin together predict poor outcome in primary  biliary cirrhosis. Noninvasive Serum Testing for Fibrosis Multiple models combining noninvasive measurements  have been used to assess the severity of fibrosis. The goal of  these models is to allow for disease staging (from mild fibro­ sis to cirrhosis) without requiring liver biopsy. Although  liver biopsy remains the diagnostic gold standard, limita­ tions include sampling error, subjectivity in interpretation,  pain, bleeding, and cost.54 These models include various - patients with cirrhosis. (From Wiesner RH, McDiarmid SV, Kamath PS,  et al. MELD and PELD: application of survival models to liver allocation.  Liver Transplant. 2001;7:567–580.)</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</si>
  <si>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</si>
  <si>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</si>
  <si>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</si>
  <si>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</si>
  <si>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</si>
  <si>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"The patient's increased weight and height compared to the reference patient would be expected to decrease his FVC, making it the greatest difference between the two patients."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</si>
  <si>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</si>
  <si>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</si>
  <si>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</si>
  <si>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</si>
  <si>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</si>
  <si>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</si>
  <si>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patient's symptoms of stridorous inspirations, sternal retractions, and agitation are consistent with respiratory distress, which is likely caused by incisional hemorrhage, as the patient underwent a surgical procedure three hours ago and is now experiencing respiratory distress, which is a common complication of surgical bleeding."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</si>
  <si>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</si>
  <si>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</si>
  <si>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</si>
  <si>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</si>
  <si>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</si>
  <si>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</si>
  <si>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patient has a history of end-stage renal disease and is undergoing explantation of a previously transplanted kidney followed by immediate renal transplant. A balanced anesthetic technique is ideal for this patient, which is provided by option D: O2, air, desflurane, fentanyl, cisatracurium. This combination allows for good endotracheal intubating conditions, preserves cardiac function, and provides adequate analgesia and muscle relaxation."</t>
  </si>
  <si>
    <t>39. The induction of anesthesia for cardiac transplantation may include a benzodiazepine and an opioid. The maintenance of anesthesia may be opioid based as well. The goal of the anesthetic induction and maintenance is to provide good endotracheal intubating conditions while preserving cardiac function. The potential risk of volatile anesthetics during a heart transplant procedure is myocardial depression, vasodilation, or both. (585) 40. Vessels that are transected and anastomosed during heart transplant procedures include the aorta, pulmonary artery, and left and right atria. These are done during cardiopulmonary bypass. A central venous or pulmonary artery catheter that is in place at the onset of surgery must be pulled back into the internal jugular vein when the patient’s heart is excised. (585) - derive its vascular supply? Where is the ureter anastomosed? 10. What are the preoperative considerations for the patient scheduled to undergo renal transplantation? 11. How is preoperative ischemic heart disease ruled out prior to transplant listing? 12. What is the usual general anesthetic regimen administered for renal transplantation? 13. What consideration must be made when selecting a neuromuscular blocking drug for patients undergoing renal transplantation? 14. Why is optimal hydration important during renal transplantation? What type of crystalloid solution should be used for hydration? What monitoring method may be used to help guide hydration intraoperatively for renal transplantation? 15. Is dopamine of benefit during renal transplant procedures? 16. Why is mannitol administered intraoperatively during renal transplant procedures?</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</si>
  <si>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</si>
  <si>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</si>
  <si>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</si>
  <si>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</si>
  <si>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</si>
  <si>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</si>
  <si>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 has undergone a TURP procedure, which involves the use of glycine as a irrigating solution. Glycine toxicity can cause visual disturbances, including blurred vision, double vision, and even cortical blindness. Given the patient's symptoms and medical history, glycine toxicity is the most likely cause of the visual disturbance."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</si>
  <si>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</si>
  <si>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</si>
  <si>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</si>
  <si>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</si>
  <si>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</si>
  <si>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</si>
  <si>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"C",   Explain: "Succinylcholine causes a rapid release of potassium from muscle cells, which can lead to hyperkalemia. Since the patient's last dialysis was 3 days ago, her potassium levels may not have been fully normalized. Therefore, it is likely that her serum potassium level will rise significantly after succinylcholine administration, approximately by 3.0 mEq/L." }</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</si>
  <si>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</si>
  <si>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</si>
  <si>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</si>
  <si>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</si>
  <si>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</si>
  <si>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</si>
  <si>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"Minimize inspired oxygen concentration is the most effective means to avoid an airway fire during CO2 laser surgery. This is because oxygen is a fuel for fires, and reducing its concentration in the airway reduces the risk of ignition."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</si>
  <si>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</si>
  <si>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</si>
  <si>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</si>
  <si>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</si>
  <si>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</si>
  <si>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</si>
  <si>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"Phenoxybenazine causes orthostatic hypotension, not reflex tachycardia. It is a non-selective alpha blocker that causes a decrease in blood pressure, which can lead to orthostatic hypotension, but it does not cause reflex tachycardia."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</si>
  <si>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</si>
  <si>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</si>
  <si>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</si>
  <si>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</si>
  <si>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</si>
  <si>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</si>
  <si>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abnormal finding, indicating fetal distress, whereas the other options are all indicative of fetal well-being."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</si>
  <si>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</si>
  <si>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</si>
  <si>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</si>
  <si>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</si>
  <si>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</si>
  <si>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</si>
  <si>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"In the first 24 hours of life, the neonate's blood volume is still relatively low, and the left ventricle is not under a large volume load. The left ventricle is actually under a relatively low pressure and volume load, as the placental circulation is being replaced by the systemic circulation."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</si>
  <si>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</si>
  <si>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</si>
  <si>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</si>
  <si>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</si>
  <si>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</si>
  <si>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"None of the above statements are true. CRPS is a rare condition that can occur after a variety of injuries or surgeries, but there is no specific increased risk associated with brain, spinal cord, or extremity injuries."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</si>
  <si>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</si>
  <si>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</si>
  <si>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</si>
  <si>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</si>
  <si>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</si>
  <si>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</si>
  <si>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"D",   Explain: "Substitution of helium for N2O decreases the risk of airway fire during CO2 laser ablation because helium is not a fuel for combustion, whereas N2O can support combustion." }</t>
  </si>
  <si>
    <t>while the patient has brief periods of apnea in conjunction  with intermittent removal of the ETT to allow unimpaired  access to the glottic structures. Laser vaporization of tissue, especially from CO2 lasers,  often results in a plume of smoke that can be hazardous.  The use of a smoke evacuator at the surgical site along with  protective masks that filter out particulate material is often  advised, especially when virus particles are present in the  vaporized tissue. Extubation of the trachea in these cases can be chal­ lenging. Some patients benefit from the administration of  intravenous dexamethasone to reduce edema. Stridor is  sometimes encountered after extubation; although this  condition may require reintubation, one can sometimes  avoid this by the use of inhaled racemic epinephrine or the - 70  •  Anesthesia for Otolaryngologic and Head-Neck Surgery 2219 application of laser treatment for attempted papilloma  eradication.94-99 In some cases the airway may be close to  obstruction because of an overgrowth of lesions. During  laser treatment, inspired oxygen concentration should be  kept to a minimum, with the avoidance of nitrous oxide,  to reduce the chance of an airway fire. After treatment, the  airway is raw and edematous. Laryngotracheomalacia may  occasionally be present, sometimes leading to complete  upper airway collapse following extubation of the trachea.  Anesthesia for Panendoscopy Panendoscopy, sometimes known as triple endoscopy,  involves three diagnostic components: laryngoscopy,  bronchoscopy, and esophagoscopy. Such procedures and - either direct laryngoscopy or rigid bronchoscopy. The surgeon should be prepared for an emergency cricothyrotomy or tracheostomy in the event of acute airway occlusion. Total intravenous anesthesia with maintenance of spontaneous ventilation can eliminate operating room pollution. (494) 82. After the removal of a foreign body, postoperatively the patient should receive humidified oxygen and remain under close observation for development of airway edema. (494-495) MILLER’S ANESTHESIA REVIEW 346 66485457-66485438                 www.ketabpezeshki.com - nitrous oxide should not be used, and the oxygen concentra­ tion should be limited to the lowest concentration necessary  to maintain acceptable arterial oxygen saturation levels. Airway management is often a challenge in laser surgery  cases, and the surgeon and anesthesiologist must work  together to devise a plan. One issue is whether general anes­ thesia should be preceded by awake intubation because the  presence of airway disease may complicate both ventilation  and intubation. Another issue is whether the procedure  should be performed using general anesthesia with the  patient breathing spontaneously, albeit with assistance, as  is sometimes desirable when an anterior mediastinal mass is  present. Muscle relaxation is often employed to help ensure  an immobile surgical field. With the widespread availability  of sugammadex, most clinicians are able to use rocuronium</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</si>
  <si>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</si>
  <si>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</si>
  <si>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</si>
  <si>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</si>
  <si>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</si>
  <si>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</si>
  <si>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because it can cause a sudden drop in blood pressure, which can further compromise placental perfusion and fetal well-being."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</si>
  <si>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</si>
  <si>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</si>
  <si>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</si>
  <si>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</si>
  <si>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</si>
  <si>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supraclavicular block, and axillary block are all reasonable options for surgeries distal to the elbow. The infraclavicular block is the best option for this patient as it targets the brachial plexus at the level of the second rib, which is suitable for surgeries on the hand and forearm. The interscalene block, on the other hand, targets the brachial plexus at the level of the neck and is not suitable for surgeries distal to the elbow." }</t>
  </si>
  <si>
    <t>interscalene approach? 31. How is a brachial plexus block via the supraclavicular approach achieved? What volumeoflocalanestheticisdepositedwiththis approachtobrachialplexus blockade? 32. What are some advantages of brachial plexus blockade via the supraclavicular approach? 33. What are some potential complications of brachial plexus blockade via the supraclavicular approach? 34. Describe the in-plane ultrasound-guided technique for blockade of the brachial plexus via the axillary approach. What volume of local anesthetic is deposited with this approach to brachial plexus blockade? 35. Axillaryblockprovidesanesthesiaforsurgeryinwhichregionsoftheupperextremity? 36. What nerves are blocked by injection superficial to the axillary sheath during the</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</si>
  <si>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</si>
  <si>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</si>
  <si>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</si>
  <si>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</si>
  <si>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</si>
  <si>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</si>
  <si>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monitoring is the most sensitive indicator of a venous air embolism because it directly measures the amount of nitrogen in the anesthetic circuit, which increases when air enters the venous circulation and is carried to the lungs, allowing for early detection of venous air embolism." }</t>
  </si>
  <si>
    <t>NEUROSURGERY 34. What monitors are typically used for intracranial neurosurgery? 35. What two devices can be used to measure the intracranial pressure? 36. What measures can an anesthesiologist undertake to attenuate increases in arterial blood pressure and intracranial pressure during direct laryngoscopy? 37. How is maintenance anesthesia usually achieved in patients undergoing intracranial neurosurgery? 38. What minimum alveolar concentration (MAC) of volatile anesthetic should be administered when used for maintenance anesthesia in patients undergoing intracranial neurosurgery? 39. What is the desired range of PaCO2 to optimize cerebral blood flow intraoperatively? 40. What is a potential problem of the administration of positive end-expiratory pressure (PEEP) during mechanical ventilation of the lungs in patients undergoing</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</si>
  <si>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</si>
  <si>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</si>
  <si>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</si>
  <si>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</si>
  <si>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</si>
  <si>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</si>
  <si>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is not a mechanism by which an infant under anesthesia loses body heat. Infants under anesthesia lose heat through metabolism of brown fat, conduction to cold surroundings, cold skin preparation solutions, and exposure of abdominal contents, but not through breathing dry gases."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</si>
  <si>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</si>
  <si>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</si>
  <si>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</si>
  <si>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</si>
  <si>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</si>
  <si>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"According to the context, acupuncture is considered a safe method of pain therapy since it does not disturb the physiology of the patient." }</t>
  </si>
  <si>
    <t>lation of nociceptive impulses in the spinal cord, release of  endogenous enkephalins, or a combination of these, and  other, mechanisms. Although the analgesic efficacy of these  techniques is controversial, TENS and acupuncture may pro­ vide postoperative analgesia, decrease postoperative opioid  requirements, reduce opioid-related side effects, and attenu­ ate activation of the sympathoadrenal system. In general, all  these approaches to postoperative pain are relatively safe,  noninvasive, and devoid of the systemic side effects seen  with other analgesic treatment options.154 TENS may be of  benefit in providing postoperative analgesia and decreasing  analgesic consumption.155,156 Early mobilization and activ­ ity therapy improve functional outcomes following orthope­ dic surgical procedures157 and are effective in reducing pain</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</si>
  <si>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</si>
  <si>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</si>
  <si>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</si>
  <si>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</si>
  <si>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</si>
  <si>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can cause an increase in intraocular pressure, which is a concern for patients with closed-angle glaucoma. During cataract surgery, it is essential to maintain normocarbia to prevent this complication."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</si>
  <si>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</si>
  <si>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</si>
  <si>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</si>
  <si>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</si>
  <si>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</si>
  <si>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</si>
  <si>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 technique used to decrease the metabolic rate of the spinal cord, reducing the risk of spinal cord ischemia during endovascular stent graft repair. This is achieved by cooling the patient's body temperature to a range of 32-34°C, which has been shown to be effective in reducing the risk of spinal cord injury."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</si>
  <si>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</si>
  <si>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</si>
  <si>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</si>
  <si>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</si>
  <si>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</si>
  <si>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which means they play a role in regulating the release of neurotransmitters such as norepinephrine and epinephrine from sympathetic nerve terminals." }</t>
  </si>
  <si>
    <t>postganglionic sympathetic fibers, and what do they do? 9. What receptor types do the various classic sympathetic neurotransmitters bind to at the target organ? 10. Where are a2 receptors located, and what happens when they are stimulated? 11. What are the chemical intermediates in the synthesis of norepinephrine from tyrosine substrate, and where does this process occur? 12. What is the rate limiting step in the synthesis of norepinephrine, and what enzyme catalyzes this step? 13. Where is epinephrine synthesized? 14. What percent of the norepinephrine reserve stored in vesicles at the sympathetic nerve terminal is released with each depolarization of the postganglionic nerve? 15. How is the action of norepinephrine at the synapse terminated? THE PARASYMPATHETIC NERVOUS SYSTEM - b2 AGONISTS 66. What are two common uses for b2-adrenergic agonist drugs? a-ADRENERGIC RECEPTOR ANTAGONISTS 67. What side effects are commonly associated with the use of a1 antagonists as antihypertensive therapies? 68. What must happen before there is complete recovery from a1-blockade with phenoxybenzamine? 69. What are the primary clinical effects of treatment with phenoxybenzamine? 70. Phenoxybenzamine is most often used to treat what disease? 71. What is the treatment for phenoxybenzamine overdose? 72. What effect does prazosin have on serum lipid levels? b-ADRENERGIC ANTAGONISTS 73. What are some of the clinic indications for b-blocker therapy?</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</si>
  <si>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</si>
  <si>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</si>
  <si>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</si>
  <si>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</si>
  <si>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</si>
  <si>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</si>
  <si>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maintain a plateau pressure &lt; 30 cm H2O. This is because high plateau pressures can cause alveolar overdistension and subsequent lung injury. By keeping the plateau pressure below 30 cm H2O, the risk of lung injury is reduced."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</si>
  <si>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</si>
  <si>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</si>
  <si>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</si>
  <si>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</si>
  <si>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</si>
  <si>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</si>
  <si>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SBT, the patient's respiratory rate (RR) is 36, which is still quite high, indicating that she may not be ready for extubation. The SpO2 is 96%, which is acceptable, and the heart rate (HR) is 98, which is within a normal range. Therefore, this combination of criteria does not suggest that extubation should be considered at this time."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</si>
  <si>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</si>
  <si>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</si>
  <si>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</si>
  <si>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</si>
  <si>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</si>
  <si>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</si>
  <si>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"An increased neonatal depression has been observed after nonurgent cesarean delivery when there is an elapsed time of 8 minutes between induction and delivery, which may be due to the prolonged exposure of the fetus to anesthetic agents." }</t>
  </si>
  <si>
    <t>72. What are some of the advantages and disadvantages of inducing general anesthesia for cesarean delivery with etomidate? 73. What are the effects of using volatile anesthetics for cesarean delivery on the fetus? 74. What neuromuscular agents are typically used for cesarean delivery with general anesthesia? Do they result in neuromuscular blockade of the fetus or relaxation of the uterus? ABNORMAL PRESENTATIONS AND MULTIPLE BIRTHS 75. What percent of live births are twins and why is the number increasing? What are the complications that develop with multiple gestations? 76. What are the modes of delivery for twin pregnancies? What anesthetic techniques can be used to optimize delivery? 77. Describe external cephalic version and the associated risks.</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</si>
  <si>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</si>
  <si>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</si>
  <si>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</si>
  <si>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</si>
  <si>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</si>
  <si>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</si>
  <si>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may decrease cerebral perfusion pressure, which can lead to cerebral ischemia and worsen neurological outcomes." }</t>
  </si>
  <si>
    <t>more control over hemodynamic changes, and may be a  logical alternative choice.  Hypovolemia. An extension of patients who are preload- dependent, hypovolemic patients may exhibit an exag­ gerated hypotensive response to the vasodilatory effects of  neuraxial blockade.  Hematologic Thromboprophylaxis. Borne of the catastrophic cases  of spinal hematoma causing paralysis associated with the  introduction and use of LMWH in the United States (US  FDA public health advisory: reports of epidural or spi­ nal hematomas with the concurrent use of low molecu­ lar weight heparin and spinal/epidural anesthesia or  spinal puncture. US Department of Health and Human  Resources, 1997), the American Society of Regional Anes­ - intracranial neurosurgery? 41. How do peripheral vasodilators affect cerebral blood flow? What is the recommendation regarding the use of these drugs intraoperatively in patients undergoing intracranial neurosurgery? 42. Why might neuromuscular blockade be maintained throughout intracranial surgical procedures? 43. How can cerebral swelling be treated intraoperatively? 44. What are some potential problems that can occur with the administration of mannitol? 45. How should intravenous fluid administration be managed intraoperatively in patients undergoing intracranial neurosurgery? 46. Why should glucose-containing intravenous solutions be avoided in neurosurgical patients? 47. Why should coughing and straining by patients awakening from anesthesia be</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</si>
  <si>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</si>
  <si>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</si>
  <si>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</si>
  <si>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</si>
  <si>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</si>
  <si>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</si>
  <si>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tract infection, which is not severe enough to warrant antibiotics or hospitalization. The surgery can be postponed for 2-4 weeks to allow the infection to resolve, reducing the risk of postoperative complications." }</t>
  </si>
  <si>
    <t>dren after tonsillectomy, orchidopexy, or inguinal hernia repair. Pae­ diatr Anaesth. 2012;22(2):136–143. _x0001_281._x0001_ _x0007_Strauss SG, Lynn AM, Bratton SL, Nespeca MK. Ventilatory response  to CO2 in children with obstructive sleep apnea from adenotonsillar  hypertrophy. Anesth Analg. 1999;89(2):328–332. _x0001_282._x0001_ _x0007_American Academy of Pediatrics. Clinical practice guideline: diagno­ sis and management of childhood obstructive sleep apnea syndrome.  Pediatrics. 2002;109(4):704–712. _x0001_283._x0001_ _x0007_Nixon GM, Kermack AS, Davis GM, Manoukian JJ, Brown KA, Brouil­</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</si>
  <si>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</si>
  <si>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</si>
  <si>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</si>
  <si>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</si>
  <si>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</si>
  <si>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and valdecoxib, have fewer GI side effects compared to nonselective COX inhibitors like aspirin and NSAIDs, making them a better option for patients with a history of GI issues." }</t>
  </si>
  <si>
    <t>classes available such as phosphodiesterase inhibitors, pro­ tease-activated receptor-1 antagonists, adenosine reuptake  inhibitors, and thromboxane inhibitors. Cyclooxygenase Inhibitors Aspirin and NSAIDS are the two primary members of this  class. There are two forms of the cyclooxygenase enzyme:  COX-1 and COX-2. COX-1 maintains the integrity of the  gastric lining and renal blood flow and initiates the for­ mation of thromboxane A2 (TxA2), which is important for  platelet aggregation. COX-2 is responsible for synthesizing  the prostaglandin mediators in pain and inflammation.  Aspirin Aspirin is a non-selective and irreversible COX inhibitor. - 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 constitutive tissue-protective COX-1 would be spared. It has  now become clear that COX-2 expression is constitutive in  many tissues (e.g., gastrointestinal epithelium, vascular  endothelium, spinal cord) and COX-2 inhibition may exac­ erbate inflammation, impair ulcer healing, and decrease  formation of vasoprotective prostacyclin. COX inhibitors  confer an increased risk of thrombosis, myocardial infarc­ tion, renal impairment, hypertension, stroke, and liver tox­ icity, and can cause rare anaphylactic reactions. NSAIDs and antipyretic analgesics play a controversial  role in chronic pain. For example, their uncontrolled use  may result in medication overuse headache.90 In chronic - two COX isoforms (i.e., COX-1 is constitutive and COX-2 is  inducible) with different functions (i.e., COX-1 participates  in platelet aggregation, hemostasis, and gastric mucosal  protection, whereas COX-2 participates in pain, inflam­ mation, and fever) has led to the development of selective  COX-2 inhibitors that differ from traditional NSAIDs, which  block both COX-1 and COX-2.39 The discovery of a COX-3  variant may represent a primary central mechanism by  which acetaminophen and other antipyretics decrease pain  and fever; however, the precise relationship between COX-3  and acetaminophen is still uncertain.40 NSAIDs given alone generally provide effective analge­ sia for mild to moderate pain. NSAIDs are also traditionally</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</si>
  <si>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</si>
  <si>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</si>
  <si>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</si>
  <si>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</si>
  <si>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</si>
  <si>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</si>
  <si>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can cause sedation, but it can also cause CNS excitation a few hours after taking it, making it a suitable answer for this question."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</si>
  <si>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</si>
  <si>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</si>
  <si>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</si>
  <si>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</si>
  <si>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</si>
  <si>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</si>
  <si>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the fact that the posterior descending artery is supplied by the left circumflex artery, rather than the right coronary artery, which is the typical arrangement in most people."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</si>
  <si>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</si>
  <si>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</si>
  <si>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</si>
  <si>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</si>
  <si>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</si>
  <si>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often more severe in persons with underlying anxiety or depression, not less severe as stated in option B."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</si>
  <si>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</si>
  <si>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</si>
  <si>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</si>
  <si>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</si>
  <si>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</si>
  <si>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</si>
  <si>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which is a characteristic feature of seizure activity." }</t>
  </si>
  <si>
    <t>administration for refractory status epilepticus. Anesthesiology.  2002;97:261. PMID:12131129. _x0001_216._x0001_ _x0007_Hoffman WE, Edelman G. Comparison of isoflurane and desflurane  anesthetic depth using burst suppression of the electroencepha­ logram in neurosurgical patients. Anesth Analg. 1995;81:811.  PMID:7574015. _x0001_217._x0001_ _x0007_Banoub M, Tetzlaff JE, Schubert A. Pharmacologic and physiologic  influences affecting sensory evoked potentials. Anesthesiology.  2003;99:716. PMID:12960558. _x0001_218._x0001_ _x0007_Peterson DO, Drummond JC, Todd MM. Effects of halothane, enflu­ rane, isoflurane, and nitrous oxide on somatosensory evoked poten­ - patients undergoing epilepsy surgery. Epilepsia. 2001;42:1340–1344. _x0001_369._x0001_ _x0007_Kjaer TW, Madsen FF, Moltke FB, Uldall P, Hogenhaven H. Intra­ operative hyperventilation vs remifentanil during electrocorti­ cography for epilepsy surgery - a case report. Acta Neurol Scand.  2010;121:413–417. _x0001_370._x0001_ _x0007_Lyons MK. Deep brain stimulation: current and future clinical appli­ cations. Mayo Clinic Proceedings. 2011;86:662–672. _x0001_371._x0001_ _x0007_Hammond C, Bergman H, Brown P. Pathological synchronization in  Parkinson’s disease: networks, models and treatments. Trends Neuro­ sci. 2007;30:357–364.</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</si>
  <si>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</si>
  <si>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</si>
  <si>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</si>
  <si>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</si>
  <si>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</si>
  <si>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</si>
  <si>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an adult's airway is at the cricoid membrane, not the rima glottidis. In infants, the narrowest area is at the cricoid membrane as well, not at the rima glottidis." }</t>
  </si>
  <si>
    <t>until the airway is secured; and have surgical backup for emergency tracheostomy for particularly difficult cases. The major difference between managing the pediatric versus adult airway is that young pediatric patients will not tolerate an “awake” intubation with topical anesthesia of the airway; they must have some level of moderate to deep sedation or general anesthesia. Also, cricothyrotomy is technically difficult in small patients and ventilation via this method ineffective. Thus, this method cannot be used in young pediatric patients. (554) PREANESTHETIC EVALUATION AND PREPARATION 44. The preoperative history in the pediatric patient often comes from a parent. The history obtained should include such things as congenital anomalies, allergies, bleeding tendencies, and any recent exposure to communicable diseases. A special consideration for the pediatric population is whether the patient has had any</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</si>
  <si>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</si>
  <si>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</si>
  <si>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</si>
  <si>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</si>
  <si>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</si>
  <si>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</si>
  <si>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"Antiphospholipid syndrome is associated with both venous and arterial thrombotic events, which is why the patient's history of recurrent pregnancy loss and antiphospholipid antibody is important to note. This increases the risk of both venous and arterial thrombotic events during pregnancy and delivery."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</si>
  <si>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</si>
  <si>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</si>
  <si>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</si>
  <si>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</si>
  <si>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</si>
  <si>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</si>
  <si>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a surgical procedure that involves removing a portion of the orbit to relieve pressure on the optic nerve, and is not typically associated with arrhythmia."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</si>
  <si>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</si>
  <si>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</si>
  <si>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</si>
  <si>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</si>
  <si>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</si>
  <si>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</si>
  <si>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no change in placental perfusion." }</t>
  </si>
  <si>
    <t>the kidneys, liver, pulmonary, and central nervous sys­ tems. In contrast to the usual volume-expanded status  in pregnancy, patients with preeclampsia have reduced  plasma volume, combined with endothelial dysfunction  and hypoalbuminemia. Previously IV volume expansion  was thought to be beneficial in treating hypertension in  preeclampsia; however, this has not been borne out by  later studies.205,206 Furthermore, a clear association exists  between positive fluid balance and the incidence of pulmo­ nary edema in this condition.207 Acute pulmonary edema  occurs in between 5% and 30% of cases of preeclampsia.  It is associated with increased hospital length of stay and  is a leading cause of death in preeclamptic patients. Most  cases present in the postpartum period, perhaps reflecting  the autotransfusion into a vasoconstricted circulation that - Vries JIP, et al. A randomised controlled trial comparing two tem­ porising management strategies, one with and one without plasma  volume expansion, for severe and early onset pre-eclampsia. BJOG.  2005;112(10):1358–1368. _x0001_207._x0001_ _x0007_Duley L, Williams J, Henderson-Smart DJ. Plasma volume expansion  for treatment of women with pre-eclampsia. Cochrane Database Syst  Rev. 2000;2:CD001805. _x0001_208._x0001_ _x0007_Thornton CE, von Dadelszen P, Makris A, Tooher JM, Ogle RF, Hen­ nessy A. Acute pulmonary oedema as a complication of hyperten­ sion during pregnancy. Hypertens Pregnancy. 2011;30(2):169–179. _x0001_209._x0001_ _x0007_The management of hypertensive disorders during pregnancy. NICE - eclampsia has increased likely as a result of increases in  maternal age and obesity, whereas the risk for eclampsia  has decreased because of improved prenatal care and the  use of prophylactic intravenous magnesium.225,228 The  cause of preeclampsia is not known, but it is generally  thought that placental insufficiency through a cascade  of antiangiogenic factors (e.g., s-Flt) eventually leads to  maternal generalized endothelial dysfunction. The cause  of the placental insufficiency is likely variable and could  include maternal or paternal genetics and/or environ­ mental factors. Patients with preeclampsia have an ele­ vated risk for cerebral hemorrhage, pulmonary edema,  and coagulopathy. Current guidelines recommend treat­ ing SBP more than 160 mm Hg for prevention of intrace­ - ▪Oliguria of less than 500 mL in 24 hours ▪Cerebral or visual disturbances ▪Pulmonary edema or cyanosis ▪Epigastric or right upper quadrant pain ▪Impaired liver function ▪Thrombocytopenia ▪Fetal growth restriction (533, Table 33-3) 83. A subcategory of severe preeclampsia is HELLP syndrome, which is a constellation of Hemolysis, Elevated Liver enzymes, and Low Platelet count. (533) 84. Although the exact cause remains unknown, preeclampsia begins with the pathogenic maternal/fetal interface. During placental formation there is failure of complete trophoblast cell invasion of the uterine spiral arteries. The failure of spiral artery remodeling creates decreased placental perfusion, which may ultimately lead to early placental hypoxia. Ultimately there is upregulation of cytokines and inflammatory factors as seen in sepsis. (533)</t>
  </si>
  <si>
    <t>An active agent useful in the performance of a neurolytic block i</t>
  </si>
  <si>
    <t>A. 40% potassium hydroxide</t>
  </si>
  <si>
    <t>B. 10% glycerin</t>
  </si>
  <si>
    <t>C. 50% alcohol</t>
  </si>
  <si>
    <t>D. 100% phenol</t>
  </si>
  <si>
    <t>{   "Answer": "A",   Explain: "40% potassium hydroxide is an active agent used in neurolytic blocks, which are procedures that involve the destruction of nerves to relieve pain." }</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</si>
  <si>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</si>
  <si>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</si>
  <si>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</si>
  <si>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</si>
  <si>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</si>
  <si>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</si>
  <si>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of the medication. This is because it can cause liver damage and inflammation, leading to an increase in liver enzymes in the blood."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</si>
  <si>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</si>
  <si>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</si>
  <si>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</si>
  <si>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</si>
  <si>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due to the risk of hyperkalemia, as the patient already has a potassium level of 5.3 mEq/L, which may be exacerbated by the muscle relaxant's effect on potassium levels."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</si>
  <si>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</si>
  <si>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</si>
  <si>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</si>
  <si>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</si>
  <si>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</si>
  <si>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primarily excreted by the kidneys, and its elimination half-life is significantly prolonged in patients with renal dysfunction. As this patient has end-stage renal disease, morphine would be affected the most by her renal dysfunction, leading to a prolonged duration of action and increased risk of adverse effects." }</t>
  </si>
  <si>
    <t>21._x0001_ _x0001_Koncicki HM, Brennan F, Vinen K, Davison SN. An approach to pain  management in end stage renal disease: considerations for general  management and intradialytic symptoms. Semin Dial. 2015;28:384– 391. _x0001_ 22._x0001_ _x0001_Mazze RI. Metabolism of the inhaled anaesthetics: implications of  enzyme induction. Br J Anaesth. 1985;56:275. _x0001_ 23._x0001_ _x0001_Mazze RI, Cousins MJ, Barr GA. Renal effects and metabolism of iso­ flurane in man. Anesthesiology. 1974;40:536. _x0001_ 24._x0001_ _x0001_Mazze RI, Sievenpiper TS, Stevenson J. Renal effects of enflurane and  halothane in patients with abnormal renal function. Anesthesiology.  1984;60:161.</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</si>
  <si>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</si>
  <si>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</si>
  <si>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</si>
  <si>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</si>
  <si>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</si>
  <si>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the patient has been on dialysis and has a history of type I diabetes, which can cause hypovolemia and electrolyte imbalances. By expanding the patient's volume with saline, albumin, and/or blood, the risk of acute tubular necrosis is reduced, and the graft function is facilitated."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</si>
  <si>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</si>
  <si>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</si>
  <si>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</si>
  <si>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</si>
  <si>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</si>
  <si>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</si>
  <si>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"80% of patients with idiopathic scoliosis do not undergo fusion to the lowest lumbar levels, making neuraxial anesthesia a viable option."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</si>
  <si>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</si>
  <si>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</si>
  <si>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</si>
  <si>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</si>
  <si>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</si>
  <si>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</si>
  <si>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"C",   Explain: "Clamping the right pulmonary artery will reduce blood flow to the non-ventilated lung, allowing the ventilated lung to receive more blood flow and increase oxygen saturation."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</si>
  <si>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</si>
  <si>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</si>
  <si>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</si>
  <si>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</si>
  <si>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</si>
  <si>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</si>
  <si>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better safety profile in pregnancy due to its ability to effectively lower blood pressure without causing significant fetal complications, making it a preferred choice for hypertensive patients." }</t>
  </si>
  <si>
    <t>on Hypertension in Pregnancy. Obstet Gynecol. 2013;122:1122– 1131. _x0001_228._x0001_ _x0007_Sibai BM. Magnesium sulfate prophylaxis in preeclampsia: evidence  from randomized trials. Clin Obstet Gynecol. 2005;48:478–488. _x0001_229._x0001_ _x0007_Committee Opinion No. 692. Emergent therapy for acute-onset,  severe hypertension during pregnancy and the postpartum period.  Obstet Gynecol. 2017;129(4):e90–e95. _x0001_230._x0001_ _x0007_Vandermeulen EP, Van Aken H, Vermylen J. Anticoagulants and  spinal-epidural anesthesia. Anesth Analg. 1994;79:1165–1177. _x0001_231._x0001_ _x0007_Hood DD, Curry R. Spinal versus epidural anesthesia for cesarean - rebral hemorrhage.227 Initial treatment typically includes  intravenous labetalol, hydralazine, and/or oral nifedip­ ine.229 Other considerations are increased airway edema  with associated difficulty of intubation and increased rates  of postpartum atony related to the use of magnesium sul­ fate. Methylergonovine (Methergine) should be used cau­ tiously in patients with preeclampsia because it may lead  to hypertensive crisis. Women with preeclampsia can be  sensitive to both endogenous and exogenous catechol­ amines. Therefore careful administration of adrenergic  agents is recommended. Women with a diagnosis of preeclampsia should have  their platelet count checked before initiation of regional  anesthesia or removal of an epidural catheter. Coagulopa­ - (1 g) should be administered. (533) 87. Initial antihypertensive therapy for preeclampsia normally includes hydralazine and labetalol. In refractory severe hypertension, nitroglycerin and sodium nitroprusside may be used in the acute situation to prevent intracerebral hemorrhage. Current guidelines recommend treating SBP &gt;160. (533-534) HEMORRHAGE IN PREGNANT WOMEN 88. Placenta previa, abruptio placentae, and uterine rupture are major causes of bleeding in the third trimester and during labor. Postpartum hemorrhage occurs in 3% to 5% of all vaginal deliveries and is typically due to uterine atony, retained placenta, placenta accreta, or lacerations involving the cervix or vagina. (534) - 227._x0001_ _x0007_American College of Obstetricians and Gynecologists. Task force on  hypertension in pregnancy. Obstet Gynecol. 2013;122:1122. _x0001_228._x0001_ _x0007_Sibai BM. Clin Obstet Gynecol. 2005;48:478. _x0001_229._x0001_ _x0007_Committee Opinion No. 692. Emergent therapy for acute-onset,  severe hypertension during pregnancy and the postpartum period.  Obstet Gynecol. 2017;129(4):e90. _x0001_230._x0001_ _x0007_Vandermeulen EP, et al. Anesth Analg. 1994;79:1165. _x0001_231._x0001_ _x0007_Hood DD, et al. Anesthesiology. 1999;90:1276. _x0001_232._x0001_ _x0007_Walace DH, et al. Obstet Gynecol. 1995;86:193.</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</si>
  <si>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</si>
  <si>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</si>
  <si>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</si>
  <si>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</si>
  <si>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</si>
  <si>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</si>
  <si>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compromise the stability of the C6 fracture and worsen the injury." }</t>
  </si>
  <si>
    <t>spinal column fracture presents challenges for the anesthesiol­ ogist. First and foremost is the need for intubation of the trachea  in a patient with a known injury to the cervical spine. Direct  laryngoscopy with in-line stabilization is appropriate in the  emergency setting and in unconscious, combative, or hypox­ emic patients when the status of the spine is not known.267 Tra­ cheal intubation can occur in the OR, in an awake, alert, and  cooperative patient by several methods known to produce less  displacement of the cervical spine, presumably with less risk for  worsening an unstable SCI. A common technique in current  clinical practice is awake fiberoptic intubation. Although the  nasal route is associated with an easier path to intubation in  most patients, it can lead to an increased risk for sinusitis in the - cervical spines because the technique does not require movement of the patient’s neck and can be performed before the induction of general anesthesia, thereby allowing for evaluation of the patient’s neurologic function after tracheal intubation and surgical positioning. (233) 46. Patients who have sustained an injury to the upper airway from either blunt or penetrating trauma are at risk for the endotracheal tube creating a false passage by exiting the airway through the disrupted tissue during direct laryngoscopy. By performing a fiberoptic intubation, not only can the injury be assessed, but the tracheal tube can also be placed beyond the level of the injury and thus eliminate the risk of causing subcutaneous emphysema, which could compress and further compromise the airway. (233) 47. An absolute contraindication to fiberoptic endotracheal intubation is a lack of time. - especially when bilateral mandibular fractures are pres­ ent. Airway trauma from blunt or penetrating injuries,  burns, inhalational injury, or even iatrogenic causes may  be present. Immediate airway management options include  orotracheal intubation (awake versus rapid-sequence  induction), a surgical airway carried out using local anes­ thesia, or even intubation through an open airway in cases  of tracheal transection. Oropharyngeal airways may not be  tolerated in patients with an intact gag reflex, and inserting  a nasopharyngeal airway may exacerbate bleeding. Although fiberoptic intubation would seem to offer  many advantages in trauma cases, clinical experience sug­ gests otherwise, at least in some cases, because navigat­ ing through a distorted airway filled with blood and foamy</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</si>
  <si>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</si>
  <si>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</si>
  <si>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</si>
  <si>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</si>
  <si>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</si>
  <si>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possible underlying malignancy. Tricyclic antidepressants are commonly used to treat chronic pain, and they may also have additional benefits such as treating depression, potentiating the effect of opioids, and improving mood." }</t>
  </si>
  <si>
    <t>treatment of the malignancy, with successful treatment often leading to complete pain resolution. (703) 23. The mainstay of treatment of chronic pain for cancer patients is opioid therapy. Other analgesics which are commonly used are tricyclic antidepressants, anticonvulsants, and corticosteroids. Tricyclic antidepressants may have additional benefits of treating depression (common among cancer patients), potentiating the effect of opioids, facilitating nocturnal sleep, and improving mood. Anticonvulsant medications may be useful in neuropathic pain. Corticosteroids play a role in decreasing the sensation of pain, improving mood, and increasing appetite, all of which are ongoing problems in patients with chronic cancer pain. The World Health Organization’s analgesic approach has been adopted worldwide to promote the aggressive treatment of cancer-related pain by</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</si>
  <si>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</si>
  <si>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</si>
  <si>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</si>
  <si>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</si>
  <si>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</si>
  <si>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</si>
  <si>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stable and does not appear to be in distress, so lung isolation is not likely to be necessary for the procedure."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</si>
  <si>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</si>
  <si>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</si>
  <si>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</si>
  <si>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</si>
  <si>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</si>
  <si>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</si>
  <si>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"The first stage of labor involves the contraction of the uterus, which is transmitted through the T10-L1 spinal segments. The second stage involves the pushing stage, which is transmitted through the S2-S4 spinal segments. Therefore, the correct answer is C, T10-L1 and S2-S4."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</si>
  <si>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</si>
  <si>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</si>
  <si>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</si>
  <si>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</si>
  <si>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</si>
  <si>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</si>
  <si>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septal defect is a congenital cardiac lesion that can cause atrial fibrillation, and it is the most likely diagnosis in this patient given her otherwise healthy status and active lifestyle." }</t>
  </si>
  <si>
    <t>patient with known or suspected pulmonary disease (e.g.,  pulmonary hypertension) may suggest severe respiratory  or vascular compromise; thus, consideration should be  given to pulmonary evaluation and echocardiography if  intermediate- or high-risk surgery is planned. Atrial Fibrillation. Atrial fibrillation is a common  arrhythmia characterized by a variable irregular ventricu­ lar response, and an absence of regular or organized atrial  activity. The arrhythmia is classified as paroxysmal (i.e.,  terminates spontaneously or with intervention within 7  days of onset), persistent (i.e., fails to self-terminate within  7 days), long-standing persistent (i.e., lasts more than 12  months), or permanent (i.e., persistent atrial fibrillation  where a joint decision has been made by the patient and cli­</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</si>
  <si>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</si>
  <si>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</si>
  <si>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</si>
  <si>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</si>
  <si>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</si>
  <si>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</si>
  <si>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which is most likely caused by hypovolemia. This is because the patient's initial minute ventilation was set at 4 L/min, which may not be sufficient to maintain adequate oxygenation and ventilation, leading to hypoxia and subsequent hypovolemia." }</t>
  </si>
  <si>
    <t>bolus administration during induction if needed to main­ tain appropriate hemodynamics. Maintenance of anesthesia may be accomplished with  a combination of a potent opioid (fentanyl or sufentanil)  and an inhaled anesthetic (sevoflurane, desflurane, or iso­ flurane) (i.e., balanced anesthesia). Patients with severe  left ventricular dysfunction may benefit from a pure opi­ oid technique, but a balanced anesthetic technique allows  the clinician to take advantage of the most desirable char­ acteristics of potent opioids and inhaled volatile anesthet­ ics while minimizing their undesirable side effects. Nitrous  oxide can be used to supplement either an opioid or an  inhaled anesthetic. Various regional anesthetic and analgesic techniques - 1 μg/kg) are administered during arterial line placement.  Induction of anesthesia is accomplished with incremen­ tal dosages of Propofol supplemented with additional opi­ oid (total fentanyl dose 2 to 4 μg/kg). Etomidate also may  be used and is preferred in patients with limited cardiac  reserve. Neuromuscular relaxation with a short-acting to  intermediate-acting nondepolarizing muscle relaxant such  as rocuronium facilitates tracheal intubation. Esmolol is  particularly effective in blunting the increases in heart rate  and blood pressure responses during laryngoscopy and  endotracheal intubation and is used liberally during the  induction period. Arterial blood pressure responses during  and after endotracheal intubation are unpredictable in this  patient population, and the clinician must be prepared for</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</si>
  <si>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</si>
  <si>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</si>
  <si>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</si>
  <si>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</si>
  <si>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</si>
  <si>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</si>
  <si>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experiencing tachycardia, hypotension, and ST elevations in lead V, as well as a rise in pulmonary artery pressure, indicating a possible vasodilation. Sodium nitroprusside is a vasodilator that can help to reduce blood pressure and pulmonary artery pressure, making it the most appropriate agent to administer in this situation."</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</si>
  <si>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</si>
  <si>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</si>
  <si>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</si>
  <si>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</si>
  <si>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</si>
  <si>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</si>
  <si>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"Inform the surgeon and request that he/she stop until the heart rate recovers because the heart rate decrease is acute and significant, and the blood pressure is normal and stable, indicating a vagal response. This is a common response to strabismus surgery in children, and stopping the surgery until the heart rate recovers is the best course of action."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</si>
  <si>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</si>
  <si>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</si>
  <si>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</si>
  <si>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</si>
  <si>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</si>
  <si>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</si>
  <si>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a vagal-mediated reflex that occurs in response to stimulation of the eyes. The afferent limb of this reflex is the trigeminal nerve, which transmits the sensory information to the brain. The efferent limb is the vagus nerve, which responds to this information by causing a decrease in heart rate, resulting in bradycardia."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</si>
  <si>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</si>
  <si>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</si>
  <si>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</si>
  <si>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</si>
  <si>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</si>
  <si>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</si>
  <si>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in appreciable amounts, and it is a known teratogen that can cause aplasia cutis congenita, a rare but serious condition. Therefore, statement C is false."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</si>
  <si>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</si>
  <si>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</si>
  <si>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</si>
  <si>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</si>
  <si>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</si>
  <si>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</si>
  <si>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"Extrapyramidal effects are more commonly associated with benzodiazepines like triazolam, which can cause muscle rigidity, tremors, and other extrapyramidal symptoms. Zaleplon, on the other hand, is a non-benzodiazepine hypnotic that is less likely to cause these effects."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</si>
  <si>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</si>
  <si>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</si>
  <si>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</si>
  <si>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</si>
  <si>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</si>
  <si>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</si>
  <si>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"In patients with closed head trauma and elevated intracranial pressure, it is essential to maintain an unequivocal neurological exam, which can be compromised by sedation. Therefore, avoidance of sedation is recommended to ensure accurate monitoring of the patient's neurological status." }</t>
  </si>
  <si>
    <t>in urgent situations, is appropriate for essentially all acute  trauma craniotomies. Peripheral venous access is sufficient  in the majority of situations. Sudden hypotension after  dural opening with high ICP can occur as brainstem com­ pression is relieved.264 Appropriate intravascular volume  resuscitation should mitigate this occurrence. Infrequently,  the management of a depressed skull fracture over the sag­ ittal sinus justifies a precordial Doppler and, subject to the  surgeon’s assessment of VAE risk, a right heart catheter.  Arterial Blood Pressure Management. The concept that  the injured brain is extremely vulnerable to what would  otherwise be a minor insult (e.g., modest hypotension,  moderate hypoxia) has been well confirmed in the labora­ tory.265 Although clinically the cause-effect relationships  are not absolutely confirmed, several surveys demonstrate - field (Fig. 57.5). A head-up posture to ensure good venous  drainage is the standard in neurosurgical anesthesia and  critical care. Obstruction of cerebral venous drainage by  extremes of head position or circumferential pressure (cer­ vical collars, endotracheal tube ties) should be avoided.  Anything that causes increased intrathoracic pressure can  also result in obstruction of cerebral venous drainage. Rel­ evant phenomena include kinking or partial obstruction of  endotracheal tubes, tension pneumothorax, coughing or  straining against the endotracheal tube, or gas trapping as  a result of bronchospasm. Neuromuscular blockade is usu­ ally induced during craniotomies unless a contraindication  is present. Such a blockade would prevent a sudden cough - tion in the neurologically impaired patients should be (1)  rapid sequence from induction to placement of an ETT to  reduce the risk of pulmonary aspiration; (2) blunt nocicep­ tive reflexes that may further elevate ICP or cerebral hyper­ tension that may exacerbate intracranial hemorrhage or  facilitate herniation; (3) maintaining adequate, age-appro­ priate CPP; and (4) limiting ischemia by maximizing ade­ quate oxygen delivery and maintaining PaCO2 in a normal  range to ensure appropriate CBF.502 It should be assumed  that all patients are at risk for a full stomach and cervical  spine injury, so intubation should be performed utilizing a  neuroprotective, rapid-sequence induction whenever pos­ sible. Supplemental oxygen (100%) should be delivered</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</si>
  <si>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</si>
  <si>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</si>
  <si>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</si>
  <si>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</si>
  <si>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</si>
  <si>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</si>
  <si>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patient's history of meconium aspiration suggests that they were likely exposed to in utero stress and fetal hypoxia, which can cause the fetal body to release meconium into the amniotic fluid, leading to aspiration at birth." }</t>
  </si>
  <si>
    <t>α1-antitrypsin deficiency is</t>
  </si>
  <si>
    <t>A. a nonvascular lung disease</t>
  </si>
  <si>
    <t>B. determined by a serum assay</t>
  </si>
  <si>
    <t>C. nonfamilial</t>
  </si>
  <si>
    <t>D. due to a lack of an enzyme produced by the lung</t>
  </si>
  <si>
    <t>E. the most common cause of COPD</t>
  </si>
  <si>
    <t>{   "Answer": "B",   Explain: "Alpha-1 antitrypsin deficiency is determined by a serum assay, which measures the levels of this protein in the blood."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</si>
  <si>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</si>
  <si>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</si>
  <si>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</si>
  <si>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</si>
  <si>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</si>
  <si>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</si>
  <si>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"There is no mention in the given context that longer-than-normal spinal needles are more frequently required for neuraxial anesthesia than longer-than-normal epidural needles, whereas the other options are all mentioned as true statements regarding morbid obesity in pregnancy." }</t>
  </si>
  <si>
    <t>abnormality may be maintained on anticoagulants for pro­ phylaxis or treatment of DVT and appropriate cessation of  anticoagulants must occur prior to placement of neuraxial  blockade.210,241  OBESITY Maternal obesity (prepregnancy body mass index ≥30 kg/ m2) and metabolic syndrome cause gestational diabetes,  newborn hyperglycemia, larger babies, prolonged labor,  and cesarean delivery.68,242 Cesarean delivery for obese  women holds greater risk of mortality.243,244 Sleep apnea  is more common in obese parturients and is a risk factor  for hypoventilation after treatment with systemic opioids  and difficult tracheal intubation when general anesthesia  is required. Morbidly obese parturients are at increased risk - of longer first stage of labor and operative delivery.245 Epi­ dural anesthesia placement in obese parturients is more dif­ ficult and takes longer and they are more likely to require a  repeat procedure due to inadequate pain control or failure  to achieve bilateral sensory blockade.245,246 An early anes­ thesia consultation is advised for morbidly obese women  regardless of planned delivery mode.  CARDIAC DISEASE The leading cause of maternal mortality in the United  States is cardiac disease.156 In planning an anesthetic for  a delivery in a woman with congenital or acquired heart  disease, the anesthesia provider must take into consid­ eration the patient’s cardiac lesion or disease state; the  normal physiologic changes of pregnancy, labor, and  delivery; and the hemodynamic changes of the anes­ thetic itself. During pregnancy, labor, and delivery,</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</si>
  <si>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</si>
  <si>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</si>
  <si>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</si>
  <si>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</si>
  <si>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</si>
  <si>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</si>
  <si>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despite being on high FiO2 (100%) suggests that he may have carboxyhemoglobinemia from inhaling smoke, which can cause a leftward shift of the oxygen-hemoglobin dissociation curve, making it appear as if the patient is getting adequate oxygenation when in reality they are not."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</si>
  <si>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</si>
  <si>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</si>
  <si>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</si>
  <si>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</si>
  <si>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</si>
  <si>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</si>
  <si>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comatose and has a history of being rescued from a burning home, which may have caused carbon monoxide poisoning. Carbon monoxide poisoning can cause seizures as a complication of HBO treatment." }</t>
  </si>
  <si>
    <t>severely injured patients, given the risk of hypovolemic shock and hemodynamic instability with induction. Propofol can be used for induction of stable patients without signs of shock. Succinylcholine is the most commonly used neuromuscular blocking agent to quickly provide optimal conditions for rapid sequence intubation of the trachea. Succinylcholine can be safely used in trauma and burn patients within the first 24 hours after injury, provided no other contraindications exist. (682-683) 11. A plateau wave is an abrupt and sustained increase in intracranial pressure that can occur in patients with traumatic brain injury, often in response to painful stimulation. This severe intracranial hypertension can last for 20 minutes before resolving, often dropping rapidly to a level lower than the previous baseline. (683, Figure 42-1)</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</si>
  <si>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</si>
  <si>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</si>
  <si>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</si>
  <si>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</si>
  <si>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</si>
  <si>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is not immediately necessary for a neonate with an Apgar score of 4 at one minute, as it is not a critical indication for intubation. Instead, initial management should focus on providing adequate oxygenation and ventilation through bag-mask ventilation or other means." }</t>
  </si>
  <si>
    <t>SECTION V  •  Pediatric Anesthesia 2526 (3) Use 100% oxygen if chest compressions or medications  are given, then titrate to targeted SpO2. (4) Apply oximeter  to right hand (preductal).  VENTILATION Breathing usually begins by 30 seconds after birth and is  sustained by 90 seconds of age. A few minutes after birth,  the respiratory rate (RR) of normal neonates is between  40 and 60 breaths/min. The absence of a pause between  inspiration and expiration helps develop and maintain  functional residual capacity (FRC). Apnea and bradypnea  prolong exhalation, reduce FRC, and cause hypoxia. Causes  of apnea and bradypnea include severe acidosis, asphyxia,  maternal drugs, infections, and CNS damage. Tachypnea</t>
  </si>
  <si>
    <t>Which one of the following medications is MOST selective for inhibiting COX-2?</t>
  </si>
  <si>
    <t>A. Celecoxib</t>
  </si>
  <si>
    <t>B. Ibuprofen</t>
  </si>
  <si>
    <t>C. Indomethacin</t>
  </si>
  <si>
    <t>D. Ketorolac</t>
  </si>
  <si>
    <t>E. Acetaminophen</t>
  </si>
  <si>
    <t>{   "Answer": "A",   "Explain": "Celecoxib is a selective cyclooxygenase-2 inhibitor, which means it specifically targets and inhibits the COX-2 enzyme, whereas other medications like ibuprofen and indomethacin are non-selective COX inhibitors that target both COX-1 and COX-2 enzymes." }</t>
  </si>
  <si>
    <t>nonsteroidal antiinflammatory drugs, such as ibuprofen, diclofenac, and naproxen. Selective cyclooxygenase-2 inhibitors include valdecoxib and celecoxib. Examples of thienopyridine derivatives are ticlopidine and clopidogrel. Examples of GPIIb/IIIa antagonists are abciximab, eptifibatide, and tirofiban. (359) 102. Aspirin inhibits platelet granule release irreversibly for the life of the platelet. Platelet function recovers by means of replacing inhibited platelets with newly generated and thus functional platelets. Nonsteroidal antiinflammatory drugs reversibly inhibit platelets with return of normal platelet function within 3 days after drug administration. Cyclooxygenase-2 inhibitors do not affect platelet - References 2638.e2 _x0001_ 49._x0001_ _x0001_Knowles SR, Drucker AM, Weber EA, Shear NH. Management  options for patients with aspirin and nonsteroidal antiinflammatory  drug sensitivity. Ann Pharmacother. 2007;41(7):1191–1200. _x0001_ 50._x0001_ _x0001_Laine L. Gastrointestinal safety of coxibs and outcomes studies:  what's the verdict? J Pain Symptom Manage. 2002;23(4):S5–S10. _x0001_ 51._x0001_ _x0001_Leese PT, Hubbard RC, Karim A, Isakson PC, Yu SS, Geis GS. Effects  of celecoxib, a novel cyclooxygenase-2 inhibitor, on platelet function  in healthy adults: a randomized, controlled trial. J Clin Pharmacol.  2000;40(2):124–132.</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</si>
  <si>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</si>
  <si>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</si>
  <si>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</si>
  <si>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</si>
  <si>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</si>
  <si>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</si>
  <si>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allowing for isolation of the left lung and ventilation of the right lung." }</t>
  </si>
  <si>
    <t>Double-Lumen Tube *It is possible to manage a left pneumonectomy with a left-sided DLT  or bronchial blocker; however, the DLT or blocker will have to be  withdrawn before stapling the left mainstem bronchus. This is a common clinical practice pattern for using right-sided double- lumen tubes (DLTs) and assumes normal tracheobronchial anatomy,  specifically a normal position of the orifice of the right upper lobe;  however, some clinicians prefer to use right DLTs for all left-sided  surgeries. - surgery and anesthesia? 56. What is the most frequently used double-lumen endotracheal tube used for the isolation of the right or left lung or for one-lung ventilation during thoracic surgery? 57. What is the potential problem with an endobronchial tube placed in the right bronchus for isolation of the right lung? How can this problem be avoided? 58. What size double-lumen endotracheal tube is usually appropriate for adult patients? What depth in centimeters typically places the endobronchial tube in approximately the correct position in most adult patients of average height? 59. What is the technique for placement of a left-sided double-lumen endotracheal tube? How is the proper placement of a double-lumen endotracheal tube best confirmed? 60. What is the single-lumen Univent tube? What is its potential advantage for - 56. The Robertshaw endobronchial tube is the most frequently used double-lumen endotracheal tube for the isolation of the right or left lung for one-lung ventilation during thoracic surgery. The left-sided tube has a longer bronchial tube than the right-sided tube. Several manufacturers produce clear disposable polyvinyl chloride tubes. (438, Figure 27-5) 57. An endobronchial tube placed in the right bronchus for isolation of the right lung could potentially obstruct the lumen of the right upper lobe bronchus. This occurs secondary to the short distance between the carina and the takeoff to the right upper lobe bronchus. The right-sided double lumen tubes are designed to incorporate a separate opening in the bronchial lumen to allow ventilation of the right upper lobe. Proper positioning of a right-sided DLT must include fiberoptic</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</si>
  <si>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</si>
  <si>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</si>
  <si>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</si>
  <si>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</si>
  <si>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</si>
  <si>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</si>
  <si>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inhibitors is gastric side effects such as nausea, vomiting, and diarrhea, which are due to the inhibition of prostaglandins' role in maintaining the mucosal lining of the stomach."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</si>
  <si>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</si>
  <si>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</si>
  <si>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</si>
  <si>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</si>
  <si>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</si>
  <si>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</si>
  <si>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"C",   "Explain": "Pulse oximetry is a non-invasive method of monitoring oxygen saturation, and it is mandatory in monitoring patients with suspected carbon monoxide poisoning, as it can be a late indicator of carbon monoxide poisoning, and early detection is crucial in preventing long-term damage." }</t>
  </si>
  <si>
    <t>burn injury? What is the danger of delaying endotracheal intubation in a patient with suspected inhalational injury? 32. How is the percentage of body surface area burned estimated in an adult? 33. Why should burn patients be initially placed on 100% oxygen, regardless of pulse oximetry reading? 34. Why do burn patients require larger than typical amounts of fluid resuscitation? What volume of intravenous fluid should be initially ordered? 35. What type of fluid should be used to resuscitate burn patients? Why do burn patients often receive a different volume over the first 24 hours than that initially calculated? 36. How should providers evaluate a patient with a suspected closed-head injury? 37. What is a plateau wave in the ICP wave tracing? EMERGENCY SURGERY FOR TRAUMA 38. How does the time since a patient’s last meal affect the initial airway management of</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</si>
  <si>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</si>
  <si>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</si>
  <si>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</si>
  <si>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</si>
  <si>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</si>
  <si>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</si>
  <si>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"E",   Explain: "A 50-minute counseling session once a week may not be frequent enough to provide the necessary support and accountability for the anesthesiologist to maintain sobriety, making it the least effective option."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</si>
  <si>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</si>
  <si>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</si>
  <si>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</si>
  <si>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</si>
  <si>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</si>
  <si>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 pacemaker-like device implanted under the skin that sends electrical signals to the stimulator implanted in the body." }</t>
  </si>
  <si>
    <t>thigh) occurs in about 10% of patients. (712) 54. Spinal cord stimulation is based on the hypothesis that a nonnoxious stimulus interferes with the perception of pain. This input of a nonpainful stimulus directly activates the ascending fibers within the dorsal columns of the spinal cord that transmit nonpainful stimuli and this principle is used to treat chronic back pain. A typical spinal cord stimulator system is comprised of a pacemaker-like implanted pulse generator connected to an electrode positioned over the dorsal columns of the spinal cord in the posterior epidural space. (712) 55. Current evidence supports the use of spinal cord stimulation (SCS) to treat pain, in particular for patients presenting with chronic lumbosacral pain or radicular pain after prior lumbar surgery. The evidence for the use of SCS for lumbosacral pain has been inconclusive, but with the advent of new dual lead systems and</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</si>
  <si>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</si>
  <si>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</si>
  <si>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</si>
  <si>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</si>
  <si>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</si>
  <si>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</si>
  <si>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the binding of chloride ions to GABA receptors, leading to an increase in chloride conductance, which has a calming effect on neurons."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</si>
  <si>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</si>
  <si>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</si>
  <si>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</si>
  <si>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</si>
  <si>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</si>
  <si>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"The patient cannot dorsiflex his big toe and has a loss of the Achilles reflex, which suggests L5 nerve root involvement, supporting the diagnosis of nerve root impingement in the lumbar spine." }</t>
  </si>
  <si>
    <t>patients presenting with low back pain? 6. How does the typical patient with low back pain present to a pain physician? 7. What are the pathophysiologic mechanisms which commonly contribute to low back pain? 8. How can chronic low back pain arising from the lumbar facet joints be distinguished from lumbar radiculopathy? 9. What are some warning signs on the initial history and physical when evaluating a patient with low back pain that may indicate significant physical comorbidity that should be promptly investigated? 10. How should a physician approach medical therapy for the most common presentations of low back pain? 11. What are the socioeconomic considerations of low back pain and its treatment? What are some risk factors for developing chronic low back pain? 12. What is neuropathic pain? What are some of the typical signs and symptoms of neuropathic pain? - 9. When first evaluating a patient with back pain, the physician should be aware of certain conditions that may indicate significant physical comorbidity, prompting further investigation. In the patient’s history, these include new onset or worsening pain after trauma, infection, or previous malignancy. Patients who report worsening neurologic deficits, or bladder or bowel dysfunction, warrant early radiologic imaging to rule out neural compression. (700) 10. Medical therapy for the most common presentations of low back pain is based on how a patient presents to the pain physician and on the duration of pain symptoms. Acute radicular pain: Therapy is usually started with a 7-day course of simple analgesics alone or in combination with an opioid analgesic and a muscle relaxant for associated muscle spasm. Chronic radicular pain: Therapy usually begins with a trial of antidepressants or anticonvulsants since opioids are less effective for</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</si>
  <si>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</si>
  <si>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</si>
  <si>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</si>
  <si>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</si>
  <si>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</si>
  <si>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</si>
  <si>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compensatory mechanism is the production of fetal hemo­ globin. Fetal hemoglobin has a high affinity for oxygen,  causing a leftward shift in the oxyhemoglobin dissocia­ tion curve, increasing oxygen uptake at the lower oxygen­ ated placental vascular bed. Hemoglobin levels are high  at birth (160-240 g/L) but rapidly decrease during the  first 3 months of life because of decreased renal erythro­ poietin production in the normoxic ex utero environment.  Fetal hemoglobin will be progressively replaced by adult  hemoglobin during the first 6 months of postnatal life. The  extent of this physiologic anemia is more important in pre­ mature infants and may contribute to the need for periop­ erative blood transfusion. The hemostatic system of the neonate and infant has - placenta, the respective maternal and fetal hemoglobin  concentrations and O2 affinities, and the acid-base status of  the fetal and maternal blood (Bohr effect). O2 delivery to the  fetus is facilitated primarily because the fetal oxyhemoglo­ bin dissociation curve is to the left (greater O2 affinity) of  the maternal oxyhemoglobin dissociation curve (decreased  O2 affinity). Fetal hemoglobin has a higher O2 affinity and  lower partial pressure at which it is 50% saturated (P50: 18  mm Hg) compared to maternal hemoglobin (P50: 27 mm  Hg). Fetal PaO2 is normally 40 mm Hg and never more than  60 mm Hg, even if the mother is breathing 100% O2.51 Ani­ mal studies note that in the face of decreased O2 delivery, - reduces the incidence and severity of hypotension from spinal anesthesia for cesarean delivery.  In comparison to ephedrine, phenylephrine results in less fetal acidosis.  □ _x0007_During pregnancy, the maternal oxyhemoglobin dissociation curve shifts to the right with preg­ nancy while the fetal oxyhemoglobin dissociation curve lies to the left. This facilitates oxygen  transfer from maternal to fetal hemoglobin. Fetal O2 saturation does not exceed 60% even with  100% O2 delivery to the mother. Maternal PaCO2 decreases from 40 mm Hg to approximately  30 mm Hg during the first trimester. This reduction facilitates carbon dioxide transfer across the  placenta, which is primarily limited by blood flow and not diffusion.  □ _x0007_Labor is a continuous process separated into first, second, and third stages. The first stage of</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</si>
  <si>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</si>
  <si>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</si>
  <si>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</si>
  <si>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</si>
  <si>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</si>
  <si>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</si>
  <si>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"The 3-month-old infant is 46 weeks postconceptual age, which is above the recommended age of 50 weeks postconceptual age for elective surgery to minimize the risk of postanesthetic apnea in former premature infants. Therefore, it is suitable to perform the inguinal hernia repair as an ambulatory surgical patient to minimize disruption of feeding and sleep." }</t>
  </si>
  <si>
    <t>117. Former premature infants who present for surgery are at an increased risk for postanesthetic apnea. This risk increases with increased prematurity at birth and younger age at the time of the anesthetic. The current recommendation is that former premature infants should have their elective surgery delayed until 50 weeks postconceptual age or greater to minimize this risk. Prior to this, and in a case-by-case basis, infants may need to be admitted postoperatively for 24 hours of apnea monitoring. (565) MILLER’S ANESTHESIA REVIEW 406 66485457-66485438                 www.ketabpezeshki.com</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</si>
  <si>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</si>
  <si>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</si>
  <si>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</si>
  <si>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</si>
  <si>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</si>
  <si>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</si>
  <si>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 with HOCM is experiencing worsening hemodynamic instability and cyanosis, which suggests a right-to-left shunt. The most likely cause is a large VSD, which is a known complication in patients with HOCM, especially during periods of increased cardiac workload or stress." }</t>
  </si>
  <si>
    <t>37  •  Perioperative Echocardiography 1217 vascular resistance with significant comorbidities. In the  preanhepatic phase (from incision to occlusion of vascular  inflow to the liver), hemodynamic alterations may result  from an abrupt change in preload due to drainage of large  volume ascites, hemorrhage, or surgical caval compression.  TEE examination during this phase allows for characteriza­ tion of dynamic changes, as well as baseline evaluation of  biventricular and valvular function. During the anhepatic  phase (occlusion of inflow to the liver to unclamping of the  portal vein), preload to the heart is decreased. If an end-to- end interposition of the IVC is performed, complete caval  occlusion is required and venovenous bypass may be used</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</si>
  <si>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</si>
  <si>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</si>
  <si>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</si>
  <si>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</si>
  <si>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</si>
  <si>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</si>
  <si>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worsening cyanosis and hemodynamic instability, which suggests that the epinephrine infusion is causing excessive vasoconstriction. This is likely due to the patient's pre-existing HOCM, which makes them more susceptible to the effects of epinephrine. Therefore, the most likely intervention to improve the patient's hemodynamic instability is to use an oral airway, which will help to reduce the amount of epinephrine needed to maintain blood pressure and improve oxygenation."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</si>
  <si>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</si>
  <si>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</si>
  <si>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</si>
  <si>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</si>
  <si>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</si>
  <si>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</si>
  <si>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worsen with lying down, which is a classic sign of superior vena cava syndrome, which is often caused by epiglottitis, a life-threatening condition that requires immediate attention. The widened mediastinum on chest x-ray also supports this diagnosis." }</t>
  </si>
  <si>
    <t>it becomes severe whereas acute mitral regurgitation is a medi­ cal emergency  □ _x0007_The acuity of onset of the condition is helpful for determining  the cause. For example, a patient with a chronic neuromuscular  disorder who presents with an acute worsening likely has an  additional explanation for his or her shortness of breath  □ _x0007_There is no clinical finding that rules out pulmonary embolism  and a low threshold for further workup should be maintained in  the appropriate patient  □ _x0007_Unnecessary supplemental oxygen does not have a benefit and  likely leads to preventable harms BOX 67.1  Pearls (Precepts, Dicta) for  Respiratory Distress</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</si>
  <si>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</si>
  <si>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</si>
  <si>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</si>
  <si>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</si>
  <si>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</si>
  <si>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the best choice for this patient because it is a sedative agent that can be used for a prolonged period, has a ceiling effect, and does not depress respiratory drive, making it suitable for patients who require prolonged mechanical ventilation and airway protection." }</t>
  </si>
  <si>
    <t>eratively, early extubation of a trauma patient should not  be taken for granted. Many patients will require contin­ ued ventilator support because of CNS trauma, direct pul­ monary or chest wall trauma, massive transfusion, upper  airway edema, or ongoing intoxication. Box 66.12 lists the  criteria for extubation after urgent or emergency trauma  surgery. If any doubt exists about the patient’s ability to  meet these criteria, the patient should be transported to the  PACU or ICU with the ETT in place. Appropriate analgesic  medication should be administered, with sedation if neces­ sary. Twelve to 24 hours of support allows confirmation  of successful resuscitation and surgical repair, hemody­ namic equilibration, titration of appropriate analgesia, and  resolution of intoxication. Many patients can be tracheally</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</si>
  <si>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</si>
  <si>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</si>
  <si>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</si>
  <si>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</si>
  <si>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</si>
  <si>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by reducing the colonization of the oropharynx with pathogens. It is typically applied topically to the oropharynx and surrounding skin, and has been shown to be effective in reducing the risk of pneumonia in critically ill patients." }</t>
  </si>
  <si>
    <t>Pulmonary-related reasons for the inability to wean from  mechanical ventilation include noncardiogenic pulmonary  edema, pneumonia, severe COPD, ARDS, and pulmonary  embolism. Nonpulmonary complications such as persistent  postoperative bleeding, neurologic complications (includ­ ing stroke and delirium), renal insufficiency or failure, gas­ trointestinal complications, and sepsis also may result in a  need for prolonged mechanical ventilation. In a large study  of ventilator dependency (i.e., ventilation for &gt;72 hours)  after cardiac surgery, survival was 76% at 30 days, 49% at  1 year, and 33% at 5 years.213 Furthermore, strategies to avoid ventilator-associated  pneumonia should be employed. These include formal  infection control programs, handwashing, maintaining  adequate endotracheal tube cuff pressure, avoiding gastric</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</si>
  <si>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</si>
  <si>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</si>
  <si>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</si>
  <si>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</si>
  <si>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</si>
  <si>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</si>
  <si>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typically involves a longer warm ischemic time compared to donation after brain death because the patient's organs are retrieved after cardiac arrest, which can lead to a longer period of warm ischemia before organ preservation and transplantation." }</t>
  </si>
  <si>
    <t>not possible to address within the confines of this text, but  readers are advised to educate themselves on these and  include the following:     _x0001_□_x0001_ _x0007_The issues surrounding organ donation from the brain  dead and the non-heart-beating donor (Fig. 84.8) _x0001_□_x0001_ _x0007_Withdrawal of care for the incompetent patient without  family _x0001_□_x0001_ _x0007_Hospital bylaws and state legislation on the certification  of death, whether that be by neurologic or cardiovascu­ lar criteria  Critical Pathway for Organ Donation* or Treating physician to identify/refer a potential donor  A  medically suitable person who has been  declared dead based on neurologic criteria as  stipulated by the law of the relevant jurisdiction.  A person whose clinical condition is  suspected to fulfill brain death criteria.    A consented eligible donor: or - tion can begin and whether medications can ethically be  administered to the donor before death that are solely for  the purpose of organ preservation. Ethical, theological, and legal principles prohibit us  from killing one person to benefit another, but the point at  which actual death has occurred in DCD donors is unclear.  Although expedient donation is the very purpose of DCD,  doctors must never sacrifice any living patient in the pro­ cess or even take significant risks of doing so; the mistrust  this would engender among the public could place the  entire concept of DCD at risk by reducing potential donors  and ultimately harming future potential organ recipi­ ents.127 Loss of consciousness occurs quickly after asystole,  but brain function can continue for some time, and irre­ versible brain injury may not occur for many minutes. Yet  some protocols call for organ retrieval to begin only 2 min­ - cardiovascular or metabolic instability, or hypothermia. The diagnosis of brain death is always made before a donor procedure and never in the operating room. However, in the absence of brain death, but in the presence of a devastating and irreversible brain injury, the patient’s family may elect to withdraw life support. In the event the family consents to organ donation, withdrawal of support is typically done in the operating room. If the patient succumbs as a result of the withdrawal of life support—experiences cardiac death—organs may be harvested. Under these conditions, the organs undergo a period of ischemia at normal body temperature (termed “warm ischemia”), a condition which necessitates rapid cooling, preservative administration, and procurement to minimize ischemic injury. (580) 3. Untreated systemic infection, incurable malignancy, untreated substance abuse, and - 8  •  Ethical Aspects of Anesthesia Care 245 clinical criteria exist; DCD organ donation is potentially  even more prone to error because no such clinical guide­ lines are universally accepted.129 Donation of vital organs after brain death and DCD are  both ethical and legal, but the interests of the dying patient  must be absolutely protected until after death has occurred.  Anesthesiologists can play a vital role in the organ donation  process by helping hospitals develop reasonable and ethi­ cal policies for the management of brain-dead donors and  DCD donors. Every anesthesiologist should be thoroughly  familiar with brain death criteria and should review the  process of brain death determination before accepting care  of a brain-dead donor. It is inappropriate for anesthesiolo­ gists to be involved in organ DCD unless they have exper­ tise in the relevant ethical, legal, and medical issues and are</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</si>
  <si>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</si>
  <si>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</si>
  <si>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</si>
  <si>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</si>
  <si>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</si>
  <si>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dropped to 30, which is a concerning sign of bradycardia. Atropine is a medication that can help increase heart rate and is often the first line of treatment for bradycardia. Therefore, administering atropine is the most appropriate first intervention in this scenario." }</t>
  </si>
  <si>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</si>
  <si>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</si>
  <si>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Docs</t>
  </si>
  <si>
    <t>{   "Answer": "B",   Explain: "Rocuronium and acetylcholine compete for binding sites at the myoneural junction, as both are agonists that bind to nicotinic acetylcholine receptors, making them competitive inhibitors of each other's effects." }</t>
  </si>
  <si>
    <t>{   "Answer": "C",   Explain: "Esmolol is hydrolyzed by blood-borne esterases, resulting in a half-life for the drug of only 9 to 10 minutes." }</t>
  </si>
  <si>
    <t>{   "Answer": "E",   Explain: "Bioavailability refers to the amount of a drug that reaches its site of action, which is the point where it exerts its therapeutic effect. This is the amount of drug that is available to interact with its target receptors and produce a desired response." }</t>
  </si>
  <si>
    <t>{   "Answer": "A",   Explain: "The patient is in New York Heart Association functional class III, which means they have marked limitation of physical activity, which is option A." }</t>
  </si>
  <si>
    <t>{   "Answer": "D",   Explain: "Closing volume is increased in obesity, not decreased, as the increased lung volume and weight of the body require more air to be displaced to reach the same pressure, making it a less accurate measure in obese individuals." }</t>
  </si>
  <si>
    <t>{   "Answer": "C",   Explain: "The patient's eyes remaining open with slight nystagmus and occasional purposeless movements is an indication that the dose of ketamine is excessive, as it is not characteristic of a dose that is adequate for anesthesia." }</t>
  </si>
  <si>
    <t>{   "Answer": "D",   Explain: "Warfarin is contraindicated for HIT treatment because it can initially decrease the synthesis of proteins C and S, enhancing the patient's prothrombotic state, making it necessary to use alternative non-heparin anticoagulation agents instead." }</t>
  </si>
  <si>
    <t>{   "Answer": "E",   "Explain": "Hypoxic pulmonary vasoconstriction (HPV) causes blood flow to be diverted from hypoxic to non-hypoxic lung areas, allowing for better oxygenation of the blood." }</t>
  </si>
  <si>
    <t>{   "Answer": "E",   "Explain": "To calculate the time it takes for the concentration in the circuit to reach 8.5%, we need to use the formula: 0.5 / (FGF - 0.5) = 0.85 - 0.1. Solving for time, we get 17 minutes." }</t>
  </si>
  <si>
    <t>{   "Answer": "D",   Explain: "The Hering-Breuer reflex is a reflexive mechanism that helps regulate breathing by slowing down or stopping inspiration when the lungs are almost full. It plays a major role in controlling ventilation by preventing overinflation of the lungs." }</t>
  </si>
  <si>
    <t>{   "Answer": "C",   Explain: "The penetrating branches of the radicular arteries supply the motor tracts of the spinal cord, as they arise from the anterior and posterior spinal arteries and enter the spinal cord through the anterior and posterior roots of the spinal nerves." }</t>
  </si>
  <si>
    <t>{   "Answer": "A",   "Explain": "Von Willebrand disease commonly first manifests as abnormal bleeding after tooth extraction or tonsillectomy in children." }</t>
  </si>
  <si>
    <t>{   "Answer": "D",   Explain: "To calculate the minute ventilation, we need to multiply the tidal volume by the respiratory rate. 50 mL x 20 breaths/min = 1000 mL/min. Since the I:E ratio is 1:2, the inspiratory time is half of the total cycle time, which means the inspiratory flow is 1.25 L/min (2.5 L/min / 2). The expiratory flow is 2.25 L/min (2.5 L/min / 2). The oxygen flow is 2.5 L/min, and the nitrous oxide flow is 3.5 L/min. The total gas flow is the sum of these flows, which is 8.5 L/min. The oxygen concentration is 2.5 L/min / 8.5 L/min = 0.294. The minute ventilation is the sum of the oxygen and carbon dioxide flows, which is 2.5 L/min. Therefore, the correct answer is 2.5 L/min." }</t>
  </si>
  <si>
    <t>{   "Answer": "E",   "Explain": "Baricity is the ratio of the specific gravity of a drug to a reference specific gravity, which is important in spinal anesthesia as it determines the spread of the local anesthetic solution in the subarachnoid space." }</t>
  </si>
  <si>
    <t>{   "Answer": "B",   Explain: "The specific heat is the number of calories required to raise the temperature of 1 gram of a substance by 1 degree Celsius. This means that it measures the amount of heat energy needed to change the temperature of a substance, making it the correct answer." }</t>
  </si>
  <si>
    <t>{   "Answer": "E",   Explain: "Four years after a heart transplant, the transplanted heart has already adapted to the new environment and its function is similar to a native heart. Therefore, it will still increase cardiac output with increased preload, just like a normal heart." }</t>
  </si>
  <si>
    <t>{   "Answer": "D",   "Explain": "Proceed with giving 40 mEq of potassium by mouth before starting the procedure to ensure the patient's potassium levels are stable and within a safe range for surgery." }</t>
  </si>
  <si>
    <t>{   "Answer": "B",   "Explain": "The patient had a myocardial infarction and was treated with intracoronary stents, but has since undergone successful cardiac rehabilitation and plays tennis regularly without angina or shortness of breath, indicating a low risk of cardiac complications. Therefore, the patient would be categorized as ASA Physical Status II, which is the classification for a healthy patient with no significant underlying medical conditions." }</t>
  </si>
  <si>
    <t>{   "Answer": "A",   "Explain": "Twelve to twenty-four hours after the cessation of cigarette smoking, there are significant decreases in the carboxyhemoglobin level and a decrease in nicotine-induced tachycardia, which can affect the carbon monoxide diffusion capacity (DLCO) test." }</t>
  </si>
  <si>
    <t>{   "Answer": "A",   "Explain": "Isoflurane is a poor muscle relaxant compared with halothane, which means it does not have a significant effect on muscle tone." }</t>
  </si>
  <si>
    <t>{   "Answer": "E",   "Explain": "Smoking cessation before surgery may reduce airway hyperreactivity, but the statement 'risk of postoperative nausea and vomiting is higher in smokers' is not supported by the provided context." }</t>
  </si>
  <si>
    <t>{   "Answer": "A",   Explain: "Airway resistance decreases with maximal inspiration because as lung volume increases, the diameter of the airways also increases, resulting in a decrease in resistance." }</t>
  </si>
  <si>
    <t>{   "Answer": "D",   Explain: "Hypoxemia directly slows down the heart rate, leading to decreased heart rate, not increased heart rate. The other options are all correct signs of hypoxemia." }</t>
  </si>
  <si>
    <t>{   "Answer": "B",   Explain: "Bisphosphonates do not directly inhibit osteoblasts, but rather inhibit osteoclasts, which are responsible for bone resorption, thereby reducing bone turnover and pain." }</t>
  </si>
  <si>
    <t>{   "Answer": "B",   Explain: "Pretreatment with an NMDA antagonist prior to inflammation has been shown to attenuate central sensitization by blocking the activation of NMDA receptors, which are involved in the development of central sensitization." }</t>
  </si>
  <si>
    <t>{   "Answer": "D",   Explain: "Lumbar facet syndrome is not typically treated with lumbar sympathetic blockade, as it is a mechanical pain condition that requires physical therapy and chiropractic care, whereas lumbar sympathetic blockade is used to treat conditions such as acute herpes zoster, phantom limb pain, complex regional pain syndrome, and vascular insufficiency." }</t>
  </si>
  <si>
    <t>{   "Answer": "D",   Explain: "CRPS II, also known as causalgia, is a type of CRPS that is caused by a specific nerve injury, whereas CRPS I is not necessarily linked to a specific nerve injury. The presence of evidence of major nerve damage is a distinguishing feature of CRPS II." }</t>
  </si>
  <si>
    <t>{   "Answer": "E",   Explain: "The patient underwent a celiac plexus block procedure with 50% alcohol, which is a common treatment for chronic abdominal pain. The listed complications are all possible outcomes of this procedure, but infection is the only one that is not a direct result of the procedure itself, making it the exception." }</t>
  </si>
  <si>
    <t>{   "Answer": "A",   Explain: "The patient developed generalized tonic-clonic movements after receiving 1 mL of 0.25% bupivacaine, which is a high dose of bupivacaine. This suggests that the patient may have received an accidental intrathecal injection, which would cause the bupivacaine to spread to the spinal cord and lead to systemic toxicity, resulting in the observed symptoms." }</t>
  </si>
  <si>
    <t>bupivacaine that might contribute to their differing clinical toxicities? 58. What is the maximum recommended concentration of bupivacaine to be administered for obstetric epidural anesthesia? Why? 59. What relatively simple and apparently effective therapy for treatment of systemic local anesthetic toxicity has been recently introduced into clinical practice? What appears to be its predominant mechanism of action? 60. The administration of which local anesthetics have been associated with methemoglobinemia? What is the mechanism by which this occurs? How can it be treated? 61. What is the nature of the neurotoxicity that has been reported in association with the use of chloroprocaine? What is the mechanism by which this occurs? 62. What is TNS? 63. What is the mechanism by which local anesthetics have resulted in cauda equina syndrome?</t>
  </si>
  <si>
    <t>{   "Answer": "E",   Explain: "This is not an answer because complex regional pain syndrome is not related to the patient's obstructive lung disease, and the question is asking for an exception to the treatment options for the syndrome, not a treatment for the lung disease." }</t>
  </si>
  <si>
    <t>{   "Answer": "A",   "Explain": "Preemptive analgesia is helpful in reducing postoperative pain in part by reducing the phenomenon of central sensitization, which is a process that occurs when noxious input from surgery induces a state of CNS hyperactivity that accentuates pain." }</t>
  </si>
  <si>
    <t>postoperative pain management (i.e., preventive analge­ sia).6 The first two definitions are relatively narrow and  may contribute to the lack of a detectable effect of preemp­ tive analgesia in clinical trials. The rationale for preemptive  analgesia was based on the inhibition of the development  of central sensitization. Effectively, noxious input initi­ ated by surgical procedures induced a state of CNS hyper­ activity that accentuates pain. Although a very popular  and discussed theory, a single analgesic treatment (either  peripheral or neuraxial) before the incision does not reduce  postoperative pain behaviors beyond the expected dura­ tion of the analgesic effect.20 When the block of nociceptive  afferents diminishes, the surgical injury is able to reinitiate  central sensitization. Clinical trials have been negative.21 - effectiveness of preemptive analgesia varies according to  the type of surgery, and preemptive analgesia with epidural  morphine was reliably effective in limb and breast surger­ ies but ineffective in abdominal surgery.465 A meta-analysis  demonstrated that the results of preemptive analgesia with  systemic administration of opioids are equivocal.466 Thus,  whether or not preemptive analgesia can be effectively  achieved clinically by the early administration of opioids  remains uncertain and may be highly context specific. Patient-controlled analgesia (PCA) with opioids has  become a widely accepted technique in which to provide  postoperative analgesia, but pharmacokinetic optimiza­ tion of opioid treatment in acute pain is a complex matter.  Without considering effect-site drug concentrations over</t>
  </si>
  <si>
    <t>{   "Answer": "A",   Explain: "Acetaminophen is toxic in its active form, and its toxicity is not dependent on metabolism. It is the active form that causes liver damage and toxicity, not the metabolites." }</t>
  </si>
  <si>
    <t>{   "Answer": "D",   Explain: "Hypoglycemia is not a known adverse effect of epidurally administered glucocorticoids. The other options, Cushing syndrome, osteoporosis, avascular bone necrosis, and suppression of the hypothalamic-pituitary axis, are all potential complications of prolonged or high-dose glucocorticoid use." }</t>
  </si>
  <si>
    <t>{   "Answer": "E",   Explain: "The effectiveness of a neurolytic agent is not directly dependent on the needle size, as the size of the needle only affects the ease of injection and not the actual effectiveness of the agent." }</t>
  </si>
  <si>
    <t>{   "Answer": "A",   Explain: "Opioids are not contraindicated in patients with myasthenia gravis, and can be used cautiously in this patient. The other options are all correct: neuraxial anesthesia is the preferred method for pain management during labor, patients with severe bulbar involvement or respiratory compromise may require general anesthesia for cesarean section, and succinylcholine should be avoided during emergent cesarean section due to the risk of muscle paralysis, and neostigmine can be used for reversal of neuromuscular blockade." }</t>
  </si>
  <si>
    <t>{   "Answer": "A",   Explain: "The recommended dose of local anesthetic for a 2-year-old child is 1-2 mg/kg. For a 12 kg child, this would be 12-24 mg. Since 0.5% bupivacaine is 5 mg/mL, the maximum dose would be 2.4 mL. However, the question asks for the maximum dose for local infiltration at the incision sites, which is typically limited to 1-2 mg/kg. Therefore, the most appropriate dose is 1.2-2.4 mg/kg, which is approximately 1.2-2.4 mL. The answer choice A, 3 mL, is the most conservative estimate and is a reasonable choice." }</t>
  </si>
  <si>
    <t>{   "Answer": "A",   Explain: "Clindamycin is a macrolide antibiotic that is less likely to cause a severe rash in this patient given his history of a severe reaction to beta-lactam antibiotics. Additionally, clindamycin is not a beta-lactam antibiotic itself, making it a safer choice for this patient." }</t>
  </si>
  <si>
    <t>{   "Answer": "A",   Explain: "At birth, the hematocrit in term infants typically reaches its lowest point, around 30-35%, due to the dilutional effects of placental blood and the infant's relatively large blood volume. This is a normal and expected finding in a full-term infant, so option A is the correct answer." }</t>
  </si>
  <si>
    <t>{   "Answer": "A",   "Explain": "Isoproterenol has the highest ratio of β-adrenergic agonist to α-adrenergic agonist activity, making it the correct answer." }</t>
  </si>
  <si>
    <t>{   "Answer": "D",   "Explain": "Given the patient's worsening oxygenation, hemoglobin of 7.8 g/dL, and INR of 1.6, the most appropriate therapeutic intervention is to transfuse fresh frozen plasma to address her coagulopathy and anemia." }</t>
  </si>
  <si>
    <t>{   "Answer": "D",   Explain: "The patient's symptoms of worsening oxygenation, bilateral diffuse infiltrates on chest x-ray, and improvement in pulmonary status after 24 hours suggest TRALI (transfusion-related acute lung injury) as the most likely cause. The patient received blood products during resuscitation, which is a common risk factor for TRALI." }</t>
  </si>
  <si>
    <t>{   "Answer": "B",   Explain: "Daily spontaneous breathing trials have been shown to reduce the number of days a patient requires mechanical ventilation. This is because spontaneous breathing trials help to identify patients who can be safely extubated, reducing the need for continued mechanical ventilation." }</t>
  </si>
  <si>
    <t>{   "Answer": "C",   Explain: "Dextrose containing solutions may exacerbate hyperglycemia in neurosurgical patients, which can lead to complications such as increased risk of infection, delayed wound healing, and increased mortality." }</t>
  </si>
  <si>
    <t>{   "Answer": "C",   "Explain": "A catheter will be placed in the intrathecal space, which is the space between the dura mater and the arachnoid membrane, allowing for the delivery of local anesthetics to the spinal cord and subsequent pain relief during labor." }</t>
  </si>
  <si>
    <t>{   "Answer": "A",   Explain: "When the tourniquet is released, there will be a sudden increase in end-tidal CO2 due to the sudden release of CO2 produced by the muscles during the procedure, which was trapped in the limb. This is known as the 'CO2 surge'."</t>
  </si>
  <si>
    <t>{   "Answer": "E",   "Explain": "Assure adequate volume repletion is the most appropriate initial step in management as the patient's symptoms are likely due to hypovolemia or hypotension secondary to the epidural anesthesia and surgery, which can cause referred pain to the buttocks, upper back, and shoulders." }</t>
  </si>
  <si>
    <t>{   Answer: "D",   Explain: "The patient's increased weight and height are not significant factors in this comparison. The difference in height between the two patients is 2 inches, which would not significantly affect lung volumes. However, the difference in weight is 34 kg, which would be expected to decrease the patient's lung volumes, particularly FVC, due to the increased weight compressing the lungs." }</t>
  </si>
  <si>
    <t>{   "Answer": "D",   Explain: "The patient's symptoms of stridorous inspirations, sternal retractions, and agitation are consistent with respiratory distress, which is likely caused by incisional hemorrhage, as the patient underwent a surgical procedure three hours ago and is now experiencing respiratory distress, which is a common complication of incisional bleeding." }</t>
  </si>
  <si>
    <t>{   "Answer": "E",   Explain: "In the first 24 hours of life, the neonate's blood volume is still relatively low, and the left ventricle is not under a large volume load. The left ventricle is actually under a relatively low pressure and volume load, as the placental circulation is no longer present and the neonate's blood pressure is still adapting to extrauterine life." }</t>
  </si>
  <si>
    <t>{   "Answer": "A",   Explain: "End-tidal nitrogen monitoring is the most sensitive indicator of a venous air embolism because it directly measures the amount of nitrogen in the expired gases, which increases when air enters the venous circulation and is transported to the lungs." }</t>
  </si>
  <si>
    <t>{   "Answer": "E",   "Explain": "β2-adrenoceptors in the autonomic nervous system are the principal prejunctional receptors that inhibit sympathetic neurotransmitter release, which means they play a role in regulating the release of neurotransmitters such as norepinephrine and epinephrine." }</t>
  </si>
  <si>
    <t>{   "Answer": "A",   Explain: "During the SBT, the patient's respiratory rate (RR) is 36, which is still quite high, indicating that she may not be ready for extubation. The SpO2 is 96%, which is acceptable, and the heart rate (HR) is 98, which is within a normal range. Therefore, this combination of criteria does not suggest that extubation should be considered." }</t>
  </si>
  <si>
    <t>{   "Answer": "E",   Explain: "Seizures are initiated by most general anesthetics, which can lower the seizure threshold and trigger seizure activity." }</t>
  </si>
  <si>
    <t>administration for refractory status epilepticus. Anesthesiology.  2002;97:261. PMID:12131129. _x0001_216._x0001_ _x0007_Hoffman WE, Edelman G. Comparison of isoflurane and desflurane  anesthetic depth using burst suppression of the electroencepha­ logram in neurosurgical patients. Anesth Analg. 1995;81:811.  PMID:7574015. _x0001_217._x0001_ _x0007_Banoub M, Tetzlaff JE, Schubert A. Pharmacologic and physiologic  influences affecting sensory evoked potentials. Anesthesiology.  2003;99:716. PMID:12960558. _x0001_218._x0001_ _x0007_Peterson DO, Drummond JC, Todd MM. Effects of halothane, enflu­ rane, isoflurane, and nitrous oxide on somatosensory evoked poten­</t>
  </si>
  <si>
    <t>{   "Answer": "A",   Explain: "Volume expansion with saline, albumin and/or blood is the most effective means to prevent acute tubular necrosis and facilitate immediate graft function in this patient. This is because the patient has been on dialysis and has a history of type I diabetes, making them prone to hypovolemia and electrolyte imbalances. Volume expansion will help to restore blood volume and electrolyte balance, reducing the risk of acute tubular necrosis and promoting graft function." }</t>
  </si>
  <si>
    <t>{   "Answer": "C",   Explain: "Methimazole does cross the placenta in appreciable amounts, which can cause neonatal hypothyroidism and other complications. Therefore, statement C is false." }</t>
  </si>
  <si>
    <t>{   "Answer": "E",   Explain: "α1-antitrypsin deficiency is not the most common cause of COPD, but it is a genetic disorder that can cause COPD, so it is a significant cause of COPD in some individuals." }</t>
  </si>
  <si>
    <r>
      <rPr>
        <rFont val="Arial"/>
        <color theme="1"/>
      </rPr>
      <t>embed_model="</t>
    </r>
    <r>
      <rPr>
        <rFont val="Arial"/>
        <b/>
        <color rgb="FF4A86E8"/>
      </rPr>
      <t>pritamdeka/BioBERT-mnli-snli-scinli-scitail-mednli-stsb</t>
    </r>
    <r>
      <rPr>
        <rFont val="Arial"/>
        <color theme="1"/>
      </rPr>
      <t>"
max_new_tokens=1024
k=4</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</si>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</sst>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5" fillId="0" fontId="4" numFmtId="0" xfId="0" applyBorder="1" applyFont="1"/>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xf borderId="4" fillId="0" fontId="4" numFmtId="0" xfId="0" applyAlignment="1" applyBorder="1" applyFont="1">
      <alignment horizontal="left" readingOrder="0" shrinkToFit="0" vertical="center" wrapText="1"/>
    </xf>
    <xf borderId="4" fillId="0" fontId="4" numFmtId="0" xfId="0" applyAlignment="1" applyBorder="1" applyFont="1">
      <alignment horizontal="left"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194</v>
      </c>
      <c r="C5" s="18">
        <f t="shared" si="1"/>
        <v>194</v>
      </c>
      <c r="D5" s="18">
        <f t="shared" si="1"/>
        <v>194</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0.5542857143</v>
      </c>
      <c r="C7" s="20">
        <f t="shared" si="2"/>
        <v>0.5542857143</v>
      </c>
      <c r="D7" s="20">
        <f t="shared" si="2"/>
        <v>0.5542857143</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11</v>
      </c>
      <c r="D12" s="25" t="s">
        <v>11</v>
      </c>
      <c r="E12" s="31"/>
      <c r="F12" s="28"/>
      <c r="G12" s="31"/>
      <c r="H12" s="32"/>
      <c r="I12" s="31"/>
      <c r="J12" s="31"/>
    </row>
    <row r="13">
      <c r="A13" s="23">
        <v>6.0</v>
      </c>
      <c r="B13" s="30" t="s">
        <v>12</v>
      </c>
      <c r="C13" s="25" t="s">
        <v>12</v>
      </c>
      <c r="D13" s="25" t="s">
        <v>12</v>
      </c>
      <c r="E13" s="31"/>
      <c r="F13" s="28"/>
      <c r="G13" s="31"/>
      <c r="H13" s="32"/>
      <c r="I13" s="31"/>
      <c r="J13" s="31"/>
    </row>
    <row r="14">
      <c r="A14" s="23">
        <v>7.0</v>
      </c>
      <c r="B14" s="30" t="s">
        <v>11</v>
      </c>
      <c r="C14" s="25" t="s">
        <v>11</v>
      </c>
      <c r="D14" s="25" t="s">
        <v>11</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11</v>
      </c>
      <c r="C30" s="25" t="s">
        <v>11</v>
      </c>
      <c r="D30" s="25" t="s">
        <v>11</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11</v>
      </c>
      <c r="C38" s="25" t="s">
        <v>11</v>
      </c>
      <c r="D38" s="25" t="s">
        <v>11</v>
      </c>
      <c r="E38" s="31"/>
      <c r="F38" s="28"/>
      <c r="G38" s="31"/>
      <c r="H38" s="32"/>
      <c r="I38" s="31"/>
      <c r="J38" s="31"/>
    </row>
    <row r="39">
      <c r="A39" s="23">
        <v>32.0</v>
      </c>
      <c r="B39" s="30" t="s">
        <v>12</v>
      </c>
      <c r="C39" s="25" t="s">
        <v>12</v>
      </c>
      <c r="D39" s="25" t="s">
        <v>12</v>
      </c>
      <c r="E39" s="31"/>
      <c r="F39" s="28"/>
      <c r="G39" s="31"/>
      <c r="H39" s="32"/>
      <c r="I39" s="31"/>
      <c r="J39" s="31"/>
    </row>
    <row r="40">
      <c r="A40" s="23">
        <v>33.0</v>
      </c>
      <c r="B40" s="30" t="s">
        <v>12</v>
      </c>
      <c r="C40" s="25" t="s">
        <v>12</v>
      </c>
      <c r="D40" s="25" t="s">
        <v>12</v>
      </c>
      <c r="E40" s="31"/>
      <c r="F40" s="28"/>
      <c r="G40" s="31"/>
      <c r="H40" s="32"/>
      <c r="I40" s="31"/>
      <c r="J40" s="31"/>
    </row>
    <row r="41">
      <c r="A41" s="23">
        <v>34.0</v>
      </c>
      <c r="B41" s="30" t="s">
        <v>11</v>
      </c>
      <c r="C41" s="25" t="s">
        <v>11</v>
      </c>
      <c r="D41" s="25" t="s">
        <v>11</v>
      </c>
      <c r="E41" s="31"/>
      <c r="F41" s="28"/>
      <c r="G41" s="31"/>
      <c r="H41" s="32"/>
      <c r="I41" s="31"/>
      <c r="J41" s="31"/>
    </row>
    <row r="42">
      <c r="A42" s="23">
        <v>35.0</v>
      </c>
      <c r="B42" s="30" t="s">
        <v>12</v>
      </c>
      <c r="C42" s="25" t="s">
        <v>12</v>
      </c>
      <c r="D42" s="25" t="s">
        <v>12</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12</v>
      </c>
      <c r="C47" s="25" t="s">
        <v>12</v>
      </c>
      <c r="D47" s="25" t="s">
        <v>12</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12</v>
      </c>
      <c r="C65" s="25" t="s">
        <v>12</v>
      </c>
      <c r="D65" s="25" t="s">
        <v>12</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11</v>
      </c>
      <c r="C100" s="25" t="s">
        <v>11</v>
      </c>
      <c r="D100" s="25" t="s">
        <v>11</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12</v>
      </c>
      <c r="C117" s="25" t="s">
        <v>12</v>
      </c>
      <c r="D117" s="25" t="s">
        <v>12</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11</v>
      </c>
      <c r="C127" s="25" t="s">
        <v>11</v>
      </c>
      <c r="D127" s="25" t="s">
        <v>11</v>
      </c>
      <c r="E127" s="32"/>
      <c r="F127" s="28"/>
      <c r="G127" s="31"/>
      <c r="H127" s="32"/>
      <c r="I127" s="31"/>
      <c r="J127" s="31"/>
    </row>
    <row r="128">
      <c r="A128" s="23">
        <v>121.0</v>
      </c>
      <c r="B128" s="30" t="s">
        <v>11</v>
      </c>
      <c r="C128" s="25" t="s">
        <v>11</v>
      </c>
      <c r="D128" s="25" t="s">
        <v>11</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11</v>
      </c>
      <c r="C139" s="25" t="s">
        <v>11</v>
      </c>
      <c r="D139" s="25" t="s">
        <v>11</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12</v>
      </c>
      <c r="C145" s="25" t="s">
        <v>12</v>
      </c>
      <c r="D145" s="25" t="s">
        <v>12</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11</v>
      </c>
      <c r="C151" s="25" t="s">
        <v>11</v>
      </c>
      <c r="D151" s="25" t="s">
        <v>11</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12</v>
      </c>
      <c r="C154" s="25" t="s">
        <v>12</v>
      </c>
      <c r="D154" s="25" t="s">
        <v>12</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11</v>
      </c>
      <c r="C162" s="25" t="s">
        <v>11</v>
      </c>
      <c r="D162" s="25" t="s">
        <v>11</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12</v>
      </c>
      <c r="C174" s="25" t="s">
        <v>12</v>
      </c>
      <c r="D174" s="25" t="s">
        <v>12</v>
      </c>
      <c r="E174" s="32"/>
      <c r="F174" s="28"/>
      <c r="G174" s="31"/>
      <c r="H174" s="32"/>
      <c r="I174" s="31"/>
      <c r="J174" s="31"/>
    </row>
    <row r="175">
      <c r="A175" s="23">
        <v>168.0</v>
      </c>
      <c r="B175" s="30" t="s">
        <v>12</v>
      </c>
      <c r="C175" s="25" t="s">
        <v>12</v>
      </c>
      <c r="D175" s="25" t="s">
        <v>12</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11</v>
      </c>
      <c r="C177" s="25" t="s">
        <v>11</v>
      </c>
      <c r="D177" s="25" t="s">
        <v>11</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11</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11</v>
      </c>
      <c r="C190" s="25" t="s">
        <v>11</v>
      </c>
      <c r="D190" s="25" t="s">
        <v>11</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11</v>
      </c>
      <c r="C197" s="25" t="s">
        <v>11</v>
      </c>
      <c r="D197" s="25" t="s">
        <v>11</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12</v>
      </c>
      <c r="C202" s="25" t="s">
        <v>12</v>
      </c>
      <c r="D202" s="25" t="s">
        <v>12</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11</v>
      </c>
      <c r="D206" s="25" t="s">
        <v>11</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11</v>
      </c>
      <c r="C208" s="25" t="s">
        <v>11</v>
      </c>
      <c r="D208" s="25" t="s">
        <v>11</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12</v>
      </c>
      <c r="C212" s="25" t="s">
        <v>12</v>
      </c>
      <c r="D212" s="25" t="s">
        <v>12</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11</v>
      </c>
      <c r="C215" s="25" t="s">
        <v>12</v>
      </c>
      <c r="D215" s="25" t="s">
        <v>12</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12</v>
      </c>
      <c r="C220" s="25" t="s">
        <v>12</v>
      </c>
      <c r="D220" s="25" t="s">
        <v>12</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12</v>
      </c>
      <c r="C237" s="25" t="s">
        <v>12</v>
      </c>
      <c r="D237" s="25" t="s">
        <v>12</v>
      </c>
      <c r="E237" s="32"/>
      <c r="F237" s="28"/>
      <c r="G237" s="31"/>
      <c r="H237" s="32"/>
      <c r="I237" s="31"/>
      <c r="J237" s="31"/>
    </row>
    <row r="238">
      <c r="A238" s="23">
        <v>231.0</v>
      </c>
      <c r="B238" s="30" t="s">
        <v>11</v>
      </c>
      <c r="C238" s="25" t="s">
        <v>11</v>
      </c>
      <c r="D238" s="25" t="s">
        <v>11</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12</v>
      </c>
      <c r="C275" s="25" t="s">
        <v>12</v>
      </c>
      <c r="D275" s="25" t="s">
        <v>12</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11</v>
      </c>
      <c r="C280" s="25" t="s">
        <v>11</v>
      </c>
      <c r="D280" s="25" t="s">
        <v>11</v>
      </c>
      <c r="E280" s="32"/>
      <c r="F280" s="28"/>
      <c r="G280" s="31"/>
      <c r="H280" s="32"/>
      <c r="I280" s="31"/>
      <c r="J280" s="31"/>
    </row>
    <row r="281">
      <c r="A281" s="23">
        <v>274.0</v>
      </c>
      <c r="B281" s="30" t="s">
        <v>12</v>
      </c>
      <c r="C281" s="25" t="s">
        <v>12</v>
      </c>
      <c r="D281" s="25" t="s">
        <v>12</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11</v>
      </c>
      <c r="C292" s="25" t="s">
        <v>11</v>
      </c>
      <c r="D292" s="25" t="s">
        <v>11</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11</v>
      </c>
      <c r="C297" s="25" t="s">
        <v>11</v>
      </c>
      <c r="D297" s="25" t="s">
        <v>11</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11</v>
      </c>
      <c r="C312" s="25" t="s">
        <v>11</v>
      </c>
      <c r="D312" s="25" t="s">
        <v>11</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11</v>
      </c>
      <c r="C321" s="25" t="s">
        <v>11</v>
      </c>
      <c r="D321" s="25" t="s">
        <v>11</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11</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12</v>
      </c>
      <c r="C350" s="25" t="s">
        <v>12</v>
      </c>
      <c r="D350" s="25" t="s">
        <v>12</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2.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29</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194</v>
      </c>
      <c r="I4" s="48"/>
      <c r="L4" s="49">
        <f>AVERAGE(L7:L52)</f>
        <v>39809.21739</v>
      </c>
      <c r="M4" s="50"/>
      <c r="N4" s="50"/>
    </row>
    <row r="5">
      <c r="A5" s="51" t="s">
        <v>32</v>
      </c>
      <c r="B5" s="2"/>
      <c r="C5" s="2"/>
      <c r="D5" s="2"/>
      <c r="E5" s="12"/>
      <c r="F5" s="52"/>
      <c r="G5" s="52"/>
      <c r="H5" s="46">
        <v>350.0</v>
      </c>
      <c r="L5" s="53"/>
      <c r="M5" s="53"/>
      <c r="N5" s="53"/>
    </row>
    <row r="6">
      <c r="A6" s="45" t="s">
        <v>33</v>
      </c>
      <c r="B6" s="2"/>
      <c r="C6" s="2"/>
      <c r="D6" s="2"/>
      <c r="E6" s="12"/>
      <c r="F6" s="46"/>
      <c r="G6" s="46"/>
      <c r="H6" s="54">
        <f>H4/H5</f>
        <v>0.5542857143</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41</v>
      </c>
      <c r="L7" s="60">
        <v>26593.0</v>
      </c>
      <c r="M7" s="61"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19797.0</v>
      </c>
      <c r="M8" s="61"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24836.0</v>
      </c>
      <c r="M9" s="61" t="s">
        <v>62</v>
      </c>
      <c r="N9" s="57"/>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22902.0</v>
      </c>
      <c r="M10" s="61" t="s">
        <v>42</v>
      </c>
      <c r="N10" s="57" t="s">
        <v>70</v>
      </c>
    </row>
    <row r="11" ht="60.0" customHeight="1">
      <c r="A11" s="56">
        <v>5.0</v>
      </c>
      <c r="B11" s="57" t="s">
        <v>71</v>
      </c>
      <c r="C11" s="57" t="s">
        <v>72</v>
      </c>
      <c r="D11" s="57" t="s">
        <v>73</v>
      </c>
      <c r="E11" s="57" t="s">
        <v>74</v>
      </c>
      <c r="F11" s="57" t="s">
        <v>75</v>
      </c>
      <c r="G11" s="57" t="s">
        <v>76</v>
      </c>
      <c r="H11" s="56" t="str">
        <f t="shared" si="1"/>
        <v>WRONG</v>
      </c>
      <c r="I11" s="56" t="s">
        <v>77</v>
      </c>
      <c r="J11" s="58" t="s">
        <v>60</v>
      </c>
      <c r="K11" s="59" t="s">
        <v>78</v>
      </c>
      <c r="L11" s="60">
        <v>22782.0</v>
      </c>
      <c r="M11" s="61"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27193.0</v>
      </c>
      <c r="M12" s="61" t="s">
        <v>62</v>
      </c>
      <c r="N12" s="57"/>
    </row>
    <row r="13" ht="60.0" customHeight="1">
      <c r="A13" s="56">
        <v>7.0</v>
      </c>
      <c r="B13" s="57" t="s">
        <v>87</v>
      </c>
      <c r="C13" s="57" t="s">
        <v>88</v>
      </c>
      <c r="D13" s="57" t="s">
        <v>89</v>
      </c>
      <c r="E13" s="57" t="s">
        <v>90</v>
      </c>
      <c r="F13" s="57" t="s">
        <v>91</v>
      </c>
      <c r="G13" s="57" t="s">
        <v>92</v>
      </c>
      <c r="H13" s="56" t="str">
        <f t="shared" si="1"/>
        <v>CORRECT</v>
      </c>
      <c r="I13" s="56" t="s">
        <v>51</v>
      </c>
      <c r="J13" s="58" t="s">
        <v>51</v>
      </c>
      <c r="K13" s="59" t="s">
        <v>93</v>
      </c>
      <c r="L13" s="60">
        <v>21404.0</v>
      </c>
      <c r="M13" s="61" t="s">
        <v>62</v>
      </c>
      <c r="N13" s="57"/>
    </row>
    <row r="14" ht="60.0" customHeight="1">
      <c r="A14" s="56">
        <v>8.0</v>
      </c>
      <c r="B14" s="57" t="s">
        <v>94</v>
      </c>
      <c r="C14" s="57" t="s">
        <v>95</v>
      </c>
      <c r="D14" s="57" t="s">
        <v>96</v>
      </c>
      <c r="E14" s="57" t="s">
        <v>97</v>
      </c>
      <c r="F14" s="57" t="s">
        <v>98</v>
      </c>
      <c r="G14" s="57" t="s">
        <v>99</v>
      </c>
      <c r="H14" s="56" t="str">
        <f t="shared" si="1"/>
        <v>WRONG</v>
      </c>
      <c r="I14" s="56" t="s">
        <v>51</v>
      </c>
      <c r="J14" s="58" t="s">
        <v>50</v>
      </c>
      <c r="K14" s="59" t="s">
        <v>100</v>
      </c>
      <c r="L14" s="60">
        <v>21527.0</v>
      </c>
      <c r="M14" s="61" t="s">
        <v>62</v>
      </c>
      <c r="N14" s="57"/>
    </row>
    <row r="15" ht="60.0" customHeight="1">
      <c r="A15" s="56">
        <v>9.0</v>
      </c>
      <c r="B15" s="57" t="s">
        <v>101</v>
      </c>
      <c r="C15" s="57" t="s">
        <v>102</v>
      </c>
      <c r="D15" s="57" t="s">
        <v>103</v>
      </c>
      <c r="E15" s="57" t="s">
        <v>104</v>
      </c>
      <c r="F15" s="57" t="s">
        <v>105</v>
      </c>
      <c r="G15" s="57" t="s">
        <v>106</v>
      </c>
      <c r="H15" s="56" t="str">
        <f t="shared" si="1"/>
        <v>WRONG</v>
      </c>
      <c r="I15" s="56" t="s">
        <v>50</v>
      </c>
      <c r="J15" s="58" t="s">
        <v>40</v>
      </c>
      <c r="K15" s="59" t="s">
        <v>107</v>
      </c>
      <c r="L15" s="60">
        <v>19047.0</v>
      </c>
      <c r="M15" s="61" t="s">
        <v>42</v>
      </c>
      <c r="N15" s="57" t="s">
        <v>108</v>
      </c>
    </row>
    <row r="16" ht="60.0" customHeight="1">
      <c r="A16" s="56">
        <v>10.0</v>
      </c>
      <c r="B16" s="57" t="s">
        <v>109</v>
      </c>
      <c r="C16" s="57" t="s">
        <v>110</v>
      </c>
      <c r="D16" s="57" t="s">
        <v>111</v>
      </c>
      <c r="E16" s="57" t="s">
        <v>112</v>
      </c>
      <c r="F16" s="57" t="s">
        <v>113</v>
      </c>
      <c r="G16" s="57" t="s">
        <v>114</v>
      </c>
      <c r="H16" s="56" t="str">
        <f t="shared" si="1"/>
        <v>CORRECT</v>
      </c>
      <c r="I16" s="56" t="s">
        <v>60</v>
      </c>
      <c r="J16" s="58" t="s">
        <v>60</v>
      </c>
      <c r="K16" s="59" t="s">
        <v>115</v>
      </c>
      <c r="L16" s="60">
        <v>25758.0</v>
      </c>
      <c r="M16" s="61" t="s">
        <v>42</v>
      </c>
      <c r="N16" s="57" t="s">
        <v>116</v>
      </c>
    </row>
    <row r="17" ht="60.0" customHeight="1">
      <c r="A17" s="56">
        <v>11.0</v>
      </c>
      <c r="B17" s="57" t="s">
        <v>117</v>
      </c>
      <c r="C17" s="57" t="s">
        <v>118</v>
      </c>
      <c r="D17" s="57" t="s">
        <v>119</v>
      </c>
      <c r="E17" s="57" t="s">
        <v>120</v>
      </c>
      <c r="F17" s="57" t="s">
        <v>121</v>
      </c>
      <c r="G17" s="57" t="s">
        <v>122</v>
      </c>
      <c r="H17" s="56" t="str">
        <f t="shared" si="1"/>
        <v>CORRECT</v>
      </c>
      <c r="I17" s="56" t="s">
        <v>50</v>
      </c>
      <c r="J17" s="58" t="s">
        <v>50</v>
      </c>
      <c r="K17" s="59" t="s">
        <v>123</v>
      </c>
      <c r="L17" s="60">
        <v>61847.0</v>
      </c>
      <c r="M17" s="61" t="s">
        <v>42</v>
      </c>
      <c r="N17" s="57" t="s">
        <v>124</v>
      </c>
    </row>
    <row r="18" ht="60.0" customHeight="1">
      <c r="A18" s="56">
        <v>12.0</v>
      </c>
      <c r="B18" s="57" t="s">
        <v>125</v>
      </c>
      <c r="C18" s="57" t="s">
        <v>126</v>
      </c>
      <c r="D18" s="57" t="s">
        <v>127</v>
      </c>
      <c r="E18" s="57" t="s">
        <v>128</v>
      </c>
      <c r="F18" s="57" t="s">
        <v>129</v>
      </c>
      <c r="G18" s="57" t="s">
        <v>130</v>
      </c>
      <c r="H18" s="56" t="str">
        <f t="shared" si="1"/>
        <v>CORRECT</v>
      </c>
      <c r="I18" s="56" t="s">
        <v>60</v>
      </c>
      <c r="J18" s="58" t="s">
        <v>60</v>
      </c>
      <c r="K18" s="59" t="s">
        <v>131</v>
      </c>
      <c r="L18" s="60">
        <v>112486.0</v>
      </c>
      <c r="M18" s="61" t="s">
        <v>42</v>
      </c>
      <c r="N18" s="57" t="s">
        <v>132</v>
      </c>
    </row>
    <row r="19" ht="60.0" customHeight="1">
      <c r="A19" s="56">
        <v>13.0</v>
      </c>
      <c r="B19" s="57" t="s">
        <v>133</v>
      </c>
      <c r="C19" s="57" t="s">
        <v>134</v>
      </c>
      <c r="D19" s="57" t="s">
        <v>135</v>
      </c>
      <c r="E19" s="57" t="s">
        <v>136</v>
      </c>
      <c r="F19" s="57" t="s">
        <v>137</v>
      </c>
      <c r="G19" s="57" t="s">
        <v>138</v>
      </c>
      <c r="H19" s="56" t="str">
        <f t="shared" si="1"/>
        <v>WRONG</v>
      </c>
      <c r="I19" s="56" t="s">
        <v>77</v>
      </c>
      <c r="J19" s="58" t="s">
        <v>50</v>
      </c>
      <c r="K19" s="59" t="s">
        <v>139</v>
      </c>
      <c r="L19" s="60">
        <v>137132.0</v>
      </c>
      <c r="M19" s="61" t="s">
        <v>62</v>
      </c>
      <c r="N19" s="57"/>
    </row>
    <row r="20" ht="60.0" customHeight="1">
      <c r="A20" s="56">
        <v>14.0</v>
      </c>
      <c r="B20" s="57" t="s">
        <v>140</v>
      </c>
      <c r="C20" s="57" t="s">
        <v>141</v>
      </c>
      <c r="D20" s="57" t="s">
        <v>142</v>
      </c>
      <c r="E20" s="57" t="s">
        <v>143</v>
      </c>
      <c r="F20" s="57" t="s">
        <v>144</v>
      </c>
      <c r="G20" s="57" t="s">
        <v>145</v>
      </c>
      <c r="H20" s="56" t="str">
        <f t="shared" si="1"/>
        <v>WRONG</v>
      </c>
      <c r="I20" s="56" t="s">
        <v>50</v>
      </c>
      <c r="J20" s="58" t="s">
        <v>77</v>
      </c>
      <c r="K20" s="59" t="s">
        <v>146</v>
      </c>
      <c r="L20" s="60">
        <v>112141.0</v>
      </c>
      <c r="M20" s="61" t="s">
        <v>42</v>
      </c>
      <c r="N20" s="57" t="s">
        <v>147</v>
      </c>
    </row>
    <row r="21" ht="60.0" customHeight="1">
      <c r="A21" s="56">
        <v>15.0</v>
      </c>
      <c r="B21" s="57" t="s">
        <v>148</v>
      </c>
      <c r="C21" s="57" t="s">
        <v>149</v>
      </c>
      <c r="D21" s="57" t="s">
        <v>150</v>
      </c>
      <c r="E21" s="57" t="s">
        <v>151</v>
      </c>
      <c r="F21" s="57" t="s">
        <v>152</v>
      </c>
      <c r="G21" s="57" t="s">
        <v>153</v>
      </c>
      <c r="H21" s="56" t="str">
        <f t="shared" si="1"/>
        <v>CORRECT</v>
      </c>
      <c r="I21" s="56" t="s">
        <v>50</v>
      </c>
      <c r="J21" s="58" t="s">
        <v>50</v>
      </c>
      <c r="K21" s="59" t="s">
        <v>154</v>
      </c>
      <c r="L21" s="60">
        <v>23719.0</v>
      </c>
      <c r="M21" s="61" t="s">
        <v>42</v>
      </c>
      <c r="N21" s="57" t="s">
        <v>155</v>
      </c>
    </row>
    <row r="22" ht="60.0" customHeight="1">
      <c r="A22" s="56">
        <v>16.0</v>
      </c>
      <c r="B22" s="57" t="s">
        <v>156</v>
      </c>
      <c r="C22" s="57" t="s">
        <v>157</v>
      </c>
      <c r="D22" s="57" t="s">
        <v>158</v>
      </c>
      <c r="E22" s="57" t="s">
        <v>159</v>
      </c>
      <c r="F22" s="57" t="s">
        <v>160</v>
      </c>
      <c r="G22" s="57" t="s">
        <v>161</v>
      </c>
      <c r="H22" s="56" t="str">
        <f t="shared" si="1"/>
        <v>WRONG</v>
      </c>
      <c r="I22" s="56" t="s">
        <v>40</v>
      </c>
      <c r="J22" s="58" t="s">
        <v>77</v>
      </c>
      <c r="K22" s="59" t="s">
        <v>162</v>
      </c>
      <c r="L22" s="60">
        <v>21557.0</v>
      </c>
      <c r="M22" s="61" t="s">
        <v>42</v>
      </c>
      <c r="N22" s="57" t="s">
        <v>163</v>
      </c>
    </row>
    <row r="23" ht="60.0" customHeight="1">
      <c r="A23" s="56">
        <v>17.0</v>
      </c>
      <c r="B23" s="57" t="s">
        <v>164</v>
      </c>
      <c r="C23" s="57" t="s">
        <v>165</v>
      </c>
      <c r="D23" s="57" t="s">
        <v>166</v>
      </c>
      <c r="E23" s="57" t="s">
        <v>167</v>
      </c>
      <c r="F23" s="57" t="s">
        <v>168</v>
      </c>
      <c r="G23" s="57" t="s">
        <v>169</v>
      </c>
      <c r="H23" s="56" t="str">
        <f t="shared" si="1"/>
        <v>WRONG</v>
      </c>
      <c r="I23" s="56" t="s">
        <v>77</v>
      </c>
      <c r="J23" s="58" t="s">
        <v>40</v>
      </c>
      <c r="K23" s="59" t="s">
        <v>170</v>
      </c>
      <c r="L23" s="60">
        <v>21721.0</v>
      </c>
      <c r="M23" s="61" t="s">
        <v>42</v>
      </c>
      <c r="N23" s="57" t="s">
        <v>171</v>
      </c>
    </row>
    <row r="24" ht="60.0" customHeight="1">
      <c r="A24" s="56">
        <v>18.0</v>
      </c>
      <c r="B24" s="57" t="s">
        <v>172</v>
      </c>
      <c r="C24" s="57" t="s">
        <v>173</v>
      </c>
      <c r="D24" s="57" t="s">
        <v>174</v>
      </c>
      <c r="E24" s="57" t="s">
        <v>175</v>
      </c>
      <c r="F24" s="57" t="s">
        <v>176</v>
      </c>
      <c r="G24" s="57" t="s">
        <v>177</v>
      </c>
      <c r="H24" s="56" t="str">
        <f t="shared" si="1"/>
        <v>CORRECT</v>
      </c>
      <c r="I24" s="56" t="s">
        <v>50</v>
      </c>
      <c r="J24" s="58" t="s">
        <v>50</v>
      </c>
      <c r="K24" s="59" t="s">
        <v>178</v>
      </c>
      <c r="L24" s="60">
        <v>32596.0</v>
      </c>
      <c r="M24" s="61" t="s">
        <v>42</v>
      </c>
      <c r="N24" s="57" t="s">
        <v>179</v>
      </c>
    </row>
    <row r="25" ht="60.0" customHeight="1">
      <c r="A25" s="56">
        <v>19.0</v>
      </c>
      <c r="B25" s="57" t="s">
        <v>180</v>
      </c>
      <c r="C25" s="57" t="s">
        <v>181</v>
      </c>
      <c r="D25" s="57" t="s">
        <v>182</v>
      </c>
      <c r="E25" s="57" t="s">
        <v>183</v>
      </c>
      <c r="F25" s="57" t="s">
        <v>184</v>
      </c>
      <c r="G25" s="57" t="s">
        <v>185</v>
      </c>
      <c r="H25" s="56" t="str">
        <f t="shared" si="1"/>
        <v>WRONG</v>
      </c>
      <c r="I25" s="56" t="s">
        <v>51</v>
      </c>
      <c r="J25" s="58" t="s">
        <v>60</v>
      </c>
      <c r="K25" s="59" t="s">
        <v>186</v>
      </c>
      <c r="L25" s="60">
        <v>36582.0</v>
      </c>
      <c r="M25" s="61" t="s">
        <v>42</v>
      </c>
      <c r="N25" s="57" t="s">
        <v>187</v>
      </c>
    </row>
    <row r="26" ht="60.0" customHeight="1">
      <c r="A26" s="56">
        <v>20.0</v>
      </c>
      <c r="B26" s="57" t="s">
        <v>188</v>
      </c>
      <c r="C26" s="57" t="s">
        <v>189</v>
      </c>
      <c r="D26" s="57" t="s">
        <v>190</v>
      </c>
      <c r="E26" s="57" t="s">
        <v>191</v>
      </c>
      <c r="F26" s="57" t="s">
        <v>192</v>
      </c>
      <c r="G26" s="57" t="s">
        <v>193</v>
      </c>
      <c r="H26" s="56" t="str">
        <f t="shared" si="1"/>
        <v>CORRECT</v>
      </c>
      <c r="I26" s="56" t="s">
        <v>51</v>
      </c>
      <c r="J26" s="58" t="s">
        <v>51</v>
      </c>
      <c r="K26" s="59" t="s">
        <v>194</v>
      </c>
      <c r="L26" s="60">
        <v>34472.0</v>
      </c>
      <c r="M26" s="61" t="s">
        <v>42</v>
      </c>
      <c r="N26" s="57" t="s">
        <v>195</v>
      </c>
    </row>
    <row r="27" ht="60.0" customHeight="1">
      <c r="A27" s="56">
        <v>21.0</v>
      </c>
      <c r="B27" s="57" t="s">
        <v>196</v>
      </c>
      <c r="C27" s="57" t="s">
        <v>197</v>
      </c>
      <c r="D27" s="57" t="s">
        <v>198</v>
      </c>
      <c r="E27" s="57" t="s">
        <v>199</v>
      </c>
      <c r="F27" s="57" t="s">
        <v>200</v>
      </c>
      <c r="G27" s="57" t="s">
        <v>201</v>
      </c>
      <c r="H27" s="56" t="str">
        <f t="shared" si="1"/>
        <v>CORRECT</v>
      </c>
      <c r="I27" s="56" t="s">
        <v>77</v>
      </c>
      <c r="J27" s="58" t="s">
        <v>77</v>
      </c>
      <c r="K27" s="59" t="s">
        <v>202</v>
      </c>
      <c r="L27" s="60">
        <v>44941.0</v>
      </c>
      <c r="M27" s="61" t="s">
        <v>42</v>
      </c>
      <c r="N27" s="57" t="s">
        <v>203</v>
      </c>
    </row>
    <row r="28" ht="60.0" customHeight="1">
      <c r="A28" s="56">
        <v>22.0</v>
      </c>
      <c r="B28" s="57" t="s">
        <v>204</v>
      </c>
      <c r="C28" s="57" t="s">
        <v>205</v>
      </c>
      <c r="D28" s="57" t="s">
        <v>206</v>
      </c>
      <c r="E28" s="57" t="s">
        <v>207</v>
      </c>
      <c r="F28" s="57" t="s">
        <v>208</v>
      </c>
      <c r="G28" s="57" t="s">
        <v>209</v>
      </c>
      <c r="H28" s="56" t="str">
        <f t="shared" si="1"/>
        <v>WRONG</v>
      </c>
      <c r="I28" s="56" t="s">
        <v>50</v>
      </c>
      <c r="J28" s="58" t="s">
        <v>51</v>
      </c>
      <c r="K28" s="59" t="s">
        <v>210</v>
      </c>
      <c r="L28" s="60">
        <v>45436.0</v>
      </c>
      <c r="M28" s="61" t="s">
        <v>42</v>
      </c>
      <c r="N28" s="57" t="s">
        <v>211</v>
      </c>
    </row>
    <row r="29" ht="60.0" customHeight="1">
      <c r="A29" s="56">
        <v>23.0</v>
      </c>
      <c r="B29" s="57" t="s">
        <v>212</v>
      </c>
      <c r="C29" s="57" t="s">
        <v>213</v>
      </c>
      <c r="D29" s="57" t="s">
        <v>214</v>
      </c>
      <c r="E29" s="57" t="s">
        <v>215</v>
      </c>
      <c r="F29" s="57" t="s">
        <v>216</v>
      </c>
      <c r="G29" s="57" t="s">
        <v>217</v>
      </c>
      <c r="H29" s="56" t="str">
        <f t="shared" si="1"/>
        <v>CORRECT</v>
      </c>
      <c r="I29" s="56" t="s">
        <v>50</v>
      </c>
      <c r="J29" s="58" t="s">
        <v>50</v>
      </c>
      <c r="K29" s="59" t="s">
        <v>218</v>
      </c>
      <c r="L29" s="60">
        <v>29957.0</v>
      </c>
      <c r="M29" s="61" t="s">
        <v>42</v>
      </c>
      <c r="N29" s="57" t="s">
        <v>219</v>
      </c>
    </row>
    <row r="30" ht="60.0" customHeight="1">
      <c r="A30" s="56">
        <v>24.0</v>
      </c>
      <c r="B30" s="57" t="s">
        <v>220</v>
      </c>
      <c r="C30" s="57" t="s">
        <v>221</v>
      </c>
      <c r="D30" s="57" t="s">
        <v>222</v>
      </c>
      <c r="E30" s="57" t="s">
        <v>223</v>
      </c>
      <c r="F30" s="57" t="s">
        <v>224</v>
      </c>
      <c r="G30" s="57" t="s">
        <v>225</v>
      </c>
      <c r="H30" s="56" t="str">
        <f t="shared" si="1"/>
        <v>WRONG</v>
      </c>
      <c r="I30" s="56" t="s">
        <v>50</v>
      </c>
      <c r="J30" s="58" t="s">
        <v>40</v>
      </c>
      <c r="K30" s="59" t="s">
        <v>226</v>
      </c>
      <c r="L30" s="60">
        <v>29723.0</v>
      </c>
      <c r="M30" s="61" t="s">
        <v>42</v>
      </c>
      <c r="N30" s="57" t="s">
        <v>227</v>
      </c>
    </row>
    <row r="31" ht="60.0" customHeight="1">
      <c r="A31" s="56">
        <v>25.0</v>
      </c>
      <c r="B31" s="57" t="s">
        <v>228</v>
      </c>
      <c r="C31" s="57" t="s">
        <v>229</v>
      </c>
      <c r="D31" s="57" t="s">
        <v>230</v>
      </c>
      <c r="E31" s="57" t="s">
        <v>231</v>
      </c>
      <c r="F31" s="57" t="s">
        <v>232</v>
      </c>
      <c r="G31" s="57" t="s">
        <v>233</v>
      </c>
      <c r="H31" s="56" t="str">
        <f t="shared" si="1"/>
        <v>CORRECT</v>
      </c>
      <c r="I31" s="56" t="s">
        <v>50</v>
      </c>
      <c r="J31" s="58" t="s">
        <v>50</v>
      </c>
      <c r="K31" s="59" t="s">
        <v>234</v>
      </c>
      <c r="L31" s="60">
        <v>30610.0</v>
      </c>
      <c r="M31" s="61" t="s">
        <v>42</v>
      </c>
      <c r="N31" s="57" t="s">
        <v>235</v>
      </c>
    </row>
    <row r="32" ht="60.0" customHeight="1">
      <c r="A32" s="56">
        <v>26.0</v>
      </c>
      <c r="B32" s="57" t="s">
        <v>236</v>
      </c>
      <c r="C32" s="57" t="s">
        <v>237</v>
      </c>
      <c r="D32" s="57" t="s">
        <v>238</v>
      </c>
      <c r="E32" s="57" t="s">
        <v>239</v>
      </c>
      <c r="F32" s="57" t="s">
        <v>240</v>
      </c>
      <c r="G32" s="57" t="s">
        <v>241</v>
      </c>
      <c r="H32" s="56" t="str">
        <f t="shared" si="1"/>
        <v>WRONG</v>
      </c>
      <c r="I32" s="56" t="s">
        <v>50</v>
      </c>
      <c r="J32" s="58" t="s">
        <v>60</v>
      </c>
      <c r="K32" s="59" t="s">
        <v>242</v>
      </c>
      <c r="L32" s="60">
        <v>30010.0</v>
      </c>
      <c r="M32" s="61" t="s">
        <v>62</v>
      </c>
      <c r="N32" s="57"/>
    </row>
    <row r="33" ht="60.0" customHeight="1">
      <c r="A33" s="56">
        <v>27.0</v>
      </c>
      <c r="B33" s="57" t="s">
        <v>243</v>
      </c>
      <c r="C33" s="57" t="s">
        <v>244</v>
      </c>
      <c r="D33" s="57" t="s">
        <v>245</v>
      </c>
      <c r="E33" s="57" t="s">
        <v>246</v>
      </c>
      <c r="F33" s="57" t="s">
        <v>247</v>
      </c>
      <c r="G33" s="57" t="s">
        <v>248</v>
      </c>
      <c r="H33" s="56" t="str">
        <f t="shared" si="1"/>
        <v>CORRECT</v>
      </c>
      <c r="I33" s="56" t="s">
        <v>50</v>
      </c>
      <c r="J33" s="58" t="s">
        <v>50</v>
      </c>
      <c r="K33" s="59" t="s">
        <v>249</v>
      </c>
      <c r="L33" s="60">
        <v>33487.0</v>
      </c>
      <c r="M33" s="61" t="s">
        <v>42</v>
      </c>
      <c r="N33" s="57" t="s">
        <v>250</v>
      </c>
    </row>
    <row r="34" ht="60.0" customHeight="1">
      <c r="A34" s="56">
        <v>28.0</v>
      </c>
      <c r="B34" s="57" t="s">
        <v>251</v>
      </c>
      <c r="C34" s="57" t="s">
        <v>252</v>
      </c>
      <c r="D34" s="57" t="s">
        <v>253</v>
      </c>
      <c r="E34" s="57" t="s">
        <v>254</v>
      </c>
      <c r="F34" s="57" t="s">
        <v>255</v>
      </c>
      <c r="G34" s="57" t="s">
        <v>256</v>
      </c>
      <c r="H34" s="56" t="str">
        <f t="shared" si="1"/>
        <v>CORRECT</v>
      </c>
      <c r="I34" s="56" t="s">
        <v>40</v>
      </c>
      <c r="J34" s="58" t="s">
        <v>40</v>
      </c>
      <c r="K34" s="59" t="s">
        <v>257</v>
      </c>
      <c r="L34" s="60">
        <v>32897.0</v>
      </c>
      <c r="M34" s="61" t="s">
        <v>62</v>
      </c>
      <c r="N34" s="57"/>
    </row>
    <row r="35" ht="60.0" customHeight="1">
      <c r="A35" s="56">
        <v>29.0</v>
      </c>
      <c r="B35" s="57" t="s">
        <v>258</v>
      </c>
      <c r="C35" s="57" t="s">
        <v>259</v>
      </c>
      <c r="D35" s="57" t="s">
        <v>260</v>
      </c>
      <c r="E35" s="57" t="s">
        <v>261</v>
      </c>
      <c r="F35" s="57" t="s">
        <v>262</v>
      </c>
      <c r="G35" s="57" t="s">
        <v>263</v>
      </c>
      <c r="H35" s="56" t="str">
        <f t="shared" si="1"/>
        <v>WRONG</v>
      </c>
      <c r="I35" s="56" t="s">
        <v>60</v>
      </c>
      <c r="J35" s="58" t="s">
        <v>50</v>
      </c>
      <c r="K35" s="59" t="s">
        <v>264</v>
      </c>
      <c r="L35" s="60">
        <v>36522.0</v>
      </c>
      <c r="M35" s="61" t="s">
        <v>62</v>
      </c>
      <c r="N35" s="57"/>
    </row>
    <row r="36" ht="60.0" customHeight="1">
      <c r="A36" s="56">
        <v>30.0</v>
      </c>
      <c r="B36" s="57" t="s">
        <v>265</v>
      </c>
      <c r="C36" s="57" t="s">
        <v>266</v>
      </c>
      <c r="D36" s="57" t="s">
        <v>267</v>
      </c>
      <c r="E36" s="57" t="s">
        <v>268</v>
      </c>
      <c r="F36" s="57" t="s">
        <v>269</v>
      </c>
      <c r="G36" s="57" t="s">
        <v>270</v>
      </c>
      <c r="H36" s="56" t="str">
        <f t="shared" si="1"/>
        <v>CORRECT</v>
      </c>
      <c r="I36" s="56" t="s">
        <v>50</v>
      </c>
      <c r="J36" s="58" t="s">
        <v>50</v>
      </c>
      <c r="K36" s="59" t="s">
        <v>271</v>
      </c>
      <c r="L36" s="60">
        <v>40670.0</v>
      </c>
      <c r="M36" s="61" t="s">
        <v>62</v>
      </c>
      <c r="N36" s="57"/>
    </row>
    <row r="37" ht="60.0" customHeight="1">
      <c r="A37" s="56">
        <v>31.0</v>
      </c>
      <c r="B37" s="57" t="s">
        <v>272</v>
      </c>
      <c r="C37" s="57" t="s">
        <v>273</v>
      </c>
      <c r="D37" s="57" t="s">
        <v>274</v>
      </c>
      <c r="E37" s="57" t="s">
        <v>275</v>
      </c>
      <c r="F37" s="57" t="s">
        <v>276</v>
      </c>
      <c r="G37" s="57" t="s">
        <v>277</v>
      </c>
      <c r="H37" s="56" t="str">
        <f t="shared" si="1"/>
        <v>CORRECT</v>
      </c>
      <c r="I37" s="56" t="s">
        <v>77</v>
      </c>
      <c r="J37" s="58" t="s">
        <v>77</v>
      </c>
      <c r="K37" s="59" t="s">
        <v>278</v>
      </c>
      <c r="L37" s="60">
        <v>28087.0</v>
      </c>
      <c r="M37" s="61" t="s">
        <v>62</v>
      </c>
      <c r="N37" s="57"/>
    </row>
    <row r="38" ht="60.0" customHeight="1">
      <c r="A38" s="56">
        <v>32.0</v>
      </c>
      <c r="B38" s="57" t="s">
        <v>279</v>
      </c>
      <c r="C38" s="57" t="s">
        <v>280</v>
      </c>
      <c r="D38" s="57" t="s">
        <v>281</v>
      </c>
      <c r="E38" s="57" t="s">
        <v>282</v>
      </c>
      <c r="F38" s="57" t="s">
        <v>283</v>
      </c>
      <c r="G38" s="57" t="s">
        <v>284</v>
      </c>
      <c r="H38" s="56" t="str">
        <f t="shared" si="1"/>
        <v>WRONG</v>
      </c>
      <c r="I38" s="56" t="s">
        <v>50</v>
      </c>
      <c r="J38" s="58" t="s">
        <v>60</v>
      </c>
      <c r="K38" s="59" t="s">
        <v>285</v>
      </c>
      <c r="L38" s="60">
        <v>31973.0</v>
      </c>
      <c r="M38" s="61" t="s">
        <v>42</v>
      </c>
      <c r="N38" s="57" t="s">
        <v>286</v>
      </c>
    </row>
    <row r="39" ht="60.0" customHeight="1">
      <c r="A39" s="56">
        <v>33.0</v>
      </c>
      <c r="B39" s="57" t="s">
        <v>287</v>
      </c>
      <c r="C39" s="57" t="s">
        <v>288</v>
      </c>
      <c r="D39" s="57" t="s">
        <v>289</v>
      </c>
      <c r="E39" s="57" t="s">
        <v>290</v>
      </c>
      <c r="F39" s="57" t="s">
        <v>291</v>
      </c>
      <c r="G39" s="57" t="s">
        <v>292</v>
      </c>
      <c r="H39" s="56" t="str">
        <f t="shared" si="1"/>
        <v>WRONG</v>
      </c>
      <c r="I39" s="56" t="s">
        <v>77</v>
      </c>
      <c r="J39" s="58" t="s">
        <v>50</v>
      </c>
      <c r="K39" s="59" t="s">
        <v>293</v>
      </c>
      <c r="L39" s="60">
        <v>36951.0</v>
      </c>
      <c r="M39" s="61" t="s">
        <v>62</v>
      </c>
      <c r="N39" s="57"/>
    </row>
    <row r="40" ht="60.0" customHeight="1">
      <c r="A40" s="56">
        <v>34.0</v>
      </c>
      <c r="B40" s="57" t="s">
        <v>294</v>
      </c>
      <c r="C40" s="57" t="s">
        <v>295</v>
      </c>
      <c r="D40" s="57" t="s">
        <v>296</v>
      </c>
      <c r="E40" s="57" t="s">
        <v>297</v>
      </c>
      <c r="F40" s="57" t="s">
        <v>298</v>
      </c>
      <c r="G40" s="57" t="s">
        <v>299</v>
      </c>
      <c r="H40" s="56" t="str">
        <f t="shared" si="1"/>
        <v>CORRECT</v>
      </c>
      <c r="I40" s="56" t="s">
        <v>51</v>
      </c>
      <c r="J40" s="58" t="s">
        <v>51</v>
      </c>
      <c r="K40" s="59" t="s">
        <v>300</v>
      </c>
      <c r="L40" s="60">
        <v>30403.0</v>
      </c>
      <c r="M40" s="61" t="s">
        <v>42</v>
      </c>
      <c r="N40" s="57" t="s">
        <v>301</v>
      </c>
    </row>
    <row r="41" ht="60.0" customHeight="1">
      <c r="A41" s="56">
        <v>35.0</v>
      </c>
      <c r="B41" s="57" t="s">
        <v>302</v>
      </c>
      <c r="C41" s="57" t="s">
        <v>303</v>
      </c>
      <c r="D41" s="57" t="s">
        <v>304</v>
      </c>
      <c r="E41" s="57" t="s">
        <v>305</v>
      </c>
      <c r="F41" s="57" t="s">
        <v>306</v>
      </c>
      <c r="G41" s="57" t="s">
        <v>307</v>
      </c>
      <c r="H41" s="56" t="str">
        <f t="shared" si="1"/>
        <v>WRONG</v>
      </c>
      <c r="I41" s="56" t="s">
        <v>40</v>
      </c>
      <c r="J41" s="58" t="s">
        <v>77</v>
      </c>
      <c r="K41" s="59" t="s">
        <v>308</v>
      </c>
      <c r="L41" s="60">
        <v>33198.0</v>
      </c>
      <c r="M41" s="61" t="s">
        <v>62</v>
      </c>
      <c r="N41" s="57"/>
    </row>
    <row r="42" ht="60.0" customHeight="1">
      <c r="A42" s="56">
        <v>36.0</v>
      </c>
      <c r="B42" s="57" t="s">
        <v>309</v>
      </c>
      <c r="C42" s="57" t="s">
        <v>310</v>
      </c>
      <c r="D42" s="57" t="s">
        <v>311</v>
      </c>
      <c r="E42" s="57" t="s">
        <v>312</v>
      </c>
      <c r="F42" s="57" t="s">
        <v>313</v>
      </c>
      <c r="G42" s="57" t="s">
        <v>314</v>
      </c>
      <c r="H42" s="56" t="str">
        <f t="shared" si="1"/>
        <v>WRONG</v>
      </c>
      <c r="I42" s="56" t="s">
        <v>51</v>
      </c>
      <c r="J42" s="58" t="s">
        <v>60</v>
      </c>
      <c r="K42" s="59" t="s">
        <v>315</v>
      </c>
      <c r="L42" s="60">
        <v>39618.0</v>
      </c>
      <c r="M42" s="61" t="s">
        <v>42</v>
      </c>
      <c r="N42" s="57" t="s">
        <v>316</v>
      </c>
    </row>
    <row r="43" ht="60.0" customHeight="1">
      <c r="A43" s="56">
        <v>37.0</v>
      </c>
      <c r="B43" s="57" t="s">
        <v>317</v>
      </c>
      <c r="C43" s="57" t="s">
        <v>318</v>
      </c>
      <c r="D43" s="57" t="s">
        <v>319</v>
      </c>
      <c r="E43" s="57" t="s">
        <v>320</v>
      </c>
      <c r="F43" s="57" t="s">
        <v>321</v>
      </c>
      <c r="G43" s="57" t="s">
        <v>322</v>
      </c>
      <c r="H43" s="56" t="str">
        <f t="shared" si="1"/>
        <v>CORRECT</v>
      </c>
      <c r="I43" s="56" t="s">
        <v>60</v>
      </c>
      <c r="J43" s="58" t="s">
        <v>60</v>
      </c>
      <c r="K43" s="59" t="s">
        <v>323</v>
      </c>
      <c r="L43" s="60">
        <v>30129.0</v>
      </c>
      <c r="M43" s="61" t="s">
        <v>42</v>
      </c>
      <c r="N43" s="57" t="s">
        <v>324</v>
      </c>
    </row>
    <row r="44" ht="60.0" customHeight="1">
      <c r="A44" s="56">
        <v>38.0</v>
      </c>
      <c r="B44" s="57" t="s">
        <v>325</v>
      </c>
      <c r="C44" s="57" t="s">
        <v>326</v>
      </c>
      <c r="D44" s="57" t="s">
        <v>327</v>
      </c>
      <c r="E44" s="57" t="s">
        <v>328</v>
      </c>
      <c r="F44" s="57" t="s">
        <v>329</v>
      </c>
      <c r="G44" s="57" t="s">
        <v>330</v>
      </c>
      <c r="H44" s="56" t="str">
        <f t="shared" si="1"/>
        <v>CORRECT</v>
      </c>
      <c r="I44" s="56" t="s">
        <v>51</v>
      </c>
      <c r="J44" s="58" t="s">
        <v>51</v>
      </c>
      <c r="K44" s="59" t="s">
        <v>331</v>
      </c>
      <c r="L44" s="60">
        <v>35423.0</v>
      </c>
      <c r="M44" s="61" t="s">
        <v>42</v>
      </c>
      <c r="N44" s="57" t="s">
        <v>332</v>
      </c>
    </row>
    <row r="45" ht="60.0" customHeight="1">
      <c r="A45" s="56">
        <v>39.0</v>
      </c>
      <c r="B45" s="57" t="s">
        <v>333</v>
      </c>
      <c r="C45" s="57" t="s">
        <v>334</v>
      </c>
      <c r="D45" s="57" t="s">
        <v>335</v>
      </c>
      <c r="E45" s="57" t="s">
        <v>336</v>
      </c>
      <c r="F45" s="57" t="s">
        <v>337</v>
      </c>
      <c r="G45" s="57" t="s">
        <v>338</v>
      </c>
      <c r="H45" s="56" t="str">
        <f t="shared" si="1"/>
        <v>WRONG</v>
      </c>
      <c r="I45" s="56" t="s">
        <v>50</v>
      </c>
      <c r="J45" s="58" t="s">
        <v>51</v>
      </c>
      <c r="K45" s="59" t="s">
        <v>339</v>
      </c>
      <c r="L45" s="60">
        <v>40247.0</v>
      </c>
      <c r="M45" s="61" t="s">
        <v>42</v>
      </c>
      <c r="N45" s="57" t="s">
        <v>340</v>
      </c>
    </row>
    <row r="46" ht="60.0" customHeight="1">
      <c r="A46" s="56">
        <v>40.0</v>
      </c>
      <c r="B46" s="57" t="s">
        <v>341</v>
      </c>
      <c r="C46" s="57" t="s">
        <v>342</v>
      </c>
      <c r="D46" s="57" t="s">
        <v>343</v>
      </c>
      <c r="E46" s="57" t="s">
        <v>344</v>
      </c>
      <c r="F46" s="57" t="s">
        <v>345</v>
      </c>
      <c r="G46" s="57" t="s">
        <v>346</v>
      </c>
      <c r="H46" s="56" t="str">
        <f t="shared" si="1"/>
        <v>WRONG</v>
      </c>
      <c r="I46" s="56" t="s">
        <v>60</v>
      </c>
      <c r="J46" s="58" t="s">
        <v>51</v>
      </c>
      <c r="K46" s="59" t="s">
        <v>347</v>
      </c>
      <c r="L46" s="60">
        <v>34122.0</v>
      </c>
      <c r="M46" s="61" t="s">
        <v>62</v>
      </c>
      <c r="N46" s="57"/>
    </row>
    <row r="47" ht="60.0" customHeight="1">
      <c r="A47" s="56">
        <v>41.0</v>
      </c>
      <c r="B47" s="57" t="s">
        <v>348</v>
      </c>
      <c r="C47" s="57" t="s">
        <v>349</v>
      </c>
      <c r="D47" s="57" t="s">
        <v>350</v>
      </c>
      <c r="E47" s="57" t="s">
        <v>351</v>
      </c>
      <c r="F47" s="57" t="s">
        <v>352</v>
      </c>
      <c r="G47" s="57" t="s">
        <v>353</v>
      </c>
      <c r="H47" s="56" t="str">
        <f t="shared" si="1"/>
        <v>WRONG</v>
      </c>
      <c r="I47" s="56" t="s">
        <v>51</v>
      </c>
      <c r="J47" s="58" t="s">
        <v>50</v>
      </c>
      <c r="K47" s="59" t="s">
        <v>354</v>
      </c>
      <c r="L47" s="60">
        <v>99046.0</v>
      </c>
      <c r="M47" s="61" t="s">
        <v>62</v>
      </c>
      <c r="N47" s="62"/>
    </row>
    <row r="48" ht="60.0" customHeight="1">
      <c r="A48" s="56">
        <v>42.0</v>
      </c>
      <c r="B48" s="57" t="s">
        <v>355</v>
      </c>
      <c r="C48" s="57" t="s">
        <v>356</v>
      </c>
      <c r="D48" s="57" t="s">
        <v>357</v>
      </c>
      <c r="E48" s="57" t="s">
        <v>358</v>
      </c>
      <c r="F48" s="57" t="s">
        <v>359</v>
      </c>
      <c r="G48" s="57" t="s">
        <v>360</v>
      </c>
      <c r="H48" s="56" t="str">
        <f t="shared" si="1"/>
        <v>CORRECT</v>
      </c>
      <c r="I48" s="56" t="s">
        <v>50</v>
      </c>
      <c r="J48" s="58" t="s">
        <v>50</v>
      </c>
      <c r="K48" s="59" t="s">
        <v>361</v>
      </c>
      <c r="L48" s="60">
        <v>45743.0</v>
      </c>
      <c r="M48" s="61" t="s">
        <v>62</v>
      </c>
      <c r="N48" s="57"/>
    </row>
    <row r="49" ht="60.0" customHeight="1">
      <c r="A49" s="56">
        <v>43.0</v>
      </c>
      <c r="B49" s="57" t="s">
        <v>362</v>
      </c>
      <c r="C49" s="57" t="s">
        <v>363</v>
      </c>
      <c r="D49" s="57" t="s">
        <v>364</v>
      </c>
      <c r="E49" s="57" t="s">
        <v>365</v>
      </c>
      <c r="F49" s="57" t="s">
        <v>366</v>
      </c>
      <c r="G49" s="57" t="s">
        <v>367</v>
      </c>
      <c r="H49" s="56" t="str">
        <f t="shared" si="1"/>
        <v>CORRECT</v>
      </c>
      <c r="I49" s="56" t="s">
        <v>60</v>
      </c>
      <c r="J49" s="58" t="s">
        <v>60</v>
      </c>
      <c r="K49" s="59" t="s">
        <v>368</v>
      </c>
      <c r="L49" s="60">
        <v>45505.0</v>
      </c>
      <c r="M49" s="61" t="s">
        <v>42</v>
      </c>
      <c r="N49" s="57" t="s">
        <v>369</v>
      </c>
    </row>
    <row r="50" ht="60.0" customHeight="1">
      <c r="A50" s="56">
        <v>44.0</v>
      </c>
      <c r="B50" s="57" t="s">
        <v>370</v>
      </c>
      <c r="C50" s="57" t="s">
        <v>371</v>
      </c>
      <c r="D50" s="57" t="s">
        <v>372</v>
      </c>
      <c r="E50" s="57" t="s">
        <v>373</v>
      </c>
      <c r="F50" s="57" t="s">
        <v>374</v>
      </c>
      <c r="G50" s="57" t="s">
        <v>375</v>
      </c>
      <c r="H50" s="56" t="str">
        <f t="shared" si="1"/>
        <v>CORRECT</v>
      </c>
      <c r="I50" s="56" t="s">
        <v>51</v>
      </c>
      <c r="J50" s="58" t="s">
        <v>51</v>
      </c>
      <c r="K50" s="59" t="s">
        <v>376</v>
      </c>
      <c r="L50" s="60">
        <v>35880.0</v>
      </c>
      <c r="M50" s="61" t="s">
        <v>42</v>
      </c>
      <c r="N50" s="57" t="s">
        <v>377</v>
      </c>
    </row>
    <row r="51" ht="60.0" customHeight="1">
      <c r="A51" s="56">
        <v>45.0</v>
      </c>
      <c r="B51" s="57" t="s">
        <v>378</v>
      </c>
      <c r="C51" s="57" t="s">
        <v>379</v>
      </c>
      <c r="D51" s="57" t="s">
        <v>380</v>
      </c>
      <c r="E51" s="57" t="s">
        <v>381</v>
      </c>
      <c r="F51" s="57" t="s">
        <v>382</v>
      </c>
      <c r="G51" s="57" t="s">
        <v>383</v>
      </c>
      <c r="H51" s="56" t="str">
        <f t="shared" si="1"/>
        <v>WRONG</v>
      </c>
      <c r="I51" s="56" t="s">
        <v>50</v>
      </c>
      <c r="J51" s="58" t="s">
        <v>60</v>
      </c>
      <c r="K51" s="59" t="s">
        <v>384</v>
      </c>
      <c r="L51" s="60">
        <v>47126.0</v>
      </c>
      <c r="M51" s="61" t="s">
        <v>42</v>
      </c>
      <c r="N51" s="57" t="s">
        <v>385</v>
      </c>
    </row>
    <row r="52" ht="60.0" customHeight="1">
      <c r="A52" s="56">
        <v>46.0</v>
      </c>
      <c r="B52" s="57" t="s">
        <v>386</v>
      </c>
      <c r="C52" s="57" t="s">
        <v>387</v>
      </c>
      <c r="D52" s="57" t="s">
        <v>388</v>
      </c>
      <c r="E52" s="57" t="s">
        <v>389</v>
      </c>
      <c r="F52" s="57" t="s">
        <v>390</v>
      </c>
      <c r="G52" s="57" t="s">
        <v>391</v>
      </c>
      <c r="H52" s="56" t="str">
        <f t="shared" si="1"/>
        <v>CORRECT</v>
      </c>
      <c r="I52" s="56" t="s">
        <v>60</v>
      </c>
      <c r="J52" s="58" t="s">
        <v>60</v>
      </c>
      <c r="K52" s="59" t="s">
        <v>392</v>
      </c>
      <c r="L52" s="60">
        <v>37428.0</v>
      </c>
      <c r="M52" s="61" t="s">
        <v>42</v>
      </c>
      <c r="N52" s="57" t="s">
        <v>393</v>
      </c>
    </row>
    <row r="53" ht="60.0" customHeight="1">
      <c r="A53" s="56">
        <v>47.0</v>
      </c>
      <c r="B53" s="57" t="s">
        <v>394</v>
      </c>
      <c r="C53" s="57" t="s">
        <v>395</v>
      </c>
      <c r="D53" s="57" t="s">
        <v>396</v>
      </c>
      <c r="E53" s="57" t="s">
        <v>397</v>
      </c>
      <c r="F53" s="57" t="s">
        <v>398</v>
      </c>
      <c r="G53" s="57" t="s">
        <v>399</v>
      </c>
      <c r="H53" s="56" t="str">
        <f t="shared" si="1"/>
        <v>CORRECT</v>
      </c>
      <c r="I53" s="56" t="s">
        <v>60</v>
      </c>
      <c r="J53" s="58" t="s">
        <v>60</v>
      </c>
      <c r="K53" s="59" t="s">
        <v>400</v>
      </c>
      <c r="L53" s="60">
        <v>26932.0</v>
      </c>
      <c r="M53" s="61" t="s">
        <v>62</v>
      </c>
      <c r="N53" s="57"/>
    </row>
    <row r="54" ht="60.0" customHeight="1">
      <c r="A54" s="56">
        <v>48.0</v>
      </c>
      <c r="B54" s="57" t="s">
        <v>401</v>
      </c>
      <c r="C54" s="57" t="s">
        <v>402</v>
      </c>
      <c r="D54" s="57" t="s">
        <v>403</v>
      </c>
      <c r="E54" s="57" t="s">
        <v>404</v>
      </c>
      <c r="F54" s="57" t="s">
        <v>405</v>
      </c>
      <c r="G54" s="57" t="s">
        <v>406</v>
      </c>
      <c r="H54" s="56" t="str">
        <f t="shared" si="1"/>
        <v>CORRECT</v>
      </c>
      <c r="I54" s="56" t="s">
        <v>60</v>
      </c>
      <c r="J54" s="58" t="s">
        <v>60</v>
      </c>
      <c r="K54" s="59" t="s">
        <v>407</v>
      </c>
      <c r="L54" s="60">
        <v>37090.0</v>
      </c>
      <c r="M54" s="61" t="s">
        <v>62</v>
      </c>
      <c r="N54" s="57"/>
    </row>
    <row r="55" ht="60.0" customHeight="1">
      <c r="A55" s="56">
        <v>49.0</v>
      </c>
      <c r="B55" s="57" t="s">
        <v>408</v>
      </c>
      <c r="C55" s="57" t="s">
        <v>409</v>
      </c>
      <c r="D55" s="57" t="s">
        <v>410</v>
      </c>
      <c r="E55" s="57" t="s">
        <v>411</v>
      </c>
      <c r="F55" s="57" t="s">
        <v>412</v>
      </c>
      <c r="G55" s="57" t="s">
        <v>413</v>
      </c>
      <c r="H55" s="56" t="str">
        <f t="shared" si="1"/>
        <v>CORRECT</v>
      </c>
      <c r="I55" s="56" t="s">
        <v>40</v>
      </c>
      <c r="J55" s="58" t="s">
        <v>40</v>
      </c>
      <c r="K55" s="59" t="s">
        <v>414</v>
      </c>
      <c r="L55" s="60">
        <v>30667.0</v>
      </c>
      <c r="M55" s="61" t="s">
        <v>62</v>
      </c>
      <c r="N55" s="57"/>
    </row>
    <row r="56" ht="60.0" customHeight="1">
      <c r="A56" s="56">
        <v>50.0</v>
      </c>
      <c r="B56" s="57" t="s">
        <v>415</v>
      </c>
      <c r="C56" s="57" t="s">
        <v>416</v>
      </c>
      <c r="D56" s="57" t="s">
        <v>417</v>
      </c>
      <c r="E56" s="57" t="s">
        <v>418</v>
      </c>
      <c r="F56" s="57" t="s">
        <v>419</v>
      </c>
      <c r="G56" s="57" t="s">
        <v>420</v>
      </c>
      <c r="H56" s="56" t="str">
        <f t="shared" si="1"/>
        <v>WRONG</v>
      </c>
      <c r="I56" s="56" t="s">
        <v>51</v>
      </c>
      <c r="J56" s="58" t="s">
        <v>60</v>
      </c>
      <c r="K56" s="59" t="s">
        <v>421</v>
      </c>
      <c r="L56" s="60">
        <v>28529.0</v>
      </c>
      <c r="M56" s="61" t="s">
        <v>42</v>
      </c>
      <c r="N56" s="57" t="s">
        <v>422</v>
      </c>
    </row>
    <row r="57" ht="60.0" customHeight="1">
      <c r="A57" s="56">
        <v>51.0</v>
      </c>
      <c r="B57" s="57" t="s">
        <v>423</v>
      </c>
      <c r="C57" s="57" t="s">
        <v>424</v>
      </c>
      <c r="D57" s="57" t="s">
        <v>425</v>
      </c>
      <c r="E57" s="57" t="s">
        <v>426</v>
      </c>
      <c r="F57" s="57" t="s">
        <v>427</v>
      </c>
      <c r="G57" s="57" t="s">
        <v>428</v>
      </c>
      <c r="H57" s="56" t="str">
        <f t="shared" si="1"/>
        <v>WRONG</v>
      </c>
      <c r="I57" s="56" t="s">
        <v>40</v>
      </c>
      <c r="J57" s="58" t="s">
        <v>50</v>
      </c>
      <c r="K57" s="59" t="s">
        <v>429</v>
      </c>
      <c r="L57" s="60">
        <v>42779.0</v>
      </c>
      <c r="M57" s="61" t="s">
        <v>62</v>
      </c>
      <c r="N57" s="57"/>
    </row>
    <row r="58" ht="60.0" customHeight="1">
      <c r="A58" s="56">
        <v>52.0</v>
      </c>
      <c r="B58" s="57" t="s">
        <v>430</v>
      </c>
      <c r="C58" s="57" t="s">
        <v>431</v>
      </c>
      <c r="D58" s="57" t="s">
        <v>432</v>
      </c>
      <c r="E58" s="57" t="s">
        <v>433</v>
      </c>
      <c r="F58" s="57" t="s">
        <v>434</v>
      </c>
      <c r="G58" s="57" t="s">
        <v>435</v>
      </c>
      <c r="H58" s="56" t="str">
        <f t="shared" si="1"/>
        <v>CORRECT</v>
      </c>
      <c r="I58" s="56" t="s">
        <v>60</v>
      </c>
      <c r="J58" s="58" t="s">
        <v>60</v>
      </c>
      <c r="K58" s="59" t="s">
        <v>436</v>
      </c>
      <c r="L58" s="60">
        <v>32663.0</v>
      </c>
      <c r="M58" s="61" t="s">
        <v>42</v>
      </c>
      <c r="N58" s="57" t="s">
        <v>437</v>
      </c>
    </row>
    <row r="59" ht="60.0" customHeight="1">
      <c r="A59" s="56">
        <v>53.0</v>
      </c>
      <c r="B59" s="57" t="s">
        <v>438</v>
      </c>
      <c r="C59" s="57" t="s">
        <v>439</v>
      </c>
      <c r="D59" s="57" t="s">
        <v>440</v>
      </c>
      <c r="E59" s="57" t="s">
        <v>441</v>
      </c>
      <c r="F59" s="57" t="s">
        <v>442</v>
      </c>
      <c r="G59" s="57" t="s">
        <v>443</v>
      </c>
      <c r="H59" s="56" t="str">
        <f t="shared" si="1"/>
        <v>WRONG</v>
      </c>
      <c r="I59" s="56" t="s">
        <v>77</v>
      </c>
      <c r="J59" s="58" t="s">
        <v>60</v>
      </c>
      <c r="K59" s="59" t="s">
        <v>444</v>
      </c>
      <c r="L59" s="60">
        <v>33254.0</v>
      </c>
      <c r="M59" s="61" t="s">
        <v>42</v>
      </c>
      <c r="N59" s="57" t="s">
        <v>445</v>
      </c>
    </row>
    <row r="60" ht="60.0" customHeight="1">
      <c r="A60" s="56">
        <v>54.0</v>
      </c>
      <c r="B60" s="57" t="s">
        <v>446</v>
      </c>
      <c r="C60" s="57" t="s">
        <v>447</v>
      </c>
      <c r="D60" s="57" t="s">
        <v>448</v>
      </c>
      <c r="E60" s="57" t="s">
        <v>449</v>
      </c>
      <c r="F60" s="57" t="s">
        <v>450</v>
      </c>
      <c r="G60" s="57" t="s">
        <v>451</v>
      </c>
      <c r="H60" s="56" t="str">
        <f t="shared" si="1"/>
        <v>WRONG</v>
      </c>
      <c r="I60" s="56" t="s">
        <v>77</v>
      </c>
      <c r="J60" s="58" t="s">
        <v>50</v>
      </c>
      <c r="K60" s="59" t="s">
        <v>452</v>
      </c>
      <c r="L60" s="60">
        <v>32613.0</v>
      </c>
      <c r="M60" s="61" t="s">
        <v>42</v>
      </c>
      <c r="N60" s="57" t="s">
        <v>453</v>
      </c>
    </row>
    <row r="61" ht="60.0" customHeight="1">
      <c r="A61" s="56">
        <v>55.0</v>
      </c>
      <c r="B61" s="57" t="s">
        <v>454</v>
      </c>
      <c r="C61" s="57" t="s">
        <v>455</v>
      </c>
      <c r="D61" s="57" t="s">
        <v>456</v>
      </c>
      <c r="E61" s="57" t="s">
        <v>457</v>
      </c>
      <c r="F61" s="57" t="s">
        <v>458</v>
      </c>
      <c r="G61" s="57" t="s">
        <v>459</v>
      </c>
      <c r="H61" s="56" t="str">
        <f t="shared" si="1"/>
        <v>WRONG</v>
      </c>
      <c r="I61" s="56" t="s">
        <v>50</v>
      </c>
      <c r="J61" s="58" t="s">
        <v>51</v>
      </c>
      <c r="K61" s="59" t="s">
        <v>460</v>
      </c>
      <c r="L61" s="60">
        <v>39097.0</v>
      </c>
      <c r="M61" s="61" t="s">
        <v>62</v>
      </c>
      <c r="N61" s="57"/>
    </row>
    <row r="62" ht="60.0" customHeight="1">
      <c r="A62" s="56">
        <v>56.0</v>
      </c>
      <c r="B62" s="57" t="s">
        <v>461</v>
      </c>
      <c r="C62" s="57" t="s">
        <v>462</v>
      </c>
      <c r="D62" s="57" t="s">
        <v>463</v>
      </c>
      <c r="E62" s="57" t="s">
        <v>464</v>
      </c>
      <c r="F62" s="57" t="s">
        <v>465</v>
      </c>
      <c r="G62" s="57" t="s">
        <v>466</v>
      </c>
      <c r="H62" s="56" t="str">
        <f t="shared" si="1"/>
        <v>WRONG</v>
      </c>
      <c r="I62" s="56" t="s">
        <v>50</v>
      </c>
      <c r="J62" s="58" t="s">
        <v>60</v>
      </c>
      <c r="K62" s="59" t="s">
        <v>467</v>
      </c>
      <c r="L62" s="60">
        <v>32590.0</v>
      </c>
      <c r="M62" s="61" t="s">
        <v>42</v>
      </c>
      <c r="N62" s="57" t="s">
        <v>468</v>
      </c>
    </row>
    <row r="63" ht="60.0" customHeight="1">
      <c r="A63" s="56">
        <v>57.0</v>
      </c>
      <c r="B63" s="57" t="s">
        <v>469</v>
      </c>
      <c r="C63" s="57" t="s">
        <v>470</v>
      </c>
      <c r="D63" s="57" t="s">
        <v>471</v>
      </c>
      <c r="E63" s="57" t="s">
        <v>472</v>
      </c>
      <c r="F63" s="57" t="s">
        <v>473</v>
      </c>
      <c r="G63" s="57" t="s">
        <v>474</v>
      </c>
      <c r="H63" s="56" t="str">
        <f t="shared" si="1"/>
        <v>CORRECT</v>
      </c>
      <c r="I63" s="56" t="s">
        <v>40</v>
      </c>
      <c r="J63" s="58" t="s">
        <v>40</v>
      </c>
      <c r="K63" s="59" t="s">
        <v>475</v>
      </c>
      <c r="L63" s="60">
        <v>38803.0</v>
      </c>
      <c r="M63" s="61" t="s">
        <v>62</v>
      </c>
      <c r="N63" s="57"/>
    </row>
    <row r="64" ht="60.0" customHeight="1">
      <c r="A64" s="56">
        <v>58.0</v>
      </c>
      <c r="B64" s="57" t="s">
        <v>476</v>
      </c>
      <c r="C64" s="57" t="s">
        <v>477</v>
      </c>
      <c r="D64" s="57" t="s">
        <v>478</v>
      </c>
      <c r="E64" s="57" t="s">
        <v>479</v>
      </c>
      <c r="F64" s="57" t="s">
        <v>480</v>
      </c>
      <c r="G64" s="57" t="s">
        <v>481</v>
      </c>
      <c r="H64" s="56" t="str">
        <f t="shared" si="1"/>
        <v>WRONG</v>
      </c>
      <c r="I64" s="56" t="s">
        <v>77</v>
      </c>
      <c r="J64" s="58" t="s">
        <v>40</v>
      </c>
      <c r="K64" s="59" t="s">
        <v>482</v>
      </c>
      <c r="L64" s="60">
        <v>32371.0</v>
      </c>
      <c r="M64" s="61" t="s">
        <v>42</v>
      </c>
      <c r="N64" s="57" t="s">
        <v>483</v>
      </c>
    </row>
    <row r="65" ht="60.0" customHeight="1">
      <c r="A65" s="56">
        <v>59.0</v>
      </c>
      <c r="B65" s="57" t="s">
        <v>484</v>
      </c>
      <c r="C65" s="57" t="s">
        <v>485</v>
      </c>
      <c r="D65" s="57" t="s">
        <v>486</v>
      </c>
      <c r="E65" s="57" t="s">
        <v>487</v>
      </c>
      <c r="F65" s="57" t="s">
        <v>488</v>
      </c>
      <c r="G65" s="57" t="s">
        <v>489</v>
      </c>
      <c r="H65" s="56" t="str">
        <f t="shared" si="1"/>
        <v>WRONG</v>
      </c>
      <c r="I65" s="56" t="s">
        <v>40</v>
      </c>
      <c r="J65" s="58" t="s">
        <v>51</v>
      </c>
      <c r="K65" s="59" t="s">
        <v>490</v>
      </c>
      <c r="L65" s="60">
        <v>32935.0</v>
      </c>
      <c r="M65" s="61" t="s">
        <v>42</v>
      </c>
      <c r="N65" s="57" t="s">
        <v>491</v>
      </c>
    </row>
    <row r="66" ht="60.0" customHeight="1">
      <c r="A66" s="56">
        <v>60.0</v>
      </c>
      <c r="B66" s="57" t="s">
        <v>492</v>
      </c>
      <c r="C66" s="57" t="s">
        <v>493</v>
      </c>
      <c r="D66" s="57" t="s">
        <v>494</v>
      </c>
      <c r="E66" s="57" t="s">
        <v>495</v>
      </c>
      <c r="F66" s="57" t="s">
        <v>496</v>
      </c>
      <c r="G66" s="57" t="s">
        <v>497</v>
      </c>
      <c r="H66" s="56" t="str">
        <f t="shared" si="1"/>
        <v>CORRECT</v>
      </c>
      <c r="I66" s="56" t="s">
        <v>60</v>
      </c>
      <c r="J66" s="58" t="s">
        <v>60</v>
      </c>
      <c r="K66" s="59" t="s">
        <v>498</v>
      </c>
      <c r="L66" s="60">
        <v>28220.0</v>
      </c>
      <c r="M66" s="61" t="s">
        <v>42</v>
      </c>
      <c r="N66" s="57" t="s">
        <v>499</v>
      </c>
    </row>
    <row r="67" ht="60.0" customHeight="1">
      <c r="A67" s="56">
        <v>61.0</v>
      </c>
      <c r="B67" s="57" t="s">
        <v>500</v>
      </c>
      <c r="C67" s="57" t="s">
        <v>501</v>
      </c>
      <c r="D67" s="57" t="s">
        <v>502</v>
      </c>
      <c r="E67" s="57" t="s">
        <v>503</v>
      </c>
      <c r="F67" s="57" t="s">
        <v>504</v>
      </c>
      <c r="G67" s="57" t="s">
        <v>505</v>
      </c>
      <c r="H67" s="56" t="str">
        <f t="shared" si="1"/>
        <v>WRONG</v>
      </c>
      <c r="I67" s="56" t="s">
        <v>77</v>
      </c>
      <c r="J67" s="58" t="s">
        <v>51</v>
      </c>
      <c r="K67" s="59" t="s">
        <v>506</v>
      </c>
      <c r="L67" s="60">
        <v>47675.0</v>
      </c>
      <c r="M67" s="61" t="s">
        <v>62</v>
      </c>
      <c r="N67" s="57"/>
    </row>
    <row r="68" ht="60.0" customHeight="1">
      <c r="A68" s="56">
        <v>62.0</v>
      </c>
      <c r="B68" s="57" t="s">
        <v>507</v>
      </c>
      <c r="C68" s="57" t="s">
        <v>508</v>
      </c>
      <c r="D68" s="57" t="s">
        <v>509</v>
      </c>
      <c r="E68" s="57" t="s">
        <v>510</v>
      </c>
      <c r="F68" s="57" t="s">
        <v>511</v>
      </c>
      <c r="G68" s="57" t="s">
        <v>512</v>
      </c>
      <c r="H68" s="56" t="str">
        <f t="shared" si="1"/>
        <v>CORRECT</v>
      </c>
      <c r="I68" s="56" t="s">
        <v>51</v>
      </c>
      <c r="J68" s="58" t="s">
        <v>51</v>
      </c>
      <c r="K68" s="59" t="s">
        <v>513</v>
      </c>
      <c r="L68" s="60">
        <v>26678.0</v>
      </c>
      <c r="M68" s="61" t="s">
        <v>62</v>
      </c>
      <c r="N68" s="57"/>
    </row>
    <row r="69" ht="60.0" customHeight="1">
      <c r="A69" s="56">
        <v>63.0</v>
      </c>
      <c r="B69" s="57" t="s">
        <v>514</v>
      </c>
      <c r="C69" s="57" t="s">
        <v>515</v>
      </c>
      <c r="D69" s="57" t="s">
        <v>516</v>
      </c>
      <c r="E69" s="57" t="s">
        <v>517</v>
      </c>
      <c r="F69" s="57" t="s">
        <v>518</v>
      </c>
      <c r="G69" s="57" t="s">
        <v>519</v>
      </c>
      <c r="H69" s="56" t="str">
        <f t="shared" si="1"/>
        <v>CORRECT</v>
      </c>
      <c r="I69" s="56" t="s">
        <v>60</v>
      </c>
      <c r="J69" s="58" t="s">
        <v>60</v>
      </c>
      <c r="K69" s="59" t="s">
        <v>520</v>
      </c>
      <c r="L69" s="60">
        <v>38696.0</v>
      </c>
      <c r="M69" s="61" t="s">
        <v>42</v>
      </c>
      <c r="N69" s="57" t="s">
        <v>521</v>
      </c>
    </row>
    <row r="70" ht="60.0" customHeight="1">
      <c r="A70" s="56">
        <v>64.0</v>
      </c>
      <c r="B70" s="57" t="s">
        <v>522</v>
      </c>
      <c r="C70" s="57" t="s">
        <v>523</v>
      </c>
      <c r="D70" s="57" t="s">
        <v>524</v>
      </c>
      <c r="E70" s="57" t="s">
        <v>525</v>
      </c>
      <c r="F70" s="57" t="s">
        <v>526</v>
      </c>
      <c r="G70" s="57" t="s">
        <v>527</v>
      </c>
      <c r="H70" s="56" t="str">
        <f t="shared" si="1"/>
        <v>WRONG</v>
      </c>
      <c r="I70" s="56" t="s">
        <v>50</v>
      </c>
      <c r="J70" s="58" t="s">
        <v>60</v>
      </c>
      <c r="K70" s="59" t="s">
        <v>528</v>
      </c>
      <c r="L70" s="60">
        <v>31969.0</v>
      </c>
      <c r="M70" s="61" t="s">
        <v>62</v>
      </c>
      <c r="N70" s="57"/>
    </row>
    <row r="71" ht="60.0" customHeight="1">
      <c r="A71" s="56">
        <v>65.0</v>
      </c>
      <c r="B71" s="57" t="s">
        <v>529</v>
      </c>
      <c r="C71" s="57" t="s">
        <v>530</v>
      </c>
      <c r="D71" s="57" t="s">
        <v>531</v>
      </c>
      <c r="E71" s="57" t="s">
        <v>532</v>
      </c>
      <c r="F71" s="57" t="s">
        <v>533</v>
      </c>
      <c r="G71" s="57" t="s">
        <v>534</v>
      </c>
      <c r="H71" s="56" t="str">
        <f t="shared" si="1"/>
        <v>CORRECT</v>
      </c>
      <c r="I71" s="56" t="s">
        <v>50</v>
      </c>
      <c r="J71" s="58" t="s">
        <v>50</v>
      </c>
      <c r="K71" s="59" t="s">
        <v>535</v>
      </c>
      <c r="L71" s="60">
        <v>40627.0</v>
      </c>
      <c r="M71" s="61" t="s">
        <v>62</v>
      </c>
      <c r="N71" s="57"/>
    </row>
    <row r="72" ht="60.0" customHeight="1">
      <c r="A72" s="56">
        <v>66.0</v>
      </c>
      <c r="B72" s="57" t="s">
        <v>536</v>
      </c>
      <c r="C72" s="57" t="s">
        <v>537</v>
      </c>
      <c r="D72" s="57" t="s">
        <v>538</v>
      </c>
      <c r="E72" s="57" t="s">
        <v>539</v>
      </c>
      <c r="F72" s="57" t="s">
        <v>540</v>
      </c>
      <c r="G72" s="57" t="s">
        <v>541</v>
      </c>
      <c r="H72" s="56" t="str">
        <f t="shared" si="1"/>
        <v>WRONG</v>
      </c>
      <c r="I72" s="56" t="s">
        <v>77</v>
      </c>
      <c r="J72" s="58" t="s">
        <v>50</v>
      </c>
      <c r="K72" s="59" t="s">
        <v>542</v>
      </c>
      <c r="L72" s="60">
        <v>30408.0</v>
      </c>
      <c r="M72" s="61" t="s">
        <v>42</v>
      </c>
      <c r="N72" s="57" t="s">
        <v>543</v>
      </c>
    </row>
    <row r="73" ht="60.0" customHeight="1">
      <c r="A73" s="56">
        <v>67.0</v>
      </c>
      <c r="B73" s="57" t="s">
        <v>544</v>
      </c>
      <c r="C73" s="57" t="s">
        <v>545</v>
      </c>
      <c r="D73" s="57" t="s">
        <v>546</v>
      </c>
      <c r="E73" s="57" t="s">
        <v>547</v>
      </c>
      <c r="F73" s="57" t="s">
        <v>548</v>
      </c>
      <c r="G73" s="57" t="s">
        <v>549</v>
      </c>
      <c r="H73" s="56" t="str">
        <f t="shared" si="1"/>
        <v>WRONG</v>
      </c>
      <c r="I73" s="56" t="s">
        <v>60</v>
      </c>
      <c r="J73" s="58" t="s">
        <v>77</v>
      </c>
      <c r="K73" s="59" t="s">
        <v>550</v>
      </c>
      <c r="L73" s="60">
        <v>37879.0</v>
      </c>
      <c r="M73" s="61" t="s">
        <v>42</v>
      </c>
      <c r="N73" s="57" t="s">
        <v>551</v>
      </c>
    </row>
    <row r="74" ht="60.0" customHeight="1">
      <c r="A74" s="56">
        <v>68.0</v>
      </c>
      <c r="B74" s="57" t="s">
        <v>552</v>
      </c>
      <c r="C74" s="57" t="s">
        <v>553</v>
      </c>
      <c r="D74" s="57" t="s">
        <v>554</v>
      </c>
      <c r="E74" s="57" t="s">
        <v>555</v>
      </c>
      <c r="F74" s="57" t="s">
        <v>556</v>
      </c>
      <c r="G74" s="57" t="s">
        <v>557</v>
      </c>
      <c r="H74" s="56" t="str">
        <f t="shared" si="1"/>
        <v>CORRECT</v>
      </c>
      <c r="I74" s="56" t="s">
        <v>77</v>
      </c>
      <c r="J74" s="58" t="s">
        <v>77</v>
      </c>
      <c r="K74" s="59" t="s">
        <v>558</v>
      </c>
      <c r="L74" s="60">
        <v>45221.0</v>
      </c>
      <c r="M74" s="61" t="s">
        <v>42</v>
      </c>
      <c r="N74" s="57" t="s">
        <v>559</v>
      </c>
    </row>
    <row r="75" ht="60.0" customHeight="1">
      <c r="A75" s="56">
        <v>69.0</v>
      </c>
      <c r="B75" s="57" t="s">
        <v>560</v>
      </c>
      <c r="C75" s="57" t="s">
        <v>561</v>
      </c>
      <c r="D75" s="57" t="s">
        <v>562</v>
      </c>
      <c r="E75" s="57" t="s">
        <v>563</v>
      </c>
      <c r="F75" s="57" t="s">
        <v>564</v>
      </c>
      <c r="G75" s="57" t="s">
        <v>565</v>
      </c>
      <c r="H75" s="56" t="str">
        <f t="shared" si="1"/>
        <v>WRONG</v>
      </c>
      <c r="I75" s="56" t="s">
        <v>77</v>
      </c>
      <c r="J75" s="58" t="s">
        <v>50</v>
      </c>
      <c r="K75" s="59" t="s">
        <v>566</v>
      </c>
      <c r="L75" s="60">
        <v>31986.0</v>
      </c>
      <c r="M75" s="61" t="s">
        <v>42</v>
      </c>
      <c r="N75" s="57" t="s">
        <v>567</v>
      </c>
    </row>
    <row r="76" ht="60.0" customHeight="1">
      <c r="A76" s="56">
        <v>70.0</v>
      </c>
      <c r="B76" s="57" t="s">
        <v>568</v>
      </c>
      <c r="C76" s="57" t="s">
        <v>569</v>
      </c>
      <c r="D76" s="57" t="s">
        <v>570</v>
      </c>
      <c r="E76" s="57" t="s">
        <v>571</v>
      </c>
      <c r="F76" s="57" t="s">
        <v>572</v>
      </c>
      <c r="G76" s="57" t="s">
        <v>573</v>
      </c>
      <c r="H76" s="56" t="str">
        <f t="shared" si="1"/>
        <v>WRONG</v>
      </c>
      <c r="I76" s="56" t="s">
        <v>50</v>
      </c>
      <c r="J76" s="58" t="s">
        <v>51</v>
      </c>
      <c r="K76" s="59" t="s">
        <v>574</v>
      </c>
      <c r="L76" s="60">
        <v>46888.0</v>
      </c>
      <c r="M76" s="61" t="s">
        <v>62</v>
      </c>
      <c r="N76" s="57"/>
    </row>
    <row r="77" ht="60.0" customHeight="1">
      <c r="A77" s="56">
        <v>71.0</v>
      </c>
      <c r="B77" s="57" t="s">
        <v>575</v>
      </c>
      <c r="C77" s="57" t="s">
        <v>576</v>
      </c>
      <c r="D77" s="57" t="s">
        <v>577</v>
      </c>
      <c r="E77" s="57" t="s">
        <v>578</v>
      </c>
      <c r="F77" s="57" t="s">
        <v>579</v>
      </c>
      <c r="G77" s="57" t="s">
        <v>580</v>
      </c>
      <c r="H77" s="56" t="str">
        <f t="shared" si="1"/>
        <v>CORRECT</v>
      </c>
      <c r="I77" s="56" t="s">
        <v>40</v>
      </c>
      <c r="J77" s="58" t="s">
        <v>40</v>
      </c>
      <c r="K77" s="59" t="s">
        <v>581</v>
      </c>
      <c r="L77" s="60">
        <v>27337.0</v>
      </c>
      <c r="M77" s="61" t="s">
        <v>42</v>
      </c>
      <c r="N77" s="57" t="s">
        <v>582</v>
      </c>
    </row>
    <row r="78" ht="60.0" customHeight="1">
      <c r="A78" s="56">
        <v>72.0</v>
      </c>
      <c r="B78" s="57" t="s">
        <v>583</v>
      </c>
      <c r="C78" s="57" t="s">
        <v>584</v>
      </c>
      <c r="D78" s="57" t="s">
        <v>585</v>
      </c>
      <c r="E78" s="57" t="s">
        <v>586</v>
      </c>
      <c r="F78" s="57" t="s">
        <v>587</v>
      </c>
      <c r="G78" s="57" t="s">
        <v>588</v>
      </c>
      <c r="H78" s="56" t="str">
        <f t="shared" si="1"/>
        <v>WRONG</v>
      </c>
      <c r="I78" s="56" t="s">
        <v>50</v>
      </c>
      <c r="J78" s="58" t="s">
        <v>40</v>
      </c>
      <c r="K78" s="59" t="s">
        <v>589</v>
      </c>
      <c r="L78" s="60">
        <v>47874.0</v>
      </c>
      <c r="M78" s="61" t="s">
        <v>42</v>
      </c>
      <c r="N78" s="57" t="s">
        <v>590</v>
      </c>
    </row>
    <row r="79" ht="60.0" customHeight="1">
      <c r="A79" s="56">
        <v>73.0</v>
      </c>
      <c r="B79" s="57" t="s">
        <v>591</v>
      </c>
      <c r="C79" s="57" t="s">
        <v>592</v>
      </c>
      <c r="D79" s="57" t="s">
        <v>593</v>
      </c>
      <c r="E79" s="57" t="s">
        <v>594</v>
      </c>
      <c r="F79" s="57" t="s">
        <v>595</v>
      </c>
      <c r="G79" s="57" t="s">
        <v>596</v>
      </c>
      <c r="H79" s="56" t="str">
        <f t="shared" si="1"/>
        <v>WRONG</v>
      </c>
      <c r="I79" s="56" t="s">
        <v>77</v>
      </c>
      <c r="J79" s="58" t="s">
        <v>60</v>
      </c>
      <c r="K79" s="59" t="s">
        <v>597</v>
      </c>
      <c r="L79" s="60">
        <v>29470.0</v>
      </c>
      <c r="M79" s="61" t="s">
        <v>62</v>
      </c>
      <c r="N79" s="57"/>
    </row>
    <row r="80" ht="60.0" customHeight="1">
      <c r="A80" s="56">
        <v>74.0</v>
      </c>
      <c r="B80" s="57" t="s">
        <v>598</v>
      </c>
      <c r="C80" s="57" t="s">
        <v>599</v>
      </c>
      <c r="D80" s="57" t="s">
        <v>600</v>
      </c>
      <c r="E80" s="57" t="s">
        <v>601</v>
      </c>
      <c r="F80" s="57" t="s">
        <v>602</v>
      </c>
      <c r="G80" s="57" t="s">
        <v>603</v>
      </c>
      <c r="H80" s="56" t="str">
        <f t="shared" si="1"/>
        <v>CORRECT</v>
      </c>
      <c r="I80" s="56" t="s">
        <v>60</v>
      </c>
      <c r="J80" s="58" t="s">
        <v>60</v>
      </c>
      <c r="K80" s="59" t="s">
        <v>604</v>
      </c>
      <c r="L80" s="60">
        <v>36661.0</v>
      </c>
      <c r="M80" s="61" t="s">
        <v>42</v>
      </c>
      <c r="N80" s="57" t="s">
        <v>605</v>
      </c>
    </row>
    <row r="81" ht="60.0" customHeight="1">
      <c r="A81" s="56">
        <v>75.0</v>
      </c>
      <c r="B81" s="57" t="s">
        <v>606</v>
      </c>
      <c r="C81" s="57" t="s">
        <v>607</v>
      </c>
      <c r="D81" s="57" t="s">
        <v>608</v>
      </c>
      <c r="E81" s="57" t="s">
        <v>609</v>
      </c>
      <c r="F81" s="57" t="s">
        <v>610</v>
      </c>
      <c r="G81" s="57" t="s">
        <v>611</v>
      </c>
      <c r="H81" s="56" t="str">
        <f t="shared" si="1"/>
        <v>CORRECT</v>
      </c>
      <c r="I81" s="56" t="s">
        <v>77</v>
      </c>
      <c r="J81" s="58" t="s">
        <v>77</v>
      </c>
      <c r="K81" s="59" t="s">
        <v>612</v>
      </c>
      <c r="L81" s="60">
        <v>32575.0</v>
      </c>
      <c r="M81" s="61" t="s">
        <v>62</v>
      </c>
      <c r="N81" s="57"/>
    </row>
    <row r="82" ht="60.0" customHeight="1">
      <c r="A82" s="56">
        <v>76.0</v>
      </c>
      <c r="B82" s="57" t="s">
        <v>613</v>
      </c>
      <c r="C82" s="57" t="s">
        <v>614</v>
      </c>
      <c r="D82" s="57" t="s">
        <v>615</v>
      </c>
      <c r="E82" s="57" t="s">
        <v>616</v>
      </c>
      <c r="F82" s="57" t="s">
        <v>617</v>
      </c>
      <c r="G82" s="57" t="s">
        <v>618</v>
      </c>
      <c r="H82" s="56" t="str">
        <f t="shared" si="1"/>
        <v>WRONG</v>
      </c>
      <c r="I82" s="56" t="s">
        <v>77</v>
      </c>
      <c r="J82" s="58" t="s">
        <v>60</v>
      </c>
      <c r="K82" s="59" t="s">
        <v>619</v>
      </c>
      <c r="L82" s="60">
        <v>38195.0</v>
      </c>
      <c r="M82" s="61" t="s">
        <v>42</v>
      </c>
      <c r="N82" s="57" t="s">
        <v>620</v>
      </c>
    </row>
    <row r="83" ht="60.0" customHeight="1">
      <c r="A83" s="56">
        <v>77.0</v>
      </c>
      <c r="B83" s="57" t="s">
        <v>621</v>
      </c>
      <c r="C83" s="57" t="s">
        <v>622</v>
      </c>
      <c r="D83" s="57" t="s">
        <v>623</v>
      </c>
      <c r="E83" s="57" t="s">
        <v>624</v>
      </c>
      <c r="F83" s="57" t="s">
        <v>625</v>
      </c>
      <c r="G83" s="57" t="s">
        <v>626</v>
      </c>
      <c r="H83" s="56" t="str">
        <f t="shared" si="1"/>
        <v>CORRECT</v>
      </c>
      <c r="I83" s="56" t="s">
        <v>40</v>
      </c>
      <c r="J83" s="58" t="s">
        <v>40</v>
      </c>
      <c r="K83" s="59" t="s">
        <v>627</v>
      </c>
      <c r="L83" s="60">
        <v>30966.0</v>
      </c>
      <c r="M83" s="61" t="s">
        <v>42</v>
      </c>
      <c r="N83" s="57" t="s">
        <v>628</v>
      </c>
    </row>
    <row r="84" ht="60.0" customHeight="1">
      <c r="A84" s="56">
        <v>78.0</v>
      </c>
      <c r="B84" s="57" t="s">
        <v>629</v>
      </c>
      <c r="C84" s="57" t="s">
        <v>630</v>
      </c>
      <c r="D84" s="57" t="s">
        <v>631</v>
      </c>
      <c r="E84" s="57" t="s">
        <v>632</v>
      </c>
      <c r="F84" s="57" t="s">
        <v>633</v>
      </c>
      <c r="G84" s="57" t="s">
        <v>634</v>
      </c>
      <c r="H84" s="56" t="str">
        <f t="shared" si="1"/>
        <v>WRONG</v>
      </c>
      <c r="I84" s="56" t="s">
        <v>40</v>
      </c>
      <c r="J84" s="58" t="s">
        <v>60</v>
      </c>
      <c r="K84" s="59" t="s">
        <v>635</v>
      </c>
      <c r="L84" s="60">
        <v>35436.0</v>
      </c>
      <c r="M84" s="61" t="s">
        <v>42</v>
      </c>
      <c r="N84" s="57" t="s">
        <v>636</v>
      </c>
    </row>
    <row r="85" ht="60.0" customHeight="1">
      <c r="A85" s="56">
        <v>79.0</v>
      </c>
      <c r="B85" s="57" t="s">
        <v>637</v>
      </c>
      <c r="C85" s="57" t="s">
        <v>638</v>
      </c>
      <c r="D85" s="57" t="s">
        <v>639</v>
      </c>
      <c r="E85" s="57" t="s">
        <v>640</v>
      </c>
      <c r="F85" s="57" t="s">
        <v>641</v>
      </c>
      <c r="G85" s="57" t="s">
        <v>642</v>
      </c>
      <c r="H85" s="56" t="str">
        <f t="shared" si="1"/>
        <v>CORRECT</v>
      </c>
      <c r="I85" s="56" t="s">
        <v>50</v>
      </c>
      <c r="J85" s="58" t="s">
        <v>50</v>
      </c>
      <c r="K85" s="59" t="s">
        <v>643</v>
      </c>
      <c r="L85" s="60">
        <v>33621.0</v>
      </c>
      <c r="M85" s="61" t="s">
        <v>42</v>
      </c>
      <c r="N85" s="57" t="s">
        <v>644</v>
      </c>
    </row>
    <row r="86" ht="60.0" customHeight="1">
      <c r="A86" s="56">
        <v>80.0</v>
      </c>
      <c r="B86" s="57" t="s">
        <v>645</v>
      </c>
      <c r="C86" s="57" t="s">
        <v>646</v>
      </c>
      <c r="D86" s="57" t="s">
        <v>647</v>
      </c>
      <c r="E86" s="57" t="s">
        <v>648</v>
      </c>
      <c r="F86" s="57" t="s">
        <v>649</v>
      </c>
      <c r="G86" s="57" t="s">
        <v>650</v>
      </c>
      <c r="H86" s="56" t="str">
        <f t="shared" si="1"/>
        <v>WRONG</v>
      </c>
      <c r="I86" s="56" t="s">
        <v>60</v>
      </c>
      <c r="J86" s="58" t="s">
        <v>50</v>
      </c>
      <c r="K86" s="59" t="s">
        <v>651</v>
      </c>
      <c r="L86" s="60">
        <v>33803.0</v>
      </c>
      <c r="M86" s="61" t="s">
        <v>42</v>
      </c>
      <c r="N86" s="57" t="s">
        <v>652</v>
      </c>
    </row>
    <row r="87" ht="60.0" customHeight="1">
      <c r="A87" s="56">
        <v>81.0</v>
      </c>
      <c r="B87" s="57" t="s">
        <v>653</v>
      </c>
      <c r="C87" s="57" t="s">
        <v>654</v>
      </c>
      <c r="D87" s="57" t="s">
        <v>655</v>
      </c>
      <c r="E87" s="57" t="s">
        <v>656</v>
      </c>
      <c r="F87" s="57" t="s">
        <v>657</v>
      </c>
      <c r="G87" s="57" t="s">
        <v>658</v>
      </c>
      <c r="H87" s="56" t="str">
        <f t="shared" si="1"/>
        <v>CORRECT</v>
      </c>
      <c r="I87" s="56" t="s">
        <v>60</v>
      </c>
      <c r="J87" s="58" t="s">
        <v>60</v>
      </c>
      <c r="K87" s="59" t="s">
        <v>659</v>
      </c>
      <c r="L87" s="60">
        <v>31670.0</v>
      </c>
      <c r="M87" s="61" t="s">
        <v>42</v>
      </c>
      <c r="N87" s="57" t="s">
        <v>660</v>
      </c>
    </row>
    <row r="88" ht="60.0" customHeight="1">
      <c r="A88" s="56">
        <v>82.0</v>
      </c>
      <c r="B88" s="57" t="s">
        <v>661</v>
      </c>
      <c r="C88" s="57" t="s">
        <v>662</v>
      </c>
      <c r="D88" s="57" t="s">
        <v>663</v>
      </c>
      <c r="E88" s="57" t="s">
        <v>664</v>
      </c>
      <c r="F88" s="57" t="s">
        <v>665</v>
      </c>
      <c r="G88" s="57" t="s">
        <v>666</v>
      </c>
      <c r="H88" s="56" t="str">
        <f t="shared" si="1"/>
        <v>CORRECT</v>
      </c>
      <c r="I88" s="56" t="s">
        <v>60</v>
      </c>
      <c r="J88" s="58" t="s">
        <v>60</v>
      </c>
      <c r="K88" s="59" t="s">
        <v>667</v>
      </c>
      <c r="L88" s="60">
        <v>27349.0</v>
      </c>
      <c r="M88" s="61" t="s">
        <v>62</v>
      </c>
      <c r="N88" s="57"/>
    </row>
    <row r="89" ht="60.0" customHeight="1">
      <c r="A89" s="56">
        <v>83.0</v>
      </c>
      <c r="B89" s="57" t="s">
        <v>668</v>
      </c>
      <c r="C89" s="57" t="s">
        <v>669</v>
      </c>
      <c r="D89" s="57" t="s">
        <v>670</v>
      </c>
      <c r="E89" s="57" t="s">
        <v>671</v>
      </c>
      <c r="F89" s="57" t="s">
        <v>672</v>
      </c>
      <c r="G89" s="57" t="s">
        <v>673</v>
      </c>
      <c r="H89" s="56" t="str">
        <f t="shared" si="1"/>
        <v>WRONG</v>
      </c>
      <c r="I89" s="56" t="s">
        <v>50</v>
      </c>
      <c r="J89" s="58" t="s">
        <v>60</v>
      </c>
      <c r="K89" s="59" t="s">
        <v>674</v>
      </c>
      <c r="L89" s="60">
        <v>32611.0</v>
      </c>
      <c r="M89" s="61" t="s">
        <v>42</v>
      </c>
      <c r="N89" s="57" t="s">
        <v>675</v>
      </c>
    </row>
    <row r="90" ht="60.0" customHeight="1">
      <c r="A90" s="56">
        <v>84.0</v>
      </c>
      <c r="B90" s="57" t="s">
        <v>676</v>
      </c>
      <c r="C90" s="57" t="s">
        <v>677</v>
      </c>
      <c r="D90" s="57" t="s">
        <v>678</v>
      </c>
      <c r="E90" s="57" t="s">
        <v>679</v>
      </c>
      <c r="F90" s="57" t="s">
        <v>680</v>
      </c>
      <c r="G90" s="57" t="s">
        <v>681</v>
      </c>
      <c r="H90" s="56" t="str">
        <f t="shared" si="1"/>
        <v>CORRECT</v>
      </c>
      <c r="I90" s="56" t="s">
        <v>50</v>
      </c>
      <c r="J90" s="56" t="s">
        <v>50</v>
      </c>
      <c r="K90" s="57" t="s">
        <v>682</v>
      </c>
      <c r="L90" s="63">
        <v>44747.0</v>
      </c>
      <c r="M90" s="61" t="s">
        <v>42</v>
      </c>
      <c r="N90" s="57" t="s">
        <v>683</v>
      </c>
    </row>
    <row r="91" ht="60.0" customHeight="1">
      <c r="A91" s="56">
        <v>85.0</v>
      </c>
      <c r="B91" s="57" t="s">
        <v>684</v>
      </c>
      <c r="C91" s="57" t="s">
        <v>685</v>
      </c>
      <c r="D91" s="57" t="s">
        <v>686</v>
      </c>
      <c r="E91" s="57" t="s">
        <v>687</v>
      </c>
      <c r="F91" s="57" t="s">
        <v>688</v>
      </c>
      <c r="G91" s="57" t="s">
        <v>689</v>
      </c>
      <c r="H91" s="56" t="str">
        <f t="shared" si="1"/>
        <v>CORRECT</v>
      </c>
      <c r="I91" s="56" t="s">
        <v>51</v>
      </c>
      <c r="J91" s="56" t="s">
        <v>51</v>
      </c>
      <c r="K91" s="57" t="s">
        <v>690</v>
      </c>
      <c r="L91" s="63">
        <v>30997.0</v>
      </c>
      <c r="M91" s="61" t="s">
        <v>42</v>
      </c>
      <c r="N91" s="57" t="s">
        <v>691</v>
      </c>
    </row>
    <row r="92" ht="60.0" customHeight="1">
      <c r="A92" s="56">
        <v>86.0</v>
      </c>
      <c r="B92" s="57" t="s">
        <v>692</v>
      </c>
      <c r="C92" s="57" t="s">
        <v>693</v>
      </c>
      <c r="D92" s="57" t="s">
        <v>694</v>
      </c>
      <c r="E92" s="57" t="s">
        <v>695</v>
      </c>
      <c r="F92" s="57" t="s">
        <v>696</v>
      </c>
      <c r="G92" s="57" t="s">
        <v>697</v>
      </c>
      <c r="H92" s="56" t="str">
        <f t="shared" si="1"/>
        <v>CORRECT</v>
      </c>
      <c r="I92" s="56" t="s">
        <v>60</v>
      </c>
      <c r="J92" s="56" t="s">
        <v>60</v>
      </c>
      <c r="K92" s="57" t="s">
        <v>698</v>
      </c>
      <c r="L92" s="63">
        <v>27304.0</v>
      </c>
      <c r="M92" s="61" t="s">
        <v>42</v>
      </c>
      <c r="N92" s="57" t="s">
        <v>699</v>
      </c>
    </row>
    <row r="93" ht="60.0" customHeight="1">
      <c r="A93" s="56">
        <v>87.0</v>
      </c>
      <c r="B93" s="57" t="s">
        <v>700</v>
      </c>
      <c r="C93" s="57" t="s">
        <v>701</v>
      </c>
      <c r="D93" s="57" t="s">
        <v>702</v>
      </c>
      <c r="E93" s="57" t="s">
        <v>703</v>
      </c>
      <c r="F93" s="57" t="s">
        <v>704</v>
      </c>
      <c r="G93" s="57" t="s">
        <v>705</v>
      </c>
      <c r="H93" s="56" t="str">
        <f t="shared" si="1"/>
        <v>WRONG</v>
      </c>
      <c r="I93" s="56" t="s">
        <v>77</v>
      </c>
      <c r="J93" s="56" t="s">
        <v>50</v>
      </c>
      <c r="K93" s="57" t="s">
        <v>706</v>
      </c>
      <c r="L93" s="63">
        <v>33935.0</v>
      </c>
      <c r="M93" s="61" t="s">
        <v>42</v>
      </c>
      <c r="N93" s="57" t="s">
        <v>707</v>
      </c>
    </row>
    <row r="94" ht="60.0" customHeight="1">
      <c r="A94" s="56">
        <v>88.0</v>
      </c>
      <c r="B94" s="57" t="s">
        <v>708</v>
      </c>
      <c r="C94" s="57" t="s">
        <v>709</v>
      </c>
      <c r="D94" s="57" t="s">
        <v>710</v>
      </c>
      <c r="E94" s="57" t="s">
        <v>711</v>
      </c>
      <c r="F94" s="57" t="s">
        <v>712</v>
      </c>
      <c r="G94" s="57" t="s">
        <v>713</v>
      </c>
      <c r="H94" s="56" t="str">
        <f t="shared" si="1"/>
        <v>CORRECT</v>
      </c>
      <c r="I94" s="56" t="s">
        <v>60</v>
      </c>
      <c r="J94" s="56" t="s">
        <v>60</v>
      </c>
      <c r="K94" s="57" t="s">
        <v>714</v>
      </c>
      <c r="L94" s="63">
        <v>41621.0</v>
      </c>
      <c r="M94" s="61" t="s">
        <v>42</v>
      </c>
      <c r="N94" s="57" t="s">
        <v>715</v>
      </c>
    </row>
    <row r="95" ht="60.0" customHeight="1">
      <c r="A95" s="56">
        <v>89.0</v>
      </c>
      <c r="B95" s="57" t="s">
        <v>716</v>
      </c>
      <c r="C95" s="57" t="s">
        <v>717</v>
      </c>
      <c r="D95" s="57" t="s">
        <v>718</v>
      </c>
      <c r="E95" s="57" t="s">
        <v>719</v>
      </c>
      <c r="F95" s="57" t="s">
        <v>720</v>
      </c>
      <c r="G95" s="57" t="s">
        <v>721</v>
      </c>
      <c r="H95" s="56" t="str">
        <f t="shared" si="1"/>
        <v>CORRECT</v>
      </c>
      <c r="I95" s="56" t="s">
        <v>77</v>
      </c>
      <c r="J95" s="56" t="s">
        <v>77</v>
      </c>
      <c r="K95" s="57" t="s">
        <v>722</v>
      </c>
      <c r="L95" s="63">
        <v>29234.0</v>
      </c>
      <c r="M95" s="61" t="s">
        <v>62</v>
      </c>
      <c r="N95" s="57"/>
    </row>
    <row r="96" ht="60.0" customHeight="1">
      <c r="A96" s="56">
        <v>90.0</v>
      </c>
      <c r="B96" s="57" t="s">
        <v>723</v>
      </c>
      <c r="C96" s="57" t="s">
        <v>724</v>
      </c>
      <c r="D96" s="57" t="s">
        <v>725</v>
      </c>
      <c r="E96" s="57" t="s">
        <v>726</v>
      </c>
      <c r="F96" s="57" t="s">
        <v>727</v>
      </c>
      <c r="G96" s="57" t="s">
        <v>728</v>
      </c>
      <c r="H96" s="56" t="str">
        <f t="shared" si="1"/>
        <v>CORRECT</v>
      </c>
      <c r="I96" s="56" t="s">
        <v>40</v>
      </c>
      <c r="J96" s="56" t="s">
        <v>40</v>
      </c>
      <c r="K96" s="57" t="s">
        <v>729</v>
      </c>
      <c r="L96" s="63">
        <v>31383.0</v>
      </c>
      <c r="M96" s="61" t="s">
        <v>62</v>
      </c>
      <c r="N96" s="57"/>
    </row>
    <row r="97" ht="60.0" customHeight="1">
      <c r="A97" s="56">
        <v>91.0</v>
      </c>
      <c r="B97" s="57" t="s">
        <v>730</v>
      </c>
      <c r="C97" s="57" t="s">
        <v>731</v>
      </c>
      <c r="D97" s="57" t="s">
        <v>732</v>
      </c>
      <c r="E97" s="57" t="s">
        <v>733</v>
      </c>
      <c r="F97" s="57" t="s">
        <v>734</v>
      </c>
      <c r="G97" s="57" t="s">
        <v>735</v>
      </c>
      <c r="H97" s="56" t="str">
        <f t="shared" si="1"/>
        <v>WRONG</v>
      </c>
      <c r="I97" s="56" t="s">
        <v>50</v>
      </c>
      <c r="J97" s="56" t="s">
        <v>60</v>
      </c>
      <c r="K97" s="57" t="s">
        <v>736</v>
      </c>
      <c r="L97" s="63">
        <v>38773.0</v>
      </c>
      <c r="M97" s="61" t="s">
        <v>42</v>
      </c>
      <c r="N97" s="57" t="s">
        <v>737</v>
      </c>
    </row>
    <row r="98" ht="60.0" customHeight="1">
      <c r="A98" s="56">
        <v>92.0</v>
      </c>
      <c r="B98" s="57" t="s">
        <v>738</v>
      </c>
      <c r="C98" s="57" t="s">
        <v>739</v>
      </c>
      <c r="D98" s="57" t="s">
        <v>740</v>
      </c>
      <c r="E98" s="57" t="s">
        <v>741</v>
      </c>
      <c r="F98" s="57" t="s">
        <v>742</v>
      </c>
      <c r="G98" s="57" t="s">
        <v>743</v>
      </c>
      <c r="H98" s="56" t="str">
        <f t="shared" si="1"/>
        <v>WRONG</v>
      </c>
      <c r="I98" s="56" t="s">
        <v>60</v>
      </c>
      <c r="J98" s="56" t="s">
        <v>50</v>
      </c>
      <c r="K98" s="57" t="s">
        <v>744</v>
      </c>
      <c r="L98" s="63">
        <v>58007.0</v>
      </c>
      <c r="M98" s="61" t="s">
        <v>42</v>
      </c>
      <c r="N98" s="57" t="s">
        <v>745</v>
      </c>
    </row>
    <row r="99" ht="60.0" customHeight="1">
      <c r="A99" s="56">
        <v>93.0</v>
      </c>
      <c r="B99" s="57" t="s">
        <v>746</v>
      </c>
      <c r="C99" s="57" t="s">
        <v>747</v>
      </c>
      <c r="D99" s="57" t="s">
        <v>748</v>
      </c>
      <c r="E99" s="57" t="s">
        <v>749</v>
      </c>
      <c r="F99" s="57" t="s">
        <v>750</v>
      </c>
      <c r="G99" s="57" t="s">
        <v>751</v>
      </c>
      <c r="H99" s="56" t="str">
        <f t="shared" si="1"/>
        <v>CORRECT</v>
      </c>
      <c r="I99" s="56" t="s">
        <v>50</v>
      </c>
      <c r="J99" s="56" t="s">
        <v>50</v>
      </c>
      <c r="K99" s="57" t="s">
        <v>752</v>
      </c>
      <c r="L99" s="63">
        <v>41136.0</v>
      </c>
      <c r="M99" s="61" t="s">
        <v>62</v>
      </c>
      <c r="N99" s="57"/>
    </row>
    <row r="100" ht="60.0" customHeight="1">
      <c r="A100" s="56">
        <v>94.0</v>
      </c>
      <c r="B100" s="57" t="s">
        <v>753</v>
      </c>
      <c r="C100" s="57" t="s">
        <v>754</v>
      </c>
      <c r="D100" s="57" t="s">
        <v>755</v>
      </c>
      <c r="E100" s="57" t="s">
        <v>756</v>
      </c>
      <c r="F100" s="57" t="s">
        <v>757</v>
      </c>
      <c r="G100" s="57" t="s">
        <v>758</v>
      </c>
      <c r="H100" s="56" t="str">
        <f t="shared" si="1"/>
        <v>CORRECT</v>
      </c>
      <c r="I100" s="56" t="s">
        <v>60</v>
      </c>
      <c r="J100" s="56" t="s">
        <v>60</v>
      </c>
      <c r="K100" s="57" t="s">
        <v>759</v>
      </c>
      <c r="L100" s="63">
        <v>34106.0</v>
      </c>
      <c r="M100" s="61" t="s">
        <v>42</v>
      </c>
      <c r="N100" s="57" t="s">
        <v>760</v>
      </c>
    </row>
    <row r="101" ht="60.0" customHeight="1">
      <c r="A101" s="56">
        <v>95.0</v>
      </c>
      <c r="B101" s="57" t="s">
        <v>761</v>
      </c>
      <c r="C101" s="57" t="s">
        <v>762</v>
      </c>
      <c r="D101" s="57" t="s">
        <v>763</v>
      </c>
      <c r="E101" s="57" t="s">
        <v>764</v>
      </c>
      <c r="F101" s="57" t="s">
        <v>765</v>
      </c>
      <c r="G101" s="57" t="s">
        <v>766</v>
      </c>
      <c r="H101" s="56" t="str">
        <f t="shared" si="1"/>
        <v>CORRECT</v>
      </c>
      <c r="I101" s="56" t="s">
        <v>77</v>
      </c>
      <c r="J101" s="56" t="s">
        <v>77</v>
      </c>
      <c r="K101" s="57" t="s">
        <v>767</v>
      </c>
      <c r="L101" s="63">
        <v>38928.0</v>
      </c>
      <c r="M101" s="61" t="s">
        <v>42</v>
      </c>
      <c r="N101" s="57" t="s">
        <v>768</v>
      </c>
    </row>
    <row r="102" ht="60.0" customHeight="1">
      <c r="A102" s="56">
        <v>96.0</v>
      </c>
      <c r="B102" s="57" t="s">
        <v>769</v>
      </c>
      <c r="C102" s="57" t="s">
        <v>770</v>
      </c>
      <c r="D102" s="57" t="s">
        <v>771</v>
      </c>
      <c r="E102" s="57" t="s">
        <v>772</v>
      </c>
      <c r="F102" s="57" t="s">
        <v>773</v>
      </c>
      <c r="G102" s="57" t="s">
        <v>774</v>
      </c>
      <c r="H102" s="56" t="str">
        <f t="shared" si="1"/>
        <v>WRONG</v>
      </c>
      <c r="I102" s="56" t="s">
        <v>51</v>
      </c>
      <c r="J102" s="56" t="s">
        <v>40</v>
      </c>
      <c r="K102" s="57" t="s">
        <v>775</v>
      </c>
      <c r="L102" s="63">
        <v>29542.0</v>
      </c>
      <c r="M102" s="61" t="s">
        <v>42</v>
      </c>
      <c r="N102" s="57" t="s">
        <v>776</v>
      </c>
    </row>
    <row r="103" ht="60.0" customHeight="1">
      <c r="A103" s="56">
        <v>97.0</v>
      </c>
      <c r="B103" s="57" t="s">
        <v>777</v>
      </c>
      <c r="C103" s="57" t="s">
        <v>778</v>
      </c>
      <c r="D103" s="57" t="s">
        <v>779</v>
      </c>
      <c r="E103" s="57" t="s">
        <v>780</v>
      </c>
      <c r="F103" s="57" t="s">
        <v>781</v>
      </c>
      <c r="G103" s="57" t="s">
        <v>782</v>
      </c>
      <c r="H103" s="56" t="str">
        <f t="shared" si="1"/>
        <v>CORRECT</v>
      </c>
      <c r="I103" s="56" t="s">
        <v>50</v>
      </c>
      <c r="J103" s="56" t="s">
        <v>50</v>
      </c>
      <c r="K103" s="57" t="s">
        <v>783</v>
      </c>
      <c r="L103" s="63">
        <v>47772.0</v>
      </c>
      <c r="M103" s="61" t="s">
        <v>62</v>
      </c>
      <c r="N103" s="57"/>
    </row>
    <row r="104" ht="60.0" customHeight="1">
      <c r="A104" s="56">
        <v>98.0</v>
      </c>
      <c r="B104" s="57" t="s">
        <v>784</v>
      </c>
      <c r="C104" s="57" t="s">
        <v>785</v>
      </c>
      <c r="D104" s="57" t="s">
        <v>786</v>
      </c>
      <c r="E104" s="57" t="s">
        <v>787</v>
      </c>
      <c r="F104" s="57" t="s">
        <v>788</v>
      </c>
      <c r="G104" s="57" t="s">
        <v>789</v>
      </c>
      <c r="H104" s="56" t="str">
        <f t="shared" si="1"/>
        <v>CORRECT</v>
      </c>
      <c r="I104" s="56" t="s">
        <v>77</v>
      </c>
      <c r="J104" s="56" t="s">
        <v>77</v>
      </c>
      <c r="K104" s="57" t="s">
        <v>790</v>
      </c>
      <c r="L104" s="63">
        <v>32823.0</v>
      </c>
      <c r="M104" s="61" t="s">
        <v>42</v>
      </c>
      <c r="N104" s="57" t="s">
        <v>791</v>
      </c>
    </row>
    <row r="105" ht="60.0" customHeight="1">
      <c r="A105" s="56">
        <v>99.0</v>
      </c>
      <c r="B105" s="57" t="s">
        <v>792</v>
      </c>
      <c r="C105" s="57" t="s">
        <v>793</v>
      </c>
      <c r="D105" s="57" t="s">
        <v>794</v>
      </c>
      <c r="E105" s="57" t="s">
        <v>795</v>
      </c>
      <c r="F105" s="57" t="s">
        <v>796</v>
      </c>
      <c r="G105" s="57" t="s">
        <v>797</v>
      </c>
      <c r="H105" s="56" t="str">
        <f t="shared" si="1"/>
        <v>CORRECT</v>
      </c>
      <c r="I105" s="56" t="s">
        <v>77</v>
      </c>
      <c r="J105" s="56" t="s">
        <v>77</v>
      </c>
      <c r="K105" s="57" t="s">
        <v>798</v>
      </c>
      <c r="L105" s="63">
        <v>36847.0</v>
      </c>
      <c r="M105" s="61" t="s">
        <v>42</v>
      </c>
      <c r="N105" s="57" t="s">
        <v>799</v>
      </c>
    </row>
    <row r="106" ht="60.0" customHeight="1">
      <c r="A106" s="56">
        <v>100.0</v>
      </c>
      <c r="B106" s="57" t="s">
        <v>800</v>
      </c>
      <c r="C106" s="57" t="s">
        <v>801</v>
      </c>
      <c r="D106" s="57" t="s">
        <v>802</v>
      </c>
      <c r="E106" s="57" t="s">
        <v>803</v>
      </c>
      <c r="F106" s="57" t="s">
        <v>804</v>
      </c>
      <c r="G106" s="57" t="s">
        <v>805</v>
      </c>
      <c r="H106" s="56" t="str">
        <f t="shared" si="1"/>
        <v>WRONG</v>
      </c>
      <c r="I106" s="56" t="s">
        <v>77</v>
      </c>
      <c r="J106" s="56" t="s">
        <v>60</v>
      </c>
      <c r="K106" s="57" t="s">
        <v>806</v>
      </c>
      <c r="L106" s="63">
        <v>55638.0</v>
      </c>
      <c r="M106" s="61" t="s">
        <v>42</v>
      </c>
      <c r="N106" s="57" t="s">
        <v>807</v>
      </c>
    </row>
    <row r="107" ht="60.0" customHeight="1">
      <c r="A107" s="56">
        <v>101.0</v>
      </c>
      <c r="B107" s="57" t="s">
        <v>808</v>
      </c>
      <c r="C107" s="57" t="s">
        <v>809</v>
      </c>
      <c r="D107" s="57" t="s">
        <v>810</v>
      </c>
      <c r="E107" s="57" t="s">
        <v>811</v>
      </c>
      <c r="F107" s="57" t="s">
        <v>812</v>
      </c>
      <c r="G107" s="57" t="s">
        <v>813</v>
      </c>
      <c r="H107" s="56" t="str">
        <f t="shared" si="1"/>
        <v>CORRECT</v>
      </c>
      <c r="I107" s="56" t="s">
        <v>50</v>
      </c>
      <c r="J107" s="56" t="s">
        <v>50</v>
      </c>
      <c r="K107" s="57" t="s">
        <v>814</v>
      </c>
      <c r="L107" s="63">
        <v>34541.0</v>
      </c>
      <c r="M107" s="61" t="s">
        <v>62</v>
      </c>
      <c r="N107" s="57"/>
    </row>
    <row r="108" ht="60.0" customHeight="1">
      <c r="A108" s="56">
        <v>102.0</v>
      </c>
      <c r="B108" s="57" t="s">
        <v>815</v>
      </c>
      <c r="C108" s="57" t="s">
        <v>816</v>
      </c>
      <c r="D108" s="57" t="s">
        <v>817</v>
      </c>
      <c r="E108" s="57" t="s">
        <v>818</v>
      </c>
      <c r="F108" s="57" t="s">
        <v>819</v>
      </c>
      <c r="G108" s="57" t="s">
        <v>820</v>
      </c>
      <c r="H108" s="56" t="str">
        <f t="shared" si="1"/>
        <v>WRONG</v>
      </c>
      <c r="I108" s="56" t="s">
        <v>40</v>
      </c>
      <c r="J108" s="56" t="s">
        <v>50</v>
      </c>
      <c r="K108" s="57" t="s">
        <v>821</v>
      </c>
      <c r="L108" s="63">
        <v>27494.0</v>
      </c>
      <c r="M108" s="61" t="s">
        <v>42</v>
      </c>
      <c r="N108" s="57" t="s">
        <v>822</v>
      </c>
    </row>
    <row r="109" ht="60.0" customHeight="1">
      <c r="A109" s="56">
        <v>103.0</v>
      </c>
      <c r="B109" s="57" t="s">
        <v>823</v>
      </c>
      <c r="C109" s="57" t="s">
        <v>824</v>
      </c>
      <c r="D109" s="57" t="s">
        <v>825</v>
      </c>
      <c r="E109" s="57" t="s">
        <v>826</v>
      </c>
      <c r="F109" s="57" t="s">
        <v>827</v>
      </c>
      <c r="G109" s="57" t="s">
        <v>828</v>
      </c>
      <c r="H109" s="56" t="str">
        <f t="shared" si="1"/>
        <v>WRONG</v>
      </c>
      <c r="I109" s="56" t="s">
        <v>77</v>
      </c>
      <c r="J109" s="56" t="s">
        <v>60</v>
      </c>
      <c r="K109" s="57" t="s">
        <v>829</v>
      </c>
      <c r="L109" s="63">
        <v>30442.0</v>
      </c>
      <c r="M109" s="61" t="s">
        <v>42</v>
      </c>
      <c r="N109" s="57" t="s">
        <v>830</v>
      </c>
    </row>
    <row r="110" ht="60.0" customHeight="1">
      <c r="A110" s="56">
        <v>104.0</v>
      </c>
      <c r="B110" s="57" t="s">
        <v>831</v>
      </c>
      <c r="C110" s="57" t="s">
        <v>832</v>
      </c>
      <c r="D110" s="57" t="s">
        <v>833</v>
      </c>
      <c r="E110" s="57" t="s">
        <v>834</v>
      </c>
      <c r="F110" s="57" t="s">
        <v>835</v>
      </c>
      <c r="G110" s="57" t="s">
        <v>836</v>
      </c>
      <c r="H110" s="56" t="str">
        <f t="shared" si="1"/>
        <v>WRONG</v>
      </c>
      <c r="I110" s="56" t="s">
        <v>50</v>
      </c>
      <c r="J110" s="56" t="s">
        <v>60</v>
      </c>
      <c r="K110" s="57" t="s">
        <v>837</v>
      </c>
      <c r="L110" s="63">
        <v>44998.0</v>
      </c>
      <c r="M110" s="61" t="s">
        <v>42</v>
      </c>
      <c r="N110" s="57" t="s">
        <v>838</v>
      </c>
    </row>
    <row r="111" ht="60.0" customHeight="1">
      <c r="A111" s="56">
        <v>105.0</v>
      </c>
      <c r="B111" s="57" t="s">
        <v>839</v>
      </c>
      <c r="C111" s="57" t="s">
        <v>840</v>
      </c>
      <c r="D111" s="57" t="s">
        <v>841</v>
      </c>
      <c r="E111" s="57" t="s">
        <v>842</v>
      </c>
      <c r="F111" s="57" t="s">
        <v>843</v>
      </c>
      <c r="G111" s="57" t="s">
        <v>844</v>
      </c>
      <c r="H111" s="56" t="str">
        <f t="shared" si="1"/>
        <v>WRONG</v>
      </c>
      <c r="I111" s="56" t="s">
        <v>77</v>
      </c>
      <c r="J111" s="56" t="s">
        <v>60</v>
      </c>
      <c r="K111" s="57" t="s">
        <v>845</v>
      </c>
      <c r="L111" s="63">
        <v>35761.0</v>
      </c>
      <c r="M111" s="61" t="s">
        <v>42</v>
      </c>
      <c r="N111" s="57" t="s">
        <v>846</v>
      </c>
    </row>
    <row r="112" ht="60.0" customHeight="1">
      <c r="A112" s="56">
        <v>106.0</v>
      </c>
      <c r="B112" s="57" t="s">
        <v>847</v>
      </c>
      <c r="C112" s="57" t="s">
        <v>848</v>
      </c>
      <c r="D112" s="57" t="s">
        <v>849</v>
      </c>
      <c r="E112" s="57" t="s">
        <v>850</v>
      </c>
      <c r="F112" s="57" t="s">
        <v>851</v>
      </c>
      <c r="G112" s="57" t="s">
        <v>852</v>
      </c>
      <c r="H112" s="56" t="str">
        <f t="shared" si="1"/>
        <v>WRONG</v>
      </c>
      <c r="I112" s="56" t="s">
        <v>77</v>
      </c>
      <c r="J112" s="56" t="s">
        <v>50</v>
      </c>
      <c r="K112" s="57" t="s">
        <v>853</v>
      </c>
      <c r="L112" s="63">
        <v>42408.0</v>
      </c>
      <c r="M112" s="61" t="s">
        <v>62</v>
      </c>
      <c r="N112" s="57"/>
    </row>
    <row r="113" ht="60.0" customHeight="1">
      <c r="A113" s="56">
        <v>107.0</v>
      </c>
      <c r="B113" s="57" t="s">
        <v>854</v>
      </c>
      <c r="C113" s="57" t="s">
        <v>855</v>
      </c>
      <c r="D113" s="57" t="s">
        <v>856</v>
      </c>
      <c r="E113" s="57" t="s">
        <v>857</v>
      </c>
      <c r="F113" s="57" t="s">
        <v>858</v>
      </c>
      <c r="G113" s="57" t="s">
        <v>859</v>
      </c>
      <c r="H113" s="56" t="str">
        <f t="shared" si="1"/>
        <v>CORRECT</v>
      </c>
      <c r="I113" s="56" t="s">
        <v>50</v>
      </c>
      <c r="J113" s="56" t="s">
        <v>50</v>
      </c>
      <c r="K113" s="57" t="s">
        <v>860</v>
      </c>
      <c r="L113" s="63">
        <v>39164.0</v>
      </c>
      <c r="M113" s="61" t="s">
        <v>62</v>
      </c>
      <c r="N113" s="62"/>
    </row>
    <row r="114" ht="60.0" customHeight="1">
      <c r="A114" s="56">
        <v>108.0</v>
      </c>
      <c r="B114" s="57" t="s">
        <v>861</v>
      </c>
      <c r="C114" s="57" t="s">
        <v>862</v>
      </c>
      <c r="D114" s="57" t="s">
        <v>863</v>
      </c>
      <c r="E114" s="57" t="s">
        <v>864</v>
      </c>
      <c r="F114" s="57" t="s">
        <v>865</v>
      </c>
      <c r="G114" s="57" t="s">
        <v>866</v>
      </c>
      <c r="H114" s="56" t="str">
        <f t="shared" si="1"/>
        <v>WRONG</v>
      </c>
      <c r="I114" s="56" t="s">
        <v>50</v>
      </c>
      <c r="J114" s="56" t="s">
        <v>60</v>
      </c>
      <c r="K114" s="57" t="s">
        <v>867</v>
      </c>
      <c r="L114" s="63">
        <v>38325.0</v>
      </c>
      <c r="M114" s="61" t="s">
        <v>62</v>
      </c>
      <c r="N114" s="62"/>
    </row>
    <row r="115" ht="60.0" customHeight="1">
      <c r="A115" s="56">
        <v>109.0</v>
      </c>
      <c r="B115" s="57" t="s">
        <v>868</v>
      </c>
      <c r="C115" s="57" t="s">
        <v>869</v>
      </c>
      <c r="D115" s="57" t="s">
        <v>870</v>
      </c>
      <c r="E115" s="57" t="s">
        <v>871</v>
      </c>
      <c r="F115" s="57" t="s">
        <v>872</v>
      </c>
      <c r="G115" s="57" t="s">
        <v>873</v>
      </c>
      <c r="H115" s="56" t="str">
        <f t="shared" si="1"/>
        <v>WRONG</v>
      </c>
      <c r="I115" s="56" t="s">
        <v>51</v>
      </c>
      <c r="J115" s="56" t="s">
        <v>50</v>
      </c>
      <c r="K115" s="57" t="s">
        <v>874</v>
      </c>
      <c r="L115" s="63">
        <v>50774.0</v>
      </c>
      <c r="M115" s="61" t="s">
        <v>62</v>
      </c>
      <c r="N115" s="57"/>
    </row>
    <row r="116" ht="60.0" customHeight="1">
      <c r="A116" s="56">
        <v>110.0</v>
      </c>
      <c r="B116" s="57" t="s">
        <v>875</v>
      </c>
      <c r="C116" s="57" t="s">
        <v>876</v>
      </c>
      <c r="D116" s="57" t="s">
        <v>877</v>
      </c>
      <c r="E116" s="57" t="s">
        <v>878</v>
      </c>
      <c r="F116" s="57" t="s">
        <v>879</v>
      </c>
      <c r="G116" s="57" t="s">
        <v>880</v>
      </c>
      <c r="H116" s="56" t="str">
        <f t="shared" si="1"/>
        <v>WRONG</v>
      </c>
      <c r="I116" s="56" t="s">
        <v>50</v>
      </c>
      <c r="J116" s="56" t="s">
        <v>51</v>
      </c>
      <c r="K116" s="57" t="s">
        <v>881</v>
      </c>
      <c r="L116" s="63">
        <v>30945.0</v>
      </c>
      <c r="M116" s="61" t="s">
        <v>62</v>
      </c>
      <c r="N116" s="57"/>
    </row>
    <row r="117" ht="60.0" customHeight="1">
      <c r="A117" s="56">
        <v>111.0</v>
      </c>
      <c r="B117" s="57" t="s">
        <v>882</v>
      </c>
      <c r="C117" s="57" t="s">
        <v>883</v>
      </c>
      <c r="D117" s="57" t="s">
        <v>884</v>
      </c>
      <c r="E117" s="57" t="s">
        <v>885</v>
      </c>
      <c r="F117" s="57" t="s">
        <v>886</v>
      </c>
      <c r="G117" s="57" t="s">
        <v>887</v>
      </c>
      <c r="H117" s="56" t="str">
        <f t="shared" si="1"/>
        <v>WRONG</v>
      </c>
      <c r="I117" s="56" t="s">
        <v>40</v>
      </c>
      <c r="J117" s="56" t="s">
        <v>51</v>
      </c>
      <c r="K117" s="57" t="s">
        <v>888</v>
      </c>
      <c r="L117" s="63">
        <v>39638.0</v>
      </c>
      <c r="M117" s="61" t="s">
        <v>62</v>
      </c>
      <c r="N117" s="57"/>
    </row>
    <row r="118" ht="60.0" customHeight="1">
      <c r="A118" s="56">
        <v>112.0</v>
      </c>
      <c r="B118" s="57" t="s">
        <v>889</v>
      </c>
      <c r="C118" s="57" t="s">
        <v>890</v>
      </c>
      <c r="D118" s="57" t="s">
        <v>891</v>
      </c>
      <c r="E118" s="57" t="s">
        <v>892</v>
      </c>
      <c r="F118" s="57" t="s">
        <v>893</v>
      </c>
      <c r="G118" s="57" t="s">
        <v>894</v>
      </c>
      <c r="H118" s="56" t="str">
        <f t="shared" si="1"/>
        <v>CORRECT</v>
      </c>
      <c r="I118" s="56" t="s">
        <v>51</v>
      </c>
      <c r="J118" s="56" t="s">
        <v>51</v>
      </c>
      <c r="K118" s="57" t="s">
        <v>895</v>
      </c>
      <c r="L118" s="63">
        <v>36002.0</v>
      </c>
      <c r="M118" s="61" t="s">
        <v>62</v>
      </c>
      <c r="N118" s="57"/>
    </row>
    <row r="119" ht="60.0" customHeight="1">
      <c r="A119" s="56">
        <v>113.0</v>
      </c>
      <c r="B119" s="57" t="s">
        <v>896</v>
      </c>
      <c r="C119" s="57" t="s">
        <v>897</v>
      </c>
      <c r="D119" s="57" t="s">
        <v>898</v>
      </c>
      <c r="E119" s="57" t="s">
        <v>899</v>
      </c>
      <c r="F119" s="57" t="s">
        <v>900</v>
      </c>
      <c r="G119" s="57" t="s">
        <v>901</v>
      </c>
      <c r="H119" s="56" t="str">
        <f t="shared" si="1"/>
        <v>WRONG</v>
      </c>
      <c r="I119" s="56" t="s">
        <v>77</v>
      </c>
      <c r="J119" s="56" t="s">
        <v>60</v>
      </c>
      <c r="K119" s="57" t="s">
        <v>902</v>
      </c>
      <c r="L119" s="63">
        <v>30984.0</v>
      </c>
      <c r="M119" s="61" t="s">
        <v>62</v>
      </c>
      <c r="N119" s="57"/>
    </row>
    <row r="120" ht="60.0" customHeight="1">
      <c r="A120" s="56">
        <v>114.0</v>
      </c>
      <c r="B120" s="57" t="s">
        <v>903</v>
      </c>
      <c r="C120" s="57" t="s">
        <v>904</v>
      </c>
      <c r="D120" s="57" t="s">
        <v>905</v>
      </c>
      <c r="E120" s="57" t="s">
        <v>906</v>
      </c>
      <c r="F120" s="57" t="s">
        <v>907</v>
      </c>
      <c r="G120" s="57" t="s">
        <v>908</v>
      </c>
      <c r="H120" s="56" t="str">
        <f t="shared" si="1"/>
        <v>WRONG</v>
      </c>
      <c r="I120" s="56" t="s">
        <v>60</v>
      </c>
      <c r="J120" s="56" t="s">
        <v>40</v>
      </c>
      <c r="K120" s="57" t="s">
        <v>909</v>
      </c>
      <c r="L120" s="63">
        <v>27924.0</v>
      </c>
      <c r="M120" s="61" t="s">
        <v>42</v>
      </c>
      <c r="N120" s="57" t="s">
        <v>910</v>
      </c>
    </row>
    <row r="121" ht="60.0" customHeight="1">
      <c r="A121" s="56">
        <v>115.0</v>
      </c>
      <c r="B121" s="57" t="s">
        <v>911</v>
      </c>
      <c r="C121" s="57" t="s">
        <v>912</v>
      </c>
      <c r="D121" s="57" t="s">
        <v>913</v>
      </c>
      <c r="E121" s="57" t="s">
        <v>914</v>
      </c>
      <c r="F121" s="57" t="s">
        <v>915</v>
      </c>
      <c r="G121" s="57" t="s">
        <v>916</v>
      </c>
      <c r="H121" s="56" t="str">
        <f t="shared" si="1"/>
        <v>CORRECT</v>
      </c>
      <c r="I121" s="56" t="s">
        <v>77</v>
      </c>
      <c r="J121" s="56" t="s">
        <v>77</v>
      </c>
      <c r="K121" s="57" t="s">
        <v>917</v>
      </c>
      <c r="L121" s="63">
        <v>33638.0</v>
      </c>
      <c r="M121" s="61" t="s">
        <v>62</v>
      </c>
      <c r="N121" s="57"/>
    </row>
    <row r="122" ht="60.0" customHeight="1">
      <c r="A122" s="56">
        <v>116.0</v>
      </c>
      <c r="B122" s="57" t="s">
        <v>918</v>
      </c>
      <c r="C122" s="57" t="s">
        <v>919</v>
      </c>
      <c r="D122" s="57" t="s">
        <v>920</v>
      </c>
      <c r="E122" s="57" t="s">
        <v>921</v>
      </c>
      <c r="F122" s="57" t="s">
        <v>922</v>
      </c>
      <c r="G122" s="57" t="s">
        <v>923</v>
      </c>
      <c r="H122" s="56" t="str">
        <f t="shared" si="1"/>
        <v>CORRECT</v>
      </c>
      <c r="I122" s="56" t="s">
        <v>51</v>
      </c>
      <c r="J122" s="56" t="s">
        <v>51</v>
      </c>
      <c r="K122" s="57" t="s">
        <v>924</v>
      </c>
      <c r="L122" s="63">
        <v>48281.0</v>
      </c>
      <c r="M122" s="61" t="s">
        <v>42</v>
      </c>
      <c r="N122" s="57" t="s">
        <v>925</v>
      </c>
    </row>
    <row r="123" ht="60.0" customHeight="1">
      <c r="A123" s="56">
        <v>117.0</v>
      </c>
      <c r="B123" s="57" t="s">
        <v>926</v>
      </c>
      <c r="C123" s="57" t="s">
        <v>927</v>
      </c>
      <c r="D123" s="57" t="s">
        <v>928</v>
      </c>
      <c r="E123" s="57" t="s">
        <v>929</v>
      </c>
      <c r="F123" s="57" t="s">
        <v>930</v>
      </c>
      <c r="G123" s="57" t="s">
        <v>931</v>
      </c>
      <c r="H123" s="56" t="str">
        <f t="shared" si="1"/>
        <v>CORRECT</v>
      </c>
      <c r="I123" s="56" t="s">
        <v>51</v>
      </c>
      <c r="J123" s="56" t="s">
        <v>51</v>
      </c>
      <c r="K123" s="57" t="s">
        <v>932</v>
      </c>
      <c r="L123" s="63">
        <v>32138.0</v>
      </c>
      <c r="M123" s="61" t="s">
        <v>42</v>
      </c>
      <c r="N123" s="57" t="s">
        <v>933</v>
      </c>
    </row>
    <row r="124" ht="60.0" customHeight="1">
      <c r="A124" s="56">
        <v>118.0</v>
      </c>
      <c r="B124" s="57" t="s">
        <v>934</v>
      </c>
      <c r="C124" s="57" t="s">
        <v>935</v>
      </c>
      <c r="D124" s="57" t="s">
        <v>936</v>
      </c>
      <c r="E124" s="57" t="s">
        <v>937</v>
      </c>
      <c r="F124" s="57" t="s">
        <v>938</v>
      </c>
      <c r="G124" s="57" t="s">
        <v>939</v>
      </c>
      <c r="H124" s="56" t="str">
        <f t="shared" si="1"/>
        <v>CORRECT</v>
      </c>
      <c r="I124" s="56" t="s">
        <v>40</v>
      </c>
      <c r="J124" s="56" t="s">
        <v>40</v>
      </c>
      <c r="K124" s="57" t="s">
        <v>940</v>
      </c>
      <c r="L124" s="63">
        <v>31312.0</v>
      </c>
      <c r="M124" s="61" t="s">
        <v>42</v>
      </c>
      <c r="N124" s="57" t="s">
        <v>941</v>
      </c>
    </row>
    <row r="125" ht="60.0" customHeight="1">
      <c r="A125" s="56">
        <v>119.0</v>
      </c>
      <c r="B125" s="57" t="s">
        <v>942</v>
      </c>
      <c r="C125" s="57" t="s">
        <v>943</v>
      </c>
      <c r="D125" s="57" t="s">
        <v>944</v>
      </c>
      <c r="E125" s="57" t="s">
        <v>945</v>
      </c>
      <c r="F125" s="57" t="s">
        <v>946</v>
      </c>
      <c r="G125" s="57" t="s">
        <v>947</v>
      </c>
      <c r="H125" s="56" t="str">
        <f t="shared" si="1"/>
        <v>CORRECT</v>
      </c>
      <c r="I125" s="56" t="s">
        <v>40</v>
      </c>
      <c r="J125" s="56" t="s">
        <v>40</v>
      </c>
      <c r="K125" s="57" t="s">
        <v>948</v>
      </c>
      <c r="L125" s="63">
        <v>37261.0</v>
      </c>
      <c r="M125" s="61" t="s">
        <v>62</v>
      </c>
      <c r="N125" s="57"/>
    </row>
    <row r="126" ht="60.0" customHeight="1">
      <c r="A126" s="56">
        <v>120.0</v>
      </c>
      <c r="B126" s="57" t="s">
        <v>949</v>
      </c>
      <c r="C126" s="57" t="s">
        <v>950</v>
      </c>
      <c r="D126" s="57" t="s">
        <v>951</v>
      </c>
      <c r="E126" s="57" t="s">
        <v>952</v>
      </c>
      <c r="F126" s="57" t="s">
        <v>953</v>
      </c>
      <c r="G126" s="57" t="s">
        <v>954</v>
      </c>
      <c r="H126" s="56" t="str">
        <f t="shared" si="1"/>
        <v>CORRECT</v>
      </c>
      <c r="I126" s="56" t="s">
        <v>51</v>
      </c>
      <c r="J126" s="56" t="s">
        <v>51</v>
      </c>
      <c r="K126" s="57" t="s">
        <v>955</v>
      </c>
      <c r="L126" s="63">
        <v>50401.0</v>
      </c>
      <c r="M126" s="61" t="s">
        <v>62</v>
      </c>
      <c r="N126" s="57"/>
    </row>
    <row r="127" ht="60.0" customHeight="1">
      <c r="A127" s="56">
        <v>121.0</v>
      </c>
      <c r="B127" s="57" t="s">
        <v>956</v>
      </c>
      <c r="C127" s="57" t="s">
        <v>957</v>
      </c>
      <c r="D127" s="57" t="s">
        <v>958</v>
      </c>
      <c r="E127" s="57" t="s">
        <v>959</v>
      </c>
      <c r="F127" s="57" t="s">
        <v>960</v>
      </c>
      <c r="G127" s="57" t="s">
        <v>961</v>
      </c>
      <c r="H127" s="56" t="str">
        <f t="shared" si="1"/>
        <v>CORRECT</v>
      </c>
      <c r="I127" s="56" t="s">
        <v>77</v>
      </c>
      <c r="J127" s="56" t="s">
        <v>77</v>
      </c>
      <c r="K127" s="57" t="s">
        <v>962</v>
      </c>
      <c r="L127" s="63">
        <v>36950.0</v>
      </c>
      <c r="M127" s="61" t="s">
        <v>62</v>
      </c>
      <c r="N127" s="57"/>
    </row>
    <row r="128" ht="60.0" customHeight="1">
      <c r="A128" s="56">
        <v>122.0</v>
      </c>
      <c r="B128" s="57" t="s">
        <v>963</v>
      </c>
      <c r="C128" s="57" t="s">
        <v>964</v>
      </c>
      <c r="D128" s="57" t="s">
        <v>965</v>
      </c>
      <c r="E128" s="57" t="s">
        <v>966</v>
      </c>
      <c r="F128" s="57" t="s">
        <v>967</v>
      </c>
      <c r="G128" s="57" t="s">
        <v>968</v>
      </c>
      <c r="H128" s="56" t="str">
        <f t="shared" si="1"/>
        <v>CORRECT</v>
      </c>
      <c r="I128" s="56" t="s">
        <v>60</v>
      </c>
      <c r="J128" s="56" t="s">
        <v>60</v>
      </c>
      <c r="K128" s="57" t="s">
        <v>969</v>
      </c>
      <c r="L128" s="63">
        <v>29033.0</v>
      </c>
      <c r="M128" s="61" t="s">
        <v>42</v>
      </c>
      <c r="N128" s="57" t="s">
        <v>970</v>
      </c>
    </row>
    <row r="129" ht="60.0" customHeight="1">
      <c r="A129" s="56">
        <v>123.0</v>
      </c>
      <c r="B129" s="57" t="s">
        <v>971</v>
      </c>
      <c r="C129" s="57" t="s">
        <v>972</v>
      </c>
      <c r="D129" s="57" t="s">
        <v>973</v>
      </c>
      <c r="E129" s="57" t="s">
        <v>974</v>
      </c>
      <c r="F129" s="57" t="s">
        <v>975</v>
      </c>
      <c r="G129" s="57" t="s">
        <v>976</v>
      </c>
      <c r="H129" s="56" t="str">
        <f t="shared" si="1"/>
        <v>WRONG</v>
      </c>
      <c r="I129" s="56" t="s">
        <v>77</v>
      </c>
      <c r="J129" s="56" t="s">
        <v>60</v>
      </c>
      <c r="K129" s="57" t="s">
        <v>977</v>
      </c>
      <c r="L129" s="63">
        <v>28382.0</v>
      </c>
      <c r="M129" s="61" t="s">
        <v>42</v>
      </c>
      <c r="N129" s="57" t="s">
        <v>978</v>
      </c>
    </row>
    <row r="130" ht="60.0" customHeight="1">
      <c r="A130" s="56">
        <v>124.0</v>
      </c>
      <c r="B130" s="57" t="s">
        <v>979</v>
      </c>
      <c r="C130" s="57" t="s">
        <v>980</v>
      </c>
      <c r="D130" s="57" t="s">
        <v>981</v>
      </c>
      <c r="E130" s="57" t="s">
        <v>982</v>
      </c>
      <c r="F130" s="57" t="s">
        <v>983</v>
      </c>
      <c r="G130" s="57" t="s">
        <v>984</v>
      </c>
      <c r="H130" s="56" t="str">
        <f t="shared" si="1"/>
        <v>CORRECT</v>
      </c>
      <c r="I130" s="56" t="s">
        <v>40</v>
      </c>
      <c r="J130" s="56" t="s">
        <v>40</v>
      </c>
      <c r="K130" s="57" t="s">
        <v>985</v>
      </c>
      <c r="L130" s="63">
        <v>29642.0</v>
      </c>
      <c r="M130" s="61" t="s">
        <v>42</v>
      </c>
      <c r="N130" s="57" t="s">
        <v>986</v>
      </c>
    </row>
    <row r="131" ht="60.0" customHeight="1">
      <c r="A131" s="56">
        <v>125.0</v>
      </c>
      <c r="B131" s="57" t="s">
        <v>987</v>
      </c>
      <c r="C131" s="57" t="s">
        <v>988</v>
      </c>
      <c r="D131" s="57" t="s">
        <v>989</v>
      </c>
      <c r="E131" s="57" t="s">
        <v>990</v>
      </c>
      <c r="F131" s="57" t="s">
        <v>991</v>
      </c>
      <c r="G131" s="57" t="s">
        <v>992</v>
      </c>
      <c r="H131" s="56" t="str">
        <f t="shared" si="1"/>
        <v>CORRECT</v>
      </c>
      <c r="I131" s="56" t="s">
        <v>40</v>
      </c>
      <c r="J131" s="56" t="s">
        <v>40</v>
      </c>
      <c r="K131" s="57" t="s">
        <v>993</v>
      </c>
      <c r="L131" s="63">
        <v>35117.0</v>
      </c>
      <c r="M131" s="61" t="s">
        <v>62</v>
      </c>
      <c r="N131" s="57"/>
    </row>
    <row r="132" ht="60.0" customHeight="1">
      <c r="A132" s="56">
        <v>126.0</v>
      </c>
      <c r="B132" s="57" t="s">
        <v>994</v>
      </c>
      <c r="C132" s="57" t="s">
        <v>995</v>
      </c>
      <c r="D132" s="57" t="s">
        <v>996</v>
      </c>
      <c r="E132" s="57" t="s">
        <v>997</v>
      </c>
      <c r="F132" s="57" t="s">
        <v>998</v>
      </c>
      <c r="G132" s="57" t="s">
        <v>999</v>
      </c>
      <c r="H132" s="56" t="str">
        <f t="shared" si="1"/>
        <v>CORRECT</v>
      </c>
      <c r="I132" s="56" t="s">
        <v>51</v>
      </c>
      <c r="J132" s="56" t="s">
        <v>51</v>
      </c>
      <c r="K132" s="57" t="s">
        <v>1000</v>
      </c>
      <c r="L132" s="63">
        <v>40940.0</v>
      </c>
      <c r="M132" s="61" t="s">
        <v>62</v>
      </c>
      <c r="N132" s="57"/>
    </row>
    <row r="133" ht="60.0" customHeight="1">
      <c r="A133" s="56">
        <v>127.0</v>
      </c>
      <c r="B133" s="57" t="s">
        <v>1001</v>
      </c>
      <c r="C133" s="57" t="s">
        <v>1002</v>
      </c>
      <c r="D133" s="57" t="s">
        <v>1003</v>
      </c>
      <c r="E133" s="57" t="s">
        <v>1004</v>
      </c>
      <c r="F133" s="57" t="s">
        <v>1005</v>
      </c>
      <c r="G133" s="57" t="s">
        <v>1006</v>
      </c>
      <c r="H133" s="56" t="str">
        <f t="shared" si="1"/>
        <v>WRONG</v>
      </c>
      <c r="I133" s="56" t="s">
        <v>51</v>
      </c>
      <c r="J133" s="56" t="s">
        <v>40</v>
      </c>
      <c r="K133" s="57" t="s">
        <v>1007</v>
      </c>
      <c r="L133" s="63">
        <v>25949.0</v>
      </c>
      <c r="M133" s="61" t="s">
        <v>42</v>
      </c>
      <c r="N133" s="57" t="s">
        <v>1008</v>
      </c>
    </row>
    <row r="134" ht="60.0" customHeight="1">
      <c r="A134" s="56">
        <v>128.0</v>
      </c>
      <c r="B134" s="57" t="s">
        <v>1009</v>
      </c>
      <c r="C134" s="57" t="s">
        <v>1010</v>
      </c>
      <c r="D134" s="57" t="s">
        <v>1011</v>
      </c>
      <c r="E134" s="57" t="s">
        <v>1012</v>
      </c>
      <c r="F134" s="57" t="s">
        <v>1013</v>
      </c>
      <c r="G134" s="57" t="s">
        <v>1014</v>
      </c>
      <c r="H134" s="56" t="str">
        <f t="shared" si="1"/>
        <v>WRONG</v>
      </c>
      <c r="I134" s="56" t="s">
        <v>40</v>
      </c>
      <c r="J134" s="56" t="s">
        <v>51</v>
      </c>
      <c r="K134" s="57" t="s">
        <v>1015</v>
      </c>
      <c r="L134" s="63">
        <v>48085.0</v>
      </c>
      <c r="M134" s="61" t="s">
        <v>62</v>
      </c>
      <c r="N134" s="57"/>
    </row>
    <row r="135" ht="60.0" customHeight="1">
      <c r="A135" s="56">
        <v>129.0</v>
      </c>
      <c r="B135" s="57" t="s">
        <v>1016</v>
      </c>
      <c r="C135" s="57" t="s">
        <v>1017</v>
      </c>
      <c r="D135" s="57" t="s">
        <v>1018</v>
      </c>
      <c r="E135" s="57" t="s">
        <v>1019</v>
      </c>
      <c r="F135" s="57" t="s">
        <v>1020</v>
      </c>
      <c r="G135" s="57" t="s">
        <v>1021</v>
      </c>
      <c r="H135" s="56" t="str">
        <f t="shared" si="1"/>
        <v>CORRECT</v>
      </c>
      <c r="I135" s="56" t="s">
        <v>77</v>
      </c>
      <c r="J135" s="56" t="s">
        <v>77</v>
      </c>
      <c r="K135" s="57" t="s">
        <v>1022</v>
      </c>
      <c r="L135" s="63">
        <v>34512.0</v>
      </c>
      <c r="M135" s="61" t="s">
        <v>62</v>
      </c>
      <c r="N135" s="57"/>
    </row>
    <row r="136" ht="60.0" customHeight="1">
      <c r="A136" s="56">
        <v>130.0</v>
      </c>
      <c r="B136" s="57" t="s">
        <v>1023</v>
      </c>
      <c r="C136" s="57" t="s">
        <v>1024</v>
      </c>
      <c r="D136" s="57" t="s">
        <v>1025</v>
      </c>
      <c r="E136" s="57" t="s">
        <v>1026</v>
      </c>
      <c r="F136" s="57" t="s">
        <v>1027</v>
      </c>
      <c r="G136" s="57" t="s">
        <v>1028</v>
      </c>
      <c r="H136" s="56" t="str">
        <f t="shared" si="1"/>
        <v>WRONG</v>
      </c>
      <c r="I136" s="56" t="s">
        <v>60</v>
      </c>
      <c r="J136" s="56" t="s">
        <v>50</v>
      </c>
      <c r="K136" s="57" t="s">
        <v>1029</v>
      </c>
      <c r="L136" s="63">
        <v>34899.0</v>
      </c>
      <c r="M136" s="61" t="s">
        <v>42</v>
      </c>
      <c r="N136" s="57" t="s">
        <v>1030</v>
      </c>
    </row>
    <row r="137" ht="60.0" customHeight="1">
      <c r="A137" s="56">
        <v>131.0</v>
      </c>
      <c r="B137" s="57" t="s">
        <v>1031</v>
      </c>
      <c r="C137" s="57" t="s">
        <v>1032</v>
      </c>
      <c r="D137" s="57" t="s">
        <v>1033</v>
      </c>
      <c r="E137" s="57" t="s">
        <v>1034</v>
      </c>
      <c r="F137" s="57" t="s">
        <v>1035</v>
      </c>
      <c r="G137" s="57" t="s">
        <v>1036</v>
      </c>
      <c r="H137" s="56" t="str">
        <f t="shared" si="1"/>
        <v>CORRECT</v>
      </c>
      <c r="I137" s="56" t="s">
        <v>60</v>
      </c>
      <c r="J137" s="56" t="s">
        <v>60</v>
      </c>
      <c r="K137" s="57" t="s">
        <v>1037</v>
      </c>
      <c r="L137" s="63">
        <v>31979.0</v>
      </c>
      <c r="M137" s="61" t="s">
        <v>42</v>
      </c>
      <c r="N137" s="57" t="s">
        <v>1038</v>
      </c>
    </row>
    <row r="138" ht="60.0" customHeight="1">
      <c r="A138" s="56">
        <v>132.0</v>
      </c>
      <c r="B138" s="57" t="s">
        <v>1039</v>
      </c>
      <c r="C138" s="57" t="s">
        <v>754</v>
      </c>
      <c r="D138" s="57" t="s">
        <v>1040</v>
      </c>
      <c r="E138" s="57" t="s">
        <v>1041</v>
      </c>
      <c r="F138" s="57" t="s">
        <v>1042</v>
      </c>
      <c r="G138" s="57" t="s">
        <v>1043</v>
      </c>
      <c r="H138" s="56" t="str">
        <f t="shared" si="1"/>
        <v>CORRECT</v>
      </c>
      <c r="I138" s="56" t="s">
        <v>51</v>
      </c>
      <c r="J138" s="56" t="s">
        <v>51</v>
      </c>
      <c r="K138" s="57" t="s">
        <v>1044</v>
      </c>
      <c r="L138" s="63">
        <v>30244.0</v>
      </c>
      <c r="M138" s="61" t="s">
        <v>42</v>
      </c>
      <c r="N138" s="57" t="s">
        <v>1045</v>
      </c>
    </row>
    <row r="139" ht="60.0" customHeight="1">
      <c r="A139" s="56">
        <v>133.0</v>
      </c>
      <c r="B139" s="57" t="s">
        <v>1046</v>
      </c>
      <c r="C139" s="57" t="s">
        <v>1047</v>
      </c>
      <c r="D139" s="57" t="s">
        <v>1048</v>
      </c>
      <c r="E139" s="57" t="s">
        <v>1049</v>
      </c>
      <c r="F139" s="57" t="s">
        <v>1050</v>
      </c>
      <c r="G139" s="57" t="s">
        <v>1051</v>
      </c>
      <c r="H139" s="56" t="str">
        <f t="shared" si="1"/>
        <v>WRONG</v>
      </c>
      <c r="I139" s="56" t="s">
        <v>77</v>
      </c>
      <c r="J139" s="56" t="s">
        <v>60</v>
      </c>
      <c r="K139" s="57" t="s">
        <v>1052</v>
      </c>
      <c r="L139" s="63">
        <v>31688.0</v>
      </c>
      <c r="M139" s="61" t="s">
        <v>42</v>
      </c>
      <c r="N139" s="57" t="s">
        <v>1053</v>
      </c>
    </row>
    <row r="140" ht="60.0" customHeight="1">
      <c r="A140" s="56">
        <v>134.0</v>
      </c>
      <c r="B140" s="57" t="s">
        <v>1054</v>
      </c>
      <c r="C140" s="57" t="s">
        <v>1055</v>
      </c>
      <c r="D140" s="57" t="s">
        <v>1056</v>
      </c>
      <c r="E140" s="57" t="s">
        <v>1057</v>
      </c>
      <c r="F140" s="57" t="s">
        <v>1058</v>
      </c>
      <c r="G140" s="57" t="s">
        <v>1059</v>
      </c>
      <c r="H140" s="56" t="str">
        <f t="shared" si="1"/>
        <v>CORRECT</v>
      </c>
      <c r="I140" s="56" t="s">
        <v>40</v>
      </c>
      <c r="J140" s="56" t="s">
        <v>40</v>
      </c>
      <c r="K140" s="57" t="s">
        <v>1060</v>
      </c>
      <c r="L140" s="63">
        <v>36800.0</v>
      </c>
      <c r="M140" s="61" t="s">
        <v>42</v>
      </c>
      <c r="N140" s="57" t="s">
        <v>1061</v>
      </c>
    </row>
    <row r="141" ht="60.0" customHeight="1">
      <c r="A141" s="56">
        <v>135.0</v>
      </c>
      <c r="B141" s="57" t="s">
        <v>1062</v>
      </c>
      <c r="C141" s="57" t="s">
        <v>1063</v>
      </c>
      <c r="D141" s="57" t="s">
        <v>1064</v>
      </c>
      <c r="E141" s="57" t="s">
        <v>1065</v>
      </c>
      <c r="F141" s="57" t="s">
        <v>1066</v>
      </c>
      <c r="G141" s="57" t="s">
        <v>1067</v>
      </c>
      <c r="H141" s="56" t="str">
        <f t="shared" si="1"/>
        <v>WRONG</v>
      </c>
      <c r="I141" s="56" t="s">
        <v>40</v>
      </c>
      <c r="J141" s="56" t="s">
        <v>51</v>
      </c>
      <c r="K141" s="57" t="s">
        <v>1068</v>
      </c>
      <c r="L141" s="63">
        <v>34345.0</v>
      </c>
      <c r="M141" s="61" t="s">
        <v>42</v>
      </c>
      <c r="N141" s="57" t="s">
        <v>1069</v>
      </c>
    </row>
    <row r="142" ht="60.0" customHeight="1">
      <c r="A142" s="56">
        <v>136.0</v>
      </c>
      <c r="B142" s="57" t="s">
        <v>1070</v>
      </c>
      <c r="C142" s="57" t="s">
        <v>1071</v>
      </c>
      <c r="D142" s="57" t="s">
        <v>1072</v>
      </c>
      <c r="E142" s="57" t="s">
        <v>1073</v>
      </c>
      <c r="F142" s="57" t="s">
        <v>1074</v>
      </c>
      <c r="G142" s="57" t="s">
        <v>1075</v>
      </c>
      <c r="H142" s="56" t="str">
        <f t="shared" si="1"/>
        <v>CORRECT</v>
      </c>
      <c r="I142" s="56" t="s">
        <v>40</v>
      </c>
      <c r="J142" s="56" t="s">
        <v>40</v>
      </c>
      <c r="K142" s="57" t="s">
        <v>1076</v>
      </c>
      <c r="L142" s="63">
        <v>35147.0</v>
      </c>
      <c r="M142" s="61" t="s">
        <v>42</v>
      </c>
      <c r="N142" s="57" t="s">
        <v>1077</v>
      </c>
    </row>
    <row r="143" ht="60.0" customHeight="1">
      <c r="A143" s="56">
        <v>137.0</v>
      </c>
      <c r="B143" s="57" t="s">
        <v>1078</v>
      </c>
      <c r="C143" s="57" t="s">
        <v>1079</v>
      </c>
      <c r="D143" s="57" t="s">
        <v>1080</v>
      </c>
      <c r="E143" s="57" t="s">
        <v>1081</v>
      </c>
      <c r="F143" s="57" t="s">
        <v>1082</v>
      </c>
      <c r="G143" s="57" t="s">
        <v>1083</v>
      </c>
      <c r="H143" s="56" t="str">
        <f t="shared" si="1"/>
        <v>CORRECT</v>
      </c>
      <c r="I143" s="56" t="s">
        <v>50</v>
      </c>
      <c r="J143" s="56" t="s">
        <v>50</v>
      </c>
      <c r="K143" s="57" t="s">
        <v>1084</v>
      </c>
      <c r="L143" s="63">
        <v>34219.0</v>
      </c>
      <c r="M143" s="61" t="s">
        <v>62</v>
      </c>
      <c r="N143" s="57"/>
    </row>
    <row r="144" ht="60.0" customHeight="1">
      <c r="A144" s="56">
        <v>138.0</v>
      </c>
      <c r="B144" s="57" t="s">
        <v>1085</v>
      </c>
      <c r="C144" s="57" t="s">
        <v>1086</v>
      </c>
      <c r="D144" s="57" t="s">
        <v>1087</v>
      </c>
      <c r="E144" s="57" t="s">
        <v>1088</v>
      </c>
      <c r="F144" s="57" t="s">
        <v>1089</v>
      </c>
      <c r="G144" s="57" t="s">
        <v>1090</v>
      </c>
      <c r="H144" s="56" t="str">
        <f t="shared" si="1"/>
        <v>WRONG</v>
      </c>
      <c r="I144" s="56" t="s">
        <v>50</v>
      </c>
      <c r="J144" s="56" t="s">
        <v>40</v>
      </c>
      <c r="K144" s="57" t="s">
        <v>1091</v>
      </c>
      <c r="L144" s="63">
        <v>34240.0</v>
      </c>
      <c r="M144" s="61" t="s">
        <v>62</v>
      </c>
      <c r="N144" s="57"/>
    </row>
    <row r="145" ht="60.0" customHeight="1">
      <c r="A145" s="56">
        <v>139.0</v>
      </c>
      <c r="B145" s="57" t="s">
        <v>1092</v>
      </c>
      <c r="C145" s="57" t="s">
        <v>1093</v>
      </c>
      <c r="D145" s="57" t="s">
        <v>1094</v>
      </c>
      <c r="E145" s="57" t="s">
        <v>1095</v>
      </c>
      <c r="F145" s="57" t="s">
        <v>1096</v>
      </c>
      <c r="G145" s="57" t="s">
        <v>1097</v>
      </c>
      <c r="H145" s="56" t="str">
        <f t="shared" si="1"/>
        <v>CORRECT</v>
      </c>
      <c r="I145" s="56" t="s">
        <v>77</v>
      </c>
      <c r="J145" s="56" t="s">
        <v>77</v>
      </c>
      <c r="K145" s="57" t="s">
        <v>1098</v>
      </c>
      <c r="L145" s="63">
        <v>35864.0</v>
      </c>
      <c r="M145" s="61" t="s">
        <v>62</v>
      </c>
      <c r="N145" s="57"/>
    </row>
    <row r="146" ht="60.0" customHeight="1">
      <c r="A146" s="56">
        <v>140.0</v>
      </c>
      <c r="B146" s="57" t="s">
        <v>1099</v>
      </c>
      <c r="C146" s="57" t="s">
        <v>1100</v>
      </c>
      <c r="D146" s="57" t="s">
        <v>1101</v>
      </c>
      <c r="E146" s="57" t="s">
        <v>1102</v>
      </c>
      <c r="F146" s="57" t="s">
        <v>1103</v>
      </c>
      <c r="G146" s="57" t="s">
        <v>1059</v>
      </c>
      <c r="H146" s="56" t="str">
        <f t="shared" si="1"/>
        <v>WRONG</v>
      </c>
      <c r="I146" s="56" t="s">
        <v>50</v>
      </c>
      <c r="J146" s="56" t="s">
        <v>51</v>
      </c>
      <c r="K146" s="57" t="s">
        <v>1104</v>
      </c>
      <c r="L146" s="63">
        <v>35392.0</v>
      </c>
      <c r="M146" s="61" t="s">
        <v>62</v>
      </c>
      <c r="N146" s="62"/>
    </row>
    <row r="147" ht="60.0" customHeight="1">
      <c r="A147" s="56">
        <v>141.0</v>
      </c>
      <c r="B147" s="57" t="s">
        <v>1105</v>
      </c>
      <c r="C147" s="57" t="s">
        <v>1106</v>
      </c>
      <c r="D147" s="57" t="s">
        <v>1107</v>
      </c>
      <c r="E147" s="57" t="s">
        <v>1108</v>
      </c>
      <c r="F147" s="57" t="s">
        <v>1109</v>
      </c>
      <c r="G147" s="57" t="s">
        <v>1110</v>
      </c>
      <c r="H147" s="56" t="str">
        <f t="shared" si="1"/>
        <v>CORRECT</v>
      </c>
      <c r="I147" s="56" t="s">
        <v>60</v>
      </c>
      <c r="J147" s="56" t="s">
        <v>60</v>
      </c>
      <c r="K147" s="57" t="s">
        <v>1111</v>
      </c>
      <c r="L147" s="63">
        <v>29050.0</v>
      </c>
      <c r="M147" s="61" t="s">
        <v>62</v>
      </c>
      <c r="N147" s="57"/>
    </row>
    <row r="148" ht="60.0" customHeight="1">
      <c r="A148" s="56">
        <v>142.0</v>
      </c>
      <c r="B148" s="57" t="s">
        <v>1112</v>
      </c>
      <c r="C148" s="57" t="s">
        <v>1113</v>
      </c>
      <c r="D148" s="57" t="s">
        <v>1114</v>
      </c>
      <c r="E148" s="57" t="s">
        <v>1115</v>
      </c>
      <c r="F148" s="57" t="s">
        <v>1116</v>
      </c>
      <c r="G148" s="57" t="s">
        <v>1059</v>
      </c>
      <c r="H148" s="56" t="str">
        <f t="shared" si="1"/>
        <v>WRONG</v>
      </c>
      <c r="I148" s="56" t="s">
        <v>50</v>
      </c>
      <c r="J148" s="56" t="s">
        <v>40</v>
      </c>
      <c r="K148" s="57" t="s">
        <v>1117</v>
      </c>
      <c r="L148" s="63">
        <v>35746.0</v>
      </c>
      <c r="M148" s="61" t="s">
        <v>42</v>
      </c>
      <c r="N148" s="57" t="str">
        <f>++ C sC − 0.3-1.3 0.7-1.3 Postganglionic  sympathetic Various autonomic func­ tions ++ dC − 0.4-1.2 0.1-2.0 Afferent sensory  nerves Various autonomic functions Pain, warm temperature,  touch + From Bonica JJ. Principles and Practice of Obstetric Anesthesia and Analgesia. Philadelphia: FA Davis; 1967. Nucleus of Schwann cell Nucleus of Schwann cell Schwann cell sheath Nerve fiber Nerve fiber</f>
        <v>#ERROR!</v>
      </c>
    </row>
    <row r="149" ht="60.0" customHeight="1">
      <c r="A149" s="56">
        <v>143.0</v>
      </c>
      <c r="B149" s="57" t="s">
        <v>1118</v>
      </c>
      <c r="C149" s="57" t="s">
        <v>1119</v>
      </c>
      <c r="D149" s="57" t="s">
        <v>1120</v>
      </c>
      <c r="E149" s="57" t="s">
        <v>1121</v>
      </c>
      <c r="F149" s="57" t="s">
        <v>1122</v>
      </c>
      <c r="G149" s="57" t="s">
        <v>1123</v>
      </c>
      <c r="H149" s="56" t="str">
        <f t="shared" si="1"/>
        <v>CORRECT</v>
      </c>
      <c r="I149" s="56" t="s">
        <v>40</v>
      </c>
      <c r="J149" s="56" t="s">
        <v>40</v>
      </c>
      <c r="K149" s="57" t="s">
        <v>1124</v>
      </c>
      <c r="L149" s="63">
        <v>34230.0</v>
      </c>
      <c r="M149" s="61" t="s">
        <v>62</v>
      </c>
      <c r="N149" s="57"/>
    </row>
    <row r="150" ht="60.0" customHeight="1">
      <c r="A150" s="56">
        <v>144.0</v>
      </c>
      <c r="B150" s="57" t="s">
        <v>1125</v>
      </c>
      <c r="C150" s="57" t="s">
        <v>1126</v>
      </c>
      <c r="D150" s="57" t="s">
        <v>1127</v>
      </c>
      <c r="E150" s="57" t="s">
        <v>1128</v>
      </c>
      <c r="F150" s="57" t="s">
        <v>1129</v>
      </c>
      <c r="G150" s="57" t="s">
        <v>1130</v>
      </c>
      <c r="H150" s="56" t="str">
        <f t="shared" si="1"/>
        <v>CORRECT</v>
      </c>
      <c r="I150" s="56" t="s">
        <v>50</v>
      </c>
      <c r="J150" s="56" t="s">
        <v>50</v>
      </c>
      <c r="K150" s="57" t="s">
        <v>1131</v>
      </c>
      <c r="L150" s="63">
        <v>32066.0</v>
      </c>
      <c r="M150" s="61" t="s">
        <v>62</v>
      </c>
      <c r="N150" s="57"/>
    </row>
    <row r="151" ht="60.0" customHeight="1">
      <c r="A151" s="56">
        <v>145.0</v>
      </c>
      <c r="B151" s="57" t="s">
        <v>1132</v>
      </c>
      <c r="C151" s="57" t="s">
        <v>1133</v>
      </c>
      <c r="D151" s="57" t="s">
        <v>1134</v>
      </c>
      <c r="E151" s="57" t="s">
        <v>1135</v>
      </c>
      <c r="F151" s="57" t="s">
        <v>1136</v>
      </c>
      <c r="G151" s="57" t="s">
        <v>1059</v>
      </c>
      <c r="H151" s="56" t="str">
        <f t="shared" si="1"/>
        <v>WRONG</v>
      </c>
      <c r="I151" s="56" t="s">
        <v>40</v>
      </c>
      <c r="J151" s="56" t="s">
        <v>50</v>
      </c>
      <c r="K151" s="57" t="s">
        <v>1137</v>
      </c>
      <c r="L151" s="63">
        <v>27042.0</v>
      </c>
      <c r="M151" s="61" t="s">
        <v>42</v>
      </c>
      <c r="N151" s="57" t="s">
        <v>1138</v>
      </c>
    </row>
    <row r="152" ht="60.0" customHeight="1">
      <c r="A152" s="56">
        <v>146.0</v>
      </c>
      <c r="B152" s="57" t="s">
        <v>1139</v>
      </c>
      <c r="C152" s="57" t="s">
        <v>1140</v>
      </c>
      <c r="D152" s="57" t="s">
        <v>1141</v>
      </c>
      <c r="E152" s="57" t="s">
        <v>1142</v>
      </c>
      <c r="F152" s="57" t="s">
        <v>1143</v>
      </c>
      <c r="G152" s="57" t="s">
        <v>1144</v>
      </c>
      <c r="H152" s="56" t="str">
        <f t="shared" si="1"/>
        <v>CORRECT</v>
      </c>
      <c r="I152" s="56" t="s">
        <v>50</v>
      </c>
      <c r="J152" s="56" t="s">
        <v>50</v>
      </c>
      <c r="K152" s="57" t="s">
        <v>1145</v>
      </c>
      <c r="L152" s="63">
        <v>39633.0</v>
      </c>
      <c r="M152" s="61" t="s">
        <v>42</v>
      </c>
      <c r="N152" s="57" t="s">
        <v>1146</v>
      </c>
    </row>
    <row r="153" ht="60.0" customHeight="1">
      <c r="A153" s="56">
        <v>147.0</v>
      </c>
      <c r="B153" s="57" t="s">
        <v>1147</v>
      </c>
      <c r="C153" s="57" t="s">
        <v>1148</v>
      </c>
      <c r="D153" s="57" t="s">
        <v>1149</v>
      </c>
      <c r="E153" s="57" t="s">
        <v>1150</v>
      </c>
      <c r="F153" s="57" t="s">
        <v>1151</v>
      </c>
      <c r="G153" s="57" t="s">
        <v>1059</v>
      </c>
      <c r="H153" s="56" t="str">
        <f t="shared" si="1"/>
        <v>WRONG</v>
      </c>
      <c r="I153" s="56" t="s">
        <v>60</v>
      </c>
      <c r="J153" s="56" t="s">
        <v>77</v>
      </c>
      <c r="K153" s="57" t="s">
        <v>1152</v>
      </c>
      <c r="L153" s="63">
        <v>32525.0</v>
      </c>
      <c r="M153" s="61" t="s">
        <v>62</v>
      </c>
      <c r="N153" s="57"/>
    </row>
    <row r="154" ht="60.0" customHeight="1">
      <c r="A154" s="56">
        <v>148.0</v>
      </c>
      <c r="B154" s="57" t="s">
        <v>1153</v>
      </c>
      <c r="C154" s="57" t="s">
        <v>1154</v>
      </c>
      <c r="D154" s="57" t="s">
        <v>1155</v>
      </c>
      <c r="E154" s="57" t="s">
        <v>1156</v>
      </c>
      <c r="F154" s="57" t="s">
        <v>1157</v>
      </c>
      <c r="G154" s="57" t="s">
        <v>1059</v>
      </c>
      <c r="H154" s="56" t="str">
        <f t="shared" si="1"/>
        <v>CORRECT</v>
      </c>
      <c r="I154" s="56" t="s">
        <v>60</v>
      </c>
      <c r="J154" s="56" t="s">
        <v>60</v>
      </c>
      <c r="K154" s="57" t="s">
        <v>1158</v>
      </c>
      <c r="L154" s="63">
        <v>32485.0</v>
      </c>
      <c r="M154" s="61" t="s">
        <v>62</v>
      </c>
      <c r="N154" s="57"/>
    </row>
    <row r="155" ht="60.0" customHeight="1">
      <c r="A155" s="56">
        <v>149.0</v>
      </c>
      <c r="B155" s="57" t="s">
        <v>1159</v>
      </c>
      <c r="C155" s="57" t="s">
        <v>1160</v>
      </c>
      <c r="D155" s="57" t="s">
        <v>1161</v>
      </c>
      <c r="E155" s="57" t="s">
        <v>1162</v>
      </c>
      <c r="F155" s="57" t="s">
        <v>1163</v>
      </c>
      <c r="G155" s="57" t="s">
        <v>1164</v>
      </c>
      <c r="H155" s="56" t="str">
        <f t="shared" si="1"/>
        <v>CORRECT</v>
      </c>
      <c r="I155" s="56" t="s">
        <v>77</v>
      </c>
      <c r="J155" s="56" t="s">
        <v>77</v>
      </c>
      <c r="K155" s="57" t="s">
        <v>1165</v>
      </c>
      <c r="L155" s="63">
        <v>31682.0</v>
      </c>
      <c r="M155" s="61" t="s">
        <v>62</v>
      </c>
      <c r="N155" s="62"/>
    </row>
    <row r="156" ht="60.0" customHeight="1">
      <c r="A156" s="56">
        <v>150.0</v>
      </c>
      <c r="B156" s="57" t="s">
        <v>1166</v>
      </c>
      <c r="C156" s="57" t="s">
        <v>1167</v>
      </c>
      <c r="D156" s="57" t="s">
        <v>1168</v>
      </c>
      <c r="E156" s="57" t="s">
        <v>1169</v>
      </c>
      <c r="F156" s="57" t="s">
        <v>1170</v>
      </c>
      <c r="G156" s="57" t="s">
        <v>1059</v>
      </c>
      <c r="H156" s="56" t="str">
        <f t="shared" si="1"/>
        <v>CORRECT</v>
      </c>
      <c r="I156" s="56" t="s">
        <v>77</v>
      </c>
      <c r="J156" s="56" t="s">
        <v>77</v>
      </c>
      <c r="K156" s="57" t="s">
        <v>1171</v>
      </c>
      <c r="L156" s="63">
        <v>40646.0</v>
      </c>
      <c r="M156" s="61" t="s">
        <v>62</v>
      </c>
      <c r="N156" s="57"/>
    </row>
    <row r="157" ht="60.0" customHeight="1">
      <c r="A157" s="56">
        <v>151.0</v>
      </c>
      <c r="B157" s="57" t="s">
        <v>1172</v>
      </c>
      <c r="C157" s="57" t="s">
        <v>1173</v>
      </c>
      <c r="D157" s="57" t="s">
        <v>1174</v>
      </c>
      <c r="E157" s="57" t="s">
        <v>1175</v>
      </c>
      <c r="F157" s="57" t="s">
        <v>1176</v>
      </c>
      <c r="G157" s="57" t="s">
        <v>1177</v>
      </c>
      <c r="H157" s="56" t="str">
        <f t="shared" si="1"/>
        <v>CORRECT</v>
      </c>
      <c r="I157" s="56" t="s">
        <v>77</v>
      </c>
      <c r="J157" s="56" t="s">
        <v>77</v>
      </c>
      <c r="K157" s="57" t="s">
        <v>1178</v>
      </c>
      <c r="L157" s="63">
        <v>46032.0</v>
      </c>
      <c r="M157" s="61" t="s">
        <v>62</v>
      </c>
      <c r="N157" s="57"/>
    </row>
    <row r="158" ht="60.0" customHeight="1">
      <c r="A158" s="56">
        <v>152.0</v>
      </c>
      <c r="B158" s="57" t="s">
        <v>1179</v>
      </c>
      <c r="C158" s="57" t="s">
        <v>1180</v>
      </c>
      <c r="D158" s="57" t="s">
        <v>1181</v>
      </c>
      <c r="E158" s="57" t="s">
        <v>1182</v>
      </c>
      <c r="F158" s="57" t="s">
        <v>1183</v>
      </c>
      <c r="G158" s="57" t="s">
        <v>1059</v>
      </c>
      <c r="H158" s="56" t="str">
        <f t="shared" si="1"/>
        <v>WRONG</v>
      </c>
      <c r="I158" s="56" t="s">
        <v>77</v>
      </c>
      <c r="J158" s="56" t="s">
        <v>60</v>
      </c>
      <c r="K158" s="57" t="s">
        <v>1184</v>
      </c>
      <c r="L158" s="63">
        <v>31129.0</v>
      </c>
      <c r="M158" s="61" t="s">
        <v>42</v>
      </c>
      <c r="N158" s="57" t="s">
        <v>1185</v>
      </c>
    </row>
    <row r="159" ht="60.0" customHeight="1">
      <c r="A159" s="56">
        <v>153.0</v>
      </c>
      <c r="B159" s="57" t="s">
        <v>1186</v>
      </c>
      <c r="C159" s="57" t="s">
        <v>1187</v>
      </c>
      <c r="D159" s="57" t="s">
        <v>1188</v>
      </c>
      <c r="E159" s="57" t="s">
        <v>1189</v>
      </c>
      <c r="F159" s="57" t="s">
        <v>1190</v>
      </c>
      <c r="G159" s="57" t="s">
        <v>1191</v>
      </c>
      <c r="H159" s="56" t="str">
        <f t="shared" si="1"/>
        <v>CORRECT</v>
      </c>
      <c r="I159" s="56" t="s">
        <v>50</v>
      </c>
      <c r="J159" s="56" t="s">
        <v>50</v>
      </c>
      <c r="K159" s="57" t="s">
        <v>1192</v>
      </c>
      <c r="L159" s="63">
        <v>34103.0</v>
      </c>
      <c r="M159" s="61" t="s">
        <v>62</v>
      </c>
      <c r="N159" s="57"/>
    </row>
    <row r="160" ht="60.0" customHeight="1">
      <c r="A160" s="56">
        <v>154.0</v>
      </c>
      <c r="B160" s="57" t="s">
        <v>1193</v>
      </c>
      <c r="C160" s="57" t="s">
        <v>1194</v>
      </c>
      <c r="D160" s="57" t="s">
        <v>1195</v>
      </c>
      <c r="E160" s="57" t="s">
        <v>1196</v>
      </c>
      <c r="F160" s="57" t="s">
        <v>1197</v>
      </c>
      <c r="G160" s="57" t="s">
        <v>1198</v>
      </c>
      <c r="H160" s="56" t="str">
        <f t="shared" si="1"/>
        <v>WRONG</v>
      </c>
      <c r="I160" s="56" t="s">
        <v>40</v>
      </c>
      <c r="J160" s="56" t="s">
        <v>60</v>
      </c>
      <c r="K160" s="57" t="s">
        <v>1199</v>
      </c>
      <c r="L160" s="63">
        <v>43657.0</v>
      </c>
      <c r="M160" s="61" t="s">
        <v>42</v>
      </c>
      <c r="N160" s="57" t="s">
        <v>1200</v>
      </c>
    </row>
    <row r="161" ht="60.0" customHeight="1">
      <c r="A161" s="56">
        <v>155.0</v>
      </c>
      <c r="B161" s="57" t="s">
        <v>1201</v>
      </c>
      <c r="C161" s="57" t="s">
        <v>1202</v>
      </c>
      <c r="D161" s="57" t="s">
        <v>1203</v>
      </c>
      <c r="E161" s="57" t="s">
        <v>1204</v>
      </c>
      <c r="F161" s="57" t="s">
        <v>1205</v>
      </c>
      <c r="G161" s="57" t="s">
        <v>1206</v>
      </c>
      <c r="H161" s="56" t="str">
        <f t="shared" si="1"/>
        <v>CORRECT</v>
      </c>
      <c r="I161" s="56" t="s">
        <v>50</v>
      </c>
      <c r="J161" s="56" t="s">
        <v>50</v>
      </c>
      <c r="K161" s="57" t="s">
        <v>1207</v>
      </c>
      <c r="L161" s="63">
        <v>34543.0</v>
      </c>
      <c r="M161" s="61" t="s">
        <v>42</v>
      </c>
      <c r="N161" s="57" t="s">
        <v>1208</v>
      </c>
    </row>
    <row r="162" ht="60.0" customHeight="1">
      <c r="A162" s="56">
        <v>156.0</v>
      </c>
      <c r="B162" s="57" t="s">
        <v>1209</v>
      </c>
      <c r="C162" s="57" t="s">
        <v>1210</v>
      </c>
      <c r="D162" s="57" t="s">
        <v>1211</v>
      </c>
      <c r="E162" s="57" t="s">
        <v>1212</v>
      </c>
      <c r="F162" s="57" t="s">
        <v>1213</v>
      </c>
      <c r="G162" s="57" t="s">
        <v>1214</v>
      </c>
      <c r="H162" s="56" t="str">
        <f t="shared" si="1"/>
        <v>CORRECT</v>
      </c>
      <c r="I162" s="56" t="s">
        <v>77</v>
      </c>
      <c r="J162" s="56" t="s">
        <v>77</v>
      </c>
      <c r="K162" s="57" t="s">
        <v>1215</v>
      </c>
      <c r="L162" s="63">
        <v>43991.0</v>
      </c>
      <c r="M162" s="61" t="s">
        <v>62</v>
      </c>
      <c r="N162" s="57"/>
    </row>
    <row r="163" ht="60.0" customHeight="1">
      <c r="A163" s="56">
        <v>157.0</v>
      </c>
      <c r="B163" s="57" t="s">
        <v>1216</v>
      </c>
      <c r="C163" s="57" t="s">
        <v>1217</v>
      </c>
      <c r="D163" s="57" t="s">
        <v>1218</v>
      </c>
      <c r="E163" s="57" t="s">
        <v>1219</v>
      </c>
      <c r="F163" s="57" t="s">
        <v>1220</v>
      </c>
      <c r="G163" s="57" t="s">
        <v>1059</v>
      </c>
      <c r="H163" s="56" t="str">
        <f t="shared" si="1"/>
        <v>CORRECT</v>
      </c>
      <c r="I163" s="56" t="s">
        <v>40</v>
      </c>
      <c r="J163" s="56" t="s">
        <v>40</v>
      </c>
      <c r="K163" s="57" t="s">
        <v>1221</v>
      </c>
      <c r="L163" s="63">
        <v>32365.0</v>
      </c>
      <c r="M163" s="61" t="s">
        <v>62</v>
      </c>
      <c r="N163" s="57"/>
    </row>
    <row r="164" ht="60.0" customHeight="1">
      <c r="A164" s="56">
        <v>158.0</v>
      </c>
      <c r="B164" s="57" t="s">
        <v>1222</v>
      </c>
      <c r="C164" s="57" t="s">
        <v>1223</v>
      </c>
      <c r="D164" s="57" t="s">
        <v>1224</v>
      </c>
      <c r="E164" s="57" t="s">
        <v>1225</v>
      </c>
      <c r="F164" s="57" t="s">
        <v>1226</v>
      </c>
      <c r="G164" s="57" t="s">
        <v>1227</v>
      </c>
      <c r="H164" s="56" t="str">
        <f t="shared" si="1"/>
        <v>CORRECT</v>
      </c>
      <c r="I164" s="56" t="s">
        <v>51</v>
      </c>
      <c r="J164" s="56" t="s">
        <v>51</v>
      </c>
      <c r="K164" s="57" t="s">
        <v>1228</v>
      </c>
      <c r="L164" s="63">
        <v>49355.0</v>
      </c>
      <c r="M164" s="61" t="s">
        <v>42</v>
      </c>
      <c r="N164" s="57" t="s">
        <v>1229</v>
      </c>
    </row>
    <row r="165" ht="60.0" customHeight="1">
      <c r="A165" s="56">
        <v>159.0</v>
      </c>
      <c r="B165" s="57" t="s">
        <v>1230</v>
      </c>
      <c r="C165" s="57" t="s">
        <v>1231</v>
      </c>
      <c r="D165" s="57" t="s">
        <v>1232</v>
      </c>
      <c r="E165" s="57" t="s">
        <v>1233</v>
      </c>
      <c r="F165" s="57" t="s">
        <v>1234</v>
      </c>
      <c r="G165" s="57" t="s">
        <v>1235</v>
      </c>
      <c r="H165" s="56" t="str">
        <f t="shared" si="1"/>
        <v>WRONG</v>
      </c>
      <c r="I165" s="56" t="s">
        <v>50</v>
      </c>
      <c r="J165" s="56" t="s">
        <v>77</v>
      </c>
      <c r="K165" s="57" t="s">
        <v>1236</v>
      </c>
      <c r="L165" s="63">
        <v>33844.0</v>
      </c>
      <c r="M165" s="61" t="s">
        <v>62</v>
      </c>
      <c r="N165" s="57"/>
    </row>
    <row r="166" ht="60.0" customHeight="1">
      <c r="A166" s="56">
        <v>160.0</v>
      </c>
      <c r="B166" s="57" t="s">
        <v>1237</v>
      </c>
      <c r="C166" s="57" t="s">
        <v>1238</v>
      </c>
      <c r="D166" s="57" t="s">
        <v>1239</v>
      </c>
      <c r="E166" s="57" t="s">
        <v>1240</v>
      </c>
      <c r="F166" s="57" t="s">
        <v>1241</v>
      </c>
      <c r="G166" s="57" t="s">
        <v>1059</v>
      </c>
      <c r="H166" s="56" t="str">
        <f t="shared" si="1"/>
        <v>CORRECT</v>
      </c>
      <c r="I166" s="56" t="s">
        <v>60</v>
      </c>
      <c r="J166" s="56" t="s">
        <v>60</v>
      </c>
      <c r="K166" s="57" t="s">
        <v>1242</v>
      </c>
      <c r="L166" s="63">
        <v>32626.0</v>
      </c>
      <c r="M166" s="61" t="s">
        <v>42</v>
      </c>
      <c r="N166" s="57" t="s">
        <v>1243</v>
      </c>
    </row>
    <row r="167" ht="60.0" customHeight="1">
      <c r="A167" s="56">
        <v>161.0</v>
      </c>
      <c r="B167" s="57" t="s">
        <v>1244</v>
      </c>
      <c r="C167" s="57" t="s">
        <v>1245</v>
      </c>
      <c r="D167" s="57" t="s">
        <v>1246</v>
      </c>
      <c r="E167" s="57" t="s">
        <v>1247</v>
      </c>
      <c r="F167" s="57" t="s">
        <v>1248</v>
      </c>
      <c r="G167" s="57" t="s">
        <v>1249</v>
      </c>
      <c r="H167" s="56" t="str">
        <f t="shared" si="1"/>
        <v>WRONG</v>
      </c>
      <c r="I167" s="56" t="s">
        <v>40</v>
      </c>
      <c r="J167" s="56" t="s">
        <v>77</v>
      </c>
      <c r="K167" s="57" t="s">
        <v>1250</v>
      </c>
      <c r="L167" s="63">
        <v>35800.0</v>
      </c>
      <c r="M167" s="61" t="s">
        <v>62</v>
      </c>
      <c r="N167" s="57"/>
    </row>
    <row r="168" ht="60.0" customHeight="1">
      <c r="A168" s="56">
        <v>162.0</v>
      </c>
      <c r="B168" s="57" t="s">
        <v>1251</v>
      </c>
      <c r="C168" s="57" t="s">
        <v>1252</v>
      </c>
      <c r="D168" s="57" t="s">
        <v>1253</v>
      </c>
      <c r="E168" s="57" t="s">
        <v>1254</v>
      </c>
      <c r="F168" s="57" t="s">
        <v>1255</v>
      </c>
      <c r="G168" s="57" t="s">
        <v>1256</v>
      </c>
      <c r="H168" s="56" t="str">
        <f t="shared" si="1"/>
        <v>WRONG</v>
      </c>
      <c r="I168" s="56" t="s">
        <v>77</v>
      </c>
      <c r="J168" s="56" t="s">
        <v>60</v>
      </c>
      <c r="K168" s="57" t="s">
        <v>1257</v>
      </c>
      <c r="L168" s="63">
        <v>45755.0</v>
      </c>
      <c r="M168" s="61" t="s">
        <v>42</v>
      </c>
      <c r="N168" s="57" t="s">
        <v>1258</v>
      </c>
    </row>
    <row r="169" ht="60.0" customHeight="1">
      <c r="A169" s="56">
        <v>163.0</v>
      </c>
      <c r="B169" s="57" t="s">
        <v>1259</v>
      </c>
      <c r="C169" s="57" t="s">
        <v>1260</v>
      </c>
      <c r="D169" s="57" t="s">
        <v>1261</v>
      </c>
      <c r="E169" s="57" t="s">
        <v>1262</v>
      </c>
      <c r="F169" s="57" t="s">
        <v>1263</v>
      </c>
      <c r="G169" s="57" t="s">
        <v>1059</v>
      </c>
      <c r="H169" s="56" t="str">
        <f t="shared" si="1"/>
        <v>WRONG</v>
      </c>
      <c r="I169" s="56" t="s">
        <v>40</v>
      </c>
      <c r="J169" s="56" t="s">
        <v>51</v>
      </c>
      <c r="K169" s="57" t="s">
        <v>1264</v>
      </c>
      <c r="L169" s="63">
        <v>54677.0</v>
      </c>
      <c r="M169" s="61" t="s">
        <v>42</v>
      </c>
      <c r="N169" s="57" t="s">
        <v>1265</v>
      </c>
    </row>
    <row r="170" ht="60.0" customHeight="1">
      <c r="A170" s="56">
        <v>164.0</v>
      </c>
      <c r="B170" s="57" t="s">
        <v>1266</v>
      </c>
      <c r="C170" s="57" t="s">
        <v>1267</v>
      </c>
      <c r="D170" s="57" t="s">
        <v>1268</v>
      </c>
      <c r="E170" s="57" t="s">
        <v>1269</v>
      </c>
      <c r="F170" s="57" t="s">
        <v>1270</v>
      </c>
      <c r="G170" s="57" t="s">
        <v>1271</v>
      </c>
      <c r="H170" s="56" t="str">
        <f t="shared" si="1"/>
        <v>WRONG</v>
      </c>
      <c r="I170" s="56" t="s">
        <v>51</v>
      </c>
      <c r="J170" s="56" t="s">
        <v>50</v>
      </c>
      <c r="K170" s="57" t="s">
        <v>1272</v>
      </c>
      <c r="L170" s="63">
        <v>32187.0</v>
      </c>
      <c r="M170" s="61" t="s">
        <v>62</v>
      </c>
      <c r="N170" s="57"/>
    </row>
    <row r="171" ht="60.0" customHeight="1">
      <c r="A171" s="56">
        <v>165.0</v>
      </c>
      <c r="B171" s="57" t="s">
        <v>1273</v>
      </c>
      <c r="C171" s="57" t="s">
        <v>1274</v>
      </c>
      <c r="D171" s="57" t="s">
        <v>1275</v>
      </c>
      <c r="E171" s="57" t="s">
        <v>1276</v>
      </c>
      <c r="F171" s="57" t="s">
        <v>1277</v>
      </c>
      <c r="G171" s="57" t="s">
        <v>1059</v>
      </c>
      <c r="H171" s="56" t="str">
        <f t="shared" si="1"/>
        <v>WRONG</v>
      </c>
      <c r="I171" s="56" t="s">
        <v>40</v>
      </c>
      <c r="J171" s="56" t="s">
        <v>51</v>
      </c>
      <c r="K171" s="57" t="s">
        <v>1278</v>
      </c>
      <c r="L171" s="63">
        <v>34738.0</v>
      </c>
      <c r="M171" s="61" t="s">
        <v>62</v>
      </c>
      <c r="N171" s="57"/>
    </row>
    <row r="172" ht="60.0" customHeight="1">
      <c r="A172" s="56">
        <v>166.0</v>
      </c>
      <c r="B172" s="57" t="s">
        <v>1279</v>
      </c>
      <c r="C172" s="57" t="s">
        <v>1280</v>
      </c>
      <c r="D172" s="57" t="s">
        <v>1281</v>
      </c>
      <c r="E172" s="57" t="s">
        <v>1282</v>
      </c>
      <c r="F172" s="57" t="s">
        <v>1283</v>
      </c>
      <c r="G172" s="57" t="s">
        <v>1284</v>
      </c>
      <c r="H172" s="56" t="str">
        <f t="shared" si="1"/>
        <v>WRONG</v>
      </c>
      <c r="I172" s="56" t="s">
        <v>60</v>
      </c>
      <c r="J172" s="56" t="s">
        <v>50</v>
      </c>
      <c r="K172" s="57" t="s">
        <v>1285</v>
      </c>
      <c r="L172" s="63">
        <v>37241.0</v>
      </c>
      <c r="M172" s="61" t="s">
        <v>42</v>
      </c>
      <c r="N172" s="57" t="s">
        <v>1286</v>
      </c>
    </row>
    <row r="173" ht="60.0" customHeight="1">
      <c r="A173" s="56">
        <v>167.0</v>
      </c>
      <c r="B173" s="57" t="s">
        <v>1287</v>
      </c>
      <c r="C173" s="57" t="s">
        <v>1288</v>
      </c>
      <c r="D173" s="57" t="s">
        <v>1289</v>
      </c>
      <c r="E173" s="57" t="s">
        <v>1290</v>
      </c>
      <c r="F173" s="57" t="s">
        <v>1291</v>
      </c>
      <c r="G173" s="57" t="s">
        <v>1292</v>
      </c>
      <c r="H173" s="56" t="str">
        <f t="shared" si="1"/>
        <v>WRONG</v>
      </c>
      <c r="I173" s="56" t="s">
        <v>40</v>
      </c>
      <c r="J173" s="56" t="s">
        <v>50</v>
      </c>
      <c r="K173" s="57" t="s">
        <v>1293</v>
      </c>
      <c r="L173" s="63">
        <v>36760.0</v>
      </c>
      <c r="M173" s="61" t="s">
        <v>42</v>
      </c>
      <c r="N173" s="57" t="s">
        <v>1294</v>
      </c>
    </row>
    <row r="174" ht="60.0" customHeight="1">
      <c r="A174" s="56">
        <v>168.0</v>
      </c>
      <c r="B174" s="57" t="s">
        <v>1295</v>
      </c>
      <c r="C174" s="57" t="s">
        <v>1296</v>
      </c>
      <c r="D174" s="57" t="s">
        <v>1297</v>
      </c>
      <c r="E174" s="57" t="s">
        <v>1298</v>
      </c>
      <c r="F174" s="57" t="s">
        <v>1299</v>
      </c>
      <c r="G174" s="57" t="s">
        <v>1300</v>
      </c>
      <c r="H174" s="56" t="str">
        <f t="shared" si="1"/>
        <v>WRONG</v>
      </c>
      <c r="I174" s="56" t="s">
        <v>40</v>
      </c>
      <c r="J174" s="56" t="s">
        <v>77</v>
      </c>
      <c r="K174" s="57" t="s">
        <v>1301</v>
      </c>
      <c r="L174" s="63">
        <v>36908.0</v>
      </c>
      <c r="M174" s="61" t="s">
        <v>62</v>
      </c>
      <c r="N174" s="57"/>
    </row>
    <row r="175" ht="60.0" customHeight="1">
      <c r="A175" s="56">
        <v>169.0</v>
      </c>
      <c r="B175" s="57" t="s">
        <v>1302</v>
      </c>
      <c r="C175" s="57" t="s">
        <v>1303</v>
      </c>
      <c r="D175" s="57" t="s">
        <v>1304</v>
      </c>
      <c r="E175" s="57" t="s">
        <v>1305</v>
      </c>
      <c r="F175" s="57" t="s">
        <v>1306</v>
      </c>
      <c r="G175" s="57" t="s">
        <v>1059</v>
      </c>
      <c r="H175" s="56" t="str">
        <f t="shared" si="1"/>
        <v>CORRECT</v>
      </c>
      <c r="I175" s="56" t="s">
        <v>60</v>
      </c>
      <c r="J175" s="56" t="s">
        <v>60</v>
      </c>
      <c r="K175" s="57" t="s">
        <v>1307</v>
      </c>
      <c r="L175" s="63">
        <v>40667.0</v>
      </c>
      <c r="M175" s="61" t="s">
        <v>62</v>
      </c>
      <c r="N175" s="57"/>
    </row>
    <row r="176" ht="60.0" customHeight="1">
      <c r="A176" s="56">
        <v>170.0</v>
      </c>
      <c r="B176" s="57" t="s">
        <v>1308</v>
      </c>
      <c r="C176" s="57" t="s">
        <v>1309</v>
      </c>
      <c r="D176" s="57" t="s">
        <v>1310</v>
      </c>
      <c r="E176" s="57" t="s">
        <v>1311</v>
      </c>
      <c r="F176" s="57" t="s">
        <v>1312</v>
      </c>
      <c r="G176" s="57" t="s">
        <v>1313</v>
      </c>
      <c r="H176" s="56" t="str">
        <f t="shared" si="1"/>
        <v>CORRECT</v>
      </c>
      <c r="I176" s="56" t="s">
        <v>51</v>
      </c>
      <c r="J176" s="56" t="s">
        <v>51</v>
      </c>
      <c r="K176" s="57" t="s">
        <v>1314</v>
      </c>
      <c r="L176" s="63">
        <v>33136.0</v>
      </c>
      <c r="M176" s="61" t="s">
        <v>42</v>
      </c>
      <c r="N176" s="57" t="s">
        <v>1315</v>
      </c>
    </row>
    <row r="177" ht="60.0" customHeight="1">
      <c r="A177" s="56">
        <v>171.0</v>
      </c>
      <c r="B177" s="57" t="s">
        <v>1316</v>
      </c>
      <c r="C177" s="57" t="s">
        <v>1317</v>
      </c>
      <c r="D177" s="57" t="s">
        <v>1318</v>
      </c>
      <c r="E177" s="57" t="s">
        <v>1319</v>
      </c>
      <c r="F177" s="57" t="s">
        <v>1320</v>
      </c>
      <c r="G177" s="57" t="s">
        <v>1059</v>
      </c>
      <c r="H177" s="56" t="str">
        <f t="shared" si="1"/>
        <v>CORRECT</v>
      </c>
      <c r="I177" s="56" t="s">
        <v>60</v>
      </c>
      <c r="J177" s="56" t="s">
        <v>60</v>
      </c>
      <c r="K177" s="57" t="s">
        <v>1321</v>
      </c>
      <c r="L177" s="63">
        <v>26179.0</v>
      </c>
      <c r="M177" s="61" t="s">
        <v>42</v>
      </c>
      <c r="N177" s="57" t="s">
        <v>1322</v>
      </c>
    </row>
    <row r="178" ht="60.0" customHeight="1">
      <c r="A178" s="56">
        <v>172.0</v>
      </c>
      <c r="B178" s="57" t="s">
        <v>1323</v>
      </c>
      <c r="C178" s="57" t="s">
        <v>1324</v>
      </c>
      <c r="D178" s="57" t="s">
        <v>1325</v>
      </c>
      <c r="E178" s="57" t="s">
        <v>1326</v>
      </c>
      <c r="F178" s="57" t="s">
        <v>1327</v>
      </c>
      <c r="G178" s="57" t="s">
        <v>1059</v>
      </c>
      <c r="H178" s="56" t="str">
        <f t="shared" si="1"/>
        <v>CORRECT</v>
      </c>
      <c r="I178" s="56" t="s">
        <v>50</v>
      </c>
      <c r="J178" s="56" t="s">
        <v>50</v>
      </c>
      <c r="K178" s="57" t="s">
        <v>1328</v>
      </c>
      <c r="L178" s="63">
        <v>42365.0</v>
      </c>
      <c r="M178" s="61" t="s">
        <v>62</v>
      </c>
      <c r="N178" s="57"/>
    </row>
    <row r="179" ht="60.0" customHeight="1">
      <c r="A179" s="56">
        <v>173.0</v>
      </c>
      <c r="B179" s="57" t="s">
        <v>1329</v>
      </c>
      <c r="C179" s="57" t="s">
        <v>1330</v>
      </c>
      <c r="D179" s="57" t="s">
        <v>1331</v>
      </c>
      <c r="E179" s="57" t="s">
        <v>1332</v>
      </c>
      <c r="F179" s="57" t="s">
        <v>1333</v>
      </c>
      <c r="G179" s="57" t="s">
        <v>1334</v>
      </c>
      <c r="H179" s="56" t="str">
        <f t="shared" si="1"/>
        <v>CORRECT</v>
      </c>
      <c r="I179" s="56" t="s">
        <v>40</v>
      </c>
      <c r="J179" s="56" t="s">
        <v>40</v>
      </c>
      <c r="K179" s="57" t="s">
        <v>1335</v>
      </c>
      <c r="L179" s="63">
        <v>42869.0</v>
      </c>
      <c r="M179" s="61" t="s">
        <v>42</v>
      </c>
      <c r="N179" s="57" t="s">
        <v>1336</v>
      </c>
    </row>
    <row r="180" ht="60.0" customHeight="1">
      <c r="A180" s="56">
        <v>174.0</v>
      </c>
      <c r="B180" s="57" t="s">
        <v>1337</v>
      </c>
      <c r="C180" s="57" t="s">
        <v>1338</v>
      </c>
      <c r="D180" s="57" t="s">
        <v>1339</v>
      </c>
      <c r="E180" s="57" t="s">
        <v>1340</v>
      </c>
      <c r="F180" s="57" t="s">
        <v>1341</v>
      </c>
      <c r="G180" s="57" t="s">
        <v>1342</v>
      </c>
      <c r="H180" s="56" t="str">
        <f t="shared" si="1"/>
        <v>CORRECT</v>
      </c>
      <c r="I180" s="56" t="s">
        <v>77</v>
      </c>
      <c r="J180" s="56" t="s">
        <v>77</v>
      </c>
      <c r="K180" s="57" t="s">
        <v>1343</v>
      </c>
      <c r="L180" s="63">
        <v>31699.0</v>
      </c>
      <c r="M180" s="61" t="s">
        <v>62</v>
      </c>
      <c r="N180" s="62"/>
    </row>
    <row r="181" ht="60.0" customHeight="1">
      <c r="A181" s="56">
        <v>175.0</v>
      </c>
      <c r="B181" s="57" t="s">
        <v>1344</v>
      </c>
      <c r="C181" s="57" t="s">
        <v>1345</v>
      </c>
      <c r="D181" s="57" t="s">
        <v>1346</v>
      </c>
      <c r="E181" s="57" t="s">
        <v>1347</v>
      </c>
      <c r="F181" s="57" t="s">
        <v>1348</v>
      </c>
      <c r="G181" s="57" t="s">
        <v>1349</v>
      </c>
      <c r="H181" s="56" t="str">
        <f t="shared" si="1"/>
        <v>CORRECT</v>
      </c>
      <c r="I181" s="56" t="s">
        <v>50</v>
      </c>
      <c r="J181" s="56" t="s">
        <v>50</v>
      </c>
      <c r="K181" s="57" t="s">
        <v>1350</v>
      </c>
      <c r="L181" s="63">
        <v>39491.0</v>
      </c>
      <c r="M181" s="61" t="s">
        <v>62</v>
      </c>
      <c r="N181" s="57"/>
    </row>
    <row r="182" ht="60.0" customHeight="1">
      <c r="A182" s="56">
        <v>176.0</v>
      </c>
      <c r="B182" s="57" t="s">
        <v>1351</v>
      </c>
      <c r="C182" s="57" t="s">
        <v>1352</v>
      </c>
      <c r="D182" s="57" t="s">
        <v>1353</v>
      </c>
      <c r="E182" s="57" t="s">
        <v>1354</v>
      </c>
      <c r="F182" s="57" t="s">
        <v>1355</v>
      </c>
      <c r="G182" s="57" t="s">
        <v>1356</v>
      </c>
      <c r="H182" s="56" t="str">
        <f t="shared" si="1"/>
        <v>CORRECT</v>
      </c>
      <c r="I182" s="56" t="s">
        <v>50</v>
      </c>
      <c r="J182" s="56" t="s">
        <v>50</v>
      </c>
      <c r="K182" s="57" t="s">
        <v>1357</v>
      </c>
      <c r="L182" s="63">
        <v>33732.0</v>
      </c>
      <c r="M182" s="61" t="s">
        <v>62</v>
      </c>
      <c r="N182" s="57"/>
    </row>
    <row r="183" ht="60.0" customHeight="1">
      <c r="A183" s="56">
        <v>177.0</v>
      </c>
      <c r="B183" s="57" t="s">
        <v>1358</v>
      </c>
      <c r="C183" s="57" t="s">
        <v>1359</v>
      </c>
      <c r="D183" s="57" t="s">
        <v>1360</v>
      </c>
      <c r="E183" s="57" t="s">
        <v>1361</v>
      </c>
      <c r="F183" s="57" t="s">
        <v>1362</v>
      </c>
      <c r="G183" s="57" t="s">
        <v>1363</v>
      </c>
      <c r="H183" s="56" t="str">
        <f t="shared" si="1"/>
        <v>CORRECT</v>
      </c>
      <c r="I183" s="56" t="s">
        <v>50</v>
      </c>
      <c r="J183" s="56" t="s">
        <v>50</v>
      </c>
      <c r="K183" s="57" t="s">
        <v>1364</v>
      </c>
      <c r="L183" s="63">
        <v>35814.0</v>
      </c>
      <c r="M183" s="61" t="s">
        <v>62</v>
      </c>
      <c r="N183" s="57"/>
    </row>
    <row r="184" ht="60.0" customHeight="1">
      <c r="A184" s="56">
        <v>178.0</v>
      </c>
      <c r="B184" s="57" t="s">
        <v>1365</v>
      </c>
      <c r="C184" s="57" t="s">
        <v>1366</v>
      </c>
      <c r="D184" s="57" t="s">
        <v>1367</v>
      </c>
      <c r="E184" s="57" t="s">
        <v>1368</v>
      </c>
      <c r="F184" s="57" t="s">
        <v>1369</v>
      </c>
      <c r="G184" s="57" t="s">
        <v>1370</v>
      </c>
      <c r="H184" s="56" t="str">
        <f t="shared" si="1"/>
        <v>CORRECT</v>
      </c>
      <c r="I184" s="56" t="s">
        <v>40</v>
      </c>
      <c r="J184" s="56" t="s">
        <v>40</v>
      </c>
      <c r="K184" s="57" t="s">
        <v>1371</v>
      </c>
      <c r="L184" s="63">
        <v>38003.0</v>
      </c>
      <c r="M184" s="61" t="s">
        <v>42</v>
      </c>
      <c r="N184" s="57" t="s">
        <v>1372</v>
      </c>
    </row>
    <row r="185" ht="60.0" customHeight="1">
      <c r="A185" s="56">
        <v>179.0</v>
      </c>
      <c r="B185" s="57" t="s">
        <v>1373</v>
      </c>
      <c r="C185" s="57" t="s">
        <v>1374</v>
      </c>
      <c r="D185" s="57" t="s">
        <v>1375</v>
      </c>
      <c r="E185" s="57" t="s">
        <v>1376</v>
      </c>
      <c r="F185" s="57" t="s">
        <v>1377</v>
      </c>
      <c r="G185" s="57" t="s">
        <v>1378</v>
      </c>
      <c r="H185" s="56" t="str">
        <f t="shared" si="1"/>
        <v>WRONG</v>
      </c>
      <c r="I185" s="56" t="s">
        <v>51</v>
      </c>
      <c r="J185" s="56" t="s">
        <v>50</v>
      </c>
      <c r="K185" s="57" t="s">
        <v>1379</v>
      </c>
      <c r="L185" s="63">
        <v>35300.0</v>
      </c>
      <c r="M185" s="61" t="s">
        <v>62</v>
      </c>
      <c r="N185" s="57"/>
    </row>
    <row r="186" ht="60.0" customHeight="1">
      <c r="A186" s="56">
        <v>180.0</v>
      </c>
      <c r="B186" s="57" t="s">
        <v>1380</v>
      </c>
      <c r="C186" s="57" t="s">
        <v>1381</v>
      </c>
      <c r="D186" s="57" t="s">
        <v>1382</v>
      </c>
      <c r="E186" s="57" t="s">
        <v>1383</v>
      </c>
      <c r="F186" s="57" t="s">
        <v>1384</v>
      </c>
      <c r="G186" s="57" t="s">
        <v>1385</v>
      </c>
      <c r="H186" s="56" t="str">
        <f t="shared" si="1"/>
        <v>CORRECT</v>
      </c>
      <c r="I186" s="56" t="s">
        <v>77</v>
      </c>
      <c r="J186" s="56" t="s">
        <v>77</v>
      </c>
      <c r="K186" s="57" t="s">
        <v>1386</v>
      </c>
      <c r="L186" s="63">
        <v>36983.0</v>
      </c>
      <c r="M186" s="61" t="s">
        <v>62</v>
      </c>
      <c r="N186" s="57"/>
    </row>
    <row r="187" ht="60.0" customHeight="1">
      <c r="A187" s="56">
        <v>181.0</v>
      </c>
      <c r="B187" s="57" t="s">
        <v>1387</v>
      </c>
      <c r="C187" s="57" t="s">
        <v>1388</v>
      </c>
      <c r="D187" s="57" t="s">
        <v>1389</v>
      </c>
      <c r="E187" s="57" t="s">
        <v>1390</v>
      </c>
      <c r="F187" s="57" t="s">
        <v>1391</v>
      </c>
      <c r="G187" s="57" t="s">
        <v>1392</v>
      </c>
      <c r="H187" s="56" t="str">
        <f t="shared" si="1"/>
        <v>CORRECT</v>
      </c>
      <c r="I187" s="56" t="s">
        <v>40</v>
      </c>
      <c r="J187" s="56" t="s">
        <v>40</v>
      </c>
      <c r="K187" s="57" t="s">
        <v>1393</v>
      </c>
      <c r="L187" s="63">
        <v>35935.0</v>
      </c>
      <c r="M187" s="61" t="s">
        <v>62</v>
      </c>
      <c r="N187" s="57"/>
    </row>
    <row r="188" ht="60.0" customHeight="1">
      <c r="A188" s="56">
        <v>182.0</v>
      </c>
      <c r="B188" s="57" t="s">
        <v>1394</v>
      </c>
      <c r="C188" s="57" t="s">
        <v>1395</v>
      </c>
      <c r="D188" s="57" t="s">
        <v>1396</v>
      </c>
      <c r="E188" s="57" t="s">
        <v>1397</v>
      </c>
      <c r="F188" s="57" t="s">
        <v>1398</v>
      </c>
      <c r="G188" s="57" t="s">
        <v>1399</v>
      </c>
      <c r="H188" s="56" t="str">
        <f t="shared" si="1"/>
        <v>CORRECT</v>
      </c>
      <c r="I188" s="56" t="s">
        <v>50</v>
      </c>
      <c r="J188" s="56" t="s">
        <v>50</v>
      </c>
      <c r="K188" s="57" t="s">
        <v>1400</v>
      </c>
      <c r="L188" s="63">
        <v>28265.0</v>
      </c>
      <c r="M188" s="61" t="s">
        <v>62</v>
      </c>
      <c r="N188" s="57"/>
    </row>
    <row r="189" ht="60.0" customHeight="1">
      <c r="A189" s="56">
        <v>183.0</v>
      </c>
      <c r="B189" s="57" t="s">
        <v>1401</v>
      </c>
      <c r="C189" s="57" t="s">
        <v>1402</v>
      </c>
      <c r="D189" s="57" t="s">
        <v>1403</v>
      </c>
      <c r="E189" s="57" t="s">
        <v>1404</v>
      </c>
      <c r="F189" s="57" t="s">
        <v>1405</v>
      </c>
      <c r="G189" s="57" t="s">
        <v>1406</v>
      </c>
      <c r="H189" s="56" t="str">
        <f t="shared" si="1"/>
        <v>CORRECT</v>
      </c>
      <c r="I189" s="56" t="s">
        <v>51</v>
      </c>
      <c r="J189" s="56" t="s">
        <v>51</v>
      </c>
      <c r="K189" s="57" t="s">
        <v>1407</v>
      </c>
      <c r="L189" s="63">
        <v>36288.0</v>
      </c>
      <c r="M189" s="61" t="s">
        <v>62</v>
      </c>
      <c r="N189" s="62"/>
    </row>
    <row r="190" ht="60.0" customHeight="1">
      <c r="A190" s="56">
        <v>184.0</v>
      </c>
      <c r="B190" s="57" t="s">
        <v>1408</v>
      </c>
      <c r="C190" s="57" t="s">
        <v>1409</v>
      </c>
      <c r="D190" s="57" t="s">
        <v>1410</v>
      </c>
      <c r="E190" s="57" t="s">
        <v>1411</v>
      </c>
      <c r="F190" s="57" t="s">
        <v>1412</v>
      </c>
      <c r="G190" s="57" t="s">
        <v>1413</v>
      </c>
      <c r="H190" s="56" t="str">
        <f t="shared" si="1"/>
        <v>CORRECT</v>
      </c>
      <c r="I190" s="56" t="s">
        <v>51</v>
      </c>
      <c r="J190" s="56" t="s">
        <v>51</v>
      </c>
      <c r="K190" s="57" t="s">
        <v>1414</v>
      </c>
      <c r="L190" s="63">
        <v>35307.0</v>
      </c>
      <c r="M190" s="61" t="s">
        <v>62</v>
      </c>
      <c r="N190" s="62"/>
    </row>
    <row r="191" ht="60.0" customHeight="1">
      <c r="A191" s="56">
        <v>185.0</v>
      </c>
      <c r="B191" s="57" t="s">
        <v>1415</v>
      </c>
      <c r="C191" s="57" t="s">
        <v>1416</v>
      </c>
      <c r="D191" s="57" t="s">
        <v>1417</v>
      </c>
      <c r="E191" s="57" t="s">
        <v>1418</v>
      </c>
      <c r="F191" s="57" t="s">
        <v>1419</v>
      </c>
      <c r="G191" s="57" t="s">
        <v>1420</v>
      </c>
      <c r="H191" s="56" t="str">
        <f t="shared" si="1"/>
        <v>CORRECT</v>
      </c>
      <c r="I191" s="56" t="s">
        <v>60</v>
      </c>
      <c r="J191" s="56" t="s">
        <v>60</v>
      </c>
      <c r="K191" s="57" t="s">
        <v>1421</v>
      </c>
      <c r="L191" s="63">
        <v>36051.0</v>
      </c>
      <c r="M191" s="61" t="s">
        <v>62</v>
      </c>
      <c r="N191" s="62"/>
    </row>
    <row r="192" ht="60.0" customHeight="1">
      <c r="A192" s="56">
        <v>186.0</v>
      </c>
      <c r="B192" s="57" t="s">
        <v>1422</v>
      </c>
      <c r="C192" s="57" t="s">
        <v>1423</v>
      </c>
      <c r="D192" s="57" t="s">
        <v>1424</v>
      </c>
      <c r="E192" s="57" t="s">
        <v>1425</v>
      </c>
      <c r="F192" s="57" t="s">
        <v>1426</v>
      </c>
      <c r="G192" s="57" t="s">
        <v>1427</v>
      </c>
      <c r="H192" s="56" t="str">
        <f t="shared" si="1"/>
        <v>CORRECT</v>
      </c>
      <c r="I192" s="56" t="s">
        <v>77</v>
      </c>
      <c r="J192" s="56" t="s">
        <v>77</v>
      </c>
      <c r="K192" s="57" t="s">
        <v>1428</v>
      </c>
      <c r="L192" s="63">
        <v>47794.0</v>
      </c>
      <c r="M192" s="61" t="s">
        <v>42</v>
      </c>
      <c r="N192" s="57" t="s">
        <v>1429</v>
      </c>
    </row>
    <row r="193" ht="60.0" customHeight="1">
      <c r="A193" s="56">
        <v>187.0</v>
      </c>
      <c r="B193" s="57" t="s">
        <v>1430</v>
      </c>
      <c r="C193" s="57" t="s">
        <v>1431</v>
      </c>
      <c r="D193" s="57" t="s">
        <v>1432</v>
      </c>
      <c r="E193" s="57" t="s">
        <v>1433</v>
      </c>
      <c r="F193" s="57" t="s">
        <v>1434</v>
      </c>
      <c r="G193" s="57" t="s">
        <v>1435</v>
      </c>
      <c r="H193" s="56" t="str">
        <f t="shared" si="1"/>
        <v>CORRECT</v>
      </c>
      <c r="I193" s="56" t="s">
        <v>51</v>
      </c>
      <c r="J193" s="56" t="s">
        <v>51</v>
      </c>
      <c r="K193" s="57" t="s">
        <v>1436</v>
      </c>
      <c r="L193" s="63">
        <v>39270.0</v>
      </c>
      <c r="M193" s="61" t="s">
        <v>42</v>
      </c>
      <c r="N193" s="57" t="s">
        <v>1437</v>
      </c>
    </row>
    <row r="194" ht="60.0" customHeight="1">
      <c r="A194" s="56">
        <v>188.0</v>
      </c>
      <c r="B194" s="57" t="s">
        <v>1438</v>
      </c>
      <c r="C194" s="57" t="s">
        <v>1439</v>
      </c>
      <c r="D194" s="57" t="s">
        <v>1440</v>
      </c>
      <c r="E194" s="57" t="s">
        <v>1441</v>
      </c>
      <c r="F194" s="57" t="s">
        <v>1442</v>
      </c>
      <c r="G194" s="57" t="s">
        <v>1443</v>
      </c>
      <c r="H194" s="56" t="str">
        <f t="shared" si="1"/>
        <v>WRONG</v>
      </c>
      <c r="I194" s="56" t="s">
        <v>50</v>
      </c>
      <c r="J194" s="56" t="s">
        <v>77</v>
      </c>
      <c r="K194" s="57" t="s">
        <v>1444</v>
      </c>
      <c r="L194" s="63">
        <v>43686.0</v>
      </c>
      <c r="M194" s="61" t="s">
        <v>42</v>
      </c>
      <c r="N194" s="57" t="s">
        <v>1445</v>
      </c>
    </row>
    <row r="195" ht="60.0" customHeight="1">
      <c r="A195" s="56">
        <v>189.0</v>
      </c>
      <c r="B195" s="57" t="s">
        <v>1446</v>
      </c>
      <c r="C195" s="57" t="s">
        <v>1447</v>
      </c>
      <c r="D195" s="57" t="s">
        <v>1448</v>
      </c>
      <c r="E195" s="57" t="s">
        <v>1449</v>
      </c>
      <c r="F195" s="57" t="s">
        <v>1450</v>
      </c>
      <c r="G195" s="57" t="s">
        <v>1059</v>
      </c>
      <c r="H195" s="56" t="str">
        <f t="shared" si="1"/>
        <v>CORRECT</v>
      </c>
      <c r="I195" s="56" t="s">
        <v>50</v>
      </c>
      <c r="J195" s="56" t="s">
        <v>50</v>
      </c>
      <c r="K195" s="57" t="s">
        <v>1451</v>
      </c>
      <c r="L195" s="63">
        <v>36158.0</v>
      </c>
      <c r="M195" s="61" t="s">
        <v>42</v>
      </c>
      <c r="N195" s="57" t="s">
        <v>1452</v>
      </c>
    </row>
    <row r="196" ht="60.0" customHeight="1">
      <c r="A196" s="56">
        <v>190.0</v>
      </c>
      <c r="B196" s="57" t="s">
        <v>1453</v>
      </c>
      <c r="C196" s="57" t="s">
        <v>1454</v>
      </c>
      <c r="D196" s="57" t="s">
        <v>1455</v>
      </c>
      <c r="E196" s="57" t="s">
        <v>1456</v>
      </c>
      <c r="F196" s="57" t="s">
        <v>1457</v>
      </c>
      <c r="G196" s="57" t="s">
        <v>1458</v>
      </c>
      <c r="H196" s="56" t="str">
        <f t="shared" si="1"/>
        <v>CORRECT</v>
      </c>
      <c r="I196" s="56" t="s">
        <v>77</v>
      </c>
      <c r="J196" s="56" t="s">
        <v>77</v>
      </c>
      <c r="K196" s="57" t="s">
        <v>1459</v>
      </c>
      <c r="L196" s="63">
        <v>49446.0</v>
      </c>
      <c r="M196" s="61" t="s">
        <v>42</v>
      </c>
      <c r="N196" s="57" t="s">
        <v>1460</v>
      </c>
    </row>
    <row r="197" ht="60.0" customHeight="1">
      <c r="A197" s="56">
        <v>191.0</v>
      </c>
      <c r="B197" s="57" t="s">
        <v>1461</v>
      </c>
      <c r="C197" s="57" t="s">
        <v>1462</v>
      </c>
      <c r="D197" s="57" t="s">
        <v>1463</v>
      </c>
      <c r="E197" s="57" t="s">
        <v>1464</v>
      </c>
      <c r="F197" s="57" t="s">
        <v>1465</v>
      </c>
      <c r="G197" s="57" t="s">
        <v>1466</v>
      </c>
      <c r="H197" s="56" t="str">
        <f t="shared" si="1"/>
        <v>CORRECT</v>
      </c>
      <c r="I197" s="56" t="s">
        <v>60</v>
      </c>
      <c r="J197" s="56" t="s">
        <v>60</v>
      </c>
      <c r="K197" s="57" t="s">
        <v>1467</v>
      </c>
      <c r="L197" s="63">
        <v>46280.0</v>
      </c>
      <c r="M197" s="61" t="s">
        <v>62</v>
      </c>
      <c r="N197" s="57"/>
    </row>
    <row r="198" ht="60.0" customHeight="1">
      <c r="A198" s="56">
        <v>192.0</v>
      </c>
      <c r="B198" s="57" t="s">
        <v>1468</v>
      </c>
      <c r="C198" s="57" t="s">
        <v>1469</v>
      </c>
      <c r="D198" s="57" t="s">
        <v>1470</v>
      </c>
      <c r="E198" s="57" t="s">
        <v>1471</v>
      </c>
      <c r="F198" s="57" t="s">
        <v>1472</v>
      </c>
      <c r="G198" s="57" t="s">
        <v>1473</v>
      </c>
      <c r="H198" s="56" t="str">
        <f t="shared" si="1"/>
        <v>WRONG</v>
      </c>
      <c r="I198" s="56" t="s">
        <v>40</v>
      </c>
      <c r="J198" s="56" t="s">
        <v>50</v>
      </c>
      <c r="K198" s="57" t="s">
        <v>1474</v>
      </c>
      <c r="L198" s="63">
        <v>33405.0</v>
      </c>
      <c r="M198" s="61" t="s">
        <v>42</v>
      </c>
      <c r="N198" s="57" t="s">
        <v>1475</v>
      </c>
    </row>
    <row r="199" ht="60.0" customHeight="1">
      <c r="A199" s="56">
        <v>193.0</v>
      </c>
      <c r="B199" s="57" t="s">
        <v>1476</v>
      </c>
      <c r="C199" s="57" t="s">
        <v>1477</v>
      </c>
      <c r="D199" s="57" t="s">
        <v>1478</v>
      </c>
      <c r="E199" s="57" t="s">
        <v>1479</v>
      </c>
      <c r="F199" s="57" t="s">
        <v>1116</v>
      </c>
      <c r="G199" s="57" t="s">
        <v>1480</v>
      </c>
      <c r="H199" s="56" t="str">
        <f t="shared" si="1"/>
        <v>CORRECT</v>
      </c>
      <c r="I199" s="56" t="s">
        <v>60</v>
      </c>
      <c r="J199" s="56" t="s">
        <v>60</v>
      </c>
      <c r="K199" s="57" t="s">
        <v>1481</v>
      </c>
      <c r="L199" s="63">
        <v>35031.0</v>
      </c>
      <c r="M199" s="61" t="s">
        <v>42</v>
      </c>
      <c r="N199" s="57" t="s">
        <v>1482</v>
      </c>
    </row>
    <row r="200" ht="60.0" customHeight="1">
      <c r="A200" s="56">
        <v>194.0</v>
      </c>
      <c r="B200" s="57" t="s">
        <v>1483</v>
      </c>
      <c r="C200" s="57" t="s">
        <v>1484</v>
      </c>
      <c r="D200" s="57" t="s">
        <v>1485</v>
      </c>
      <c r="E200" s="57" t="s">
        <v>1486</v>
      </c>
      <c r="F200" s="57" t="s">
        <v>1487</v>
      </c>
      <c r="G200" s="57" t="s">
        <v>1488</v>
      </c>
      <c r="H200" s="56" t="str">
        <f t="shared" si="1"/>
        <v>CORRECT</v>
      </c>
      <c r="I200" s="56" t="s">
        <v>50</v>
      </c>
      <c r="J200" s="56" t="s">
        <v>50</v>
      </c>
      <c r="K200" s="57" t="s">
        <v>1489</v>
      </c>
      <c r="L200" s="63">
        <v>32729.0</v>
      </c>
      <c r="M200" s="61" t="s">
        <v>42</v>
      </c>
      <c r="N200" s="57" t="s">
        <v>1069</v>
      </c>
    </row>
    <row r="201" ht="60.0" customHeight="1">
      <c r="A201" s="56">
        <v>195.0</v>
      </c>
      <c r="B201" s="57" t="s">
        <v>1490</v>
      </c>
      <c r="C201" s="57" t="s">
        <v>1491</v>
      </c>
      <c r="D201" s="57" t="s">
        <v>1492</v>
      </c>
      <c r="E201" s="57" t="s">
        <v>1493</v>
      </c>
      <c r="F201" s="57" t="s">
        <v>1494</v>
      </c>
      <c r="G201" s="57" t="s">
        <v>1495</v>
      </c>
      <c r="H201" s="56" t="str">
        <f t="shared" si="1"/>
        <v>WRONG</v>
      </c>
      <c r="I201" s="56" t="s">
        <v>60</v>
      </c>
      <c r="J201" s="56" t="s">
        <v>40</v>
      </c>
      <c r="K201" s="57" t="s">
        <v>1496</v>
      </c>
      <c r="L201" s="63">
        <v>38031.0</v>
      </c>
      <c r="M201" s="61" t="s">
        <v>62</v>
      </c>
      <c r="N201" s="57"/>
    </row>
    <row r="202" ht="60.0" customHeight="1">
      <c r="A202" s="56">
        <v>196.0</v>
      </c>
      <c r="B202" s="57" t="s">
        <v>1497</v>
      </c>
      <c r="C202" s="57" t="s">
        <v>1498</v>
      </c>
      <c r="D202" s="57" t="s">
        <v>1499</v>
      </c>
      <c r="E202" s="57" t="s">
        <v>1500</v>
      </c>
      <c r="F202" s="57" t="s">
        <v>1501</v>
      </c>
      <c r="G202" s="57" t="s">
        <v>1502</v>
      </c>
      <c r="H202" s="56" t="str">
        <f t="shared" si="1"/>
        <v>CORRECT</v>
      </c>
      <c r="I202" s="56" t="s">
        <v>40</v>
      </c>
      <c r="J202" s="56" t="s">
        <v>40</v>
      </c>
      <c r="K202" s="57" t="s">
        <v>1503</v>
      </c>
      <c r="L202" s="63">
        <v>35566.0</v>
      </c>
      <c r="M202" s="61" t="s">
        <v>42</v>
      </c>
      <c r="N202" s="57" t="s">
        <v>1069</v>
      </c>
    </row>
    <row r="203" ht="60.0" customHeight="1">
      <c r="A203" s="56">
        <v>197.0</v>
      </c>
      <c r="B203" s="57" t="s">
        <v>1504</v>
      </c>
      <c r="C203" s="57" t="s">
        <v>1505</v>
      </c>
      <c r="D203" s="57" t="s">
        <v>1506</v>
      </c>
      <c r="E203" s="57" t="s">
        <v>1507</v>
      </c>
      <c r="F203" s="57" t="s">
        <v>1508</v>
      </c>
      <c r="G203" s="57" t="s">
        <v>1059</v>
      </c>
      <c r="H203" s="56" t="str">
        <f t="shared" si="1"/>
        <v>WRONG</v>
      </c>
      <c r="I203" s="56" t="s">
        <v>77</v>
      </c>
      <c r="J203" s="56" t="s">
        <v>60</v>
      </c>
      <c r="K203" s="57" t="s">
        <v>1509</v>
      </c>
      <c r="L203" s="63">
        <v>35620.0</v>
      </c>
      <c r="M203" s="61" t="s">
        <v>42</v>
      </c>
      <c r="N203" s="57" t="s">
        <v>1510</v>
      </c>
    </row>
    <row r="204" ht="60.0" customHeight="1">
      <c r="A204" s="56">
        <v>198.0</v>
      </c>
      <c r="B204" s="57" t="s">
        <v>1511</v>
      </c>
      <c r="C204" s="57" t="s">
        <v>1512</v>
      </c>
      <c r="D204" s="57" t="s">
        <v>1513</v>
      </c>
      <c r="E204" s="57" t="s">
        <v>1514</v>
      </c>
      <c r="F204" s="57" t="s">
        <v>1515</v>
      </c>
      <c r="G204" s="57" t="s">
        <v>1516</v>
      </c>
      <c r="H204" s="56" t="str">
        <f t="shared" si="1"/>
        <v>CORRECT</v>
      </c>
      <c r="I204" s="56" t="s">
        <v>77</v>
      </c>
      <c r="J204" s="56" t="s">
        <v>77</v>
      </c>
      <c r="K204" s="57" t="s">
        <v>1517</v>
      </c>
      <c r="L204" s="63">
        <v>31908.0</v>
      </c>
      <c r="M204" s="61" t="s">
        <v>42</v>
      </c>
      <c r="N204" s="57" t="s">
        <v>1518</v>
      </c>
    </row>
    <row r="205" ht="60.0" customHeight="1">
      <c r="A205" s="56">
        <v>199.0</v>
      </c>
      <c r="B205" s="57" t="s">
        <v>1519</v>
      </c>
      <c r="C205" s="57" t="s">
        <v>1520</v>
      </c>
      <c r="D205" s="57" t="s">
        <v>1521</v>
      </c>
      <c r="E205" s="57" t="s">
        <v>1522</v>
      </c>
      <c r="F205" s="57" t="s">
        <v>1523</v>
      </c>
      <c r="G205" s="57" t="s">
        <v>1524</v>
      </c>
      <c r="H205" s="56" t="str">
        <f t="shared" si="1"/>
        <v>WRONG</v>
      </c>
      <c r="I205" s="56" t="s">
        <v>51</v>
      </c>
      <c r="J205" s="56" t="s">
        <v>77</v>
      </c>
      <c r="K205" s="57" t="s">
        <v>1525</v>
      </c>
      <c r="L205" s="63">
        <v>40380.0</v>
      </c>
      <c r="M205" s="61" t="s">
        <v>62</v>
      </c>
      <c r="N205" s="62"/>
    </row>
    <row r="206" ht="60.0" customHeight="1">
      <c r="A206" s="56">
        <v>200.0</v>
      </c>
      <c r="B206" s="57" t="s">
        <v>1526</v>
      </c>
      <c r="C206" s="57" t="s">
        <v>1527</v>
      </c>
      <c r="D206" s="57" t="s">
        <v>1528</v>
      </c>
      <c r="E206" s="57" t="s">
        <v>1529</v>
      </c>
      <c r="F206" s="57" t="s">
        <v>1530</v>
      </c>
      <c r="G206" s="57" t="s">
        <v>1531</v>
      </c>
      <c r="H206" s="56" t="str">
        <f t="shared" si="1"/>
        <v>WRONG</v>
      </c>
      <c r="I206" s="56" t="s">
        <v>40</v>
      </c>
      <c r="J206" s="56" t="s">
        <v>77</v>
      </c>
      <c r="K206" s="57" t="s">
        <v>1532</v>
      </c>
      <c r="L206" s="63">
        <v>34944.0</v>
      </c>
      <c r="M206" s="61" t="s">
        <v>62</v>
      </c>
      <c r="N206" s="57"/>
    </row>
    <row r="207" ht="60.0" customHeight="1">
      <c r="A207" s="56">
        <v>201.0</v>
      </c>
      <c r="B207" s="57" t="s">
        <v>1533</v>
      </c>
      <c r="C207" s="57" t="s">
        <v>1534</v>
      </c>
      <c r="D207" s="57" t="s">
        <v>1535</v>
      </c>
      <c r="E207" s="57" t="s">
        <v>1536</v>
      </c>
      <c r="F207" s="57" t="s">
        <v>1537</v>
      </c>
      <c r="G207" s="57" t="s">
        <v>1538</v>
      </c>
      <c r="H207" s="56" t="str">
        <f t="shared" si="1"/>
        <v>CORRECT</v>
      </c>
      <c r="I207" s="56" t="s">
        <v>60</v>
      </c>
      <c r="J207" s="56" t="s">
        <v>60</v>
      </c>
      <c r="K207" s="57" t="s">
        <v>1539</v>
      </c>
      <c r="L207" s="63">
        <v>30192.0</v>
      </c>
      <c r="M207" s="61" t="s">
        <v>62</v>
      </c>
      <c r="N207" s="57"/>
    </row>
    <row r="208" ht="60.0" customHeight="1">
      <c r="A208" s="56">
        <v>202.0</v>
      </c>
      <c r="B208" s="57" t="s">
        <v>1540</v>
      </c>
      <c r="C208" s="57" t="s">
        <v>1541</v>
      </c>
      <c r="D208" s="57" t="s">
        <v>1542</v>
      </c>
      <c r="E208" s="57" t="s">
        <v>1543</v>
      </c>
      <c r="F208" s="57" t="s">
        <v>1544</v>
      </c>
      <c r="G208" s="57" t="s">
        <v>1059</v>
      </c>
      <c r="H208" s="56" t="str">
        <f t="shared" si="1"/>
        <v>WRONG</v>
      </c>
      <c r="I208" s="56" t="s">
        <v>77</v>
      </c>
      <c r="J208" s="56" t="s">
        <v>60</v>
      </c>
      <c r="K208" s="57" t="s">
        <v>1545</v>
      </c>
      <c r="L208" s="63">
        <v>37826.0</v>
      </c>
      <c r="M208" s="61" t="s">
        <v>42</v>
      </c>
      <c r="N208" s="57" t="s">
        <v>1546</v>
      </c>
    </row>
    <row r="209" ht="60.0" customHeight="1">
      <c r="A209" s="56">
        <v>203.0</v>
      </c>
      <c r="B209" s="57" t="s">
        <v>1547</v>
      </c>
      <c r="C209" s="57" t="s">
        <v>1548</v>
      </c>
      <c r="D209" s="57" t="s">
        <v>1549</v>
      </c>
      <c r="E209" s="57" t="s">
        <v>1550</v>
      </c>
      <c r="F209" s="57" t="s">
        <v>1551</v>
      </c>
      <c r="G209" s="57" t="s">
        <v>1552</v>
      </c>
      <c r="H209" s="56" t="str">
        <f t="shared" si="1"/>
        <v>WRONG</v>
      </c>
      <c r="I209" s="56" t="s">
        <v>51</v>
      </c>
      <c r="J209" s="56" t="s">
        <v>40</v>
      </c>
      <c r="K209" s="57" t="s">
        <v>1553</v>
      </c>
      <c r="L209" s="63">
        <v>35674.0</v>
      </c>
      <c r="M209" s="61" t="s">
        <v>42</v>
      </c>
      <c r="N209" s="57" t="s">
        <v>1554</v>
      </c>
    </row>
    <row r="210" ht="60.0" customHeight="1">
      <c r="A210" s="56">
        <v>204.0</v>
      </c>
      <c r="B210" s="57" t="s">
        <v>1555</v>
      </c>
      <c r="C210" s="57" t="s">
        <v>1556</v>
      </c>
      <c r="D210" s="57" t="s">
        <v>1557</v>
      </c>
      <c r="E210" s="57" t="s">
        <v>1558</v>
      </c>
      <c r="F210" s="57" t="s">
        <v>1559</v>
      </c>
      <c r="G210" s="57" t="s">
        <v>1560</v>
      </c>
      <c r="H210" s="56" t="str">
        <f t="shared" si="1"/>
        <v>WRONG</v>
      </c>
      <c r="I210" s="56" t="s">
        <v>60</v>
      </c>
      <c r="J210" s="56" t="s">
        <v>51</v>
      </c>
      <c r="K210" s="57" t="s">
        <v>1561</v>
      </c>
      <c r="L210" s="63">
        <v>41971.0</v>
      </c>
      <c r="M210" s="61" t="s">
        <v>42</v>
      </c>
      <c r="N210" s="57" t="s">
        <v>1562</v>
      </c>
    </row>
    <row r="211" ht="60.0" customHeight="1">
      <c r="A211" s="56">
        <v>205.0</v>
      </c>
      <c r="B211" s="57" t="s">
        <v>1563</v>
      </c>
      <c r="C211" s="57" t="s">
        <v>1564</v>
      </c>
      <c r="D211" s="57" t="s">
        <v>1565</v>
      </c>
      <c r="E211" s="57" t="s">
        <v>1566</v>
      </c>
      <c r="F211" s="57" t="s">
        <v>1567</v>
      </c>
      <c r="G211" s="57" t="s">
        <v>1568</v>
      </c>
      <c r="H211" s="56" t="str">
        <f t="shared" si="1"/>
        <v>WRONG</v>
      </c>
      <c r="I211" s="56" t="s">
        <v>40</v>
      </c>
      <c r="J211" s="56" t="s">
        <v>51</v>
      </c>
      <c r="K211" s="57" t="s">
        <v>1569</v>
      </c>
      <c r="L211" s="63">
        <v>34418.0</v>
      </c>
      <c r="M211" s="61" t="s">
        <v>42</v>
      </c>
      <c r="N211" s="57" t="s">
        <v>1570</v>
      </c>
    </row>
    <row r="212" ht="60.0" customHeight="1">
      <c r="A212" s="56">
        <v>206.0</v>
      </c>
      <c r="B212" s="57" t="s">
        <v>1571</v>
      </c>
      <c r="C212" s="57" t="s">
        <v>1572</v>
      </c>
      <c r="D212" s="57" t="s">
        <v>1573</v>
      </c>
      <c r="E212" s="57" t="s">
        <v>1574</v>
      </c>
      <c r="F212" s="57" t="s">
        <v>1575</v>
      </c>
      <c r="G212" s="57" t="s">
        <v>1576</v>
      </c>
      <c r="H212" s="56" t="str">
        <f t="shared" si="1"/>
        <v>WRONG</v>
      </c>
      <c r="I212" s="56" t="s">
        <v>51</v>
      </c>
      <c r="J212" s="56" t="s">
        <v>60</v>
      </c>
      <c r="K212" s="57" t="s">
        <v>1577</v>
      </c>
      <c r="L212" s="63">
        <v>35004.0</v>
      </c>
      <c r="M212" s="61" t="s">
        <v>62</v>
      </c>
      <c r="N212" s="57"/>
    </row>
    <row r="213" ht="60.0" customHeight="1">
      <c r="A213" s="56">
        <v>207.0</v>
      </c>
      <c r="B213" s="57" t="s">
        <v>1578</v>
      </c>
      <c r="C213" s="57" t="s">
        <v>1579</v>
      </c>
      <c r="D213" s="57" t="s">
        <v>1580</v>
      </c>
      <c r="E213" s="57" t="s">
        <v>1581</v>
      </c>
      <c r="F213" s="57" t="s">
        <v>1582</v>
      </c>
      <c r="G213" s="57" t="s">
        <v>1583</v>
      </c>
      <c r="H213" s="56" t="str">
        <f t="shared" si="1"/>
        <v>WRONG</v>
      </c>
      <c r="I213" s="56" t="s">
        <v>50</v>
      </c>
      <c r="J213" s="56" t="s">
        <v>51</v>
      </c>
      <c r="K213" s="57" t="s">
        <v>1584</v>
      </c>
      <c r="L213" s="63">
        <v>32862.0</v>
      </c>
      <c r="M213" s="61" t="s">
        <v>62</v>
      </c>
      <c r="N213" s="57"/>
    </row>
    <row r="214" ht="60.0" customHeight="1">
      <c r="A214" s="56">
        <v>208.0</v>
      </c>
      <c r="B214" s="57" t="s">
        <v>1585</v>
      </c>
      <c r="C214" s="57" t="s">
        <v>1586</v>
      </c>
      <c r="D214" s="57" t="s">
        <v>1587</v>
      </c>
      <c r="E214" s="57" t="s">
        <v>1588</v>
      </c>
      <c r="F214" s="57" t="s">
        <v>1589</v>
      </c>
      <c r="G214" s="57" t="s">
        <v>1590</v>
      </c>
      <c r="H214" s="56" t="str">
        <f t="shared" si="1"/>
        <v>CORRECT</v>
      </c>
      <c r="I214" s="56" t="s">
        <v>40</v>
      </c>
      <c r="J214" s="56" t="s">
        <v>40</v>
      </c>
      <c r="K214" s="57" t="s">
        <v>1591</v>
      </c>
      <c r="L214" s="63">
        <v>86658.0</v>
      </c>
      <c r="M214" s="61" t="s">
        <v>62</v>
      </c>
      <c r="N214" s="57"/>
    </row>
    <row r="215" ht="60.0" customHeight="1">
      <c r="A215" s="56">
        <v>209.0</v>
      </c>
      <c r="B215" s="57" t="s">
        <v>1592</v>
      </c>
      <c r="C215" s="57" t="s">
        <v>1593</v>
      </c>
      <c r="D215" s="57" t="s">
        <v>1594</v>
      </c>
      <c r="E215" s="57" t="s">
        <v>1595</v>
      </c>
      <c r="F215" s="57" t="s">
        <v>1596</v>
      </c>
      <c r="G215" s="57" t="s">
        <v>1597</v>
      </c>
      <c r="H215" s="56" t="str">
        <f t="shared" si="1"/>
        <v>CORRECT</v>
      </c>
      <c r="I215" s="56" t="s">
        <v>60</v>
      </c>
      <c r="J215" s="56" t="s">
        <v>60</v>
      </c>
      <c r="K215" s="57" t="s">
        <v>1598</v>
      </c>
      <c r="L215" s="63">
        <v>42822.0</v>
      </c>
      <c r="M215" s="61" t="s">
        <v>62</v>
      </c>
      <c r="N215" s="57"/>
    </row>
    <row r="216" ht="60.0" customHeight="1">
      <c r="A216" s="56">
        <v>210.0</v>
      </c>
      <c r="B216" s="57" t="s">
        <v>1599</v>
      </c>
      <c r="C216" s="57" t="s">
        <v>1600</v>
      </c>
      <c r="D216" s="57" t="s">
        <v>1601</v>
      </c>
      <c r="E216" s="57" t="s">
        <v>1602</v>
      </c>
      <c r="F216" s="57" t="s">
        <v>1603</v>
      </c>
      <c r="G216" s="57" t="s">
        <v>1604</v>
      </c>
      <c r="H216" s="56" t="str">
        <f t="shared" si="1"/>
        <v>WRONG</v>
      </c>
      <c r="I216" s="56" t="s">
        <v>40</v>
      </c>
      <c r="J216" s="56" t="s">
        <v>77</v>
      </c>
      <c r="K216" s="57" t="s">
        <v>1605</v>
      </c>
      <c r="L216" s="63">
        <v>32022.0</v>
      </c>
      <c r="M216" s="61" t="s">
        <v>42</v>
      </c>
      <c r="N216" s="57" t="s">
        <v>1606</v>
      </c>
    </row>
    <row r="217" ht="60.0" customHeight="1">
      <c r="A217" s="56">
        <v>211.0</v>
      </c>
      <c r="B217" s="57" t="s">
        <v>1607</v>
      </c>
      <c r="C217" s="57" t="s">
        <v>1608</v>
      </c>
      <c r="D217" s="57" t="s">
        <v>1609</v>
      </c>
      <c r="E217" s="57" t="s">
        <v>1610</v>
      </c>
      <c r="F217" s="57" t="s">
        <v>1611</v>
      </c>
      <c r="G217" s="57" t="s">
        <v>1612</v>
      </c>
      <c r="H217" s="56" t="str">
        <f t="shared" si="1"/>
        <v>WRONG</v>
      </c>
      <c r="I217" s="56" t="s">
        <v>51</v>
      </c>
      <c r="J217" s="56" t="s">
        <v>77</v>
      </c>
      <c r="K217" s="57" t="s">
        <v>1613</v>
      </c>
      <c r="L217" s="63">
        <v>34897.0</v>
      </c>
      <c r="M217" s="61" t="s">
        <v>42</v>
      </c>
      <c r="N217" s="57" t="s">
        <v>1614</v>
      </c>
    </row>
    <row r="218" ht="60.0" customHeight="1">
      <c r="A218" s="56">
        <v>212.0</v>
      </c>
      <c r="B218" s="57" t="s">
        <v>1615</v>
      </c>
      <c r="C218" s="57" t="s">
        <v>1616</v>
      </c>
      <c r="D218" s="57" t="s">
        <v>1617</v>
      </c>
      <c r="E218" s="57" t="s">
        <v>1618</v>
      </c>
      <c r="F218" s="57" t="s">
        <v>1619</v>
      </c>
      <c r="G218" s="57" t="s">
        <v>1620</v>
      </c>
      <c r="H218" s="56" t="str">
        <f t="shared" si="1"/>
        <v>WRONG</v>
      </c>
      <c r="I218" s="56" t="s">
        <v>50</v>
      </c>
      <c r="J218" s="56" t="s">
        <v>40</v>
      </c>
      <c r="K218" s="57" t="s">
        <v>1621</v>
      </c>
      <c r="L218" s="63">
        <v>33616.0</v>
      </c>
      <c r="M218" s="61" t="s">
        <v>62</v>
      </c>
      <c r="N218" s="57"/>
    </row>
    <row r="219" ht="60.0" customHeight="1">
      <c r="A219" s="56">
        <v>213.0</v>
      </c>
      <c r="B219" s="57" t="s">
        <v>1622</v>
      </c>
      <c r="C219" s="57" t="s">
        <v>1623</v>
      </c>
      <c r="D219" s="57" t="s">
        <v>1624</v>
      </c>
      <c r="E219" s="57" t="s">
        <v>1625</v>
      </c>
      <c r="F219" s="57" t="s">
        <v>1626</v>
      </c>
      <c r="G219" s="57" t="s">
        <v>1627</v>
      </c>
      <c r="H219" s="56" t="str">
        <f t="shared" si="1"/>
        <v>WRONG</v>
      </c>
      <c r="I219" s="56" t="s">
        <v>60</v>
      </c>
      <c r="J219" s="56" t="s">
        <v>51</v>
      </c>
      <c r="K219" s="57" t="s">
        <v>1628</v>
      </c>
      <c r="L219" s="63">
        <v>42513.0</v>
      </c>
      <c r="M219" s="61" t="s">
        <v>42</v>
      </c>
      <c r="N219" s="57" t="s">
        <v>1629</v>
      </c>
    </row>
    <row r="220" ht="60.0" customHeight="1">
      <c r="A220" s="56">
        <v>214.0</v>
      </c>
      <c r="B220" s="57" t="s">
        <v>1630</v>
      </c>
      <c r="C220" s="57" t="s">
        <v>1631</v>
      </c>
      <c r="D220" s="57" t="s">
        <v>1632</v>
      </c>
      <c r="E220" s="57" t="s">
        <v>1633</v>
      </c>
      <c r="F220" s="57" t="s">
        <v>1634</v>
      </c>
      <c r="G220" s="57" t="s">
        <v>1635</v>
      </c>
      <c r="H220" s="56" t="str">
        <f t="shared" si="1"/>
        <v>CORRECT</v>
      </c>
      <c r="I220" s="56" t="s">
        <v>60</v>
      </c>
      <c r="J220" s="56" t="s">
        <v>60</v>
      </c>
      <c r="K220" s="57" t="s">
        <v>1636</v>
      </c>
      <c r="L220" s="63">
        <v>32467.0</v>
      </c>
      <c r="M220" s="61" t="s">
        <v>42</v>
      </c>
      <c r="N220" s="57" t="s">
        <v>1637</v>
      </c>
    </row>
    <row r="221" ht="60.0" customHeight="1">
      <c r="A221" s="56">
        <v>215.0</v>
      </c>
      <c r="B221" s="57" t="s">
        <v>1638</v>
      </c>
      <c r="C221" s="57" t="s">
        <v>1639</v>
      </c>
      <c r="D221" s="57" t="s">
        <v>1640</v>
      </c>
      <c r="E221" s="57" t="s">
        <v>1641</v>
      </c>
      <c r="F221" s="57" t="s">
        <v>1642</v>
      </c>
      <c r="G221" s="57" t="s">
        <v>1643</v>
      </c>
      <c r="H221" s="56" t="str">
        <f t="shared" si="1"/>
        <v>CORRECT</v>
      </c>
      <c r="I221" s="56" t="s">
        <v>60</v>
      </c>
      <c r="J221" s="56" t="s">
        <v>60</v>
      </c>
      <c r="K221" s="57" t="s">
        <v>1644</v>
      </c>
      <c r="L221" s="63">
        <v>38427.0</v>
      </c>
      <c r="M221" s="61" t="s">
        <v>42</v>
      </c>
      <c r="N221" s="57" t="s">
        <v>1645</v>
      </c>
    </row>
    <row r="222" ht="60.0" customHeight="1">
      <c r="A222" s="56">
        <v>216.0</v>
      </c>
      <c r="B222" s="57" t="s">
        <v>1646</v>
      </c>
      <c r="C222" s="57" t="s">
        <v>1647</v>
      </c>
      <c r="D222" s="57" t="s">
        <v>1648</v>
      </c>
      <c r="E222" s="57" t="s">
        <v>1649</v>
      </c>
      <c r="F222" s="57" t="s">
        <v>1650</v>
      </c>
      <c r="G222" s="57" t="s">
        <v>1651</v>
      </c>
      <c r="H222" s="56" t="str">
        <f t="shared" si="1"/>
        <v>CORRECT</v>
      </c>
      <c r="I222" s="56" t="s">
        <v>60</v>
      </c>
      <c r="J222" s="56" t="s">
        <v>60</v>
      </c>
      <c r="K222" s="57" t="s">
        <v>1652</v>
      </c>
      <c r="L222" s="63">
        <v>43637.0</v>
      </c>
      <c r="M222" s="61" t="s">
        <v>42</v>
      </c>
      <c r="N222" s="57" t="s">
        <v>1653</v>
      </c>
    </row>
    <row r="223" ht="60.0" customHeight="1">
      <c r="A223" s="56">
        <v>217.0</v>
      </c>
      <c r="B223" s="57" t="s">
        <v>1654</v>
      </c>
      <c r="C223" s="57" t="s">
        <v>1655</v>
      </c>
      <c r="D223" s="57" t="s">
        <v>1656</v>
      </c>
      <c r="E223" s="57" t="s">
        <v>1657</v>
      </c>
      <c r="F223" s="57" t="s">
        <v>1658</v>
      </c>
      <c r="G223" s="57" t="s">
        <v>1659</v>
      </c>
      <c r="H223" s="56" t="str">
        <f t="shared" si="1"/>
        <v>WRONG</v>
      </c>
      <c r="I223" s="56" t="s">
        <v>77</v>
      </c>
      <c r="J223" s="56" t="s">
        <v>60</v>
      </c>
      <c r="K223" s="57" t="s">
        <v>1660</v>
      </c>
      <c r="L223" s="63">
        <v>33087.0</v>
      </c>
      <c r="M223" s="61" t="s">
        <v>62</v>
      </c>
      <c r="N223" s="57"/>
    </row>
    <row r="224" ht="60.0" customHeight="1">
      <c r="A224" s="56">
        <v>218.0</v>
      </c>
      <c r="B224" s="57" t="s">
        <v>1661</v>
      </c>
      <c r="C224" s="57" t="s">
        <v>1662</v>
      </c>
      <c r="D224" s="57" t="s">
        <v>1663</v>
      </c>
      <c r="E224" s="57" t="s">
        <v>1664</v>
      </c>
      <c r="F224" s="57" t="s">
        <v>1665</v>
      </c>
      <c r="G224" s="57" t="s">
        <v>1666</v>
      </c>
      <c r="H224" s="56" t="str">
        <f t="shared" si="1"/>
        <v>CORRECT</v>
      </c>
      <c r="I224" s="56" t="s">
        <v>60</v>
      </c>
      <c r="J224" s="56" t="s">
        <v>60</v>
      </c>
      <c r="K224" s="57" t="s">
        <v>1667</v>
      </c>
      <c r="L224" s="63">
        <v>34498.0</v>
      </c>
      <c r="M224" s="61" t="s">
        <v>62</v>
      </c>
      <c r="N224" s="57"/>
    </row>
    <row r="225" ht="60.0" customHeight="1">
      <c r="A225" s="56">
        <v>219.0</v>
      </c>
      <c r="B225" s="57" t="s">
        <v>1668</v>
      </c>
      <c r="C225" s="57" t="s">
        <v>1669</v>
      </c>
      <c r="D225" s="57" t="s">
        <v>593</v>
      </c>
      <c r="E225" s="57" t="s">
        <v>1670</v>
      </c>
      <c r="F225" s="57" t="s">
        <v>1671</v>
      </c>
      <c r="G225" s="57" t="s">
        <v>1672</v>
      </c>
      <c r="H225" s="56" t="str">
        <f t="shared" si="1"/>
        <v>WRONG</v>
      </c>
      <c r="I225" s="56" t="s">
        <v>77</v>
      </c>
      <c r="J225" s="56" t="s">
        <v>51</v>
      </c>
      <c r="K225" s="57" t="s">
        <v>1673</v>
      </c>
      <c r="L225" s="63">
        <v>37047.0</v>
      </c>
      <c r="M225" s="61" t="s">
        <v>42</v>
      </c>
      <c r="N225" s="57" t="s">
        <v>1674</v>
      </c>
    </row>
    <row r="226" ht="60.0" customHeight="1">
      <c r="A226" s="56">
        <v>220.0</v>
      </c>
      <c r="B226" s="57" t="s">
        <v>1675</v>
      </c>
      <c r="C226" s="57" t="s">
        <v>1676</v>
      </c>
      <c r="D226" s="57" t="s">
        <v>1677</v>
      </c>
      <c r="E226" s="57" t="s">
        <v>1678</v>
      </c>
      <c r="F226" s="57" t="s">
        <v>1679</v>
      </c>
      <c r="G226" s="57" t="s">
        <v>1680</v>
      </c>
      <c r="H226" s="56" t="str">
        <f t="shared" si="1"/>
        <v>CORRECT</v>
      </c>
      <c r="I226" s="56" t="s">
        <v>40</v>
      </c>
      <c r="J226" s="56" t="s">
        <v>40</v>
      </c>
      <c r="K226" s="57" t="s">
        <v>1681</v>
      </c>
      <c r="L226" s="63">
        <v>36443.0</v>
      </c>
      <c r="M226" s="61" t="s">
        <v>42</v>
      </c>
      <c r="N226" s="57" t="s">
        <v>1682</v>
      </c>
    </row>
    <row r="227" ht="60.0" customHeight="1">
      <c r="A227" s="56">
        <v>221.0</v>
      </c>
      <c r="B227" s="57" t="s">
        <v>1683</v>
      </c>
      <c r="C227" s="57" t="s">
        <v>1684</v>
      </c>
      <c r="D227" s="57" t="s">
        <v>1685</v>
      </c>
      <c r="E227" s="57" t="s">
        <v>1686</v>
      </c>
      <c r="F227" s="57" t="s">
        <v>1687</v>
      </c>
      <c r="G227" s="57" t="s">
        <v>1688</v>
      </c>
      <c r="H227" s="56" t="str">
        <f t="shared" si="1"/>
        <v>CORRECT</v>
      </c>
      <c r="I227" s="56" t="s">
        <v>50</v>
      </c>
      <c r="J227" s="56" t="s">
        <v>50</v>
      </c>
      <c r="K227" s="57" t="s">
        <v>1689</v>
      </c>
      <c r="L227" s="63">
        <v>45357.0</v>
      </c>
      <c r="M227" s="61" t="s">
        <v>42</v>
      </c>
      <c r="N227" s="57" t="s">
        <v>1690</v>
      </c>
    </row>
    <row r="228" ht="60.0" customHeight="1">
      <c r="A228" s="56">
        <v>222.0</v>
      </c>
      <c r="B228" s="57" t="s">
        <v>1691</v>
      </c>
      <c r="C228" s="57" t="s">
        <v>1692</v>
      </c>
      <c r="D228" s="57" t="s">
        <v>1693</v>
      </c>
      <c r="E228" s="57" t="s">
        <v>1694</v>
      </c>
      <c r="F228" s="57" t="s">
        <v>1695</v>
      </c>
      <c r="G228" s="57" t="s">
        <v>1696</v>
      </c>
      <c r="H228" s="56" t="str">
        <f t="shared" si="1"/>
        <v>WRONG</v>
      </c>
      <c r="I228" s="56" t="s">
        <v>77</v>
      </c>
      <c r="J228" s="56" t="s">
        <v>60</v>
      </c>
      <c r="K228" s="57" t="s">
        <v>1697</v>
      </c>
      <c r="L228" s="63">
        <v>32794.0</v>
      </c>
      <c r="M228" s="61" t="s">
        <v>42</v>
      </c>
      <c r="N228" s="57" t="s">
        <v>1698</v>
      </c>
    </row>
    <row r="229" ht="60.0" customHeight="1">
      <c r="A229" s="56">
        <v>223.0</v>
      </c>
      <c r="B229" s="57" t="s">
        <v>1699</v>
      </c>
      <c r="C229" s="57" t="s">
        <v>1700</v>
      </c>
      <c r="D229" s="57" t="s">
        <v>1701</v>
      </c>
      <c r="E229" s="57" t="s">
        <v>1702</v>
      </c>
      <c r="F229" s="57" t="s">
        <v>1703</v>
      </c>
      <c r="G229" s="57" t="s">
        <v>1059</v>
      </c>
      <c r="H229" s="56" t="str">
        <f t="shared" si="1"/>
        <v>WRONG</v>
      </c>
      <c r="I229" s="56" t="s">
        <v>77</v>
      </c>
      <c r="J229" s="56" t="s">
        <v>60</v>
      </c>
      <c r="K229" s="57" t="s">
        <v>1704</v>
      </c>
      <c r="L229" s="63">
        <v>38557.0</v>
      </c>
      <c r="M229" s="61" t="s">
        <v>62</v>
      </c>
      <c r="N229" s="57"/>
    </row>
    <row r="230" ht="60.0" customHeight="1">
      <c r="A230" s="56">
        <v>224.0</v>
      </c>
      <c r="B230" s="57" t="s">
        <v>1705</v>
      </c>
      <c r="C230" s="57" t="s">
        <v>1706</v>
      </c>
      <c r="D230" s="57" t="s">
        <v>1707</v>
      </c>
      <c r="E230" s="57" t="s">
        <v>1708</v>
      </c>
      <c r="F230" s="57" t="s">
        <v>1709</v>
      </c>
      <c r="G230" s="57" t="s">
        <v>1710</v>
      </c>
      <c r="H230" s="56" t="str">
        <f t="shared" si="1"/>
        <v>WRONG</v>
      </c>
      <c r="I230" s="56" t="s">
        <v>77</v>
      </c>
      <c r="J230" s="56" t="s">
        <v>40</v>
      </c>
      <c r="K230" s="57" t="s">
        <v>1711</v>
      </c>
      <c r="L230" s="63">
        <v>49774.0</v>
      </c>
      <c r="M230" s="61" t="s">
        <v>62</v>
      </c>
      <c r="N230" s="57"/>
    </row>
    <row r="231" ht="60.0" customHeight="1">
      <c r="A231" s="56">
        <v>225.0</v>
      </c>
      <c r="B231" s="57" t="s">
        <v>1712</v>
      </c>
      <c r="C231" s="57" t="s">
        <v>1713</v>
      </c>
      <c r="D231" s="57" t="s">
        <v>1714</v>
      </c>
      <c r="E231" s="57" t="s">
        <v>1715</v>
      </c>
      <c r="F231" s="57" t="s">
        <v>1716</v>
      </c>
      <c r="G231" s="57" t="s">
        <v>1717</v>
      </c>
      <c r="H231" s="56" t="str">
        <f t="shared" si="1"/>
        <v>CORRECT</v>
      </c>
      <c r="I231" s="56" t="s">
        <v>40</v>
      </c>
      <c r="J231" s="56" t="s">
        <v>40</v>
      </c>
      <c r="K231" s="57" t="s">
        <v>1718</v>
      </c>
      <c r="L231" s="63">
        <v>34138.0</v>
      </c>
      <c r="M231" s="61" t="s">
        <v>62</v>
      </c>
      <c r="N231" s="57"/>
    </row>
    <row r="232" ht="60.0" customHeight="1">
      <c r="A232" s="56">
        <v>226.0</v>
      </c>
      <c r="B232" s="57" t="s">
        <v>1719</v>
      </c>
      <c r="C232" s="57" t="s">
        <v>1720</v>
      </c>
      <c r="D232" s="57" t="s">
        <v>1721</v>
      </c>
      <c r="E232" s="57" t="s">
        <v>1722</v>
      </c>
      <c r="F232" s="57" t="s">
        <v>1723</v>
      </c>
      <c r="G232" s="57" t="s">
        <v>1724</v>
      </c>
      <c r="H232" s="56" t="str">
        <f t="shared" si="1"/>
        <v>WRONG</v>
      </c>
      <c r="I232" s="56" t="s">
        <v>40</v>
      </c>
      <c r="J232" s="56" t="s">
        <v>50</v>
      </c>
      <c r="K232" s="57" t="s">
        <v>1725</v>
      </c>
      <c r="L232" s="63">
        <v>32954.0</v>
      </c>
      <c r="M232" s="61" t="s">
        <v>42</v>
      </c>
      <c r="N232" s="57" t="s">
        <v>1726</v>
      </c>
    </row>
    <row r="233" ht="60.0" customHeight="1">
      <c r="A233" s="56">
        <v>227.0</v>
      </c>
      <c r="B233" s="57" t="s">
        <v>1727</v>
      </c>
      <c r="C233" s="57" t="s">
        <v>1728</v>
      </c>
      <c r="D233" s="57" t="s">
        <v>1729</v>
      </c>
      <c r="E233" s="57" t="s">
        <v>1730</v>
      </c>
      <c r="F233" s="57" t="s">
        <v>1731</v>
      </c>
      <c r="G233" s="57" t="s">
        <v>1732</v>
      </c>
      <c r="H233" s="56" t="str">
        <f t="shared" si="1"/>
        <v>WRONG</v>
      </c>
      <c r="I233" s="56" t="s">
        <v>77</v>
      </c>
      <c r="J233" s="56" t="s">
        <v>51</v>
      </c>
      <c r="K233" s="57" t="s">
        <v>1733</v>
      </c>
      <c r="L233" s="63">
        <v>30738.0</v>
      </c>
      <c r="M233" s="61" t="s">
        <v>62</v>
      </c>
      <c r="N233" s="57"/>
    </row>
    <row r="234" ht="60.0" customHeight="1">
      <c r="A234" s="56">
        <v>228.0</v>
      </c>
      <c r="B234" s="57" t="s">
        <v>1734</v>
      </c>
      <c r="C234" s="57" t="s">
        <v>1735</v>
      </c>
      <c r="D234" s="57" t="s">
        <v>1736</v>
      </c>
      <c r="E234" s="57" t="s">
        <v>1737</v>
      </c>
      <c r="F234" s="57" t="s">
        <v>1738</v>
      </c>
      <c r="G234" s="57" t="s">
        <v>1739</v>
      </c>
      <c r="H234" s="56" t="str">
        <f t="shared" si="1"/>
        <v>CORRECT</v>
      </c>
      <c r="I234" s="56" t="s">
        <v>50</v>
      </c>
      <c r="J234" s="56" t="s">
        <v>50</v>
      </c>
      <c r="K234" s="57" t="s">
        <v>1740</v>
      </c>
      <c r="L234" s="63">
        <v>34099.0</v>
      </c>
      <c r="M234" s="61" t="s">
        <v>42</v>
      </c>
      <c r="N234" s="57" t="s">
        <v>1741</v>
      </c>
    </row>
    <row r="235" ht="60.0" customHeight="1">
      <c r="A235" s="56">
        <v>229.0</v>
      </c>
      <c r="B235" s="57" t="s">
        <v>1742</v>
      </c>
      <c r="C235" s="57" t="s">
        <v>1743</v>
      </c>
      <c r="D235" s="57" t="s">
        <v>1744</v>
      </c>
      <c r="E235" s="57" t="s">
        <v>1745</v>
      </c>
      <c r="F235" s="57" t="s">
        <v>1746</v>
      </c>
      <c r="G235" s="57" t="s">
        <v>1747</v>
      </c>
      <c r="H235" s="56" t="str">
        <f t="shared" si="1"/>
        <v>WRONG</v>
      </c>
      <c r="I235" s="56" t="s">
        <v>51</v>
      </c>
      <c r="J235" s="56" t="s">
        <v>40</v>
      </c>
      <c r="K235" s="57" t="s">
        <v>1748</v>
      </c>
      <c r="L235" s="63">
        <v>37552.0</v>
      </c>
      <c r="M235" s="61" t="s">
        <v>42</v>
      </c>
      <c r="N235" s="57" t="s">
        <v>1741</v>
      </c>
    </row>
    <row r="236" ht="60.0" customHeight="1">
      <c r="A236" s="56">
        <v>230.0</v>
      </c>
      <c r="B236" s="57" t="s">
        <v>1749</v>
      </c>
      <c r="C236" s="57" t="s">
        <v>1750</v>
      </c>
      <c r="D236" s="57" t="s">
        <v>1751</v>
      </c>
      <c r="E236" s="57" t="s">
        <v>1752</v>
      </c>
      <c r="F236" s="57" t="s">
        <v>1753</v>
      </c>
      <c r="G236" s="57" t="s">
        <v>1754</v>
      </c>
      <c r="H236" s="56" t="str">
        <f t="shared" si="1"/>
        <v>WRONG</v>
      </c>
      <c r="I236" s="56" t="s">
        <v>40</v>
      </c>
      <c r="J236" s="56" t="s">
        <v>77</v>
      </c>
      <c r="K236" s="57" t="s">
        <v>1755</v>
      </c>
      <c r="L236" s="63">
        <v>56052.0</v>
      </c>
      <c r="M236" s="61" t="s">
        <v>62</v>
      </c>
      <c r="N236" s="57"/>
    </row>
    <row r="237" ht="60.0" customHeight="1">
      <c r="A237" s="56">
        <v>231.0</v>
      </c>
      <c r="B237" s="57" t="s">
        <v>1756</v>
      </c>
      <c r="C237" s="57" t="s">
        <v>1757</v>
      </c>
      <c r="D237" s="57" t="s">
        <v>1758</v>
      </c>
      <c r="E237" s="57" t="s">
        <v>1759</v>
      </c>
      <c r="F237" s="57" t="s">
        <v>1760</v>
      </c>
      <c r="G237" s="57" t="s">
        <v>1761</v>
      </c>
      <c r="H237" s="56" t="str">
        <f t="shared" si="1"/>
        <v>CORRECT</v>
      </c>
      <c r="I237" s="56" t="s">
        <v>51</v>
      </c>
      <c r="J237" s="56" t="s">
        <v>51</v>
      </c>
      <c r="K237" s="57" t="s">
        <v>1762</v>
      </c>
      <c r="L237" s="63">
        <v>33880.0</v>
      </c>
      <c r="M237" s="61" t="s">
        <v>62</v>
      </c>
      <c r="N237" s="57"/>
    </row>
    <row r="238" ht="60.0" customHeight="1">
      <c r="A238" s="56">
        <v>232.0</v>
      </c>
      <c r="B238" s="57" t="s">
        <v>1763</v>
      </c>
      <c r="C238" s="57" t="s">
        <v>1764</v>
      </c>
      <c r="D238" s="57" t="s">
        <v>1765</v>
      </c>
      <c r="E238" s="57" t="s">
        <v>1766</v>
      </c>
      <c r="F238" s="57" t="s">
        <v>1767</v>
      </c>
      <c r="G238" s="57" t="s">
        <v>728</v>
      </c>
      <c r="H238" s="56" t="str">
        <f t="shared" si="1"/>
        <v>CORRECT</v>
      </c>
      <c r="I238" s="56" t="s">
        <v>60</v>
      </c>
      <c r="J238" s="56" t="s">
        <v>60</v>
      </c>
      <c r="K238" s="57" t="s">
        <v>1768</v>
      </c>
      <c r="L238" s="63">
        <v>46925.0</v>
      </c>
      <c r="M238" s="61" t="s">
        <v>42</v>
      </c>
      <c r="N238" s="57" t="s">
        <v>1769</v>
      </c>
    </row>
    <row r="239" ht="60.0" customHeight="1">
      <c r="A239" s="56">
        <v>233.0</v>
      </c>
      <c r="B239" s="57" t="s">
        <v>1770</v>
      </c>
      <c r="C239" s="57" t="s">
        <v>1771</v>
      </c>
      <c r="D239" s="57" t="s">
        <v>1772</v>
      </c>
      <c r="E239" s="57" t="s">
        <v>1773</v>
      </c>
      <c r="F239" s="57" t="s">
        <v>1774</v>
      </c>
      <c r="G239" s="57" t="s">
        <v>1775</v>
      </c>
      <c r="H239" s="56" t="str">
        <f t="shared" si="1"/>
        <v>CORRECT</v>
      </c>
      <c r="I239" s="56" t="s">
        <v>77</v>
      </c>
      <c r="J239" s="56" t="s">
        <v>77</v>
      </c>
      <c r="K239" s="57" t="s">
        <v>1776</v>
      </c>
      <c r="L239" s="63">
        <v>46215.0</v>
      </c>
      <c r="M239" s="61" t="s">
        <v>62</v>
      </c>
      <c r="N239" s="57"/>
    </row>
    <row r="240" ht="60.0" customHeight="1">
      <c r="A240" s="56">
        <v>234.0</v>
      </c>
      <c r="B240" s="57" t="s">
        <v>1777</v>
      </c>
      <c r="C240" s="57" t="s">
        <v>1778</v>
      </c>
      <c r="D240" s="57" t="s">
        <v>1779</v>
      </c>
      <c r="E240" s="57" t="s">
        <v>1780</v>
      </c>
      <c r="F240" s="57" t="s">
        <v>1781</v>
      </c>
      <c r="G240" s="57" t="s">
        <v>1782</v>
      </c>
      <c r="H240" s="56" t="str">
        <f t="shared" si="1"/>
        <v>WRONG</v>
      </c>
      <c r="I240" s="56" t="s">
        <v>60</v>
      </c>
      <c r="J240" s="56" t="s">
        <v>50</v>
      </c>
      <c r="K240" s="57" t="s">
        <v>1783</v>
      </c>
      <c r="L240" s="63">
        <v>39880.0</v>
      </c>
      <c r="M240" s="61" t="s">
        <v>42</v>
      </c>
      <c r="N240" s="57" t="s">
        <v>1784</v>
      </c>
    </row>
    <row r="241" ht="60.0" customHeight="1">
      <c r="A241" s="56">
        <v>235.0</v>
      </c>
      <c r="B241" s="57" t="s">
        <v>1785</v>
      </c>
      <c r="C241" s="57" t="s">
        <v>1786</v>
      </c>
      <c r="D241" s="57" t="s">
        <v>1787</v>
      </c>
      <c r="E241" s="57" t="s">
        <v>1788</v>
      </c>
      <c r="F241" s="57" t="s">
        <v>1789</v>
      </c>
      <c r="G241" s="57" t="s">
        <v>1790</v>
      </c>
      <c r="H241" s="56" t="str">
        <f t="shared" si="1"/>
        <v>CORRECT</v>
      </c>
      <c r="I241" s="56" t="s">
        <v>50</v>
      </c>
      <c r="J241" s="56" t="s">
        <v>50</v>
      </c>
      <c r="K241" s="57" t="s">
        <v>1791</v>
      </c>
      <c r="L241" s="63">
        <v>42328.0</v>
      </c>
      <c r="M241" s="61" t="s">
        <v>62</v>
      </c>
      <c r="N241" s="57"/>
    </row>
    <row r="242" ht="60.0" customHeight="1">
      <c r="A242" s="56">
        <v>236.0</v>
      </c>
      <c r="B242" s="57" t="s">
        <v>1792</v>
      </c>
      <c r="C242" s="57" t="s">
        <v>1793</v>
      </c>
      <c r="D242" s="57" t="s">
        <v>1794</v>
      </c>
      <c r="E242" s="57" t="s">
        <v>1795</v>
      </c>
      <c r="F242" s="57" t="s">
        <v>1796</v>
      </c>
      <c r="G242" s="57" t="s">
        <v>1797</v>
      </c>
      <c r="H242" s="56" t="str">
        <f t="shared" si="1"/>
        <v>CORRECT</v>
      </c>
      <c r="I242" s="56" t="s">
        <v>60</v>
      </c>
      <c r="J242" s="56" t="s">
        <v>60</v>
      </c>
      <c r="K242" s="57" t="s">
        <v>1798</v>
      </c>
      <c r="L242" s="63">
        <v>33570.0</v>
      </c>
      <c r="M242" s="61" t="s">
        <v>42</v>
      </c>
      <c r="N242" s="57" t="s">
        <v>1784</v>
      </c>
    </row>
    <row r="243" ht="60.0" customHeight="1">
      <c r="A243" s="56">
        <v>237.0</v>
      </c>
      <c r="B243" s="57" t="s">
        <v>1799</v>
      </c>
      <c r="C243" s="57" t="s">
        <v>1800</v>
      </c>
      <c r="D243" s="57" t="s">
        <v>1801</v>
      </c>
      <c r="E243" s="57" t="s">
        <v>1802</v>
      </c>
      <c r="F243" s="57" t="s">
        <v>1803</v>
      </c>
      <c r="G243" s="57" t="s">
        <v>1804</v>
      </c>
      <c r="H243" s="56" t="str">
        <f t="shared" si="1"/>
        <v>CORRECT</v>
      </c>
      <c r="I243" s="56" t="s">
        <v>40</v>
      </c>
      <c r="J243" s="56" t="s">
        <v>40</v>
      </c>
      <c r="K243" s="57" t="s">
        <v>1805</v>
      </c>
      <c r="L243" s="63">
        <v>39159.0</v>
      </c>
      <c r="M243" s="61" t="s">
        <v>62</v>
      </c>
      <c r="N243" s="62"/>
    </row>
    <row r="244" ht="60.0" customHeight="1">
      <c r="A244" s="56">
        <v>238.0</v>
      </c>
      <c r="B244" s="57" t="s">
        <v>1806</v>
      </c>
      <c r="C244" s="57" t="s">
        <v>1807</v>
      </c>
      <c r="D244" s="57" t="s">
        <v>1808</v>
      </c>
      <c r="E244" s="57" t="s">
        <v>1809</v>
      </c>
      <c r="F244" s="57" t="s">
        <v>1810</v>
      </c>
      <c r="G244" s="57" t="s">
        <v>1811</v>
      </c>
      <c r="H244" s="56" t="str">
        <f t="shared" si="1"/>
        <v>CORRECT</v>
      </c>
      <c r="I244" s="56" t="s">
        <v>60</v>
      </c>
      <c r="J244" s="56" t="s">
        <v>60</v>
      </c>
      <c r="K244" s="57" t="s">
        <v>1812</v>
      </c>
      <c r="L244" s="63">
        <v>39855.0</v>
      </c>
      <c r="M244" s="61" t="s">
        <v>42</v>
      </c>
      <c r="N244" s="57" t="s">
        <v>1813</v>
      </c>
    </row>
    <row r="245" ht="60.0" customHeight="1">
      <c r="A245" s="56">
        <v>239.0</v>
      </c>
      <c r="B245" s="57" t="s">
        <v>1814</v>
      </c>
      <c r="C245" s="57" t="s">
        <v>1815</v>
      </c>
      <c r="D245" s="57" t="s">
        <v>1816</v>
      </c>
      <c r="E245" s="57" t="s">
        <v>1817</v>
      </c>
      <c r="F245" s="57" t="s">
        <v>1818</v>
      </c>
      <c r="G245" s="57" t="s">
        <v>1819</v>
      </c>
      <c r="H245" s="56" t="str">
        <f t="shared" si="1"/>
        <v>CORRECT</v>
      </c>
      <c r="I245" s="56" t="s">
        <v>77</v>
      </c>
      <c r="J245" s="56" t="s">
        <v>77</v>
      </c>
      <c r="K245" s="57" t="s">
        <v>1820</v>
      </c>
      <c r="L245" s="63">
        <v>28103.0</v>
      </c>
      <c r="M245" s="61" t="s">
        <v>42</v>
      </c>
      <c r="N245" s="57" t="s">
        <v>1821</v>
      </c>
    </row>
    <row r="246" ht="60.0" customHeight="1">
      <c r="A246" s="56">
        <v>240.0</v>
      </c>
      <c r="B246" s="57" t="s">
        <v>1822</v>
      </c>
      <c r="C246" s="57" t="s">
        <v>1823</v>
      </c>
      <c r="D246" s="57" t="s">
        <v>1824</v>
      </c>
      <c r="E246" s="57" t="s">
        <v>1825</v>
      </c>
      <c r="F246" s="57" t="s">
        <v>1826</v>
      </c>
      <c r="G246" s="57" t="s">
        <v>1827</v>
      </c>
      <c r="H246" s="56" t="str">
        <f t="shared" si="1"/>
        <v>CORRECT</v>
      </c>
      <c r="I246" s="56" t="s">
        <v>77</v>
      </c>
      <c r="J246" s="56" t="s">
        <v>77</v>
      </c>
      <c r="K246" s="57" t="s">
        <v>1828</v>
      </c>
      <c r="L246" s="63">
        <v>34842.0</v>
      </c>
      <c r="M246" s="61" t="s">
        <v>42</v>
      </c>
      <c r="N246" s="57" t="s">
        <v>1829</v>
      </c>
    </row>
    <row r="247" ht="60.0" customHeight="1">
      <c r="A247" s="56">
        <v>241.0</v>
      </c>
      <c r="B247" s="57" t="s">
        <v>1830</v>
      </c>
      <c r="C247" s="57" t="s">
        <v>1831</v>
      </c>
      <c r="D247" s="57" t="s">
        <v>1832</v>
      </c>
      <c r="E247" s="57" t="s">
        <v>1833</v>
      </c>
      <c r="F247" s="57" t="s">
        <v>1834</v>
      </c>
      <c r="G247" s="57" t="s">
        <v>1835</v>
      </c>
      <c r="H247" s="56" t="str">
        <f t="shared" si="1"/>
        <v>CORRECT</v>
      </c>
      <c r="I247" s="56" t="s">
        <v>40</v>
      </c>
      <c r="J247" s="56" t="s">
        <v>40</v>
      </c>
      <c r="K247" s="57" t="s">
        <v>1836</v>
      </c>
      <c r="L247" s="63">
        <v>35534.0</v>
      </c>
      <c r="M247" s="61" t="s">
        <v>42</v>
      </c>
      <c r="N247" s="57" t="s">
        <v>1837</v>
      </c>
    </row>
    <row r="248" ht="60.0" customHeight="1">
      <c r="A248" s="56">
        <v>242.0</v>
      </c>
      <c r="B248" s="57" t="s">
        <v>1838</v>
      </c>
      <c r="C248" s="57" t="s">
        <v>1839</v>
      </c>
      <c r="D248" s="57" t="s">
        <v>1840</v>
      </c>
      <c r="E248" s="57" t="s">
        <v>1841</v>
      </c>
      <c r="F248" s="57" t="s">
        <v>1842</v>
      </c>
      <c r="G248" s="57" t="s">
        <v>1843</v>
      </c>
      <c r="H248" s="56" t="str">
        <f t="shared" si="1"/>
        <v>CORRECT</v>
      </c>
      <c r="I248" s="56" t="s">
        <v>77</v>
      </c>
      <c r="J248" s="56" t="s">
        <v>77</v>
      </c>
      <c r="K248" s="57" t="s">
        <v>1844</v>
      </c>
      <c r="L248" s="63">
        <v>33837.0</v>
      </c>
      <c r="M248" s="61" t="s">
        <v>62</v>
      </c>
      <c r="N248" s="57"/>
    </row>
    <row r="249" ht="60.0" customHeight="1">
      <c r="A249" s="56">
        <v>243.0</v>
      </c>
      <c r="B249" s="57" t="s">
        <v>1845</v>
      </c>
      <c r="C249" s="57" t="s">
        <v>1846</v>
      </c>
      <c r="D249" s="57" t="s">
        <v>1847</v>
      </c>
      <c r="E249" s="57" t="s">
        <v>1848</v>
      </c>
      <c r="F249" s="57" t="s">
        <v>1849</v>
      </c>
      <c r="G249" s="57" t="s">
        <v>1850</v>
      </c>
      <c r="H249" s="56" t="str">
        <f t="shared" si="1"/>
        <v>CORRECT</v>
      </c>
      <c r="I249" s="56" t="s">
        <v>40</v>
      </c>
      <c r="J249" s="56" t="s">
        <v>40</v>
      </c>
      <c r="K249" s="57" t="s">
        <v>1851</v>
      </c>
      <c r="L249" s="63">
        <v>27229.0</v>
      </c>
      <c r="M249" s="61" t="s">
        <v>62</v>
      </c>
      <c r="N249" s="57"/>
    </row>
    <row r="250" ht="60.0" customHeight="1">
      <c r="A250" s="56">
        <v>244.0</v>
      </c>
      <c r="B250" s="57" t="s">
        <v>1852</v>
      </c>
      <c r="C250" s="57" t="s">
        <v>1853</v>
      </c>
      <c r="D250" s="57" t="s">
        <v>1854</v>
      </c>
      <c r="E250" s="57" t="s">
        <v>1855</v>
      </c>
      <c r="F250" s="57" t="s">
        <v>1856</v>
      </c>
      <c r="G250" s="57" t="s">
        <v>1857</v>
      </c>
      <c r="H250" s="56" t="str">
        <f t="shared" si="1"/>
        <v>CORRECT</v>
      </c>
      <c r="I250" s="56" t="s">
        <v>40</v>
      </c>
      <c r="J250" s="56" t="s">
        <v>40</v>
      </c>
      <c r="K250" s="57" t="s">
        <v>1858</v>
      </c>
      <c r="L250" s="63">
        <v>33502.0</v>
      </c>
      <c r="M250" s="61" t="s">
        <v>42</v>
      </c>
      <c r="N250" s="57" t="s">
        <v>1859</v>
      </c>
    </row>
    <row r="251" ht="60.0" customHeight="1">
      <c r="A251" s="56">
        <v>245.0</v>
      </c>
      <c r="B251" s="57" t="s">
        <v>1860</v>
      </c>
      <c r="C251" s="57" t="s">
        <v>1861</v>
      </c>
      <c r="D251" s="57" t="s">
        <v>1862</v>
      </c>
      <c r="E251" s="57" t="s">
        <v>1863</v>
      </c>
      <c r="F251" s="57" t="s">
        <v>1864</v>
      </c>
      <c r="G251" s="57" t="s">
        <v>1865</v>
      </c>
      <c r="H251" s="56" t="str">
        <f t="shared" si="1"/>
        <v>CORRECT</v>
      </c>
      <c r="I251" s="56" t="s">
        <v>60</v>
      </c>
      <c r="J251" s="56" t="s">
        <v>60</v>
      </c>
      <c r="K251" s="57" t="s">
        <v>1866</v>
      </c>
      <c r="L251" s="63">
        <v>30836.0</v>
      </c>
      <c r="M251" s="61" t="s">
        <v>42</v>
      </c>
      <c r="N251" s="57" t="s">
        <v>1867</v>
      </c>
    </row>
    <row r="252" ht="60.0" customHeight="1">
      <c r="A252" s="56">
        <v>246.0</v>
      </c>
      <c r="B252" s="57" t="s">
        <v>1868</v>
      </c>
      <c r="C252" s="57" t="s">
        <v>1869</v>
      </c>
      <c r="D252" s="57" t="s">
        <v>1870</v>
      </c>
      <c r="E252" s="57" t="s">
        <v>1871</v>
      </c>
      <c r="F252" s="57" t="s">
        <v>1872</v>
      </c>
      <c r="G252" s="57" t="s">
        <v>1059</v>
      </c>
      <c r="H252" s="56" t="str">
        <f t="shared" si="1"/>
        <v>CORRECT</v>
      </c>
      <c r="I252" s="56" t="s">
        <v>50</v>
      </c>
      <c r="J252" s="56" t="s">
        <v>50</v>
      </c>
      <c r="K252" s="57" t="s">
        <v>1873</v>
      </c>
      <c r="L252" s="63">
        <v>41038.0</v>
      </c>
      <c r="M252" s="61" t="s">
        <v>42</v>
      </c>
      <c r="N252" s="57" t="s">
        <v>1874</v>
      </c>
    </row>
    <row r="253" ht="60.0" customHeight="1">
      <c r="A253" s="56">
        <v>247.0</v>
      </c>
      <c r="B253" s="57" t="s">
        <v>1875</v>
      </c>
      <c r="C253" s="57" t="s">
        <v>1876</v>
      </c>
      <c r="D253" s="57" t="s">
        <v>1877</v>
      </c>
      <c r="E253" s="57" t="s">
        <v>1878</v>
      </c>
      <c r="F253" s="57" t="s">
        <v>1879</v>
      </c>
      <c r="G253" s="57" t="s">
        <v>1880</v>
      </c>
      <c r="H253" s="56" t="str">
        <f t="shared" si="1"/>
        <v>CORRECT</v>
      </c>
      <c r="I253" s="56" t="s">
        <v>60</v>
      </c>
      <c r="J253" s="56" t="s">
        <v>60</v>
      </c>
      <c r="K253" s="57" t="s">
        <v>1881</v>
      </c>
      <c r="L253" s="63">
        <v>34480.0</v>
      </c>
      <c r="M253" s="61" t="s">
        <v>42</v>
      </c>
      <c r="N253" s="57" t="s">
        <v>1882</v>
      </c>
    </row>
    <row r="254" ht="60.0" customHeight="1">
      <c r="A254" s="56">
        <v>248.0</v>
      </c>
      <c r="B254" s="57" t="s">
        <v>1883</v>
      </c>
      <c r="C254" s="57" t="s">
        <v>1884</v>
      </c>
      <c r="D254" s="57" t="s">
        <v>1885</v>
      </c>
      <c r="E254" s="57" t="s">
        <v>1886</v>
      </c>
      <c r="F254" s="57" t="s">
        <v>1887</v>
      </c>
      <c r="G254" s="57" t="s">
        <v>1888</v>
      </c>
      <c r="H254" s="56" t="str">
        <f t="shared" si="1"/>
        <v>WRONG</v>
      </c>
      <c r="I254" s="56" t="s">
        <v>51</v>
      </c>
      <c r="J254" s="56" t="s">
        <v>77</v>
      </c>
      <c r="K254" s="57" t="s">
        <v>1889</v>
      </c>
      <c r="L254" s="63">
        <v>40863.0</v>
      </c>
      <c r="M254" s="61" t="s">
        <v>42</v>
      </c>
      <c r="N254" s="57" t="s">
        <v>1890</v>
      </c>
    </row>
    <row r="255" ht="60.0" customHeight="1">
      <c r="A255" s="56">
        <v>249.0</v>
      </c>
      <c r="B255" s="57" t="s">
        <v>1891</v>
      </c>
      <c r="C255" s="57" t="s">
        <v>1892</v>
      </c>
      <c r="D255" s="57" t="s">
        <v>1893</v>
      </c>
      <c r="E255" s="57" t="s">
        <v>1894</v>
      </c>
      <c r="F255" s="57" t="s">
        <v>1895</v>
      </c>
      <c r="G255" s="57" t="s">
        <v>1896</v>
      </c>
      <c r="H255" s="56" t="str">
        <f t="shared" si="1"/>
        <v>WRONG</v>
      </c>
      <c r="I255" s="56" t="s">
        <v>77</v>
      </c>
      <c r="J255" s="56" t="s">
        <v>40</v>
      </c>
      <c r="K255" s="57" t="s">
        <v>1897</v>
      </c>
      <c r="L255" s="63">
        <v>38745.0</v>
      </c>
      <c r="M255" s="61" t="s">
        <v>42</v>
      </c>
      <c r="N255" s="57" t="s">
        <v>1898</v>
      </c>
    </row>
    <row r="256" ht="60.0" customHeight="1">
      <c r="A256" s="56">
        <v>250.0</v>
      </c>
      <c r="B256" s="57" t="s">
        <v>1899</v>
      </c>
      <c r="C256" s="57" t="s">
        <v>1900</v>
      </c>
      <c r="D256" s="57" t="s">
        <v>1901</v>
      </c>
      <c r="E256" s="57" t="s">
        <v>1902</v>
      </c>
      <c r="F256" s="57" t="s">
        <v>1903</v>
      </c>
      <c r="G256" s="57" t="s">
        <v>1904</v>
      </c>
      <c r="H256" s="56" t="str">
        <f t="shared" si="1"/>
        <v>WRONG</v>
      </c>
      <c r="I256" s="56" t="s">
        <v>77</v>
      </c>
      <c r="J256" s="56" t="s">
        <v>60</v>
      </c>
      <c r="K256" s="57" t="s">
        <v>1905</v>
      </c>
      <c r="L256" s="63">
        <v>44078.0</v>
      </c>
      <c r="M256" s="61" t="s">
        <v>62</v>
      </c>
      <c r="N256" s="57"/>
    </row>
    <row r="257" ht="60.0" customHeight="1">
      <c r="A257" s="56">
        <v>251.0</v>
      </c>
      <c r="B257" s="57" t="s">
        <v>1906</v>
      </c>
      <c r="C257" s="57" t="s">
        <v>1907</v>
      </c>
      <c r="D257" s="57" t="s">
        <v>1908</v>
      </c>
      <c r="E257" s="57" t="s">
        <v>1909</v>
      </c>
      <c r="F257" s="57" t="s">
        <v>1910</v>
      </c>
      <c r="G257" s="57" t="s">
        <v>1911</v>
      </c>
      <c r="H257" s="56" t="str">
        <f t="shared" si="1"/>
        <v>CORRECT</v>
      </c>
      <c r="I257" s="56" t="s">
        <v>51</v>
      </c>
      <c r="J257" s="56" t="s">
        <v>51</v>
      </c>
      <c r="K257" s="57" t="s">
        <v>1912</v>
      </c>
      <c r="L257" s="63">
        <v>54967.0</v>
      </c>
      <c r="M257" s="61" t="s">
        <v>62</v>
      </c>
      <c r="N257" s="57"/>
    </row>
    <row r="258" ht="60.0" customHeight="1">
      <c r="A258" s="56">
        <v>252.0</v>
      </c>
      <c r="B258" s="57" t="s">
        <v>1913</v>
      </c>
      <c r="C258" s="57" t="s">
        <v>1914</v>
      </c>
      <c r="D258" s="57" t="s">
        <v>1915</v>
      </c>
      <c r="E258" s="57" t="s">
        <v>1916</v>
      </c>
      <c r="F258" s="57" t="s">
        <v>1917</v>
      </c>
      <c r="G258" s="57" t="s">
        <v>1918</v>
      </c>
      <c r="H258" s="56" t="str">
        <f t="shared" si="1"/>
        <v>CORRECT</v>
      </c>
      <c r="I258" s="56" t="s">
        <v>51</v>
      </c>
      <c r="J258" s="56" t="s">
        <v>51</v>
      </c>
      <c r="K258" s="57" t="s">
        <v>1919</v>
      </c>
      <c r="L258" s="63">
        <v>27836.0</v>
      </c>
      <c r="M258" s="61" t="s">
        <v>42</v>
      </c>
      <c r="N258" s="57" t="s">
        <v>1920</v>
      </c>
    </row>
    <row r="259" ht="60.0" customHeight="1">
      <c r="A259" s="56">
        <v>253.0</v>
      </c>
      <c r="B259" s="57" t="s">
        <v>1921</v>
      </c>
      <c r="C259" s="57" t="s">
        <v>1922</v>
      </c>
      <c r="D259" s="57" t="s">
        <v>1923</v>
      </c>
      <c r="E259" s="57" t="s">
        <v>1924</v>
      </c>
      <c r="F259" s="57" t="s">
        <v>1925</v>
      </c>
      <c r="G259" s="57" t="s">
        <v>1926</v>
      </c>
      <c r="H259" s="56" t="str">
        <f t="shared" si="1"/>
        <v>CORRECT</v>
      </c>
      <c r="I259" s="56" t="s">
        <v>40</v>
      </c>
      <c r="J259" s="56" t="s">
        <v>40</v>
      </c>
      <c r="K259" s="57" t="s">
        <v>1927</v>
      </c>
      <c r="L259" s="63">
        <v>41016.0</v>
      </c>
      <c r="M259" s="61" t="s">
        <v>42</v>
      </c>
      <c r="N259" s="57" t="s">
        <v>1928</v>
      </c>
    </row>
    <row r="260" ht="60.0" customHeight="1">
      <c r="A260" s="56">
        <v>254.0</v>
      </c>
      <c r="B260" s="57" t="s">
        <v>1929</v>
      </c>
      <c r="C260" s="57" t="s">
        <v>1930</v>
      </c>
      <c r="D260" s="57" t="s">
        <v>1931</v>
      </c>
      <c r="E260" s="57" t="s">
        <v>1932</v>
      </c>
      <c r="F260" s="57" t="s">
        <v>1933</v>
      </c>
      <c r="G260" s="57" t="s">
        <v>1934</v>
      </c>
      <c r="H260" s="56" t="str">
        <f t="shared" si="1"/>
        <v>WRONG</v>
      </c>
      <c r="I260" s="56" t="s">
        <v>50</v>
      </c>
      <c r="J260" s="56" t="s">
        <v>51</v>
      </c>
      <c r="K260" s="57" t="s">
        <v>1935</v>
      </c>
      <c r="L260" s="63">
        <v>40096.0</v>
      </c>
      <c r="M260" s="61" t="s">
        <v>62</v>
      </c>
      <c r="N260" s="57"/>
    </row>
    <row r="261" ht="60.0" customHeight="1">
      <c r="A261" s="56">
        <v>255.0</v>
      </c>
      <c r="B261" s="57" t="s">
        <v>1936</v>
      </c>
      <c r="C261" s="57" t="s">
        <v>1937</v>
      </c>
      <c r="D261" s="57" t="s">
        <v>1938</v>
      </c>
      <c r="E261" s="57" t="s">
        <v>1939</v>
      </c>
      <c r="F261" s="57" t="s">
        <v>1940</v>
      </c>
      <c r="G261" s="57" t="s">
        <v>1941</v>
      </c>
      <c r="H261" s="56" t="str">
        <f t="shared" si="1"/>
        <v>WRONG</v>
      </c>
      <c r="I261" s="56" t="s">
        <v>51</v>
      </c>
      <c r="J261" s="56" t="s">
        <v>50</v>
      </c>
      <c r="K261" s="57" t="s">
        <v>1942</v>
      </c>
      <c r="L261" s="63">
        <v>59674.0</v>
      </c>
      <c r="M261" s="61" t="s">
        <v>62</v>
      </c>
      <c r="N261" s="57"/>
    </row>
    <row r="262" ht="60.0" customHeight="1">
      <c r="A262" s="56">
        <v>256.0</v>
      </c>
      <c r="B262" s="57" t="s">
        <v>1943</v>
      </c>
      <c r="C262" s="57" t="s">
        <v>1944</v>
      </c>
      <c r="D262" s="57" t="s">
        <v>1945</v>
      </c>
      <c r="E262" s="57" t="s">
        <v>1946</v>
      </c>
      <c r="F262" s="57" t="s">
        <v>1947</v>
      </c>
      <c r="G262" s="57" t="s">
        <v>1948</v>
      </c>
      <c r="H262" s="56" t="str">
        <f t="shared" si="1"/>
        <v>WRONG</v>
      </c>
      <c r="I262" s="56" t="s">
        <v>60</v>
      </c>
      <c r="J262" s="56" t="s">
        <v>50</v>
      </c>
      <c r="K262" s="57" t="s">
        <v>1949</v>
      </c>
      <c r="L262" s="63">
        <v>41270.0</v>
      </c>
      <c r="M262" s="61" t="s">
        <v>62</v>
      </c>
      <c r="N262" s="57"/>
    </row>
    <row r="263" ht="60.0" customHeight="1">
      <c r="A263" s="56">
        <v>257.0</v>
      </c>
      <c r="B263" s="57" t="s">
        <v>1950</v>
      </c>
      <c r="C263" s="57" t="s">
        <v>1951</v>
      </c>
      <c r="D263" s="57" t="s">
        <v>1952</v>
      </c>
      <c r="E263" s="57" t="s">
        <v>1953</v>
      </c>
      <c r="F263" s="57" t="s">
        <v>1954</v>
      </c>
      <c r="G263" s="57" t="s">
        <v>1955</v>
      </c>
      <c r="H263" s="56" t="str">
        <f t="shared" si="1"/>
        <v>CORRECT</v>
      </c>
      <c r="I263" s="56" t="s">
        <v>40</v>
      </c>
      <c r="J263" s="56" t="s">
        <v>40</v>
      </c>
      <c r="K263" s="57" t="s">
        <v>1956</v>
      </c>
      <c r="L263" s="63">
        <v>36300.0</v>
      </c>
      <c r="M263" s="61" t="s">
        <v>42</v>
      </c>
      <c r="N263" s="57" t="s">
        <v>1957</v>
      </c>
    </row>
    <row r="264" ht="60.0" customHeight="1">
      <c r="A264" s="56">
        <v>258.0</v>
      </c>
      <c r="B264" s="57" t="s">
        <v>1958</v>
      </c>
      <c r="C264" s="57" t="s">
        <v>1959</v>
      </c>
      <c r="D264" s="57" t="s">
        <v>1960</v>
      </c>
      <c r="E264" s="57" t="s">
        <v>1961</v>
      </c>
      <c r="F264" s="57" t="s">
        <v>1962</v>
      </c>
      <c r="G264" s="57" t="s">
        <v>1963</v>
      </c>
      <c r="H264" s="56" t="str">
        <f t="shared" si="1"/>
        <v>CORRECT</v>
      </c>
      <c r="I264" s="56" t="s">
        <v>40</v>
      </c>
      <c r="J264" s="56" t="s">
        <v>40</v>
      </c>
      <c r="K264" s="57" t="s">
        <v>1964</v>
      </c>
      <c r="L264" s="63">
        <v>34554.0</v>
      </c>
      <c r="M264" s="61" t="s">
        <v>62</v>
      </c>
      <c r="N264" s="57"/>
    </row>
    <row r="265" ht="60.0" customHeight="1">
      <c r="A265" s="56">
        <v>259.0</v>
      </c>
      <c r="B265" s="57" t="s">
        <v>1965</v>
      </c>
      <c r="C265" s="57" t="s">
        <v>1966</v>
      </c>
      <c r="D265" s="57" t="s">
        <v>1967</v>
      </c>
      <c r="E265" s="57" t="s">
        <v>1968</v>
      </c>
      <c r="F265" s="57" t="s">
        <v>1969</v>
      </c>
      <c r="G265" s="57" t="s">
        <v>1970</v>
      </c>
      <c r="H265" s="56" t="str">
        <f t="shared" si="1"/>
        <v>CORRECT</v>
      </c>
      <c r="I265" s="56" t="s">
        <v>40</v>
      </c>
      <c r="J265" s="56" t="s">
        <v>40</v>
      </c>
      <c r="K265" s="57" t="s">
        <v>1971</v>
      </c>
      <c r="L265" s="63">
        <v>48198.0</v>
      </c>
      <c r="M265" s="61" t="s">
        <v>62</v>
      </c>
      <c r="N265" s="57"/>
    </row>
    <row r="266" ht="60.0" customHeight="1">
      <c r="A266" s="56">
        <v>260.0</v>
      </c>
      <c r="B266" s="57" t="s">
        <v>1972</v>
      </c>
      <c r="C266" s="57" t="s">
        <v>1274</v>
      </c>
      <c r="D266" s="57" t="s">
        <v>1973</v>
      </c>
      <c r="E266" s="57" t="s">
        <v>1974</v>
      </c>
      <c r="F266" s="57" t="s">
        <v>1975</v>
      </c>
      <c r="G266" s="57" t="s">
        <v>1976</v>
      </c>
      <c r="H266" s="56" t="str">
        <f t="shared" si="1"/>
        <v>CORRECT</v>
      </c>
      <c r="I266" s="56" t="s">
        <v>50</v>
      </c>
      <c r="J266" s="56" t="s">
        <v>50</v>
      </c>
      <c r="K266" s="57" t="s">
        <v>1977</v>
      </c>
      <c r="L266" s="63">
        <v>35268.0</v>
      </c>
      <c r="M266" s="61" t="s">
        <v>42</v>
      </c>
      <c r="N266" s="57" t="s">
        <v>1978</v>
      </c>
    </row>
    <row r="267" ht="60.0" customHeight="1">
      <c r="A267" s="56">
        <v>261.0</v>
      </c>
      <c r="B267" s="57" t="s">
        <v>1979</v>
      </c>
      <c r="C267" s="57" t="s">
        <v>1980</v>
      </c>
      <c r="D267" s="57" t="s">
        <v>1981</v>
      </c>
      <c r="E267" s="57" t="s">
        <v>1041</v>
      </c>
      <c r="F267" s="57" t="s">
        <v>1982</v>
      </c>
      <c r="G267" s="57" t="s">
        <v>1983</v>
      </c>
      <c r="H267" s="56" t="str">
        <f t="shared" si="1"/>
        <v>CORRECT</v>
      </c>
      <c r="I267" s="56" t="s">
        <v>50</v>
      </c>
      <c r="J267" s="56" t="s">
        <v>50</v>
      </c>
      <c r="K267" s="57" t="s">
        <v>1984</v>
      </c>
      <c r="L267" s="63">
        <v>28621.0</v>
      </c>
      <c r="M267" s="61" t="s">
        <v>62</v>
      </c>
      <c r="N267" s="57"/>
    </row>
    <row r="268" ht="60.0" customHeight="1">
      <c r="A268" s="56">
        <v>262.0</v>
      </c>
      <c r="B268" s="57" t="s">
        <v>1985</v>
      </c>
      <c r="C268" s="57" t="s">
        <v>1986</v>
      </c>
      <c r="D268" s="57" t="s">
        <v>1987</v>
      </c>
      <c r="E268" s="57" t="s">
        <v>1988</v>
      </c>
      <c r="F268" s="57" t="s">
        <v>1989</v>
      </c>
      <c r="G268" s="57" t="s">
        <v>1059</v>
      </c>
      <c r="H268" s="56" t="str">
        <f t="shared" si="1"/>
        <v>CORRECT</v>
      </c>
      <c r="I268" s="56" t="s">
        <v>40</v>
      </c>
      <c r="J268" s="56" t="s">
        <v>40</v>
      </c>
      <c r="K268" s="57" t="s">
        <v>1990</v>
      </c>
      <c r="L268" s="63">
        <v>36118.0</v>
      </c>
      <c r="M268" s="61" t="s">
        <v>62</v>
      </c>
      <c r="N268" s="62"/>
    </row>
    <row r="269" ht="60.0" customHeight="1">
      <c r="A269" s="56">
        <v>263.0</v>
      </c>
      <c r="B269" s="57" t="s">
        <v>1991</v>
      </c>
      <c r="C269" s="57" t="s">
        <v>1992</v>
      </c>
      <c r="D269" s="57" t="s">
        <v>1993</v>
      </c>
      <c r="E269" s="57" t="s">
        <v>1994</v>
      </c>
      <c r="F269" s="57" t="s">
        <v>1995</v>
      </c>
      <c r="G269" s="57" t="s">
        <v>1996</v>
      </c>
      <c r="H269" s="56" t="str">
        <f t="shared" si="1"/>
        <v>WRONG</v>
      </c>
      <c r="I269" s="56" t="s">
        <v>50</v>
      </c>
      <c r="J269" s="56" t="s">
        <v>60</v>
      </c>
      <c r="K269" s="57" t="s">
        <v>1997</v>
      </c>
      <c r="L269" s="63">
        <v>67001.0</v>
      </c>
      <c r="M269" s="61" t="s">
        <v>62</v>
      </c>
      <c r="N269" s="57"/>
    </row>
    <row r="270" ht="60.0" customHeight="1">
      <c r="A270" s="56">
        <v>264.0</v>
      </c>
      <c r="B270" s="57" t="s">
        <v>1998</v>
      </c>
      <c r="C270" s="57" t="s">
        <v>1999</v>
      </c>
      <c r="D270" s="57" t="s">
        <v>2000</v>
      </c>
      <c r="E270" s="57" t="s">
        <v>2001</v>
      </c>
      <c r="F270" s="57" t="s">
        <v>2002</v>
      </c>
      <c r="G270" s="57" t="s">
        <v>2003</v>
      </c>
      <c r="H270" s="56" t="str">
        <f t="shared" si="1"/>
        <v>CORRECT</v>
      </c>
      <c r="I270" s="56" t="s">
        <v>40</v>
      </c>
      <c r="J270" s="56" t="s">
        <v>40</v>
      </c>
      <c r="K270" s="57" t="s">
        <v>2004</v>
      </c>
      <c r="L270" s="63">
        <v>36718.0</v>
      </c>
      <c r="M270" s="61" t="s">
        <v>42</v>
      </c>
      <c r="N270" s="57" t="s">
        <v>2005</v>
      </c>
    </row>
    <row r="271" ht="60.0" customHeight="1">
      <c r="A271" s="56">
        <v>265.0</v>
      </c>
      <c r="B271" s="57" t="s">
        <v>2006</v>
      </c>
      <c r="C271" s="57" t="s">
        <v>2007</v>
      </c>
      <c r="D271" s="57" t="s">
        <v>2008</v>
      </c>
      <c r="E271" s="57" t="s">
        <v>2009</v>
      </c>
      <c r="F271" s="57" t="s">
        <v>2010</v>
      </c>
      <c r="G271" s="57" t="s">
        <v>2011</v>
      </c>
      <c r="H271" s="56" t="str">
        <f t="shared" si="1"/>
        <v>WRONG</v>
      </c>
      <c r="I271" s="56" t="s">
        <v>51</v>
      </c>
      <c r="J271" s="56" t="s">
        <v>40</v>
      </c>
      <c r="K271" s="57" t="s">
        <v>2012</v>
      </c>
      <c r="L271" s="63">
        <v>29580.0</v>
      </c>
      <c r="M271" s="61" t="s">
        <v>42</v>
      </c>
      <c r="N271" s="57" t="s">
        <v>2013</v>
      </c>
    </row>
    <row r="272" ht="60.0" customHeight="1">
      <c r="A272" s="56">
        <v>266.0</v>
      </c>
      <c r="B272" s="57" t="s">
        <v>2014</v>
      </c>
      <c r="C272" s="57" t="s">
        <v>2015</v>
      </c>
      <c r="D272" s="57" t="s">
        <v>2016</v>
      </c>
      <c r="E272" s="57" t="s">
        <v>2017</v>
      </c>
      <c r="F272" s="57" t="s">
        <v>2018</v>
      </c>
      <c r="G272" s="57" t="s">
        <v>2019</v>
      </c>
      <c r="H272" s="56" t="str">
        <f t="shared" si="1"/>
        <v>WRONG</v>
      </c>
      <c r="I272" s="56" t="s">
        <v>50</v>
      </c>
      <c r="J272" s="56" t="s">
        <v>77</v>
      </c>
      <c r="K272" s="57" t="s">
        <v>2020</v>
      </c>
      <c r="L272" s="63">
        <v>39398.0</v>
      </c>
      <c r="M272" s="61" t="s">
        <v>42</v>
      </c>
      <c r="N272" s="57" t="s">
        <v>2021</v>
      </c>
    </row>
    <row r="273" ht="60.0" customHeight="1">
      <c r="A273" s="56">
        <v>267.0</v>
      </c>
      <c r="B273" s="57" t="s">
        <v>2022</v>
      </c>
      <c r="C273" s="57" t="s">
        <v>2023</v>
      </c>
      <c r="D273" s="57" t="s">
        <v>2024</v>
      </c>
      <c r="E273" s="57" t="s">
        <v>2025</v>
      </c>
      <c r="F273" s="57" t="s">
        <v>2026</v>
      </c>
      <c r="G273" s="57" t="s">
        <v>2027</v>
      </c>
      <c r="H273" s="56" t="str">
        <f t="shared" si="1"/>
        <v>CORRECT</v>
      </c>
      <c r="I273" s="56" t="s">
        <v>60</v>
      </c>
      <c r="J273" s="56" t="s">
        <v>60</v>
      </c>
      <c r="K273" s="57" t="s">
        <v>2028</v>
      </c>
      <c r="L273" s="63">
        <v>62021.0</v>
      </c>
      <c r="M273" s="61" t="s">
        <v>62</v>
      </c>
      <c r="N273" s="57"/>
    </row>
    <row r="274" ht="60.0" customHeight="1">
      <c r="A274" s="56">
        <v>268.0</v>
      </c>
      <c r="B274" s="57" t="s">
        <v>2029</v>
      </c>
      <c r="C274" s="57" t="s">
        <v>2030</v>
      </c>
      <c r="D274" s="57" t="s">
        <v>2031</v>
      </c>
      <c r="E274" s="57" t="s">
        <v>2032</v>
      </c>
      <c r="F274" s="57" t="s">
        <v>2033</v>
      </c>
      <c r="G274" s="57" t="s">
        <v>1059</v>
      </c>
      <c r="H274" s="56" t="str">
        <f t="shared" si="1"/>
        <v>WRONG</v>
      </c>
      <c r="I274" s="56" t="s">
        <v>40</v>
      </c>
      <c r="J274" s="56" t="s">
        <v>51</v>
      </c>
      <c r="K274" s="57" t="s">
        <v>2034</v>
      </c>
      <c r="L274" s="63">
        <v>28090.0</v>
      </c>
      <c r="M274" s="61" t="s">
        <v>62</v>
      </c>
      <c r="N274" s="62"/>
    </row>
    <row r="275" ht="60.0" customHeight="1">
      <c r="A275" s="56">
        <v>269.0</v>
      </c>
      <c r="B275" s="57" t="s">
        <v>2035</v>
      </c>
      <c r="C275" s="57" t="s">
        <v>2036</v>
      </c>
      <c r="D275" s="57" t="s">
        <v>2037</v>
      </c>
      <c r="E275" s="57" t="s">
        <v>2038</v>
      </c>
      <c r="F275" s="57" t="s">
        <v>2039</v>
      </c>
      <c r="G275" s="57" t="s">
        <v>2040</v>
      </c>
      <c r="H275" s="56" t="str">
        <f t="shared" si="1"/>
        <v>CORRECT</v>
      </c>
      <c r="I275" s="56" t="s">
        <v>60</v>
      </c>
      <c r="J275" s="56" t="s">
        <v>60</v>
      </c>
      <c r="K275" s="57" t="s">
        <v>2041</v>
      </c>
      <c r="L275" s="63">
        <v>49695.0</v>
      </c>
      <c r="M275" s="61" t="s">
        <v>62</v>
      </c>
      <c r="N275" s="57"/>
    </row>
    <row r="276" ht="60.0" customHeight="1">
      <c r="A276" s="56">
        <v>270.0</v>
      </c>
      <c r="B276" s="57" t="s">
        <v>2042</v>
      </c>
      <c r="C276" s="57" t="s">
        <v>2043</v>
      </c>
      <c r="D276" s="57" t="s">
        <v>2044</v>
      </c>
      <c r="E276" s="57" t="s">
        <v>2045</v>
      </c>
      <c r="F276" s="57" t="s">
        <v>2046</v>
      </c>
      <c r="G276" s="57" t="s">
        <v>2047</v>
      </c>
      <c r="H276" s="56" t="str">
        <f t="shared" si="1"/>
        <v>CORRECT</v>
      </c>
      <c r="I276" s="56" t="s">
        <v>77</v>
      </c>
      <c r="J276" s="56" t="s">
        <v>77</v>
      </c>
      <c r="K276" s="57" t="s">
        <v>2048</v>
      </c>
      <c r="L276" s="63">
        <v>33129.0</v>
      </c>
      <c r="M276" s="61" t="s">
        <v>42</v>
      </c>
      <c r="N276" s="57" t="s">
        <v>2049</v>
      </c>
    </row>
    <row r="277" ht="60.0" customHeight="1">
      <c r="A277" s="56">
        <v>271.0</v>
      </c>
      <c r="B277" s="57" t="s">
        <v>2050</v>
      </c>
      <c r="C277" s="57" t="s">
        <v>2051</v>
      </c>
      <c r="D277" s="57" t="s">
        <v>2052</v>
      </c>
      <c r="E277" s="57" t="s">
        <v>2053</v>
      </c>
      <c r="F277" s="57" t="s">
        <v>2054</v>
      </c>
      <c r="G277" s="57" t="s">
        <v>2055</v>
      </c>
      <c r="H277" s="56" t="str">
        <f t="shared" si="1"/>
        <v>WRONG</v>
      </c>
      <c r="I277" s="56" t="s">
        <v>51</v>
      </c>
      <c r="J277" s="56" t="s">
        <v>60</v>
      </c>
      <c r="K277" s="57" t="s">
        <v>2056</v>
      </c>
      <c r="L277" s="63">
        <v>43429.0</v>
      </c>
      <c r="M277" s="61" t="s">
        <v>62</v>
      </c>
      <c r="N277" s="57"/>
    </row>
    <row r="278" ht="60.0" customHeight="1">
      <c r="A278" s="56">
        <v>272.0</v>
      </c>
      <c r="B278" s="57" t="s">
        <v>2057</v>
      </c>
      <c r="C278" s="57" t="s">
        <v>2058</v>
      </c>
      <c r="D278" s="57" t="s">
        <v>2059</v>
      </c>
      <c r="E278" s="57" t="s">
        <v>2060</v>
      </c>
      <c r="F278" s="57" t="s">
        <v>2061</v>
      </c>
      <c r="G278" s="57" t="s">
        <v>2062</v>
      </c>
      <c r="H278" s="56" t="str">
        <f t="shared" si="1"/>
        <v>WRONG</v>
      </c>
      <c r="I278" s="56" t="s">
        <v>50</v>
      </c>
      <c r="J278" s="56" t="s">
        <v>60</v>
      </c>
      <c r="K278" s="57" t="s">
        <v>2063</v>
      </c>
      <c r="L278" s="63">
        <v>56560.0</v>
      </c>
      <c r="M278" s="61" t="s">
        <v>42</v>
      </c>
      <c r="N278" s="57" t="s">
        <v>2064</v>
      </c>
    </row>
    <row r="279" ht="60.0" customHeight="1">
      <c r="A279" s="56">
        <v>273.0</v>
      </c>
      <c r="B279" s="57" t="s">
        <v>2065</v>
      </c>
      <c r="C279" s="57" t="s">
        <v>2066</v>
      </c>
      <c r="D279" s="57" t="s">
        <v>2067</v>
      </c>
      <c r="E279" s="57" t="s">
        <v>2068</v>
      </c>
      <c r="F279" s="57" t="s">
        <v>2069</v>
      </c>
      <c r="G279" s="57" t="s">
        <v>2070</v>
      </c>
      <c r="H279" s="56" t="str">
        <f t="shared" si="1"/>
        <v>CORRECT</v>
      </c>
      <c r="I279" s="56" t="s">
        <v>51</v>
      </c>
      <c r="J279" s="56" t="s">
        <v>51</v>
      </c>
      <c r="K279" s="57" t="s">
        <v>2071</v>
      </c>
      <c r="L279" s="63">
        <v>40853.0</v>
      </c>
      <c r="M279" s="61" t="s">
        <v>42</v>
      </c>
      <c r="N279" s="57" t="s">
        <v>2072</v>
      </c>
    </row>
    <row r="280" ht="60.0" customHeight="1">
      <c r="A280" s="56">
        <v>274.0</v>
      </c>
      <c r="B280" s="57" t="s">
        <v>2073</v>
      </c>
      <c r="C280" s="57" t="s">
        <v>2074</v>
      </c>
      <c r="D280" s="57" t="s">
        <v>2075</v>
      </c>
      <c r="E280" s="57" t="s">
        <v>2076</v>
      </c>
      <c r="F280" s="57" t="s">
        <v>2077</v>
      </c>
      <c r="G280" s="57" t="s">
        <v>2078</v>
      </c>
      <c r="H280" s="56" t="str">
        <f t="shared" si="1"/>
        <v>WRONG</v>
      </c>
      <c r="I280" s="56" t="s">
        <v>77</v>
      </c>
      <c r="J280" s="56" t="s">
        <v>51</v>
      </c>
      <c r="K280" s="57" t="s">
        <v>2079</v>
      </c>
      <c r="L280" s="63">
        <v>29245.0</v>
      </c>
      <c r="M280" s="61" t="s">
        <v>42</v>
      </c>
      <c r="N280" s="57" t="s">
        <v>2080</v>
      </c>
    </row>
    <row r="281" ht="60.0" customHeight="1">
      <c r="A281" s="56">
        <v>275.0</v>
      </c>
      <c r="B281" s="57" t="s">
        <v>2081</v>
      </c>
      <c r="C281" s="57" t="s">
        <v>2082</v>
      </c>
      <c r="D281" s="57" t="s">
        <v>2083</v>
      </c>
      <c r="E281" s="57" t="s">
        <v>2084</v>
      </c>
      <c r="F281" s="57" t="s">
        <v>1723</v>
      </c>
      <c r="G281" s="57" t="s">
        <v>2085</v>
      </c>
      <c r="H281" s="56" t="str">
        <f t="shared" si="1"/>
        <v>WRONG</v>
      </c>
      <c r="I281" s="56" t="s">
        <v>40</v>
      </c>
      <c r="J281" s="56" t="s">
        <v>50</v>
      </c>
      <c r="K281" s="57" t="s">
        <v>2086</v>
      </c>
      <c r="L281" s="63">
        <v>29741.0</v>
      </c>
      <c r="M281" s="61" t="s">
        <v>62</v>
      </c>
      <c r="N281" s="57"/>
    </row>
    <row r="282" ht="60.0" customHeight="1">
      <c r="A282" s="56">
        <v>276.0</v>
      </c>
      <c r="B282" s="57" t="s">
        <v>2087</v>
      </c>
      <c r="C282" s="57" t="s">
        <v>2088</v>
      </c>
      <c r="D282" s="57" t="s">
        <v>2089</v>
      </c>
      <c r="E282" s="57" t="s">
        <v>2090</v>
      </c>
      <c r="F282" s="57" t="s">
        <v>2091</v>
      </c>
      <c r="G282" s="57" t="s">
        <v>2092</v>
      </c>
      <c r="H282" s="56" t="str">
        <f t="shared" si="1"/>
        <v>CORRECT</v>
      </c>
      <c r="I282" s="56" t="s">
        <v>50</v>
      </c>
      <c r="J282" s="56" t="s">
        <v>50</v>
      </c>
      <c r="K282" s="57" t="s">
        <v>2093</v>
      </c>
      <c r="L282" s="63">
        <v>42262.0</v>
      </c>
      <c r="M282" s="61" t="s">
        <v>62</v>
      </c>
      <c r="N282" s="57"/>
    </row>
    <row r="283" ht="60.0" customHeight="1">
      <c r="A283" s="56">
        <v>277.0</v>
      </c>
      <c r="B283" s="57" t="s">
        <v>2094</v>
      </c>
      <c r="C283" s="57" t="s">
        <v>2095</v>
      </c>
      <c r="D283" s="57" t="s">
        <v>2096</v>
      </c>
      <c r="E283" s="57" t="s">
        <v>2097</v>
      </c>
      <c r="F283" s="57" t="s">
        <v>2098</v>
      </c>
      <c r="G283" s="57" t="s">
        <v>2099</v>
      </c>
      <c r="H283" s="56" t="str">
        <f t="shared" si="1"/>
        <v>CORRECT</v>
      </c>
      <c r="I283" s="56" t="s">
        <v>50</v>
      </c>
      <c r="J283" s="56" t="s">
        <v>50</v>
      </c>
      <c r="K283" s="57" t="s">
        <v>2100</v>
      </c>
      <c r="L283" s="63">
        <v>54175.0</v>
      </c>
      <c r="M283" s="61" t="s">
        <v>42</v>
      </c>
      <c r="N283" s="57" t="s">
        <v>2101</v>
      </c>
    </row>
    <row r="284" ht="60.0" customHeight="1">
      <c r="A284" s="56">
        <v>278.0</v>
      </c>
      <c r="B284" s="57" t="s">
        <v>2102</v>
      </c>
      <c r="C284" s="57" t="s">
        <v>2103</v>
      </c>
      <c r="D284" s="57" t="s">
        <v>2104</v>
      </c>
      <c r="E284" s="57" t="s">
        <v>2105</v>
      </c>
      <c r="F284" s="57" t="s">
        <v>2106</v>
      </c>
      <c r="G284" s="57" t="s">
        <v>2107</v>
      </c>
      <c r="H284" s="56" t="str">
        <f t="shared" si="1"/>
        <v>CORRECT</v>
      </c>
      <c r="I284" s="56" t="s">
        <v>50</v>
      </c>
      <c r="J284" s="56" t="s">
        <v>50</v>
      </c>
      <c r="K284" s="57" t="s">
        <v>2108</v>
      </c>
      <c r="L284" s="63">
        <v>43149.0</v>
      </c>
      <c r="M284" s="61" t="s">
        <v>62</v>
      </c>
      <c r="N284" s="57"/>
    </row>
    <row r="285" ht="60.0" customHeight="1">
      <c r="A285" s="56">
        <v>279.0</v>
      </c>
      <c r="B285" s="57" t="s">
        <v>2109</v>
      </c>
      <c r="C285" s="57" t="s">
        <v>2110</v>
      </c>
      <c r="D285" s="57" t="s">
        <v>2111</v>
      </c>
      <c r="E285" s="57" t="s">
        <v>2112</v>
      </c>
      <c r="F285" s="57" t="s">
        <v>2113</v>
      </c>
      <c r="G285" s="57" t="s">
        <v>2114</v>
      </c>
      <c r="H285" s="56" t="str">
        <f t="shared" si="1"/>
        <v>WRONG</v>
      </c>
      <c r="I285" s="56" t="s">
        <v>60</v>
      </c>
      <c r="J285" s="56" t="s">
        <v>77</v>
      </c>
      <c r="K285" s="57" t="s">
        <v>2115</v>
      </c>
      <c r="L285" s="63">
        <v>48962.0</v>
      </c>
      <c r="M285" s="61" t="s">
        <v>62</v>
      </c>
      <c r="N285" s="57"/>
    </row>
    <row r="286" ht="60.0" customHeight="1">
      <c r="A286" s="56">
        <v>280.0</v>
      </c>
      <c r="B286" s="57" t="s">
        <v>2116</v>
      </c>
      <c r="C286" s="57" t="s">
        <v>2117</v>
      </c>
      <c r="D286" s="57" t="s">
        <v>2118</v>
      </c>
      <c r="E286" s="57" t="s">
        <v>2119</v>
      </c>
      <c r="F286" s="57" t="s">
        <v>2120</v>
      </c>
      <c r="G286" s="57" t="s">
        <v>2121</v>
      </c>
      <c r="H286" s="56" t="str">
        <f t="shared" si="1"/>
        <v>WRONG</v>
      </c>
      <c r="I286" s="56" t="s">
        <v>77</v>
      </c>
      <c r="J286" s="56" t="s">
        <v>60</v>
      </c>
      <c r="K286" s="57" t="s">
        <v>2122</v>
      </c>
      <c r="L286" s="63">
        <v>36096.0</v>
      </c>
      <c r="M286" s="61" t="s">
        <v>62</v>
      </c>
      <c r="N286" s="57"/>
    </row>
    <row r="287" ht="60.0" customHeight="1">
      <c r="A287" s="56">
        <v>281.0</v>
      </c>
      <c r="B287" s="57" t="s">
        <v>2123</v>
      </c>
      <c r="C287" s="57" t="s">
        <v>2124</v>
      </c>
      <c r="D287" s="57" t="s">
        <v>2125</v>
      </c>
      <c r="E287" s="57" t="s">
        <v>2126</v>
      </c>
      <c r="F287" s="57" t="s">
        <v>2127</v>
      </c>
      <c r="G287" s="57" t="s">
        <v>2128</v>
      </c>
      <c r="H287" s="56" t="str">
        <f t="shared" si="1"/>
        <v>WRONG</v>
      </c>
      <c r="I287" s="56" t="s">
        <v>77</v>
      </c>
      <c r="J287" s="56" t="s">
        <v>50</v>
      </c>
      <c r="K287" s="57" t="s">
        <v>2129</v>
      </c>
      <c r="L287" s="63">
        <v>40801.0</v>
      </c>
      <c r="M287" s="61" t="s">
        <v>62</v>
      </c>
      <c r="N287" s="57"/>
    </row>
    <row r="288" ht="60.0" customHeight="1">
      <c r="A288" s="56">
        <v>282.0</v>
      </c>
      <c r="B288" s="57" t="s">
        <v>2130</v>
      </c>
      <c r="C288" s="57" t="s">
        <v>2131</v>
      </c>
      <c r="D288" s="57" t="s">
        <v>2132</v>
      </c>
      <c r="E288" s="57" t="s">
        <v>2133</v>
      </c>
      <c r="F288" s="57" t="s">
        <v>2134</v>
      </c>
      <c r="G288" s="57" t="s">
        <v>2135</v>
      </c>
      <c r="H288" s="56" t="str">
        <f t="shared" si="1"/>
        <v>CORRECT</v>
      </c>
      <c r="I288" s="56" t="s">
        <v>50</v>
      </c>
      <c r="J288" s="56" t="s">
        <v>50</v>
      </c>
      <c r="K288" s="57" t="s">
        <v>2136</v>
      </c>
      <c r="L288" s="63">
        <v>29965.0</v>
      </c>
      <c r="M288" s="61" t="s">
        <v>62</v>
      </c>
      <c r="N288" s="57"/>
    </row>
    <row r="289" ht="60.0" customHeight="1">
      <c r="A289" s="56">
        <v>283.0</v>
      </c>
      <c r="B289" s="57" t="s">
        <v>2137</v>
      </c>
      <c r="C289" s="57" t="s">
        <v>2138</v>
      </c>
      <c r="D289" s="57" t="s">
        <v>2139</v>
      </c>
      <c r="E289" s="57" t="s">
        <v>2140</v>
      </c>
      <c r="F289" s="57" t="s">
        <v>2141</v>
      </c>
      <c r="G289" s="57" t="s">
        <v>2142</v>
      </c>
      <c r="H289" s="56" t="str">
        <f t="shared" si="1"/>
        <v>WRONG</v>
      </c>
      <c r="I289" s="56" t="s">
        <v>77</v>
      </c>
      <c r="J289" s="56" t="s">
        <v>51</v>
      </c>
      <c r="K289" s="57" t="s">
        <v>2143</v>
      </c>
      <c r="L289" s="63">
        <v>42316.0</v>
      </c>
      <c r="M289" s="61" t="s">
        <v>62</v>
      </c>
      <c r="N289" s="57"/>
    </row>
    <row r="290" ht="60.0" customHeight="1">
      <c r="A290" s="56">
        <v>284.0</v>
      </c>
      <c r="B290" s="57" t="s">
        <v>2144</v>
      </c>
      <c r="C290" s="57" t="s">
        <v>2145</v>
      </c>
      <c r="D290" s="57" t="s">
        <v>2146</v>
      </c>
      <c r="E290" s="57" t="s">
        <v>2147</v>
      </c>
      <c r="F290" s="57" t="s">
        <v>2148</v>
      </c>
      <c r="G290" s="57" t="s">
        <v>1059</v>
      </c>
      <c r="H290" s="56" t="str">
        <f t="shared" si="1"/>
        <v>WRONG</v>
      </c>
      <c r="I290" s="56" t="s">
        <v>40</v>
      </c>
      <c r="J290" s="56" t="s">
        <v>51</v>
      </c>
      <c r="K290" s="57" t="s">
        <v>2149</v>
      </c>
      <c r="L290" s="63">
        <v>35724.0</v>
      </c>
      <c r="M290" s="61" t="s">
        <v>62</v>
      </c>
      <c r="N290" s="57"/>
    </row>
    <row r="291" ht="60.0" customHeight="1">
      <c r="A291" s="56">
        <v>285.0</v>
      </c>
      <c r="B291" s="57" t="s">
        <v>2150</v>
      </c>
      <c r="C291" s="57" t="s">
        <v>2151</v>
      </c>
      <c r="D291" s="57" t="s">
        <v>2152</v>
      </c>
      <c r="E291" s="57" t="s">
        <v>2153</v>
      </c>
      <c r="F291" s="57" t="s">
        <v>2154</v>
      </c>
      <c r="G291" s="57" t="s">
        <v>2155</v>
      </c>
      <c r="H291" s="56" t="str">
        <f t="shared" si="1"/>
        <v>CORRECT</v>
      </c>
      <c r="I291" s="56" t="s">
        <v>50</v>
      </c>
      <c r="J291" s="56" t="s">
        <v>50</v>
      </c>
      <c r="K291" s="57" t="s">
        <v>2156</v>
      </c>
      <c r="L291" s="63">
        <v>32774.0</v>
      </c>
      <c r="M291" s="61" t="s">
        <v>42</v>
      </c>
      <c r="N291" s="57" t="s">
        <v>2157</v>
      </c>
    </row>
    <row r="292" ht="60.0" customHeight="1">
      <c r="A292" s="56">
        <v>286.0</v>
      </c>
      <c r="B292" s="57" t="s">
        <v>2158</v>
      </c>
      <c r="C292" s="57" t="s">
        <v>2159</v>
      </c>
      <c r="D292" s="57" t="s">
        <v>2160</v>
      </c>
      <c r="E292" s="57" t="s">
        <v>2161</v>
      </c>
      <c r="F292" s="57" t="s">
        <v>2162</v>
      </c>
      <c r="G292" s="57" t="s">
        <v>2163</v>
      </c>
      <c r="H292" s="56" t="str">
        <f t="shared" si="1"/>
        <v>WRONG</v>
      </c>
      <c r="I292" s="56" t="s">
        <v>51</v>
      </c>
      <c r="J292" s="56" t="s">
        <v>60</v>
      </c>
      <c r="K292" s="57" t="s">
        <v>2164</v>
      </c>
      <c r="L292" s="63">
        <v>33965.0</v>
      </c>
      <c r="M292" s="61" t="s">
        <v>62</v>
      </c>
      <c r="N292" s="57"/>
    </row>
    <row r="293" ht="60.0" customHeight="1">
      <c r="A293" s="56">
        <v>287.0</v>
      </c>
      <c r="B293" s="57" t="s">
        <v>2165</v>
      </c>
      <c r="C293" s="57" t="s">
        <v>2166</v>
      </c>
      <c r="D293" s="57" t="s">
        <v>2167</v>
      </c>
      <c r="E293" s="57" t="s">
        <v>2168</v>
      </c>
      <c r="F293" s="57" t="s">
        <v>2169</v>
      </c>
      <c r="G293" s="57" t="s">
        <v>1059</v>
      </c>
      <c r="H293" s="56" t="str">
        <f t="shared" si="1"/>
        <v>CORRECT</v>
      </c>
      <c r="I293" s="56" t="s">
        <v>50</v>
      </c>
      <c r="J293" s="56" t="s">
        <v>50</v>
      </c>
      <c r="K293" s="57" t="s">
        <v>2170</v>
      </c>
      <c r="L293" s="63">
        <v>59271.0</v>
      </c>
      <c r="M293" s="61" t="s">
        <v>42</v>
      </c>
      <c r="N293" s="57" t="s">
        <v>2171</v>
      </c>
    </row>
    <row r="294" ht="60.0" customHeight="1">
      <c r="A294" s="56">
        <v>288.0</v>
      </c>
      <c r="B294" s="57" t="s">
        <v>2172</v>
      </c>
      <c r="C294" s="57" t="s">
        <v>2173</v>
      </c>
      <c r="D294" s="57" t="s">
        <v>2174</v>
      </c>
      <c r="E294" s="57" t="s">
        <v>2175</v>
      </c>
      <c r="F294" s="57" t="s">
        <v>2176</v>
      </c>
      <c r="G294" s="57" t="s">
        <v>2177</v>
      </c>
      <c r="H294" s="56" t="str">
        <f t="shared" si="1"/>
        <v>CORRECT</v>
      </c>
      <c r="I294" s="56" t="s">
        <v>60</v>
      </c>
      <c r="J294" s="56" t="s">
        <v>60</v>
      </c>
      <c r="K294" s="57" t="s">
        <v>2178</v>
      </c>
      <c r="L294" s="63">
        <v>42938.0</v>
      </c>
      <c r="M294" s="61" t="s">
        <v>42</v>
      </c>
      <c r="N294" s="57" t="s">
        <v>2179</v>
      </c>
    </row>
    <row r="295" ht="60.0" customHeight="1">
      <c r="A295" s="56">
        <v>289.0</v>
      </c>
      <c r="B295" s="57" t="s">
        <v>2180</v>
      </c>
      <c r="C295" s="57" t="s">
        <v>2181</v>
      </c>
      <c r="D295" s="57" t="s">
        <v>2182</v>
      </c>
      <c r="E295" s="57" t="s">
        <v>2183</v>
      </c>
      <c r="F295" s="57" t="s">
        <v>2184</v>
      </c>
      <c r="G295" s="57" t="s">
        <v>2185</v>
      </c>
      <c r="H295" s="56" t="str">
        <f t="shared" si="1"/>
        <v>WRONG</v>
      </c>
      <c r="I295" s="56" t="s">
        <v>60</v>
      </c>
      <c r="J295" s="56" t="s">
        <v>40</v>
      </c>
      <c r="K295" s="57" t="s">
        <v>2186</v>
      </c>
      <c r="L295" s="63">
        <v>39092.0</v>
      </c>
      <c r="M295" s="61" t="s">
        <v>62</v>
      </c>
      <c r="N295" s="57"/>
    </row>
    <row r="296" ht="60.0" customHeight="1">
      <c r="A296" s="56">
        <v>290.0</v>
      </c>
      <c r="B296" s="57" t="s">
        <v>2187</v>
      </c>
      <c r="C296" s="57" t="s">
        <v>2188</v>
      </c>
      <c r="D296" s="57" t="s">
        <v>2189</v>
      </c>
      <c r="E296" s="57" t="s">
        <v>2190</v>
      </c>
      <c r="F296" s="57" t="s">
        <v>2191</v>
      </c>
      <c r="G296" s="57" t="s">
        <v>1059</v>
      </c>
      <c r="H296" s="56" t="str">
        <f t="shared" si="1"/>
        <v>CORRECT</v>
      </c>
      <c r="I296" s="56" t="s">
        <v>60</v>
      </c>
      <c r="J296" s="56" t="s">
        <v>60</v>
      </c>
      <c r="K296" s="57" t="s">
        <v>2192</v>
      </c>
      <c r="L296" s="63">
        <v>27351.0</v>
      </c>
      <c r="M296" s="61" t="s">
        <v>42</v>
      </c>
      <c r="N296" s="57" t="s">
        <v>2193</v>
      </c>
    </row>
    <row r="297" ht="60.0" customHeight="1">
      <c r="A297" s="56">
        <v>291.0</v>
      </c>
      <c r="B297" s="57" t="s">
        <v>2194</v>
      </c>
      <c r="C297" s="57" t="s">
        <v>2195</v>
      </c>
      <c r="D297" s="57" t="s">
        <v>2196</v>
      </c>
      <c r="E297" s="57" t="s">
        <v>2197</v>
      </c>
      <c r="F297" s="57" t="s">
        <v>98</v>
      </c>
      <c r="G297" s="57" t="s">
        <v>2198</v>
      </c>
      <c r="H297" s="56" t="str">
        <f t="shared" si="1"/>
        <v>CORRECT</v>
      </c>
      <c r="I297" s="56" t="s">
        <v>40</v>
      </c>
      <c r="J297" s="56" t="s">
        <v>40</v>
      </c>
      <c r="K297" s="57" t="s">
        <v>2199</v>
      </c>
      <c r="L297" s="63">
        <v>35147.0</v>
      </c>
      <c r="M297" s="61" t="s">
        <v>62</v>
      </c>
      <c r="N297" s="57"/>
    </row>
    <row r="298" ht="60.0" customHeight="1">
      <c r="A298" s="56">
        <v>292.0</v>
      </c>
      <c r="B298" s="57" t="s">
        <v>2200</v>
      </c>
      <c r="C298" s="57" t="s">
        <v>2201</v>
      </c>
      <c r="D298" s="57" t="s">
        <v>2202</v>
      </c>
      <c r="E298" s="57" t="s">
        <v>2203</v>
      </c>
      <c r="F298" s="57" t="s">
        <v>2204</v>
      </c>
      <c r="G298" s="57" t="s">
        <v>2205</v>
      </c>
      <c r="H298" s="56" t="str">
        <f t="shared" si="1"/>
        <v>CORRECT</v>
      </c>
      <c r="I298" s="56" t="s">
        <v>50</v>
      </c>
      <c r="J298" s="56" t="s">
        <v>50</v>
      </c>
      <c r="K298" s="57" t="s">
        <v>2206</v>
      </c>
      <c r="L298" s="63">
        <v>47879.0</v>
      </c>
      <c r="M298" s="61" t="s">
        <v>62</v>
      </c>
      <c r="N298" s="57"/>
    </row>
    <row r="299" ht="60.0" customHeight="1">
      <c r="A299" s="56">
        <v>293.0</v>
      </c>
      <c r="B299" s="57" t="s">
        <v>2207</v>
      </c>
      <c r="C299" s="57" t="s">
        <v>2043</v>
      </c>
      <c r="D299" s="57" t="s">
        <v>2208</v>
      </c>
      <c r="E299" s="57" t="s">
        <v>2209</v>
      </c>
      <c r="F299" s="57" t="s">
        <v>2210</v>
      </c>
      <c r="G299" s="57" t="s">
        <v>2211</v>
      </c>
      <c r="H299" s="56" t="str">
        <f t="shared" si="1"/>
        <v>WRONG</v>
      </c>
      <c r="I299" s="56" t="s">
        <v>60</v>
      </c>
      <c r="J299" s="56" t="s">
        <v>51</v>
      </c>
      <c r="K299" s="57" t="s">
        <v>2212</v>
      </c>
      <c r="L299" s="63">
        <v>39332.0</v>
      </c>
      <c r="M299" s="61" t="s">
        <v>42</v>
      </c>
      <c r="N299" s="57" t="s">
        <v>2213</v>
      </c>
    </row>
    <row r="300" ht="60.0" customHeight="1">
      <c r="A300" s="56">
        <v>294.0</v>
      </c>
      <c r="B300" s="57" t="s">
        <v>2214</v>
      </c>
      <c r="C300" s="57" t="s">
        <v>2215</v>
      </c>
      <c r="D300" s="57" t="s">
        <v>2216</v>
      </c>
      <c r="E300" s="57" t="s">
        <v>2217</v>
      </c>
      <c r="F300" s="57" t="s">
        <v>2218</v>
      </c>
      <c r="G300" s="57" t="s">
        <v>2219</v>
      </c>
      <c r="H300" s="56" t="str">
        <f t="shared" si="1"/>
        <v>CORRECT</v>
      </c>
      <c r="I300" s="56" t="s">
        <v>50</v>
      </c>
      <c r="J300" s="56" t="s">
        <v>50</v>
      </c>
      <c r="K300" s="57" t="s">
        <v>2220</v>
      </c>
      <c r="L300" s="63">
        <v>42415.0</v>
      </c>
      <c r="M300" s="61" t="s">
        <v>62</v>
      </c>
      <c r="N300" s="57"/>
    </row>
    <row r="301" ht="60.0" customHeight="1">
      <c r="A301" s="56">
        <v>295.0</v>
      </c>
      <c r="B301" s="57" t="s">
        <v>2221</v>
      </c>
      <c r="C301" s="57" t="s">
        <v>2222</v>
      </c>
      <c r="D301" s="57" t="s">
        <v>2223</v>
      </c>
      <c r="E301" s="57" t="s">
        <v>2224</v>
      </c>
      <c r="F301" s="57" t="s">
        <v>2225</v>
      </c>
      <c r="G301" s="57" t="s">
        <v>2226</v>
      </c>
      <c r="H301" s="56" t="str">
        <f t="shared" si="1"/>
        <v>WRONG</v>
      </c>
      <c r="I301" s="56" t="s">
        <v>40</v>
      </c>
      <c r="J301" s="56" t="s">
        <v>60</v>
      </c>
      <c r="K301" s="57" t="s">
        <v>2227</v>
      </c>
      <c r="L301" s="63">
        <v>50580.0</v>
      </c>
      <c r="M301" s="61" t="s">
        <v>62</v>
      </c>
      <c r="N301" s="57"/>
    </row>
    <row r="302" ht="60.0" customHeight="1">
      <c r="A302" s="56">
        <v>296.0</v>
      </c>
      <c r="B302" s="57" t="s">
        <v>2228</v>
      </c>
      <c r="C302" s="57" t="s">
        <v>2229</v>
      </c>
      <c r="D302" s="57" t="s">
        <v>2230</v>
      </c>
      <c r="E302" s="57" t="s">
        <v>2231</v>
      </c>
      <c r="F302" s="57" t="s">
        <v>2232</v>
      </c>
      <c r="G302" s="57" t="s">
        <v>2233</v>
      </c>
      <c r="H302" s="56" t="str">
        <f t="shared" si="1"/>
        <v>WRONG</v>
      </c>
      <c r="I302" s="56" t="s">
        <v>50</v>
      </c>
      <c r="J302" s="56" t="s">
        <v>40</v>
      </c>
      <c r="K302" s="57" t="s">
        <v>2234</v>
      </c>
      <c r="L302" s="63">
        <v>36629.0</v>
      </c>
      <c r="M302" s="61" t="s">
        <v>42</v>
      </c>
      <c r="N302" s="57" t="s">
        <v>2235</v>
      </c>
    </row>
    <row r="303" ht="60.0" customHeight="1">
      <c r="A303" s="56">
        <v>297.0</v>
      </c>
      <c r="B303" s="57" t="s">
        <v>2236</v>
      </c>
      <c r="C303" s="57" t="s">
        <v>2237</v>
      </c>
      <c r="D303" s="57" t="s">
        <v>2238</v>
      </c>
      <c r="E303" s="57" t="s">
        <v>2239</v>
      </c>
      <c r="F303" s="57" t="s">
        <v>2240</v>
      </c>
      <c r="G303" s="57" t="s">
        <v>2241</v>
      </c>
      <c r="H303" s="56" t="str">
        <f t="shared" si="1"/>
        <v>WRONG</v>
      </c>
      <c r="I303" s="56" t="s">
        <v>77</v>
      </c>
      <c r="J303" s="56" t="s">
        <v>51</v>
      </c>
      <c r="K303" s="57" t="s">
        <v>2242</v>
      </c>
      <c r="L303" s="63">
        <v>36029.0</v>
      </c>
      <c r="M303" s="61" t="s">
        <v>42</v>
      </c>
      <c r="N303" s="57" t="s">
        <v>2243</v>
      </c>
    </row>
    <row r="304" ht="60.0" customHeight="1">
      <c r="A304" s="56">
        <v>298.0</v>
      </c>
      <c r="B304" s="57" t="s">
        <v>2244</v>
      </c>
      <c r="C304" s="57" t="s">
        <v>2245</v>
      </c>
      <c r="D304" s="57" t="s">
        <v>2246</v>
      </c>
      <c r="E304" s="57" t="s">
        <v>2247</v>
      </c>
      <c r="F304" s="57" t="s">
        <v>2248</v>
      </c>
      <c r="G304" s="57" t="s">
        <v>2249</v>
      </c>
      <c r="H304" s="56" t="str">
        <f t="shared" si="1"/>
        <v>CORRECT</v>
      </c>
      <c r="I304" s="56" t="s">
        <v>50</v>
      </c>
      <c r="J304" s="56" t="s">
        <v>50</v>
      </c>
      <c r="K304" s="57" t="s">
        <v>2250</v>
      </c>
      <c r="L304" s="63">
        <v>37577.0</v>
      </c>
      <c r="M304" s="61" t="s">
        <v>42</v>
      </c>
      <c r="N304" s="57" t="s">
        <v>2251</v>
      </c>
    </row>
    <row r="305" ht="60.0" customHeight="1">
      <c r="A305" s="56">
        <v>299.0</v>
      </c>
      <c r="B305" s="57" t="s">
        <v>2252</v>
      </c>
      <c r="C305" s="57" t="s">
        <v>2253</v>
      </c>
      <c r="D305" s="57" t="s">
        <v>2254</v>
      </c>
      <c r="E305" s="57" t="s">
        <v>2255</v>
      </c>
      <c r="F305" s="57" t="s">
        <v>2256</v>
      </c>
      <c r="G305" s="57" t="s">
        <v>1059</v>
      </c>
      <c r="H305" s="56" t="str">
        <f t="shared" si="1"/>
        <v>CORRECT</v>
      </c>
      <c r="I305" s="56" t="s">
        <v>50</v>
      </c>
      <c r="J305" s="56" t="s">
        <v>50</v>
      </c>
      <c r="K305" s="57" t="s">
        <v>2257</v>
      </c>
      <c r="L305" s="63">
        <v>38177.0</v>
      </c>
      <c r="M305" s="61" t="s">
        <v>42</v>
      </c>
      <c r="N305" s="57" t="s">
        <v>2258</v>
      </c>
    </row>
    <row r="306" ht="60.0" customHeight="1">
      <c r="A306" s="56">
        <v>300.0</v>
      </c>
      <c r="B306" s="57" t="s">
        <v>2259</v>
      </c>
      <c r="C306" s="57" t="s">
        <v>2260</v>
      </c>
      <c r="D306" s="57" t="s">
        <v>2261</v>
      </c>
      <c r="E306" s="57" t="s">
        <v>2262</v>
      </c>
      <c r="F306" s="57" t="s">
        <v>2263</v>
      </c>
      <c r="G306" s="57" t="s">
        <v>2264</v>
      </c>
      <c r="H306" s="56" t="str">
        <f t="shared" si="1"/>
        <v>WRONG</v>
      </c>
      <c r="I306" s="56" t="s">
        <v>40</v>
      </c>
      <c r="J306" s="56" t="s">
        <v>60</v>
      </c>
      <c r="K306" s="57" t="s">
        <v>2265</v>
      </c>
      <c r="L306" s="63">
        <v>33106.0</v>
      </c>
      <c r="M306" s="61" t="s">
        <v>62</v>
      </c>
      <c r="N306" s="57"/>
    </row>
    <row r="307" ht="60.0" customHeight="1">
      <c r="A307" s="56">
        <v>301.0</v>
      </c>
      <c r="B307" s="57" t="s">
        <v>2266</v>
      </c>
      <c r="C307" s="57" t="s">
        <v>2267</v>
      </c>
      <c r="D307" s="57" t="s">
        <v>2268</v>
      </c>
      <c r="E307" s="57" t="s">
        <v>2269</v>
      </c>
      <c r="F307" s="57" t="s">
        <v>2270</v>
      </c>
      <c r="G307" s="57" t="s">
        <v>2271</v>
      </c>
      <c r="H307" s="56" t="str">
        <f t="shared" si="1"/>
        <v>CORRECT</v>
      </c>
      <c r="I307" s="56" t="s">
        <v>50</v>
      </c>
      <c r="J307" s="56" t="s">
        <v>50</v>
      </c>
      <c r="K307" s="57" t="s">
        <v>2272</v>
      </c>
      <c r="L307" s="63">
        <v>35976.0</v>
      </c>
      <c r="M307" s="61" t="s">
        <v>62</v>
      </c>
      <c r="N307" s="57"/>
    </row>
    <row r="308" ht="60.0" customHeight="1">
      <c r="A308" s="56">
        <v>302.0</v>
      </c>
      <c r="B308" s="57" t="s">
        <v>2273</v>
      </c>
      <c r="C308" s="57" t="s">
        <v>2274</v>
      </c>
      <c r="D308" s="57" t="s">
        <v>2275</v>
      </c>
      <c r="E308" s="57" t="s">
        <v>2276</v>
      </c>
      <c r="F308" s="57" t="s">
        <v>2277</v>
      </c>
      <c r="G308" s="57" t="s">
        <v>1059</v>
      </c>
      <c r="H308" s="56" t="str">
        <f t="shared" si="1"/>
        <v>CORRECT</v>
      </c>
      <c r="I308" s="56" t="s">
        <v>40</v>
      </c>
      <c r="J308" s="56" t="s">
        <v>40</v>
      </c>
      <c r="K308" s="57" t="s">
        <v>2278</v>
      </c>
      <c r="L308" s="63">
        <v>27072.0</v>
      </c>
      <c r="M308" s="61" t="s">
        <v>62</v>
      </c>
      <c r="N308" s="57"/>
    </row>
    <row r="309" ht="60.0" customHeight="1">
      <c r="A309" s="56">
        <v>303.0</v>
      </c>
      <c r="B309" s="57" t="s">
        <v>2279</v>
      </c>
      <c r="C309" s="57" t="s">
        <v>2280</v>
      </c>
      <c r="D309" s="57" t="s">
        <v>2281</v>
      </c>
      <c r="E309" s="57" t="s">
        <v>2282</v>
      </c>
      <c r="F309" s="57" t="s">
        <v>2283</v>
      </c>
      <c r="G309" s="57" t="s">
        <v>2284</v>
      </c>
      <c r="H309" s="56" t="str">
        <f t="shared" si="1"/>
        <v>WRONG</v>
      </c>
      <c r="I309" s="56" t="s">
        <v>40</v>
      </c>
      <c r="J309" s="56" t="s">
        <v>50</v>
      </c>
      <c r="K309" s="57" t="s">
        <v>2285</v>
      </c>
      <c r="L309" s="63">
        <v>26240.0</v>
      </c>
      <c r="M309" s="61" t="s">
        <v>42</v>
      </c>
      <c r="N309" s="57" t="s">
        <v>2286</v>
      </c>
    </row>
    <row r="310" ht="60.0" customHeight="1">
      <c r="A310" s="56">
        <v>304.0</v>
      </c>
      <c r="B310" s="57" t="s">
        <v>2287</v>
      </c>
      <c r="C310" s="57" t="s">
        <v>2288</v>
      </c>
      <c r="D310" s="57" t="s">
        <v>2289</v>
      </c>
      <c r="E310" s="57" t="s">
        <v>2290</v>
      </c>
      <c r="F310" s="57" t="s">
        <v>2291</v>
      </c>
      <c r="G310" s="57" t="s">
        <v>2292</v>
      </c>
      <c r="H310" s="56" t="str">
        <f t="shared" si="1"/>
        <v>CORRECT</v>
      </c>
      <c r="I310" s="56" t="s">
        <v>50</v>
      </c>
      <c r="J310" s="56" t="s">
        <v>50</v>
      </c>
      <c r="K310" s="57" t="s">
        <v>2293</v>
      </c>
      <c r="L310" s="63">
        <v>37807.0</v>
      </c>
      <c r="M310" s="61" t="s">
        <v>42</v>
      </c>
      <c r="N310" s="57" t="s">
        <v>2294</v>
      </c>
    </row>
    <row r="311" ht="60.0" customHeight="1">
      <c r="A311" s="56">
        <v>305.0</v>
      </c>
      <c r="B311" s="57" t="s">
        <v>2295</v>
      </c>
      <c r="C311" s="57" t="s">
        <v>2296</v>
      </c>
      <c r="D311" s="57" t="s">
        <v>2297</v>
      </c>
      <c r="E311" s="57" t="s">
        <v>2298</v>
      </c>
      <c r="F311" s="57" t="s">
        <v>2299</v>
      </c>
      <c r="G311" s="57" t="s">
        <v>2300</v>
      </c>
      <c r="H311" s="56" t="str">
        <f t="shared" si="1"/>
        <v>CORRECT</v>
      </c>
      <c r="I311" s="56" t="s">
        <v>50</v>
      </c>
      <c r="J311" s="56" t="s">
        <v>50</v>
      </c>
      <c r="K311" s="57" t="s">
        <v>2301</v>
      </c>
      <c r="L311" s="63">
        <v>42190.0</v>
      </c>
      <c r="M311" s="61" t="s">
        <v>62</v>
      </c>
      <c r="N311" s="57"/>
    </row>
    <row r="312" ht="60.0" customHeight="1">
      <c r="A312" s="56">
        <v>306.0</v>
      </c>
      <c r="B312" s="57" t="s">
        <v>2302</v>
      </c>
      <c r="C312" s="57" t="s">
        <v>2303</v>
      </c>
      <c r="D312" s="57" t="s">
        <v>2304</v>
      </c>
      <c r="E312" s="57" t="s">
        <v>2305</v>
      </c>
      <c r="F312" s="57" t="s">
        <v>2306</v>
      </c>
      <c r="G312" s="57" t="s">
        <v>2307</v>
      </c>
      <c r="H312" s="56" t="str">
        <f t="shared" si="1"/>
        <v>WRONG</v>
      </c>
      <c r="I312" s="56" t="s">
        <v>50</v>
      </c>
      <c r="J312" s="56" t="s">
        <v>60</v>
      </c>
      <c r="K312" s="57" t="s">
        <v>2308</v>
      </c>
      <c r="L312" s="63">
        <v>31169.0</v>
      </c>
      <c r="M312" s="61" t="s">
        <v>62</v>
      </c>
      <c r="N312" s="62"/>
    </row>
    <row r="313" ht="60.0" customHeight="1">
      <c r="A313" s="56">
        <v>307.0</v>
      </c>
      <c r="B313" s="57" t="s">
        <v>2309</v>
      </c>
      <c r="C313" s="57" t="s">
        <v>2310</v>
      </c>
      <c r="D313" s="57" t="s">
        <v>2311</v>
      </c>
      <c r="E313" s="57" t="s">
        <v>2312</v>
      </c>
      <c r="F313" s="57" t="s">
        <v>2313</v>
      </c>
      <c r="G313" s="57" t="s">
        <v>2314</v>
      </c>
      <c r="H313" s="56" t="str">
        <f t="shared" si="1"/>
        <v>WRONG</v>
      </c>
      <c r="I313" s="56" t="s">
        <v>77</v>
      </c>
      <c r="J313" s="56" t="s">
        <v>50</v>
      </c>
      <c r="K313" s="57" t="s">
        <v>2315</v>
      </c>
      <c r="L313" s="63">
        <v>27207.0</v>
      </c>
      <c r="M313" s="61" t="s">
        <v>42</v>
      </c>
      <c r="N313" s="57" t="s">
        <v>2316</v>
      </c>
    </row>
    <row r="314" ht="60.0" customHeight="1">
      <c r="A314" s="56">
        <v>308.0</v>
      </c>
      <c r="B314" s="57" t="s">
        <v>2317</v>
      </c>
      <c r="C314" s="57" t="s">
        <v>2318</v>
      </c>
      <c r="D314" s="57" t="s">
        <v>2319</v>
      </c>
      <c r="E314" s="57" t="s">
        <v>2320</v>
      </c>
      <c r="F314" s="57" t="s">
        <v>2321</v>
      </c>
      <c r="G314" s="57" t="s">
        <v>1059</v>
      </c>
      <c r="H314" s="56" t="str">
        <f t="shared" si="1"/>
        <v>WRONG</v>
      </c>
      <c r="I314" s="56" t="s">
        <v>77</v>
      </c>
      <c r="J314" s="56" t="s">
        <v>60</v>
      </c>
      <c r="K314" s="57" t="s">
        <v>2322</v>
      </c>
      <c r="L314" s="63">
        <v>29277.0</v>
      </c>
      <c r="M314" s="61" t="s">
        <v>62</v>
      </c>
      <c r="N314" s="57"/>
    </row>
    <row r="315" ht="60.0" customHeight="1">
      <c r="A315" s="56">
        <v>309.0</v>
      </c>
      <c r="B315" s="57" t="s">
        <v>2323</v>
      </c>
      <c r="C315" s="57" t="s">
        <v>2324</v>
      </c>
      <c r="D315" s="57" t="s">
        <v>2325</v>
      </c>
      <c r="E315" s="57" t="s">
        <v>2326</v>
      </c>
      <c r="F315" s="57" t="s">
        <v>2327</v>
      </c>
      <c r="G315" s="57" t="s">
        <v>2328</v>
      </c>
      <c r="H315" s="56" t="str">
        <f t="shared" si="1"/>
        <v>CORRECT</v>
      </c>
      <c r="I315" s="56" t="s">
        <v>40</v>
      </c>
      <c r="J315" s="56" t="s">
        <v>40</v>
      </c>
      <c r="K315" s="57" t="s">
        <v>2329</v>
      </c>
      <c r="L315" s="63">
        <v>34365.0</v>
      </c>
      <c r="M315" s="61" t="s">
        <v>62</v>
      </c>
      <c r="N315" s="57"/>
    </row>
    <row r="316" ht="60.0" customHeight="1">
      <c r="A316" s="56">
        <v>310.0</v>
      </c>
      <c r="B316" s="57" t="s">
        <v>2330</v>
      </c>
      <c r="C316" s="57" t="s">
        <v>816</v>
      </c>
      <c r="D316" s="57" t="s">
        <v>2331</v>
      </c>
      <c r="E316" s="57" t="s">
        <v>2332</v>
      </c>
      <c r="F316" s="57" t="s">
        <v>1042</v>
      </c>
      <c r="G316" s="57" t="s">
        <v>2333</v>
      </c>
      <c r="H316" s="56" t="str">
        <f t="shared" si="1"/>
        <v>WRONG</v>
      </c>
      <c r="I316" s="56" t="s">
        <v>50</v>
      </c>
      <c r="J316" s="56" t="s">
        <v>77</v>
      </c>
      <c r="K316" s="57" t="s">
        <v>2334</v>
      </c>
      <c r="L316" s="63">
        <v>40349.0</v>
      </c>
      <c r="M316" s="61" t="s">
        <v>62</v>
      </c>
      <c r="N316" s="57"/>
    </row>
    <row r="317" ht="60.0" customHeight="1">
      <c r="A317" s="56">
        <v>311.0</v>
      </c>
      <c r="B317" s="57" t="s">
        <v>2335</v>
      </c>
      <c r="C317" s="57" t="s">
        <v>2336</v>
      </c>
      <c r="D317" s="57" t="s">
        <v>2337</v>
      </c>
      <c r="E317" s="57" t="s">
        <v>2338</v>
      </c>
      <c r="F317" s="57" t="s">
        <v>2339</v>
      </c>
      <c r="G317" s="57" t="s">
        <v>1059</v>
      </c>
      <c r="H317" s="56" t="str">
        <f t="shared" si="1"/>
        <v>CORRECT</v>
      </c>
      <c r="I317" s="56" t="s">
        <v>77</v>
      </c>
      <c r="J317" s="56" t="s">
        <v>77</v>
      </c>
      <c r="K317" s="57" t="s">
        <v>2340</v>
      </c>
      <c r="L317" s="63">
        <v>42034.0</v>
      </c>
      <c r="M317" s="61" t="s">
        <v>42</v>
      </c>
      <c r="N317" s="57" t="s">
        <v>2341</v>
      </c>
    </row>
    <row r="318" ht="60.0" customHeight="1">
      <c r="A318" s="56">
        <v>312.0</v>
      </c>
      <c r="B318" s="57" t="s">
        <v>2342</v>
      </c>
      <c r="C318" s="57" t="s">
        <v>2343</v>
      </c>
      <c r="D318" s="57" t="s">
        <v>2344</v>
      </c>
      <c r="E318" s="57" t="s">
        <v>2345</v>
      </c>
      <c r="F318" s="57" t="s">
        <v>2346</v>
      </c>
      <c r="G318" s="57" t="s">
        <v>1059</v>
      </c>
      <c r="H318" s="56" t="str">
        <f t="shared" si="1"/>
        <v>WRONG</v>
      </c>
      <c r="I318" s="56" t="s">
        <v>40</v>
      </c>
      <c r="J318" s="56" t="s">
        <v>60</v>
      </c>
      <c r="K318" s="57" t="s">
        <v>2347</v>
      </c>
      <c r="L318" s="63">
        <v>55569.0</v>
      </c>
      <c r="M318" s="61" t="s">
        <v>62</v>
      </c>
      <c r="N318" s="57"/>
    </row>
    <row r="319" ht="60.0" customHeight="1">
      <c r="A319" s="56">
        <v>313.0</v>
      </c>
      <c r="B319" s="57" t="s">
        <v>2348</v>
      </c>
      <c r="C319" s="57" t="s">
        <v>2349</v>
      </c>
      <c r="D319" s="57" t="s">
        <v>2350</v>
      </c>
      <c r="E319" s="57" t="s">
        <v>2351</v>
      </c>
      <c r="F319" s="57" t="s">
        <v>2352</v>
      </c>
      <c r="G319" s="57" t="s">
        <v>2353</v>
      </c>
      <c r="H319" s="56" t="str">
        <f t="shared" si="1"/>
        <v>CORRECT</v>
      </c>
      <c r="I319" s="56" t="s">
        <v>50</v>
      </c>
      <c r="J319" s="56" t="s">
        <v>50</v>
      </c>
      <c r="K319" s="57" t="s">
        <v>2354</v>
      </c>
      <c r="L319" s="63">
        <v>29079.0</v>
      </c>
      <c r="M319" s="61" t="s">
        <v>62</v>
      </c>
      <c r="N319" s="57"/>
    </row>
    <row r="320" ht="60.0" customHeight="1">
      <c r="A320" s="56">
        <v>314.0</v>
      </c>
      <c r="B320" s="57" t="s">
        <v>2355</v>
      </c>
      <c r="C320" s="57" t="s">
        <v>2356</v>
      </c>
      <c r="D320" s="57" t="s">
        <v>2357</v>
      </c>
      <c r="E320" s="57" t="s">
        <v>2358</v>
      </c>
      <c r="F320" s="57" t="s">
        <v>2359</v>
      </c>
      <c r="G320" s="57" t="s">
        <v>2360</v>
      </c>
      <c r="H320" s="56" t="str">
        <f t="shared" si="1"/>
        <v>CORRECT</v>
      </c>
      <c r="I320" s="56" t="s">
        <v>77</v>
      </c>
      <c r="J320" s="56" t="s">
        <v>77</v>
      </c>
      <c r="K320" s="57" t="s">
        <v>2361</v>
      </c>
      <c r="L320" s="63">
        <v>29966.0</v>
      </c>
      <c r="M320" s="61" t="s">
        <v>62</v>
      </c>
      <c r="N320" s="57"/>
    </row>
    <row r="321" ht="60.0" customHeight="1">
      <c r="A321" s="56">
        <v>315.0</v>
      </c>
      <c r="B321" s="57" t="s">
        <v>2362</v>
      </c>
      <c r="C321" s="57" t="s">
        <v>2363</v>
      </c>
      <c r="D321" s="57" t="s">
        <v>2364</v>
      </c>
      <c r="E321" s="57" t="s">
        <v>2365</v>
      </c>
      <c r="F321" s="57" t="s">
        <v>2366</v>
      </c>
      <c r="G321" s="57" t="s">
        <v>2367</v>
      </c>
      <c r="H321" s="56" t="str">
        <f t="shared" si="1"/>
        <v>WRONG</v>
      </c>
      <c r="I321" s="56" t="s">
        <v>77</v>
      </c>
      <c r="J321" s="56" t="s">
        <v>60</v>
      </c>
      <c r="K321" s="57" t="s">
        <v>2368</v>
      </c>
      <c r="L321" s="63">
        <v>35787.0</v>
      </c>
      <c r="M321" s="61" t="s">
        <v>42</v>
      </c>
      <c r="N321" s="57" t="s">
        <v>2369</v>
      </c>
    </row>
    <row r="322" ht="60.0" customHeight="1">
      <c r="A322" s="56">
        <v>316.0</v>
      </c>
      <c r="B322" s="57" t="s">
        <v>2370</v>
      </c>
      <c r="C322" s="57" t="s">
        <v>2371</v>
      </c>
      <c r="D322" s="57" t="s">
        <v>2372</v>
      </c>
      <c r="E322" s="57" t="s">
        <v>2373</v>
      </c>
      <c r="F322" s="57" t="s">
        <v>2374</v>
      </c>
      <c r="G322" s="57" t="s">
        <v>2375</v>
      </c>
      <c r="H322" s="56" t="str">
        <f t="shared" si="1"/>
        <v>CORRECT</v>
      </c>
      <c r="I322" s="56" t="s">
        <v>50</v>
      </c>
      <c r="J322" s="56" t="s">
        <v>50</v>
      </c>
      <c r="K322" s="57" t="s">
        <v>2376</v>
      </c>
      <c r="L322" s="63">
        <v>32554.0</v>
      </c>
      <c r="M322" s="61" t="s">
        <v>42</v>
      </c>
      <c r="N322" s="57" t="s">
        <v>2377</v>
      </c>
    </row>
    <row r="323" ht="60.0" customHeight="1">
      <c r="A323" s="56">
        <v>317.0</v>
      </c>
      <c r="B323" s="57" t="s">
        <v>2378</v>
      </c>
      <c r="C323" s="57" t="s">
        <v>2379</v>
      </c>
      <c r="D323" s="57" t="s">
        <v>2380</v>
      </c>
      <c r="E323" s="57" t="s">
        <v>2381</v>
      </c>
      <c r="F323" s="57" t="s">
        <v>2382</v>
      </c>
      <c r="G323" s="57" t="s">
        <v>1059</v>
      </c>
      <c r="H323" s="56" t="str">
        <f t="shared" si="1"/>
        <v>CORRECT</v>
      </c>
      <c r="I323" s="56" t="s">
        <v>77</v>
      </c>
      <c r="J323" s="56" t="s">
        <v>77</v>
      </c>
      <c r="K323" s="57" t="s">
        <v>2383</v>
      </c>
      <c r="L323" s="63">
        <v>41954.0</v>
      </c>
      <c r="M323" s="61" t="s">
        <v>42</v>
      </c>
      <c r="N323" s="57" t="s">
        <v>2384</v>
      </c>
    </row>
    <row r="324" ht="60.0" customHeight="1">
      <c r="A324" s="56">
        <v>318.0</v>
      </c>
      <c r="B324" s="57" t="s">
        <v>2385</v>
      </c>
      <c r="C324" s="57" t="s">
        <v>2386</v>
      </c>
      <c r="D324" s="57" t="s">
        <v>2387</v>
      </c>
      <c r="E324" s="57" t="s">
        <v>2388</v>
      </c>
      <c r="F324" s="57" t="s">
        <v>2389</v>
      </c>
      <c r="G324" s="57" t="s">
        <v>2390</v>
      </c>
      <c r="H324" s="56" t="str">
        <f t="shared" si="1"/>
        <v>CORRECT</v>
      </c>
      <c r="I324" s="56" t="s">
        <v>77</v>
      </c>
      <c r="J324" s="56" t="s">
        <v>77</v>
      </c>
      <c r="K324" s="57" t="s">
        <v>2391</v>
      </c>
      <c r="L324" s="63">
        <v>30309.0</v>
      </c>
      <c r="M324" s="61" t="s">
        <v>62</v>
      </c>
      <c r="N324" s="57"/>
    </row>
    <row r="325" ht="60.0" customHeight="1">
      <c r="A325" s="56">
        <v>319.0</v>
      </c>
      <c r="B325" s="57" t="s">
        <v>2392</v>
      </c>
      <c r="C325" s="57" t="s">
        <v>2393</v>
      </c>
      <c r="D325" s="57" t="s">
        <v>2394</v>
      </c>
      <c r="E325" s="57" t="s">
        <v>2395</v>
      </c>
      <c r="F325" s="57" t="s">
        <v>2396</v>
      </c>
      <c r="G325" s="57" t="s">
        <v>2397</v>
      </c>
      <c r="H325" s="56" t="str">
        <f t="shared" si="1"/>
        <v>WRONG</v>
      </c>
      <c r="I325" s="56" t="s">
        <v>60</v>
      </c>
      <c r="J325" s="56" t="s">
        <v>77</v>
      </c>
      <c r="K325" s="57" t="s">
        <v>2398</v>
      </c>
      <c r="L325" s="63">
        <v>44694.0</v>
      </c>
      <c r="M325" s="61" t="s">
        <v>62</v>
      </c>
      <c r="N325" s="57"/>
    </row>
    <row r="326" ht="60.0" customHeight="1">
      <c r="A326" s="56">
        <v>320.0</v>
      </c>
      <c r="B326" s="57" t="s">
        <v>2399</v>
      </c>
      <c r="C326" s="57" t="s">
        <v>2400</v>
      </c>
      <c r="D326" s="57" t="s">
        <v>2401</v>
      </c>
      <c r="E326" s="57" t="s">
        <v>2402</v>
      </c>
      <c r="F326" s="57" t="s">
        <v>2403</v>
      </c>
      <c r="G326" s="57" t="s">
        <v>2404</v>
      </c>
      <c r="H326" s="56" t="str">
        <f t="shared" si="1"/>
        <v>CORRECT</v>
      </c>
      <c r="I326" s="56" t="s">
        <v>40</v>
      </c>
      <c r="J326" s="56" t="s">
        <v>40</v>
      </c>
      <c r="K326" s="57" t="s">
        <v>2405</v>
      </c>
      <c r="L326" s="63">
        <v>34653.0</v>
      </c>
      <c r="M326" s="61" t="s">
        <v>42</v>
      </c>
      <c r="N326" s="57" t="s">
        <v>2406</v>
      </c>
    </row>
    <row r="327" ht="60.0" customHeight="1">
      <c r="A327" s="56">
        <v>321.0</v>
      </c>
      <c r="B327" s="57" t="s">
        <v>2407</v>
      </c>
      <c r="C327" s="57" t="s">
        <v>2408</v>
      </c>
      <c r="D327" s="57" t="s">
        <v>2409</v>
      </c>
      <c r="E327" s="57" t="s">
        <v>2410</v>
      </c>
      <c r="F327" s="57" t="s">
        <v>2411</v>
      </c>
      <c r="G327" s="57" t="s">
        <v>2412</v>
      </c>
      <c r="H327" s="56" t="str">
        <f t="shared" si="1"/>
        <v>WRONG</v>
      </c>
      <c r="I327" s="56" t="s">
        <v>60</v>
      </c>
      <c r="J327" s="56" t="s">
        <v>50</v>
      </c>
      <c r="K327" s="57" t="s">
        <v>2413</v>
      </c>
      <c r="L327" s="63">
        <v>50892.0</v>
      </c>
      <c r="M327" s="61" t="s">
        <v>42</v>
      </c>
      <c r="N327" s="57" t="s">
        <v>2414</v>
      </c>
    </row>
    <row r="328" ht="60.0" customHeight="1">
      <c r="A328" s="56">
        <v>322.0</v>
      </c>
      <c r="B328" s="57" t="s">
        <v>2415</v>
      </c>
      <c r="C328" s="57" t="s">
        <v>2416</v>
      </c>
      <c r="D328" s="57" t="s">
        <v>2417</v>
      </c>
      <c r="E328" s="57" t="s">
        <v>2418</v>
      </c>
      <c r="F328" s="57" t="s">
        <v>2419</v>
      </c>
      <c r="G328" s="57" t="s">
        <v>2420</v>
      </c>
      <c r="H328" s="56" t="str">
        <f t="shared" si="1"/>
        <v>WRONG</v>
      </c>
      <c r="I328" s="56" t="s">
        <v>77</v>
      </c>
      <c r="J328" s="56" t="s">
        <v>50</v>
      </c>
      <c r="K328" s="57" t="s">
        <v>2421</v>
      </c>
      <c r="L328" s="63">
        <v>46406.0</v>
      </c>
      <c r="M328" s="61" t="s">
        <v>42</v>
      </c>
      <c r="N328" s="57" t="s">
        <v>2414</v>
      </c>
    </row>
    <row r="329" ht="60.0" customHeight="1">
      <c r="A329" s="56">
        <v>323.0</v>
      </c>
      <c r="B329" s="57" t="s">
        <v>2422</v>
      </c>
      <c r="C329" s="57" t="s">
        <v>2423</v>
      </c>
      <c r="D329" s="57" t="s">
        <v>2424</v>
      </c>
      <c r="E329" s="57" t="s">
        <v>2425</v>
      </c>
      <c r="F329" s="57" t="s">
        <v>2426</v>
      </c>
      <c r="G329" s="57" t="s">
        <v>2427</v>
      </c>
      <c r="H329" s="56" t="str">
        <f t="shared" si="1"/>
        <v>CORRECT</v>
      </c>
      <c r="I329" s="56" t="s">
        <v>77</v>
      </c>
      <c r="J329" s="56" t="s">
        <v>77</v>
      </c>
      <c r="K329" s="57" t="s">
        <v>2428</v>
      </c>
      <c r="L329" s="63">
        <v>45542.0</v>
      </c>
      <c r="M329" s="61" t="s">
        <v>62</v>
      </c>
      <c r="N329" s="57"/>
    </row>
    <row r="330" ht="60.0" customHeight="1">
      <c r="A330" s="56">
        <v>324.0</v>
      </c>
      <c r="B330" s="57" t="s">
        <v>2429</v>
      </c>
      <c r="C330" s="57" t="s">
        <v>2430</v>
      </c>
      <c r="D330" s="57" t="s">
        <v>2431</v>
      </c>
      <c r="E330" s="57" t="s">
        <v>2432</v>
      </c>
      <c r="F330" s="57" t="s">
        <v>2433</v>
      </c>
      <c r="G330" s="57" t="s">
        <v>2434</v>
      </c>
      <c r="H330" s="56" t="str">
        <f t="shared" si="1"/>
        <v>CORRECT</v>
      </c>
      <c r="I330" s="56" t="s">
        <v>77</v>
      </c>
      <c r="J330" s="56" t="s">
        <v>77</v>
      </c>
      <c r="K330" s="57" t="s">
        <v>2435</v>
      </c>
      <c r="L330" s="63">
        <v>52518.0</v>
      </c>
      <c r="M330" s="61" t="s">
        <v>42</v>
      </c>
      <c r="N330" s="57" t="s">
        <v>1562</v>
      </c>
    </row>
    <row r="331" ht="60.0" customHeight="1">
      <c r="A331" s="56">
        <v>325.0</v>
      </c>
      <c r="B331" s="57" t="s">
        <v>2436</v>
      </c>
      <c r="C331" s="57" t="s">
        <v>2437</v>
      </c>
      <c r="D331" s="57" t="s">
        <v>2438</v>
      </c>
      <c r="E331" s="57" t="s">
        <v>2439</v>
      </c>
      <c r="F331" s="57" t="s">
        <v>2440</v>
      </c>
      <c r="G331" s="57" t="s">
        <v>2441</v>
      </c>
      <c r="H331" s="56" t="str">
        <f t="shared" si="1"/>
        <v>CORRECT</v>
      </c>
      <c r="I331" s="56" t="s">
        <v>77</v>
      </c>
      <c r="J331" s="56" t="s">
        <v>77</v>
      </c>
      <c r="K331" s="57" t="s">
        <v>2442</v>
      </c>
      <c r="L331" s="63">
        <v>35545.0</v>
      </c>
      <c r="M331" s="61" t="s">
        <v>62</v>
      </c>
      <c r="N331" s="62"/>
    </row>
    <row r="332" ht="60.0" customHeight="1">
      <c r="A332" s="56">
        <v>326.0</v>
      </c>
      <c r="B332" s="57" t="s">
        <v>2443</v>
      </c>
      <c r="C332" s="57" t="s">
        <v>2444</v>
      </c>
      <c r="D332" s="57" t="s">
        <v>2445</v>
      </c>
      <c r="E332" s="57" t="s">
        <v>2446</v>
      </c>
      <c r="F332" s="57" t="s">
        <v>2447</v>
      </c>
      <c r="G332" s="57" t="s">
        <v>2448</v>
      </c>
      <c r="H332" s="56" t="str">
        <f t="shared" si="1"/>
        <v>WRONG</v>
      </c>
      <c r="I332" s="56" t="s">
        <v>51</v>
      </c>
      <c r="J332" s="56" t="s">
        <v>77</v>
      </c>
      <c r="K332" s="57" t="s">
        <v>2449</v>
      </c>
      <c r="L332" s="63">
        <v>46313.0</v>
      </c>
      <c r="M332" s="61" t="s">
        <v>62</v>
      </c>
      <c r="N332" s="62"/>
    </row>
    <row r="333" ht="60.0" customHeight="1">
      <c r="A333" s="56">
        <v>327.0</v>
      </c>
      <c r="B333" s="57" t="s">
        <v>2450</v>
      </c>
      <c r="C333" s="57" t="s">
        <v>2451</v>
      </c>
      <c r="D333" s="57" t="s">
        <v>2452</v>
      </c>
      <c r="E333" s="57" t="s">
        <v>2453</v>
      </c>
      <c r="F333" s="57" t="s">
        <v>2454</v>
      </c>
      <c r="G333" s="57" t="s">
        <v>2455</v>
      </c>
      <c r="H333" s="56" t="str">
        <f t="shared" si="1"/>
        <v>WRONG</v>
      </c>
      <c r="I333" s="56" t="s">
        <v>50</v>
      </c>
      <c r="J333" s="56" t="s">
        <v>60</v>
      </c>
      <c r="K333" s="57" t="s">
        <v>2456</v>
      </c>
      <c r="L333" s="63">
        <v>40651.0</v>
      </c>
      <c r="M333" s="61" t="s">
        <v>42</v>
      </c>
      <c r="N333" s="57" t="s">
        <v>2457</v>
      </c>
    </row>
    <row r="334" ht="60.0" customHeight="1">
      <c r="A334" s="56">
        <v>328.0</v>
      </c>
      <c r="B334" s="57" t="s">
        <v>2458</v>
      </c>
      <c r="C334" s="57" t="s">
        <v>2459</v>
      </c>
      <c r="D334" s="57" t="s">
        <v>2460</v>
      </c>
      <c r="E334" s="57" t="s">
        <v>2461</v>
      </c>
      <c r="F334" s="57" t="s">
        <v>2462</v>
      </c>
      <c r="G334" s="57" t="s">
        <v>2463</v>
      </c>
      <c r="H334" s="56" t="str">
        <f t="shared" si="1"/>
        <v>WRONG</v>
      </c>
      <c r="I334" s="56" t="s">
        <v>51</v>
      </c>
      <c r="J334" s="56" t="s">
        <v>50</v>
      </c>
      <c r="K334" s="57" t="s">
        <v>2464</v>
      </c>
      <c r="L334" s="63">
        <v>39496.0</v>
      </c>
      <c r="M334" s="61" t="s">
        <v>62</v>
      </c>
      <c r="N334" s="57"/>
    </row>
    <row r="335" ht="60.0" customHeight="1">
      <c r="A335" s="56">
        <v>329.0</v>
      </c>
      <c r="B335" s="57" t="s">
        <v>2465</v>
      </c>
      <c r="C335" s="57" t="s">
        <v>2466</v>
      </c>
      <c r="D335" s="57" t="s">
        <v>2467</v>
      </c>
      <c r="E335" s="57" t="s">
        <v>2468</v>
      </c>
      <c r="F335" s="57" t="s">
        <v>2469</v>
      </c>
      <c r="G335" s="57" t="s">
        <v>2470</v>
      </c>
      <c r="H335" s="56" t="str">
        <f t="shared" si="1"/>
        <v>CORRECT</v>
      </c>
      <c r="I335" s="56" t="s">
        <v>40</v>
      </c>
      <c r="J335" s="56" t="s">
        <v>40</v>
      </c>
      <c r="K335" s="57" t="s">
        <v>2471</v>
      </c>
      <c r="L335" s="63">
        <v>30149.0</v>
      </c>
      <c r="M335" s="61" t="s">
        <v>62</v>
      </c>
      <c r="N335" s="57"/>
    </row>
    <row r="336" ht="60.0" customHeight="1">
      <c r="A336" s="56">
        <v>330.0</v>
      </c>
      <c r="B336" s="57" t="s">
        <v>2472</v>
      </c>
      <c r="C336" s="57" t="s">
        <v>2473</v>
      </c>
      <c r="D336" s="57" t="s">
        <v>2474</v>
      </c>
      <c r="E336" s="57" t="s">
        <v>2475</v>
      </c>
      <c r="F336" s="57" t="s">
        <v>2476</v>
      </c>
      <c r="G336" s="57" t="s">
        <v>2477</v>
      </c>
      <c r="H336" s="56" t="str">
        <f t="shared" si="1"/>
        <v>WRONG</v>
      </c>
      <c r="I336" s="56" t="s">
        <v>50</v>
      </c>
      <c r="J336" s="56" t="s">
        <v>40</v>
      </c>
      <c r="K336" s="57" t="s">
        <v>2478</v>
      </c>
      <c r="L336" s="63">
        <v>39981.0</v>
      </c>
      <c r="M336" s="61" t="s">
        <v>42</v>
      </c>
      <c r="N336" s="57" t="s">
        <v>2479</v>
      </c>
    </row>
    <row r="337" ht="60.0" customHeight="1">
      <c r="A337" s="56">
        <v>331.0</v>
      </c>
      <c r="B337" s="57" t="s">
        <v>2480</v>
      </c>
      <c r="C337" s="57" t="s">
        <v>2481</v>
      </c>
      <c r="D337" s="57" t="s">
        <v>2482</v>
      </c>
      <c r="E337" s="57" t="s">
        <v>2483</v>
      </c>
      <c r="F337" s="57" t="s">
        <v>2484</v>
      </c>
      <c r="G337" s="57" t="s">
        <v>2485</v>
      </c>
      <c r="H337" s="56" t="str">
        <f t="shared" si="1"/>
        <v>CORRECT</v>
      </c>
      <c r="I337" s="56" t="s">
        <v>60</v>
      </c>
      <c r="J337" s="56" t="s">
        <v>60</v>
      </c>
      <c r="K337" s="57" t="s">
        <v>2486</v>
      </c>
      <c r="L337" s="63">
        <v>47981.0</v>
      </c>
      <c r="M337" s="61" t="s">
        <v>62</v>
      </c>
      <c r="N337" s="57"/>
    </row>
    <row r="338" ht="60.0" customHeight="1">
      <c r="A338" s="56">
        <v>332.0</v>
      </c>
      <c r="B338" s="57" t="s">
        <v>2487</v>
      </c>
      <c r="C338" s="57" t="s">
        <v>2488</v>
      </c>
      <c r="D338" s="57" t="s">
        <v>2489</v>
      </c>
      <c r="E338" s="57" t="s">
        <v>2490</v>
      </c>
      <c r="F338" s="57" t="s">
        <v>2491</v>
      </c>
      <c r="G338" s="57" t="s">
        <v>2492</v>
      </c>
      <c r="H338" s="56" t="str">
        <f t="shared" si="1"/>
        <v>CORRECT</v>
      </c>
      <c r="I338" s="56" t="s">
        <v>50</v>
      </c>
      <c r="J338" s="56" t="s">
        <v>50</v>
      </c>
      <c r="K338" s="57" t="s">
        <v>2493</v>
      </c>
      <c r="L338" s="63">
        <v>37349.0</v>
      </c>
      <c r="M338" s="61" t="s">
        <v>42</v>
      </c>
      <c r="N338" s="57" t="s">
        <v>2494</v>
      </c>
    </row>
    <row r="339" ht="60.0" customHeight="1">
      <c r="A339" s="56">
        <v>333.0</v>
      </c>
      <c r="B339" s="57" t="s">
        <v>2495</v>
      </c>
      <c r="C339" s="57" t="s">
        <v>2496</v>
      </c>
      <c r="D339" s="57" t="s">
        <v>2497</v>
      </c>
      <c r="E339" s="57" t="s">
        <v>2498</v>
      </c>
      <c r="F339" s="57" t="s">
        <v>2499</v>
      </c>
      <c r="G339" s="57" t="s">
        <v>1059</v>
      </c>
      <c r="H339" s="56" t="str">
        <f t="shared" si="1"/>
        <v>CORRECT</v>
      </c>
      <c r="I339" s="56" t="s">
        <v>40</v>
      </c>
      <c r="J339" s="56" t="s">
        <v>40</v>
      </c>
      <c r="K339" s="57" t="s">
        <v>2500</v>
      </c>
      <c r="L339" s="63">
        <v>42285.0</v>
      </c>
      <c r="M339" s="61" t="s">
        <v>42</v>
      </c>
      <c r="N339" s="57" t="s">
        <v>2501</v>
      </c>
    </row>
    <row r="340" ht="60.0" customHeight="1">
      <c r="A340" s="56">
        <v>334.0</v>
      </c>
      <c r="B340" s="57" t="s">
        <v>2502</v>
      </c>
      <c r="C340" s="57" t="s">
        <v>2503</v>
      </c>
      <c r="D340" s="57" t="s">
        <v>2504</v>
      </c>
      <c r="E340" s="57" t="s">
        <v>2505</v>
      </c>
      <c r="F340" s="57" t="s">
        <v>2506</v>
      </c>
      <c r="G340" s="57" t="s">
        <v>2507</v>
      </c>
      <c r="H340" s="56" t="str">
        <f t="shared" si="1"/>
        <v>CORRECT</v>
      </c>
      <c r="I340" s="56" t="s">
        <v>60</v>
      </c>
      <c r="J340" s="56" t="s">
        <v>60</v>
      </c>
      <c r="K340" s="57" t="s">
        <v>2508</v>
      </c>
      <c r="L340" s="63">
        <v>43194.0</v>
      </c>
      <c r="M340" s="61" t="s">
        <v>42</v>
      </c>
      <c r="N340" s="57" t="s">
        <v>2509</v>
      </c>
    </row>
    <row r="341" ht="60.0" customHeight="1">
      <c r="A341" s="56">
        <v>335.0</v>
      </c>
      <c r="B341" s="57" t="s">
        <v>2510</v>
      </c>
      <c r="C341" s="57" t="s">
        <v>2511</v>
      </c>
      <c r="D341" s="57" t="s">
        <v>2512</v>
      </c>
      <c r="E341" s="57" t="s">
        <v>2513</v>
      </c>
      <c r="F341" s="57" t="s">
        <v>2514</v>
      </c>
      <c r="G341" s="57" t="s">
        <v>2515</v>
      </c>
      <c r="H341" s="56" t="str">
        <f t="shared" si="1"/>
        <v>CORRECT</v>
      </c>
      <c r="I341" s="56" t="s">
        <v>40</v>
      </c>
      <c r="J341" s="56" t="s">
        <v>40</v>
      </c>
      <c r="K341" s="57" t="s">
        <v>2516</v>
      </c>
      <c r="L341" s="63">
        <v>35725.0</v>
      </c>
      <c r="M341" s="61" t="s">
        <v>42</v>
      </c>
      <c r="N341" s="57" t="s">
        <v>2517</v>
      </c>
    </row>
    <row r="342" ht="60.0" customHeight="1">
      <c r="A342" s="56">
        <v>336.0</v>
      </c>
      <c r="B342" s="57" t="s">
        <v>2518</v>
      </c>
      <c r="C342" s="57" t="s">
        <v>2519</v>
      </c>
      <c r="D342" s="57" t="s">
        <v>2520</v>
      </c>
      <c r="E342" s="57" t="s">
        <v>2521</v>
      </c>
      <c r="F342" s="57" t="s">
        <v>2522</v>
      </c>
      <c r="G342" s="57" t="s">
        <v>2523</v>
      </c>
      <c r="H342" s="56" t="str">
        <f t="shared" si="1"/>
        <v>CORRECT</v>
      </c>
      <c r="I342" s="56" t="s">
        <v>60</v>
      </c>
      <c r="J342" s="56" t="s">
        <v>60</v>
      </c>
      <c r="K342" s="57" t="s">
        <v>2524</v>
      </c>
      <c r="L342" s="63">
        <v>34513.0</v>
      </c>
      <c r="M342" s="61" t="s">
        <v>62</v>
      </c>
      <c r="N342" s="57"/>
    </row>
    <row r="343" ht="60.0" customHeight="1">
      <c r="A343" s="56">
        <v>337.0</v>
      </c>
      <c r="B343" s="57" t="s">
        <v>2525</v>
      </c>
      <c r="C343" s="57" t="s">
        <v>2526</v>
      </c>
      <c r="D343" s="57" t="s">
        <v>2527</v>
      </c>
      <c r="E343" s="57" t="s">
        <v>2528</v>
      </c>
      <c r="F343" s="57" t="s">
        <v>2529</v>
      </c>
      <c r="G343" s="57" t="s">
        <v>2530</v>
      </c>
      <c r="H343" s="56" t="str">
        <f t="shared" si="1"/>
        <v>WRONG</v>
      </c>
      <c r="I343" s="56" t="s">
        <v>50</v>
      </c>
      <c r="J343" s="56" t="s">
        <v>77</v>
      </c>
      <c r="K343" s="57" t="s">
        <v>2531</v>
      </c>
      <c r="L343" s="63">
        <v>39998.0</v>
      </c>
      <c r="M343" s="61" t="s">
        <v>42</v>
      </c>
      <c r="N343" s="57" t="s">
        <v>2532</v>
      </c>
    </row>
    <row r="344" ht="60.0" customHeight="1">
      <c r="A344" s="56">
        <v>338.0</v>
      </c>
      <c r="B344" s="57" t="s">
        <v>2533</v>
      </c>
      <c r="C344" s="57" t="s">
        <v>2534</v>
      </c>
      <c r="D344" s="57" t="s">
        <v>2535</v>
      </c>
      <c r="E344" s="57" t="s">
        <v>2536</v>
      </c>
      <c r="F344" s="57" t="s">
        <v>2537</v>
      </c>
      <c r="G344" s="57" t="s">
        <v>2538</v>
      </c>
      <c r="H344" s="56" t="str">
        <f t="shared" si="1"/>
        <v>WRONG</v>
      </c>
      <c r="I344" s="56" t="s">
        <v>60</v>
      </c>
      <c r="J344" s="56" t="s">
        <v>51</v>
      </c>
      <c r="K344" s="57" t="s">
        <v>2539</v>
      </c>
      <c r="L344" s="63">
        <v>33493.0</v>
      </c>
      <c r="M344" s="61" t="s">
        <v>62</v>
      </c>
      <c r="N344" s="57"/>
    </row>
    <row r="345" ht="60.0" customHeight="1">
      <c r="A345" s="56">
        <v>339.0</v>
      </c>
      <c r="B345" s="57" t="s">
        <v>2540</v>
      </c>
      <c r="C345" s="57" t="s">
        <v>2541</v>
      </c>
      <c r="D345" s="57" t="s">
        <v>2542</v>
      </c>
      <c r="E345" s="57" t="s">
        <v>2543</v>
      </c>
      <c r="F345" s="57" t="s">
        <v>2544</v>
      </c>
      <c r="G345" s="57" t="s">
        <v>1059</v>
      </c>
      <c r="H345" s="56" t="str">
        <f t="shared" si="1"/>
        <v>WRONG</v>
      </c>
      <c r="I345" s="56" t="s">
        <v>50</v>
      </c>
      <c r="J345" s="56" t="s">
        <v>60</v>
      </c>
      <c r="K345" s="57" t="s">
        <v>2545</v>
      </c>
      <c r="L345" s="63">
        <v>31172.0</v>
      </c>
      <c r="M345" s="61" t="s">
        <v>42</v>
      </c>
      <c r="N345" s="57" t="s">
        <v>2546</v>
      </c>
    </row>
    <row r="346" ht="60.0" customHeight="1">
      <c r="A346" s="56">
        <v>340.0</v>
      </c>
      <c r="B346" s="57" t="s">
        <v>2547</v>
      </c>
      <c r="C346" s="57" t="s">
        <v>2548</v>
      </c>
      <c r="D346" s="57" t="s">
        <v>2549</v>
      </c>
      <c r="E346" s="57" t="s">
        <v>2550</v>
      </c>
      <c r="F346" s="57" t="s">
        <v>2551</v>
      </c>
      <c r="G346" s="57" t="s">
        <v>2552</v>
      </c>
      <c r="H346" s="56" t="str">
        <f t="shared" si="1"/>
        <v>CORRECT</v>
      </c>
      <c r="I346" s="56" t="s">
        <v>77</v>
      </c>
      <c r="J346" s="56" t="s">
        <v>77</v>
      </c>
      <c r="K346" s="57" t="s">
        <v>2553</v>
      </c>
      <c r="L346" s="63">
        <v>30685.0</v>
      </c>
      <c r="M346" s="61" t="s">
        <v>62</v>
      </c>
      <c r="N346" s="57"/>
    </row>
    <row r="347" ht="60.0" customHeight="1">
      <c r="A347" s="56">
        <v>341.0</v>
      </c>
      <c r="B347" s="57" t="s">
        <v>2554</v>
      </c>
      <c r="C347" s="57" t="s">
        <v>2555</v>
      </c>
      <c r="D347" s="57" t="s">
        <v>2556</v>
      </c>
      <c r="E347" s="57" t="s">
        <v>2557</v>
      </c>
      <c r="F347" s="57" t="s">
        <v>2558</v>
      </c>
      <c r="G347" s="57" t="s">
        <v>1059</v>
      </c>
      <c r="H347" s="56" t="str">
        <f t="shared" si="1"/>
        <v>WRONG</v>
      </c>
      <c r="I347" s="56" t="s">
        <v>40</v>
      </c>
      <c r="J347" s="56" t="s">
        <v>77</v>
      </c>
      <c r="K347" s="57" t="s">
        <v>2559</v>
      </c>
      <c r="L347" s="63">
        <v>35114.0</v>
      </c>
      <c r="M347" s="61" t="s">
        <v>42</v>
      </c>
      <c r="N347" s="57" t="s">
        <v>2560</v>
      </c>
    </row>
    <row r="348" ht="60.0" customHeight="1">
      <c r="A348" s="56">
        <v>342.0</v>
      </c>
      <c r="B348" s="57" t="s">
        <v>2561</v>
      </c>
      <c r="C348" s="57" t="s">
        <v>2562</v>
      </c>
      <c r="D348" s="57" t="s">
        <v>2563</v>
      </c>
      <c r="E348" s="57" t="s">
        <v>2564</v>
      </c>
      <c r="F348" s="57" t="s">
        <v>2565</v>
      </c>
      <c r="G348" s="57" t="s">
        <v>1059</v>
      </c>
      <c r="H348" s="56" t="str">
        <f t="shared" si="1"/>
        <v>CORRECT</v>
      </c>
      <c r="I348" s="56" t="s">
        <v>50</v>
      </c>
      <c r="J348" s="56" t="s">
        <v>50</v>
      </c>
      <c r="K348" s="57" t="s">
        <v>2566</v>
      </c>
      <c r="L348" s="63">
        <v>30960.0</v>
      </c>
      <c r="M348" s="61" t="s">
        <v>42</v>
      </c>
      <c r="N348" s="57" t="s">
        <v>2567</v>
      </c>
    </row>
    <row r="349" ht="60.0" customHeight="1">
      <c r="A349" s="56">
        <v>343.0</v>
      </c>
      <c r="B349" s="57" t="s">
        <v>2568</v>
      </c>
      <c r="C349" s="57" t="s">
        <v>2569</v>
      </c>
      <c r="D349" s="57" t="s">
        <v>2570</v>
      </c>
      <c r="E349" s="57" t="s">
        <v>2571</v>
      </c>
      <c r="F349" s="57" t="s">
        <v>2572</v>
      </c>
      <c r="G349" s="57" t="s">
        <v>2573</v>
      </c>
      <c r="H349" s="56" t="str">
        <f t="shared" si="1"/>
        <v>WRONG</v>
      </c>
      <c r="I349" s="56" t="s">
        <v>77</v>
      </c>
      <c r="J349" s="56" t="s">
        <v>60</v>
      </c>
      <c r="K349" s="57" t="s">
        <v>2574</v>
      </c>
      <c r="L349" s="63">
        <v>48028.0</v>
      </c>
      <c r="M349" s="61" t="s">
        <v>42</v>
      </c>
      <c r="N349" s="57" t="s">
        <v>2575</v>
      </c>
    </row>
    <row r="350" ht="60.0" customHeight="1">
      <c r="A350" s="56">
        <v>344.0</v>
      </c>
      <c r="B350" s="57" t="s">
        <v>2576</v>
      </c>
      <c r="C350" s="57" t="s">
        <v>2577</v>
      </c>
      <c r="D350" s="57" t="s">
        <v>2578</v>
      </c>
      <c r="E350" s="57" t="s">
        <v>2579</v>
      </c>
      <c r="F350" s="57" t="s">
        <v>2580</v>
      </c>
      <c r="G350" s="57" t="s">
        <v>2581</v>
      </c>
      <c r="H350" s="56" t="str">
        <f t="shared" si="1"/>
        <v>WRONG</v>
      </c>
      <c r="I350" s="56" t="s">
        <v>77</v>
      </c>
      <c r="J350" s="56" t="s">
        <v>50</v>
      </c>
      <c r="K350" s="57" t="s">
        <v>2582</v>
      </c>
      <c r="L350" s="63">
        <v>40036.0</v>
      </c>
      <c r="M350" s="61" t="s">
        <v>42</v>
      </c>
      <c r="N350" s="57" t="s">
        <v>2583</v>
      </c>
    </row>
    <row r="351" ht="60.0" customHeight="1">
      <c r="A351" s="56">
        <v>345.0</v>
      </c>
      <c r="B351" s="57" t="s">
        <v>2584</v>
      </c>
      <c r="C351" s="57" t="s">
        <v>2585</v>
      </c>
      <c r="D351" s="57" t="s">
        <v>2586</v>
      </c>
      <c r="E351" s="57" t="s">
        <v>2587</v>
      </c>
      <c r="F351" s="57" t="s">
        <v>2588</v>
      </c>
      <c r="G351" s="57" t="s">
        <v>2589</v>
      </c>
      <c r="H351" s="56" t="str">
        <f t="shared" si="1"/>
        <v>WRONG</v>
      </c>
      <c r="I351" s="56" t="s">
        <v>77</v>
      </c>
      <c r="J351" s="56" t="s">
        <v>40</v>
      </c>
      <c r="K351" s="57" t="s">
        <v>2590</v>
      </c>
      <c r="L351" s="63">
        <v>57559.0</v>
      </c>
      <c r="M351" s="61" t="s">
        <v>62</v>
      </c>
      <c r="N351" s="57"/>
    </row>
    <row r="352" ht="60.0" customHeight="1">
      <c r="A352" s="56">
        <v>346.0</v>
      </c>
      <c r="B352" s="57" t="s">
        <v>2591</v>
      </c>
      <c r="C352" s="57" t="s">
        <v>2592</v>
      </c>
      <c r="D352" s="57" t="s">
        <v>2593</v>
      </c>
      <c r="E352" s="57" t="s">
        <v>2594</v>
      </c>
      <c r="F352" s="57" t="s">
        <v>2595</v>
      </c>
      <c r="G352" s="57" t="s">
        <v>2596</v>
      </c>
      <c r="H352" s="56" t="str">
        <f t="shared" si="1"/>
        <v>WRONG</v>
      </c>
      <c r="I352" s="56" t="s">
        <v>77</v>
      </c>
      <c r="J352" s="56" t="s">
        <v>40</v>
      </c>
      <c r="K352" s="57" t="s">
        <v>2597</v>
      </c>
      <c r="L352" s="63">
        <v>40988.0</v>
      </c>
      <c r="M352" s="61" t="s">
        <v>42</v>
      </c>
      <c r="N352" s="57" t="s">
        <v>2598</v>
      </c>
    </row>
    <row r="353" ht="60.0" customHeight="1">
      <c r="A353" s="56">
        <v>347.0</v>
      </c>
      <c r="B353" s="57" t="s">
        <v>2599</v>
      </c>
      <c r="C353" s="57" t="s">
        <v>2600</v>
      </c>
      <c r="D353" s="57" t="s">
        <v>2601</v>
      </c>
      <c r="E353" s="57" t="s">
        <v>2602</v>
      </c>
      <c r="F353" s="57" t="s">
        <v>2603</v>
      </c>
      <c r="G353" s="57" t="s">
        <v>1059</v>
      </c>
      <c r="H353" s="56" t="str">
        <f t="shared" si="1"/>
        <v>WRONG</v>
      </c>
      <c r="I353" s="56" t="s">
        <v>50</v>
      </c>
      <c r="J353" s="56" t="s">
        <v>60</v>
      </c>
      <c r="K353" s="57" t="s">
        <v>2604</v>
      </c>
      <c r="L353" s="63">
        <v>39481.0</v>
      </c>
      <c r="M353" s="61" t="s">
        <v>42</v>
      </c>
      <c r="N353" s="57" t="s">
        <v>2605</v>
      </c>
    </row>
    <row r="354" ht="60.0" customHeight="1">
      <c r="A354" s="56">
        <v>348.0</v>
      </c>
      <c r="B354" s="57" t="s">
        <v>2606</v>
      </c>
      <c r="C354" s="57" t="s">
        <v>2607</v>
      </c>
      <c r="D354" s="57" t="s">
        <v>2608</v>
      </c>
      <c r="E354" s="57" t="s">
        <v>2609</v>
      </c>
      <c r="F354" s="57" t="s">
        <v>2610</v>
      </c>
      <c r="G354" s="57" t="s">
        <v>1059</v>
      </c>
      <c r="H354" s="56" t="str">
        <f t="shared" si="1"/>
        <v>CORRECT</v>
      </c>
      <c r="I354" s="56" t="s">
        <v>60</v>
      </c>
      <c r="J354" s="56" t="s">
        <v>60</v>
      </c>
      <c r="K354" s="57" t="s">
        <v>2611</v>
      </c>
      <c r="L354" s="63">
        <v>41632.0</v>
      </c>
      <c r="M354" s="61" t="s">
        <v>42</v>
      </c>
      <c r="N354" s="57" t="s">
        <v>2612</v>
      </c>
    </row>
    <row r="355" ht="60.0" customHeight="1">
      <c r="A355" s="56">
        <v>349.0</v>
      </c>
      <c r="B355" s="57" t="s">
        <v>2613</v>
      </c>
      <c r="C355" s="57" t="s">
        <v>2614</v>
      </c>
      <c r="D355" s="57" t="s">
        <v>2615</v>
      </c>
      <c r="E355" s="57" t="s">
        <v>2616</v>
      </c>
      <c r="F355" s="57" t="s">
        <v>2617</v>
      </c>
      <c r="G355" s="57" t="s">
        <v>2618</v>
      </c>
      <c r="H355" s="56" t="str">
        <f t="shared" si="1"/>
        <v>CORRECT</v>
      </c>
      <c r="I355" s="56" t="s">
        <v>40</v>
      </c>
      <c r="J355" s="56" t="s">
        <v>40</v>
      </c>
      <c r="K355" s="57" t="s">
        <v>2619</v>
      </c>
      <c r="L355" s="63">
        <v>38519.0</v>
      </c>
      <c r="M355" s="61" t="s">
        <v>42</v>
      </c>
      <c r="N355" s="57" t="s">
        <v>2620</v>
      </c>
    </row>
    <row r="356" ht="60.0" customHeight="1">
      <c r="A356" s="56">
        <v>350.0</v>
      </c>
      <c r="B356" s="57" t="s">
        <v>2621</v>
      </c>
      <c r="C356" s="57" t="s">
        <v>2622</v>
      </c>
      <c r="D356" s="57" t="s">
        <v>2623</v>
      </c>
      <c r="E356" s="57" t="s">
        <v>2624</v>
      </c>
      <c r="F356" s="57" t="s">
        <v>2625</v>
      </c>
      <c r="G356" s="57" t="s">
        <v>1059</v>
      </c>
      <c r="H356" s="56" t="str">
        <f t="shared" si="1"/>
        <v>CORRECT</v>
      </c>
      <c r="I356" s="56" t="s">
        <v>50</v>
      </c>
      <c r="J356" s="56" t="s">
        <v>50</v>
      </c>
      <c r="K356" s="57" t="s">
        <v>2626</v>
      </c>
      <c r="L356" s="63">
        <v>44654.0</v>
      </c>
      <c r="M356" s="61" t="s">
        <v>62</v>
      </c>
      <c r="N356" s="57"/>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2627</v>
      </c>
      <c r="C2" s="2"/>
      <c r="D2" s="2"/>
      <c r="E2" s="2"/>
      <c r="F2" s="2"/>
      <c r="G2" s="2"/>
      <c r="H2" s="2"/>
      <c r="I2" s="2"/>
      <c r="J2" s="12"/>
      <c r="K2" s="43" t="s">
        <v>2628</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2629</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194</v>
      </c>
      <c r="I4" s="48"/>
      <c r="L4" s="49">
        <f>AVERAGE(L7:L52)</f>
        <v>36667.97826</v>
      </c>
      <c r="M4" s="50"/>
      <c r="N4" s="50"/>
    </row>
    <row r="5">
      <c r="A5" s="51" t="s">
        <v>32</v>
      </c>
      <c r="B5" s="2"/>
      <c r="C5" s="2"/>
      <c r="D5" s="2"/>
      <c r="E5" s="12"/>
      <c r="F5" s="52"/>
      <c r="G5" s="52"/>
      <c r="H5" s="46">
        <v>350.0</v>
      </c>
      <c r="L5" s="53"/>
      <c r="M5" s="53"/>
      <c r="N5" s="53"/>
    </row>
    <row r="6">
      <c r="A6" s="45" t="s">
        <v>33</v>
      </c>
      <c r="B6" s="2"/>
      <c r="C6" s="2"/>
      <c r="D6" s="2"/>
      <c r="E6" s="12"/>
      <c r="F6" s="46"/>
      <c r="G6" s="46"/>
      <c r="H6" s="54">
        <f>H4/H5</f>
        <v>0.5542857143</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2630</v>
      </c>
      <c r="L7" s="60">
        <v>35584.0</v>
      </c>
      <c r="M7" s="56" t="s">
        <v>42</v>
      </c>
      <c r="N7" s="57"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31440.0</v>
      </c>
      <c r="M8" s="56" t="s">
        <v>42</v>
      </c>
      <c r="N8" s="57"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36587.0</v>
      </c>
      <c r="M9" s="56" t="s">
        <v>62</v>
      </c>
      <c r="N9" s="57"/>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35311.0</v>
      </c>
      <c r="M10" s="56" t="s">
        <v>42</v>
      </c>
      <c r="N10" s="57"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2631</v>
      </c>
      <c r="L11" s="60">
        <v>30140.0</v>
      </c>
      <c r="M11" s="56" t="s">
        <v>42</v>
      </c>
      <c r="N11" s="57"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35585.0</v>
      </c>
      <c r="M12" s="56" t="s">
        <v>62</v>
      </c>
      <c r="N12" s="57"/>
    </row>
    <row r="13" ht="60.0" customHeight="1">
      <c r="A13" s="56">
        <v>7.0</v>
      </c>
      <c r="B13" s="57" t="s">
        <v>87</v>
      </c>
      <c r="C13" s="57" t="s">
        <v>88</v>
      </c>
      <c r="D13" s="57" t="s">
        <v>89</v>
      </c>
      <c r="E13" s="57" t="s">
        <v>90</v>
      </c>
      <c r="F13" s="57" t="s">
        <v>91</v>
      </c>
      <c r="G13" s="57" t="s">
        <v>92</v>
      </c>
      <c r="H13" s="56" t="str">
        <f t="shared" si="1"/>
        <v>CORRECT</v>
      </c>
      <c r="I13" s="56" t="s">
        <v>51</v>
      </c>
      <c r="J13" s="58" t="s">
        <v>51</v>
      </c>
      <c r="K13" s="59" t="s">
        <v>2632</v>
      </c>
      <c r="L13" s="60">
        <v>36885.0</v>
      </c>
      <c r="M13" s="56" t="s">
        <v>62</v>
      </c>
      <c r="N13" s="57"/>
    </row>
    <row r="14" ht="60.0" customHeight="1">
      <c r="A14" s="56">
        <v>8.0</v>
      </c>
      <c r="B14" s="57" t="s">
        <v>94</v>
      </c>
      <c r="C14" s="57" t="s">
        <v>95</v>
      </c>
      <c r="D14" s="57" t="s">
        <v>96</v>
      </c>
      <c r="E14" s="57" t="s">
        <v>97</v>
      </c>
      <c r="F14" s="57" t="s">
        <v>98</v>
      </c>
      <c r="G14" s="57" t="s">
        <v>99</v>
      </c>
      <c r="H14" s="56" t="str">
        <f t="shared" si="1"/>
        <v>WRONG</v>
      </c>
      <c r="I14" s="56" t="s">
        <v>51</v>
      </c>
      <c r="J14" s="58" t="s">
        <v>50</v>
      </c>
      <c r="K14" s="59" t="s">
        <v>100</v>
      </c>
      <c r="L14" s="60">
        <v>32342.0</v>
      </c>
      <c r="M14" s="56" t="s">
        <v>62</v>
      </c>
      <c r="N14" s="57"/>
    </row>
    <row r="15" ht="60.0" customHeight="1">
      <c r="A15" s="56">
        <v>9.0</v>
      </c>
      <c r="B15" s="57" t="s">
        <v>101</v>
      </c>
      <c r="C15" s="57" t="s">
        <v>102</v>
      </c>
      <c r="D15" s="57" t="s">
        <v>103</v>
      </c>
      <c r="E15" s="57" t="s">
        <v>104</v>
      </c>
      <c r="F15" s="57" t="s">
        <v>105</v>
      </c>
      <c r="G15" s="57" t="s">
        <v>106</v>
      </c>
      <c r="H15" s="56" t="str">
        <f t="shared" si="1"/>
        <v>WRONG</v>
      </c>
      <c r="I15" s="56" t="s">
        <v>50</v>
      </c>
      <c r="J15" s="58" t="s">
        <v>40</v>
      </c>
      <c r="K15" s="59" t="s">
        <v>107</v>
      </c>
      <c r="L15" s="60">
        <v>29224.0</v>
      </c>
      <c r="M15" s="56" t="s">
        <v>42</v>
      </c>
      <c r="N15" s="57" t="s">
        <v>108</v>
      </c>
    </row>
    <row r="16" ht="60.0" customHeight="1">
      <c r="A16" s="56">
        <v>10.0</v>
      </c>
      <c r="B16" s="57" t="s">
        <v>109</v>
      </c>
      <c r="C16" s="57" t="s">
        <v>110</v>
      </c>
      <c r="D16" s="57" t="s">
        <v>111</v>
      </c>
      <c r="E16" s="57" t="s">
        <v>112</v>
      </c>
      <c r="F16" s="57" t="s">
        <v>113</v>
      </c>
      <c r="G16" s="57" t="s">
        <v>114</v>
      </c>
      <c r="H16" s="56" t="str">
        <f t="shared" si="1"/>
        <v>CORRECT</v>
      </c>
      <c r="I16" s="56" t="s">
        <v>60</v>
      </c>
      <c r="J16" s="58" t="s">
        <v>60</v>
      </c>
      <c r="K16" s="59" t="s">
        <v>115</v>
      </c>
      <c r="L16" s="60">
        <v>38835.0</v>
      </c>
      <c r="M16" s="56" t="s">
        <v>42</v>
      </c>
      <c r="N16" s="57" t="s">
        <v>116</v>
      </c>
    </row>
    <row r="17" ht="60.0" customHeight="1">
      <c r="A17" s="56">
        <v>11.0</v>
      </c>
      <c r="B17" s="57" t="s">
        <v>117</v>
      </c>
      <c r="C17" s="57" t="s">
        <v>118</v>
      </c>
      <c r="D17" s="57" t="s">
        <v>119</v>
      </c>
      <c r="E17" s="57" t="s">
        <v>120</v>
      </c>
      <c r="F17" s="57" t="s">
        <v>121</v>
      </c>
      <c r="G17" s="57" t="s">
        <v>122</v>
      </c>
      <c r="H17" s="56" t="str">
        <f t="shared" si="1"/>
        <v>CORRECT</v>
      </c>
      <c r="I17" s="56" t="s">
        <v>50</v>
      </c>
      <c r="J17" s="58" t="s">
        <v>50</v>
      </c>
      <c r="K17" s="59" t="s">
        <v>123</v>
      </c>
      <c r="L17" s="60">
        <v>29517.0</v>
      </c>
      <c r="M17" s="56" t="s">
        <v>42</v>
      </c>
      <c r="N17" s="57" t="s">
        <v>124</v>
      </c>
    </row>
    <row r="18" ht="60.0" customHeight="1">
      <c r="A18" s="56">
        <v>12.0</v>
      </c>
      <c r="B18" s="57" t="s">
        <v>125</v>
      </c>
      <c r="C18" s="57" t="s">
        <v>126</v>
      </c>
      <c r="D18" s="57" t="s">
        <v>127</v>
      </c>
      <c r="E18" s="57" t="s">
        <v>128</v>
      </c>
      <c r="F18" s="57" t="s">
        <v>129</v>
      </c>
      <c r="G18" s="57" t="s">
        <v>130</v>
      </c>
      <c r="H18" s="56" t="str">
        <f t="shared" si="1"/>
        <v>CORRECT</v>
      </c>
      <c r="I18" s="56" t="s">
        <v>60</v>
      </c>
      <c r="J18" s="58" t="s">
        <v>60</v>
      </c>
      <c r="K18" s="59" t="s">
        <v>2633</v>
      </c>
      <c r="L18" s="60">
        <v>28117.0</v>
      </c>
      <c r="M18" s="56" t="s">
        <v>42</v>
      </c>
      <c r="N18" s="57" t="s">
        <v>132</v>
      </c>
    </row>
    <row r="19" ht="60.0" customHeight="1">
      <c r="A19" s="56">
        <v>13.0</v>
      </c>
      <c r="B19" s="57" t="s">
        <v>133</v>
      </c>
      <c r="C19" s="57" t="s">
        <v>134</v>
      </c>
      <c r="D19" s="57" t="s">
        <v>135</v>
      </c>
      <c r="E19" s="57" t="s">
        <v>136</v>
      </c>
      <c r="F19" s="57" t="s">
        <v>137</v>
      </c>
      <c r="G19" s="57" t="s">
        <v>138</v>
      </c>
      <c r="H19" s="56" t="str">
        <f t="shared" si="1"/>
        <v>WRONG</v>
      </c>
      <c r="I19" s="56" t="s">
        <v>77</v>
      </c>
      <c r="J19" s="58" t="s">
        <v>50</v>
      </c>
      <c r="K19" s="59" t="s">
        <v>2634</v>
      </c>
      <c r="L19" s="60">
        <v>34616.0</v>
      </c>
      <c r="M19" s="56" t="s">
        <v>62</v>
      </c>
      <c r="N19" s="57"/>
    </row>
    <row r="20" ht="60.0" customHeight="1">
      <c r="A20" s="56">
        <v>14.0</v>
      </c>
      <c r="B20" s="57" t="s">
        <v>140</v>
      </c>
      <c r="C20" s="57" t="s">
        <v>141</v>
      </c>
      <c r="D20" s="57" t="s">
        <v>142</v>
      </c>
      <c r="E20" s="57" t="s">
        <v>143</v>
      </c>
      <c r="F20" s="57" t="s">
        <v>144</v>
      </c>
      <c r="G20" s="57" t="s">
        <v>145</v>
      </c>
      <c r="H20" s="56" t="str">
        <f t="shared" si="1"/>
        <v>WRONG</v>
      </c>
      <c r="I20" s="56" t="s">
        <v>50</v>
      </c>
      <c r="J20" s="58" t="s">
        <v>77</v>
      </c>
      <c r="K20" s="59" t="s">
        <v>2635</v>
      </c>
      <c r="L20" s="60">
        <v>35395.0</v>
      </c>
      <c r="M20" s="56" t="s">
        <v>42</v>
      </c>
      <c r="N20" s="57" t="s">
        <v>147</v>
      </c>
    </row>
    <row r="21" ht="60.0" customHeight="1">
      <c r="A21" s="56">
        <v>15.0</v>
      </c>
      <c r="B21" s="57" t="s">
        <v>148</v>
      </c>
      <c r="C21" s="57" t="s">
        <v>149</v>
      </c>
      <c r="D21" s="57" t="s">
        <v>150</v>
      </c>
      <c r="E21" s="57" t="s">
        <v>151</v>
      </c>
      <c r="F21" s="57" t="s">
        <v>152</v>
      </c>
      <c r="G21" s="57" t="s">
        <v>153</v>
      </c>
      <c r="H21" s="56" t="str">
        <f t="shared" si="1"/>
        <v>CORRECT</v>
      </c>
      <c r="I21" s="56" t="s">
        <v>50</v>
      </c>
      <c r="J21" s="58" t="s">
        <v>50</v>
      </c>
      <c r="K21" s="59" t="s">
        <v>154</v>
      </c>
      <c r="L21" s="60">
        <v>30654.0</v>
      </c>
      <c r="M21" s="56" t="s">
        <v>42</v>
      </c>
      <c r="N21" s="57" t="s">
        <v>155</v>
      </c>
    </row>
    <row r="22" ht="60.0" customHeight="1">
      <c r="A22" s="56">
        <v>16.0</v>
      </c>
      <c r="B22" s="57" t="s">
        <v>156</v>
      </c>
      <c r="C22" s="57" t="s">
        <v>157</v>
      </c>
      <c r="D22" s="57" t="s">
        <v>158</v>
      </c>
      <c r="E22" s="57" t="s">
        <v>159</v>
      </c>
      <c r="F22" s="57" t="s">
        <v>160</v>
      </c>
      <c r="G22" s="57" t="s">
        <v>161</v>
      </c>
      <c r="H22" s="56" t="str">
        <f t="shared" si="1"/>
        <v>WRONG</v>
      </c>
      <c r="I22" s="56" t="s">
        <v>40</v>
      </c>
      <c r="J22" s="58" t="s">
        <v>77</v>
      </c>
      <c r="K22" s="59" t="s">
        <v>162</v>
      </c>
      <c r="L22" s="60">
        <v>29766.0</v>
      </c>
      <c r="M22" s="56" t="s">
        <v>42</v>
      </c>
      <c r="N22" s="57" t="s">
        <v>163</v>
      </c>
    </row>
    <row r="23" ht="60.0" customHeight="1">
      <c r="A23" s="56">
        <v>17.0</v>
      </c>
      <c r="B23" s="57" t="s">
        <v>164</v>
      </c>
      <c r="C23" s="57" t="s">
        <v>165</v>
      </c>
      <c r="D23" s="57" t="s">
        <v>166</v>
      </c>
      <c r="E23" s="57" t="s">
        <v>167</v>
      </c>
      <c r="F23" s="57" t="s">
        <v>168</v>
      </c>
      <c r="G23" s="57" t="s">
        <v>169</v>
      </c>
      <c r="H23" s="56" t="str">
        <f t="shared" si="1"/>
        <v>WRONG</v>
      </c>
      <c r="I23" s="56" t="s">
        <v>77</v>
      </c>
      <c r="J23" s="58" t="s">
        <v>40</v>
      </c>
      <c r="K23" s="59" t="s">
        <v>170</v>
      </c>
      <c r="L23" s="60">
        <v>30744.0</v>
      </c>
      <c r="M23" s="56" t="s">
        <v>42</v>
      </c>
      <c r="N23" s="57" t="s">
        <v>171</v>
      </c>
    </row>
    <row r="24" ht="60.0" customHeight="1">
      <c r="A24" s="56">
        <v>18.0</v>
      </c>
      <c r="B24" s="57" t="s">
        <v>172</v>
      </c>
      <c r="C24" s="57" t="s">
        <v>173</v>
      </c>
      <c r="D24" s="57" t="s">
        <v>174</v>
      </c>
      <c r="E24" s="57" t="s">
        <v>175</v>
      </c>
      <c r="F24" s="57" t="s">
        <v>176</v>
      </c>
      <c r="G24" s="57" t="s">
        <v>177</v>
      </c>
      <c r="H24" s="56" t="str">
        <f t="shared" si="1"/>
        <v>CORRECT</v>
      </c>
      <c r="I24" s="56" t="s">
        <v>50</v>
      </c>
      <c r="J24" s="58" t="s">
        <v>50</v>
      </c>
      <c r="K24" s="59" t="s">
        <v>2636</v>
      </c>
      <c r="L24" s="60">
        <v>38266.0</v>
      </c>
      <c r="M24" s="56" t="s">
        <v>42</v>
      </c>
      <c r="N24" s="57" t="s">
        <v>179</v>
      </c>
    </row>
    <row r="25" ht="60.0" customHeight="1">
      <c r="A25" s="56">
        <v>19.0</v>
      </c>
      <c r="B25" s="57" t="s">
        <v>180</v>
      </c>
      <c r="C25" s="57" t="s">
        <v>181</v>
      </c>
      <c r="D25" s="57" t="s">
        <v>182</v>
      </c>
      <c r="E25" s="57" t="s">
        <v>183</v>
      </c>
      <c r="F25" s="57" t="s">
        <v>184</v>
      </c>
      <c r="G25" s="57" t="s">
        <v>185</v>
      </c>
      <c r="H25" s="56" t="str">
        <f t="shared" si="1"/>
        <v>WRONG</v>
      </c>
      <c r="I25" s="56" t="s">
        <v>51</v>
      </c>
      <c r="J25" s="58" t="s">
        <v>60</v>
      </c>
      <c r="K25" s="59" t="s">
        <v>186</v>
      </c>
      <c r="L25" s="60">
        <v>36532.0</v>
      </c>
      <c r="M25" s="56" t="s">
        <v>42</v>
      </c>
      <c r="N25" s="57" t="s">
        <v>187</v>
      </c>
    </row>
    <row r="26" ht="60.0" customHeight="1">
      <c r="A26" s="56">
        <v>20.0</v>
      </c>
      <c r="B26" s="57" t="s">
        <v>188</v>
      </c>
      <c r="C26" s="57" t="s">
        <v>189</v>
      </c>
      <c r="D26" s="57" t="s">
        <v>190</v>
      </c>
      <c r="E26" s="57" t="s">
        <v>191</v>
      </c>
      <c r="F26" s="57" t="s">
        <v>192</v>
      </c>
      <c r="G26" s="57" t="s">
        <v>193</v>
      </c>
      <c r="H26" s="56" t="str">
        <f t="shared" si="1"/>
        <v>CORRECT</v>
      </c>
      <c r="I26" s="56" t="s">
        <v>51</v>
      </c>
      <c r="J26" s="58" t="s">
        <v>51</v>
      </c>
      <c r="K26" s="59" t="s">
        <v>2637</v>
      </c>
      <c r="L26" s="60">
        <v>33437.0</v>
      </c>
      <c r="M26" s="56" t="s">
        <v>42</v>
      </c>
      <c r="N26" s="57" t="s">
        <v>195</v>
      </c>
    </row>
    <row r="27" ht="60.0" customHeight="1">
      <c r="A27" s="56">
        <v>21.0</v>
      </c>
      <c r="B27" s="57" t="s">
        <v>196</v>
      </c>
      <c r="C27" s="57" t="s">
        <v>197</v>
      </c>
      <c r="D27" s="57" t="s">
        <v>198</v>
      </c>
      <c r="E27" s="57" t="s">
        <v>199</v>
      </c>
      <c r="F27" s="57" t="s">
        <v>200</v>
      </c>
      <c r="G27" s="57" t="s">
        <v>201</v>
      </c>
      <c r="H27" s="56" t="str">
        <f t="shared" si="1"/>
        <v>CORRECT</v>
      </c>
      <c r="I27" s="56" t="s">
        <v>77</v>
      </c>
      <c r="J27" s="58" t="s">
        <v>77</v>
      </c>
      <c r="K27" s="59" t="s">
        <v>202</v>
      </c>
      <c r="L27" s="60">
        <v>42033.0</v>
      </c>
      <c r="M27" s="56" t="s">
        <v>42</v>
      </c>
      <c r="N27" s="57" t="s">
        <v>203</v>
      </c>
    </row>
    <row r="28" ht="60.0" customHeight="1">
      <c r="A28" s="56">
        <v>22.0</v>
      </c>
      <c r="B28" s="57" t="s">
        <v>204</v>
      </c>
      <c r="C28" s="57" t="s">
        <v>205</v>
      </c>
      <c r="D28" s="57" t="s">
        <v>206</v>
      </c>
      <c r="E28" s="57" t="s">
        <v>207</v>
      </c>
      <c r="F28" s="57" t="s">
        <v>208</v>
      </c>
      <c r="G28" s="57" t="s">
        <v>209</v>
      </c>
      <c r="H28" s="56" t="str">
        <f t="shared" si="1"/>
        <v>WRONG</v>
      </c>
      <c r="I28" s="56" t="s">
        <v>50</v>
      </c>
      <c r="J28" s="58" t="s">
        <v>51</v>
      </c>
      <c r="K28" s="59" t="s">
        <v>2638</v>
      </c>
      <c r="L28" s="60">
        <v>42284.0</v>
      </c>
      <c r="M28" s="56" t="s">
        <v>42</v>
      </c>
      <c r="N28" s="57" t="s">
        <v>211</v>
      </c>
    </row>
    <row r="29" ht="60.0" customHeight="1">
      <c r="A29" s="56">
        <v>23.0</v>
      </c>
      <c r="B29" s="57" t="s">
        <v>212</v>
      </c>
      <c r="C29" s="57" t="s">
        <v>213</v>
      </c>
      <c r="D29" s="57" t="s">
        <v>214</v>
      </c>
      <c r="E29" s="57" t="s">
        <v>215</v>
      </c>
      <c r="F29" s="57" t="s">
        <v>216</v>
      </c>
      <c r="G29" s="57" t="s">
        <v>217</v>
      </c>
      <c r="H29" s="56" t="str">
        <f t="shared" si="1"/>
        <v>CORRECT</v>
      </c>
      <c r="I29" s="56" t="s">
        <v>50</v>
      </c>
      <c r="J29" s="58" t="s">
        <v>50</v>
      </c>
      <c r="K29" s="59" t="s">
        <v>218</v>
      </c>
      <c r="L29" s="60">
        <v>28375.0</v>
      </c>
      <c r="M29" s="56" t="s">
        <v>42</v>
      </c>
      <c r="N29" s="57" t="s">
        <v>219</v>
      </c>
    </row>
    <row r="30" ht="60.0" customHeight="1">
      <c r="A30" s="56">
        <v>24.0</v>
      </c>
      <c r="B30" s="57" t="s">
        <v>220</v>
      </c>
      <c r="C30" s="57" t="s">
        <v>221</v>
      </c>
      <c r="D30" s="57" t="s">
        <v>222</v>
      </c>
      <c r="E30" s="57" t="s">
        <v>223</v>
      </c>
      <c r="F30" s="57" t="s">
        <v>224</v>
      </c>
      <c r="G30" s="57" t="s">
        <v>225</v>
      </c>
      <c r="H30" s="56" t="str">
        <f t="shared" si="1"/>
        <v>WRONG</v>
      </c>
      <c r="I30" s="56" t="s">
        <v>50</v>
      </c>
      <c r="J30" s="58" t="s">
        <v>40</v>
      </c>
      <c r="K30" s="59" t="s">
        <v>226</v>
      </c>
      <c r="L30" s="60">
        <v>28849.0</v>
      </c>
      <c r="M30" s="56" t="s">
        <v>42</v>
      </c>
      <c r="N30" s="57" t="s">
        <v>227</v>
      </c>
    </row>
    <row r="31" ht="60.0" customHeight="1">
      <c r="A31" s="56">
        <v>25.0</v>
      </c>
      <c r="B31" s="57" t="s">
        <v>228</v>
      </c>
      <c r="C31" s="57" t="s">
        <v>229</v>
      </c>
      <c r="D31" s="57" t="s">
        <v>230</v>
      </c>
      <c r="E31" s="57" t="s">
        <v>231</v>
      </c>
      <c r="F31" s="57" t="s">
        <v>232</v>
      </c>
      <c r="G31" s="57" t="s">
        <v>233</v>
      </c>
      <c r="H31" s="56" t="str">
        <f t="shared" si="1"/>
        <v>CORRECT</v>
      </c>
      <c r="I31" s="56" t="s">
        <v>50</v>
      </c>
      <c r="J31" s="58" t="s">
        <v>50</v>
      </c>
      <c r="K31" s="59" t="s">
        <v>234</v>
      </c>
      <c r="L31" s="60">
        <v>30510.0</v>
      </c>
      <c r="M31" s="56" t="s">
        <v>42</v>
      </c>
      <c r="N31" s="57" t="s">
        <v>235</v>
      </c>
    </row>
    <row r="32" ht="60.0" customHeight="1">
      <c r="A32" s="56">
        <v>26.0</v>
      </c>
      <c r="B32" s="57" t="s">
        <v>236</v>
      </c>
      <c r="C32" s="57" t="s">
        <v>237</v>
      </c>
      <c r="D32" s="57" t="s">
        <v>238</v>
      </c>
      <c r="E32" s="57" t="s">
        <v>239</v>
      </c>
      <c r="F32" s="57" t="s">
        <v>240</v>
      </c>
      <c r="G32" s="57" t="s">
        <v>241</v>
      </c>
      <c r="H32" s="56" t="str">
        <f t="shared" si="1"/>
        <v>WRONG</v>
      </c>
      <c r="I32" s="56" t="s">
        <v>50</v>
      </c>
      <c r="J32" s="58" t="s">
        <v>60</v>
      </c>
      <c r="K32" s="59" t="s">
        <v>242</v>
      </c>
      <c r="L32" s="60">
        <v>32091.0</v>
      </c>
      <c r="M32" s="56" t="s">
        <v>62</v>
      </c>
      <c r="N32" s="57"/>
    </row>
    <row r="33" ht="60.0" customHeight="1">
      <c r="A33" s="56">
        <v>27.0</v>
      </c>
      <c r="B33" s="57" t="s">
        <v>243</v>
      </c>
      <c r="C33" s="57" t="s">
        <v>244</v>
      </c>
      <c r="D33" s="57" t="s">
        <v>245</v>
      </c>
      <c r="E33" s="57" t="s">
        <v>246</v>
      </c>
      <c r="F33" s="57" t="s">
        <v>247</v>
      </c>
      <c r="G33" s="57" t="s">
        <v>248</v>
      </c>
      <c r="H33" s="56" t="str">
        <f t="shared" si="1"/>
        <v>CORRECT</v>
      </c>
      <c r="I33" s="56" t="s">
        <v>50</v>
      </c>
      <c r="J33" s="58" t="s">
        <v>50</v>
      </c>
      <c r="K33" s="59" t="s">
        <v>249</v>
      </c>
      <c r="L33" s="60">
        <v>35193.0</v>
      </c>
      <c r="M33" s="56" t="s">
        <v>42</v>
      </c>
      <c r="N33" s="57" t="s">
        <v>250</v>
      </c>
    </row>
    <row r="34" ht="60.0" customHeight="1">
      <c r="A34" s="56">
        <v>28.0</v>
      </c>
      <c r="B34" s="57" t="s">
        <v>251</v>
      </c>
      <c r="C34" s="57" t="s">
        <v>252</v>
      </c>
      <c r="D34" s="57" t="s">
        <v>253</v>
      </c>
      <c r="E34" s="57" t="s">
        <v>254</v>
      </c>
      <c r="F34" s="57" t="s">
        <v>255</v>
      </c>
      <c r="G34" s="57" t="s">
        <v>256</v>
      </c>
      <c r="H34" s="56" t="str">
        <f t="shared" si="1"/>
        <v>CORRECT</v>
      </c>
      <c r="I34" s="56" t="s">
        <v>40</v>
      </c>
      <c r="J34" s="58" t="s">
        <v>40</v>
      </c>
      <c r="K34" s="59" t="s">
        <v>257</v>
      </c>
      <c r="L34" s="60">
        <v>33769.0</v>
      </c>
      <c r="M34" s="56" t="s">
        <v>62</v>
      </c>
      <c r="N34" s="57"/>
    </row>
    <row r="35" ht="60.0" customHeight="1">
      <c r="A35" s="56">
        <v>29.0</v>
      </c>
      <c r="B35" s="57" t="s">
        <v>258</v>
      </c>
      <c r="C35" s="57" t="s">
        <v>259</v>
      </c>
      <c r="D35" s="57" t="s">
        <v>260</v>
      </c>
      <c r="E35" s="57" t="s">
        <v>261</v>
      </c>
      <c r="F35" s="57" t="s">
        <v>262</v>
      </c>
      <c r="G35" s="57" t="s">
        <v>263</v>
      </c>
      <c r="H35" s="56" t="str">
        <f t="shared" si="1"/>
        <v>WRONG</v>
      </c>
      <c r="I35" s="56" t="s">
        <v>60</v>
      </c>
      <c r="J35" s="58" t="s">
        <v>50</v>
      </c>
      <c r="K35" s="59" t="s">
        <v>2639</v>
      </c>
      <c r="L35" s="60">
        <v>35571.0</v>
      </c>
      <c r="M35" s="56" t="s">
        <v>62</v>
      </c>
      <c r="N35" s="57"/>
    </row>
    <row r="36" ht="60.0" customHeight="1">
      <c r="A36" s="56">
        <v>30.0</v>
      </c>
      <c r="B36" s="57" t="s">
        <v>265</v>
      </c>
      <c r="C36" s="57" t="s">
        <v>266</v>
      </c>
      <c r="D36" s="57" t="s">
        <v>267</v>
      </c>
      <c r="E36" s="57" t="s">
        <v>268</v>
      </c>
      <c r="F36" s="57" t="s">
        <v>269</v>
      </c>
      <c r="G36" s="57" t="s">
        <v>270</v>
      </c>
      <c r="H36" s="56" t="str">
        <f t="shared" si="1"/>
        <v>CORRECT</v>
      </c>
      <c r="I36" s="56" t="s">
        <v>50</v>
      </c>
      <c r="J36" s="58" t="s">
        <v>50</v>
      </c>
      <c r="K36" s="59" t="s">
        <v>271</v>
      </c>
      <c r="L36" s="60">
        <v>43800.0</v>
      </c>
      <c r="M36" s="56" t="s">
        <v>62</v>
      </c>
      <c r="N36" s="57"/>
    </row>
    <row r="37" ht="60.0" customHeight="1">
      <c r="A37" s="56">
        <v>31.0</v>
      </c>
      <c r="B37" s="57" t="s">
        <v>272</v>
      </c>
      <c r="C37" s="57" t="s">
        <v>273</v>
      </c>
      <c r="D37" s="57" t="s">
        <v>274</v>
      </c>
      <c r="E37" s="57" t="s">
        <v>275</v>
      </c>
      <c r="F37" s="57" t="s">
        <v>276</v>
      </c>
      <c r="G37" s="57" t="s">
        <v>277</v>
      </c>
      <c r="H37" s="56" t="str">
        <f t="shared" si="1"/>
        <v>CORRECT</v>
      </c>
      <c r="I37" s="56" t="s">
        <v>77</v>
      </c>
      <c r="J37" s="58" t="s">
        <v>77</v>
      </c>
      <c r="K37" s="59" t="s">
        <v>278</v>
      </c>
      <c r="L37" s="60">
        <v>30992.0</v>
      </c>
      <c r="M37" s="56" t="s">
        <v>62</v>
      </c>
      <c r="N37" s="57"/>
    </row>
    <row r="38" ht="60.0" customHeight="1">
      <c r="A38" s="56">
        <v>32.0</v>
      </c>
      <c r="B38" s="57" t="s">
        <v>279</v>
      </c>
      <c r="C38" s="57" t="s">
        <v>280</v>
      </c>
      <c r="D38" s="57" t="s">
        <v>281</v>
      </c>
      <c r="E38" s="57" t="s">
        <v>282</v>
      </c>
      <c r="F38" s="57" t="s">
        <v>283</v>
      </c>
      <c r="G38" s="57" t="s">
        <v>284</v>
      </c>
      <c r="H38" s="56" t="str">
        <f t="shared" si="1"/>
        <v>WRONG</v>
      </c>
      <c r="I38" s="56" t="s">
        <v>50</v>
      </c>
      <c r="J38" s="58" t="s">
        <v>60</v>
      </c>
      <c r="K38" s="59" t="s">
        <v>285</v>
      </c>
      <c r="L38" s="60">
        <v>34597.0</v>
      </c>
      <c r="M38" s="56" t="s">
        <v>42</v>
      </c>
      <c r="N38" s="57" t="s">
        <v>286</v>
      </c>
    </row>
    <row r="39" ht="60.0" customHeight="1">
      <c r="A39" s="56">
        <v>33.0</v>
      </c>
      <c r="B39" s="57" t="s">
        <v>287</v>
      </c>
      <c r="C39" s="57" t="s">
        <v>288</v>
      </c>
      <c r="D39" s="57" t="s">
        <v>289</v>
      </c>
      <c r="E39" s="57" t="s">
        <v>290</v>
      </c>
      <c r="F39" s="57" t="s">
        <v>291</v>
      </c>
      <c r="G39" s="57" t="s">
        <v>292</v>
      </c>
      <c r="H39" s="56" t="str">
        <f t="shared" si="1"/>
        <v>WRONG</v>
      </c>
      <c r="I39" s="56" t="s">
        <v>77</v>
      </c>
      <c r="J39" s="58" t="s">
        <v>50</v>
      </c>
      <c r="K39" s="59" t="s">
        <v>293</v>
      </c>
      <c r="L39" s="60">
        <v>39870.0</v>
      </c>
      <c r="M39" s="56" t="s">
        <v>62</v>
      </c>
      <c r="N39" s="57"/>
    </row>
    <row r="40" ht="60.0" customHeight="1">
      <c r="A40" s="56">
        <v>34.0</v>
      </c>
      <c r="B40" s="57" t="s">
        <v>294</v>
      </c>
      <c r="C40" s="57" t="s">
        <v>295</v>
      </c>
      <c r="D40" s="57" t="s">
        <v>296</v>
      </c>
      <c r="E40" s="57" t="s">
        <v>297</v>
      </c>
      <c r="F40" s="57" t="s">
        <v>298</v>
      </c>
      <c r="G40" s="57" t="s">
        <v>299</v>
      </c>
      <c r="H40" s="56" t="str">
        <f t="shared" si="1"/>
        <v>CORRECT</v>
      </c>
      <c r="I40" s="56" t="s">
        <v>51</v>
      </c>
      <c r="J40" s="58" t="s">
        <v>51</v>
      </c>
      <c r="K40" s="59" t="s">
        <v>300</v>
      </c>
      <c r="L40" s="60">
        <v>32815.0</v>
      </c>
      <c r="M40" s="56" t="s">
        <v>42</v>
      </c>
      <c r="N40" s="57" t="s">
        <v>301</v>
      </c>
    </row>
    <row r="41" ht="60.0" customHeight="1">
      <c r="A41" s="56">
        <v>35.0</v>
      </c>
      <c r="B41" s="57" t="s">
        <v>302</v>
      </c>
      <c r="C41" s="57" t="s">
        <v>303</v>
      </c>
      <c r="D41" s="57" t="s">
        <v>304</v>
      </c>
      <c r="E41" s="57" t="s">
        <v>305</v>
      </c>
      <c r="F41" s="57" t="s">
        <v>306</v>
      </c>
      <c r="G41" s="57" t="s">
        <v>307</v>
      </c>
      <c r="H41" s="56" t="str">
        <f t="shared" si="1"/>
        <v>WRONG</v>
      </c>
      <c r="I41" s="56" t="s">
        <v>40</v>
      </c>
      <c r="J41" s="58" t="s">
        <v>77</v>
      </c>
      <c r="K41" s="59" t="s">
        <v>2640</v>
      </c>
      <c r="L41" s="60">
        <v>35362.0</v>
      </c>
      <c r="M41" s="56" t="s">
        <v>62</v>
      </c>
      <c r="N41" s="57"/>
    </row>
    <row r="42" ht="60.0" customHeight="1">
      <c r="A42" s="56">
        <v>36.0</v>
      </c>
      <c r="B42" s="57" t="s">
        <v>309</v>
      </c>
      <c r="C42" s="57" t="s">
        <v>310</v>
      </c>
      <c r="D42" s="57" t="s">
        <v>311</v>
      </c>
      <c r="E42" s="57" t="s">
        <v>312</v>
      </c>
      <c r="F42" s="57" t="s">
        <v>313</v>
      </c>
      <c r="G42" s="57" t="s">
        <v>314</v>
      </c>
      <c r="H42" s="56" t="str">
        <f t="shared" si="1"/>
        <v>WRONG</v>
      </c>
      <c r="I42" s="56" t="s">
        <v>51</v>
      </c>
      <c r="J42" s="58" t="s">
        <v>60</v>
      </c>
      <c r="K42" s="59" t="s">
        <v>315</v>
      </c>
      <c r="L42" s="60">
        <v>39918.0</v>
      </c>
      <c r="M42" s="56" t="s">
        <v>42</v>
      </c>
      <c r="N42" s="57" t="s">
        <v>316</v>
      </c>
    </row>
    <row r="43" ht="60.0" customHeight="1">
      <c r="A43" s="56">
        <v>37.0</v>
      </c>
      <c r="B43" s="57" t="s">
        <v>317</v>
      </c>
      <c r="C43" s="57" t="s">
        <v>318</v>
      </c>
      <c r="D43" s="57" t="s">
        <v>319</v>
      </c>
      <c r="E43" s="57" t="s">
        <v>320</v>
      </c>
      <c r="F43" s="57" t="s">
        <v>321</v>
      </c>
      <c r="G43" s="57" t="s">
        <v>322</v>
      </c>
      <c r="H43" s="56" t="str">
        <f t="shared" si="1"/>
        <v>CORRECT</v>
      </c>
      <c r="I43" s="56" t="s">
        <v>60</v>
      </c>
      <c r="J43" s="58" t="s">
        <v>60</v>
      </c>
      <c r="K43" s="59" t="s">
        <v>2641</v>
      </c>
      <c r="L43" s="60">
        <v>27982.0</v>
      </c>
      <c r="M43" s="56" t="s">
        <v>42</v>
      </c>
      <c r="N43" s="57" t="s">
        <v>324</v>
      </c>
    </row>
    <row r="44" ht="60.0" customHeight="1">
      <c r="A44" s="56">
        <v>38.0</v>
      </c>
      <c r="B44" s="57" t="s">
        <v>325</v>
      </c>
      <c r="C44" s="57" t="s">
        <v>326</v>
      </c>
      <c r="D44" s="57" t="s">
        <v>327</v>
      </c>
      <c r="E44" s="57" t="s">
        <v>328</v>
      </c>
      <c r="F44" s="57" t="s">
        <v>329</v>
      </c>
      <c r="G44" s="57" t="s">
        <v>330</v>
      </c>
      <c r="H44" s="56" t="str">
        <f t="shared" si="1"/>
        <v>CORRECT</v>
      </c>
      <c r="I44" s="56" t="s">
        <v>51</v>
      </c>
      <c r="J44" s="58" t="s">
        <v>51</v>
      </c>
      <c r="K44" s="59" t="s">
        <v>331</v>
      </c>
      <c r="L44" s="60">
        <v>35537.0</v>
      </c>
      <c r="M44" s="56" t="s">
        <v>42</v>
      </c>
      <c r="N44" s="57" t="s">
        <v>332</v>
      </c>
    </row>
    <row r="45" ht="60.0" customHeight="1">
      <c r="A45" s="56">
        <v>39.0</v>
      </c>
      <c r="B45" s="57" t="s">
        <v>333</v>
      </c>
      <c r="C45" s="57" t="s">
        <v>334</v>
      </c>
      <c r="D45" s="57" t="s">
        <v>335</v>
      </c>
      <c r="E45" s="57" t="s">
        <v>336</v>
      </c>
      <c r="F45" s="57" t="s">
        <v>337</v>
      </c>
      <c r="G45" s="57" t="s">
        <v>338</v>
      </c>
      <c r="H45" s="56" t="str">
        <f t="shared" si="1"/>
        <v>WRONG</v>
      </c>
      <c r="I45" s="56" t="s">
        <v>50</v>
      </c>
      <c r="J45" s="58" t="s">
        <v>51</v>
      </c>
      <c r="K45" s="59" t="s">
        <v>339</v>
      </c>
      <c r="L45" s="60">
        <v>40666.0</v>
      </c>
      <c r="M45" s="56" t="s">
        <v>42</v>
      </c>
      <c r="N45" s="57" t="s">
        <v>340</v>
      </c>
    </row>
    <row r="46" ht="60.0" customHeight="1">
      <c r="A46" s="56">
        <v>40.0</v>
      </c>
      <c r="B46" s="57" t="s">
        <v>341</v>
      </c>
      <c r="C46" s="57" t="s">
        <v>342</v>
      </c>
      <c r="D46" s="57" t="s">
        <v>343</v>
      </c>
      <c r="E46" s="57" t="s">
        <v>344</v>
      </c>
      <c r="F46" s="57" t="s">
        <v>345</v>
      </c>
      <c r="G46" s="57" t="s">
        <v>346</v>
      </c>
      <c r="H46" s="56" t="str">
        <f t="shared" si="1"/>
        <v>WRONG</v>
      </c>
      <c r="I46" s="56" t="s">
        <v>60</v>
      </c>
      <c r="J46" s="58" t="s">
        <v>51</v>
      </c>
      <c r="K46" s="59" t="s">
        <v>347</v>
      </c>
      <c r="L46" s="60">
        <v>34103.0</v>
      </c>
      <c r="M46" s="56" t="s">
        <v>62</v>
      </c>
      <c r="N46" s="57"/>
    </row>
    <row r="47" ht="60.0" customHeight="1">
      <c r="A47" s="56">
        <v>41.0</v>
      </c>
      <c r="B47" s="57" t="s">
        <v>348</v>
      </c>
      <c r="C47" s="57" t="s">
        <v>349</v>
      </c>
      <c r="D47" s="57" t="s">
        <v>350</v>
      </c>
      <c r="E47" s="57" t="s">
        <v>351</v>
      </c>
      <c r="F47" s="57" t="s">
        <v>352</v>
      </c>
      <c r="G47" s="57" t="s">
        <v>353</v>
      </c>
      <c r="H47" s="56" t="str">
        <f t="shared" si="1"/>
        <v>WRONG</v>
      </c>
      <c r="I47" s="56" t="s">
        <v>51</v>
      </c>
      <c r="J47" s="58" t="s">
        <v>50</v>
      </c>
      <c r="K47" s="59" t="s">
        <v>2642</v>
      </c>
      <c r="L47" s="60">
        <v>99249.0</v>
      </c>
      <c r="M47" s="56" t="s">
        <v>62</v>
      </c>
      <c r="N47" s="62"/>
    </row>
    <row r="48" ht="60.0" customHeight="1">
      <c r="A48" s="56">
        <v>42.0</v>
      </c>
      <c r="B48" s="57" t="s">
        <v>355</v>
      </c>
      <c r="C48" s="57" t="s">
        <v>356</v>
      </c>
      <c r="D48" s="57" t="s">
        <v>357</v>
      </c>
      <c r="E48" s="57" t="s">
        <v>358</v>
      </c>
      <c r="F48" s="57" t="s">
        <v>359</v>
      </c>
      <c r="G48" s="57" t="s">
        <v>360</v>
      </c>
      <c r="H48" s="56" t="str">
        <f t="shared" si="1"/>
        <v>CORRECT</v>
      </c>
      <c r="I48" s="56" t="s">
        <v>50</v>
      </c>
      <c r="J48" s="58" t="s">
        <v>50</v>
      </c>
      <c r="K48" s="59" t="s">
        <v>361</v>
      </c>
      <c r="L48" s="60">
        <v>45297.0</v>
      </c>
      <c r="M48" s="56" t="s">
        <v>62</v>
      </c>
      <c r="N48" s="57"/>
    </row>
    <row r="49" ht="60.0" customHeight="1">
      <c r="A49" s="56">
        <v>43.0</v>
      </c>
      <c r="B49" s="57" t="s">
        <v>362</v>
      </c>
      <c r="C49" s="57" t="s">
        <v>363</v>
      </c>
      <c r="D49" s="57" t="s">
        <v>364</v>
      </c>
      <c r="E49" s="57" t="s">
        <v>365</v>
      </c>
      <c r="F49" s="57" t="s">
        <v>366</v>
      </c>
      <c r="G49" s="57" t="s">
        <v>367</v>
      </c>
      <c r="H49" s="56" t="str">
        <f t="shared" si="1"/>
        <v>CORRECT</v>
      </c>
      <c r="I49" s="56" t="s">
        <v>60</v>
      </c>
      <c r="J49" s="58" t="s">
        <v>60</v>
      </c>
      <c r="K49" s="59" t="s">
        <v>368</v>
      </c>
      <c r="L49" s="60">
        <v>45209.0</v>
      </c>
      <c r="M49" s="56" t="s">
        <v>42</v>
      </c>
      <c r="N49" s="57" t="s">
        <v>369</v>
      </c>
    </row>
    <row r="50" ht="60.0" customHeight="1">
      <c r="A50" s="56">
        <v>44.0</v>
      </c>
      <c r="B50" s="57" t="s">
        <v>370</v>
      </c>
      <c r="C50" s="57" t="s">
        <v>371</v>
      </c>
      <c r="D50" s="57" t="s">
        <v>372</v>
      </c>
      <c r="E50" s="57" t="s">
        <v>373</v>
      </c>
      <c r="F50" s="57" t="s">
        <v>374</v>
      </c>
      <c r="G50" s="57" t="s">
        <v>375</v>
      </c>
      <c r="H50" s="56" t="str">
        <f t="shared" si="1"/>
        <v>CORRECT</v>
      </c>
      <c r="I50" s="56" t="s">
        <v>51</v>
      </c>
      <c r="J50" s="58" t="s">
        <v>51</v>
      </c>
      <c r="K50" s="59" t="s">
        <v>2643</v>
      </c>
      <c r="L50" s="60">
        <v>35926.0</v>
      </c>
      <c r="M50" s="56" t="s">
        <v>42</v>
      </c>
      <c r="N50" s="57" t="s">
        <v>377</v>
      </c>
    </row>
    <row r="51" ht="60.0" customHeight="1">
      <c r="A51" s="56">
        <v>45.0</v>
      </c>
      <c r="B51" s="57" t="s">
        <v>378</v>
      </c>
      <c r="C51" s="57" t="s">
        <v>379</v>
      </c>
      <c r="D51" s="57" t="s">
        <v>380</v>
      </c>
      <c r="E51" s="57" t="s">
        <v>381</v>
      </c>
      <c r="F51" s="57" t="s">
        <v>382</v>
      </c>
      <c r="G51" s="57" t="s">
        <v>383</v>
      </c>
      <c r="H51" s="56" t="str">
        <f t="shared" si="1"/>
        <v>WRONG</v>
      </c>
      <c r="I51" s="56" t="s">
        <v>50</v>
      </c>
      <c r="J51" s="58" t="s">
        <v>60</v>
      </c>
      <c r="K51" s="59" t="s">
        <v>384</v>
      </c>
      <c r="L51" s="60">
        <v>48320.0</v>
      </c>
      <c r="M51" s="56" t="s">
        <v>42</v>
      </c>
      <c r="N51" s="57" t="s">
        <v>385</v>
      </c>
    </row>
    <row r="52" ht="60.0" customHeight="1">
      <c r="A52" s="56">
        <v>46.0</v>
      </c>
      <c r="B52" s="57" t="s">
        <v>386</v>
      </c>
      <c r="C52" s="57" t="s">
        <v>387</v>
      </c>
      <c r="D52" s="57" t="s">
        <v>388</v>
      </c>
      <c r="E52" s="57" t="s">
        <v>389</v>
      </c>
      <c r="F52" s="57" t="s">
        <v>390</v>
      </c>
      <c r="G52" s="57" t="s">
        <v>391</v>
      </c>
      <c r="H52" s="56" t="str">
        <f t="shared" si="1"/>
        <v>CORRECT</v>
      </c>
      <c r="I52" s="56" t="s">
        <v>60</v>
      </c>
      <c r="J52" s="58" t="s">
        <v>60</v>
      </c>
      <c r="K52" s="59" t="s">
        <v>392</v>
      </c>
      <c r="L52" s="60">
        <v>39432.0</v>
      </c>
      <c r="M52" s="56" t="s">
        <v>42</v>
      </c>
      <c r="N52" s="57" t="s">
        <v>393</v>
      </c>
    </row>
    <row r="53" ht="60.0" customHeight="1">
      <c r="A53" s="56">
        <v>47.0</v>
      </c>
      <c r="B53" s="57" t="s">
        <v>394</v>
      </c>
      <c r="C53" s="57" t="s">
        <v>395</v>
      </c>
      <c r="D53" s="57" t="s">
        <v>396</v>
      </c>
      <c r="E53" s="57" t="s">
        <v>397</v>
      </c>
      <c r="F53" s="57" t="s">
        <v>398</v>
      </c>
      <c r="G53" s="57" t="s">
        <v>399</v>
      </c>
      <c r="H53" s="56" t="str">
        <f t="shared" si="1"/>
        <v>CORRECT</v>
      </c>
      <c r="I53" s="56" t="s">
        <v>60</v>
      </c>
      <c r="J53" s="58" t="s">
        <v>60</v>
      </c>
      <c r="K53" s="59" t="s">
        <v>400</v>
      </c>
      <c r="L53" s="60">
        <v>29461.0</v>
      </c>
      <c r="M53" s="56" t="s">
        <v>62</v>
      </c>
      <c r="N53" s="57"/>
    </row>
    <row r="54" ht="60.0" customHeight="1">
      <c r="A54" s="56">
        <v>48.0</v>
      </c>
      <c r="B54" s="57" t="s">
        <v>401</v>
      </c>
      <c r="C54" s="57" t="s">
        <v>402</v>
      </c>
      <c r="D54" s="57" t="s">
        <v>403</v>
      </c>
      <c r="E54" s="57" t="s">
        <v>404</v>
      </c>
      <c r="F54" s="57" t="s">
        <v>405</v>
      </c>
      <c r="G54" s="57" t="s">
        <v>406</v>
      </c>
      <c r="H54" s="56" t="str">
        <f t="shared" si="1"/>
        <v>CORRECT</v>
      </c>
      <c r="I54" s="56" t="s">
        <v>60</v>
      </c>
      <c r="J54" s="58" t="s">
        <v>60</v>
      </c>
      <c r="K54" s="59" t="s">
        <v>407</v>
      </c>
      <c r="L54" s="60">
        <v>38983.0</v>
      </c>
      <c r="M54" s="56" t="s">
        <v>62</v>
      </c>
      <c r="N54" s="57"/>
    </row>
    <row r="55" ht="60.0" customHeight="1">
      <c r="A55" s="56">
        <v>49.0</v>
      </c>
      <c r="B55" s="57" t="s">
        <v>408</v>
      </c>
      <c r="C55" s="57" t="s">
        <v>409</v>
      </c>
      <c r="D55" s="57" t="s">
        <v>410</v>
      </c>
      <c r="E55" s="57" t="s">
        <v>411</v>
      </c>
      <c r="F55" s="57" t="s">
        <v>412</v>
      </c>
      <c r="G55" s="57" t="s">
        <v>413</v>
      </c>
      <c r="H55" s="56" t="str">
        <f t="shared" si="1"/>
        <v>CORRECT</v>
      </c>
      <c r="I55" s="56" t="s">
        <v>40</v>
      </c>
      <c r="J55" s="58" t="s">
        <v>40</v>
      </c>
      <c r="K55" s="59" t="s">
        <v>414</v>
      </c>
      <c r="L55" s="60">
        <v>30508.0</v>
      </c>
      <c r="M55" s="56" t="s">
        <v>62</v>
      </c>
      <c r="N55" s="57"/>
    </row>
    <row r="56" ht="60.0" customHeight="1">
      <c r="A56" s="56">
        <v>50.0</v>
      </c>
      <c r="B56" s="57" t="s">
        <v>415</v>
      </c>
      <c r="C56" s="57" t="s">
        <v>416</v>
      </c>
      <c r="D56" s="57" t="s">
        <v>417</v>
      </c>
      <c r="E56" s="57" t="s">
        <v>418</v>
      </c>
      <c r="F56" s="57" t="s">
        <v>419</v>
      </c>
      <c r="G56" s="57" t="s">
        <v>420</v>
      </c>
      <c r="H56" s="56" t="str">
        <f t="shared" si="1"/>
        <v>WRONG</v>
      </c>
      <c r="I56" s="56" t="s">
        <v>51</v>
      </c>
      <c r="J56" s="58" t="s">
        <v>60</v>
      </c>
      <c r="K56" s="59" t="s">
        <v>421</v>
      </c>
      <c r="L56" s="60">
        <v>29954.0</v>
      </c>
      <c r="M56" s="56" t="s">
        <v>42</v>
      </c>
      <c r="N56" s="57" t="s">
        <v>422</v>
      </c>
    </row>
    <row r="57" ht="60.0" customHeight="1">
      <c r="A57" s="56">
        <v>51.0</v>
      </c>
      <c r="B57" s="57" t="s">
        <v>423</v>
      </c>
      <c r="C57" s="57" t="s">
        <v>424</v>
      </c>
      <c r="D57" s="57" t="s">
        <v>425</v>
      </c>
      <c r="E57" s="57" t="s">
        <v>426</v>
      </c>
      <c r="F57" s="57" t="s">
        <v>427</v>
      </c>
      <c r="G57" s="57" t="s">
        <v>428</v>
      </c>
      <c r="H57" s="56" t="str">
        <f t="shared" si="1"/>
        <v>WRONG</v>
      </c>
      <c r="I57" s="56" t="s">
        <v>40</v>
      </c>
      <c r="J57" s="58" t="s">
        <v>50</v>
      </c>
      <c r="K57" s="59" t="s">
        <v>429</v>
      </c>
      <c r="L57" s="60">
        <v>44982.0</v>
      </c>
      <c r="M57" s="56" t="s">
        <v>62</v>
      </c>
      <c r="N57" s="57"/>
    </row>
    <row r="58" ht="60.0" customHeight="1">
      <c r="A58" s="56">
        <v>52.0</v>
      </c>
      <c r="B58" s="57" t="s">
        <v>430</v>
      </c>
      <c r="C58" s="57" t="s">
        <v>431</v>
      </c>
      <c r="D58" s="57" t="s">
        <v>432</v>
      </c>
      <c r="E58" s="57" t="s">
        <v>433</v>
      </c>
      <c r="F58" s="57" t="s">
        <v>434</v>
      </c>
      <c r="G58" s="57" t="s">
        <v>435</v>
      </c>
      <c r="H58" s="56" t="str">
        <f t="shared" si="1"/>
        <v>CORRECT</v>
      </c>
      <c r="I58" s="56" t="s">
        <v>60</v>
      </c>
      <c r="J58" s="58" t="s">
        <v>60</v>
      </c>
      <c r="K58" s="59" t="s">
        <v>436</v>
      </c>
      <c r="L58" s="60">
        <v>34895.0</v>
      </c>
      <c r="M58" s="56" t="s">
        <v>42</v>
      </c>
      <c r="N58" s="57" t="s">
        <v>437</v>
      </c>
    </row>
    <row r="59" ht="60.0" customHeight="1">
      <c r="A59" s="56">
        <v>53.0</v>
      </c>
      <c r="B59" s="57" t="s">
        <v>438</v>
      </c>
      <c r="C59" s="57" t="s">
        <v>439</v>
      </c>
      <c r="D59" s="57" t="s">
        <v>440</v>
      </c>
      <c r="E59" s="57" t="s">
        <v>441</v>
      </c>
      <c r="F59" s="57" t="s">
        <v>442</v>
      </c>
      <c r="G59" s="57" t="s">
        <v>443</v>
      </c>
      <c r="H59" s="56" t="str">
        <f t="shared" si="1"/>
        <v>WRONG</v>
      </c>
      <c r="I59" s="56" t="s">
        <v>77</v>
      </c>
      <c r="J59" s="58" t="s">
        <v>60</v>
      </c>
      <c r="K59" s="59" t="s">
        <v>444</v>
      </c>
      <c r="L59" s="60">
        <v>37393.0</v>
      </c>
      <c r="M59" s="56" t="s">
        <v>42</v>
      </c>
      <c r="N59" s="57" t="s">
        <v>445</v>
      </c>
    </row>
    <row r="60" ht="60.0" customHeight="1">
      <c r="A60" s="56">
        <v>54.0</v>
      </c>
      <c r="B60" s="57" t="s">
        <v>446</v>
      </c>
      <c r="C60" s="57" t="s">
        <v>447</v>
      </c>
      <c r="D60" s="57" t="s">
        <v>448</v>
      </c>
      <c r="E60" s="57" t="s">
        <v>449</v>
      </c>
      <c r="F60" s="57" t="s">
        <v>450</v>
      </c>
      <c r="G60" s="57" t="s">
        <v>451</v>
      </c>
      <c r="H60" s="56" t="str">
        <f t="shared" si="1"/>
        <v>WRONG</v>
      </c>
      <c r="I60" s="56" t="s">
        <v>77</v>
      </c>
      <c r="J60" s="58" t="s">
        <v>50</v>
      </c>
      <c r="K60" s="59" t="s">
        <v>452</v>
      </c>
      <c r="L60" s="60">
        <v>33459.0</v>
      </c>
      <c r="M60" s="56" t="s">
        <v>42</v>
      </c>
      <c r="N60" s="57" t="s">
        <v>453</v>
      </c>
    </row>
    <row r="61" ht="60.0" customHeight="1">
      <c r="A61" s="56">
        <v>55.0</v>
      </c>
      <c r="B61" s="57" t="s">
        <v>454</v>
      </c>
      <c r="C61" s="57" t="s">
        <v>455</v>
      </c>
      <c r="D61" s="57" t="s">
        <v>456</v>
      </c>
      <c r="E61" s="57" t="s">
        <v>457</v>
      </c>
      <c r="F61" s="57" t="s">
        <v>458</v>
      </c>
      <c r="G61" s="57" t="s">
        <v>459</v>
      </c>
      <c r="H61" s="56" t="str">
        <f t="shared" si="1"/>
        <v>WRONG</v>
      </c>
      <c r="I61" s="56" t="s">
        <v>50</v>
      </c>
      <c r="J61" s="58" t="s">
        <v>51</v>
      </c>
      <c r="K61" s="59" t="s">
        <v>460</v>
      </c>
      <c r="L61" s="60">
        <v>39307.0</v>
      </c>
      <c r="M61" s="56" t="s">
        <v>62</v>
      </c>
      <c r="N61" s="57"/>
    </row>
    <row r="62" ht="60.0" customHeight="1">
      <c r="A62" s="56">
        <v>56.0</v>
      </c>
      <c r="B62" s="57" t="s">
        <v>461</v>
      </c>
      <c r="C62" s="57" t="s">
        <v>462</v>
      </c>
      <c r="D62" s="57" t="s">
        <v>463</v>
      </c>
      <c r="E62" s="57" t="s">
        <v>464</v>
      </c>
      <c r="F62" s="57" t="s">
        <v>465</v>
      </c>
      <c r="G62" s="57" t="s">
        <v>466</v>
      </c>
      <c r="H62" s="56" t="str">
        <f t="shared" si="1"/>
        <v>WRONG</v>
      </c>
      <c r="I62" s="56" t="s">
        <v>50</v>
      </c>
      <c r="J62" s="58" t="s">
        <v>60</v>
      </c>
      <c r="K62" s="59" t="s">
        <v>467</v>
      </c>
      <c r="L62" s="60">
        <v>33818.0</v>
      </c>
      <c r="M62" s="56" t="s">
        <v>42</v>
      </c>
      <c r="N62" s="57" t="s">
        <v>468</v>
      </c>
    </row>
    <row r="63" ht="60.0" customHeight="1">
      <c r="A63" s="56">
        <v>57.0</v>
      </c>
      <c r="B63" s="57" t="s">
        <v>469</v>
      </c>
      <c r="C63" s="57" t="s">
        <v>470</v>
      </c>
      <c r="D63" s="57" t="s">
        <v>471</v>
      </c>
      <c r="E63" s="57" t="s">
        <v>472</v>
      </c>
      <c r="F63" s="57" t="s">
        <v>473</v>
      </c>
      <c r="G63" s="57" t="s">
        <v>474</v>
      </c>
      <c r="H63" s="56" t="str">
        <f t="shared" si="1"/>
        <v>CORRECT</v>
      </c>
      <c r="I63" s="56" t="s">
        <v>40</v>
      </c>
      <c r="J63" s="58" t="s">
        <v>40</v>
      </c>
      <c r="K63" s="59" t="s">
        <v>2644</v>
      </c>
      <c r="L63" s="60">
        <v>38746.0</v>
      </c>
      <c r="M63" s="56" t="s">
        <v>62</v>
      </c>
      <c r="N63" s="57"/>
    </row>
    <row r="64" ht="60.0" customHeight="1">
      <c r="A64" s="56">
        <v>58.0</v>
      </c>
      <c r="B64" s="57" t="s">
        <v>476</v>
      </c>
      <c r="C64" s="57" t="s">
        <v>477</v>
      </c>
      <c r="D64" s="57" t="s">
        <v>478</v>
      </c>
      <c r="E64" s="57" t="s">
        <v>479</v>
      </c>
      <c r="F64" s="57" t="s">
        <v>480</v>
      </c>
      <c r="G64" s="57" t="s">
        <v>481</v>
      </c>
      <c r="H64" s="56" t="str">
        <f t="shared" si="1"/>
        <v>WRONG</v>
      </c>
      <c r="I64" s="56" t="s">
        <v>77</v>
      </c>
      <c r="J64" s="58" t="s">
        <v>40</v>
      </c>
      <c r="K64" s="59" t="s">
        <v>482</v>
      </c>
      <c r="L64" s="60">
        <v>32646.0</v>
      </c>
      <c r="M64" s="56" t="s">
        <v>42</v>
      </c>
      <c r="N64" s="57" t="s">
        <v>483</v>
      </c>
    </row>
    <row r="65" ht="60.0" customHeight="1">
      <c r="A65" s="56">
        <v>59.0</v>
      </c>
      <c r="B65" s="57" t="s">
        <v>484</v>
      </c>
      <c r="C65" s="57" t="s">
        <v>485</v>
      </c>
      <c r="D65" s="57" t="s">
        <v>486</v>
      </c>
      <c r="E65" s="57" t="s">
        <v>487</v>
      </c>
      <c r="F65" s="57" t="s">
        <v>488</v>
      </c>
      <c r="G65" s="57" t="s">
        <v>489</v>
      </c>
      <c r="H65" s="56" t="str">
        <f t="shared" si="1"/>
        <v>WRONG</v>
      </c>
      <c r="I65" s="56" t="s">
        <v>40</v>
      </c>
      <c r="J65" s="58" t="s">
        <v>51</v>
      </c>
      <c r="K65" s="59" t="s">
        <v>490</v>
      </c>
      <c r="L65" s="60">
        <v>32539.0</v>
      </c>
      <c r="M65" s="56" t="s">
        <v>42</v>
      </c>
      <c r="N65" s="57" t="s">
        <v>491</v>
      </c>
    </row>
    <row r="66" ht="60.0" customHeight="1">
      <c r="A66" s="56">
        <v>60.0</v>
      </c>
      <c r="B66" s="57" t="s">
        <v>492</v>
      </c>
      <c r="C66" s="57" t="s">
        <v>493</v>
      </c>
      <c r="D66" s="57" t="s">
        <v>494</v>
      </c>
      <c r="E66" s="57" t="s">
        <v>495</v>
      </c>
      <c r="F66" s="57" t="s">
        <v>496</v>
      </c>
      <c r="G66" s="57" t="s">
        <v>497</v>
      </c>
      <c r="H66" s="56" t="str">
        <f t="shared" si="1"/>
        <v>CORRECT</v>
      </c>
      <c r="I66" s="56" t="s">
        <v>60</v>
      </c>
      <c r="J66" s="58" t="s">
        <v>60</v>
      </c>
      <c r="K66" s="59" t="s">
        <v>498</v>
      </c>
      <c r="L66" s="60">
        <v>29238.0</v>
      </c>
      <c r="M66" s="56" t="s">
        <v>42</v>
      </c>
      <c r="N66" s="57" t="s">
        <v>499</v>
      </c>
    </row>
    <row r="67" ht="60.0" customHeight="1">
      <c r="A67" s="56">
        <v>61.0</v>
      </c>
      <c r="B67" s="57" t="s">
        <v>500</v>
      </c>
      <c r="C67" s="57" t="s">
        <v>501</v>
      </c>
      <c r="D67" s="57" t="s">
        <v>502</v>
      </c>
      <c r="E67" s="57" t="s">
        <v>503</v>
      </c>
      <c r="F67" s="57" t="s">
        <v>504</v>
      </c>
      <c r="G67" s="57" t="s">
        <v>505</v>
      </c>
      <c r="H67" s="56" t="str">
        <f t="shared" si="1"/>
        <v>WRONG</v>
      </c>
      <c r="I67" s="56" t="s">
        <v>77</v>
      </c>
      <c r="J67" s="58" t="s">
        <v>51</v>
      </c>
      <c r="K67" s="59" t="s">
        <v>2645</v>
      </c>
      <c r="L67" s="60">
        <v>38397.0</v>
      </c>
      <c r="M67" s="56" t="s">
        <v>62</v>
      </c>
      <c r="N67" s="57"/>
    </row>
    <row r="68" ht="60.0" customHeight="1">
      <c r="A68" s="56">
        <v>62.0</v>
      </c>
      <c r="B68" s="57" t="s">
        <v>507</v>
      </c>
      <c r="C68" s="57" t="s">
        <v>508</v>
      </c>
      <c r="D68" s="57" t="s">
        <v>509</v>
      </c>
      <c r="E68" s="57" t="s">
        <v>510</v>
      </c>
      <c r="F68" s="57" t="s">
        <v>511</v>
      </c>
      <c r="G68" s="57" t="s">
        <v>512</v>
      </c>
      <c r="H68" s="56" t="str">
        <f t="shared" si="1"/>
        <v>CORRECT</v>
      </c>
      <c r="I68" s="56" t="s">
        <v>51</v>
      </c>
      <c r="J68" s="58" t="s">
        <v>51</v>
      </c>
      <c r="K68" s="59" t="s">
        <v>513</v>
      </c>
      <c r="L68" s="60">
        <v>28457.0</v>
      </c>
      <c r="M68" s="56" t="s">
        <v>62</v>
      </c>
      <c r="N68" s="57"/>
    </row>
    <row r="69" ht="60.0" customHeight="1">
      <c r="A69" s="56">
        <v>63.0</v>
      </c>
      <c r="B69" s="57" t="s">
        <v>514</v>
      </c>
      <c r="C69" s="57" t="s">
        <v>515</v>
      </c>
      <c r="D69" s="57" t="s">
        <v>516</v>
      </c>
      <c r="E69" s="57" t="s">
        <v>517</v>
      </c>
      <c r="F69" s="57" t="s">
        <v>518</v>
      </c>
      <c r="G69" s="57" t="s">
        <v>519</v>
      </c>
      <c r="H69" s="56" t="str">
        <f t="shared" si="1"/>
        <v>CORRECT</v>
      </c>
      <c r="I69" s="56" t="s">
        <v>60</v>
      </c>
      <c r="J69" s="58" t="s">
        <v>60</v>
      </c>
      <c r="K69" s="59" t="s">
        <v>520</v>
      </c>
      <c r="L69" s="60">
        <v>39570.0</v>
      </c>
      <c r="M69" s="56" t="s">
        <v>42</v>
      </c>
      <c r="N69" s="57" t="s">
        <v>521</v>
      </c>
    </row>
    <row r="70" ht="60.0" customHeight="1">
      <c r="A70" s="56">
        <v>64.0</v>
      </c>
      <c r="B70" s="57" t="s">
        <v>522</v>
      </c>
      <c r="C70" s="57" t="s">
        <v>523</v>
      </c>
      <c r="D70" s="57" t="s">
        <v>524</v>
      </c>
      <c r="E70" s="57" t="s">
        <v>525</v>
      </c>
      <c r="F70" s="57" t="s">
        <v>526</v>
      </c>
      <c r="G70" s="57" t="s">
        <v>527</v>
      </c>
      <c r="H70" s="56" t="str">
        <f t="shared" si="1"/>
        <v>WRONG</v>
      </c>
      <c r="I70" s="56" t="s">
        <v>50</v>
      </c>
      <c r="J70" s="58" t="s">
        <v>60</v>
      </c>
      <c r="K70" s="59" t="s">
        <v>528</v>
      </c>
      <c r="L70" s="60">
        <v>32828.0</v>
      </c>
      <c r="M70" s="56" t="s">
        <v>62</v>
      </c>
      <c r="N70" s="57"/>
    </row>
    <row r="71" ht="60.0" customHeight="1">
      <c r="A71" s="56">
        <v>65.0</v>
      </c>
      <c r="B71" s="57" t="s">
        <v>529</v>
      </c>
      <c r="C71" s="57" t="s">
        <v>530</v>
      </c>
      <c r="D71" s="57" t="s">
        <v>531</v>
      </c>
      <c r="E71" s="57" t="s">
        <v>532</v>
      </c>
      <c r="F71" s="57" t="s">
        <v>533</v>
      </c>
      <c r="G71" s="57" t="s">
        <v>534</v>
      </c>
      <c r="H71" s="56" t="str">
        <f t="shared" si="1"/>
        <v>CORRECT</v>
      </c>
      <c r="I71" s="56" t="s">
        <v>50</v>
      </c>
      <c r="J71" s="58" t="s">
        <v>50</v>
      </c>
      <c r="K71" s="59" t="s">
        <v>535</v>
      </c>
      <c r="L71" s="60">
        <v>40842.0</v>
      </c>
      <c r="M71" s="56" t="s">
        <v>62</v>
      </c>
      <c r="N71" s="57"/>
    </row>
    <row r="72" ht="60.0" customHeight="1">
      <c r="A72" s="56">
        <v>66.0</v>
      </c>
      <c r="B72" s="57" t="s">
        <v>536</v>
      </c>
      <c r="C72" s="57" t="s">
        <v>537</v>
      </c>
      <c r="D72" s="57" t="s">
        <v>538</v>
      </c>
      <c r="E72" s="57" t="s">
        <v>539</v>
      </c>
      <c r="F72" s="57" t="s">
        <v>540</v>
      </c>
      <c r="G72" s="57" t="s">
        <v>541</v>
      </c>
      <c r="H72" s="56" t="str">
        <f t="shared" si="1"/>
        <v>WRONG</v>
      </c>
      <c r="I72" s="56" t="s">
        <v>77</v>
      </c>
      <c r="J72" s="58" t="s">
        <v>50</v>
      </c>
      <c r="K72" s="59" t="s">
        <v>2646</v>
      </c>
      <c r="L72" s="60">
        <v>30652.0</v>
      </c>
      <c r="M72" s="56" t="s">
        <v>42</v>
      </c>
      <c r="N72" s="57" t="s">
        <v>543</v>
      </c>
    </row>
    <row r="73" ht="60.0" customHeight="1">
      <c r="A73" s="56">
        <v>67.0</v>
      </c>
      <c r="B73" s="57" t="s">
        <v>544</v>
      </c>
      <c r="C73" s="57" t="s">
        <v>545</v>
      </c>
      <c r="D73" s="57" t="s">
        <v>546</v>
      </c>
      <c r="E73" s="57" t="s">
        <v>547</v>
      </c>
      <c r="F73" s="57" t="s">
        <v>548</v>
      </c>
      <c r="G73" s="57" t="s">
        <v>549</v>
      </c>
      <c r="H73" s="56" t="str">
        <f t="shared" si="1"/>
        <v>WRONG</v>
      </c>
      <c r="I73" s="56" t="s">
        <v>60</v>
      </c>
      <c r="J73" s="58" t="s">
        <v>77</v>
      </c>
      <c r="K73" s="59" t="s">
        <v>550</v>
      </c>
      <c r="L73" s="60">
        <v>37497.0</v>
      </c>
      <c r="M73" s="56" t="s">
        <v>42</v>
      </c>
      <c r="N73" s="57" t="s">
        <v>551</v>
      </c>
    </row>
    <row r="74" ht="60.0" customHeight="1">
      <c r="A74" s="56">
        <v>68.0</v>
      </c>
      <c r="B74" s="57" t="s">
        <v>552</v>
      </c>
      <c r="C74" s="57" t="s">
        <v>553</v>
      </c>
      <c r="D74" s="57" t="s">
        <v>554</v>
      </c>
      <c r="E74" s="57" t="s">
        <v>555</v>
      </c>
      <c r="F74" s="57" t="s">
        <v>556</v>
      </c>
      <c r="G74" s="57" t="s">
        <v>557</v>
      </c>
      <c r="H74" s="56" t="str">
        <f t="shared" si="1"/>
        <v>CORRECT</v>
      </c>
      <c r="I74" s="56" t="s">
        <v>77</v>
      </c>
      <c r="J74" s="58" t="s">
        <v>77</v>
      </c>
      <c r="K74" s="59" t="s">
        <v>558</v>
      </c>
      <c r="L74" s="60">
        <v>45963.0</v>
      </c>
      <c r="M74" s="56" t="s">
        <v>42</v>
      </c>
      <c r="N74" s="57" t="s">
        <v>559</v>
      </c>
    </row>
    <row r="75" ht="60.0" customHeight="1">
      <c r="A75" s="56">
        <v>69.0</v>
      </c>
      <c r="B75" s="57" t="s">
        <v>560</v>
      </c>
      <c r="C75" s="57" t="s">
        <v>561</v>
      </c>
      <c r="D75" s="57" t="s">
        <v>562</v>
      </c>
      <c r="E75" s="57" t="s">
        <v>563</v>
      </c>
      <c r="F75" s="57" t="s">
        <v>564</v>
      </c>
      <c r="G75" s="57" t="s">
        <v>565</v>
      </c>
      <c r="H75" s="56" t="str">
        <f t="shared" si="1"/>
        <v>WRONG</v>
      </c>
      <c r="I75" s="56" t="s">
        <v>77</v>
      </c>
      <c r="J75" s="58" t="s">
        <v>50</v>
      </c>
      <c r="K75" s="59" t="s">
        <v>566</v>
      </c>
      <c r="L75" s="60">
        <v>31164.0</v>
      </c>
      <c r="M75" s="56" t="s">
        <v>42</v>
      </c>
      <c r="N75" s="57" t="s">
        <v>567</v>
      </c>
    </row>
    <row r="76" ht="60.0" customHeight="1">
      <c r="A76" s="56">
        <v>70.0</v>
      </c>
      <c r="B76" s="57" t="s">
        <v>568</v>
      </c>
      <c r="C76" s="57" t="s">
        <v>569</v>
      </c>
      <c r="D76" s="57" t="s">
        <v>570</v>
      </c>
      <c r="E76" s="57" t="s">
        <v>571</v>
      </c>
      <c r="F76" s="57" t="s">
        <v>572</v>
      </c>
      <c r="G76" s="57" t="s">
        <v>573</v>
      </c>
      <c r="H76" s="56" t="str">
        <f t="shared" si="1"/>
        <v>WRONG</v>
      </c>
      <c r="I76" s="56" t="s">
        <v>50</v>
      </c>
      <c r="J76" s="58" t="s">
        <v>51</v>
      </c>
      <c r="K76" s="59" t="s">
        <v>574</v>
      </c>
      <c r="L76" s="60">
        <v>46768.0</v>
      </c>
      <c r="M76" s="56" t="s">
        <v>62</v>
      </c>
      <c r="N76" s="57"/>
    </row>
    <row r="77" ht="60.0" customHeight="1">
      <c r="A77" s="56">
        <v>71.0</v>
      </c>
      <c r="B77" s="57" t="s">
        <v>575</v>
      </c>
      <c r="C77" s="57" t="s">
        <v>576</v>
      </c>
      <c r="D77" s="57" t="s">
        <v>577</v>
      </c>
      <c r="E77" s="57" t="s">
        <v>578</v>
      </c>
      <c r="F77" s="57" t="s">
        <v>579</v>
      </c>
      <c r="G77" s="57" t="s">
        <v>580</v>
      </c>
      <c r="H77" s="56" t="str">
        <f t="shared" si="1"/>
        <v>CORRECT</v>
      </c>
      <c r="I77" s="56" t="s">
        <v>40</v>
      </c>
      <c r="J77" s="58" t="s">
        <v>40</v>
      </c>
      <c r="K77" s="59" t="s">
        <v>581</v>
      </c>
      <c r="L77" s="60">
        <v>28178.0</v>
      </c>
      <c r="M77" s="56" t="s">
        <v>42</v>
      </c>
      <c r="N77" s="57" t="s">
        <v>582</v>
      </c>
    </row>
    <row r="78" ht="60.0" customHeight="1">
      <c r="A78" s="56">
        <v>72.0</v>
      </c>
      <c r="B78" s="57" t="s">
        <v>583</v>
      </c>
      <c r="C78" s="57" t="s">
        <v>584</v>
      </c>
      <c r="D78" s="57" t="s">
        <v>585</v>
      </c>
      <c r="E78" s="57" t="s">
        <v>586</v>
      </c>
      <c r="F78" s="57" t="s">
        <v>587</v>
      </c>
      <c r="G78" s="57" t="s">
        <v>588</v>
      </c>
      <c r="H78" s="56" t="str">
        <f t="shared" si="1"/>
        <v>WRONG</v>
      </c>
      <c r="I78" s="56" t="s">
        <v>50</v>
      </c>
      <c r="J78" s="58" t="s">
        <v>40</v>
      </c>
      <c r="K78" s="59" t="s">
        <v>2647</v>
      </c>
      <c r="L78" s="60">
        <v>47015.0</v>
      </c>
      <c r="M78" s="56" t="s">
        <v>42</v>
      </c>
      <c r="N78" s="57" t="s">
        <v>590</v>
      </c>
    </row>
    <row r="79" ht="60.0" customHeight="1">
      <c r="A79" s="56">
        <v>73.0</v>
      </c>
      <c r="B79" s="57" t="s">
        <v>591</v>
      </c>
      <c r="C79" s="57" t="s">
        <v>592</v>
      </c>
      <c r="D79" s="57" t="s">
        <v>593</v>
      </c>
      <c r="E79" s="57" t="s">
        <v>594</v>
      </c>
      <c r="F79" s="57" t="s">
        <v>595</v>
      </c>
      <c r="G79" s="57" t="s">
        <v>596</v>
      </c>
      <c r="H79" s="56" t="str">
        <f t="shared" si="1"/>
        <v>WRONG</v>
      </c>
      <c r="I79" s="56" t="s">
        <v>77</v>
      </c>
      <c r="J79" s="58" t="s">
        <v>60</v>
      </c>
      <c r="K79" s="59" t="s">
        <v>597</v>
      </c>
      <c r="L79" s="60">
        <v>30704.0</v>
      </c>
      <c r="M79" s="56" t="s">
        <v>62</v>
      </c>
      <c r="N79" s="57"/>
    </row>
    <row r="80" ht="60.0" customHeight="1">
      <c r="A80" s="56">
        <v>74.0</v>
      </c>
      <c r="B80" s="57" t="s">
        <v>598</v>
      </c>
      <c r="C80" s="57" t="s">
        <v>599</v>
      </c>
      <c r="D80" s="57" t="s">
        <v>600</v>
      </c>
      <c r="E80" s="57" t="s">
        <v>601</v>
      </c>
      <c r="F80" s="57" t="s">
        <v>602</v>
      </c>
      <c r="G80" s="57" t="s">
        <v>603</v>
      </c>
      <c r="H80" s="56" t="str">
        <f t="shared" si="1"/>
        <v>CORRECT</v>
      </c>
      <c r="I80" s="56" t="s">
        <v>60</v>
      </c>
      <c r="J80" s="58" t="s">
        <v>60</v>
      </c>
      <c r="K80" s="59" t="s">
        <v>604</v>
      </c>
      <c r="L80" s="60">
        <v>38258.0</v>
      </c>
      <c r="M80" s="56" t="s">
        <v>42</v>
      </c>
      <c r="N80" s="57" t="s">
        <v>605</v>
      </c>
    </row>
    <row r="81" ht="60.0" customHeight="1">
      <c r="A81" s="56">
        <v>75.0</v>
      </c>
      <c r="B81" s="57" t="s">
        <v>606</v>
      </c>
      <c r="C81" s="57" t="s">
        <v>607</v>
      </c>
      <c r="D81" s="57" t="s">
        <v>608</v>
      </c>
      <c r="E81" s="57" t="s">
        <v>609</v>
      </c>
      <c r="F81" s="57" t="s">
        <v>610</v>
      </c>
      <c r="G81" s="57" t="s">
        <v>611</v>
      </c>
      <c r="H81" s="56" t="str">
        <f t="shared" si="1"/>
        <v>CORRECT</v>
      </c>
      <c r="I81" s="56" t="s">
        <v>77</v>
      </c>
      <c r="J81" s="58" t="s">
        <v>77</v>
      </c>
      <c r="K81" s="59" t="s">
        <v>612</v>
      </c>
      <c r="L81" s="60">
        <v>33329.0</v>
      </c>
      <c r="M81" s="56" t="s">
        <v>62</v>
      </c>
      <c r="N81" s="57"/>
    </row>
    <row r="82" ht="60.0" customHeight="1">
      <c r="A82" s="56">
        <v>76.0</v>
      </c>
      <c r="B82" s="57" t="s">
        <v>613</v>
      </c>
      <c r="C82" s="57" t="s">
        <v>614</v>
      </c>
      <c r="D82" s="57" t="s">
        <v>615</v>
      </c>
      <c r="E82" s="57" t="s">
        <v>616</v>
      </c>
      <c r="F82" s="57" t="s">
        <v>617</v>
      </c>
      <c r="G82" s="57" t="s">
        <v>618</v>
      </c>
      <c r="H82" s="56" t="str">
        <f t="shared" si="1"/>
        <v>WRONG</v>
      </c>
      <c r="I82" s="56" t="s">
        <v>77</v>
      </c>
      <c r="J82" s="58" t="s">
        <v>60</v>
      </c>
      <c r="K82" s="59" t="s">
        <v>2648</v>
      </c>
      <c r="L82" s="60">
        <v>41414.0</v>
      </c>
      <c r="M82" s="56" t="s">
        <v>42</v>
      </c>
      <c r="N82" s="57" t="s">
        <v>620</v>
      </c>
    </row>
    <row r="83" ht="60.0" customHeight="1">
      <c r="A83" s="56">
        <v>77.0</v>
      </c>
      <c r="B83" s="57" t="s">
        <v>621</v>
      </c>
      <c r="C83" s="57" t="s">
        <v>622</v>
      </c>
      <c r="D83" s="57" t="s">
        <v>623</v>
      </c>
      <c r="E83" s="57" t="s">
        <v>624</v>
      </c>
      <c r="F83" s="57" t="s">
        <v>625</v>
      </c>
      <c r="G83" s="57" t="s">
        <v>626</v>
      </c>
      <c r="H83" s="56" t="str">
        <f t="shared" si="1"/>
        <v>CORRECT</v>
      </c>
      <c r="I83" s="56" t="s">
        <v>40</v>
      </c>
      <c r="J83" s="58" t="s">
        <v>40</v>
      </c>
      <c r="K83" s="59" t="s">
        <v>627</v>
      </c>
      <c r="L83" s="60">
        <v>33129.0</v>
      </c>
      <c r="M83" s="56" t="s">
        <v>42</v>
      </c>
      <c r="N83" s="57" t="s">
        <v>628</v>
      </c>
    </row>
    <row r="84" ht="60.0" customHeight="1">
      <c r="A84" s="56">
        <v>78.0</v>
      </c>
      <c r="B84" s="57" t="s">
        <v>629</v>
      </c>
      <c r="C84" s="57" t="s">
        <v>630</v>
      </c>
      <c r="D84" s="57" t="s">
        <v>631</v>
      </c>
      <c r="E84" s="57" t="s">
        <v>632</v>
      </c>
      <c r="F84" s="57" t="s">
        <v>633</v>
      </c>
      <c r="G84" s="57" t="s">
        <v>634</v>
      </c>
      <c r="H84" s="56" t="str">
        <f t="shared" si="1"/>
        <v>WRONG</v>
      </c>
      <c r="I84" s="56" t="s">
        <v>40</v>
      </c>
      <c r="J84" s="58" t="s">
        <v>60</v>
      </c>
      <c r="K84" s="59" t="s">
        <v>635</v>
      </c>
      <c r="L84" s="60">
        <v>38023.0</v>
      </c>
      <c r="M84" s="56" t="s">
        <v>42</v>
      </c>
      <c r="N84" s="57" t="s">
        <v>636</v>
      </c>
    </row>
    <row r="85" ht="60.0" customHeight="1">
      <c r="A85" s="56">
        <v>79.0</v>
      </c>
      <c r="B85" s="57" t="s">
        <v>637</v>
      </c>
      <c r="C85" s="57" t="s">
        <v>638</v>
      </c>
      <c r="D85" s="57" t="s">
        <v>639</v>
      </c>
      <c r="E85" s="57" t="s">
        <v>640</v>
      </c>
      <c r="F85" s="57" t="s">
        <v>641</v>
      </c>
      <c r="G85" s="57" t="s">
        <v>642</v>
      </c>
      <c r="H85" s="56" t="str">
        <f t="shared" si="1"/>
        <v>CORRECT</v>
      </c>
      <c r="I85" s="56" t="s">
        <v>50</v>
      </c>
      <c r="J85" s="58" t="s">
        <v>50</v>
      </c>
      <c r="K85" s="59" t="s">
        <v>643</v>
      </c>
      <c r="L85" s="60">
        <v>32185.0</v>
      </c>
      <c r="M85" s="56" t="s">
        <v>42</v>
      </c>
      <c r="N85" s="57" t="s">
        <v>644</v>
      </c>
    </row>
    <row r="86" ht="60.0" customHeight="1">
      <c r="A86" s="56">
        <v>80.0</v>
      </c>
      <c r="B86" s="57" t="s">
        <v>645</v>
      </c>
      <c r="C86" s="57" t="s">
        <v>646</v>
      </c>
      <c r="D86" s="57" t="s">
        <v>647</v>
      </c>
      <c r="E86" s="57" t="s">
        <v>648</v>
      </c>
      <c r="F86" s="57" t="s">
        <v>649</v>
      </c>
      <c r="G86" s="57" t="s">
        <v>650</v>
      </c>
      <c r="H86" s="56" t="str">
        <f t="shared" si="1"/>
        <v>WRONG</v>
      </c>
      <c r="I86" s="56" t="s">
        <v>60</v>
      </c>
      <c r="J86" s="58" t="s">
        <v>50</v>
      </c>
      <c r="K86" s="59" t="s">
        <v>651</v>
      </c>
      <c r="L86" s="60">
        <v>31753.0</v>
      </c>
      <c r="M86" s="56" t="s">
        <v>42</v>
      </c>
      <c r="N86" s="57" t="s">
        <v>652</v>
      </c>
    </row>
    <row r="87" ht="60.0" customHeight="1">
      <c r="A87" s="56">
        <v>81.0</v>
      </c>
      <c r="B87" s="57" t="s">
        <v>653</v>
      </c>
      <c r="C87" s="57" t="s">
        <v>654</v>
      </c>
      <c r="D87" s="57" t="s">
        <v>655</v>
      </c>
      <c r="E87" s="57" t="s">
        <v>656</v>
      </c>
      <c r="F87" s="57" t="s">
        <v>657</v>
      </c>
      <c r="G87" s="57" t="s">
        <v>658</v>
      </c>
      <c r="H87" s="56" t="str">
        <f t="shared" si="1"/>
        <v>CORRECT</v>
      </c>
      <c r="I87" s="56" t="s">
        <v>60</v>
      </c>
      <c r="J87" s="58" t="s">
        <v>60</v>
      </c>
      <c r="K87" s="59" t="s">
        <v>659</v>
      </c>
      <c r="L87" s="60">
        <v>28584.0</v>
      </c>
      <c r="M87" s="56" t="s">
        <v>42</v>
      </c>
      <c r="N87" s="57" t="s">
        <v>660</v>
      </c>
    </row>
    <row r="88" ht="60.0" customHeight="1">
      <c r="A88" s="56">
        <v>82.0</v>
      </c>
      <c r="B88" s="57" t="s">
        <v>661</v>
      </c>
      <c r="C88" s="57" t="s">
        <v>662</v>
      </c>
      <c r="D88" s="57" t="s">
        <v>663</v>
      </c>
      <c r="E88" s="57" t="s">
        <v>664</v>
      </c>
      <c r="F88" s="57" t="s">
        <v>665</v>
      </c>
      <c r="G88" s="57" t="s">
        <v>666</v>
      </c>
      <c r="H88" s="56" t="str">
        <f t="shared" si="1"/>
        <v>CORRECT</v>
      </c>
      <c r="I88" s="56" t="s">
        <v>60</v>
      </c>
      <c r="J88" s="58" t="s">
        <v>60</v>
      </c>
      <c r="K88" s="59" t="s">
        <v>667</v>
      </c>
      <c r="L88" s="60">
        <v>25270.0</v>
      </c>
      <c r="M88" s="56" t="s">
        <v>62</v>
      </c>
      <c r="N88" s="57"/>
    </row>
    <row r="89" ht="60.0" customHeight="1">
      <c r="A89" s="56">
        <v>83.0</v>
      </c>
      <c r="B89" s="57" t="s">
        <v>668</v>
      </c>
      <c r="C89" s="57" t="s">
        <v>669</v>
      </c>
      <c r="D89" s="57" t="s">
        <v>670</v>
      </c>
      <c r="E89" s="57" t="s">
        <v>671</v>
      </c>
      <c r="F89" s="57" t="s">
        <v>672</v>
      </c>
      <c r="G89" s="57" t="s">
        <v>673</v>
      </c>
      <c r="H89" s="56" t="str">
        <f t="shared" si="1"/>
        <v>WRONG</v>
      </c>
      <c r="I89" s="56" t="s">
        <v>50</v>
      </c>
      <c r="J89" s="58" t="s">
        <v>60</v>
      </c>
      <c r="K89" s="59" t="s">
        <v>2649</v>
      </c>
      <c r="L89" s="60">
        <v>29843.0</v>
      </c>
      <c r="M89" s="56" t="s">
        <v>42</v>
      </c>
      <c r="N89" s="57" t="s">
        <v>675</v>
      </c>
    </row>
    <row r="90" ht="60.0" customHeight="1">
      <c r="A90" s="56">
        <v>84.0</v>
      </c>
      <c r="B90" s="57" t="s">
        <v>676</v>
      </c>
      <c r="C90" s="57" t="s">
        <v>677</v>
      </c>
      <c r="D90" s="57" t="s">
        <v>678</v>
      </c>
      <c r="E90" s="57" t="s">
        <v>679</v>
      </c>
      <c r="F90" s="57" t="s">
        <v>680</v>
      </c>
      <c r="G90" s="57" t="s">
        <v>681</v>
      </c>
      <c r="H90" s="56" t="str">
        <f t="shared" si="1"/>
        <v>CORRECT</v>
      </c>
      <c r="I90" s="56" t="s">
        <v>50</v>
      </c>
      <c r="J90" s="56" t="s">
        <v>50</v>
      </c>
      <c r="K90" s="65" t="s">
        <v>682</v>
      </c>
      <c r="L90" s="63">
        <v>45258.0</v>
      </c>
      <c r="M90" s="56" t="s">
        <v>42</v>
      </c>
      <c r="N90" s="57" t="s">
        <v>683</v>
      </c>
    </row>
    <row r="91" ht="60.0" customHeight="1">
      <c r="A91" s="56">
        <v>85.0</v>
      </c>
      <c r="B91" s="57" t="s">
        <v>684</v>
      </c>
      <c r="C91" s="57" t="s">
        <v>685</v>
      </c>
      <c r="D91" s="57" t="s">
        <v>686</v>
      </c>
      <c r="E91" s="57" t="s">
        <v>687</v>
      </c>
      <c r="F91" s="57" t="s">
        <v>688</v>
      </c>
      <c r="G91" s="57" t="s">
        <v>689</v>
      </c>
      <c r="H91" s="56" t="str">
        <f t="shared" si="1"/>
        <v>CORRECT</v>
      </c>
      <c r="I91" s="56" t="s">
        <v>51</v>
      </c>
      <c r="J91" s="56" t="s">
        <v>51</v>
      </c>
      <c r="K91" s="65" t="s">
        <v>690</v>
      </c>
      <c r="L91" s="63">
        <v>32854.0</v>
      </c>
      <c r="M91" s="56" t="s">
        <v>42</v>
      </c>
      <c r="N91" s="57" t="s">
        <v>691</v>
      </c>
    </row>
    <row r="92" ht="60.0" customHeight="1">
      <c r="A92" s="56">
        <v>86.0</v>
      </c>
      <c r="B92" s="57" t="s">
        <v>692</v>
      </c>
      <c r="C92" s="57" t="s">
        <v>693</v>
      </c>
      <c r="D92" s="57" t="s">
        <v>694</v>
      </c>
      <c r="E92" s="57" t="s">
        <v>695</v>
      </c>
      <c r="F92" s="57" t="s">
        <v>696</v>
      </c>
      <c r="G92" s="57" t="s">
        <v>697</v>
      </c>
      <c r="H92" s="56" t="str">
        <f t="shared" si="1"/>
        <v>CORRECT</v>
      </c>
      <c r="I92" s="56" t="s">
        <v>60</v>
      </c>
      <c r="J92" s="56" t="s">
        <v>60</v>
      </c>
      <c r="K92" s="65" t="s">
        <v>698</v>
      </c>
      <c r="L92" s="63">
        <v>27298.0</v>
      </c>
      <c r="M92" s="56" t="s">
        <v>42</v>
      </c>
      <c r="N92" s="57" t="s">
        <v>699</v>
      </c>
    </row>
    <row r="93" ht="60.0" customHeight="1">
      <c r="A93" s="56">
        <v>87.0</v>
      </c>
      <c r="B93" s="57" t="s">
        <v>700</v>
      </c>
      <c r="C93" s="57" t="s">
        <v>701</v>
      </c>
      <c r="D93" s="57" t="s">
        <v>702</v>
      </c>
      <c r="E93" s="57" t="s">
        <v>703</v>
      </c>
      <c r="F93" s="57" t="s">
        <v>704</v>
      </c>
      <c r="G93" s="57" t="s">
        <v>705</v>
      </c>
      <c r="H93" s="56" t="str">
        <f t="shared" si="1"/>
        <v>WRONG</v>
      </c>
      <c r="I93" s="56" t="s">
        <v>77</v>
      </c>
      <c r="J93" s="56" t="s">
        <v>50</v>
      </c>
      <c r="K93" s="65" t="s">
        <v>706</v>
      </c>
      <c r="L93" s="63">
        <v>34222.0</v>
      </c>
      <c r="M93" s="56" t="s">
        <v>42</v>
      </c>
      <c r="N93" s="57" t="s">
        <v>707</v>
      </c>
    </row>
    <row r="94" ht="60.0" customHeight="1">
      <c r="A94" s="56">
        <v>88.0</v>
      </c>
      <c r="B94" s="57" t="s">
        <v>708</v>
      </c>
      <c r="C94" s="57" t="s">
        <v>709</v>
      </c>
      <c r="D94" s="57" t="s">
        <v>710</v>
      </c>
      <c r="E94" s="57" t="s">
        <v>711</v>
      </c>
      <c r="F94" s="57" t="s">
        <v>712</v>
      </c>
      <c r="G94" s="57" t="s">
        <v>713</v>
      </c>
      <c r="H94" s="56" t="str">
        <f t="shared" si="1"/>
        <v>CORRECT</v>
      </c>
      <c r="I94" s="56" t="s">
        <v>60</v>
      </c>
      <c r="J94" s="56" t="s">
        <v>60</v>
      </c>
      <c r="K94" s="65" t="s">
        <v>714</v>
      </c>
      <c r="L94" s="63">
        <v>40767.0</v>
      </c>
      <c r="M94" s="56" t="s">
        <v>42</v>
      </c>
      <c r="N94" s="57" t="s">
        <v>715</v>
      </c>
    </row>
    <row r="95" ht="60.0" customHeight="1">
      <c r="A95" s="56">
        <v>89.0</v>
      </c>
      <c r="B95" s="57" t="s">
        <v>716</v>
      </c>
      <c r="C95" s="57" t="s">
        <v>717</v>
      </c>
      <c r="D95" s="57" t="s">
        <v>718</v>
      </c>
      <c r="E95" s="57" t="s">
        <v>719</v>
      </c>
      <c r="F95" s="57" t="s">
        <v>720</v>
      </c>
      <c r="G95" s="57" t="s">
        <v>721</v>
      </c>
      <c r="H95" s="56" t="str">
        <f t="shared" si="1"/>
        <v>CORRECT</v>
      </c>
      <c r="I95" s="56" t="s">
        <v>77</v>
      </c>
      <c r="J95" s="56" t="s">
        <v>77</v>
      </c>
      <c r="K95" s="65" t="s">
        <v>722</v>
      </c>
      <c r="L95" s="63">
        <v>29212.0</v>
      </c>
      <c r="M95" s="56" t="s">
        <v>62</v>
      </c>
      <c r="N95" s="57"/>
    </row>
    <row r="96" ht="60.0" customHeight="1">
      <c r="A96" s="56">
        <v>90.0</v>
      </c>
      <c r="B96" s="57" t="s">
        <v>723</v>
      </c>
      <c r="C96" s="57" t="s">
        <v>724</v>
      </c>
      <c r="D96" s="57" t="s">
        <v>725</v>
      </c>
      <c r="E96" s="57" t="s">
        <v>726</v>
      </c>
      <c r="F96" s="57" t="s">
        <v>727</v>
      </c>
      <c r="G96" s="57" t="s">
        <v>728</v>
      </c>
      <c r="H96" s="56" t="str">
        <f t="shared" si="1"/>
        <v>CORRECT</v>
      </c>
      <c r="I96" s="56" t="s">
        <v>40</v>
      </c>
      <c r="J96" s="56" t="s">
        <v>40</v>
      </c>
      <c r="K96" s="65" t="s">
        <v>729</v>
      </c>
      <c r="L96" s="63">
        <v>31727.0</v>
      </c>
      <c r="M96" s="56" t="s">
        <v>62</v>
      </c>
      <c r="N96" s="57"/>
    </row>
    <row r="97" ht="60.0" customHeight="1">
      <c r="A97" s="56">
        <v>91.0</v>
      </c>
      <c r="B97" s="57" t="s">
        <v>730</v>
      </c>
      <c r="C97" s="57" t="s">
        <v>731</v>
      </c>
      <c r="D97" s="57" t="s">
        <v>732</v>
      </c>
      <c r="E97" s="57" t="s">
        <v>733</v>
      </c>
      <c r="F97" s="57" t="s">
        <v>734</v>
      </c>
      <c r="G97" s="57" t="s">
        <v>735</v>
      </c>
      <c r="H97" s="56" t="str">
        <f t="shared" si="1"/>
        <v>WRONG</v>
      </c>
      <c r="I97" s="56" t="s">
        <v>50</v>
      </c>
      <c r="J97" s="56" t="s">
        <v>60</v>
      </c>
      <c r="K97" s="65" t="s">
        <v>736</v>
      </c>
      <c r="L97" s="63">
        <v>38547.0</v>
      </c>
      <c r="M97" s="56" t="s">
        <v>42</v>
      </c>
      <c r="N97" s="57" t="s">
        <v>737</v>
      </c>
    </row>
    <row r="98" ht="60.0" customHeight="1">
      <c r="A98" s="56">
        <v>92.0</v>
      </c>
      <c r="B98" s="57" t="s">
        <v>738</v>
      </c>
      <c r="C98" s="57" t="s">
        <v>739</v>
      </c>
      <c r="D98" s="57" t="s">
        <v>740</v>
      </c>
      <c r="E98" s="57" t="s">
        <v>741</v>
      </c>
      <c r="F98" s="57" t="s">
        <v>742</v>
      </c>
      <c r="G98" s="57" t="s">
        <v>743</v>
      </c>
      <c r="H98" s="56" t="str">
        <f t="shared" si="1"/>
        <v>WRONG</v>
      </c>
      <c r="I98" s="56" t="s">
        <v>60</v>
      </c>
      <c r="J98" s="56" t="s">
        <v>50</v>
      </c>
      <c r="K98" s="65" t="s">
        <v>744</v>
      </c>
      <c r="L98" s="63">
        <v>57044.0</v>
      </c>
      <c r="M98" s="56" t="s">
        <v>42</v>
      </c>
      <c r="N98" s="57" t="s">
        <v>745</v>
      </c>
    </row>
    <row r="99" ht="60.0" customHeight="1">
      <c r="A99" s="56">
        <v>93.0</v>
      </c>
      <c r="B99" s="57" t="s">
        <v>746</v>
      </c>
      <c r="C99" s="57" t="s">
        <v>747</v>
      </c>
      <c r="D99" s="57" t="s">
        <v>748</v>
      </c>
      <c r="E99" s="57" t="s">
        <v>749</v>
      </c>
      <c r="F99" s="57" t="s">
        <v>750</v>
      </c>
      <c r="G99" s="57" t="s">
        <v>751</v>
      </c>
      <c r="H99" s="56" t="str">
        <f t="shared" si="1"/>
        <v>CORRECT</v>
      </c>
      <c r="I99" s="56" t="s">
        <v>50</v>
      </c>
      <c r="J99" s="56" t="s">
        <v>50</v>
      </c>
      <c r="K99" s="65" t="s">
        <v>752</v>
      </c>
      <c r="L99" s="63">
        <v>41375.0</v>
      </c>
      <c r="M99" s="56" t="s">
        <v>62</v>
      </c>
      <c r="N99" s="57"/>
    </row>
    <row r="100" ht="60.0" customHeight="1">
      <c r="A100" s="56">
        <v>94.0</v>
      </c>
      <c r="B100" s="57" t="s">
        <v>753</v>
      </c>
      <c r="C100" s="57" t="s">
        <v>754</v>
      </c>
      <c r="D100" s="57" t="s">
        <v>755</v>
      </c>
      <c r="E100" s="57" t="s">
        <v>756</v>
      </c>
      <c r="F100" s="57" t="s">
        <v>757</v>
      </c>
      <c r="G100" s="57" t="s">
        <v>758</v>
      </c>
      <c r="H100" s="56" t="str">
        <f t="shared" si="1"/>
        <v>CORRECT</v>
      </c>
      <c r="I100" s="56" t="s">
        <v>60</v>
      </c>
      <c r="J100" s="56" t="s">
        <v>60</v>
      </c>
      <c r="K100" s="65" t="s">
        <v>759</v>
      </c>
      <c r="L100" s="63">
        <v>34107.0</v>
      </c>
      <c r="M100" s="56" t="s">
        <v>42</v>
      </c>
      <c r="N100" s="57" t="s">
        <v>760</v>
      </c>
    </row>
    <row r="101" ht="60.0" customHeight="1">
      <c r="A101" s="56">
        <v>95.0</v>
      </c>
      <c r="B101" s="57" t="s">
        <v>761</v>
      </c>
      <c r="C101" s="57" t="s">
        <v>762</v>
      </c>
      <c r="D101" s="57" t="s">
        <v>763</v>
      </c>
      <c r="E101" s="57" t="s">
        <v>764</v>
      </c>
      <c r="F101" s="57" t="s">
        <v>765</v>
      </c>
      <c r="G101" s="57" t="s">
        <v>766</v>
      </c>
      <c r="H101" s="56" t="str">
        <f t="shared" si="1"/>
        <v>CORRECT</v>
      </c>
      <c r="I101" s="56" t="s">
        <v>77</v>
      </c>
      <c r="J101" s="56" t="s">
        <v>77</v>
      </c>
      <c r="K101" s="65" t="s">
        <v>767</v>
      </c>
      <c r="L101" s="63">
        <v>38934.0</v>
      </c>
      <c r="M101" s="56" t="s">
        <v>42</v>
      </c>
      <c r="N101" s="57" t="s">
        <v>768</v>
      </c>
    </row>
    <row r="102" ht="60.0" customHeight="1">
      <c r="A102" s="56">
        <v>96.0</v>
      </c>
      <c r="B102" s="57" t="s">
        <v>769</v>
      </c>
      <c r="C102" s="57" t="s">
        <v>770</v>
      </c>
      <c r="D102" s="57" t="s">
        <v>771</v>
      </c>
      <c r="E102" s="57" t="s">
        <v>772</v>
      </c>
      <c r="F102" s="57" t="s">
        <v>773</v>
      </c>
      <c r="G102" s="57" t="s">
        <v>774</v>
      </c>
      <c r="H102" s="56" t="str">
        <f t="shared" si="1"/>
        <v>WRONG</v>
      </c>
      <c r="I102" s="56" t="s">
        <v>51</v>
      </c>
      <c r="J102" s="56" t="s">
        <v>40</v>
      </c>
      <c r="K102" s="65" t="s">
        <v>775</v>
      </c>
      <c r="L102" s="63">
        <v>30417.0</v>
      </c>
      <c r="M102" s="56" t="s">
        <v>42</v>
      </c>
      <c r="N102" s="57" t="s">
        <v>776</v>
      </c>
    </row>
    <row r="103" ht="60.0" customHeight="1">
      <c r="A103" s="56">
        <v>97.0</v>
      </c>
      <c r="B103" s="57" t="s">
        <v>777</v>
      </c>
      <c r="C103" s="57" t="s">
        <v>778</v>
      </c>
      <c r="D103" s="57" t="s">
        <v>779</v>
      </c>
      <c r="E103" s="57" t="s">
        <v>780</v>
      </c>
      <c r="F103" s="57" t="s">
        <v>781</v>
      </c>
      <c r="G103" s="57" t="s">
        <v>782</v>
      </c>
      <c r="H103" s="56" t="str">
        <f t="shared" si="1"/>
        <v>CORRECT</v>
      </c>
      <c r="I103" s="56" t="s">
        <v>50</v>
      </c>
      <c r="J103" s="56" t="s">
        <v>50</v>
      </c>
      <c r="K103" s="65" t="s">
        <v>783</v>
      </c>
      <c r="L103" s="63">
        <v>49334.0</v>
      </c>
      <c r="M103" s="56" t="s">
        <v>62</v>
      </c>
      <c r="N103" s="57"/>
    </row>
    <row r="104" ht="60.0" customHeight="1">
      <c r="A104" s="56">
        <v>98.0</v>
      </c>
      <c r="B104" s="57" t="s">
        <v>784</v>
      </c>
      <c r="C104" s="57" t="s">
        <v>785</v>
      </c>
      <c r="D104" s="57" t="s">
        <v>786</v>
      </c>
      <c r="E104" s="57" t="s">
        <v>787</v>
      </c>
      <c r="F104" s="57" t="s">
        <v>788</v>
      </c>
      <c r="G104" s="57" t="s">
        <v>789</v>
      </c>
      <c r="H104" s="56" t="str">
        <f t="shared" si="1"/>
        <v>CORRECT</v>
      </c>
      <c r="I104" s="56" t="s">
        <v>77</v>
      </c>
      <c r="J104" s="56" t="s">
        <v>77</v>
      </c>
      <c r="K104" s="65" t="s">
        <v>790</v>
      </c>
      <c r="L104" s="63">
        <v>34216.0</v>
      </c>
      <c r="M104" s="56" t="s">
        <v>42</v>
      </c>
      <c r="N104" s="57" t="s">
        <v>791</v>
      </c>
    </row>
    <row r="105" ht="60.0" customHeight="1">
      <c r="A105" s="56">
        <v>99.0</v>
      </c>
      <c r="B105" s="57" t="s">
        <v>792</v>
      </c>
      <c r="C105" s="57" t="s">
        <v>793</v>
      </c>
      <c r="D105" s="57" t="s">
        <v>794</v>
      </c>
      <c r="E105" s="57" t="s">
        <v>795</v>
      </c>
      <c r="F105" s="57" t="s">
        <v>796</v>
      </c>
      <c r="G105" s="57" t="s">
        <v>797</v>
      </c>
      <c r="H105" s="56" t="str">
        <f t="shared" si="1"/>
        <v>CORRECT</v>
      </c>
      <c r="I105" s="56" t="s">
        <v>77</v>
      </c>
      <c r="J105" s="56" t="s">
        <v>77</v>
      </c>
      <c r="K105" s="65" t="s">
        <v>798</v>
      </c>
      <c r="L105" s="63">
        <v>37331.0</v>
      </c>
      <c r="M105" s="56" t="s">
        <v>42</v>
      </c>
      <c r="N105" s="57" t="s">
        <v>799</v>
      </c>
    </row>
    <row r="106" ht="60.0" customHeight="1">
      <c r="A106" s="56">
        <v>100.0</v>
      </c>
      <c r="B106" s="57" t="s">
        <v>800</v>
      </c>
      <c r="C106" s="57" t="s">
        <v>801</v>
      </c>
      <c r="D106" s="57" t="s">
        <v>802</v>
      </c>
      <c r="E106" s="57" t="s">
        <v>803</v>
      </c>
      <c r="F106" s="57" t="s">
        <v>804</v>
      </c>
      <c r="G106" s="57" t="s">
        <v>805</v>
      </c>
      <c r="H106" s="56" t="str">
        <f t="shared" si="1"/>
        <v>WRONG</v>
      </c>
      <c r="I106" s="56" t="s">
        <v>77</v>
      </c>
      <c r="J106" s="56" t="s">
        <v>60</v>
      </c>
      <c r="K106" s="65" t="s">
        <v>806</v>
      </c>
      <c r="L106" s="63">
        <v>54984.0</v>
      </c>
      <c r="M106" s="56" t="s">
        <v>42</v>
      </c>
      <c r="N106" s="57" t="s">
        <v>807</v>
      </c>
    </row>
    <row r="107" ht="60.0" customHeight="1">
      <c r="A107" s="56">
        <v>101.0</v>
      </c>
      <c r="B107" s="57" t="s">
        <v>808</v>
      </c>
      <c r="C107" s="57" t="s">
        <v>809</v>
      </c>
      <c r="D107" s="57" t="s">
        <v>810</v>
      </c>
      <c r="E107" s="57" t="s">
        <v>811</v>
      </c>
      <c r="F107" s="57" t="s">
        <v>812</v>
      </c>
      <c r="G107" s="57" t="s">
        <v>813</v>
      </c>
      <c r="H107" s="56" t="str">
        <f t="shared" si="1"/>
        <v>CORRECT</v>
      </c>
      <c r="I107" s="56" t="s">
        <v>50</v>
      </c>
      <c r="J107" s="56" t="s">
        <v>50</v>
      </c>
      <c r="K107" s="65" t="s">
        <v>814</v>
      </c>
      <c r="L107" s="63">
        <v>34110.0</v>
      </c>
      <c r="M107" s="56" t="s">
        <v>62</v>
      </c>
      <c r="N107" s="57"/>
    </row>
    <row r="108" ht="60.0" customHeight="1">
      <c r="A108" s="56">
        <v>102.0</v>
      </c>
      <c r="B108" s="57" t="s">
        <v>815</v>
      </c>
      <c r="C108" s="57" t="s">
        <v>816</v>
      </c>
      <c r="D108" s="57" t="s">
        <v>817</v>
      </c>
      <c r="E108" s="57" t="s">
        <v>818</v>
      </c>
      <c r="F108" s="57" t="s">
        <v>819</v>
      </c>
      <c r="G108" s="57" t="s">
        <v>820</v>
      </c>
      <c r="H108" s="56" t="str">
        <f t="shared" si="1"/>
        <v>WRONG</v>
      </c>
      <c r="I108" s="56" t="s">
        <v>40</v>
      </c>
      <c r="J108" s="56" t="s">
        <v>50</v>
      </c>
      <c r="K108" s="65" t="s">
        <v>821</v>
      </c>
      <c r="L108" s="63">
        <v>27106.0</v>
      </c>
      <c r="M108" s="56" t="s">
        <v>42</v>
      </c>
      <c r="N108" s="57" t="s">
        <v>822</v>
      </c>
    </row>
    <row r="109" ht="60.0" customHeight="1">
      <c r="A109" s="56">
        <v>103.0</v>
      </c>
      <c r="B109" s="57" t="s">
        <v>823</v>
      </c>
      <c r="C109" s="57" t="s">
        <v>824</v>
      </c>
      <c r="D109" s="57" t="s">
        <v>825</v>
      </c>
      <c r="E109" s="57" t="s">
        <v>826</v>
      </c>
      <c r="F109" s="57" t="s">
        <v>827</v>
      </c>
      <c r="G109" s="57" t="s">
        <v>828</v>
      </c>
      <c r="H109" s="56" t="str">
        <f t="shared" si="1"/>
        <v>WRONG</v>
      </c>
      <c r="I109" s="56" t="s">
        <v>77</v>
      </c>
      <c r="J109" s="56" t="s">
        <v>60</v>
      </c>
      <c r="K109" s="65" t="s">
        <v>829</v>
      </c>
      <c r="L109" s="63">
        <v>28679.0</v>
      </c>
      <c r="M109" s="56" t="s">
        <v>42</v>
      </c>
      <c r="N109" s="57" t="s">
        <v>830</v>
      </c>
    </row>
    <row r="110" ht="60.0" customHeight="1">
      <c r="A110" s="56">
        <v>104.0</v>
      </c>
      <c r="B110" s="57" t="s">
        <v>831</v>
      </c>
      <c r="C110" s="57" t="s">
        <v>832</v>
      </c>
      <c r="D110" s="57" t="s">
        <v>833</v>
      </c>
      <c r="E110" s="57" t="s">
        <v>834</v>
      </c>
      <c r="F110" s="57" t="s">
        <v>835</v>
      </c>
      <c r="G110" s="57" t="s">
        <v>836</v>
      </c>
      <c r="H110" s="56" t="str">
        <f t="shared" si="1"/>
        <v>WRONG</v>
      </c>
      <c r="I110" s="56" t="s">
        <v>50</v>
      </c>
      <c r="J110" s="56" t="s">
        <v>60</v>
      </c>
      <c r="K110" s="65" t="s">
        <v>837</v>
      </c>
      <c r="L110" s="63">
        <v>41038.0</v>
      </c>
      <c r="M110" s="56" t="s">
        <v>42</v>
      </c>
      <c r="N110" s="57" t="s">
        <v>838</v>
      </c>
    </row>
    <row r="111" ht="60.0" customHeight="1">
      <c r="A111" s="56">
        <v>105.0</v>
      </c>
      <c r="B111" s="57" t="s">
        <v>839</v>
      </c>
      <c r="C111" s="57" t="s">
        <v>840</v>
      </c>
      <c r="D111" s="57" t="s">
        <v>841</v>
      </c>
      <c r="E111" s="57" t="s">
        <v>842</v>
      </c>
      <c r="F111" s="57" t="s">
        <v>843</v>
      </c>
      <c r="G111" s="57" t="s">
        <v>844</v>
      </c>
      <c r="H111" s="56" t="str">
        <f t="shared" si="1"/>
        <v>WRONG</v>
      </c>
      <c r="I111" s="56" t="s">
        <v>77</v>
      </c>
      <c r="J111" s="56" t="s">
        <v>60</v>
      </c>
      <c r="K111" s="65" t="s">
        <v>845</v>
      </c>
      <c r="L111" s="63">
        <v>32518.0</v>
      </c>
      <c r="M111" s="56" t="s">
        <v>42</v>
      </c>
      <c r="N111" s="57" t="s">
        <v>846</v>
      </c>
    </row>
    <row r="112" ht="60.0" customHeight="1">
      <c r="A112" s="56">
        <v>106.0</v>
      </c>
      <c r="B112" s="57" t="s">
        <v>847</v>
      </c>
      <c r="C112" s="57" t="s">
        <v>848</v>
      </c>
      <c r="D112" s="57" t="s">
        <v>849</v>
      </c>
      <c r="E112" s="57" t="s">
        <v>850</v>
      </c>
      <c r="F112" s="57" t="s">
        <v>851</v>
      </c>
      <c r="G112" s="57" t="s">
        <v>852</v>
      </c>
      <c r="H112" s="56" t="str">
        <f t="shared" si="1"/>
        <v>WRONG</v>
      </c>
      <c r="I112" s="56" t="s">
        <v>77</v>
      </c>
      <c r="J112" s="56" t="s">
        <v>50</v>
      </c>
      <c r="K112" s="65" t="s">
        <v>853</v>
      </c>
      <c r="L112" s="63">
        <v>39217.0</v>
      </c>
      <c r="M112" s="56" t="s">
        <v>62</v>
      </c>
      <c r="N112" s="57"/>
    </row>
    <row r="113" ht="60.0" customHeight="1">
      <c r="A113" s="56">
        <v>107.0</v>
      </c>
      <c r="B113" s="57" t="s">
        <v>854</v>
      </c>
      <c r="C113" s="57" t="s">
        <v>855</v>
      </c>
      <c r="D113" s="57" t="s">
        <v>856</v>
      </c>
      <c r="E113" s="57" t="s">
        <v>857</v>
      </c>
      <c r="F113" s="57" t="s">
        <v>858</v>
      </c>
      <c r="G113" s="57" t="s">
        <v>859</v>
      </c>
      <c r="H113" s="56" t="str">
        <f t="shared" si="1"/>
        <v>CORRECT</v>
      </c>
      <c r="I113" s="56" t="s">
        <v>50</v>
      </c>
      <c r="J113" s="56" t="s">
        <v>50</v>
      </c>
      <c r="K113" s="65" t="s">
        <v>860</v>
      </c>
      <c r="L113" s="63">
        <v>37972.0</v>
      </c>
      <c r="M113" s="56" t="s">
        <v>62</v>
      </c>
      <c r="N113" s="62"/>
    </row>
    <row r="114" ht="60.0" customHeight="1">
      <c r="A114" s="56">
        <v>108.0</v>
      </c>
      <c r="B114" s="57" t="s">
        <v>861</v>
      </c>
      <c r="C114" s="57" t="s">
        <v>862</v>
      </c>
      <c r="D114" s="57" t="s">
        <v>863</v>
      </c>
      <c r="E114" s="57" t="s">
        <v>864</v>
      </c>
      <c r="F114" s="57" t="s">
        <v>865</v>
      </c>
      <c r="G114" s="57" t="s">
        <v>866</v>
      </c>
      <c r="H114" s="56" t="str">
        <f t="shared" si="1"/>
        <v>WRONG</v>
      </c>
      <c r="I114" s="56" t="s">
        <v>50</v>
      </c>
      <c r="J114" s="56" t="s">
        <v>60</v>
      </c>
      <c r="K114" s="65" t="s">
        <v>867</v>
      </c>
      <c r="L114" s="63">
        <v>39712.0</v>
      </c>
      <c r="M114" s="56" t="s">
        <v>62</v>
      </c>
      <c r="N114" s="62"/>
    </row>
    <row r="115" ht="60.0" customHeight="1">
      <c r="A115" s="56">
        <v>109.0</v>
      </c>
      <c r="B115" s="57" t="s">
        <v>868</v>
      </c>
      <c r="C115" s="57" t="s">
        <v>869</v>
      </c>
      <c r="D115" s="57" t="s">
        <v>870</v>
      </c>
      <c r="E115" s="57" t="s">
        <v>871</v>
      </c>
      <c r="F115" s="57" t="s">
        <v>872</v>
      </c>
      <c r="G115" s="57" t="s">
        <v>873</v>
      </c>
      <c r="H115" s="56" t="str">
        <f t="shared" si="1"/>
        <v>WRONG</v>
      </c>
      <c r="I115" s="56" t="s">
        <v>51</v>
      </c>
      <c r="J115" s="56" t="s">
        <v>50</v>
      </c>
      <c r="K115" s="65" t="s">
        <v>874</v>
      </c>
      <c r="L115" s="63">
        <v>50709.0</v>
      </c>
      <c r="M115" s="56" t="s">
        <v>62</v>
      </c>
      <c r="N115" s="57"/>
    </row>
    <row r="116" ht="60.0" customHeight="1">
      <c r="A116" s="56">
        <v>110.0</v>
      </c>
      <c r="B116" s="57" t="s">
        <v>875</v>
      </c>
      <c r="C116" s="57" t="s">
        <v>876</v>
      </c>
      <c r="D116" s="57" t="s">
        <v>877</v>
      </c>
      <c r="E116" s="57" t="s">
        <v>878</v>
      </c>
      <c r="F116" s="57" t="s">
        <v>879</v>
      </c>
      <c r="G116" s="57" t="s">
        <v>880</v>
      </c>
      <c r="H116" s="56" t="str">
        <f t="shared" si="1"/>
        <v>WRONG</v>
      </c>
      <c r="I116" s="56" t="s">
        <v>50</v>
      </c>
      <c r="J116" s="56" t="s">
        <v>51</v>
      </c>
      <c r="K116" s="65" t="s">
        <v>881</v>
      </c>
      <c r="L116" s="63">
        <v>29663.0</v>
      </c>
      <c r="M116" s="56" t="s">
        <v>62</v>
      </c>
      <c r="N116" s="57"/>
    </row>
    <row r="117" ht="60.0" customHeight="1">
      <c r="A117" s="56">
        <v>111.0</v>
      </c>
      <c r="B117" s="57" t="s">
        <v>882</v>
      </c>
      <c r="C117" s="57" t="s">
        <v>883</v>
      </c>
      <c r="D117" s="57" t="s">
        <v>884</v>
      </c>
      <c r="E117" s="57" t="s">
        <v>885</v>
      </c>
      <c r="F117" s="57" t="s">
        <v>886</v>
      </c>
      <c r="G117" s="57" t="s">
        <v>887</v>
      </c>
      <c r="H117" s="56" t="str">
        <f t="shared" si="1"/>
        <v>WRONG</v>
      </c>
      <c r="I117" s="56" t="s">
        <v>40</v>
      </c>
      <c r="J117" s="56" t="s">
        <v>51</v>
      </c>
      <c r="K117" s="65" t="s">
        <v>888</v>
      </c>
      <c r="L117" s="63">
        <v>38085.0</v>
      </c>
      <c r="M117" s="56" t="s">
        <v>62</v>
      </c>
      <c r="N117" s="57"/>
    </row>
    <row r="118" ht="60.0" customHeight="1">
      <c r="A118" s="56">
        <v>112.0</v>
      </c>
      <c r="B118" s="57" t="s">
        <v>889</v>
      </c>
      <c r="C118" s="57" t="s">
        <v>890</v>
      </c>
      <c r="D118" s="57" t="s">
        <v>891</v>
      </c>
      <c r="E118" s="57" t="s">
        <v>892</v>
      </c>
      <c r="F118" s="57" t="s">
        <v>893</v>
      </c>
      <c r="G118" s="57" t="s">
        <v>894</v>
      </c>
      <c r="H118" s="56" t="str">
        <f t="shared" si="1"/>
        <v>CORRECT</v>
      </c>
      <c r="I118" s="56" t="s">
        <v>51</v>
      </c>
      <c r="J118" s="56" t="s">
        <v>51</v>
      </c>
      <c r="K118" s="65" t="s">
        <v>895</v>
      </c>
      <c r="L118" s="63">
        <v>34333.0</v>
      </c>
      <c r="M118" s="56" t="s">
        <v>62</v>
      </c>
      <c r="N118" s="57"/>
    </row>
    <row r="119" ht="60.0" customHeight="1">
      <c r="A119" s="56">
        <v>113.0</v>
      </c>
      <c r="B119" s="57" t="s">
        <v>896</v>
      </c>
      <c r="C119" s="57" t="s">
        <v>897</v>
      </c>
      <c r="D119" s="57" t="s">
        <v>898</v>
      </c>
      <c r="E119" s="57" t="s">
        <v>899</v>
      </c>
      <c r="F119" s="57" t="s">
        <v>900</v>
      </c>
      <c r="G119" s="57" t="s">
        <v>901</v>
      </c>
      <c r="H119" s="56" t="str">
        <f t="shared" si="1"/>
        <v>WRONG</v>
      </c>
      <c r="I119" s="56" t="s">
        <v>77</v>
      </c>
      <c r="J119" s="56" t="s">
        <v>60</v>
      </c>
      <c r="K119" s="65" t="s">
        <v>902</v>
      </c>
      <c r="L119" s="63">
        <v>31576.0</v>
      </c>
      <c r="M119" s="56" t="s">
        <v>62</v>
      </c>
      <c r="N119" s="57"/>
    </row>
    <row r="120" ht="60.0" customHeight="1">
      <c r="A120" s="56">
        <v>114.0</v>
      </c>
      <c r="B120" s="57" t="s">
        <v>903</v>
      </c>
      <c r="C120" s="57" t="s">
        <v>904</v>
      </c>
      <c r="D120" s="57" t="s">
        <v>905</v>
      </c>
      <c r="E120" s="57" t="s">
        <v>906</v>
      </c>
      <c r="F120" s="57" t="s">
        <v>907</v>
      </c>
      <c r="G120" s="57" t="s">
        <v>908</v>
      </c>
      <c r="H120" s="56" t="str">
        <f t="shared" si="1"/>
        <v>WRONG</v>
      </c>
      <c r="I120" s="56" t="s">
        <v>60</v>
      </c>
      <c r="J120" s="56" t="s">
        <v>40</v>
      </c>
      <c r="K120" s="65" t="s">
        <v>909</v>
      </c>
      <c r="L120" s="63">
        <v>30408.0</v>
      </c>
      <c r="M120" s="56" t="s">
        <v>42</v>
      </c>
      <c r="N120" s="57" t="s">
        <v>910</v>
      </c>
    </row>
    <row r="121" ht="60.0" customHeight="1">
      <c r="A121" s="56">
        <v>115.0</v>
      </c>
      <c r="B121" s="57" t="s">
        <v>911</v>
      </c>
      <c r="C121" s="57" t="s">
        <v>912</v>
      </c>
      <c r="D121" s="57" t="s">
        <v>913</v>
      </c>
      <c r="E121" s="57" t="s">
        <v>914</v>
      </c>
      <c r="F121" s="57" t="s">
        <v>915</v>
      </c>
      <c r="G121" s="57" t="s">
        <v>916</v>
      </c>
      <c r="H121" s="56" t="str">
        <f t="shared" si="1"/>
        <v>CORRECT</v>
      </c>
      <c r="I121" s="56" t="s">
        <v>77</v>
      </c>
      <c r="J121" s="56" t="s">
        <v>77</v>
      </c>
      <c r="K121" s="65" t="s">
        <v>917</v>
      </c>
      <c r="L121" s="63">
        <v>34300.0</v>
      </c>
      <c r="M121" s="56" t="s">
        <v>62</v>
      </c>
      <c r="N121" s="57"/>
    </row>
    <row r="122" ht="60.0" customHeight="1">
      <c r="A122" s="56">
        <v>116.0</v>
      </c>
      <c r="B122" s="57" t="s">
        <v>918</v>
      </c>
      <c r="C122" s="57" t="s">
        <v>919</v>
      </c>
      <c r="D122" s="57" t="s">
        <v>920</v>
      </c>
      <c r="E122" s="57" t="s">
        <v>921</v>
      </c>
      <c r="F122" s="57" t="s">
        <v>922</v>
      </c>
      <c r="G122" s="57" t="s">
        <v>923</v>
      </c>
      <c r="H122" s="56" t="str">
        <f t="shared" si="1"/>
        <v>CORRECT</v>
      </c>
      <c r="I122" s="56" t="s">
        <v>51</v>
      </c>
      <c r="J122" s="56" t="s">
        <v>51</v>
      </c>
      <c r="K122" s="65" t="s">
        <v>924</v>
      </c>
      <c r="L122" s="63">
        <v>48077.0</v>
      </c>
      <c r="M122" s="56" t="s">
        <v>42</v>
      </c>
      <c r="N122" s="57" t="s">
        <v>925</v>
      </c>
    </row>
    <row r="123" ht="60.0" customHeight="1">
      <c r="A123" s="56">
        <v>117.0</v>
      </c>
      <c r="B123" s="57" t="s">
        <v>926</v>
      </c>
      <c r="C123" s="57" t="s">
        <v>927</v>
      </c>
      <c r="D123" s="57" t="s">
        <v>928</v>
      </c>
      <c r="E123" s="57" t="s">
        <v>929</v>
      </c>
      <c r="F123" s="57" t="s">
        <v>930</v>
      </c>
      <c r="G123" s="57" t="s">
        <v>931</v>
      </c>
      <c r="H123" s="56" t="str">
        <f t="shared" si="1"/>
        <v>CORRECT</v>
      </c>
      <c r="I123" s="56" t="s">
        <v>51</v>
      </c>
      <c r="J123" s="56" t="s">
        <v>51</v>
      </c>
      <c r="K123" s="65" t="s">
        <v>2650</v>
      </c>
      <c r="L123" s="63">
        <v>32866.0</v>
      </c>
      <c r="M123" s="56" t="s">
        <v>42</v>
      </c>
      <c r="N123" s="57" t="s">
        <v>933</v>
      </c>
    </row>
    <row r="124" ht="60.0" customHeight="1">
      <c r="A124" s="56">
        <v>118.0</v>
      </c>
      <c r="B124" s="57" t="s">
        <v>934</v>
      </c>
      <c r="C124" s="57" t="s">
        <v>935</v>
      </c>
      <c r="D124" s="57" t="s">
        <v>936</v>
      </c>
      <c r="E124" s="57" t="s">
        <v>937</v>
      </c>
      <c r="F124" s="57" t="s">
        <v>938</v>
      </c>
      <c r="G124" s="57" t="s">
        <v>939</v>
      </c>
      <c r="H124" s="56" t="str">
        <f t="shared" si="1"/>
        <v>CORRECT</v>
      </c>
      <c r="I124" s="56" t="s">
        <v>40</v>
      </c>
      <c r="J124" s="56" t="s">
        <v>40</v>
      </c>
      <c r="K124" s="65" t="s">
        <v>940</v>
      </c>
      <c r="L124" s="63">
        <v>33236.0</v>
      </c>
      <c r="M124" s="56" t="s">
        <v>42</v>
      </c>
      <c r="N124" s="57" t="s">
        <v>941</v>
      </c>
    </row>
    <row r="125" ht="60.0" customHeight="1">
      <c r="A125" s="56">
        <v>119.0</v>
      </c>
      <c r="B125" s="57" t="s">
        <v>942</v>
      </c>
      <c r="C125" s="57" t="s">
        <v>943</v>
      </c>
      <c r="D125" s="57" t="s">
        <v>944</v>
      </c>
      <c r="E125" s="57" t="s">
        <v>945</v>
      </c>
      <c r="F125" s="57" t="s">
        <v>946</v>
      </c>
      <c r="G125" s="57" t="s">
        <v>947</v>
      </c>
      <c r="H125" s="56" t="str">
        <f t="shared" si="1"/>
        <v>CORRECT</v>
      </c>
      <c r="I125" s="56" t="s">
        <v>40</v>
      </c>
      <c r="J125" s="56" t="s">
        <v>40</v>
      </c>
      <c r="K125" s="65" t="s">
        <v>948</v>
      </c>
      <c r="L125" s="63">
        <v>39141.0</v>
      </c>
      <c r="M125" s="56" t="s">
        <v>62</v>
      </c>
      <c r="N125" s="57"/>
    </row>
    <row r="126" ht="60.0" customHeight="1">
      <c r="A126" s="56">
        <v>120.0</v>
      </c>
      <c r="B126" s="57" t="s">
        <v>949</v>
      </c>
      <c r="C126" s="57" t="s">
        <v>950</v>
      </c>
      <c r="D126" s="57" t="s">
        <v>951</v>
      </c>
      <c r="E126" s="57" t="s">
        <v>952</v>
      </c>
      <c r="F126" s="57" t="s">
        <v>953</v>
      </c>
      <c r="G126" s="57" t="s">
        <v>954</v>
      </c>
      <c r="H126" s="56" t="str">
        <f t="shared" si="1"/>
        <v>CORRECT</v>
      </c>
      <c r="I126" s="56" t="s">
        <v>51</v>
      </c>
      <c r="J126" s="56" t="s">
        <v>51</v>
      </c>
      <c r="K126" s="65" t="s">
        <v>955</v>
      </c>
      <c r="L126" s="63">
        <v>46415.0</v>
      </c>
      <c r="M126" s="56" t="s">
        <v>62</v>
      </c>
      <c r="N126" s="57"/>
    </row>
    <row r="127" ht="60.0" customHeight="1">
      <c r="A127" s="56">
        <v>121.0</v>
      </c>
      <c r="B127" s="57" t="s">
        <v>956</v>
      </c>
      <c r="C127" s="57" t="s">
        <v>957</v>
      </c>
      <c r="D127" s="57" t="s">
        <v>958</v>
      </c>
      <c r="E127" s="57" t="s">
        <v>959</v>
      </c>
      <c r="F127" s="57" t="s">
        <v>960</v>
      </c>
      <c r="G127" s="57" t="s">
        <v>961</v>
      </c>
      <c r="H127" s="56" t="str">
        <f t="shared" si="1"/>
        <v>CORRECT</v>
      </c>
      <c r="I127" s="56" t="s">
        <v>77</v>
      </c>
      <c r="J127" s="56" t="s">
        <v>77</v>
      </c>
      <c r="K127" s="65" t="s">
        <v>962</v>
      </c>
      <c r="L127" s="63">
        <v>35977.0</v>
      </c>
      <c r="M127" s="56" t="s">
        <v>62</v>
      </c>
      <c r="N127" s="57"/>
    </row>
    <row r="128" ht="60.0" customHeight="1">
      <c r="A128" s="56">
        <v>122.0</v>
      </c>
      <c r="B128" s="57" t="s">
        <v>963</v>
      </c>
      <c r="C128" s="57" t="s">
        <v>964</v>
      </c>
      <c r="D128" s="57" t="s">
        <v>965</v>
      </c>
      <c r="E128" s="57" t="s">
        <v>966</v>
      </c>
      <c r="F128" s="57" t="s">
        <v>967</v>
      </c>
      <c r="G128" s="57" t="s">
        <v>968</v>
      </c>
      <c r="H128" s="56" t="str">
        <f t="shared" si="1"/>
        <v>CORRECT</v>
      </c>
      <c r="I128" s="56" t="s">
        <v>60</v>
      </c>
      <c r="J128" s="56" t="s">
        <v>60</v>
      </c>
      <c r="K128" s="65" t="s">
        <v>969</v>
      </c>
      <c r="L128" s="63">
        <v>29769.0</v>
      </c>
      <c r="M128" s="56" t="s">
        <v>42</v>
      </c>
      <c r="N128" s="57" t="s">
        <v>970</v>
      </c>
    </row>
    <row r="129" ht="60.0" customHeight="1">
      <c r="A129" s="56">
        <v>123.0</v>
      </c>
      <c r="B129" s="57" t="s">
        <v>971</v>
      </c>
      <c r="C129" s="57" t="s">
        <v>972</v>
      </c>
      <c r="D129" s="57" t="s">
        <v>973</v>
      </c>
      <c r="E129" s="57" t="s">
        <v>974</v>
      </c>
      <c r="F129" s="57" t="s">
        <v>975</v>
      </c>
      <c r="G129" s="57" t="s">
        <v>976</v>
      </c>
      <c r="H129" s="56" t="str">
        <f t="shared" si="1"/>
        <v>WRONG</v>
      </c>
      <c r="I129" s="56" t="s">
        <v>77</v>
      </c>
      <c r="J129" s="56" t="s">
        <v>60</v>
      </c>
      <c r="K129" s="65" t="s">
        <v>2651</v>
      </c>
      <c r="L129" s="63">
        <v>28840.0</v>
      </c>
      <c r="M129" s="56" t="s">
        <v>42</v>
      </c>
      <c r="N129" s="57" t="s">
        <v>978</v>
      </c>
    </row>
    <row r="130" ht="60.0" customHeight="1">
      <c r="A130" s="56">
        <v>124.0</v>
      </c>
      <c r="B130" s="57" t="s">
        <v>979</v>
      </c>
      <c r="C130" s="57" t="s">
        <v>980</v>
      </c>
      <c r="D130" s="57" t="s">
        <v>981</v>
      </c>
      <c r="E130" s="57" t="s">
        <v>982</v>
      </c>
      <c r="F130" s="57" t="s">
        <v>983</v>
      </c>
      <c r="G130" s="57" t="s">
        <v>984</v>
      </c>
      <c r="H130" s="56" t="str">
        <f t="shared" si="1"/>
        <v>CORRECT</v>
      </c>
      <c r="I130" s="56" t="s">
        <v>40</v>
      </c>
      <c r="J130" s="56" t="s">
        <v>40</v>
      </c>
      <c r="K130" s="65" t="s">
        <v>985</v>
      </c>
      <c r="L130" s="63">
        <v>29713.0</v>
      </c>
      <c r="M130" s="56" t="s">
        <v>42</v>
      </c>
      <c r="N130" s="57" t="s">
        <v>986</v>
      </c>
    </row>
    <row r="131" ht="60.0" customHeight="1">
      <c r="A131" s="56">
        <v>125.0</v>
      </c>
      <c r="B131" s="57" t="s">
        <v>987</v>
      </c>
      <c r="C131" s="57" t="s">
        <v>988</v>
      </c>
      <c r="D131" s="57" t="s">
        <v>989</v>
      </c>
      <c r="E131" s="57" t="s">
        <v>990</v>
      </c>
      <c r="F131" s="57" t="s">
        <v>991</v>
      </c>
      <c r="G131" s="57" t="s">
        <v>992</v>
      </c>
      <c r="H131" s="56" t="str">
        <f t="shared" si="1"/>
        <v>CORRECT</v>
      </c>
      <c r="I131" s="56" t="s">
        <v>40</v>
      </c>
      <c r="J131" s="56" t="s">
        <v>40</v>
      </c>
      <c r="K131" s="65" t="s">
        <v>993</v>
      </c>
      <c r="L131" s="63">
        <v>35825.0</v>
      </c>
      <c r="M131" s="56" t="s">
        <v>62</v>
      </c>
      <c r="N131" s="57"/>
    </row>
    <row r="132" ht="60.0" customHeight="1">
      <c r="A132" s="56">
        <v>126.0</v>
      </c>
      <c r="B132" s="57" t="s">
        <v>994</v>
      </c>
      <c r="C132" s="57" t="s">
        <v>995</v>
      </c>
      <c r="D132" s="57" t="s">
        <v>996</v>
      </c>
      <c r="E132" s="57" t="s">
        <v>997</v>
      </c>
      <c r="F132" s="57" t="s">
        <v>998</v>
      </c>
      <c r="G132" s="57" t="s">
        <v>999</v>
      </c>
      <c r="H132" s="56" t="str">
        <f t="shared" si="1"/>
        <v>CORRECT</v>
      </c>
      <c r="I132" s="56" t="s">
        <v>51</v>
      </c>
      <c r="J132" s="56" t="s">
        <v>51</v>
      </c>
      <c r="K132" s="65" t="s">
        <v>1000</v>
      </c>
      <c r="L132" s="63">
        <v>43712.0</v>
      </c>
      <c r="M132" s="56" t="s">
        <v>62</v>
      </c>
      <c r="N132" s="57"/>
    </row>
    <row r="133" ht="60.0" customHeight="1">
      <c r="A133" s="56">
        <v>127.0</v>
      </c>
      <c r="B133" s="57" t="s">
        <v>1001</v>
      </c>
      <c r="C133" s="57" t="s">
        <v>1002</v>
      </c>
      <c r="D133" s="57" t="s">
        <v>1003</v>
      </c>
      <c r="E133" s="57" t="s">
        <v>1004</v>
      </c>
      <c r="F133" s="57" t="s">
        <v>1005</v>
      </c>
      <c r="G133" s="57" t="s">
        <v>1006</v>
      </c>
      <c r="H133" s="56" t="str">
        <f t="shared" si="1"/>
        <v>WRONG</v>
      </c>
      <c r="I133" s="56" t="s">
        <v>51</v>
      </c>
      <c r="J133" s="56" t="s">
        <v>40</v>
      </c>
      <c r="K133" s="65" t="s">
        <v>1007</v>
      </c>
      <c r="L133" s="63">
        <v>26470.0</v>
      </c>
      <c r="M133" s="56" t="s">
        <v>42</v>
      </c>
      <c r="N133" s="57" t="s">
        <v>1008</v>
      </c>
    </row>
    <row r="134" ht="60.0" customHeight="1">
      <c r="A134" s="56">
        <v>128.0</v>
      </c>
      <c r="B134" s="57" t="s">
        <v>1009</v>
      </c>
      <c r="C134" s="57" t="s">
        <v>1010</v>
      </c>
      <c r="D134" s="57" t="s">
        <v>1011</v>
      </c>
      <c r="E134" s="57" t="s">
        <v>1012</v>
      </c>
      <c r="F134" s="57" t="s">
        <v>1013</v>
      </c>
      <c r="G134" s="57" t="s">
        <v>1014</v>
      </c>
      <c r="H134" s="56" t="str">
        <f t="shared" si="1"/>
        <v>WRONG</v>
      </c>
      <c r="I134" s="56" t="s">
        <v>40</v>
      </c>
      <c r="J134" s="56" t="s">
        <v>51</v>
      </c>
      <c r="K134" s="65" t="s">
        <v>1015</v>
      </c>
      <c r="L134" s="63">
        <v>48209.0</v>
      </c>
      <c r="M134" s="56" t="s">
        <v>62</v>
      </c>
      <c r="N134" s="57"/>
    </row>
    <row r="135" ht="60.0" customHeight="1">
      <c r="A135" s="56">
        <v>129.0</v>
      </c>
      <c r="B135" s="57" t="s">
        <v>1016</v>
      </c>
      <c r="C135" s="57" t="s">
        <v>1017</v>
      </c>
      <c r="D135" s="57" t="s">
        <v>1018</v>
      </c>
      <c r="E135" s="57" t="s">
        <v>1019</v>
      </c>
      <c r="F135" s="57" t="s">
        <v>1020</v>
      </c>
      <c r="G135" s="57" t="s">
        <v>1021</v>
      </c>
      <c r="H135" s="56" t="str">
        <f t="shared" si="1"/>
        <v>CORRECT</v>
      </c>
      <c r="I135" s="56" t="s">
        <v>77</v>
      </c>
      <c r="J135" s="56" t="s">
        <v>77</v>
      </c>
      <c r="K135" s="65" t="s">
        <v>1022</v>
      </c>
      <c r="L135" s="63">
        <v>34769.0</v>
      </c>
      <c r="M135" s="56" t="s">
        <v>62</v>
      </c>
      <c r="N135" s="57"/>
    </row>
    <row r="136" ht="60.0" customHeight="1">
      <c r="A136" s="56">
        <v>130.0</v>
      </c>
      <c r="B136" s="57" t="s">
        <v>1023</v>
      </c>
      <c r="C136" s="57" t="s">
        <v>1024</v>
      </c>
      <c r="D136" s="57" t="s">
        <v>1025</v>
      </c>
      <c r="E136" s="57" t="s">
        <v>1026</v>
      </c>
      <c r="F136" s="57" t="s">
        <v>1027</v>
      </c>
      <c r="G136" s="57" t="s">
        <v>1028</v>
      </c>
      <c r="H136" s="56" t="str">
        <f t="shared" si="1"/>
        <v>WRONG</v>
      </c>
      <c r="I136" s="56" t="s">
        <v>60</v>
      </c>
      <c r="J136" s="56" t="s">
        <v>50</v>
      </c>
      <c r="K136" s="65" t="s">
        <v>2652</v>
      </c>
      <c r="L136" s="63">
        <v>30574.0</v>
      </c>
      <c r="M136" s="56" t="s">
        <v>42</v>
      </c>
      <c r="N136" s="57" t="s">
        <v>1030</v>
      </c>
    </row>
    <row r="137" ht="60.0" customHeight="1">
      <c r="A137" s="56">
        <v>131.0</v>
      </c>
      <c r="B137" s="57" t="s">
        <v>1031</v>
      </c>
      <c r="C137" s="57" t="s">
        <v>1032</v>
      </c>
      <c r="D137" s="57" t="s">
        <v>1033</v>
      </c>
      <c r="E137" s="57" t="s">
        <v>1034</v>
      </c>
      <c r="F137" s="57" t="s">
        <v>1035</v>
      </c>
      <c r="G137" s="57" t="s">
        <v>1036</v>
      </c>
      <c r="H137" s="56" t="str">
        <f t="shared" si="1"/>
        <v>CORRECT</v>
      </c>
      <c r="I137" s="56" t="s">
        <v>60</v>
      </c>
      <c r="J137" s="56" t="s">
        <v>60</v>
      </c>
      <c r="K137" s="65" t="s">
        <v>1037</v>
      </c>
      <c r="L137" s="63">
        <v>32597.0</v>
      </c>
      <c r="M137" s="56" t="s">
        <v>42</v>
      </c>
      <c r="N137" s="57" t="s">
        <v>1038</v>
      </c>
    </row>
    <row r="138" ht="60.0" customHeight="1">
      <c r="A138" s="56">
        <v>132.0</v>
      </c>
      <c r="B138" s="57" t="s">
        <v>1039</v>
      </c>
      <c r="C138" s="57" t="s">
        <v>754</v>
      </c>
      <c r="D138" s="57" t="s">
        <v>1040</v>
      </c>
      <c r="E138" s="57" t="s">
        <v>1041</v>
      </c>
      <c r="F138" s="57" t="s">
        <v>1042</v>
      </c>
      <c r="G138" s="57" t="s">
        <v>1043</v>
      </c>
      <c r="H138" s="56" t="str">
        <f t="shared" si="1"/>
        <v>CORRECT</v>
      </c>
      <c r="I138" s="56" t="s">
        <v>51</v>
      </c>
      <c r="J138" s="56" t="s">
        <v>51</v>
      </c>
      <c r="K138" s="65" t="s">
        <v>1044</v>
      </c>
      <c r="L138" s="63">
        <v>29882.0</v>
      </c>
      <c r="M138" s="56" t="s">
        <v>42</v>
      </c>
      <c r="N138" s="57" t="s">
        <v>1045</v>
      </c>
    </row>
    <row r="139" ht="60.0" customHeight="1">
      <c r="A139" s="56">
        <v>133.0</v>
      </c>
      <c r="B139" s="57" t="s">
        <v>1046</v>
      </c>
      <c r="C139" s="57" t="s">
        <v>1047</v>
      </c>
      <c r="D139" s="57" t="s">
        <v>1048</v>
      </c>
      <c r="E139" s="57" t="s">
        <v>1049</v>
      </c>
      <c r="F139" s="57" t="s">
        <v>1050</v>
      </c>
      <c r="G139" s="57" t="s">
        <v>1051</v>
      </c>
      <c r="H139" s="56" t="str">
        <f t="shared" si="1"/>
        <v>WRONG</v>
      </c>
      <c r="I139" s="56" t="s">
        <v>77</v>
      </c>
      <c r="J139" s="56" t="s">
        <v>60</v>
      </c>
      <c r="K139" s="65" t="s">
        <v>1052</v>
      </c>
      <c r="L139" s="63">
        <v>31615.0</v>
      </c>
      <c r="M139" s="56" t="s">
        <v>42</v>
      </c>
      <c r="N139" s="57" t="s">
        <v>1053</v>
      </c>
    </row>
    <row r="140" ht="60.0" customHeight="1">
      <c r="A140" s="56">
        <v>134.0</v>
      </c>
      <c r="B140" s="57" t="s">
        <v>1054</v>
      </c>
      <c r="C140" s="57" t="s">
        <v>1055</v>
      </c>
      <c r="D140" s="57" t="s">
        <v>1056</v>
      </c>
      <c r="E140" s="57" t="s">
        <v>1057</v>
      </c>
      <c r="F140" s="57" t="s">
        <v>1058</v>
      </c>
      <c r="G140" s="57" t="s">
        <v>1059</v>
      </c>
      <c r="H140" s="56" t="str">
        <f t="shared" si="1"/>
        <v>CORRECT</v>
      </c>
      <c r="I140" s="56" t="s">
        <v>40</v>
      </c>
      <c r="J140" s="56" t="s">
        <v>40</v>
      </c>
      <c r="K140" s="65" t="s">
        <v>2653</v>
      </c>
      <c r="L140" s="63">
        <v>33086.0</v>
      </c>
      <c r="M140" s="56" t="s">
        <v>42</v>
      </c>
      <c r="N140" s="57" t="s">
        <v>1061</v>
      </c>
    </row>
    <row r="141" ht="60.0" customHeight="1">
      <c r="A141" s="56">
        <v>135.0</v>
      </c>
      <c r="B141" s="57" t="s">
        <v>1062</v>
      </c>
      <c r="C141" s="57" t="s">
        <v>1063</v>
      </c>
      <c r="D141" s="57" t="s">
        <v>1064</v>
      </c>
      <c r="E141" s="57" t="s">
        <v>1065</v>
      </c>
      <c r="F141" s="57" t="s">
        <v>1066</v>
      </c>
      <c r="G141" s="57" t="s">
        <v>1067</v>
      </c>
      <c r="H141" s="56" t="str">
        <f t="shared" si="1"/>
        <v>WRONG</v>
      </c>
      <c r="I141" s="56" t="s">
        <v>40</v>
      </c>
      <c r="J141" s="56" t="s">
        <v>51</v>
      </c>
      <c r="K141" s="65" t="s">
        <v>1068</v>
      </c>
      <c r="L141" s="63">
        <v>34646.0</v>
      </c>
      <c r="M141" s="56" t="s">
        <v>42</v>
      </c>
      <c r="N141" s="57" t="s">
        <v>1069</v>
      </c>
    </row>
    <row r="142" ht="60.0" customHeight="1">
      <c r="A142" s="56">
        <v>136.0</v>
      </c>
      <c r="B142" s="57" t="s">
        <v>1070</v>
      </c>
      <c r="C142" s="57" t="s">
        <v>1071</v>
      </c>
      <c r="D142" s="57" t="s">
        <v>1072</v>
      </c>
      <c r="E142" s="57" t="s">
        <v>1073</v>
      </c>
      <c r="F142" s="57" t="s">
        <v>1074</v>
      </c>
      <c r="G142" s="57" t="s">
        <v>1075</v>
      </c>
      <c r="H142" s="56" t="str">
        <f t="shared" si="1"/>
        <v>CORRECT</v>
      </c>
      <c r="I142" s="56" t="s">
        <v>40</v>
      </c>
      <c r="J142" s="56" t="s">
        <v>40</v>
      </c>
      <c r="K142" s="65" t="s">
        <v>1076</v>
      </c>
      <c r="L142" s="63">
        <v>34465.0</v>
      </c>
      <c r="M142" s="56" t="s">
        <v>42</v>
      </c>
      <c r="N142" s="57" t="s">
        <v>1077</v>
      </c>
    </row>
    <row r="143" ht="60.0" customHeight="1">
      <c r="A143" s="56">
        <v>137.0</v>
      </c>
      <c r="B143" s="57" t="s">
        <v>1078</v>
      </c>
      <c r="C143" s="57" t="s">
        <v>1079</v>
      </c>
      <c r="D143" s="57" t="s">
        <v>1080</v>
      </c>
      <c r="E143" s="57" t="s">
        <v>1081</v>
      </c>
      <c r="F143" s="57" t="s">
        <v>1082</v>
      </c>
      <c r="G143" s="57" t="s">
        <v>1083</v>
      </c>
      <c r="H143" s="56" t="str">
        <f t="shared" si="1"/>
        <v>CORRECT</v>
      </c>
      <c r="I143" s="56" t="s">
        <v>50</v>
      </c>
      <c r="J143" s="56" t="s">
        <v>50</v>
      </c>
      <c r="K143" s="65" t="s">
        <v>1084</v>
      </c>
      <c r="L143" s="63">
        <v>34910.0</v>
      </c>
      <c r="M143" s="56" t="s">
        <v>62</v>
      </c>
      <c r="N143" s="57"/>
    </row>
    <row r="144" ht="60.0" customHeight="1">
      <c r="A144" s="56">
        <v>138.0</v>
      </c>
      <c r="B144" s="57" t="s">
        <v>1085</v>
      </c>
      <c r="C144" s="57" t="s">
        <v>1086</v>
      </c>
      <c r="D144" s="57" t="s">
        <v>1087</v>
      </c>
      <c r="E144" s="57" t="s">
        <v>1088</v>
      </c>
      <c r="F144" s="57" t="s">
        <v>1089</v>
      </c>
      <c r="G144" s="57" t="s">
        <v>1090</v>
      </c>
      <c r="H144" s="56" t="str">
        <f t="shared" si="1"/>
        <v>WRONG</v>
      </c>
      <c r="I144" s="56" t="s">
        <v>50</v>
      </c>
      <c r="J144" s="56" t="s">
        <v>40</v>
      </c>
      <c r="K144" s="65" t="s">
        <v>1091</v>
      </c>
      <c r="L144" s="63">
        <v>34385.0</v>
      </c>
      <c r="M144" s="56" t="s">
        <v>62</v>
      </c>
      <c r="N144" s="57"/>
    </row>
    <row r="145" ht="60.0" customHeight="1">
      <c r="A145" s="56">
        <v>139.0</v>
      </c>
      <c r="B145" s="57" t="s">
        <v>1092</v>
      </c>
      <c r="C145" s="57" t="s">
        <v>1093</v>
      </c>
      <c r="D145" s="57" t="s">
        <v>1094</v>
      </c>
      <c r="E145" s="57" t="s">
        <v>1095</v>
      </c>
      <c r="F145" s="57" t="s">
        <v>1096</v>
      </c>
      <c r="G145" s="57" t="s">
        <v>1097</v>
      </c>
      <c r="H145" s="56" t="str">
        <f t="shared" si="1"/>
        <v>CORRECT</v>
      </c>
      <c r="I145" s="56" t="s">
        <v>77</v>
      </c>
      <c r="J145" s="56" t="s">
        <v>77</v>
      </c>
      <c r="K145" s="65" t="s">
        <v>1098</v>
      </c>
      <c r="L145" s="63">
        <v>35675.0</v>
      </c>
      <c r="M145" s="56" t="s">
        <v>62</v>
      </c>
      <c r="N145" s="57"/>
    </row>
    <row r="146" ht="60.0" customHeight="1">
      <c r="A146" s="56">
        <v>140.0</v>
      </c>
      <c r="B146" s="57" t="s">
        <v>1099</v>
      </c>
      <c r="C146" s="57" t="s">
        <v>1100</v>
      </c>
      <c r="D146" s="57" t="s">
        <v>1101</v>
      </c>
      <c r="E146" s="57" t="s">
        <v>1102</v>
      </c>
      <c r="F146" s="57" t="s">
        <v>1103</v>
      </c>
      <c r="G146" s="57" t="s">
        <v>1059</v>
      </c>
      <c r="H146" s="56" t="str">
        <f t="shared" si="1"/>
        <v>WRONG</v>
      </c>
      <c r="I146" s="56" t="s">
        <v>50</v>
      </c>
      <c r="J146" s="56" t="s">
        <v>51</v>
      </c>
      <c r="K146" s="65" t="s">
        <v>1104</v>
      </c>
      <c r="L146" s="63">
        <v>35572.0</v>
      </c>
      <c r="M146" s="56" t="s">
        <v>62</v>
      </c>
      <c r="N146" s="62"/>
    </row>
    <row r="147" ht="60.0" customHeight="1">
      <c r="A147" s="56">
        <v>141.0</v>
      </c>
      <c r="B147" s="57" t="s">
        <v>1105</v>
      </c>
      <c r="C147" s="57" t="s">
        <v>1106</v>
      </c>
      <c r="D147" s="57" t="s">
        <v>1107</v>
      </c>
      <c r="E147" s="57" t="s">
        <v>1108</v>
      </c>
      <c r="F147" s="57" t="s">
        <v>1109</v>
      </c>
      <c r="G147" s="57" t="s">
        <v>1110</v>
      </c>
      <c r="H147" s="56" t="str">
        <f t="shared" si="1"/>
        <v>CORRECT</v>
      </c>
      <c r="I147" s="56" t="s">
        <v>60</v>
      </c>
      <c r="J147" s="56" t="s">
        <v>60</v>
      </c>
      <c r="K147" s="65" t="s">
        <v>1111</v>
      </c>
      <c r="L147" s="63">
        <v>30029.0</v>
      </c>
      <c r="M147" s="56" t="s">
        <v>62</v>
      </c>
      <c r="N147" s="57"/>
    </row>
    <row r="148" ht="60.0" customHeight="1">
      <c r="A148" s="56">
        <v>142.0</v>
      </c>
      <c r="B148" s="57" t="s">
        <v>1112</v>
      </c>
      <c r="C148" s="57" t="s">
        <v>1113</v>
      </c>
      <c r="D148" s="57" t="s">
        <v>1114</v>
      </c>
      <c r="E148" s="57" t="s">
        <v>1115</v>
      </c>
      <c r="F148" s="57" t="s">
        <v>1116</v>
      </c>
      <c r="G148" s="57" t="s">
        <v>1059</v>
      </c>
      <c r="H148" s="56" t="str">
        <f t="shared" si="1"/>
        <v>WRONG</v>
      </c>
      <c r="I148" s="56" t="s">
        <v>50</v>
      </c>
      <c r="J148" s="56" t="s">
        <v>40</v>
      </c>
      <c r="K148" s="65" t="s">
        <v>1117</v>
      </c>
      <c r="L148" s="63">
        <v>37069.0</v>
      </c>
      <c r="M148" s="56" t="s">
        <v>42</v>
      </c>
      <c r="N148" s="57" t="str">
        <f>++ C sC − 0.3-1.3 0.7-1.3 Postganglionic  sympathetic Various autonomic func­ tions ++ dC − 0.4-1.2 0.1-2.0 Afferent sensory  nerves Various autonomic functions Pain, warm temperature,  touch + From Bonica JJ. Principles and Practice of Obstetric Anesthesia and Analgesia. Philadelphia: FA Davis; 1967. Nucleus of Schwann cell Nucleus of Schwann cell Schwann cell sheath Nerve fiber Nerve fiber</f>
        <v>#ERROR!</v>
      </c>
    </row>
    <row r="149" ht="60.0" customHeight="1">
      <c r="A149" s="56">
        <v>143.0</v>
      </c>
      <c r="B149" s="57" t="s">
        <v>1118</v>
      </c>
      <c r="C149" s="57" t="s">
        <v>1119</v>
      </c>
      <c r="D149" s="57" t="s">
        <v>1120</v>
      </c>
      <c r="E149" s="57" t="s">
        <v>1121</v>
      </c>
      <c r="F149" s="57" t="s">
        <v>1122</v>
      </c>
      <c r="G149" s="57" t="s">
        <v>1123</v>
      </c>
      <c r="H149" s="56" t="str">
        <f t="shared" si="1"/>
        <v>CORRECT</v>
      </c>
      <c r="I149" s="56" t="s">
        <v>40</v>
      </c>
      <c r="J149" s="56" t="s">
        <v>40</v>
      </c>
      <c r="K149" s="65" t="s">
        <v>2654</v>
      </c>
      <c r="L149" s="63">
        <v>35036.0</v>
      </c>
      <c r="M149" s="56" t="s">
        <v>62</v>
      </c>
      <c r="N149" s="57"/>
    </row>
    <row r="150" ht="60.0" customHeight="1">
      <c r="A150" s="56">
        <v>144.0</v>
      </c>
      <c r="B150" s="57" t="s">
        <v>1125</v>
      </c>
      <c r="C150" s="57" t="s">
        <v>1126</v>
      </c>
      <c r="D150" s="57" t="s">
        <v>1127</v>
      </c>
      <c r="E150" s="57" t="s">
        <v>1128</v>
      </c>
      <c r="F150" s="57" t="s">
        <v>1129</v>
      </c>
      <c r="G150" s="57" t="s">
        <v>1130</v>
      </c>
      <c r="H150" s="56" t="str">
        <f t="shared" si="1"/>
        <v>CORRECT</v>
      </c>
      <c r="I150" s="56" t="s">
        <v>50</v>
      </c>
      <c r="J150" s="56" t="s">
        <v>50</v>
      </c>
      <c r="K150" s="65" t="s">
        <v>2655</v>
      </c>
      <c r="L150" s="63">
        <v>42287.0</v>
      </c>
      <c r="M150" s="56" t="s">
        <v>62</v>
      </c>
      <c r="N150" s="57"/>
    </row>
    <row r="151" ht="60.0" customHeight="1">
      <c r="A151" s="56">
        <v>145.0</v>
      </c>
      <c r="B151" s="57" t="s">
        <v>1132</v>
      </c>
      <c r="C151" s="57" t="s">
        <v>1133</v>
      </c>
      <c r="D151" s="57" t="s">
        <v>1134</v>
      </c>
      <c r="E151" s="57" t="s">
        <v>1135</v>
      </c>
      <c r="F151" s="57" t="s">
        <v>1136</v>
      </c>
      <c r="G151" s="57" t="s">
        <v>1059</v>
      </c>
      <c r="H151" s="56" t="str">
        <f t="shared" si="1"/>
        <v>WRONG</v>
      </c>
      <c r="I151" s="56" t="s">
        <v>40</v>
      </c>
      <c r="J151" s="56" t="s">
        <v>50</v>
      </c>
      <c r="K151" s="65" t="s">
        <v>1137</v>
      </c>
      <c r="L151" s="63">
        <v>27094.0</v>
      </c>
      <c r="M151" s="56" t="s">
        <v>42</v>
      </c>
      <c r="N151" s="57" t="s">
        <v>1138</v>
      </c>
    </row>
    <row r="152" ht="60.0" customHeight="1">
      <c r="A152" s="56">
        <v>146.0</v>
      </c>
      <c r="B152" s="57" t="s">
        <v>1139</v>
      </c>
      <c r="C152" s="57" t="s">
        <v>1140</v>
      </c>
      <c r="D152" s="57" t="s">
        <v>1141</v>
      </c>
      <c r="E152" s="57" t="s">
        <v>1142</v>
      </c>
      <c r="F152" s="57" t="s">
        <v>1143</v>
      </c>
      <c r="G152" s="57" t="s">
        <v>1144</v>
      </c>
      <c r="H152" s="56" t="str">
        <f t="shared" si="1"/>
        <v>CORRECT</v>
      </c>
      <c r="I152" s="56" t="s">
        <v>50</v>
      </c>
      <c r="J152" s="56" t="s">
        <v>50</v>
      </c>
      <c r="K152" s="65" t="s">
        <v>1145</v>
      </c>
      <c r="L152" s="63">
        <v>39466.0</v>
      </c>
      <c r="M152" s="56" t="s">
        <v>42</v>
      </c>
      <c r="N152" s="57" t="s">
        <v>1146</v>
      </c>
    </row>
    <row r="153" ht="60.0" customHeight="1">
      <c r="A153" s="56">
        <v>147.0</v>
      </c>
      <c r="B153" s="57" t="s">
        <v>1147</v>
      </c>
      <c r="C153" s="57" t="s">
        <v>1148</v>
      </c>
      <c r="D153" s="57" t="s">
        <v>1149</v>
      </c>
      <c r="E153" s="57" t="s">
        <v>1150</v>
      </c>
      <c r="F153" s="57" t="s">
        <v>1151</v>
      </c>
      <c r="G153" s="57" t="s">
        <v>1059</v>
      </c>
      <c r="H153" s="56" t="str">
        <f t="shared" si="1"/>
        <v>WRONG</v>
      </c>
      <c r="I153" s="56" t="s">
        <v>60</v>
      </c>
      <c r="J153" s="56" t="s">
        <v>77</v>
      </c>
      <c r="K153" s="65" t="s">
        <v>1152</v>
      </c>
      <c r="L153" s="63">
        <v>33744.0</v>
      </c>
      <c r="M153" s="56" t="s">
        <v>62</v>
      </c>
      <c r="N153" s="57"/>
    </row>
    <row r="154" ht="60.0" customHeight="1">
      <c r="A154" s="56">
        <v>148.0</v>
      </c>
      <c r="B154" s="57" t="s">
        <v>1153</v>
      </c>
      <c r="C154" s="57" t="s">
        <v>1154</v>
      </c>
      <c r="D154" s="57" t="s">
        <v>1155</v>
      </c>
      <c r="E154" s="57" t="s">
        <v>1156</v>
      </c>
      <c r="F154" s="57" t="s">
        <v>1157</v>
      </c>
      <c r="G154" s="57" t="s">
        <v>1059</v>
      </c>
      <c r="H154" s="56" t="str">
        <f t="shared" si="1"/>
        <v>CORRECT</v>
      </c>
      <c r="I154" s="56" t="s">
        <v>60</v>
      </c>
      <c r="J154" s="56" t="s">
        <v>60</v>
      </c>
      <c r="K154" s="65" t="s">
        <v>1158</v>
      </c>
      <c r="L154" s="63">
        <v>33767.0</v>
      </c>
      <c r="M154" s="56" t="s">
        <v>62</v>
      </c>
      <c r="N154" s="57"/>
    </row>
    <row r="155" ht="60.0" customHeight="1">
      <c r="A155" s="56">
        <v>149.0</v>
      </c>
      <c r="B155" s="57" t="s">
        <v>1159</v>
      </c>
      <c r="C155" s="57" t="s">
        <v>1160</v>
      </c>
      <c r="D155" s="57" t="s">
        <v>1161</v>
      </c>
      <c r="E155" s="57" t="s">
        <v>1162</v>
      </c>
      <c r="F155" s="57" t="s">
        <v>1163</v>
      </c>
      <c r="G155" s="57" t="s">
        <v>1164</v>
      </c>
      <c r="H155" s="56" t="str">
        <f t="shared" si="1"/>
        <v>CORRECT</v>
      </c>
      <c r="I155" s="56" t="s">
        <v>77</v>
      </c>
      <c r="J155" s="56" t="s">
        <v>77</v>
      </c>
      <c r="K155" s="65" t="s">
        <v>1165</v>
      </c>
      <c r="L155" s="63">
        <v>33508.0</v>
      </c>
      <c r="M155" s="56" t="s">
        <v>62</v>
      </c>
      <c r="N155" s="62"/>
    </row>
    <row r="156" ht="60.0" customHeight="1">
      <c r="A156" s="56">
        <v>150.0</v>
      </c>
      <c r="B156" s="57" t="s">
        <v>1166</v>
      </c>
      <c r="C156" s="57" t="s">
        <v>1167</v>
      </c>
      <c r="D156" s="57" t="s">
        <v>1168</v>
      </c>
      <c r="E156" s="57" t="s">
        <v>1169</v>
      </c>
      <c r="F156" s="57" t="s">
        <v>1170</v>
      </c>
      <c r="G156" s="57" t="s">
        <v>1059</v>
      </c>
      <c r="H156" s="56" t="str">
        <f t="shared" si="1"/>
        <v>CORRECT</v>
      </c>
      <c r="I156" s="56" t="s">
        <v>77</v>
      </c>
      <c r="J156" s="56" t="s">
        <v>77</v>
      </c>
      <c r="K156" s="65" t="s">
        <v>1171</v>
      </c>
      <c r="L156" s="63">
        <v>39832.0</v>
      </c>
      <c r="M156" s="56" t="s">
        <v>62</v>
      </c>
      <c r="N156" s="57"/>
    </row>
    <row r="157" ht="60.0" customHeight="1">
      <c r="A157" s="56">
        <v>151.0</v>
      </c>
      <c r="B157" s="57" t="s">
        <v>1172</v>
      </c>
      <c r="C157" s="57" t="s">
        <v>1173</v>
      </c>
      <c r="D157" s="57" t="s">
        <v>1174</v>
      </c>
      <c r="E157" s="57" t="s">
        <v>1175</v>
      </c>
      <c r="F157" s="57" t="s">
        <v>1176</v>
      </c>
      <c r="G157" s="57" t="s">
        <v>1177</v>
      </c>
      <c r="H157" s="56" t="str">
        <f t="shared" si="1"/>
        <v>CORRECT</v>
      </c>
      <c r="I157" s="56" t="s">
        <v>77</v>
      </c>
      <c r="J157" s="56" t="s">
        <v>77</v>
      </c>
      <c r="K157" s="65" t="s">
        <v>1178</v>
      </c>
      <c r="L157" s="63">
        <v>43618.0</v>
      </c>
      <c r="M157" s="56" t="s">
        <v>62</v>
      </c>
      <c r="N157" s="57"/>
    </row>
    <row r="158" ht="60.0" customHeight="1">
      <c r="A158" s="56">
        <v>152.0</v>
      </c>
      <c r="B158" s="57" t="s">
        <v>1179</v>
      </c>
      <c r="C158" s="57" t="s">
        <v>1180</v>
      </c>
      <c r="D158" s="57" t="s">
        <v>1181</v>
      </c>
      <c r="E158" s="57" t="s">
        <v>1182</v>
      </c>
      <c r="F158" s="57" t="s">
        <v>1183</v>
      </c>
      <c r="G158" s="57" t="s">
        <v>1059</v>
      </c>
      <c r="H158" s="56" t="str">
        <f t="shared" si="1"/>
        <v>WRONG</v>
      </c>
      <c r="I158" s="56" t="s">
        <v>77</v>
      </c>
      <c r="J158" s="56" t="s">
        <v>60</v>
      </c>
      <c r="K158" s="65" t="s">
        <v>1184</v>
      </c>
      <c r="L158" s="63">
        <v>30173.0</v>
      </c>
      <c r="M158" s="56" t="s">
        <v>42</v>
      </c>
      <c r="N158" s="57" t="s">
        <v>1185</v>
      </c>
    </row>
    <row r="159" ht="60.0" customHeight="1">
      <c r="A159" s="56">
        <v>153.0</v>
      </c>
      <c r="B159" s="57" t="s">
        <v>1186</v>
      </c>
      <c r="C159" s="57" t="s">
        <v>1187</v>
      </c>
      <c r="D159" s="57" t="s">
        <v>1188</v>
      </c>
      <c r="E159" s="57" t="s">
        <v>1189</v>
      </c>
      <c r="F159" s="57" t="s">
        <v>1190</v>
      </c>
      <c r="G159" s="57" t="s">
        <v>1191</v>
      </c>
      <c r="H159" s="56" t="str">
        <f t="shared" si="1"/>
        <v>CORRECT</v>
      </c>
      <c r="I159" s="56" t="s">
        <v>50</v>
      </c>
      <c r="J159" s="56" t="s">
        <v>50</v>
      </c>
      <c r="K159" s="65" t="s">
        <v>2656</v>
      </c>
      <c r="L159" s="63">
        <v>40399.0</v>
      </c>
      <c r="M159" s="56" t="s">
        <v>62</v>
      </c>
      <c r="N159" s="57"/>
    </row>
    <row r="160" ht="60.0" customHeight="1">
      <c r="A160" s="56">
        <v>154.0</v>
      </c>
      <c r="B160" s="57" t="s">
        <v>1193</v>
      </c>
      <c r="C160" s="57" t="s">
        <v>1194</v>
      </c>
      <c r="D160" s="57" t="s">
        <v>1195</v>
      </c>
      <c r="E160" s="57" t="s">
        <v>1196</v>
      </c>
      <c r="F160" s="57" t="s">
        <v>1197</v>
      </c>
      <c r="G160" s="57" t="s">
        <v>1198</v>
      </c>
      <c r="H160" s="56" t="str">
        <f t="shared" si="1"/>
        <v>WRONG</v>
      </c>
      <c r="I160" s="56" t="s">
        <v>40</v>
      </c>
      <c r="J160" s="56" t="s">
        <v>60</v>
      </c>
      <c r="K160" s="65" t="s">
        <v>1199</v>
      </c>
      <c r="L160" s="63">
        <v>40782.0</v>
      </c>
      <c r="M160" s="56" t="s">
        <v>42</v>
      </c>
      <c r="N160" s="57" t="s">
        <v>1200</v>
      </c>
    </row>
    <row r="161" ht="60.0" customHeight="1">
      <c r="A161" s="56">
        <v>155.0</v>
      </c>
      <c r="B161" s="57" t="s">
        <v>1201</v>
      </c>
      <c r="C161" s="57" t="s">
        <v>1202</v>
      </c>
      <c r="D161" s="57" t="s">
        <v>1203</v>
      </c>
      <c r="E161" s="57" t="s">
        <v>1204</v>
      </c>
      <c r="F161" s="57" t="s">
        <v>1205</v>
      </c>
      <c r="G161" s="57" t="s">
        <v>1206</v>
      </c>
      <c r="H161" s="56" t="str">
        <f t="shared" si="1"/>
        <v>CORRECT</v>
      </c>
      <c r="I161" s="56" t="s">
        <v>50</v>
      </c>
      <c r="J161" s="56" t="s">
        <v>50</v>
      </c>
      <c r="K161" s="65" t="s">
        <v>1207</v>
      </c>
      <c r="L161" s="63">
        <v>33223.0</v>
      </c>
      <c r="M161" s="56" t="s">
        <v>42</v>
      </c>
      <c r="N161" s="57" t="s">
        <v>1208</v>
      </c>
    </row>
    <row r="162" ht="60.0" customHeight="1">
      <c r="A162" s="56">
        <v>156.0</v>
      </c>
      <c r="B162" s="57" t="s">
        <v>1209</v>
      </c>
      <c r="C162" s="57" t="s">
        <v>1210</v>
      </c>
      <c r="D162" s="57" t="s">
        <v>1211</v>
      </c>
      <c r="E162" s="57" t="s">
        <v>1212</v>
      </c>
      <c r="F162" s="57" t="s">
        <v>1213</v>
      </c>
      <c r="G162" s="57" t="s">
        <v>1214</v>
      </c>
      <c r="H162" s="56" t="str">
        <f t="shared" si="1"/>
        <v>CORRECT</v>
      </c>
      <c r="I162" s="56" t="s">
        <v>77</v>
      </c>
      <c r="J162" s="56" t="s">
        <v>77</v>
      </c>
      <c r="K162" s="65" t="s">
        <v>1215</v>
      </c>
      <c r="L162" s="63">
        <v>43033.0</v>
      </c>
      <c r="M162" s="56" t="s">
        <v>62</v>
      </c>
      <c r="N162" s="57"/>
    </row>
    <row r="163" ht="60.0" customHeight="1">
      <c r="A163" s="56">
        <v>157.0</v>
      </c>
      <c r="B163" s="57" t="s">
        <v>1216</v>
      </c>
      <c r="C163" s="57" t="s">
        <v>1217</v>
      </c>
      <c r="D163" s="57" t="s">
        <v>1218</v>
      </c>
      <c r="E163" s="57" t="s">
        <v>1219</v>
      </c>
      <c r="F163" s="57" t="s">
        <v>1220</v>
      </c>
      <c r="G163" s="57" t="s">
        <v>1059</v>
      </c>
      <c r="H163" s="56" t="str">
        <f t="shared" si="1"/>
        <v>CORRECT</v>
      </c>
      <c r="I163" s="56" t="s">
        <v>40</v>
      </c>
      <c r="J163" s="56" t="s">
        <v>40</v>
      </c>
      <c r="K163" s="65" t="s">
        <v>1221</v>
      </c>
      <c r="L163" s="63">
        <v>29496.0</v>
      </c>
      <c r="M163" s="56" t="s">
        <v>62</v>
      </c>
      <c r="N163" s="57"/>
    </row>
    <row r="164" ht="60.0" customHeight="1">
      <c r="A164" s="56">
        <v>158.0</v>
      </c>
      <c r="B164" s="57" t="s">
        <v>1222</v>
      </c>
      <c r="C164" s="57" t="s">
        <v>1223</v>
      </c>
      <c r="D164" s="57" t="s">
        <v>1224</v>
      </c>
      <c r="E164" s="57" t="s">
        <v>1225</v>
      </c>
      <c r="F164" s="57" t="s">
        <v>1226</v>
      </c>
      <c r="G164" s="57" t="s">
        <v>1227</v>
      </c>
      <c r="H164" s="56" t="str">
        <f t="shared" si="1"/>
        <v>CORRECT</v>
      </c>
      <c r="I164" s="56" t="s">
        <v>51</v>
      </c>
      <c r="J164" s="56" t="s">
        <v>51</v>
      </c>
      <c r="K164" s="65" t="s">
        <v>1228</v>
      </c>
      <c r="L164" s="63">
        <v>44975.0</v>
      </c>
      <c r="M164" s="56" t="s">
        <v>42</v>
      </c>
      <c r="N164" s="57" t="s">
        <v>1229</v>
      </c>
    </row>
    <row r="165" ht="60.0" customHeight="1">
      <c r="A165" s="56">
        <v>159.0</v>
      </c>
      <c r="B165" s="57" t="s">
        <v>1230</v>
      </c>
      <c r="C165" s="57" t="s">
        <v>1231</v>
      </c>
      <c r="D165" s="57" t="s">
        <v>1232</v>
      </c>
      <c r="E165" s="57" t="s">
        <v>1233</v>
      </c>
      <c r="F165" s="57" t="s">
        <v>1234</v>
      </c>
      <c r="G165" s="57" t="s">
        <v>1235</v>
      </c>
      <c r="H165" s="56" t="str">
        <f t="shared" si="1"/>
        <v>WRONG</v>
      </c>
      <c r="I165" s="56" t="s">
        <v>50</v>
      </c>
      <c r="J165" s="56" t="s">
        <v>77</v>
      </c>
      <c r="K165" s="65" t="s">
        <v>1236</v>
      </c>
      <c r="L165" s="63">
        <v>31805.0</v>
      </c>
      <c r="M165" s="56" t="s">
        <v>62</v>
      </c>
      <c r="N165" s="57"/>
    </row>
    <row r="166" ht="60.0" customHeight="1">
      <c r="A166" s="56">
        <v>160.0</v>
      </c>
      <c r="B166" s="57" t="s">
        <v>1237</v>
      </c>
      <c r="C166" s="57" t="s">
        <v>1238</v>
      </c>
      <c r="D166" s="57" t="s">
        <v>1239</v>
      </c>
      <c r="E166" s="57" t="s">
        <v>1240</v>
      </c>
      <c r="F166" s="57" t="s">
        <v>1241</v>
      </c>
      <c r="G166" s="57" t="s">
        <v>1059</v>
      </c>
      <c r="H166" s="56" t="str">
        <f t="shared" si="1"/>
        <v>CORRECT</v>
      </c>
      <c r="I166" s="56" t="s">
        <v>60</v>
      </c>
      <c r="J166" s="56" t="s">
        <v>60</v>
      </c>
      <c r="K166" s="65" t="s">
        <v>1242</v>
      </c>
      <c r="L166" s="63">
        <v>30290.0</v>
      </c>
      <c r="M166" s="56" t="s">
        <v>42</v>
      </c>
      <c r="N166" s="57" t="s">
        <v>1243</v>
      </c>
    </row>
    <row r="167" ht="60.0" customHeight="1">
      <c r="A167" s="56">
        <v>161.0</v>
      </c>
      <c r="B167" s="57" t="s">
        <v>1244</v>
      </c>
      <c r="C167" s="57" t="s">
        <v>1245</v>
      </c>
      <c r="D167" s="57" t="s">
        <v>1246</v>
      </c>
      <c r="E167" s="57" t="s">
        <v>1247</v>
      </c>
      <c r="F167" s="57" t="s">
        <v>1248</v>
      </c>
      <c r="G167" s="57" t="s">
        <v>1249</v>
      </c>
      <c r="H167" s="56" t="str">
        <f t="shared" si="1"/>
        <v>WRONG</v>
      </c>
      <c r="I167" s="56" t="s">
        <v>40</v>
      </c>
      <c r="J167" s="56" t="s">
        <v>51</v>
      </c>
      <c r="K167" s="65" t="s">
        <v>2657</v>
      </c>
      <c r="L167" s="63">
        <v>43415.0</v>
      </c>
      <c r="M167" s="56" t="s">
        <v>62</v>
      </c>
      <c r="N167" s="57"/>
    </row>
    <row r="168" ht="60.0" customHeight="1">
      <c r="A168" s="56">
        <v>162.0</v>
      </c>
      <c r="B168" s="57" t="s">
        <v>1251</v>
      </c>
      <c r="C168" s="57" t="s">
        <v>1252</v>
      </c>
      <c r="D168" s="57" t="s">
        <v>1253</v>
      </c>
      <c r="E168" s="57" t="s">
        <v>1254</v>
      </c>
      <c r="F168" s="57" t="s">
        <v>1255</v>
      </c>
      <c r="G168" s="57" t="s">
        <v>1256</v>
      </c>
      <c r="H168" s="56" t="str">
        <f t="shared" si="1"/>
        <v>WRONG</v>
      </c>
      <c r="I168" s="56" t="s">
        <v>77</v>
      </c>
      <c r="J168" s="56" t="s">
        <v>60</v>
      </c>
      <c r="K168" s="65" t="s">
        <v>2658</v>
      </c>
      <c r="L168" s="63">
        <v>51847.0</v>
      </c>
      <c r="M168" s="56" t="s">
        <v>42</v>
      </c>
      <c r="N168" s="57" t="s">
        <v>2659</v>
      </c>
    </row>
    <row r="169" ht="60.0" customHeight="1">
      <c r="A169" s="56">
        <v>163.0</v>
      </c>
      <c r="B169" s="57" t="s">
        <v>1259</v>
      </c>
      <c r="C169" s="57" t="s">
        <v>1260</v>
      </c>
      <c r="D169" s="57" t="s">
        <v>1261</v>
      </c>
      <c r="E169" s="57" t="s">
        <v>1262</v>
      </c>
      <c r="F169" s="57" t="s">
        <v>1263</v>
      </c>
      <c r="G169" s="57" t="s">
        <v>1059</v>
      </c>
      <c r="H169" s="56" t="str">
        <f t="shared" si="1"/>
        <v>WRONG</v>
      </c>
      <c r="I169" s="56" t="s">
        <v>40</v>
      </c>
      <c r="J169" s="56" t="s">
        <v>51</v>
      </c>
      <c r="K169" s="65" t="s">
        <v>1264</v>
      </c>
      <c r="L169" s="63">
        <v>56395.0</v>
      </c>
      <c r="M169" s="56" t="s">
        <v>42</v>
      </c>
      <c r="N169" s="57" t="s">
        <v>1265</v>
      </c>
    </row>
    <row r="170" ht="60.0" customHeight="1">
      <c r="A170" s="56">
        <v>164.0</v>
      </c>
      <c r="B170" s="57" t="s">
        <v>1266</v>
      </c>
      <c r="C170" s="57" t="s">
        <v>1267</v>
      </c>
      <c r="D170" s="57" t="s">
        <v>1268</v>
      </c>
      <c r="E170" s="57" t="s">
        <v>1269</v>
      </c>
      <c r="F170" s="57" t="s">
        <v>1270</v>
      </c>
      <c r="G170" s="57" t="s">
        <v>1271</v>
      </c>
      <c r="H170" s="56" t="str">
        <f t="shared" si="1"/>
        <v>WRONG</v>
      </c>
      <c r="I170" s="56" t="s">
        <v>51</v>
      </c>
      <c r="J170" s="56" t="s">
        <v>50</v>
      </c>
      <c r="K170" s="65" t="s">
        <v>1272</v>
      </c>
      <c r="L170" s="63">
        <v>32903.0</v>
      </c>
      <c r="M170" s="56" t="s">
        <v>62</v>
      </c>
      <c r="N170" s="57"/>
    </row>
    <row r="171" ht="60.0" customHeight="1">
      <c r="A171" s="56">
        <v>165.0</v>
      </c>
      <c r="B171" s="57" t="s">
        <v>1273</v>
      </c>
      <c r="C171" s="57" t="s">
        <v>1274</v>
      </c>
      <c r="D171" s="57" t="s">
        <v>1275</v>
      </c>
      <c r="E171" s="57" t="s">
        <v>1276</v>
      </c>
      <c r="F171" s="57" t="s">
        <v>1277</v>
      </c>
      <c r="G171" s="57" t="s">
        <v>1059</v>
      </c>
      <c r="H171" s="56" t="str">
        <f t="shared" si="1"/>
        <v>WRONG</v>
      </c>
      <c r="I171" s="56" t="s">
        <v>40</v>
      </c>
      <c r="J171" s="56" t="s">
        <v>51</v>
      </c>
      <c r="K171" s="65" t="s">
        <v>2660</v>
      </c>
      <c r="L171" s="63">
        <v>39117.0</v>
      </c>
      <c r="M171" s="56" t="s">
        <v>62</v>
      </c>
      <c r="N171" s="57"/>
    </row>
    <row r="172" ht="60.0" customHeight="1">
      <c r="A172" s="56">
        <v>166.0</v>
      </c>
      <c r="B172" s="57" t="s">
        <v>1279</v>
      </c>
      <c r="C172" s="57" t="s">
        <v>1280</v>
      </c>
      <c r="D172" s="57" t="s">
        <v>1281</v>
      </c>
      <c r="E172" s="57" t="s">
        <v>1282</v>
      </c>
      <c r="F172" s="57" t="s">
        <v>1283</v>
      </c>
      <c r="G172" s="57" t="s">
        <v>1284</v>
      </c>
      <c r="H172" s="56" t="str">
        <f t="shared" si="1"/>
        <v>WRONG</v>
      </c>
      <c r="I172" s="56" t="s">
        <v>60</v>
      </c>
      <c r="J172" s="56" t="s">
        <v>50</v>
      </c>
      <c r="K172" s="65" t="s">
        <v>1285</v>
      </c>
      <c r="L172" s="63">
        <v>40038.0</v>
      </c>
      <c r="M172" s="56" t="s">
        <v>42</v>
      </c>
      <c r="N172" s="57" t="s">
        <v>1286</v>
      </c>
    </row>
    <row r="173" ht="60.0" customHeight="1">
      <c r="A173" s="56">
        <v>167.0</v>
      </c>
      <c r="B173" s="57" t="s">
        <v>1287</v>
      </c>
      <c r="C173" s="57" t="s">
        <v>1288</v>
      </c>
      <c r="D173" s="57" t="s">
        <v>1289</v>
      </c>
      <c r="E173" s="57" t="s">
        <v>1290</v>
      </c>
      <c r="F173" s="57" t="s">
        <v>1291</v>
      </c>
      <c r="G173" s="57" t="s">
        <v>1292</v>
      </c>
      <c r="H173" s="56" t="str">
        <f t="shared" si="1"/>
        <v>WRONG</v>
      </c>
      <c r="I173" s="56" t="s">
        <v>40</v>
      </c>
      <c r="J173" s="56" t="s">
        <v>60</v>
      </c>
      <c r="K173" s="65" t="s">
        <v>2661</v>
      </c>
      <c r="L173" s="63">
        <v>39082.0</v>
      </c>
      <c r="M173" s="56" t="s">
        <v>42</v>
      </c>
      <c r="N173" s="57" t="s">
        <v>2662</v>
      </c>
    </row>
    <row r="174" ht="60.0" customHeight="1">
      <c r="A174" s="56">
        <v>168.0</v>
      </c>
      <c r="B174" s="57" t="s">
        <v>1295</v>
      </c>
      <c r="C174" s="57" t="s">
        <v>1296</v>
      </c>
      <c r="D174" s="57" t="s">
        <v>1297</v>
      </c>
      <c r="E174" s="57" t="s">
        <v>1298</v>
      </c>
      <c r="F174" s="57" t="s">
        <v>1299</v>
      </c>
      <c r="G174" s="57" t="s">
        <v>1300</v>
      </c>
      <c r="H174" s="56" t="str">
        <f t="shared" si="1"/>
        <v>WRONG</v>
      </c>
      <c r="I174" s="56" t="s">
        <v>40</v>
      </c>
      <c r="J174" s="56" t="s">
        <v>77</v>
      </c>
      <c r="K174" s="65" t="s">
        <v>1301</v>
      </c>
      <c r="L174" s="63">
        <v>38835.0</v>
      </c>
      <c r="M174" s="56" t="s">
        <v>62</v>
      </c>
      <c r="N174" s="57"/>
    </row>
    <row r="175" ht="60.0" customHeight="1">
      <c r="A175" s="56">
        <v>169.0</v>
      </c>
      <c r="B175" s="57" t="s">
        <v>1302</v>
      </c>
      <c r="C175" s="57" t="s">
        <v>1303</v>
      </c>
      <c r="D175" s="57" t="s">
        <v>1304</v>
      </c>
      <c r="E175" s="57" t="s">
        <v>1305</v>
      </c>
      <c r="F175" s="57" t="s">
        <v>1306</v>
      </c>
      <c r="G175" s="57" t="s">
        <v>1059</v>
      </c>
      <c r="H175" s="56" t="str">
        <f t="shared" si="1"/>
        <v>CORRECT</v>
      </c>
      <c r="I175" s="56" t="s">
        <v>60</v>
      </c>
      <c r="J175" s="56" t="s">
        <v>60</v>
      </c>
      <c r="K175" s="65" t="s">
        <v>2663</v>
      </c>
      <c r="L175" s="63">
        <v>35346.0</v>
      </c>
      <c r="M175" s="56" t="s">
        <v>62</v>
      </c>
      <c r="N175" s="57"/>
    </row>
    <row r="176" ht="60.0" customHeight="1">
      <c r="A176" s="56">
        <v>170.0</v>
      </c>
      <c r="B176" s="57" t="s">
        <v>1308</v>
      </c>
      <c r="C176" s="57" t="s">
        <v>1309</v>
      </c>
      <c r="D176" s="57" t="s">
        <v>1310</v>
      </c>
      <c r="E176" s="57" t="s">
        <v>1311</v>
      </c>
      <c r="F176" s="57" t="s">
        <v>1312</v>
      </c>
      <c r="G176" s="57" t="s">
        <v>1313</v>
      </c>
      <c r="H176" s="56" t="str">
        <f t="shared" si="1"/>
        <v>CORRECT</v>
      </c>
      <c r="I176" s="56" t="s">
        <v>51</v>
      </c>
      <c r="J176" s="56" t="s">
        <v>51</v>
      </c>
      <c r="K176" s="65" t="s">
        <v>1314</v>
      </c>
      <c r="L176" s="63">
        <v>34584.0</v>
      </c>
      <c r="M176" s="56" t="s">
        <v>42</v>
      </c>
      <c r="N176" s="57" t="s">
        <v>1315</v>
      </c>
    </row>
    <row r="177" ht="60.0" customHeight="1">
      <c r="A177" s="56">
        <v>171.0</v>
      </c>
      <c r="B177" s="57" t="s">
        <v>1316</v>
      </c>
      <c r="C177" s="57" t="s">
        <v>1317</v>
      </c>
      <c r="D177" s="57" t="s">
        <v>1318</v>
      </c>
      <c r="E177" s="57" t="s">
        <v>1319</v>
      </c>
      <c r="F177" s="57" t="s">
        <v>1320</v>
      </c>
      <c r="G177" s="57" t="s">
        <v>1059</v>
      </c>
      <c r="H177" s="56" t="str">
        <f t="shared" si="1"/>
        <v>CORRECT</v>
      </c>
      <c r="I177" s="56" t="s">
        <v>60</v>
      </c>
      <c r="J177" s="56" t="s">
        <v>60</v>
      </c>
      <c r="K177" s="65" t="s">
        <v>1321</v>
      </c>
      <c r="L177" s="63">
        <v>26541.0</v>
      </c>
      <c r="M177" s="56" t="s">
        <v>42</v>
      </c>
      <c r="N177" s="57" t="s">
        <v>1322</v>
      </c>
    </row>
    <row r="178" ht="60.0" customHeight="1">
      <c r="A178" s="56">
        <v>172.0</v>
      </c>
      <c r="B178" s="57" t="s">
        <v>1323</v>
      </c>
      <c r="C178" s="57" t="s">
        <v>1324</v>
      </c>
      <c r="D178" s="57" t="s">
        <v>1325</v>
      </c>
      <c r="E178" s="57" t="s">
        <v>1326</v>
      </c>
      <c r="F178" s="57" t="s">
        <v>1327</v>
      </c>
      <c r="G178" s="57" t="s">
        <v>1059</v>
      </c>
      <c r="H178" s="56" t="str">
        <f t="shared" si="1"/>
        <v>CORRECT</v>
      </c>
      <c r="I178" s="56" t="s">
        <v>50</v>
      </c>
      <c r="J178" s="56" t="s">
        <v>50</v>
      </c>
      <c r="K178" s="65" t="s">
        <v>1328</v>
      </c>
      <c r="L178" s="63">
        <v>39990.0</v>
      </c>
      <c r="M178" s="56" t="s">
        <v>62</v>
      </c>
      <c r="N178" s="57"/>
    </row>
    <row r="179" ht="60.0" customHeight="1">
      <c r="A179" s="56">
        <v>173.0</v>
      </c>
      <c r="B179" s="57" t="s">
        <v>1329</v>
      </c>
      <c r="C179" s="57" t="s">
        <v>1330</v>
      </c>
      <c r="D179" s="57" t="s">
        <v>1331</v>
      </c>
      <c r="E179" s="57" t="s">
        <v>1332</v>
      </c>
      <c r="F179" s="57" t="s">
        <v>1333</v>
      </c>
      <c r="G179" s="57" t="s">
        <v>1334</v>
      </c>
      <c r="H179" s="56" t="str">
        <f t="shared" si="1"/>
        <v>CORRECT</v>
      </c>
      <c r="I179" s="56" t="s">
        <v>40</v>
      </c>
      <c r="J179" s="56" t="s">
        <v>40</v>
      </c>
      <c r="K179" s="65" t="s">
        <v>1335</v>
      </c>
      <c r="L179" s="63">
        <v>39767.0</v>
      </c>
      <c r="M179" s="56" t="s">
        <v>42</v>
      </c>
      <c r="N179" s="57" t="s">
        <v>1336</v>
      </c>
    </row>
    <row r="180" ht="60.0" customHeight="1">
      <c r="A180" s="56">
        <v>174.0</v>
      </c>
      <c r="B180" s="57" t="s">
        <v>1337</v>
      </c>
      <c r="C180" s="57" t="s">
        <v>1338</v>
      </c>
      <c r="D180" s="57" t="s">
        <v>1339</v>
      </c>
      <c r="E180" s="57" t="s">
        <v>1340</v>
      </c>
      <c r="F180" s="57" t="s">
        <v>1341</v>
      </c>
      <c r="G180" s="57" t="s">
        <v>1342</v>
      </c>
      <c r="H180" s="56" t="str">
        <f t="shared" si="1"/>
        <v>CORRECT</v>
      </c>
      <c r="I180" s="56" t="s">
        <v>77</v>
      </c>
      <c r="J180" s="56" t="s">
        <v>77</v>
      </c>
      <c r="K180" s="65" t="s">
        <v>1343</v>
      </c>
      <c r="L180" s="63">
        <v>30050.0</v>
      </c>
      <c r="M180" s="56" t="s">
        <v>62</v>
      </c>
      <c r="N180" s="62"/>
    </row>
    <row r="181" ht="60.0" customHeight="1">
      <c r="A181" s="56">
        <v>175.0</v>
      </c>
      <c r="B181" s="57" t="s">
        <v>1344</v>
      </c>
      <c r="C181" s="57" t="s">
        <v>1345</v>
      </c>
      <c r="D181" s="57" t="s">
        <v>1346</v>
      </c>
      <c r="E181" s="57" t="s">
        <v>1347</v>
      </c>
      <c r="F181" s="57" t="s">
        <v>1348</v>
      </c>
      <c r="G181" s="57" t="s">
        <v>1349</v>
      </c>
      <c r="H181" s="56" t="str">
        <f t="shared" si="1"/>
        <v>CORRECT</v>
      </c>
      <c r="I181" s="56" t="s">
        <v>50</v>
      </c>
      <c r="J181" s="56" t="s">
        <v>50</v>
      </c>
      <c r="K181" s="65" t="s">
        <v>2664</v>
      </c>
      <c r="L181" s="63">
        <v>43295.0</v>
      </c>
      <c r="M181" s="56" t="s">
        <v>62</v>
      </c>
      <c r="N181" s="57"/>
    </row>
    <row r="182" ht="60.0" customHeight="1">
      <c r="A182" s="56">
        <v>176.0</v>
      </c>
      <c r="B182" s="57" t="s">
        <v>1351</v>
      </c>
      <c r="C182" s="57" t="s">
        <v>1352</v>
      </c>
      <c r="D182" s="57" t="s">
        <v>1353</v>
      </c>
      <c r="E182" s="57" t="s">
        <v>1354</v>
      </c>
      <c r="F182" s="57" t="s">
        <v>1355</v>
      </c>
      <c r="G182" s="57" t="s">
        <v>1356</v>
      </c>
      <c r="H182" s="56" t="str">
        <f t="shared" si="1"/>
        <v>CORRECT</v>
      </c>
      <c r="I182" s="56" t="s">
        <v>50</v>
      </c>
      <c r="J182" s="56" t="s">
        <v>50</v>
      </c>
      <c r="K182" s="65" t="s">
        <v>1357</v>
      </c>
      <c r="L182" s="63">
        <v>32854.0</v>
      </c>
      <c r="M182" s="56" t="s">
        <v>62</v>
      </c>
      <c r="N182" s="57"/>
    </row>
    <row r="183" ht="60.0" customHeight="1">
      <c r="A183" s="56">
        <v>177.0</v>
      </c>
      <c r="B183" s="57" t="s">
        <v>1358</v>
      </c>
      <c r="C183" s="57" t="s">
        <v>1359</v>
      </c>
      <c r="D183" s="57" t="s">
        <v>1360</v>
      </c>
      <c r="E183" s="57" t="s">
        <v>1361</v>
      </c>
      <c r="F183" s="57" t="s">
        <v>1362</v>
      </c>
      <c r="G183" s="57" t="s">
        <v>1363</v>
      </c>
      <c r="H183" s="56" t="str">
        <f t="shared" si="1"/>
        <v>CORRECT</v>
      </c>
      <c r="I183" s="56" t="s">
        <v>50</v>
      </c>
      <c r="J183" s="56" t="s">
        <v>50</v>
      </c>
      <c r="K183" s="65" t="s">
        <v>1364</v>
      </c>
      <c r="L183" s="63">
        <v>35846.0</v>
      </c>
      <c r="M183" s="56" t="s">
        <v>62</v>
      </c>
      <c r="N183" s="57"/>
    </row>
    <row r="184" ht="60.0" customHeight="1">
      <c r="A184" s="56">
        <v>178.0</v>
      </c>
      <c r="B184" s="57" t="s">
        <v>1365</v>
      </c>
      <c r="C184" s="57" t="s">
        <v>1366</v>
      </c>
      <c r="D184" s="57" t="s">
        <v>1367</v>
      </c>
      <c r="E184" s="57" t="s">
        <v>1368</v>
      </c>
      <c r="F184" s="57" t="s">
        <v>1369</v>
      </c>
      <c r="G184" s="57" t="s">
        <v>1370</v>
      </c>
      <c r="H184" s="56" t="str">
        <f t="shared" si="1"/>
        <v>CORRECT</v>
      </c>
      <c r="I184" s="56" t="s">
        <v>40</v>
      </c>
      <c r="J184" s="56" t="s">
        <v>40</v>
      </c>
      <c r="K184" s="65" t="s">
        <v>1371</v>
      </c>
      <c r="L184" s="63">
        <v>38104.0</v>
      </c>
      <c r="M184" s="56" t="s">
        <v>42</v>
      </c>
      <c r="N184" s="57" t="s">
        <v>1372</v>
      </c>
    </row>
    <row r="185" ht="60.0" customHeight="1">
      <c r="A185" s="56">
        <v>179.0</v>
      </c>
      <c r="B185" s="57" t="s">
        <v>1373</v>
      </c>
      <c r="C185" s="57" t="s">
        <v>1374</v>
      </c>
      <c r="D185" s="57" t="s">
        <v>1375</v>
      </c>
      <c r="E185" s="57" t="s">
        <v>1376</v>
      </c>
      <c r="F185" s="57" t="s">
        <v>1377</v>
      </c>
      <c r="G185" s="57" t="s">
        <v>1378</v>
      </c>
      <c r="H185" s="56" t="str">
        <f t="shared" si="1"/>
        <v>WRONG</v>
      </c>
      <c r="I185" s="56" t="s">
        <v>51</v>
      </c>
      <c r="J185" s="56" t="s">
        <v>50</v>
      </c>
      <c r="K185" s="65" t="s">
        <v>1379</v>
      </c>
      <c r="L185" s="63">
        <v>34546.0</v>
      </c>
      <c r="M185" s="56" t="s">
        <v>62</v>
      </c>
      <c r="N185" s="57"/>
    </row>
    <row r="186" ht="60.0" customHeight="1">
      <c r="A186" s="56">
        <v>180.0</v>
      </c>
      <c r="B186" s="57" t="s">
        <v>1380</v>
      </c>
      <c r="C186" s="57" t="s">
        <v>1381</v>
      </c>
      <c r="D186" s="57" t="s">
        <v>1382</v>
      </c>
      <c r="E186" s="57" t="s">
        <v>1383</v>
      </c>
      <c r="F186" s="57" t="s">
        <v>1384</v>
      </c>
      <c r="G186" s="57" t="s">
        <v>1385</v>
      </c>
      <c r="H186" s="56" t="str">
        <f t="shared" si="1"/>
        <v>CORRECT</v>
      </c>
      <c r="I186" s="56" t="s">
        <v>77</v>
      </c>
      <c r="J186" s="56" t="s">
        <v>77</v>
      </c>
      <c r="K186" s="65" t="s">
        <v>1386</v>
      </c>
      <c r="L186" s="63">
        <v>36388.0</v>
      </c>
      <c r="M186" s="56" t="s">
        <v>62</v>
      </c>
      <c r="N186" s="57"/>
    </row>
    <row r="187" ht="60.0" customHeight="1">
      <c r="A187" s="56">
        <v>181.0</v>
      </c>
      <c r="B187" s="57" t="s">
        <v>1387</v>
      </c>
      <c r="C187" s="57" t="s">
        <v>1388</v>
      </c>
      <c r="D187" s="57" t="s">
        <v>1389</v>
      </c>
      <c r="E187" s="57" t="s">
        <v>1390</v>
      </c>
      <c r="F187" s="57" t="s">
        <v>1391</v>
      </c>
      <c r="G187" s="57" t="s">
        <v>1392</v>
      </c>
      <c r="H187" s="56" t="str">
        <f t="shared" si="1"/>
        <v>CORRECT</v>
      </c>
      <c r="I187" s="56" t="s">
        <v>40</v>
      </c>
      <c r="J187" s="56" t="s">
        <v>40</v>
      </c>
      <c r="K187" s="65" t="s">
        <v>1393</v>
      </c>
      <c r="L187" s="63">
        <v>35860.0</v>
      </c>
      <c r="M187" s="56" t="s">
        <v>62</v>
      </c>
      <c r="N187" s="57"/>
    </row>
    <row r="188" ht="60.0" customHeight="1">
      <c r="A188" s="56">
        <v>182.0</v>
      </c>
      <c r="B188" s="57" t="s">
        <v>1394</v>
      </c>
      <c r="C188" s="57" t="s">
        <v>1395</v>
      </c>
      <c r="D188" s="57" t="s">
        <v>1396</v>
      </c>
      <c r="E188" s="57" t="s">
        <v>1397</v>
      </c>
      <c r="F188" s="57" t="s">
        <v>1398</v>
      </c>
      <c r="G188" s="57" t="s">
        <v>1399</v>
      </c>
      <c r="H188" s="56" t="str">
        <f t="shared" si="1"/>
        <v>CORRECT</v>
      </c>
      <c r="I188" s="56" t="s">
        <v>50</v>
      </c>
      <c r="J188" s="56" t="s">
        <v>50</v>
      </c>
      <c r="K188" s="65" t="s">
        <v>1400</v>
      </c>
      <c r="L188" s="63">
        <v>28911.0</v>
      </c>
      <c r="M188" s="56" t="s">
        <v>62</v>
      </c>
      <c r="N188" s="57"/>
    </row>
    <row r="189" ht="60.0" customHeight="1">
      <c r="A189" s="56">
        <v>183.0</v>
      </c>
      <c r="B189" s="57" t="s">
        <v>1401</v>
      </c>
      <c r="C189" s="57" t="s">
        <v>1402</v>
      </c>
      <c r="D189" s="57" t="s">
        <v>1403</v>
      </c>
      <c r="E189" s="57" t="s">
        <v>1404</v>
      </c>
      <c r="F189" s="57" t="s">
        <v>1405</v>
      </c>
      <c r="G189" s="57" t="s">
        <v>1406</v>
      </c>
      <c r="H189" s="56" t="str">
        <f t="shared" si="1"/>
        <v>CORRECT</v>
      </c>
      <c r="I189" s="56" t="s">
        <v>51</v>
      </c>
      <c r="J189" s="56" t="s">
        <v>51</v>
      </c>
      <c r="K189" s="65" t="s">
        <v>1407</v>
      </c>
      <c r="L189" s="63">
        <v>37808.0</v>
      </c>
      <c r="M189" s="56" t="s">
        <v>62</v>
      </c>
      <c r="N189" s="62"/>
    </row>
    <row r="190" ht="60.0" customHeight="1">
      <c r="A190" s="56">
        <v>184.0</v>
      </c>
      <c r="B190" s="57" t="s">
        <v>1408</v>
      </c>
      <c r="C190" s="57" t="s">
        <v>1409</v>
      </c>
      <c r="D190" s="57" t="s">
        <v>1410</v>
      </c>
      <c r="E190" s="57" t="s">
        <v>1411</v>
      </c>
      <c r="F190" s="57" t="s">
        <v>1412</v>
      </c>
      <c r="G190" s="57" t="s">
        <v>1413</v>
      </c>
      <c r="H190" s="56" t="str">
        <f t="shared" si="1"/>
        <v>CORRECT</v>
      </c>
      <c r="I190" s="56" t="s">
        <v>51</v>
      </c>
      <c r="J190" s="56" t="s">
        <v>51</v>
      </c>
      <c r="K190" s="65" t="s">
        <v>1414</v>
      </c>
      <c r="L190" s="63">
        <v>35385.0</v>
      </c>
      <c r="M190" s="56" t="s">
        <v>62</v>
      </c>
      <c r="N190" s="62"/>
    </row>
    <row r="191" ht="60.0" customHeight="1">
      <c r="A191" s="56">
        <v>185.0</v>
      </c>
      <c r="B191" s="57" t="s">
        <v>1415</v>
      </c>
      <c r="C191" s="57" t="s">
        <v>1416</v>
      </c>
      <c r="D191" s="57" t="s">
        <v>1417</v>
      </c>
      <c r="E191" s="57" t="s">
        <v>1418</v>
      </c>
      <c r="F191" s="57" t="s">
        <v>1419</v>
      </c>
      <c r="G191" s="57" t="s">
        <v>1420</v>
      </c>
      <c r="H191" s="56" t="str">
        <f t="shared" si="1"/>
        <v>CORRECT</v>
      </c>
      <c r="I191" s="56" t="s">
        <v>60</v>
      </c>
      <c r="J191" s="56" t="s">
        <v>60</v>
      </c>
      <c r="K191" s="65" t="s">
        <v>1421</v>
      </c>
      <c r="L191" s="63">
        <v>35188.0</v>
      </c>
      <c r="M191" s="56" t="s">
        <v>62</v>
      </c>
      <c r="N191" s="62"/>
    </row>
    <row r="192" ht="60.0" customHeight="1">
      <c r="A192" s="56">
        <v>186.0</v>
      </c>
      <c r="B192" s="57" t="s">
        <v>1422</v>
      </c>
      <c r="C192" s="57" t="s">
        <v>1423</v>
      </c>
      <c r="D192" s="57" t="s">
        <v>1424</v>
      </c>
      <c r="E192" s="57" t="s">
        <v>1425</v>
      </c>
      <c r="F192" s="57" t="s">
        <v>1426</v>
      </c>
      <c r="G192" s="57" t="s">
        <v>1427</v>
      </c>
      <c r="H192" s="56" t="str">
        <f t="shared" si="1"/>
        <v>CORRECT</v>
      </c>
      <c r="I192" s="56" t="s">
        <v>77</v>
      </c>
      <c r="J192" s="56" t="s">
        <v>77</v>
      </c>
      <c r="K192" s="65" t="s">
        <v>1428</v>
      </c>
      <c r="L192" s="63">
        <v>47938.0</v>
      </c>
      <c r="M192" s="56" t="s">
        <v>42</v>
      </c>
      <c r="N192" s="57" t="s">
        <v>1429</v>
      </c>
    </row>
    <row r="193" ht="60.0" customHeight="1">
      <c r="A193" s="56">
        <v>187.0</v>
      </c>
      <c r="B193" s="57" t="s">
        <v>1430</v>
      </c>
      <c r="C193" s="57" t="s">
        <v>1431</v>
      </c>
      <c r="D193" s="57" t="s">
        <v>1432</v>
      </c>
      <c r="E193" s="57" t="s">
        <v>1433</v>
      </c>
      <c r="F193" s="57" t="s">
        <v>1434</v>
      </c>
      <c r="G193" s="57" t="s">
        <v>1435</v>
      </c>
      <c r="H193" s="56" t="str">
        <f t="shared" si="1"/>
        <v>CORRECT</v>
      </c>
      <c r="I193" s="56" t="s">
        <v>51</v>
      </c>
      <c r="J193" s="56" t="s">
        <v>51</v>
      </c>
      <c r="K193" s="65" t="s">
        <v>1436</v>
      </c>
      <c r="L193" s="63">
        <v>39438.0</v>
      </c>
      <c r="M193" s="56" t="s">
        <v>42</v>
      </c>
      <c r="N193" s="57" t="s">
        <v>1437</v>
      </c>
    </row>
    <row r="194" ht="60.0" customHeight="1">
      <c r="A194" s="56">
        <v>188.0</v>
      </c>
      <c r="B194" s="57" t="s">
        <v>1438</v>
      </c>
      <c r="C194" s="57" t="s">
        <v>1439</v>
      </c>
      <c r="D194" s="57" t="s">
        <v>1440</v>
      </c>
      <c r="E194" s="57" t="s">
        <v>1441</v>
      </c>
      <c r="F194" s="57" t="s">
        <v>1442</v>
      </c>
      <c r="G194" s="57" t="s">
        <v>1443</v>
      </c>
      <c r="H194" s="56" t="str">
        <f t="shared" si="1"/>
        <v>WRONG</v>
      </c>
      <c r="I194" s="56" t="s">
        <v>50</v>
      </c>
      <c r="J194" s="56" t="s">
        <v>77</v>
      </c>
      <c r="K194" s="65" t="s">
        <v>1444</v>
      </c>
      <c r="L194" s="63">
        <v>44335.0</v>
      </c>
      <c r="M194" s="56" t="s">
        <v>42</v>
      </c>
      <c r="N194" s="57" t="s">
        <v>1445</v>
      </c>
    </row>
    <row r="195" ht="60.0" customHeight="1">
      <c r="A195" s="56">
        <v>189.0</v>
      </c>
      <c r="B195" s="57" t="s">
        <v>1446</v>
      </c>
      <c r="C195" s="57" t="s">
        <v>1447</v>
      </c>
      <c r="D195" s="57" t="s">
        <v>1448</v>
      </c>
      <c r="E195" s="57" t="s">
        <v>1449</v>
      </c>
      <c r="F195" s="57" t="s">
        <v>1450</v>
      </c>
      <c r="G195" s="57" t="s">
        <v>1059</v>
      </c>
      <c r="H195" s="56" t="str">
        <f t="shared" si="1"/>
        <v>CORRECT</v>
      </c>
      <c r="I195" s="56" t="s">
        <v>50</v>
      </c>
      <c r="J195" s="56" t="s">
        <v>50</v>
      </c>
      <c r="K195" s="65" t="s">
        <v>1451</v>
      </c>
      <c r="L195" s="63">
        <v>34445.0</v>
      </c>
      <c r="M195" s="56" t="s">
        <v>42</v>
      </c>
      <c r="N195" s="57" t="s">
        <v>1452</v>
      </c>
    </row>
    <row r="196" ht="60.0" customHeight="1">
      <c r="A196" s="56">
        <v>190.0</v>
      </c>
      <c r="B196" s="57" t="s">
        <v>1453</v>
      </c>
      <c r="C196" s="57" t="s">
        <v>1454</v>
      </c>
      <c r="D196" s="57" t="s">
        <v>1455</v>
      </c>
      <c r="E196" s="57" t="s">
        <v>1456</v>
      </c>
      <c r="F196" s="57" t="s">
        <v>1457</v>
      </c>
      <c r="G196" s="57" t="s">
        <v>1458</v>
      </c>
      <c r="H196" s="56" t="str">
        <f t="shared" si="1"/>
        <v>CORRECT</v>
      </c>
      <c r="I196" s="56" t="s">
        <v>77</v>
      </c>
      <c r="J196" s="56" t="s">
        <v>77</v>
      </c>
      <c r="K196" s="65" t="s">
        <v>1459</v>
      </c>
      <c r="L196" s="63">
        <v>45995.0</v>
      </c>
      <c r="M196" s="56" t="s">
        <v>42</v>
      </c>
      <c r="N196" s="57" t="s">
        <v>1460</v>
      </c>
    </row>
    <row r="197" ht="60.0" customHeight="1">
      <c r="A197" s="56">
        <v>191.0</v>
      </c>
      <c r="B197" s="57" t="s">
        <v>1461</v>
      </c>
      <c r="C197" s="57" t="s">
        <v>1462</v>
      </c>
      <c r="D197" s="57" t="s">
        <v>1463</v>
      </c>
      <c r="E197" s="57" t="s">
        <v>1464</v>
      </c>
      <c r="F197" s="57" t="s">
        <v>1465</v>
      </c>
      <c r="G197" s="57" t="s">
        <v>1466</v>
      </c>
      <c r="H197" s="56" t="str">
        <f t="shared" si="1"/>
        <v>CORRECT</v>
      </c>
      <c r="I197" s="56" t="s">
        <v>60</v>
      </c>
      <c r="J197" s="56" t="s">
        <v>60</v>
      </c>
      <c r="K197" s="65" t="s">
        <v>1467</v>
      </c>
      <c r="L197" s="63">
        <v>42995.0</v>
      </c>
      <c r="M197" s="56" t="s">
        <v>62</v>
      </c>
      <c r="N197" s="57"/>
    </row>
    <row r="198" ht="60.0" customHeight="1">
      <c r="A198" s="56">
        <v>192.0</v>
      </c>
      <c r="B198" s="57" t="s">
        <v>1468</v>
      </c>
      <c r="C198" s="57" t="s">
        <v>1469</v>
      </c>
      <c r="D198" s="57" t="s">
        <v>1470</v>
      </c>
      <c r="E198" s="57" t="s">
        <v>1471</v>
      </c>
      <c r="F198" s="57" t="s">
        <v>1472</v>
      </c>
      <c r="G198" s="57" t="s">
        <v>1473</v>
      </c>
      <c r="H198" s="56" t="str">
        <f t="shared" si="1"/>
        <v>WRONG</v>
      </c>
      <c r="I198" s="56" t="s">
        <v>40</v>
      </c>
      <c r="J198" s="56" t="s">
        <v>50</v>
      </c>
      <c r="K198" s="65" t="s">
        <v>1474</v>
      </c>
      <c r="L198" s="63">
        <v>31624.0</v>
      </c>
      <c r="M198" s="56" t="s">
        <v>42</v>
      </c>
      <c r="N198" s="57" t="s">
        <v>1475</v>
      </c>
    </row>
    <row r="199" ht="60.0" customHeight="1">
      <c r="A199" s="56">
        <v>193.0</v>
      </c>
      <c r="B199" s="57" t="s">
        <v>1476</v>
      </c>
      <c r="C199" s="57" t="s">
        <v>1477</v>
      </c>
      <c r="D199" s="57" t="s">
        <v>1478</v>
      </c>
      <c r="E199" s="57" t="s">
        <v>1479</v>
      </c>
      <c r="F199" s="57" t="s">
        <v>1116</v>
      </c>
      <c r="G199" s="57" t="s">
        <v>1480</v>
      </c>
      <c r="H199" s="56" t="str">
        <f t="shared" si="1"/>
        <v>CORRECT</v>
      </c>
      <c r="I199" s="56" t="s">
        <v>60</v>
      </c>
      <c r="J199" s="56" t="s">
        <v>60</v>
      </c>
      <c r="K199" s="65" t="s">
        <v>1481</v>
      </c>
      <c r="L199" s="63">
        <v>33387.0</v>
      </c>
      <c r="M199" s="56" t="s">
        <v>42</v>
      </c>
      <c r="N199" s="57" t="s">
        <v>1482</v>
      </c>
    </row>
    <row r="200" ht="60.0" customHeight="1">
      <c r="A200" s="56">
        <v>194.0</v>
      </c>
      <c r="B200" s="57" t="s">
        <v>1483</v>
      </c>
      <c r="C200" s="57" t="s">
        <v>1484</v>
      </c>
      <c r="D200" s="57" t="s">
        <v>1485</v>
      </c>
      <c r="E200" s="57" t="s">
        <v>1486</v>
      </c>
      <c r="F200" s="57" t="s">
        <v>1487</v>
      </c>
      <c r="G200" s="57" t="s">
        <v>1488</v>
      </c>
      <c r="H200" s="56" t="str">
        <f t="shared" si="1"/>
        <v>CORRECT</v>
      </c>
      <c r="I200" s="56" t="s">
        <v>50</v>
      </c>
      <c r="J200" s="56" t="s">
        <v>50</v>
      </c>
      <c r="K200" s="65" t="s">
        <v>1489</v>
      </c>
      <c r="L200" s="63">
        <v>31026.0</v>
      </c>
      <c r="M200" s="56" t="s">
        <v>42</v>
      </c>
      <c r="N200" s="57" t="s">
        <v>1069</v>
      </c>
    </row>
    <row r="201" ht="60.0" customHeight="1">
      <c r="A201" s="56">
        <v>195.0</v>
      </c>
      <c r="B201" s="57" t="s">
        <v>1490</v>
      </c>
      <c r="C201" s="57" t="s">
        <v>1491</v>
      </c>
      <c r="D201" s="57" t="s">
        <v>1492</v>
      </c>
      <c r="E201" s="57" t="s">
        <v>1493</v>
      </c>
      <c r="F201" s="57" t="s">
        <v>1494</v>
      </c>
      <c r="G201" s="57" t="s">
        <v>1495</v>
      </c>
      <c r="H201" s="56" t="str">
        <f t="shared" si="1"/>
        <v>WRONG</v>
      </c>
      <c r="I201" s="56" t="s">
        <v>60</v>
      </c>
      <c r="J201" s="56" t="s">
        <v>40</v>
      </c>
      <c r="K201" s="65" t="s">
        <v>1496</v>
      </c>
      <c r="L201" s="63">
        <v>34617.0</v>
      </c>
      <c r="M201" s="56" t="s">
        <v>62</v>
      </c>
      <c r="N201" s="57"/>
    </row>
    <row r="202" ht="60.0" customHeight="1">
      <c r="A202" s="56">
        <v>196.0</v>
      </c>
      <c r="B202" s="57" t="s">
        <v>1497</v>
      </c>
      <c r="C202" s="57" t="s">
        <v>1498</v>
      </c>
      <c r="D202" s="57" t="s">
        <v>1499</v>
      </c>
      <c r="E202" s="57" t="s">
        <v>1500</v>
      </c>
      <c r="F202" s="57" t="s">
        <v>1501</v>
      </c>
      <c r="G202" s="57" t="s">
        <v>1502</v>
      </c>
      <c r="H202" s="56" t="str">
        <f t="shared" si="1"/>
        <v>CORRECT</v>
      </c>
      <c r="I202" s="56" t="s">
        <v>40</v>
      </c>
      <c r="J202" s="56" t="s">
        <v>40</v>
      </c>
      <c r="K202" s="65" t="s">
        <v>1503</v>
      </c>
      <c r="L202" s="63">
        <v>32625.0</v>
      </c>
      <c r="M202" s="56" t="s">
        <v>42</v>
      </c>
      <c r="N202" s="57" t="s">
        <v>1069</v>
      </c>
    </row>
    <row r="203" ht="60.0" customHeight="1">
      <c r="A203" s="56">
        <v>197.0</v>
      </c>
      <c r="B203" s="57" t="s">
        <v>1504</v>
      </c>
      <c r="C203" s="57" t="s">
        <v>1505</v>
      </c>
      <c r="D203" s="57" t="s">
        <v>1506</v>
      </c>
      <c r="E203" s="57" t="s">
        <v>1507</v>
      </c>
      <c r="F203" s="57" t="s">
        <v>1508</v>
      </c>
      <c r="G203" s="57" t="s">
        <v>1059</v>
      </c>
      <c r="H203" s="56" t="str">
        <f t="shared" si="1"/>
        <v>WRONG</v>
      </c>
      <c r="I203" s="56" t="s">
        <v>77</v>
      </c>
      <c r="J203" s="56" t="s">
        <v>60</v>
      </c>
      <c r="K203" s="65" t="s">
        <v>1509</v>
      </c>
      <c r="L203" s="63">
        <v>33024.0</v>
      </c>
      <c r="M203" s="56" t="s">
        <v>42</v>
      </c>
      <c r="N203" s="57" t="s">
        <v>1510</v>
      </c>
    </row>
    <row r="204" ht="60.0" customHeight="1">
      <c r="A204" s="56">
        <v>198.0</v>
      </c>
      <c r="B204" s="57" t="s">
        <v>1511</v>
      </c>
      <c r="C204" s="57" t="s">
        <v>1512</v>
      </c>
      <c r="D204" s="57" t="s">
        <v>1513</v>
      </c>
      <c r="E204" s="57" t="s">
        <v>1514</v>
      </c>
      <c r="F204" s="57" t="s">
        <v>1515</v>
      </c>
      <c r="G204" s="57" t="s">
        <v>1516</v>
      </c>
      <c r="H204" s="56" t="str">
        <f t="shared" si="1"/>
        <v>CORRECT</v>
      </c>
      <c r="I204" s="56" t="s">
        <v>77</v>
      </c>
      <c r="J204" s="56" t="s">
        <v>77</v>
      </c>
      <c r="K204" s="65" t="s">
        <v>1517</v>
      </c>
      <c r="L204" s="63">
        <v>31065.0</v>
      </c>
      <c r="M204" s="56" t="s">
        <v>42</v>
      </c>
      <c r="N204" s="57" t="s">
        <v>1518</v>
      </c>
    </row>
    <row r="205" ht="60.0" customHeight="1">
      <c r="A205" s="56">
        <v>199.0</v>
      </c>
      <c r="B205" s="57" t="s">
        <v>1519</v>
      </c>
      <c r="C205" s="57" t="s">
        <v>1520</v>
      </c>
      <c r="D205" s="57" t="s">
        <v>1521</v>
      </c>
      <c r="E205" s="57" t="s">
        <v>1522</v>
      </c>
      <c r="F205" s="57" t="s">
        <v>1523</v>
      </c>
      <c r="G205" s="57" t="s">
        <v>1524</v>
      </c>
      <c r="H205" s="56" t="str">
        <f t="shared" si="1"/>
        <v>CORRECT</v>
      </c>
      <c r="I205" s="56" t="s">
        <v>51</v>
      </c>
      <c r="J205" s="56" t="s">
        <v>51</v>
      </c>
      <c r="K205" s="65" t="s">
        <v>2665</v>
      </c>
      <c r="L205" s="63">
        <v>32521.0</v>
      </c>
      <c r="M205" s="56" t="s">
        <v>62</v>
      </c>
      <c r="N205" s="62"/>
    </row>
    <row r="206" ht="60.0" customHeight="1">
      <c r="A206" s="56">
        <v>200.0</v>
      </c>
      <c r="B206" s="57" t="s">
        <v>1526</v>
      </c>
      <c r="C206" s="57" t="s">
        <v>1527</v>
      </c>
      <c r="D206" s="57" t="s">
        <v>1528</v>
      </c>
      <c r="E206" s="57" t="s">
        <v>1529</v>
      </c>
      <c r="F206" s="57" t="s">
        <v>1530</v>
      </c>
      <c r="G206" s="57" t="s">
        <v>1531</v>
      </c>
      <c r="H206" s="56" t="str">
        <f t="shared" si="1"/>
        <v>WRONG</v>
      </c>
      <c r="I206" s="56" t="s">
        <v>40</v>
      </c>
      <c r="J206" s="56" t="s">
        <v>77</v>
      </c>
      <c r="K206" s="65" t="s">
        <v>1532</v>
      </c>
      <c r="L206" s="63">
        <v>33689.0</v>
      </c>
      <c r="M206" s="56" t="s">
        <v>62</v>
      </c>
      <c r="N206" s="57"/>
    </row>
    <row r="207" ht="60.0" customHeight="1">
      <c r="A207" s="56">
        <v>201.0</v>
      </c>
      <c r="B207" s="57" t="s">
        <v>1533</v>
      </c>
      <c r="C207" s="57" t="s">
        <v>1534</v>
      </c>
      <c r="D207" s="57" t="s">
        <v>1535</v>
      </c>
      <c r="E207" s="57" t="s">
        <v>1536</v>
      </c>
      <c r="F207" s="57" t="s">
        <v>1537</v>
      </c>
      <c r="G207" s="57" t="s">
        <v>1538</v>
      </c>
      <c r="H207" s="56" t="str">
        <f t="shared" si="1"/>
        <v>CORRECT</v>
      </c>
      <c r="I207" s="56" t="s">
        <v>60</v>
      </c>
      <c r="J207" s="56" t="s">
        <v>60</v>
      </c>
      <c r="K207" s="65" t="s">
        <v>1539</v>
      </c>
      <c r="L207" s="63">
        <v>28864.0</v>
      </c>
      <c r="M207" s="56" t="s">
        <v>62</v>
      </c>
      <c r="N207" s="57"/>
    </row>
    <row r="208" ht="60.0" customHeight="1">
      <c r="A208" s="56">
        <v>202.0</v>
      </c>
      <c r="B208" s="57" t="s">
        <v>1540</v>
      </c>
      <c r="C208" s="57" t="s">
        <v>1541</v>
      </c>
      <c r="D208" s="57" t="s">
        <v>1542</v>
      </c>
      <c r="E208" s="57" t="s">
        <v>1543</v>
      </c>
      <c r="F208" s="57" t="s">
        <v>1544</v>
      </c>
      <c r="G208" s="57" t="s">
        <v>1059</v>
      </c>
      <c r="H208" s="56" t="str">
        <f t="shared" si="1"/>
        <v>WRONG</v>
      </c>
      <c r="I208" s="56" t="s">
        <v>77</v>
      </c>
      <c r="J208" s="56" t="s">
        <v>60</v>
      </c>
      <c r="K208" s="65" t="s">
        <v>1545</v>
      </c>
      <c r="L208" s="63">
        <v>36603.0</v>
      </c>
      <c r="M208" s="56" t="s">
        <v>42</v>
      </c>
      <c r="N208" s="57" t="s">
        <v>1546</v>
      </c>
    </row>
    <row r="209" ht="60.0" customHeight="1">
      <c r="A209" s="56">
        <v>203.0</v>
      </c>
      <c r="B209" s="57" t="s">
        <v>1547</v>
      </c>
      <c r="C209" s="57" t="s">
        <v>1548</v>
      </c>
      <c r="D209" s="57" t="s">
        <v>1549</v>
      </c>
      <c r="E209" s="57" t="s">
        <v>1550</v>
      </c>
      <c r="F209" s="57" t="s">
        <v>1551</v>
      </c>
      <c r="G209" s="57" t="s">
        <v>1552</v>
      </c>
      <c r="H209" s="56" t="str">
        <f t="shared" si="1"/>
        <v>WRONG</v>
      </c>
      <c r="I209" s="56" t="s">
        <v>51</v>
      </c>
      <c r="J209" s="56" t="s">
        <v>40</v>
      </c>
      <c r="K209" s="65" t="s">
        <v>1553</v>
      </c>
      <c r="L209" s="63">
        <v>35761.0</v>
      </c>
      <c r="M209" s="56" t="s">
        <v>42</v>
      </c>
      <c r="N209" s="57" t="s">
        <v>1554</v>
      </c>
    </row>
    <row r="210" ht="60.0" customHeight="1">
      <c r="A210" s="56">
        <v>204.0</v>
      </c>
      <c r="B210" s="57" t="s">
        <v>1555</v>
      </c>
      <c r="C210" s="57" t="s">
        <v>1556</v>
      </c>
      <c r="D210" s="57" t="s">
        <v>1557</v>
      </c>
      <c r="E210" s="57" t="s">
        <v>1558</v>
      </c>
      <c r="F210" s="57" t="s">
        <v>1559</v>
      </c>
      <c r="G210" s="57" t="s">
        <v>1560</v>
      </c>
      <c r="H210" s="56" t="str">
        <f t="shared" si="1"/>
        <v>WRONG</v>
      </c>
      <c r="I210" s="56" t="s">
        <v>60</v>
      </c>
      <c r="J210" s="56" t="s">
        <v>51</v>
      </c>
      <c r="K210" s="65" t="s">
        <v>1561</v>
      </c>
      <c r="L210" s="63">
        <v>41283.0</v>
      </c>
      <c r="M210" s="56" t="s">
        <v>42</v>
      </c>
      <c r="N210" s="57" t="s">
        <v>1562</v>
      </c>
    </row>
    <row r="211" ht="60.0" customHeight="1">
      <c r="A211" s="56">
        <v>205.0</v>
      </c>
      <c r="B211" s="57" t="s">
        <v>1563</v>
      </c>
      <c r="C211" s="57" t="s">
        <v>1564</v>
      </c>
      <c r="D211" s="57" t="s">
        <v>1565</v>
      </c>
      <c r="E211" s="57" t="s">
        <v>1566</v>
      </c>
      <c r="F211" s="57" t="s">
        <v>1567</v>
      </c>
      <c r="G211" s="57" t="s">
        <v>1568</v>
      </c>
      <c r="H211" s="56" t="str">
        <f t="shared" si="1"/>
        <v>WRONG</v>
      </c>
      <c r="I211" s="56" t="s">
        <v>40</v>
      </c>
      <c r="J211" s="56" t="s">
        <v>51</v>
      </c>
      <c r="K211" s="65" t="s">
        <v>1569</v>
      </c>
      <c r="L211" s="63">
        <v>34466.0</v>
      </c>
      <c r="M211" s="56" t="s">
        <v>42</v>
      </c>
      <c r="N211" s="57" t="s">
        <v>1570</v>
      </c>
    </row>
    <row r="212" ht="60.0" customHeight="1">
      <c r="A212" s="56">
        <v>206.0</v>
      </c>
      <c r="B212" s="57" t="s">
        <v>1571</v>
      </c>
      <c r="C212" s="57" t="s">
        <v>1572</v>
      </c>
      <c r="D212" s="57" t="s">
        <v>1573</v>
      </c>
      <c r="E212" s="57" t="s">
        <v>1574</v>
      </c>
      <c r="F212" s="57" t="s">
        <v>1575</v>
      </c>
      <c r="G212" s="57" t="s">
        <v>1576</v>
      </c>
      <c r="H212" s="56" t="str">
        <f t="shared" si="1"/>
        <v>WRONG</v>
      </c>
      <c r="I212" s="56" t="s">
        <v>51</v>
      </c>
      <c r="J212" s="56" t="s">
        <v>60</v>
      </c>
      <c r="K212" s="65" t="s">
        <v>1577</v>
      </c>
      <c r="L212" s="63">
        <v>35010.0</v>
      </c>
      <c r="M212" s="56" t="s">
        <v>62</v>
      </c>
      <c r="N212" s="57"/>
    </row>
    <row r="213" ht="60.0" customHeight="1">
      <c r="A213" s="56">
        <v>207.0</v>
      </c>
      <c r="B213" s="57" t="s">
        <v>1578</v>
      </c>
      <c r="C213" s="57" t="s">
        <v>1579</v>
      </c>
      <c r="D213" s="57" t="s">
        <v>1580</v>
      </c>
      <c r="E213" s="57" t="s">
        <v>1581</v>
      </c>
      <c r="F213" s="57" t="s">
        <v>1582</v>
      </c>
      <c r="G213" s="57" t="s">
        <v>1583</v>
      </c>
      <c r="H213" s="56" t="str">
        <f t="shared" si="1"/>
        <v>WRONG</v>
      </c>
      <c r="I213" s="56" t="s">
        <v>50</v>
      </c>
      <c r="J213" s="56" t="s">
        <v>60</v>
      </c>
      <c r="K213" s="65" t="s">
        <v>2666</v>
      </c>
      <c r="L213" s="63">
        <v>64863.0</v>
      </c>
      <c r="M213" s="56" t="s">
        <v>62</v>
      </c>
      <c r="N213" s="57"/>
    </row>
    <row r="214" ht="60.0" customHeight="1">
      <c r="A214" s="56">
        <v>208.0</v>
      </c>
      <c r="B214" s="57" t="s">
        <v>1585</v>
      </c>
      <c r="C214" s="57" t="s">
        <v>1586</v>
      </c>
      <c r="D214" s="57" t="s">
        <v>1587</v>
      </c>
      <c r="E214" s="57" t="s">
        <v>1588</v>
      </c>
      <c r="F214" s="57" t="s">
        <v>1589</v>
      </c>
      <c r="G214" s="57" t="s">
        <v>1590</v>
      </c>
      <c r="H214" s="56" t="str">
        <f t="shared" si="1"/>
        <v>WRONG</v>
      </c>
      <c r="I214" s="56" t="s">
        <v>40</v>
      </c>
      <c r="J214" s="56" t="s">
        <v>60</v>
      </c>
      <c r="K214" s="65" t="s">
        <v>2667</v>
      </c>
      <c r="L214" s="63">
        <v>80803.0</v>
      </c>
      <c r="M214" s="56" t="s">
        <v>62</v>
      </c>
      <c r="N214" s="57"/>
    </row>
    <row r="215" ht="60.0" customHeight="1">
      <c r="A215" s="56">
        <v>209.0</v>
      </c>
      <c r="B215" s="57" t="s">
        <v>1592</v>
      </c>
      <c r="C215" s="57" t="s">
        <v>1593</v>
      </c>
      <c r="D215" s="57" t="s">
        <v>1594</v>
      </c>
      <c r="E215" s="57" t="s">
        <v>1595</v>
      </c>
      <c r="F215" s="57" t="s">
        <v>1596</v>
      </c>
      <c r="G215" s="57" t="s">
        <v>1597</v>
      </c>
      <c r="H215" s="56" t="str">
        <f t="shared" si="1"/>
        <v>CORRECT</v>
      </c>
      <c r="I215" s="56" t="s">
        <v>60</v>
      </c>
      <c r="J215" s="56" t="s">
        <v>60</v>
      </c>
      <c r="K215" s="65" t="s">
        <v>2668</v>
      </c>
      <c r="L215" s="63">
        <v>44068.0</v>
      </c>
      <c r="M215" s="56" t="s">
        <v>62</v>
      </c>
      <c r="N215" s="57"/>
    </row>
    <row r="216" ht="60.0" customHeight="1">
      <c r="A216" s="56">
        <v>210.0</v>
      </c>
      <c r="B216" s="57" t="s">
        <v>1599</v>
      </c>
      <c r="C216" s="57" t="s">
        <v>1600</v>
      </c>
      <c r="D216" s="57" t="s">
        <v>1601</v>
      </c>
      <c r="E216" s="57" t="s">
        <v>1602</v>
      </c>
      <c r="F216" s="57" t="s">
        <v>1603</v>
      </c>
      <c r="G216" s="57" t="s">
        <v>1604</v>
      </c>
      <c r="H216" s="56" t="str">
        <f t="shared" si="1"/>
        <v>WRONG</v>
      </c>
      <c r="I216" s="56" t="s">
        <v>40</v>
      </c>
      <c r="J216" s="56" t="s">
        <v>77</v>
      </c>
      <c r="K216" s="65" t="s">
        <v>1605</v>
      </c>
      <c r="L216" s="63">
        <v>34311.0</v>
      </c>
      <c r="M216" s="56" t="s">
        <v>42</v>
      </c>
      <c r="N216" s="57" t="s">
        <v>1606</v>
      </c>
    </row>
    <row r="217" ht="60.0" customHeight="1">
      <c r="A217" s="56">
        <v>211.0</v>
      </c>
      <c r="B217" s="57" t="s">
        <v>1607</v>
      </c>
      <c r="C217" s="57" t="s">
        <v>1608</v>
      </c>
      <c r="D217" s="57" t="s">
        <v>1609</v>
      </c>
      <c r="E217" s="57" t="s">
        <v>1610</v>
      </c>
      <c r="F217" s="57" t="s">
        <v>1611</v>
      </c>
      <c r="G217" s="57" t="s">
        <v>1612</v>
      </c>
      <c r="H217" s="56" t="str">
        <f t="shared" si="1"/>
        <v>WRONG</v>
      </c>
      <c r="I217" s="56" t="s">
        <v>51</v>
      </c>
      <c r="J217" s="56" t="s">
        <v>77</v>
      </c>
      <c r="K217" s="65" t="s">
        <v>1613</v>
      </c>
      <c r="L217" s="63">
        <v>37910.0</v>
      </c>
      <c r="M217" s="56" t="s">
        <v>42</v>
      </c>
      <c r="N217" s="57" t="s">
        <v>1614</v>
      </c>
    </row>
    <row r="218" ht="60.0" customHeight="1">
      <c r="A218" s="56">
        <v>212.0</v>
      </c>
      <c r="B218" s="57" t="s">
        <v>1615</v>
      </c>
      <c r="C218" s="57" t="s">
        <v>1616</v>
      </c>
      <c r="D218" s="57" t="s">
        <v>1617</v>
      </c>
      <c r="E218" s="57" t="s">
        <v>1618</v>
      </c>
      <c r="F218" s="57" t="s">
        <v>1619</v>
      </c>
      <c r="G218" s="57" t="s">
        <v>1620</v>
      </c>
      <c r="H218" s="56" t="str">
        <f t="shared" si="1"/>
        <v>WRONG</v>
      </c>
      <c r="I218" s="56" t="s">
        <v>50</v>
      </c>
      <c r="J218" s="56" t="s">
        <v>40</v>
      </c>
      <c r="K218" s="65" t="s">
        <v>1621</v>
      </c>
      <c r="L218" s="63">
        <v>35898.0</v>
      </c>
      <c r="M218" s="56" t="s">
        <v>62</v>
      </c>
      <c r="N218" s="57"/>
    </row>
    <row r="219" ht="60.0" customHeight="1">
      <c r="A219" s="56">
        <v>213.0</v>
      </c>
      <c r="B219" s="57" t="s">
        <v>1622</v>
      </c>
      <c r="C219" s="57" t="s">
        <v>1623</v>
      </c>
      <c r="D219" s="57" t="s">
        <v>1624</v>
      </c>
      <c r="E219" s="57" t="s">
        <v>1625</v>
      </c>
      <c r="F219" s="57" t="s">
        <v>1626</v>
      </c>
      <c r="G219" s="57" t="s">
        <v>1627</v>
      </c>
      <c r="H219" s="56" t="str">
        <f t="shared" si="1"/>
        <v>WRONG</v>
      </c>
      <c r="I219" s="56" t="s">
        <v>60</v>
      </c>
      <c r="J219" s="56" t="s">
        <v>51</v>
      </c>
      <c r="K219" s="65" t="s">
        <v>1628</v>
      </c>
      <c r="L219" s="63">
        <v>47185.0</v>
      </c>
      <c r="M219" s="56" t="s">
        <v>42</v>
      </c>
      <c r="N219" s="57" t="s">
        <v>1629</v>
      </c>
    </row>
    <row r="220" ht="60.0" customHeight="1">
      <c r="A220" s="56">
        <v>214.0</v>
      </c>
      <c r="B220" s="57" t="s">
        <v>1630</v>
      </c>
      <c r="C220" s="57" t="s">
        <v>1631</v>
      </c>
      <c r="D220" s="57" t="s">
        <v>1632</v>
      </c>
      <c r="E220" s="57" t="s">
        <v>1633</v>
      </c>
      <c r="F220" s="57" t="s">
        <v>1634</v>
      </c>
      <c r="G220" s="57" t="s">
        <v>1635</v>
      </c>
      <c r="H220" s="56" t="str">
        <f t="shared" si="1"/>
        <v>CORRECT</v>
      </c>
      <c r="I220" s="56" t="s">
        <v>60</v>
      </c>
      <c r="J220" s="56" t="s">
        <v>60</v>
      </c>
      <c r="K220" s="65" t="s">
        <v>1636</v>
      </c>
      <c r="L220" s="63">
        <v>34442.0</v>
      </c>
      <c r="M220" s="56" t="s">
        <v>42</v>
      </c>
      <c r="N220" s="57" t="s">
        <v>1637</v>
      </c>
    </row>
    <row r="221" ht="60.0" customHeight="1">
      <c r="A221" s="56">
        <v>215.0</v>
      </c>
      <c r="B221" s="57" t="s">
        <v>1638</v>
      </c>
      <c r="C221" s="57" t="s">
        <v>1639</v>
      </c>
      <c r="D221" s="57" t="s">
        <v>1640</v>
      </c>
      <c r="E221" s="57" t="s">
        <v>1641</v>
      </c>
      <c r="F221" s="57" t="s">
        <v>1642</v>
      </c>
      <c r="G221" s="57" t="s">
        <v>1643</v>
      </c>
      <c r="H221" s="56" t="str">
        <f t="shared" si="1"/>
        <v>CORRECT</v>
      </c>
      <c r="I221" s="56" t="s">
        <v>60</v>
      </c>
      <c r="J221" s="56" t="s">
        <v>60</v>
      </c>
      <c r="K221" s="65" t="s">
        <v>1644</v>
      </c>
      <c r="L221" s="63">
        <v>41441.0</v>
      </c>
      <c r="M221" s="56" t="s">
        <v>42</v>
      </c>
      <c r="N221" s="57" t="s">
        <v>1645</v>
      </c>
    </row>
    <row r="222" ht="60.0" customHeight="1">
      <c r="A222" s="56">
        <v>216.0</v>
      </c>
      <c r="B222" s="57" t="s">
        <v>1646</v>
      </c>
      <c r="C222" s="57" t="s">
        <v>1647</v>
      </c>
      <c r="D222" s="57" t="s">
        <v>1648</v>
      </c>
      <c r="E222" s="57" t="s">
        <v>1649</v>
      </c>
      <c r="F222" s="57" t="s">
        <v>1650</v>
      </c>
      <c r="G222" s="57" t="s">
        <v>1651</v>
      </c>
      <c r="H222" s="56" t="str">
        <f t="shared" si="1"/>
        <v>CORRECT</v>
      </c>
      <c r="I222" s="56" t="s">
        <v>60</v>
      </c>
      <c r="J222" s="56" t="s">
        <v>60</v>
      </c>
      <c r="K222" s="65" t="s">
        <v>2669</v>
      </c>
      <c r="L222" s="63">
        <v>44406.0</v>
      </c>
      <c r="M222" s="56" t="s">
        <v>42</v>
      </c>
      <c r="N222" s="57" t="s">
        <v>1653</v>
      </c>
    </row>
    <row r="223" ht="60.0" customHeight="1">
      <c r="A223" s="56">
        <v>217.0</v>
      </c>
      <c r="B223" s="57" t="s">
        <v>1654</v>
      </c>
      <c r="C223" s="57" t="s">
        <v>1655</v>
      </c>
      <c r="D223" s="57" t="s">
        <v>1656</v>
      </c>
      <c r="E223" s="57" t="s">
        <v>1657</v>
      </c>
      <c r="F223" s="57" t="s">
        <v>1658</v>
      </c>
      <c r="G223" s="57" t="s">
        <v>1659</v>
      </c>
      <c r="H223" s="56" t="str">
        <f t="shared" si="1"/>
        <v>WRONG</v>
      </c>
      <c r="I223" s="56" t="s">
        <v>77</v>
      </c>
      <c r="J223" s="56" t="s">
        <v>60</v>
      </c>
      <c r="K223" s="65" t="s">
        <v>1660</v>
      </c>
      <c r="L223" s="63">
        <v>33973.0</v>
      </c>
      <c r="M223" s="56" t="s">
        <v>62</v>
      </c>
      <c r="N223" s="57"/>
    </row>
    <row r="224" ht="60.0" customHeight="1">
      <c r="A224" s="56">
        <v>218.0</v>
      </c>
      <c r="B224" s="57" t="s">
        <v>1661</v>
      </c>
      <c r="C224" s="57" t="s">
        <v>1662</v>
      </c>
      <c r="D224" s="57" t="s">
        <v>1663</v>
      </c>
      <c r="E224" s="57" t="s">
        <v>1664</v>
      </c>
      <c r="F224" s="57" t="s">
        <v>1665</v>
      </c>
      <c r="G224" s="57" t="s">
        <v>1666</v>
      </c>
      <c r="H224" s="56" t="str">
        <f t="shared" si="1"/>
        <v>CORRECT</v>
      </c>
      <c r="I224" s="56" t="s">
        <v>60</v>
      </c>
      <c r="J224" s="56" t="s">
        <v>60</v>
      </c>
      <c r="K224" s="65" t="s">
        <v>1667</v>
      </c>
      <c r="L224" s="63">
        <v>34899.0</v>
      </c>
      <c r="M224" s="56" t="s">
        <v>62</v>
      </c>
      <c r="N224" s="57"/>
    </row>
    <row r="225" ht="60.0" customHeight="1">
      <c r="A225" s="56">
        <v>219.0</v>
      </c>
      <c r="B225" s="57" t="s">
        <v>1668</v>
      </c>
      <c r="C225" s="57" t="s">
        <v>1669</v>
      </c>
      <c r="D225" s="57" t="s">
        <v>593</v>
      </c>
      <c r="E225" s="57" t="s">
        <v>1670</v>
      </c>
      <c r="F225" s="57" t="s">
        <v>1671</v>
      </c>
      <c r="G225" s="57" t="s">
        <v>1672</v>
      </c>
      <c r="H225" s="56" t="str">
        <f t="shared" si="1"/>
        <v>WRONG</v>
      </c>
      <c r="I225" s="56" t="s">
        <v>77</v>
      </c>
      <c r="J225" s="56" t="s">
        <v>51</v>
      </c>
      <c r="K225" s="65" t="s">
        <v>1673</v>
      </c>
      <c r="L225" s="63">
        <v>38265.0</v>
      </c>
      <c r="M225" s="56" t="s">
        <v>42</v>
      </c>
      <c r="N225" s="57" t="s">
        <v>1674</v>
      </c>
    </row>
    <row r="226" ht="60.0" customHeight="1">
      <c r="A226" s="56">
        <v>220.0</v>
      </c>
      <c r="B226" s="57" t="s">
        <v>1675</v>
      </c>
      <c r="C226" s="57" t="s">
        <v>1676</v>
      </c>
      <c r="D226" s="57" t="s">
        <v>1677</v>
      </c>
      <c r="E226" s="57" t="s">
        <v>1678</v>
      </c>
      <c r="F226" s="57" t="s">
        <v>1679</v>
      </c>
      <c r="G226" s="57" t="s">
        <v>1680</v>
      </c>
      <c r="H226" s="56" t="str">
        <f t="shared" si="1"/>
        <v>CORRECT</v>
      </c>
      <c r="I226" s="56" t="s">
        <v>40</v>
      </c>
      <c r="J226" s="56" t="s">
        <v>40</v>
      </c>
      <c r="K226" s="65" t="s">
        <v>1681</v>
      </c>
      <c r="L226" s="63">
        <v>36494.0</v>
      </c>
      <c r="M226" s="56" t="s">
        <v>42</v>
      </c>
      <c r="N226" s="57" t="s">
        <v>1682</v>
      </c>
    </row>
    <row r="227" ht="60.0" customHeight="1">
      <c r="A227" s="56">
        <v>221.0</v>
      </c>
      <c r="B227" s="57" t="s">
        <v>1683</v>
      </c>
      <c r="C227" s="57" t="s">
        <v>1684</v>
      </c>
      <c r="D227" s="57" t="s">
        <v>1685</v>
      </c>
      <c r="E227" s="57" t="s">
        <v>1686</v>
      </c>
      <c r="F227" s="57" t="s">
        <v>1687</v>
      </c>
      <c r="G227" s="57" t="s">
        <v>1688</v>
      </c>
      <c r="H227" s="56" t="str">
        <f t="shared" si="1"/>
        <v>CORRECT</v>
      </c>
      <c r="I227" s="56" t="s">
        <v>50</v>
      </c>
      <c r="J227" s="56" t="s">
        <v>50</v>
      </c>
      <c r="K227" s="65" t="s">
        <v>1689</v>
      </c>
      <c r="L227" s="63">
        <v>46563.0</v>
      </c>
      <c r="M227" s="56" t="s">
        <v>42</v>
      </c>
      <c r="N227" s="57" t="s">
        <v>1690</v>
      </c>
    </row>
    <row r="228" ht="60.0" customHeight="1">
      <c r="A228" s="56">
        <v>222.0</v>
      </c>
      <c r="B228" s="57" t="s">
        <v>1691</v>
      </c>
      <c r="C228" s="57" t="s">
        <v>1692</v>
      </c>
      <c r="D228" s="57" t="s">
        <v>1693</v>
      </c>
      <c r="E228" s="57" t="s">
        <v>1694</v>
      </c>
      <c r="F228" s="57" t="s">
        <v>1695</v>
      </c>
      <c r="G228" s="57" t="s">
        <v>1696</v>
      </c>
      <c r="H228" s="56" t="str">
        <f t="shared" si="1"/>
        <v>WRONG</v>
      </c>
      <c r="I228" s="56" t="s">
        <v>77</v>
      </c>
      <c r="J228" s="56" t="s">
        <v>60</v>
      </c>
      <c r="K228" s="65" t="s">
        <v>1697</v>
      </c>
      <c r="L228" s="63">
        <v>32036.0</v>
      </c>
      <c r="M228" s="56" t="s">
        <v>42</v>
      </c>
      <c r="N228" s="57" t="s">
        <v>1698</v>
      </c>
    </row>
    <row r="229" ht="60.0" customHeight="1">
      <c r="A229" s="56">
        <v>223.0</v>
      </c>
      <c r="B229" s="57" t="s">
        <v>1699</v>
      </c>
      <c r="C229" s="57" t="s">
        <v>1700</v>
      </c>
      <c r="D229" s="57" t="s">
        <v>1701</v>
      </c>
      <c r="E229" s="57" t="s">
        <v>1702</v>
      </c>
      <c r="F229" s="57" t="s">
        <v>1703</v>
      </c>
      <c r="G229" s="57" t="s">
        <v>1059</v>
      </c>
      <c r="H229" s="56" t="str">
        <f t="shared" si="1"/>
        <v>WRONG</v>
      </c>
      <c r="I229" s="56" t="s">
        <v>77</v>
      </c>
      <c r="J229" s="56" t="s">
        <v>60</v>
      </c>
      <c r="K229" s="65" t="s">
        <v>1704</v>
      </c>
      <c r="L229" s="63">
        <v>38984.0</v>
      </c>
      <c r="M229" s="56" t="s">
        <v>62</v>
      </c>
      <c r="N229" s="57"/>
    </row>
    <row r="230" ht="60.0" customHeight="1">
      <c r="A230" s="56">
        <v>224.0</v>
      </c>
      <c r="B230" s="57" t="s">
        <v>1705</v>
      </c>
      <c r="C230" s="57" t="s">
        <v>1706</v>
      </c>
      <c r="D230" s="57" t="s">
        <v>1707</v>
      </c>
      <c r="E230" s="57" t="s">
        <v>1708</v>
      </c>
      <c r="F230" s="57" t="s">
        <v>1709</v>
      </c>
      <c r="G230" s="57" t="s">
        <v>1710</v>
      </c>
      <c r="H230" s="56" t="str">
        <f t="shared" si="1"/>
        <v>WRONG</v>
      </c>
      <c r="I230" s="56" t="s">
        <v>77</v>
      </c>
      <c r="J230" s="56" t="s">
        <v>40</v>
      </c>
      <c r="K230" s="65" t="s">
        <v>1711</v>
      </c>
      <c r="L230" s="63">
        <v>49684.0</v>
      </c>
      <c r="M230" s="56" t="s">
        <v>62</v>
      </c>
      <c r="N230" s="57"/>
    </row>
    <row r="231" ht="60.0" customHeight="1">
      <c r="A231" s="56">
        <v>225.0</v>
      </c>
      <c r="B231" s="57" t="s">
        <v>1712</v>
      </c>
      <c r="C231" s="57" t="s">
        <v>1713</v>
      </c>
      <c r="D231" s="57" t="s">
        <v>1714</v>
      </c>
      <c r="E231" s="57" t="s">
        <v>1715</v>
      </c>
      <c r="F231" s="57" t="s">
        <v>1716</v>
      </c>
      <c r="G231" s="57" t="s">
        <v>1717</v>
      </c>
      <c r="H231" s="56" t="str">
        <f t="shared" si="1"/>
        <v>CORRECT</v>
      </c>
      <c r="I231" s="56" t="s">
        <v>40</v>
      </c>
      <c r="J231" s="56" t="s">
        <v>40</v>
      </c>
      <c r="K231" s="65" t="s">
        <v>1718</v>
      </c>
      <c r="L231" s="63">
        <v>33368.0</v>
      </c>
      <c r="M231" s="56" t="s">
        <v>62</v>
      </c>
      <c r="N231" s="57"/>
    </row>
    <row r="232" ht="60.0" customHeight="1">
      <c r="A232" s="56">
        <v>226.0</v>
      </c>
      <c r="B232" s="57" t="s">
        <v>1719</v>
      </c>
      <c r="C232" s="57" t="s">
        <v>1720</v>
      </c>
      <c r="D232" s="57" t="s">
        <v>1721</v>
      </c>
      <c r="E232" s="57" t="s">
        <v>1722</v>
      </c>
      <c r="F232" s="57" t="s">
        <v>1723</v>
      </c>
      <c r="G232" s="57" t="s">
        <v>1724</v>
      </c>
      <c r="H232" s="56" t="str">
        <f t="shared" si="1"/>
        <v>WRONG</v>
      </c>
      <c r="I232" s="56" t="s">
        <v>40</v>
      </c>
      <c r="J232" s="56" t="s">
        <v>50</v>
      </c>
      <c r="K232" s="65" t="s">
        <v>1725</v>
      </c>
      <c r="L232" s="63">
        <v>33461.0</v>
      </c>
      <c r="M232" s="56" t="s">
        <v>42</v>
      </c>
      <c r="N232" s="57" t="s">
        <v>1726</v>
      </c>
    </row>
    <row r="233" ht="60.0" customHeight="1">
      <c r="A233" s="56">
        <v>227.0</v>
      </c>
      <c r="B233" s="57" t="s">
        <v>1727</v>
      </c>
      <c r="C233" s="57" t="s">
        <v>1728</v>
      </c>
      <c r="D233" s="57" t="s">
        <v>1729</v>
      </c>
      <c r="E233" s="57" t="s">
        <v>1730</v>
      </c>
      <c r="F233" s="57" t="s">
        <v>1731</v>
      </c>
      <c r="G233" s="57" t="s">
        <v>1732</v>
      </c>
      <c r="H233" s="56" t="str">
        <f t="shared" si="1"/>
        <v>WRONG</v>
      </c>
      <c r="I233" s="56" t="s">
        <v>77</v>
      </c>
      <c r="J233" s="56" t="s">
        <v>51</v>
      </c>
      <c r="K233" s="65" t="s">
        <v>1733</v>
      </c>
      <c r="L233" s="63">
        <v>30216.0</v>
      </c>
      <c r="M233" s="56" t="s">
        <v>62</v>
      </c>
      <c r="N233" s="57"/>
    </row>
    <row r="234" ht="60.0" customHeight="1">
      <c r="A234" s="56">
        <v>228.0</v>
      </c>
      <c r="B234" s="57" t="s">
        <v>1734</v>
      </c>
      <c r="C234" s="57" t="s">
        <v>1735</v>
      </c>
      <c r="D234" s="57" t="s">
        <v>1736</v>
      </c>
      <c r="E234" s="57" t="s">
        <v>1737</v>
      </c>
      <c r="F234" s="57" t="s">
        <v>1738</v>
      </c>
      <c r="G234" s="57" t="s">
        <v>1739</v>
      </c>
      <c r="H234" s="56" t="str">
        <f t="shared" si="1"/>
        <v>CORRECT</v>
      </c>
      <c r="I234" s="56" t="s">
        <v>50</v>
      </c>
      <c r="J234" s="56" t="s">
        <v>50</v>
      </c>
      <c r="K234" s="65" t="s">
        <v>1740</v>
      </c>
      <c r="L234" s="63">
        <v>34533.0</v>
      </c>
      <c r="M234" s="56" t="s">
        <v>42</v>
      </c>
      <c r="N234" s="57" t="s">
        <v>1741</v>
      </c>
    </row>
    <row r="235" ht="60.0" customHeight="1">
      <c r="A235" s="56">
        <v>229.0</v>
      </c>
      <c r="B235" s="57" t="s">
        <v>1742</v>
      </c>
      <c r="C235" s="57" t="s">
        <v>1743</v>
      </c>
      <c r="D235" s="57" t="s">
        <v>1744</v>
      </c>
      <c r="E235" s="57" t="s">
        <v>1745</v>
      </c>
      <c r="F235" s="57" t="s">
        <v>1746</v>
      </c>
      <c r="G235" s="57" t="s">
        <v>1747</v>
      </c>
      <c r="H235" s="56" t="str">
        <f t="shared" si="1"/>
        <v>WRONG</v>
      </c>
      <c r="I235" s="56" t="s">
        <v>51</v>
      </c>
      <c r="J235" s="56" t="s">
        <v>40</v>
      </c>
      <c r="K235" s="65" t="s">
        <v>1748</v>
      </c>
      <c r="L235" s="63">
        <v>38113.0</v>
      </c>
      <c r="M235" s="56" t="s">
        <v>42</v>
      </c>
      <c r="N235" s="57" t="s">
        <v>1741</v>
      </c>
    </row>
    <row r="236" ht="60.0" customHeight="1">
      <c r="A236" s="56">
        <v>230.0</v>
      </c>
      <c r="B236" s="57" t="s">
        <v>1749</v>
      </c>
      <c r="C236" s="57" t="s">
        <v>1750</v>
      </c>
      <c r="D236" s="57" t="s">
        <v>1751</v>
      </c>
      <c r="E236" s="57" t="s">
        <v>1752</v>
      </c>
      <c r="F236" s="57" t="s">
        <v>1753</v>
      </c>
      <c r="G236" s="57" t="s">
        <v>1754</v>
      </c>
      <c r="H236" s="56" t="str">
        <f t="shared" si="1"/>
        <v>WRONG</v>
      </c>
      <c r="I236" s="56" t="s">
        <v>40</v>
      </c>
      <c r="J236" s="56" t="s">
        <v>77</v>
      </c>
      <c r="K236" s="65" t="s">
        <v>1755</v>
      </c>
      <c r="L236" s="63">
        <v>55854.0</v>
      </c>
      <c r="M236" s="56" t="s">
        <v>62</v>
      </c>
      <c r="N236" s="57"/>
    </row>
    <row r="237" ht="60.0" customHeight="1">
      <c r="A237" s="56">
        <v>231.0</v>
      </c>
      <c r="B237" s="57" t="s">
        <v>1756</v>
      </c>
      <c r="C237" s="57" t="s">
        <v>1757</v>
      </c>
      <c r="D237" s="57" t="s">
        <v>1758</v>
      </c>
      <c r="E237" s="57" t="s">
        <v>1759</v>
      </c>
      <c r="F237" s="57" t="s">
        <v>1760</v>
      </c>
      <c r="G237" s="57" t="s">
        <v>1761</v>
      </c>
      <c r="H237" s="56" t="str">
        <f t="shared" si="1"/>
        <v>CORRECT</v>
      </c>
      <c r="I237" s="56" t="s">
        <v>51</v>
      </c>
      <c r="J237" s="56" t="s">
        <v>51</v>
      </c>
      <c r="K237" s="65" t="s">
        <v>1762</v>
      </c>
      <c r="L237" s="63">
        <v>33375.0</v>
      </c>
      <c r="M237" s="56" t="s">
        <v>62</v>
      </c>
      <c r="N237" s="57"/>
    </row>
    <row r="238" ht="60.0" customHeight="1">
      <c r="A238" s="56">
        <v>232.0</v>
      </c>
      <c r="B238" s="57" t="s">
        <v>1763</v>
      </c>
      <c r="C238" s="57" t="s">
        <v>1764</v>
      </c>
      <c r="D238" s="57" t="s">
        <v>1765</v>
      </c>
      <c r="E238" s="57" t="s">
        <v>1766</v>
      </c>
      <c r="F238" s="57" t="s">
        <v>1767</v>
      </c>
      <c r="G238" s="57" t="s">
        <v>728</v>
      </c>
      <c r="H238" s="56" t="str">
        <f t="shared" si="1"/>
        <v>CORRECT</v>
      </c>
      <c r="I238" s="56" t="s">
        <v>60</v>
      </c>
      <c r="J238" s="56" t="s">
        <v>60</v>
      </c>
      <c r="K238" s="65" t="s">
        <v>2670</v>
      </c>
      <c r="L238" s="63">
        <v>30902.0</v>
      </c>
      <c r="M238" s="56" t="s">
        <v>42</v>
      </c>
      <c r="N238" s="57" t="s">
        <v>1769</v>
      </c>
    </row>
    <row r="239" ht="60.0" customHeight="1">
      <c r="A239" s="56">
        <v>233.0</v>
      </c>
      <c r="B239" s="57" t="s">
        <v>1770</v>
      </c>
      <c r="C239" s="57" t="s">
        <v>1771</v>
      </c>
      <c r="D239" s="57" t="s">
        <v>1772</v>
      </c>
      <c r="E239" s="57" t="s">
        <v>1773</v>
      </c>
      <c r="F239" s="57" t="s">
        <v>1774</v>
      </c>
      <c r="G239" s="57" t="s">
        <v>1775</v>
      </c>
      <c r="H239" s="56" t="str">
        <f t="shared" si="1"/>
        <v>CORRECT</v>
      </c>
      <c r="I239" s="56" t="s">
        <v>77</v>
      </c>
      <c r="J239" s="56" t="s">
        <v>77</v>
      </c>
      <c r="K239" s="65" t="s">
        <v>1776</v>
      </c>
      <c r="L239" s="63">
        <v>46548.0</v>
      </c>
      <c r="M239" s="56" t="s">
        <v>62</v>
      </c>
      <c r="N239" s="57"/>
    </row>
    <row r="240" ht="60.0" customHeight="1">
      <c r="A240" s="56">
        <v>234.0</v>
      </c>
      <c r="B240" s="57" t="s">
        <v>1777</v>
      </c>
      <c r="C240" s="57" t="s">
        <v>1778</v>
      </c>
      <c r="D240" s="57" t="s">
        <v>1779</v>
      </c>
      <c r="E240" s="57" t="s">
        <v>1780</v>
      </c>
      <c r="F240" s="57" t="s">
        <v>1781</v>
      </c>
      <c r="G240" s="57" t="s">
        <v>1782</v>
      </c>
      <c r="H240" s="56" t="str">
        <f t="shared" si="1"/>
        <v>WRONG</v>
      </c>
      <c r="I240" s="56" t="s">
        <v>60</v>
      </c>
      <c r="J240" s="56" t="s">
        <v>50</v>
      </c>
      <c r="K240" s="65" t="s">
        <v>2671</v>
      </c>
      <c r="L240" s="63">
        <v>38671.0</v>
      </c>
      <c r="M240" s="56" t="s">
        <v>42</v>
      </c>
      <c r="N240" s="57" t="s">
        <v>1784</v>
      </c>
    </row>
    <row r="241" ht="60.0" customHeight="1">
      <c r="A241" s="56">
        <v>235.0</v>
      </c>
      <c r="B241" s="57" t="s">
        <v>1785</v>
      </c>
      <c r="C241" s="57" t="s">
        <v>1786</v>
      </c>
      <c r="D241" s="57" t="s">
        <v>1787</v>
      </c>
      <c r="E241" s="57" t="s">
        <v>1788</v>
      </c>
      <c r="F241" s="57" t="s">
        <v>1789</v>
      </c>
      <c r="G241" s="57" t="s">
        <v>1790</v>
      </c>
      <c r="H241" s="56" t="str">
        <f t="shared" si="1"/>
        <v>CORRECT</v>
      </c>
      <c r="I241" s="56" t="s">
        <v>50</v>
      </c>
      <c r="J241" s="56" t="s">
        <v>50</v>
      </c>
      <c r="K241" s="65" t="s">
        <v>2672</v>
      </c>
      <c r="L241" s="63">
        <v>42965.0</v>
      </c>
      <c r="M241" s="56" t="s">
        <v>62</v>
      </c>
      <c r="N241" s="57"/>
    </row>
    <row r="242" ht="60.0" customHeight="1">
      <c r="A242" s="56">
        <v>236.0</v>
      </c>
      <c r="B242" s="57" t="s">
        <v>1792</v>
      </c>
      <c r="C242" s="57" t="s">
        <v>1793</v>
      </c>
      <c r="D242" s="57" t="s">
        <v>1794</v>
      </c>
      <c r="E242" s="57" t="s">
        <v>1795</v>
      </c>
      <c r="F242" s="57" t="s">
        <v>1796</v>
      </c>
      <c r="G242" s="57" t="s">
        <v>1797</v>
      </c>
      <c r="H242" s="56" t="str">
        <f t="shared" si="1"/>
        <v>CORRECT</v>
      </c>
      <c r="I242" s="56" t="s">
        <v>60</v>
      </c>
      <c r="J242" s="56" t="s">
        <v>60</v>
      </c>
      <c r="K242" s="65" t="s">
        <v>1798</v>
      </c>
      <c r="L242" s="63">
        <v>33861.0</v>
      </c>
      <c r="M242" s="56" t="s">
        <v>42</v>
      </c>
      <c r="N242" s="57" t="s">
        <v>1784</v>
      </c>
    </row>
    <row r="243" ht="60.0" customHeight="1">
      <c r="A243" s="56">
        <v>237.0</v>
      </c>
      <c r="B243" s="57" t="s">
        <v>1799</v>
      </c>
      <c r="C243" s="57" t="s">
        <v>1800</v>
      </c>
      <c r="D243" s="57" t="s">
        <v>1801</v>
      </c>
      <c r="E243" s="57" t="s">
        <v>1802</v>
      </c>
      <c r="F243" s="57" t="s">
        <v>1803</v>
      </c>
      <c r="G243" s="57" t="s">
        <v>1804</v>
      </c>
      <c r="H243" s="56" t="str">
        <f t="shared" si="1"/>
        <v>CORRECT</v>
      </c>
      <c r="I243" s="56" t="s">
        <v>40</v>
      </c>
      <c r="J243" s="56" t="s">
        <v>40</v>
      </c>
      <c r="K243" s="65" t="s">
        <v>2673</v>
      </c>
      <c r="L243" s="63">
        <v>37119.0</v>
      </c>
      <c r="M243" s="56" t="s">
        <v>62</v>
      </c>
      <c r="N243" s="62"/>
    </row>
    <row r="244" ht="60.0" customHeight="1">
      <c r="A244" s="56">
        <v>238.0</v>
      </c>
      <c r="B244" s="57" t="s">
        <v>1806</v>
      </c>
      <c r="C244" s="57" t="s">
        <v>1807</v>
      </c>
      <c r="D244" s="57" t="s">
        <v>1808</v>
      </c>
      <c r="E244" s="57" t="s">
        <v>1809</v>
      </c>
      <c r="F244" s="57" t="s">
        <v>1810</v>
      </c>
      <c r="G244" s="57" t="s">
        <v>1811</v>
      </c>
      <c r="H244" s="56" t="str">
        <f t="shared" si="1"/>
        <v>CORRECT</v>
      </c>
      <c r="I244" s="56" t="s">
        <v>60</v>
      </c>
      <c r="J244" s="56" t="s">
        <v>60</v>
      </c>
      <c r="K244" s="65" t="s">
        <v>1812</v>
      </c>
      <c r="L244" s="63">
        <v>40874.0</v>
      </c>
      <c r="M244" s="56" t="s">
        <v>42</v>
      </c>
      <c r="N244" s="57" t="s">
        <v>1813</v>
      </c>
    </row>
    <row r="245" ht="60.0" customHeight="1">
      <c r="A245" s="56">
        <v>239.0</v>
      </c>
      <c r="B245" s="57" t="s">
        <v>1814</v>
      </c>
      <c r="C245" s="57" t="s">
        <v>1815</v>
      </c>
      <c r="D245" s="57" t="s">
        <v>1816</v>
      </c>
      <c r="E245" s="57" t="s">
        <v>1817</v>
      </c>
      <c r="F245" s="57" t="s">
        <v>1818</v>
      </c>
      <c r="G245" s="57" t="s">
        <v>1819</v>
      </c>
      <c r="H245" s="56" t="str">
        <f t="shared" si="1"/>
        <v>CORRECT</v>
      </c>
      <c r="I245" s="56" t="s">
        <v>77</v>
      </c>
      <c r="J245" s="56" t="s">
        <v>77</v>
      </c>
      <c r="K245" s="65" t="s">
        <v>1820</v>
      </c>
      <c r="L245" s="63">
        <v>29928.0</v>
      </c>
      <c r="M245" s="56" t="s">
        <v>42</v>
      </c>
      <c r="N245" s="57" t="s">
        <v>1821</v>
      </c>
    </row>
    <row r="246" ht="60.0" customHeight="1">
      <c r="A246" s="56">
        <v>240.0</v>
      </c>
      <c r="B246" s="57" t="s">
        <v>1822</v>
      </c>
      <c r="C246" s="57" t="s">
        <v>1823</v>
      </c>
      <c r="D246" s="57" t="s">
        <v>1824</v>
      </c>
      <c r="E246" s="57" t="s">
        <v>1825</v>
      </c>
      <c r="F246" s="57" t="s">
        <v>1826</v>
      </c>
      <c r="G246" s="57" t="s">
        <v>1827</v>
      </c>
      <c r="H246" s="56" t="str">
        <f t="shared" si="1"/>
        <v>CORRECT</v>
      </c>
      <c r="I246" s="56" t="s">
        <v>77</v>
      </c>
      <c r="J246" s="56" t="s">
        <v>77</v>
      </c>
      <c r="K246" s="65" t="s">
        <v>1828</v>
      </c>
      <c r="L246" s="63">
        <v>35355.0</v>
      </c>
      <c r="M246" s="56" t="s">
        <v>42</v>
      </c>
      <c r="N246" s="57" t="s">
        <v>1829</v>
      </c>
    </row>
    <row r="247" ht="60.0" customHeight="1">
      <c r="A247" s="56">
        <v>241.0</v>
      </c>
      <c r="B247" s="57" t="s">
        <v>1830</v>
      </c>
      <c r="C247" s="57" t="s">
        <v>1831</v>
      </c>
      <c r="D247" s="57" t="s">
        <v>1832</v>
      </c>
      <c r="E247" s="57" t="s">
        <v>1833</v>
      </c>
      <c r="F247" s="57" t="s">
        <v>1834</v>
      </c>
      <c r="G247" s="57" t="s">
        <v>1835</v>
      </c>
      <c r="H247" s="56" t="str">
        <f t="shared" si="1"/>
        <v>CORRECT</v>
      </c>
      <c r="I247" s="56" t="s">
        <v>40</v>
      </c>
      <c r="J247" s="56" t="s">
        <v>40</v>
      </c>
      <c r="K247" s="65" t="s">
        <v>1836</v>
      </c>
      <c r="L247" s="63">
        <v>35569.0</v>
      </c>
      <c r="M247" s="56" t="s">
        <v>42</v>
      </c>
      <c r="N247" s="57" t="s">
        <v>1837</v>
      </c>
    </row>
    <row r="248" ht="60.0" customHeight="1">
      <c r="A248" s="56">
        <v>242.0</v>
      </c>
      <c r="B248" s="57" t="s">
        <v>1838</v>
      </c>
      <c r="C248" s="57" t="s">
        <v>1839</v>
      </c>
      <c r="D248" s="57" t="s">
        <v>1840</v>
      </c>
      <c r="E248" s="57" t="s">
        <v>1841</v>
      </c>
      <c r="F248" s="57" t="s">
        <v>1842</v>
      </c>
      <c r="G248" s="57" t="s">
        <v>1843</v>
      </c>
      <c r="H248" s="56" t="str">
        <f t="shared" si="1"/>
        <v>CORRECT</v>
      </c>
      <c r="I248" s="56" t="s">
        <v>77</v>
      </c>
      <c r="J248" s="56" t="s">
        <v>77</v>
      </c>
      <c r="K248" s="65" t="s">
        <v>2674</v>
      </c>
      <c r="L248" s="63">
        <v>31838.0</v>
      </c>
      <c r="M248" s="56" t="s">
        <v>62</v>
      </c>
      <c r="N248" s="57"/>
    </row>
    <row r="249" ht="60.0" customHeight="1">
      <c r="A249" s="56">
        <v>243.0</v>
      </c>
      <c r="B249" s="57" t="s">
        <v>1845</v>
      </c>
      <c r="C249" s="57" t="s">
        <v>1846</v>
      </c>
      <c r="D249" s="57" t="s">
        <v>1847</v>
      </c>
      <c r="E249" s="57" t="s">
        <v>1848</v>
      </c>
      <c r="F249" s="57" t="s">
        <v>1849</v>
      </c>
      <c r="G249" s="57" t="s">
        <v>1850</v>
      </c>
      <c r="H249" s="56" t="str">
        <f t="shared" si="1"/>
        <v>CORRECT</v>
      </c>
      <c r="I249" s="56" t="s">
        <v>40</v>
      </c>
      <c r="J249" s="56" t="s">
        <v>40</v>
      </c>
      <c r="K249" s="65" t="s">
        <v>1851</v>
      </c>
      <c r="L249" s="63">
        <v>27319.0</v>
      </c>
      <c r="M249" s="56" t="s">
        <v>62</v>
      </c>
      <c r="N249" s="57"/>
    </row>
    <row r="250" ht="60.0" customHeight="1">
      <c r="A250" s="56">
        <v>244.0</v>
      </c>
      <c r="B250" s="57" t="s">
        <v>1852</v>
      </c>
      <c r="C250" s="57" t="s">
        <v>1853</v>
      </c>
      <c r="D250" s="57" t="s">
        <v>1854</v>
      </c>
      <c r="E250" s="57" t="s">
        <v>1855</v>
      </c>
      <c r="F250" s="57" t="s">
        <v>1856</v>
      </c>
      <c r="G250" s="57" t="s">
        <v>1857</v>
      </c>
      <c r="H250" s="56" t="str">
        <f t="shared" si="1"/>
        <v>CORRECT</v>
      </c>
      <c r="I250" s="56" t="s">
        <v>40</v>
      </c>
      <c r="J250" s="56" t="s">
        <v>40</v>
      </c>
      <c r="K250" s="65" t="s">
        <v>1858</v>
      </c>
      <c r="L250" s="63">
        <v>33666.0</v>
      </c>
      <c r="M250" s="56" t="s">
        <v>42</v>
      </c>
      <c r="N250" s="57" t="s">
        <v>1859</v>
      </c>
    </row>
    <row r="251" ht="60.0" customHeight="1">
      <c r="A251" s="56">
        <v>245.0</v>
      </c>
      <c r="B251" s="57" t="s">
        <v>1860</v>
      </c>
      <c r="C251" s="57" t="s">
        <v>1861</v>
      </c>
      <c r="D251" s="57" t="s">
        <v>1862</v>
      </c>
      <c r="E251" s="57" t="s">
        <v>1863</v>
      </c>
      <c r="F251" s="57" t="s">
        <v>1864</v>
      </c>
      <c r="G251" s="57" t="s">
        <v>1865</v>
      </c>
      <c r="H251" s="56" t="str">
        <f t="shared" si="1"/>
        <v>CORRECT</v>
      </c>
      <c r="I251" s="56" t="s">
        <v>60</v>
      </c>
      <c r="J251" s="56" t="s">
        <v>60</v>
      </c>
      <c r="K251" s="65" t="s">
        <v>1866</v>
      </c>
      <c r="L251" s="63">
        <v>31386.0</v>
      </c>
      <c r="M251" s="56" t="s">
        <v>42</v>
      </c>
      <c r="N251" s="57" t="s">
        <v>1867</v>
      </c>
    </row>
    <row r="252" ht="60.0" customHeight="1">
      <c r="A252" s="56">
        <v>246.0</v>
      </c>
      <c r="B252" s="57" t="s">
        <v>1868</v>
      </c>
      <c r="C252" s="57" t="s">
        <v>1869</v>
      </c>
      <c r="D252" s="57" t="s">
        <v>1870</v>
      </c>
      <c r="E252" s="57" t="s">
        <v>1871</v>
      </c>
      <c r="F252" s="57" t="s">
        <v>1872</v>
      </c>
      <c r="G252" s="57" t="s">
        <v>1059</v>
      </c>
      <c r="H252" s="56" t="str">
        <f t="shared" si="1"/>
        <v>CORRECT</v>
      </c>
      <c r="I252" s="56" t="s">
        <v>50</v>
      </c>
      <c r="J252" s="56" t="s">
        <v>50</v>
      </c>
      <c r="K252" s="65" t="s">
        <v>1873</v>
      </c>
      <c r="L252" s="63">
        <v>39265.0</v>
      </c>
      <c r="M252" s="56" t="s">
        <v>42</v>
      </c>
      <c r="N252" s="57" t="s">
        <v>1874</v>
      </c>
    </row>
    <row r="253" ht="60.0" customHeight="1">
      <c r="A253" s="56">
        <v>247.0</v>
      </c>
      <c r="B253" s="57" t="s">
        <v>1875</v>
      </c>
      <c r="C253" s="57" t="s">
        <v>1876</v>
      </c>
      <c r="D253" s="57" t="s">
        <v>1877</v>
      </c>
      <c r="E253" s="57" t="s">
        <v>1878</v>
      </c>
      <c r="F253" s="57" t="s">
        <v>1879</v>
      </c>
      <c r="G253" s="57" t="s">
        <v>1880</v>
      </c>
      <c r="H253" s="56" t="str">
        <f t="shared" si="1"/>
        <v>CORRECT</v>
      </c>
      <c r="I253" s="56" t="s">
        <v>60</v>
      </c>
      <c r="J253" s="56" t="s">
        <v>60</v>
      </c>
      <c r="K253" s="65" t="s">
        <v>1881</v>
      </c>
      <c r="L253" s="63">
        <v>32157.0</v>
      </c>
      <c r="M253" s="56" t="s">
        <v>42</v>
      </c>
      <c r="N253" s="57" t="s">
        <v>1882</v>
      </c>
    </row>
    <row r="254" ht="60.0" customHeight="1">
      <c r="A254" s="56">
        <v>248.0</v>
      </c>
      <c r="B254" s="57" t="s">
        <v>1883</v>
      </c>
      <c r="C254" s="57" t="s">
        <v>1884</v>
      </c>
      <c r="D254" s="57" t="s">
        <v>1885</v>
      </c>
      <c r="E254" s="57" t="s">
        <v>1886</v>
      </c>
      <c r="F254" s="57" t="s">
        <v>1887</v>
      </c>
      <c r="G254" s="57" t="s">
        <v>1888</v>
      </c>
      <c r="H254" s="56" t="str">
        <f t="shared" si="1"/>
        <v>WRONG</v>
      </c>
      <c r="I254" s="56" t="s">
        <v>51</v>
      </c>
      <c r="J254" s="56" t="s">
        <v>77</v>
      </c>
      <c r="K254" s="65" t="s">
        <v>2675</v>
      </c>
      <c r="L254" s="63">
        <v>38980.0</v>
      </c>
      <c r="M254" s="56" t="s">
        <v>42</v>
      </c>
      <c r="N254" s="57" t="s">
        <v>1890</v>
      </c>
    </row>
    <row r="255" ht="60.0" customHeight="1">
      <c r="A255" s="56">
        <v>249.0</v>
      </c>
      <c r="B255" s="57" t="s">
        <v>1891</v>
      </c>
      <c r="C255" s="57" t="s">
        <v>1892</v>
      </c>
      <c r="D255" s="57" t="s">
        <v>1893</v>
      </c>
      <c r="E255" s="57" t="s">
        <v>1894</v>
      </c>
      <c r="F255" s="57" t="s">
        <v>1895</v>
      </c>
      <c r="G255" s="57" t="s">
        <v>1896</v>
      </c>
      <c r="H255" s="56" t="str">
        <f t="shared" si="1"/>
        <v>WRONG</v>
      </c>
      <c r="I255" s="56" t="s">
        <v>77</v>
      </c>
      <c r="J255" s="56" t="s">
        <v>40</v>
      </c>
      <c r="K255" s="65" t="s">
        <v>1897</v>
      </c>
      <c r="L255" s="63">
        <v>37175.0</v>
      </c>
      <c r="M255" s="56" t="s">
        <v>42</v>
      </c>
      <c r="N255" s="57" t="s">
        <v>1898</v>
      </c>
    </row>
    <row r="256" ht="60.0" customHeight="1">
      <c r="A256" s="56">
        <v>250.0</v>
      </c>
      <c r="B256" s="57" t="s">
        <v>1899</v>
      </c>
      <c r="C256" s="57" t="s">
        <v>1900</v>
      </c>
      <c r="D256" s="57" t="s">
        <v>1901</v>
      </c>
      <c r="E256" s="57" t="s">
        <v>1902</v>
      </c>
      <c r="F256" s="57" t="s">
        <v>1903</v>
      </c>
      <c r="G256" s="57" t="s">
        <v>1904</v>
      </c>
      <c r="H256" s="56" t="str">
        <f t="shared" si="1"/>
        <v>WRONG</v>
      </c>
      <c r="I256" s="56" t="s">
        <v>77</v>
      </c>
      <c r="J256" s="56" t="s">
        <v>60</v>
      </c>
      <c r="K256" s="65" t="s">
        <v>1905</v>
      </c>
      <c r="L256" s="63">
        <v>47032.0</v>
      </c>
      <c r="M256" s="56" t="s">
        <v>62</v>
      </c>
      <c r="N256" s="57"/>
    </row>
    <row r="257" ht="60.0" customHeight="1">
      <c r="A257" s="56">
        <v>251.0</v>
      </c>
      <c r="B257" s="57" t="s">
        <v>1906</v>
      </c>
      <c r="C257" s="57" t="s">
        <v>1907</v>
      </c>
      <c r="D257" s="57" t="s">
        <v>1908</v>
      </c>
      <c r="E257" s="57" t="s">
        <v>1909</v>
      </c>
      <c r="F257" s="57" t="s">
        <v>1910</v>
      </c>
      <c r="G257" s="57" t="s">
        <v>1911</v>
      </c>
      <c r="H257" s="56" t="str">
        <f t="shared" si="1"/>
        <v>CORRECT</v>
      </c>
      <c r="I257" s="56" t="s">
        <v>51</v>
      </c>
      <c r="J257" s="56" t="s">
        <v>51</v>
      </c>
      <c r="K257" s="65" t="s">
        <v>1912</v>
      </c>
      <c r="L257" s="63">
        <v>59247.0</v>
      </c>
      <c r="M257" s="56" t="s">
        <v>62</v>
      </c>
      <c r="N257" s="57"/>
    </row>
    <row r="258" ht="60.0" customHeight="1">
      <c r="A258" s="56">
        <v>252.0</v>
      </c>
      <c r="B258" s="57" t="s">
        <v>1913</v>
      </c>
      <c r="C258" s="57" t="s">
        <v>1914</v>
      </c>
      <c r="D258" s="57" t="s">
        <v>1915</v>
      </c>
      <c r="E258" s="57" t="s">
        <v>1916</v>
      </c>
      <c r="F258" s="57" t="s">
        <v>1917</v>
      </c>
      <c r="G258" s="57" t="s">
        <v>1918</v>
      </c>
      <c r="H258" s="56" t="str">
        <f t="shared" si="1"/>
        <v>CORRECT</v>
      </c>
      <c r="I258" s="56" t="s">
        <v>51</v>
      </c>
      <c r="J258" s="56" t="s">
        <v>51</v>
      </c>
      <c r="K258" s="65" t="s">
        <v>1919</v>
      </c>
      <c r="L258" s="63">
        <v>29259.0</v>
      </c>
      <c r="M258" s="56" t="s">
        <v>42</v>
      </c>
      <c r="N258" s="57" t="s">
        <v>1920</v>
      </c>
    </row>
    <row r="259" ht="60.0" customHeight="1">
      <c r="A259" s="56">
        <v>253.0</v>
      </c>
      <c r="B259" s="57" t="s">
        <v>1921</v>
      </c>
      <c r="C259" s="57" t="s">
        <v>1922</v>
      </c>
      <c r="D259" s="57" t="s">
        <v>1923</v>
      </c>
      <c r="E259" s="57" t="s">
        <v>1924</v>
      </c>
      <c r="F259" s="57" t="s">
        <v>1925</v>
      </c>
      <c r="G259" s="57" t="s">
        <v>1926</v>
      </c>
      <c r="H259" s="56" t="str">
        <f t="shared" si="1"/>
        <v>CORRECT</v>
      </c>
      <c r="I259" s="56" t="s">
        <v>40</v>
      </c>
      <c r="J259" s="56" t="s">
        <v>40</v>
      </c>
      <c r="K259" s="65" t="s">
        <v>1927</v>
      </c>
      <c r="L259" s="63">
        <v>42768.0</v>
      </c>
      <c r="M259" s="56" t="s">
        <v>42</v>
      </c>
      <c r="N259" s="57" t="s">
        <v>1928</v>
      </c>
    </row>
    <row r="260" ht="60.0" customHeight="1">
      <c r="A260" s="56">
        <v>254.0</v>
      </c>
      <c r="B260" s="57" t="s">
        <v>1929</v>
      </c>
      <c r="C260" s="57" t="s">
        <v>1930</v>
      </c>
      <c r="D260" s="57" t="s">
        <v>1931</v>
      </c>
      <c r="E260" s="57" t="s">
        <v>1932</v>
      </c>
      <c r="F260" s="57" t="s">
        <v>1933</v>
      </c>
      <c r="G260" s="57" t="s">
        <v>1934</v>
      </c>
      <c r="H260" s="56" t="str">
        <f t="shared" si="1"/>
        <v>WRONG</v>
      </c>
      <c r="I260" s="56" t="s">
        <v>50</v>
      </c>
      <c r="J260" s="56" t="s">
        <v>51</v>
      </c>
      <c r="K260" s="65" t="s">
        <v>1935</v>
      </c>
      <c r="L260" s="63">
        <v>43860.0</v>
      </c>
      <c r="M260" s="56" t="s">
        <v>62</v>
      </c>
      <c r="N260" s="57"/>
    </row>
    <row r="261" ht="60.0" customHeight="1">
      <c r="A261" s="56">
        <v>255.0</v>
      </c>
      <c r="B261" s="57" t="s">
        <v>1936</v>
      </c>
      <c r="C261" s="57" t="s">
        <v>1937</v>
      </c>
      <c r="D261" s="57" t="s">
        <v>1938</v>
      </c>
      <c r="E261" s="57" t="s">
        <v>1939</v>
      </c>
      <c r="F261" s="57" t="s">
        <v>1940</v>
      </c>
      <c r="G261" s="57" t="s">
        <v>1941</v>
      </c>
      <c r="H261" s="56" t="str">
        <f t="shared" si="1"/>
        <v>WRONG</v>
      </c>
      <c r="I261" s="56" t="s">
        <v>51</v>
      </c>
      <c r="J261" s="56" t="s">
        <v>50</v>
      </c>
      <c r="K261" s="65" t="s">
        <v>1942</v>
      </c>
      <c r="L261" s="63">
        <v>58646.0</v>
      </c>
      <c r="M261" s="56" t="s">
        <v>62</v>
      </c>
      <c r="N261" s="57"/>
    </row>
    <row r="262" ht="60.0" customHeight="1">
      <c r="A262" s="56">
        <v>256.0</v>
      </c>
      <c r="B262" s="57" t="s">
        <v>1943</v>
      </c>
      <c r="C262" s="57" t="s">
        <v>1944</v>
      </c>
      <c r="D262" s="57" t="s">
        <v>1945</v>
      </c>
      <c r="E262" s="57" t="s">
        <v>1946</v>
      </c>
      <c r="F262" s="57" t="s">
        <v>1947</v>
      </c>
      <c r="G262" s="57" t="s">
        <v>1948</v>
      </c>
      <c r="H262" s="56" t="str">
        <f t="shared" si="1"/>
        <v>WRONG</v>
      </c>
      <c r="I262" s="56" t="s">
        <v>60</v>
      </c>
      <c r="J262" s="56" t="s">
        <v>50</v>
      </c>
      <c r="K262" s="65" t="s">
        <v>1949</v>
      </c>
      <c r="L262" s="63">
        <v>39057.0</v>
      </c>
      <c r="M262" s="56" t="s">
        <v>62</v>
      </c>
      <c r="N262" s="57"/>
    </row>
    <row r="263" ht="60.0" customHeight="1">
      <c r="A263" s="56">
        <v>257.0</v>
      </c>
      <c r="B263" s="57" t="s">
        <v>1950</v>
      </c>
      <c r="C263" s="57" t="s">
        <v>1951</v>
      </c>
      <c r="D263" s="57" t="s">
        <v>1952</v>
      </c>
      <c r="E263" s="57" t="s">
        <v>1953</v>
      </c>
      <c r="F263" s="57" t="s">
        <v>1954</v>
      </c>
      <c r="G263" s="57" t="s">
        <v>1955</v>
      </c>
      <c r="H263" s="56" t="str">
        <f t="shared" si="1"/>
        <v>CORRECT</v>
      </c>
      <c r="I263" s="56" t="s">
        <v>40</v>
      </c>
      <c r="J263" s="56" t="s">
        <v>40</v>
      </c>
      <c r="K263" s="65" t="s">
        <v>1956</v>
      </c>
      <c r="L263" s="63">
        <v>36126.0</v>
      </c>
      <c r="M263" s="56" t="s">
        <v>42</v>
      </c>
      <c r="N263" s="57" t="s">
        <v>1957</v>
      </c>
    </row>
    <row r="264" ht="60.0" customHeight="1">
      <c r="A264" s="56">
        <v>258.0</v>
      </c>
      <c r="B264" s="57" t="s">
        <v>1958</v>
      </c>
      <c r="C264" s="57" t="s">
        <v>1959</v>
      </c>
      <c r="D264" s="57" t="s">
        <v>1960</v>
      </c>
      <c r="E264" s="57" t="s">
        <v>1961</v>
      </c>
      <c r="F264" s="57" t="s">
        <v>1962</v>
      </c>
      <c r="G264" s="57" t="s">
        <v>1963</v>
      </c>
      <c r="H264" s="56" t="str">
        <f t="shared" si="1"/>
        <v>CORRECT</v>
      </c>
      <c r="I264" s="56" t="s">
        <v>40</v>
      </c>
      <c r="J264" s="56" t="s">
        <v>40</v>
      </c>
      <c r="K264" s="65" t="s">
        <v>1964</v>
      </c>
      <c r="L264" s="63">
        <v>35164.0</v>
      </c>
      <c r="M264" s="56" t="s">
        <v>62</v>
      </c>
      <c r="N264" s="57"/>
    </row>
    <row r="265" ht="60.0" customHeight="1">
      <c r="A265" s="56">
        <v>259.0</v>
      </c>
      <c r="B265" s="57" t="s">
        <v>1965</v>
      </c>
      <c r="C265" s="57" t="s">
        <v>1966</v>
      </c>
      <c r="D265" s="57" t="s">
        <v>1967</v>
      </c>
      <c r="E265" s="57" t="s">
        <v>1968</v>
      </c>
      <c r="F265" s="57" t="s">
        <v>1969</v>
      </c>
      <c r="G265" s="57" t="s">
        <v>1970</v>
      </c>
      <c r="H265" s="56" t="str">
        <f t="shared" si="1"/>
        <v>CORRECT</v>
      </c>
      <c r="I265" s="56" t="s">
        <v>40</v>
      </c>
      <c r="J265" s="56" t="s">
        <v>40</v>
      </c>
      <c r="K265" s="65" t="s">
        <v>1971</v>
      </c>
      <c r="L265" s="63">
        <v>49886.0</v>
      </c>
      <c r="M265" s="56" t="s">
        <v>62</v>
      </c>
      <c r="N265" s="57"/>
    </row>
    <row r="266" ht="60.0" customHeight="1">
      <c r="A266" s="56">
        <v>260.0</v>
      </c>
      <c r="B266" s="57" t="s">
        <v>1972</v>
      </c>
      <c r="C266" s="57" t="s">
        <v>1274</v>
      </c>
      <c r="D266" s="57" t="s">
        <v>1973</v>
      </c>
      <c r="E266" s="57" t="s">
        <v>1974</v>
      </c>
      <c r="F266" s="57" t="s">
        <v>1975</v>
      </c>
      <c r="G266" s="57" t="s">
        <v>1976</v>
      </c>
      <c r="H266" s="56" t="str">
        <f t="shared" si="1"/>
        <v>CORRECT</v>
      </c>
      <c r="I266" s="56" t="s">
        <v>50</v>
      </c>
      <c r="J266" s="56" t="s">
        <v>50</v>
      </c>
      <c r="K266" s="65" t="s">
        <v>1977</v>
      </c>
      <c r="L266" s="63">
        <v>38166.0</v>
      </c>
      <c r="M266" s="56" t="s">
        <v>42</v>
      </c>
      <c r="N266" s="57" t="s">
        <v>1978</v>
      </c>
    </row>
    <row r="267" ht="60.0" customHeight="1">
      <c r="A267" s="56">
        <v>261.0</v>
      </c>
      <c r="B267" s="57" t="s">
        <v>1979</v>
      </c>
      <c r="C267" s="57" t="s">
        <v>1980</v>
      </c>
      <c r="D267" s="57" t="s">
        <v>1981</v>
      </c>
      <c r="E267" s="57" t="s">
        <v>1041</v>
      </c>
      <c r="F267" s="57" t="s">
        <v>1982</v>
      </c>
      <c r="G267" s="57" t="s">
        <v>1983</v>
      </c>
      <c r="H267" s="56" t="str">
        <f t="shared" si="1"/>
        <v>CORRECT</v>
      </c>
      <c r="I267" s="56" t="s">
        <v>50</v>
      </c>
      <c r="J267" s="56" t="s">
        <v>50</v>
      </c>
      <c r="K267" s="65" t="s">
        <v>1984</v>
      </c>
      <c r="L267" s="63">
        <v>30488.0</v>
      </c>
      <c r="M267" s="56" t="s">
        <v>62</v>
      </c>
      <c r="N267" s="57"/>
    </row>
    <row r="268" ht="60.0" customHeight="1">
      <c r="A268" s="56">
        <v>262.0</v>
      </c>
      <c r="B268" s="57" t="s">
        <v>1985</v>
      </c>
      <c r="C268" s="57" t="s">
        <v>1986</v>
      </c>
      <c r="D268" s="57" t="s">
        <v>1987</v>
      </c>
      <c r="E268" s="57" t="s">
        <v>1988</v>
      </c>
      <c r="F268" s="57" t="s">
        <v>1989</v>
      </c>
      <c r="G268" s="57" t="s">
        <v>1059</v>
      </c>
      <c r="H268" s="56" t="str">
        <f t="shared" si="1"/>
        <v>CORRECT</v>
      </c>
      <c r="I268" s="56" t="s">
        <v>40</v>
      </c>
      <c r="J268" s="56" t="s">
        <v>40</v>
      </c>
      <c r="K268" s="65" t="s">
        <v>1990</v>
      </c>
      <c r="L268" s="63">
        <v>37647.0</v>
      </c>
      <c r="M268" s="56" t="s">
        <v>62</v>
      </c>
      <c r="N268" s="62"/>
    </row>
    <row r="269" ht="60.0" customHeight="1">
      <c r="A269" s="56">
        <v>263.0</v>
      </c>
      <c r="B269" s="57" t="s">
        <v>1991</v>
      </c>
      <c r="C269" s="57" t="s">
        <v>1992</v>
      </c>
      <c r="D269" s="57" t="s">
        <v>1993</v>
      </c>
      <c r="E269" s="57" t="s">
        <v>1994</v>
      </c>
      <c r="F269" s="57" t="s">
        <v>1995</v>
      </c>
      <c r="G269" s="57" t="s">
        <v>1996</v>
      </c>
      <c r="H269" s="56" t="str">
        <f t="shared" si="1"/>
        <v>WRONG</v>
      </c>
      <c r="I269" s="56" t="s">
        <v>50</v>
      </c>
      <c r="J269" s="56" t="s">
        <v>60</v>
      </c>
      <c r="K269" s="65" t="s">
        <v>2676</v>
      </c>
      <c r="L269" s="63">
        <v>41620.0</v>
      </c>
      <c r="M269" s="56" t="s">
        <v>62</v>
      </c>
      <c r="N269" s="57"/>
    </row>
    <row r="270" ht="60.0" customHeight="1">
      <c r="A270" s="56">
        <v>264.0</v>
      </c>
      <c r="B270" s="57" t="s">
        <v>1998</v>
      </c>
      <c r="C270" s="57" t="s">
        <v>1999</v>
      </c>
      <c r="D270" s="57" t="s">
        <v>2000</v>
      </c>
      <c r="E270" s="57" t="s">
        <v>2001</v>
      </c>
      <c r="F270" s="57" t="s">
        <v>2002</v>
      </c>
      <c r="G270" s="57" t="s">
        <v>2003</v>
      </c>
      <c r="H270" s="56" t="str">
        <f t="shared" si="1"/>
        <v>CORRECT</v>
      </c>
      <c r="I270" s="56" t="s">
        <v>40</v>
      </c>
      <c r="J270" s="56" t="s">
        <v>40</v>
      </c>
      <c r="K270" s="65" t="s">
        <v>2004</v>
      </c>
      <c r="L270" s="63">
        <v>37199.0</v>
      </c>
      <c r="M270" s="56" t="s">
        <v>42</v>
      </c>
      <c r="N270" s="57" t="s">
        <v>2005</v>
      </c>
    </row>
    <row r="271" ht="60.0" customHeight="1">
      <c r="A271" s="56">
        <v>265.0</v>
      </c>
      <c r="B271" s="57" t="s">
        <v>2006</v>
      </c>
      <c r="C271" s="57" t="s">
        <v>2007</v>
      </c>
      <c r="D271" s="57" t="s">
        <v>2008</v>
      </c>
      <c r="E271" s="57" t="s">
        <v>2009</v>
      </c>
      <c r="F271" s="57" t="s">
        <v>2010</v>
      </c>
      <c r="G271" s="57" t="s">
        <v>2011</v>
      </c>
      <c r="H271" s="56" t="str">
        <f t="shared" si="1"/>
        <v>WRONG</v>
      </c>
      <c r="I271" s="56" t="s">
        <v>51</v>
      </c>
      <c r="J271" s="56" t="s">
        <v>40</v>
      </c>
      <c r="K271" s="65" t="s">
        <v>2012</v>
      </c>
      <c r="L271" s="63">
        <v>30513.0</v>
      </c>
      <c r="M271" s="56" t="s">
        <v>42</v>
      </c>
      <c r="N271" s="57" t="s">
        <v>2013</v>
      </c>
    </row>
    <row r="272" ht="60.0" customHeight="1">
      <c r="A272" s="56">
        <v>266.0</v>
      </c>
      <c r="B272" s="57" t="s">
        <v>2014</v>
      </c>
      <c r="C272" s="57" t="s">
        <v>2015</v>
      </c>
      <c r="D272" s="57" t="s">
        <v>2016</v>
      </c>
      <c r="E272" s="57" t="s">
        <v>2017</v>
      </c>
      <c r="F272" s="57" t="s">
        <v>2018</v>
      </c>
      <c r="G272" s="57" t="s">
        <v>2019</v>
      </c>
      <c r="H272" s="56" t="str">
        <f t="shared" si="1"/>
        <v>WRONG</v>
      </c>
      <c r="I272" s="56" t="s">
        <v>50</v>
      </c>
      <c r="J272" s="56" t="s">
        <v>77</v>
      </c>
      <c r="K272" s="65" t="s">
        <v>2020</v>
      </c>
      <c r="L272" s="63">
        <v>38725.0</v>
      </c>
      <c r="M272" s="56" t="s">
        <v>42</v>
      </c>
      <c r="N272" s="57" t="s">
        <v>2021</v>
      </c>
    </row>
    <row r="273" ht="60.0" customHeight="1">
      <c r="A273" s="56">
        <v>267.0</v>
      </c>
      <c r="B273" s="57" t="s">
        <v>2022</v>
      </c>
      <c r="C273" s="57" t="s">
        <v>2023</v>
      </c>
      <c r="D273" s="57" t="s">
        <v>2024</v>
      </c>
      <c r="E273" s="57" t="s">
        <v>2025</v>
      </c>
      <c r="F273" s="57" t="s">
        <v>2026</v>
      </c>
      <c r="G273" s="57" t="s">
        <v>2027</v>
      </c>
      <c r="H273" s="56" t="str">
        <f t="shared" si="1"/>
        <v>CORRECT</v>
      </c>
      <c r="I273" s="56" t="s">
        <v>60</v>
      </c>
      <c r="J273" s="56" t="s">
        <v>60</v>
      </c>
      <c r="K273" s="65" t="s">
        <v>2028</v>
      </c>
      <c r="L273" s="63">
        <v>63343.0</v>
      </c>
      <c r="M273" s="56" t="s">
        <v>62</v>
      </c>
      <c r="N273" s="57"/>
    </row>
    <row r="274" ht="60.0" customHeight="1">
      <c r="A274" s="56">
        <v>268.0</v>
      </c>
      <c r="B274" s="57" t="s">
        <v>2029</v>
      </c>
      <c r="C274" s="57" t="s">
        <v>2030</v>
      </c>
      <c r="D274" s="57" t="s">
        <v>2031</v>
      </c>
      <c r="E274" s="57" t="s">
        <v>2032</v>
      </c>
      <c r="F274" s="57" t="s">
        <v>2033</v>
      </c>
      <c r="G274" s="57" t="s">
        <v>1059</v>
      </c>
      <c r="H274" s="56" t="str">
        <f t="shared" si="1"/>
        <v>WRONG</v>
      </c>
      <c r="I274" s="56" t="s">
        <v>40</v>
      </c>
      <c r="J274" s="56" t="s">
        <v>51</v>
      </c>
      <c r="K274" s="65" t="s">
        <v>2034</v>
      </c>
      <c r="L274" s="63">
        <v>30277.0</v>
      </c>
      <c r="M274" s="56" t="s">
        <v>62</v>
      </c>
      <c r="N274" s="62"/>
    </row>
    <row r="275" ht="60.0" customHeight="1">
      <c r="A275" s="56">
        <v>269.0</v>
      </c>
      <c r="B275" s="57" t="s">
        <v>2035</v>
      </c>
      <c r="C275" s="57" t="s">
        <v>2036</v>
      </c>
      <c r="D275" s="57" t="s">
        <v>2037</v>
      </c>
      <c r="E275" s="57" t="s">
        <v>2038</v>
      </c>
      <c r="F275" s="57" t="s">
        <v>2039</v>
      </c>
      <c r="G275" s="57" t="s">
        <v>2040</v>
      </c>
      <c r="H275" s="56" t="str">
        <f t="shared" si="1"/>
        <v>CORRECT</v>
      </c>
      <c r="I275" s="56" t="s">
        <v>60</v>
      </c>
      <c r="J275" s="56" t="s">
        <v>60</v>
      </c>
      <c r="K275" s="65" t="s">
        <v>2041</v>
      </c>
      <c r="L275" s="63">
        <v>55243.0</v>
      </c>
      <c r="M275" s="56" t="s">
        <v>62</v>
      </c>
      <c r="N275" s="57"/>
    </row>
    <row r="276" ht="60.0" customHeight="1">
      <c r="A276" s="56">
        <v>270.0</v>
      </c>
      <c r="B276" s="57" t="s">
        <v>2042</v>
      </c>
      <c r="C276" s="57" t="s">
        <v>2043</v>
      </c>
      <c r="D276" s="57" t="s">
        <v>2044</v>
      </c>
      <c r="E276" s="57" t="s">
        <v>2045</v>
      </c>
      <c r="F276" s="57" t="s">
        <v>2046</v>
      </c>
      <c r="G276" s="57" t="s">
        <v>2047</v>
      </c>
      <c r="H276" s="56" t="str">
        <f t="shared" si="1"/>
        <v>CORRECT</v>
      </c>
      <c r="I276" s="56" t="s">
        <v>77</v>
      </c>
      <c r="J276" s="56" t="s">
        <v>77</v>
      </c>
      <c r="K276" s="65" t="s">
        <v>2048</v>
      </c>
      <c r="L276" s="63">
        <v>36379.0</v>
      </c>
      <c r="M276" s="56" t="s">
        <v>42</v>
      </c>
      <c r="N276" s="57" t="s">
        <v>2049</v>
      </c>
    </row>
    <row r="277" ht="60.0" customHeight="1">
      <c r="A277" s="56">
        <v>271.0</v>
      </c>
      <c r="B277" s="57" t="s">
        <v>2050</v>
      </c>
      <c r="C277" s="57" t="s">
        <v>2051</v>
      </c>
      <c r="D277" s="57" t="s">
        <v>2052</v>
      </c>
      <c r="E277" s="57" t="s">
        <v>2053</v>
      </c>
      <c r="F277" s="57" t="s">
        <v>2054</v>
      </c>
      <c r="G277" s="57" t="s">
        <v>2055</v>
      </c>
      <c r="H277" s="56" t="str">
        <f t="shared" si="1"/>
        <v>WRONG</v>
      </c>
      <c r="I277" s="56" t="s">
        <v>51</v>
      </c>
      <c r="J277" s="56" t="s">
        <v>60</v>
      </c>
      <c r="K277" s="65" t="s">
        <v>2056</v>
      </c>
      <c r="L277" s="63">
        <v>46771.0</v>
      </c>
      <c r="M277" s="56" t="s">
        <v>62</v>
      </c>
      <c r="N277" s="57"/>
    </row>
    <row r="278" ht="60.0" customHeight="1">
      <c r="A278" s="56">
        <v>272.0</v>
      </c>
      <c r="B278" s="57" t="s">
        <v>2057</v>
      </c>
      <c r="C278" s="57" t="s">
        <v>2058</v>
      </c>
      <c r="D278" s="57" t="s">
        <v>2059</v>
      </c>
      <c r="E278" s="57" t="s">
        <v>2060</v>
      </c>
      <c r="F278" s="57" t="s">
        <v>2061</v>
      </c>
      <c r="G278" s="57" t="s">
        <v>2062</v>
      </c>
      <c r="H278" s="56" t="str">
        <f t="shared" si="1"/>
        <v>WRONG</v>
      </c>
      <c r="I278" s="56" t="s">
        <v>50</v>
      </c>
      <c r="J278" s="56" t="s">
        <v>60</v>
      </c>
      <c r="K278" s="65" t="s">
        <v>2063</v>
      </c>
      <c r="L278" s="63">
        <v>60588.0</v>
      </c>
      <c r="M278" s="56" t="s">
        <v>42</v>
      </c>
      <c r="N278" s="57" t="s">
        <v>2064</v>
      </c>
    </row>
    <row r="279" ht="60.0" customHeight="1">
      <c r="A279" s="56">
        <v>273.0</v>
      </c>
      <c r="B279" s="57" t="s">
        <v>2065</v>
      </c>
      <c r="C279" s="57" t="s">
        <v>2066</v>
      </c>
      <c r="D279" s="57" t="s">
        <v>2067</v>
      </c>
      <c r="E279" s="57" t="s">
        <v>2068</v>
      </c>
      <c r="F279" s="57" t="s">
        <v>2069</v>
      </c>
      <c r="G279" s="57" t="s">
        <v>2070</v>
      </c>
      <c r="H279" s="56" t="str">
        <f t="shared" si="1"/>
        <v>CORRECT</v>
      </c>
      <c r="I279" s="56" t="s">
        <v>51</v>
      </c>
      <c r="J279" s="56" t="s">
        <v>51</v>
      </c>
      <c r="K279" s="65" t="s">
        <v>2677</v>
      </c>
      <c r="L279" s="63">
        <v>44204.0</v>
      </c>
      <c r="M279" s="56" t="s">
        <v>42</v>
      </c>
      <c r="N279" s="57" t="s">
        <v>2072</v>
      </c>
    </row>
    <row r="280" ht="60.0" customHeight="1">
      <c r="A280" s="56">
        <v>274.0</v>
      </c>
      <c r="B280" s="57" t="s">
        <v>2073</v>
      </c>
      <c r="C280" s="57" t="s">
        <v>2074</v>
      </c>
      <c r="D280" s="57" t="s">
        <v>2075</v>
      </c>
      <c r="E280" s="57" t="s">
        <v>2076</v>
      </c>
      <c r="F280" s="57" t="s">
        <v>2077</v>
      </c>
      <c r="G280" s="57" t="s">
        <v>2078</v>
      </c>
      <c r="H280" s="56" t="str">
        <f t="shared" si="1"/>
        <v>WRONG</v>
      </c>
      <c r="I280" s="56" t="s">
        <v>77</v>
      </c>
      <c r="J280" s="56" t="s">
        <v>51</v>
      </c>
      <c r="K280" s="65" t="s">
        <v>2079</v>
      </c>
      <c r="L280" s="63">
        <v>31379.0</v>
      </c>
      <c r="M280" s="56" t="s">
        <v>42</v>
      </c>
      <c r="N280" s="57" t="s">
        <v>2080</v>
      </c>
    </row>
    <row r="281" ht="60.0" customHeight="1">
      <c r="A281" s="56">
        <v>275.0</v>
      </c>
      <c r="B281" s="57" t="s">
        <v>2081</v>
      </c>
      <c r="C281" s="57" t="s">
        <v>2082</v>
      </c>
      <c r="D281" s="57" t="s">
        <v>2083</v>
      </c>
      <c r="E281" s="57" t="s">
        <v>2084</v>
      </c>
      <c r="F281" s="57" t="s">
        <v>1723</v>
      </c>
      <c r="G281" s="57" t="s">
        <v>2085</v>
      </c>
      <c r="H281" s="56" t="str">
        <f t="shared" si="1"/>
        <v>WRONG</v>
      </c>
      <c r="I281" s="56" t="s">
        <v>40</v>
      </c>
      <c r="J281" s="56" t="s">
        <v>50</v>
      </c>
      <c r="K281" s="65" t="s">
        <v>2678</v>
      </c>
      <c r="L281" s="63">
        <v>45344.0</v>
      </c>
      <c r="M281" s="56" t="s">
        <v>62</v>
      </c>
      <c r="N281" s="57"/>
    </row>
    <row r="282" ht="60.0" customHeight="1">
      <c r="A282" s="56">
        <v>276.0</v>
      </c>
      <c r="B282" s="57" t="s">
        <v>2087</v>
      </c>
      <c r="C282" s="57" t="s">
        <v>2088</v>
      </c>
      <c r="D282" s="57" t="s">
        <v>2089</v>
      </c>
      <c r="E282" s="57" t="s">
        <v>2090</v>
      </c>
      <c r="F282" s="57" t="s">
        <v>2091</v>
      </c>
      <c r="G282" s="57" t="s">
        <v>2092</v>
      </c>
      <c r="H282" s="56" t="str">
        <f t="shared" si="1"/>
        <v>CORRECT</v>
      </c>
      <c r="I282" s="56" t="s">
        <v>50</v>
      </c>
      <c r="J282" s="56" t="s">
        <v>50</v>
      </c>
      <c r="K282" s="65" t="s">
        <v>2679</v>
      </c>
      <c r="L282" s="63">
        <v>43020.0</v>
      </c>
      <c r="M282" s="56" t="s">
        <v>62</v>
      </c>
      <c r="N282" s="57"/>
    </row>
    <row r="283" ht="60.0" customHeight="1">
      <c r="A283" s="56">
        <v>277.0</v>
      </c>
      <c r="B283" s="57" t="s">
        <v>2094</v>
      </c>
      <c r="C283" s="57" t="s">
        <v>2095</v>
      </c>
      <c r="D283" s="57" t="s">
        <v>2096</v>
      </c>
      <c r="E283" s="57" t="s">
        <v>2097</v>
      </c>
      <c r="F283" s="57" t="s">
        <v>2098</v>
      </c>
      <c r="G283" s="57" t="s">
        <v>2099</v>
      </c>
      <c r="H283" s="56" t="str">
        <f t="shared" si="1"/>
        <v>CORRECT</v>
      </c>
      <c r="I283" s="56" t="s">
        <v>50</v>
      </c>
      <c r="J283" s="56" t="s">
        <v>50</v>
      </c>
      <c r="K283" s="65" t="s">
        <v>2100</v>
      </c>
      <c r="L283" s="63">
        <v>54738.0</v>
      </c>
      <c r="M283" s="56" t="s">
        <v>42</v>
      </c>
      <c r="N283" s="57" t="s">
        <v>2101</v>
      </c>
    </row>
    <row r="284" ht="60.0" customHeight="1">
      <c r="A284" s="56">
        <v>278.0</v>
      </c>
      <c r="B284" s="57" t="s">
        <v>2102</v>
      </c>
      <c r="C284" s="57" t="s">
        <v>2103</v>
      </c>
      <c r="D284" s="57" t="s">
        <v>2104</v>
      </c>
      <c r="E284" s="57" t="s">
        <v>2105</v>
      </c>
      <c r="F284" s="57" t="s">
        <v>2106</v>
      </c>
      <c r="G284" s="57" t="s">
        <v>2107</v>
      </c>
      <c r="H284" s="56" t="str">
        <f t="shared" si="1"/>
        <v>CORRECT</v>
      </c>
      <c r="I284" s="56" t="s">
        <v>50</v>
      </c>
      <c r="J284" s="56" t="s">
        <v>50</v>
      </c>
      <c r="K284" s="65" t="s">
        <v>2108</v>
      </c>
      <c r="L284" s="63">
        <v>43256.0</v>
      </c>
      <c r="M284" s="56" t="s">
        <v>62</v>
      </c>
      <c r="N284" s="57"/>
    </row>
    <row r="285" ht="60.0" customHeight="1">
      <c r="A285" s="56">
        <v>279.0</v>
      </c>
      <c r="B285" s="57" t="s">
        <v>2109</v>
      </c>
      <c r="C285" s="57" t="s">
        <v>2110</v>
      </c>
      <c r="D285" s="57" t="s">
        <v>2111</v>
      </c>
      <c r="E285" s="57" t="s">
        <v>2112</v>
      </c>
      <c r="F285" s="57" t="s">
        <v>2113</v>
      </c>
      <c r="G285" s="57" t="s">
        <v>2114</v>
      </c>
      <c r="H285" s="56" t="str">
        <f t="shared" si="1"/>
        <v>WRONG</v>
      </c>
      <c r="I285" s="56" t="s">
        <v>60</v>
      </c>
      <c r="J285" s="56" t="s">
        <v>77</v>
      </c>
      <c r="K285" s="65" t="s">
        <v>2115</v>
      </c>
      <c r="L285" s="63">
        <v>49122.0</v>
      </c>
      <c r="M285" s="56" t="s">
        <v>62</v>
      </c>
      <c r="N285" s="57"/>
    </row>
    <row r="286" ht="60.0" customHeight="1">
      <c r="A286" s="56">
        <v>280.0</v>
      </c>
      <c r="B286" s="57" t="s">
        <v>2116</v>
      </c>
      <c r="C286" s="57" t="s">
        <v>2117</v>
      </c>
      <c r="D286" s="57" t="s">
        <v>2118</v>
      </c>
      <c r="E286" s="57" t="s">
        <v>2119</v>
      </c>
      <c r="F286" s="57" t="s">
        <v>2120</v>
      </c>
      <c r="G286" s="57" t="s">
        <v>2121</v>
      </c>
      <c r="H286" s="56" t="str">
        <f t="shared" si="1"/>
        <v>WRONG</v>
      </c>
      <c r="I286" s="56" t="s">
        <v>77</v>
      </c>
      <c r="J286" s="56" t="s">
        <v>60</v>
      </c>
      <c r="K286" s="65" t="s">
        <v>2122</v>
      </c>
      <c r="L286" s="63">
        <v>37906.0</v>
      </c>
      <c r="M286" s="56" t="s">
        <v>62</v>
      </c>
      <c r="N286" s="57"/>
    </row>
    <row r="287" ht="60.0" customHeight="1">
      <c r="A287" s="56">
        <v>281.0</v>
      </c>
      <c r="B287" s="57" t="s">
        <v>2123</v>
      </c>
      <c r="C287" s="57" t="s">
        <v>2124</v>
      </c>
      <c r="D287" s="57" t="s">
        <v>2125</v>
      </c>
      <c r="E287" s="57" t="s">
        <v>2126</v>
      </c>
      <c r="F287" s="57" t="s">
        <v>2127</v>
      </c>
      <c r="G287" s="57" t="s">
        <v>2128</v>
      </c>
      <c r="H287" s="56" t="str">
        <f t="shared" si="1"/>
        <v>WRONG</v>
      </c>
      <c r="I287" s="56" t="s">
        <v>77</v>
      </c>
      <c r="J287" s="56" t="s">
        <v>50</v>
      </c>
      <c r="K287" s="65" t="s">
        <v>2129</v>
      </c>
      <c r="L287" s="63">
        <v>42596.0</v>
      </c>
      <c r="M287" s="56" t="s">
        <v>62</v>
      </c>
      <c r="N287" s="57"/>
    </row>
    <row r="288" ht="60.0" customHeight="1">
      <c r="A288" s="56">
        <v>282.0</v>
      </c>
      <c r="B288" s="57" t="s">
        <v>2130</v>
      </c>
      <c r="C288" s="57" t="s">
        <v>2131</v>
      </c>
      <c r="D288" s="57" t="s">
        <v>2132</v>
      </c>
      <c r="E288" s="57" t="s">
        <v>2133</v>
      </c>
      <c r="F288" s="57" t="s">
        <v>2134</v>
      </c>
      <c r="G288" s="57" t="s">
        <v>2135</v>
      </c>
      <c r="H288" s="56" t="str">
        <f t="shared" si="1"/>
        <v>CORRECT</v>
      </c>
      <c r="I288" s="56" t="s">
        <v>50</v>
      </c>
      <c r="J288" s="56" t="s">
        <v>50</v>
      </c>
      <c r="K288" s="65" t="s">
        <v>2136</v>
      </c>
      <c r="L288" s="63">
        <v>29483.0</v>
      </c>
      <c r="M288" s="56" t="s">
        <v>62</v>
      </c>
      <c r="N288" s="57"/>
    </row>
    <row r="289" ht="60.0" customHeight="1">
      <c r="A289" s="56">
        <v>283.0</v>
      </c>
      <c r="B289" s="57" t="s">
        <v>2137</v>
      </c>
      <c r="C289" s="57" t="s">
        <v>2138</v>
      </c>
      <c r="D289" s="57" t="s">
        <v>2139</v>
      </c>
      <c r="E289" s="57" t="s">
        <v>2140</v>
      </c>
      <c r="F289" s="57" t="s">
        <v>2141</v>
      </c>
      <c r="G289" s="57" t="s">
        <v>2142</v>
      </c>
      <c r="H289" s="56" t="str">
        <f t="shared" si="1"/>
        <v>WRONG</v>
      </c>
      <c r="I289" s="56" t="s">
        <v>77</v>
      </c>
      <c r="J289" s="56" t="s">
        <v>51</v>
      </c>
      <c r="K289" s="65" t="s">
        <v>2680</v>
      </c>
      <c r="L289" s="63">
        <v>47199.0</v>
      </c>
      <c r="M289" s="56" t="s">
        <v>62</v>
      </c>
      <c r="N289" s="57"/>
    </row>
    <row r="290" ht="60.0" customHeight="1">
      <c r="A290" s="56">
        <v>284.0</v>
      </c>
      <c r="B290" s="57" t="s">
        <v>2144</v>
      </c>
      <c r="C290" s="57" t="s">
        <v>2145</v>
      </c>
      <c r="D290" s="57" t="s">
        <v>2146</v>
      </c>
      <c r="E290" s="57" t="s">
        <v>2147</v>
      </c>
      <c r="F290" s="57" t="s">
        <v>2148</v>
      </c>
      <c r="G290" s="57" t="s">
        <v>1059</v>
      </c>
      <c r="H290" s="56" t="str">
        <f t="shared" si="1"/>
        <v>WRONG</v>
      </c>
      <c r="I290" s="56" t="s">
        <v>40</v>
      </c>
      <c r="J290" s="56" t="s">
        <v>51</v>
      </c>
      <c r="K290" s="65" t="s">
        <v>2149</v>
      </c>
      <c r="L290" s="63">
        <v>34644.0</v>
      </c>
      <c r="M290" s="56" t="s">
        <v>62</v>
      </c>
      <c r="N290" s="57"/>
    </row>
    <row r="291" ht="60.0" customHeight="1">
      <c r="A291" s="56">
        <v>285.0</v>
      </c>
      <c r="B291" s="57" t="s">
        <v>2150</v>
      </c>
      <c r="C291" s="57" t="s">
        <v>2151</v>
      </c>
      <c r="D291" s="57" t="s">
        <v>2152</v>
      </c>
      <c r="E291" s="57" t="s">
        <v>2153</v>
      </c>
      <c r="F291" s="57" t="s">
        <v>2154</v>
      </c>
      <c r="G291" s="57" t="s">
        <v>2155</v>
      </c>
      <c r="H291" s="56" t="str">
        <f t="shared" si="1"/>
        <v>CORRECT</v>
      </c>
      <c r="I291" s="56" t="s">
        <v>50</v>
      </c>
      <c r="J291" s="56" t="s">
        <v>50</v>
      </c>
      <c r="K291" s="65" t="s">
        <v>2156</v>
      </c>
      <c r="L291" s="63">
        <v>33257.0</v>
      </c>
      <c r="M291" s="56" t="s">
        <v>42</v>
      </c>
      <c r="N291" s="57" t="s">
        <v>2157</v>
      </c>
    </row>
    <row r="292" ht="60.0" customHeight="1">
      <c r="A292" s="56">
        <v>286.0</v>
      </c>
      <c r="B292" s="57" t="s">
        <v>2158</v>
      </c>
      <c r="C292" s="57" t="s">
        <v>2159</v>
      </c>
      <c r="D292" s="57" t="s">
        <v>2160</v>
      </c>
      <c r="E292" s="57" t="s">
        <v>2161</v>
      </c>
      <c r="F292" s="57" t="s">
        <v>2162</v>
      </c>
      <c r="G292" s="57" t="s">
        <v>2163</v>
      </c>
      <c r="H292" s="56" t="str">
        <f t="shared" si="1"/>
        <v>WRONG</v>
      </c>
      <c r="I292" s="56" t="s">
        <v>51</v>
      </c>
      <c r="J292" s="56" t="s">
        <v>60</v>
      </c>
      <c r="K292" s="65" t="s">
        <v>2164</v>
      </c>
      <c r="L292" s="63">
        <v>33849.0</v>
      </c>
      <c r="M292" s="56" t="s">
        <v>62</v>
      </c>
      <c r="N292" s="57"/>
    </row>
    <row r="293" ht="60.0" customHeight="1">
      <c r="A293" s="56">
        <v>287.0</v>
      </c>
      <c r="B293" s="57" t="s">
        <v>2165</v>
      </c>
      <c r="C293" s="57" t="s">
        <v>2166</v>
      </c>
      <c r="D293" s="57" t="s">
        <v>2167</v>
      </c>
      <c r="E293" s="57" t="s">
        <v>2168</v>
      </c>
      <c r="F293" s="57" t="s">
        <v>2169</v>
      </c>
      <c r="G293" s="57" t="s">
        <v>1059</v>
      </c>
      <c r="H293" s="56" t="str">
        <f t="shared" si="1"/>
        <v>CORRECT</v>
      </c>
      <c r="I293" s="56" t="s">
        <v>50</v>
      </c>
      <c r="J293" s="56" t="s">
        <v>50</v>
      </c>
      <c r="K293" s="65" t="s">
        <v>2170</v>
      </c>
      <c r="L293" s="63">
        <v>60204.0</v>
      </c>
      <c r="M293" s="56" t="s">
        <v>42</v>
      </c>
      <c r="N293" s="57" t="s">
        <v>2171</v>
      </c>
    </row>
    <row r="294" ht="60.0" customHeight="1">
      <c r="A294" s="56">
        <v>288.0</v>
      </c>
      <c r="B294" s="57" t="s">
        <v>2172</v>
      </c>
      <c r="C294" s="57" t="s">
        <v>2173</v>
      </c>
      <c r="D294" s="57" t="s">
        <v>2174</v>
      </c>
      <c r="E294" s="57" t="s">
        <v>2175</v>
      </c>
      <c r="F294" s="57" t="s">
        <v>2176</v>
      </c>
      <c r="G294" s="57" t="s">
        <v>2177</v>
      </c>
      <c r="H294" s="56" t="str">
        <f t="shared" si="1"/>
        <v>CORRECT</v>
      </c>
      <c r="I294" s="56" t="s">
        <v>60</v>
      </c>
      <c r="J294" s="56" t="s">
        <v>60</v>
      </c>
      <c r="K294" s="65" t="s">
        <v>2681</v>
      </c>
      <c r="L294" s="63">
        <v>36600.0</v>
      </c>
      <c r="M294" s="56" t="s">
        <v>42</v>
      </c>
      <c r="N294" s="57" t="s">
        <v>2179</v>
      </c>
    </row>
    <row r="295" ht="60.0" customHeight="1">
      <c r="A295" s="56">
        <v>289.0</v>
      </c>
      <c r="B295" s="57" t="s">
        <v>2180</v>
      </c>
      <c r="C295" s="57" t="s">
        <v>2181</v>
      </c>
      <c r="D295" s="57" t="s">
        <v>2182</v>
      </c>
      <c r="E295" s="57" t="s">
        <v>2183</v>
      </c>
      <c r="F295" s="57" t="s">
        <v>2184</v>
      </c>
      <c r="G295" s="57" t="s">
        <v>2185</v>
      </c>
      <c r="H295" s="56" t="str">
        <f t="shared" si="1"/>
        <v>WRONG</v>
      </c>
      <c r="I295" s="56" t="s">
        <v>60</v>
      </c>
      <c r="J295" s="56" t="s">
        <v>40</v>
      </c>
      <c r="K295" s="65" t="s">
        <v>2186</v>
      </c>
      <c r="L295" s="63">
        <v>38753.0</v>
      </c>
      <c r="M295" s="56" t="s">
        <v>62</v>
      </c>
      <c r="N295" s="57"/>
    </row>
    <row r="296" ht="60.0" customHeight="1">
      <c r="A296" s="56">
        <v>290.0</v>
      </c>
      <c r="B296" s="57" t="s">
        <v>2187</v>
      </c>
      <c r="C296" s="57" t="s">
        <v>2188</v>
      </c>
      <c r="D296" s="57" t="s">
        <v>2189</v>
      </c>
      <c r="E296" s="57" t="s">
        <v>2190</v>
      </c>
      <c r="F296" s="57" t="s">
        <v>2191</v>
      </c>
      <c r="G296" s="57" t="s">
        <v>1059</v>
      </c>
      <c r="H296" s="56" t="str">
        <f t="shared" si="1"/>
        <v>CORRECT</v>
      </c>
      <c r="I296" s="56" t="s">
        <v>60</v>
      </c>
      <c r="J296" s="56" t="s">
        <v>60</v>
      </c>
      <c r="K296" s="65" t="s">
        <v>2192</v>
      </c>
      <c r="L296" s="63">
        <v>28111.0</v>
      </c>
      <c r="M296" s="56" t="s">
        <v>42</v>
      </c>
      <c r="N296" s="57" t="s">
        <v>2193</v>
      </c>
    </row>
    <row r="297" ht="60.0" customHeight="1">
      <c r="A297" s="56">
        <v>291.0</v>
      </c>
      <c r="B297" s="57" t="s">
        <v>2194</v>
      </c>
      <c r="C297" s="57" t="s">
        <v>2195</v>
      </c>
      <c r="D297" s="57" t="s">
        <v>2196</v>
      </c>
      <c r="E297" s="57" t="s">
        <v>2197</v>
      </c>
      <c r="F297" s="57" t="s">
        <v>98</v>
      </c>
      <c r="G297" s="57" t="s">
        <v>2198</v>
      </c>
      <c r="H297" s="56" t="str">
        <f t="shared" si="1"/>
        <v>CORRECT</v>
      </c>
      <c r="I297" s="56" t="s">
        <v>40</v>
      </c>
      <c r="J297" s="56" t="s">
        <v>40</v>
      </c>
      <c r="K297" s="65" t="s">
        <v>2199</v>
      </c>
      <c r="L297" s="63">
        <v>35703.0</v>
      </c>
      <c r="M297" s="56" t="s">
        <v>62</v>
      </c>
      <c r="N297" s="57"/>
    </row>
    <row r="298" ht="60.0" customHeight="1">
      <c r="A298" s="56">
        <v>292.0</v>
      </c>
      <c r="B298" s="57" t="s">
        <v>2200</v>
      </c>
      <c r="C298" s="57" t="s">
        <v>2201</v>
      </c>
      <c r="D298" s="57" t="s">
        <v>2202</v>
      </c>
      <c r="E298" s="57" t="s">
        <v>2203</v>
      </c>
      <c r="F298" s="57" t="s">
        <v>2204</v>
      </c>
      <c r="G298" s="57" t="s">
        <v>2205</v>
      </c>
      <c r="H298" s="56" t="str">
        <f t="shared" si="1"/>
        <v>CORRECT</v>
      </c>
      <c r="I298" s="56" t="s">
        <v>50</v>
      </c>
      <c r="J298" s="56" t="s">
        <v>50</v>
      </c>
      <c r="K298" s="65" t="s">
        <v>2206</v>
      </c>
      <c r="L298" s="63">
        <v>47382.0</v>
      </c>
      <c r="M298" s="56" t="s">
        <v>62</v>
      </c>
      <c r="N298" s="57"/>
    </row>
    <row r="299" ht="60.0" customHeight="1">
      <c r="A299" s="56">
        <v>293.0</v>
      </c>
      <c r="B299" s="57" t="s">
        <v>2207</v>
      </c>
      <c r="C299" s="57" t="s">
        <v>2043</v>
      </c>
      <c r="D299" s="57" t="s">
        <v>2208</v>
      </c>
      <c r="E299" s="57" t="s">
        <v>2209</v>
      </c>
      <c r="F299" s="57" t="s">
        <v>2210</v>
      </c>
      <c r="G299" s="57" t="s">
        <v>2211</v>
      </c>
      <c r="H299" s="56" t="str">
        <f t="shared" si="1"/>
        <v>WRONG</v>
      </c>
      <c r="I299" s="56" t="s">
        <v>60</v>
      </c>
      <c r="J299" s="56" t="s">
        <v>51</v>
      </c>
      <c r="K299" s="65" t="s">
        <v>2682</v>
      </c>
      <c r="L299" s="63">
        <v>37244.0</v>
      </c>
      <c r="M299" s="56" t="s">
        <v>42</v>
      </c>
      <c r="N299" s="57" t="s">
        <v>2213</v>
      </c>
    </row>
    <row r="300" ht="60.0" customHeight="1">
      <c r="A300" s="56">
        <v>294.0</v>
      </c>
      <c r="B300" s="57" t="s">
        <v>2214</v>
      </c>
      <c r="C300" s="57" t="s">
        <v>2215</v>
      </c>
      <c r="D300" s="57" t="s">
        <v>2216</v>
      </c>
      <c r="E300" s="57" t="s">
        <v>2217</v>
      </c>
      <c r="F300" s="57" t="s">
        <v>2218</v>
      </c>
      <c r="G300" s="57" t="s">
        <v>2219</v>
      </c>
      <c r="H300" s="56" t="str">
        <f t="shared" si="1"/>
        <v>CORRECT</v>
      </c>
      <c r="I300" s="56" t="s">
        <v>50</v>
      </c>
      <c r="J300" s="56" t="s">
        <v>50</v>
      </c>
      <c r="K300" s="65" t="s">
        <v>2220</v>
      </c>
      <c r="L300" s="63">
        <v>41805.0</v>
      </c>
      <c r="M300" s="56" t="s">
        <v>62</v>
      </c>
      <c r="N300" s="57"/>
    </row>
    <row r="301" ht="60.0" customHeight="1">
      <c r="A301" s="56">
        <v>295.0</v>
      </c>
      <c r="B301" s="57" t="s">
        <v>2221</v>
      </c>
      <c r="C301" s="57" t="s">
        <v>2222</v>
      </c>
      <c r="D301" s="57" t="s">
        <v>2223</v>
      </c>
      <c r="E301" s="57" t="s">
        <v>2224</v>
      </c>
      <c r="F301" s="57" t="s">
        <v>2225</v>
      </c>
      <c r="G301" s="57" t="s">
        <v>2226</v>
      </c>
      <c r="H301" s="56" t="str">
        <f t="shared" si="1"/>
        <v>WRONG</v>
      </c>
      <c r="I301" s="56" t="s">
        <v>40</v>
      </c>
      <c r="J301" s="56" t="s">
        <v>60</v>
      </c>
      <c r="K301" s="65" t="s">
        <v>2683</v>
      </c>
      <c r="L301" s="63">
        <v>49503.0</v>
      </c>
      <c r="M301" s="56" t="s">
        <v>62</v>
      </c>
      <c r="N301" s="57"/>
    </row>
    <row r="302" ht="60.0" customHeight="1">
      <c r="A302" s="56">
        <v>296.0</v>
      </c>
      <c r="B302" s="57" t="s">
        <v>2228</v>
      </c>
      <c r="C302" s="57" t="s">
        <v>2229</v>
      </c>
      <c r="D302" s="57" t="s">
        <v>2230</v>
      </c>
      <c r="E302" s="57" t="s">
        <v>2231</v>
      </c>
      <c r="F302" s="57" t="s">
        <v>2232</v>
      </c>
      <c r="G302" s="57" t="s">
        <v>2233</v>
      </c>
      <c r="H302" s="56" t="str">
        <f t="shared" si="1"/>
        <v>WRONG</v>
      </c>
      <c r="I302" s="56" t="s">
        <v>50</v>
      </c>
      <c r="J302" s="56" t="s">
        <v>40</v>
      </c>
      <c r="K302" s="65" t="s">
        <v>2234</v>
      </c>
      <c r="L302" s="63">
        <v>36327.0</v>
      </c>
      <c r="M302" s="56" t="s">
        <v>42</v>
      </c>
      <c r="N302" s="57" t="s">
        <v>2235</v>
      </c>
    </row>
    <row r="303" ht="60.0" customHeight="1">
      <c r="A303" s="56">
        <v>297.0</v>
      </c>
      <c r="B303" s="57" t="s">
        <v>2236</v>
      </c>
      <c r="C303" s="57" t="s">
        <v>2237</v>
      </c>
      <c r="D303" s="57" t="s">
        <v>2238</v>
      </c>
      <c r="E303" s="57" t="s">
        <v>2239</v>
      </c>
      <c r="F303" s="57" t="s">
        <v>2240</v>
      </c>
      <c r="G303" s="57" t="s">
        <v>2241</v>
      </c>
      <c r="H303" s="56" t="str">
        <f t="shared" si="1"/>
        <v>WRONG</v>
      </c>
      <c r="I303" s="56" t="s">
        <v>77</v>
      </c>
      <c r="J303" s="56" t="s">
        <v>51</v>
      </c>
      <c r="K303" s="65" t="s">
        <v>2242</v>
      </c>
      <c r="L303" s="63">
        <v>35365.0</v>
      </c>
      <c r="M303" s="56" t="s">
        <v>42</v>
      </c>
      <c r="N303" s="57" t="s">
        <v>2243</v>
      </c>
    </row>
    <row r="304" ht="60.0" customHeight="1">
      <c r="A304" s="56">
        <v>298.0</v>
      </c>
      <c r="B304" s="57" t="s">
        <v>2244</v>
      </c>
      <c r="C304" s="57" t="s">
        <v>2245</v>
      </c>
      <c r="D304" s="57" t="s">
        <v>2246</v>
      </c>
      <c r="E304" s="57" t="s">
        <v>2247</v>
      </c>
      <c r="F304" s="57" t="s">
        <v>2248</v>
      </c>
      <c r="G304" s="57" t="s">
        <v>2249</v>
      </c>
      <c r="H304" s="56" t="str">
        <f t="shared" si="1"/>
        <v>CORRECT</v>
      </c>
      <c r="I304" s="56" t="s">
        <v>50</v>
      </c>
      <c r="J304" s="56" t="s">
        <v>50</v>
      </c>
      <c r="K304" s="65" t="s">
        <v>2250</v>
      </c>
      <c r="L304" s="63">
        <v>37475.0</v>
      </c>
      <c r="M304" s="56" t="s">
        <v>42</v>
      </c>
      <c r="N304" s="57" t="s">
        <v>2251</v>
      </c>
    </row>
    <row r="305" ht="60.0" customHeight="1">
      <c r="A305" s="56">
        <v>299.0</v>
      </c>
      <c r="B305" s="57" t="s">
        <v>2252</v>
      </c>
      <c r="C305" s="57" t="s">
        <v>2253</v>
      </c>
      <c r="D305" s="57" t="s">
        <v>2254</v>
      </c>
      <c r="E305" s="57" t="s">
        <v>2255</v>
      </c>
      <c r="F305" s="57" t="s">
        <v>2256</v>
      </c>
      <c r="G305" s="57" t="s">
        <v>1059</v>
      </c>
      <c r="H305" s="56" t="str">
        <f t="shared" si="1"/>
        <v>CORRECT</v>
      </c>
      <c r="I305" s="56" t="s">
        <v>50</v>
      </c>
      <c r="J305" s="56" t="s">
        <v>50</v>
      </c>
      <c r="K305" s="65" t="s">
        <v>2257</v>
      </c>
      <c r="L305" s="63">
        <v>38442.0</v>
      </c>
      <c r="M305" s="56" t="s">
        <v>42</v>
      </c>
      <c r="N305" s="57" t="s">
        <v>2258</v>
      </c>
    </row>
    <row r="306" ht="60.0" customHeight="1">
      <c r="A306" s="56">
        <v>300.0</v>
      </c>
      <c r="B306" s="57" t="s">
        <v>2259</v>
      </c>
      <c r="C306" s="57" t="s">
        <v>2260</v>
      </c>
      <c r="D306" s="57" t="s">
        <v>2261</v>
      </c>
      <c r="E306" s="57" t="s">
        <v>2262</v>
      </c>
      <c r="F306" s="57" t="s">
        <v>2263</v>
      </c>
      <c r="G306" s="57" t="s">
        <v>2264</v>
      </c>
      <c r="H306" s="56" t="str">
        <f t="shared" si="1"/>
        <v>WRONG</v>
      </c>
      <c r="I306" s="56" t="s">
        <v>40</v>
      </c>
      <c r="J306" s="56" t="s">
        <v>60</v>
      </c>
      <c r="K306" s="65" t="s">
        <v>2265</v>
      </c>
      <c r="L306" s="63">
        <v>32999.0</v>
      </c>
      <c r="M306" s="56" t="s">
        <v>62</v>
      </c>
      <c r="N306" s="57"/>
    </row>
    <row r="307" ht="60.0" customHeight="1">
      <c r="A307" s="56">
        <v>301.0</v>
      </c>
      <c r="B307" s="57" t="s">
        <v>2266</v>
      </c>
      <c r="C307" s="57" t="s">
        <v>2267</v>
      </c>
      <c r="D307" s="57" t="s">
        <v>2268</v>
      </c>
      <c r="E307" s="57" t="s">
        <v>2269</v>
      </c>
      <c r="F307" s="57" t="s">
        <v>2270</v>
      </c>
      <c r="G307" s="57" t="s">
        <v>2271</v>
      </c>
      <c r="H307" s="56" t="str">
        <f t="shared" si="1"/>
        <v>CORRECT</v>
      </c>
      <c r="I307" s="56" t="s">
        <v>50</v>
      </c>
      <c r="J307" s="56" t="s">
        <v>50</v>
      </c>
      <c r="K307" s="65" t="s">
        <v>2272</v>
      </c>
      <c r="L307" s="63">
        <v>35249.0</v>
      </c>
      <c r="M307" s="56" t="s">
        <v>62</v>
      </c>
      <c r="N307" s="57"/>
    </row>
    <row r="308" ht="60.0" customHeight="1">
      <c r="A308" s="56">
        <v>302.0</v>
      </c>
      <c r="B308" s="57" t="s">
        <v>2273</v>
      </c>
      <c r="C308" s="57" t="s">
        <v>2274</v>
      </c>
      <c r="D308" s="57" t="s">
        <v>2275</v>
      </c>
      <c r="E308" s="57" t="s">
        <v>2276</v>
      </c>
      <c r="F308" s="57" t="s">
        <v>2277</v>
      </c>
      <c r="G308" s="57" t="s">
        <v>1059</v>
      </c>
      <c r="H308" s="56" t="str">
        <f t="shared" si="1"/>
        <v>CORRECT</v>
      </c>
      <c r="I308" s="56" t="s">
        <v>40</v>
      </c>
      <c r="J308" s="56" t="s">
        <v>40</v>
      </c>
      <c r="K308" s="65" t="s">
        <v>2278</v>
      </c>
      <c r="L308" s="63">
        <v>27253.0</v>
      </c>
      <c r="M308" s="56" t="s">
        <v>62</v>
      </c>
      <c r="N308" s="57"/>
    </row>
    <row r="309" ht="60.0" customHeight="1">
      <c r="A309" s="56">
        <v>303.0</v>
      </c>
      <c r="B309" s="57" t="s">
        <v>2279</v>
      </c>
      <c r="C309" s="57" t="s">
        <v>2280</v>
      </c>
      <c r="D309" s="57" t="s">
        <v>2281</v>
      </c>
      <c r="E309" s="57" t="s">
        <v>2282</v>
      </c>
      <c r="F309" s="57" t="s">
        <v>2283</v>
      </c>
      <c r="G309" s="57" t="s">
        <v>2284</v>
      </c>
      <c r="H309" s="56" t="str">
        <f t="shared" si="1"/>
        <v>WRONG</v>
      </c>
      <c r="I309" s="56" t="s">
        <v>40</v>
      </c>
      <c r="J309" s="56" t="s">
        <v>51</v>
      </c>
      <c r="K309" s="65" t="s">
        <v>2684</v>
      </c>
      <c r="L309" s="63">
        <v>26211.0</v>
      </c>
      <c r="M309" s="56" t="s">
        <v>42</v>
      </c>
      <c r="N309" s="57" t="s">
        <v>2685</v>
      </c>
    </row>
    <row r="310" ht="60.0" customHeight="1">
      <c r="A310" s="56">
        <v>304.0</v>
      </c>
      <c r="B310" s="57" t="s">
        <v>2287</v>
      </c>
      <c r="C310" s="57" t="s">
        <v>2288</v>
      </c>
      <c r="D310" s="57" t="s">
        <v>2289</v>
      </c>
      <c r="E310" s="57" t="s">
        <v>2290</v>
      </c>
      <c r="F310" s="57" t="s">
        <v>2291</v>
      </c>
      <c r="G310" s="57" t="s">
        <v>2292</v>
      </c>
      <c r="H310" s="56" t="str">
        <f t="shared" si="1"/>
        <v>CORRECT</v>
      </c>
      <c r="I310" s="56" t="s">
        <v>50</v>
      </c>
      <c r="J310" s="56" t="s">
        <v>50</v>
      </c>
      <c r="K310" s="65" t="s">
        <v>2293</v>
      </c>
      <c r="L310" s="63">
        <v>37520.0</v>
      </c>
      <c r="M310" s="56" t="s">
        <v>42</v>
      </c>
      <c r="N310" s="57" t="s">
        <v>2294</v>
      </c>
    </row>
    <row r="311" ht="60.0" customHeight="1">
      <c r="A311" s="56">
        <v>305.0</v>
      </c>
      <c r="B311" s="57" t="s">
        <v>2295</v>
      </c>
      <c r="C311" s="57" t="s">
        <v>2296</v>
      </c>
      <c r="D311" s="57" t="s">
        <v>2297</v>
      </c>
      <c r="E311" s="57" t="s">
        <v>2298</v>
      </c>
      <c r="F311" s="57" t="s">
        <v>2299</v>
      </c>
      <c r="G311" s="57" t="s">
        <v>2300</v>
      </c>
      <c r="H311" s="56" t="str">
        <f t="shared" si="1"/>
        <v>CORRECT</v>
      </c>
      <c r="I311" s="56" t="s">
        <v>50</v>
      </c>
      <c r="J311" s="56" t="s">
        <v>50</v>
      </c>
      <c r="K311" s="65" t="s">
        <v>2301</v>
      </c>
      <c r="L311" s="63">
        <v>42875.0</v>
      </c>
      <c r="M311" s="56" t="s">
        <v>62</v>
      </c>
      <c r="N311" s="57"/>
    </row>
    <row r="312" ht="60.0" customHeight="1">
      <c r="A312" s="56">
        <v>306.0</v>
      </c>
      <c r="B312" s="57" t="s">
        <v>2302</v>
      </c>
      <c r="C312" s="57" t="s">
        <v>2303</v>
      </c>
      <c r="D312" s="57" t="s">
        <v>2304</v>
      </c>
      <c r="E312" s="57" t="s">
        <v>2305</v>
      </c>
      <c r="F312" s="57" t="s">
        <v>2306</v>
      </c>
      <c r="G312" s="57" t="s">
        <v>2307</v>
      </c>
      <c r="H312" s="56" t="str">
        <f t="shared" si="1"/>
        <v>WRONG</v>
      </c>
      <c r="I312" s="56" t="s">
        <v>50</v>
      </c>
      <c r="J312" s="56" t="s">
        <v>60</v>
      </c>
      <c r="K312" s="65" t="s">
        <v>2308</v>
      </c>
      <c r="L312" s="63">
        <v>32441.0</v>
      </c>
      <c r="M312" s="56" t="s">
        <v>62</v>
      </c>
      <c r="N312" s="62"/>
    </row>
    <row r="313" ht="60.0" customHeight="1">
      <c r="A313" s="56">
        <v>307.0</v>
      </c>
      <c r="B313" s="57" t="s">
        <v>2309</v>
      </c>
      <c r="C313" s="57" t="s">
        <v>2310</v>
      </c>
      <c r="D313" s="57" t="s">
        <v>2311</v>
      </c>
      <c r="E313" s="57" t="s">
        <v>2312</v>
      </c>
      <c r="F313" s="57" t="s">
        <v>2313</v>
      </c>
      <c r="G313" s="57" t="s">
        <v>2314</v>
      </c>
      <c r="H313" s="56" t="str">
        <f t="shared" si="1"/>
        <v>WRONG</v>
      </c>
      <c r="I313" s="56" t="s">
        <v>77</v>
      </c>
      <c r="J313" s="56" t="s">
        <v>50</v>
      </c>
      <c r="K313" s="65" t="s">
        <v>2315</v>
      </c>
      <c r="L313" s="63">
        <v>26404.0</v>
      </c>
      <c r="M313" s="56" t="s">
        <v>42</v>
      </c>
      <c r="N313" s="57" t="s">
        <v>2316</v>
      </c>
    </row>
    <row r="314" ht="60.0" customHeight="1">
      <c r="A314" s="56">
        <v>308.0</v>
      </c>
      <c r="B314" s="57" t="s">
        <v>2317</v>
      </c>
      <c r="C314" s="57" t="s">
        <v>2318</v>
      </c>
      <c r="D314" s="57" t="s">
        <v>2319</v>
      </c>
      <c r="E314" s="57" t="s">
        <v>2320</v>
      </c>
      <c r="F314" s="57" t="s">
        <v>2321</v>
      </c>
      <c r="G314" s="57" t="s">
        <v>1059</v>
      </c>
      <c r="H314" s="56" t="str">
        <f t="shared" si="1"/>
        <v>WRONG</v>
      </c>
      <c r="I314" s="56" t="s">
        <v>77</v>
      </c>
      <c r="J314" s="56" t="s">
        <v>60</v>
      </c>
      <c r="K314" s="65" t="s">
        <v>2322</v>
      </c>
      <c r="L314" s="63">
        <v>29685.0</v>
      </c>
      <c r="M314" s="56" t="s">
        <v>62</v>
      </c>
      <c r="N314" s="57"/>
    </row>
    <row r="315" ht="60.0" customHeight="1">
      <c r="A315" s="56">
        <v>309.0</v>
      </c>
      <c r="B315" s="57" t="s">
        <v>2323</v>
      </c>
      <c r="C315" s="57" t="s">
        <v>2324</v>
      </c>
      <c r="D315" s="57" t="s">
        <v>2325</v>
      </c>
      <c r="E315" s="57" t="s">
        <v>2326</v>
      </c>
      <c r="F315" s="57" t="s">
        <v>2327</v>
      </c>
      <c r="G315" s="57" t="s">
        <v>2328</v>
      </c>
      <c r="H315" s="56" t="str">
        <f t="shared" si="1"/>
        <v>CORRECT</v>
      </c>
      <c r="I315" s="56" t="s">
        <v>40</v>
      </c>
      <c r="J315" s="56" t="s">
        <v>40</v>
      </c>
      <c r="K315" s="65" t="s">
        <v>2329</v>
      </c>
      <c r="L315" s="63">
        <v>36563.0</v>
      </c>
      <c r="M315" s="56" t="s">
        <v>62</v>
      </c>
      <c r="N315" s="57"/>
    </row>
    <row r="316" ht="60.0" customHeight="1">
      <c r="A316" s="56">
        <v>310.0</v>
      </c>
      <c r="B316" s="57" t="s">
        <v>2330</v>
      </c>
      <c r="C316" s="57" t="s">
        <v>816</v>
      </c>
      <c r="D316" s="57" t="s">
        <v>2331</v>
      </c>
      <c r="E316" s="57" t="s">
        <v>2332</v>
      </c>
      <c r="F316" s="57" t="s">
        <v>1042</v>
      </c>
      <c r="G316" s="57" t="s">
        <v>2333</v>
      </c>
      <c r="H316" s="56" t="str">
        <f t="shared" si="1"/>
        <v>WRONG</v>
      </c>
      <c r="I316" s="56" t="s">
        <v>50</v>
      </c>
      <c r="J316" s="56" t="s">
        <v>77</v>
      </c>
      <c r="K316" s="65" t="s">
        <v>2334</v>
      </c>
      <c r="L316" s="63">
        <v>43445.0</v>
      </c>
      <c r="M316" s="56" t="s">
        <v>62</v>
      </c>
      <c r="N316" s="57"/>
    </row>
    <row r="317" ht="60.0" customHeight="1">
      <c r="A317" s="56">
        <v>311.0</v>
      </c>
      <c r="B317" s="57" t="s">
        <v>2335</v>
      </c>
      <c r="C317" s="57" t="s">
        <v>2336</v>
      </c>
      <c r="D317" s="57" t="s">
        <v>2337</v>
      </c>
      <c r="E317" s="57" t="s">
        <v>2338</v>
      </c>
      <c r="F317" s="57" t="s">
        <v>2339</v>
      </c>
      <c r="G317" s="57" t="s">
        <v>1059</v>
      </c>
      <c r="H317" s="56" t="str">
        <f t="shared" si="1"/>
        <v>CORRECT</v>
      </c>
      <c r="I317" s="56" t="s">
        <v>77</v>
      </c>
      <c r="J317" s="56" t="s">
        <v>77</v>
      </c>
      <c r="K317" s="65" t="s">
        <v>2340</v>
      </c>
      <c r="L317" s="63">
        <v>44733.0</v>
      </c>
      <c r="M317" s="56" t="s">
        <v>42</v>
      </c>
      <c r="N317" s="57" t="s">
        <v>2341</v>
      </c>
    </row>
    <row r="318" ht="60.0" customHeight="1">
      <c r="A318" s="56">
        <v>312.0</v>
      </c>
      <c r="B318" s="57" t="s">
        <v>2342</v>
      </c>
      <c r="C318" s="57" t="s">
        <v>2343</v>
      </c>
      <c r="D318" s="57" t="s">
        <v>2344</v>
      </c>
      <c r="E318" s="57" t="s">
        <v>2345</v>
      </c>
      <c r="F318" s="57" t="s">
        <v>2346</v>
      </c>
      <c r="G318" s="57" t="s">
        <v>1059</v>
      </c>
      <c r="H318" s="56" t="str">
        <f t="shared" si="1"/>
        <v>WRONG</v>
      </c>
      <c r="I318" s="56" t="s">
        <v>40</v>
      </c>
      <c r="J318" s="56" t="s">
        <v>60</v>
      </c>
      <c r="K318" s="65" t="s">
        <v>2686</v>
      </c>
      <c r="L318" s="63">
        <v>54291.0</v>
      </c>
      <c r="M318" s="56" t="s">
        <v>62</v>
      </c>
      <c r="N318" s="57"/>
    </row>
    <row r="319" ht="60.0" customHeight="1">
      <c r="A319" s="56">
        <v>313.0</v>
      </c>
      <c r="B319" s="57" t="s">
        <v>2348</v>
      </c>
      <c r="C319" s="57" t="s">
        <v>2349</v>
      </c>
      <c r="D319" s="57" t="s">
        <v>2350</v>
      </c>
      <c r="E319" s="57" t="s">
        <v>2351</v>
      </c>
      <c r="F319" s="57" t="s">
        <v>2352</v>
      </c>
      <c r="G319" s="57" t="s">
        <v>2353</v>
      </c>
      <c r="H319" s="56" t="str">
        <f t="shared" si="1"/>
        <v>CORRECT</v>
      </c>
      <c r="I319" s="56" t="s">
        <v>50</v>
      </c>
      <c r="J319" s="56" t="s">
        <v>50</v>
      </c>
      <c r="K319" s="65" t="s">
        <v>2354</v>
      </c>
      <c r="L319" s="63">
        <v>29538.0</v>
      </c>
      <c r="M319" s="56" t="s">
        <v>62</v>
      </c>
      <c r="N319" s="57"/>
    </row>
    <row r="320" ht="60.0" customHeight="1">
      <c r="A320" s="56">
        <v>314.0</v>
      </c>
      <c r="B320" s="57" t="s">
        <v>2355</v>
      </c>
      <c r="C320" s="57" t="s">
        <v>2356</v>
      </c>
      <c r="D320" s="57" t="s">
        <v>2357</v>
      </c>
      <c r="E320" s="57" t="s">
        <v>2358</v>
      </c>
      <c r="F320" s="57" t="s">
        <v>2359</v>
      </c>
      <c r="G320" s="57" t="s">
        <v>2360</v>
      </c>
      <c r="H320" s="56" t="str">
        <f t="shared" si="1"/>
        <v>CORRECT</v>
      </c>
      <c r="I320" s="56" t="s">
        <v>77</v>
      </c>
      <c r="J320" s="56" t="s">
        <v>77</v>
      </c>
      <c r="K320" s="65" t="s">
        <v>2361</v>
      </c>
      <c r="L320" s="63">
        <v>30848.0</v>
      </c>
      <c r="M320" s="56" t="s">
        <v>62</v>
      </c>
      <c r="N320" s="57"/>
    </row>
    <row r="321" ht="60.0" customHeight="1">
      <c r="A321" s="56">
        <v>315.0</v>
      </c>
      <c r="B321" s="57" t="s">
        <v>2362</v>
      </c>
      <c r="C321" s="57" t="s">
        <v>2363</v>
      </c>
      <c r="D321" s="57" t="s">
        <v>2364</v>
      </c>
      <c r="E321" s="57" t="s">
        <v>2365</v>
      </c>
      <c r="F321" s="57" t="s">
        <v>2366</v>
      </c>
      <c r="G321" s="57" t="s">
        <v>2367</v>
      </c>
      <c r="H321" s="56" t="str">
        <f t="shared" si="1"/>
        <v>WRONG</v>
      </c>
      <c r="I321" s="56" t="s">
        <v>77</v>
      </c>
      <c r="J321" s="56" t="s">
        <v>60</v>
      </c>
      <c r="K321" s="65" t="s">
        <v>2368</v>
      </c>
      <c r="L321" s="63">
        <v>32468.0</v>
      </c>
      <c r="M321" s="56" t="s">
        <v>42</v>
      </c>
      <c r="N321" s="57" t="s">
        <v>2369</v>
      </c>
    </row>
    <row r="322" ht="60.0" customHeight="1">
      <c r="A322" s="56">
        <v>316.0</v>
      </c>
      <c r="B322" s="57" t="s">
        <v>2370</v>
      </c>
      <c r="C322" s="57" t="s">
        <v>2371</v>
      </c>
      <c r="D322" s="57" t="s">
        <v>2372</v>
      </c>
      <c r="E322" s="57" t="s">
        <v>2373</v>
      </c>
      <c r="F322" s="57" t="s">
        <v>2374</v>
      </c>
      <c r="G322" s="57" t="s">
        <v>2375</v>
      </c>
      <c r="H322" s="56" t="str">
        <f t="shared" si="1"/>
        <v>CORRECT</v>
      </c>
      <c r="I322" s="56" t="s">
        <v>50</v>
      </c>
      <c r="J322" s="56" t="s">
        <v>50</v>
      </c>
      <c r="K322" s="65" t="s">
        <v>2376</v>
      </c>
      <c r="L322" s="63">
        <v>31441.0</v>
      </c>
      <c r="M322" s="56" t="s">
        <v>42</v>
      </c>
      <c r="N322" s="57" t="s">
        <v>2377</v>
      </c>
    </row>
    <row r="323" ht="60.0" customHeight="1">
      <c r="A323" s="56">
        <v>317.0</v>
      </c>
      <c r="B323" s="57" t="s">
        <v>2378</v>
      </c>
      <c r="C323" s="57" t="s">
        <v>2379</v>
      </c>
      <c r="D323" s="57" t="s">
        <v>2380</v>
      </c>
      <c r="E323" s="57" t="s">
        <v>2381</v>
      </c>
      <c r="F323" s="57" t="s">
        <v>2382</v>
      </c>
      <c r="G323" s="57" t="s">
        <v>1059</v>
      </c>
      <c r="H323" s="56" t="str">
        <f t="shared" si="1"/>
        <v>CORRECT</v>
      </c>
      <c r="I323" s="56" t="s">
        <v>77</v>
      </c>
      <c r="J323" s="56" t="s">
        <v>77</v>
      </c>
      <c r="K323" s="65" t="s">
        <v>2383</v>
      </c>
      <c r="L323" s="63">
        <v>39092.0</v>
      </c>
      <c r="M323" s="56" t="s">
        <v>42</v>
      </c>
      <c r="N323" s="57" t="s">
        <v>2384</v>
      </c>
    </row>
    <row r="324" ht="60.0" customHeight="1">
      <c r="A324" s="56">
        <v>318.0</v>
      </c>
      <c r="B324" s="57" t="s">
        <v>2385</v>
      </c>
      <c r="C324" s="57" t="s">
        <v>2386</v>
      </c>
      <c r="D324" s="57" t="s">
        <v>2387</v>
      </c>
      <c r="E324" s="57" t="s">
        <v>2388</v>
      </c>
      <c r="F324" s="57" t="s">
        <v>2389</v>
      </c>
      <c r="G324" s="57" t="s">
        <v>2390</v>
      </c>
      <c r="H324" s="56" t="str">
        <f t="shared" si="1"/>
        <v>CORRECT</v>
      </c>
      <c r="I324" s="56" t="s">
        <v>77</v>
      </c>
      <c r="J324" s="56" t="s">
        <v>77</v>
      </c>
      <c r="K324" s="65" t="s">
        <v>2391</v>
      </c>
      <c r="L324" s="63">
        <v>27773.0</v>
      </c>
      <c r="M324" s="56" t="s">
        <v>62</v>
      </c>
      <c r="N324" s="57"/>
    </row>
    <row r="325" ht="60.0" customHeight="1">
      <c r="A325" s="56">
        <v>319.0</v>
      </c>
      <c r="B325" s="57" t="s">
        <v>2392</v>
      </c>
      <c r="C325" s="57" t="s">
        <v>2393</v>
      </c>
      <c r="D325" s="57" t="s">
        <v>2394</v>
      </c>
      <c r="E325" s="57" t="s">
        <v>2395</v>
      </c>
      <c r="F325" s="57" t="s">
        <v>2396</v>
      </c>
      <c r="G325" s="57" t="s">
        <v>2397</v>
      </c>
      <c r="H325" s="56" t="str">
        <f t="shared" si="1"/>
        <v>WRONG</v>
      </c>
      <c r="I325" s="56" t="s">
        <v>60</v>
      </c>
      <c r="J325" s="56" t="s">
        <v>77</v>
      </c>
      <c r="K325" s="65" t="s">
        <v>2398</v>
      </c>
      <c r="L325" s="63">
        <v>41070.0</v>
      </c>
      <c r="M325" s="56" t="s">
        <v>62</v>
      </c>
      <c r="N325" s="57"/>
    </row>
    <row r="326" ht="60.0" customHeight="1">
      <c r="A326" s="56">
        <v>320.0</v>
      </c>
      <c r="B326" s="57" t="s">
        <v>2399</v>
      </c>
      <c r="C326" s="57" t="s">
        <v>2400</v>
      </c>
      <c r="D326" s="57" t="s">
        <v>2401</v>
      </c>
      <c r="E326" s="57" t="s">
        <v>2402</v>
      </c>
      <c r="F326" s="57" t="s">
        <v>2403</v>
      </c>
      <c r="G326" s="57" t="s">
        <v>2404</v>
      </c>
      <c r="H326" s="56" t="str">
        <f t="shared" si="1"/>
        <v>CORRECT</v>
      </c>
      <c r="I326" s="56" t="s">
        <v>40</v>
      </c>
      <c r="J326" s="56" t="s">
        <v>40</v>
      </c>
      <c r="K326" s="65" t="s">
        <v>2405</v>
      </c>
      <c r="L326" s="63">
        <v>32125.0</v>
      </c>
      <c r="M326" s="56" t="s">
        <v>42</v>
      </c>
      <c r="N326" s="57" t="s">
        <v>2406</v>
      </c>
    </row>
    <row r="327" ht="60.0" customHeight="1">
      <c r="A327" s="56">
        <v>321.0</v>
      </c>
      <c r="B327" s="57" t="s">
        <v>2407</v>
      </c>
      <c r="C327" s="57" t="s">
        <v>2408</v>
      </c>
      <c r="D327" s="57" t="s">
        <v>2409</v>
      </c>
      <c r="E327" s="57" t="s">
        <v>2410</v>
      </c>
      <c r="F327" s="57" t="s">
        <v>2411</v>
      </c>
      <c r="G327" s="57" t="s">
        <v>2412</v>
      </c>
      <c r="H327" s="56" t="str">
        <f t="shared" si="1"/>
        <v>WRONG</v>
      </c>
      <c r="I327" s="56" t="s">
        <v>60</v>
      </c>
      <c r="J327" s="56" t="s">
        <v>50</v>
      </c>
      <c r="K327" s="65" t="s">
        <v>2413</v>
      </c>
      <c r="L327" s="63">
        <v>52036.0</v>
      </c>
      <c r="M327" s="56" t="s">
        <v>42</v>
      </c>
      <c r="N327" s="57" t="s">
        <v>2414</v>
      </c>
    </row>
    <row r="328" ht="60.0" customHeight="1">
      <c r="A328" s="56">
        <v>322.0</v>
      </c>
      <c r="B328" s="57" t="s">
        <v>2415</v>
      </c>
      <c r="C328" s="57" t="s">
        <v>2416</v>
      </c>
      <c r="D328" s="57" t="s">
        <v>2417</v>
      </c>
      <c r="E328" s="57" t="s">
        <v>2418</v>
      </c>
      <c r="F328" s="57" t="s">
        <v>2419</v>
      </c>
      <c r="G328" s="57" t="s">
        <v>2420</v>
      </c>
      <c r="H328" s="56" t="str">
        <f t="shared" si="1"/>
        <v>WRONG</v>
      </c>
      <c r="I328" s="56" t="s">
        <v>77</v>
      </c>
      <c r="J328" s="56" t="s">
        <v>50</v>
      </c>
      <c r="K328" s="65" t="s">
        <v>2421</v>
      </c>
      <c r="L328" s="63">
        <v>48773.0</v>
      </c>
      <c r="M328" s="56" t="s">
        <v>42</v>
      </c>
      <c r="N328" s="57" t="s">
        <v>2414</v>
      </c>
    </row>
    <row r="329" ht="60.0" customHeight="1">
      <c r="A329" s="56">
        <v>323.0</v>
      </c>
      <c r="B329" s="57" t="s">
        <v>2422</v>
      </c>
      <c r="C329" s="57" t="s">
        <v>2423</v>
      </c>
      <c r="D329" s="57" t="s">
        <v>2424</v>
      </c>
      <c r="E329" s="57" t="s">
        <v>2425</v>
      </c>
      <c r="F329" s="57" t="s">
        <v>2426</v>
      </c>
      <c r="G329" s="57" t="s">
        <v>2427</v>
      </c>
      <c r="H329" s="56" t="str">
        <f t="shared" si="1"/>
        <v>CORRECT</v>
      </c>
      <c r="I329" s="56" t="s">
        <v>77</v>
      </c>
      <c r="J329" s="56" t="s">
        <v>77</v>
      </c>
      <c r="K329" s="65" t="s">
        <v>2428</v>
      </c>
      <c r="L329" s="63">
        <v>45605.0</v>
      </c>
      <c r="M329" s="56" t="s">
        <v>62</v>
      </c>
      <c r="N329" s="57"/>
    </row>
    <row r="330" ht="60.0" customHeight="1">
      <c r="A330" s="56">
        <v>324.0</v>
      </c>
      <c r="B330" s="57" t="s">
        <v>2429</v>
      </c>
      <c r="C330" s="57" t="s">
        <v>2430</v>
      </c>
      <c r="D330" s="57" t="s">
        <v>2431</v>
      </c>
      <c r="E330" s="57" t="s">
        <v>2432</v>
      </c>
      <c r="F330" s="57" t="s">
        <v>2433</v>
      </c>
      <c r="G330" s="57" t="s">
        <v>2434</v>
      </c>
      <c r="H330" s="56" t="str">
        <f t="shared" si="1"/>
        <v>CORRECT</v>
      </c>
      <c r="I330" s="56" t="s">
        <v>77</v>
      </c>
      <c r="J330" s="56" t="s">
        <v>77</v>
      </c>
      <c r="K330" s="65" t="s">
        <v>2435</v>
      </c>
      <c r="L330" s="63">
        <v>50212.0</v>
      </c>
      <c r="M330" s="56" t="s">
        <v>42</v>
      </c>
      <c r="N330" s="57" t="s">
        <v>1562</v>
      </c>
    </row>
    <row r="331" ht="60.0" customHeight="1">
      <c r="A331" s="56">
        <v>325.0</v>
      </c>
      <c r="B331" s="57" t="s">
        <v>2436</v>
      </c>
      <c r="C331" s="57" t="s">
        <v>2437</v>
      </c>
      <c r="D331" s="57" t="s">
        <v>2438</v>
      </c>
      <c r="E331" s="57" t="s">
        <v>2439</v>
      </c>
      <c r="F331" s="57" t="s">
        <v>2440</v>
      </c>
      <c r="G331" s="57" t="s">
        <v>2441</v>
      </c>
      <c r="H331" s="56" t="str">
        <f t="shared" si="1"/>
        <v>CORRECT</v>
      </c>
      <c r="I331" s="56" t="s">
        <v>77</v>
      </c>
      <c r="J331" s="56" t="s">
        <v>77</v>
      </c>
      <c r="K331" s="65" t="s">
        <v>2687</v>
      </c>
      <c r="L331" s="63">
        <v>30617.0</v>
      </c>
      <c r="M331" s="56" t="s">
        <v>62</v>
      </c>
      <c r="N331" s="62"/>
    </row>
    <row r="332" ht="60.0" customHeight="1">
      <c r="A332" s="56">
        <v>326.0</v>
      </c>
      <c r="B332" s="57" t="s">
        <v>2443</v>
      </c>
      <c r="C332" s="57" t="s">
        <v>2444</v>
      </c>
      <c r="D332" s="57" t="s">
        <v>2445</v>
      </c>
      <c r="E332" s="57" t="s">
        <v>2446</v>
      </c>
      <c r="F332" s="57" t="s">
        <v>2447</v>
      </c>
      <c r="G332" s="57" t="s">
        <v>2448</v>
      </c>
      <c r="H332" s="56" t="str">
        <f t="shared" si="1"/>
        <v>WRONG</v>
      </c>
      <c r="I332" s="56" t="s">
        <v>51</v>
      </c>
      <c r="J332" s="56" t="s">
        <v>77</v>
      </c>
      <c r="K332" s="65" t="s">
        <v>2449</v>
      </c>
      <c r="L332" s="63">
        <v>44880.0</v>
      </c>
      <c r="M332" s="56" t="s">
        <v>62</v>
      </c>
      <c r="N332" s="62"/>
    </row>
    <row r="333" ht="60.0" customHeight="1">
      <c r="A333" s="56">
        <v>327.0</v>
      </c>
      <c r="B333" s="57" t="s">
        <v>2450</v>
      </c>
      <c r="C333" s="57" t="s">
        <v>2451</v>
      </c>
      <c r="D333" s="57" t="s">
        <v>2452</v>
      </c>
      <c r="E333" s="57" t="s">
        <v>2453</v>
      </c>
      <c r="F333" s="57" t="s">
        <v>2454</v>
      </c>
      <c r="G333" s="57" t="s">
        <v>2455</v>
      </c>
      <c r="H333" s="56" t="str">
        <f t="shared" si="1"/>
        <v>WRONG</v>
      </c>
      <c r="I333" s="56" t="s">
        <v>50</v>
      </c>
      <c r="J333" s="56" t="s">
        <v>60</v>
      </c>
      <c r="K333" s="65" t="s">
        <v>2456</v>
      </c>
      <c r="L333" s="63">
        <v>39064.0</v>
      </c>
      <c r="M333" s="56" t="s">
        <v>42</v>
      </c>
      <c r="N333" s="57" t="s">
        <v>2457</v>
      </c>
    </row>
    <row r="334" ht="60.0" customHeight="1">
      <c r="A334" s="56">
        <v>328.0</v>
      </c>
      <c r="B334" s="57" t="s">
        <v>2458</v>
      </c>
      <c r="C334" s="57" t="s">
        <v>2459</v>
      </c>
      <c r="D334" s="57" t="s">
        <v>2460</v>
      </c>
      <c r="E334" s="57" t="s">
        <v>2461</v>
      </c>
      <c r="F334" s="57" t="s">
        <v>2462</v>
      </c>
      <c r="G334" s="57" t="s">
        <v>2463</v>
      </c>
      <c r="H334" s="56" t="str">
        <f t="shared" si="1"/>
        <v>WRONG</v>
      </c>
      <c r="I334" s="56" t="s">
        <v>51</v>
      </c>
      <c r="J334" s="56" t="s">
        <v>50</v>
      </c>
      <c r="K334" s="65" t="s">
        <v>2464</v>
      </c>
      <c r="L334" s="63">
        <v>40193.0</v>
      </c>
      <c r="M334" s="56" t="s">
        <v>62</v>
      </c>
      <c r="N334" s="57"/>
    </row>
    <row r="335" ht="60.0" customHeight="1">
      <c r="A335" s="56">
        <v>329.0</v>
      </c>
      <c r="B335" s="57" t="s">
        <v>2465</v>
      </c>
      <c r="C335" s="57" t="s">
        <v>2466</v>
      </c>
      <c r="D335" s="57" t="s">
        <v>2467</v>
      </c>
      <c r="E335" s="57" t="s">
        <v>2468</v>
      </c>
      <c r="F335" s="57" t="s">
        <v>2469</v>
      </c>
      <c r="G335" s="57" t="s">
        <v>2470</v>
      </c>
      <c r="H335" s="56" t="str">
        <f t="shared" si="1"/>
        <v>WRONG</v>
      </c>
      <c r="I335" s="56" t="s">
        <v>40</v>
      </c>
      <c r="J335" s="56" t="s">
        <v>51</v>
      </c>
      <c r="K335" s="65" t="s">
        <v>2688</v>
      </c>
      <c r="L335" s="63">
        <v>37578.0</v>
      </c>
      <c r="M335" s="56" t="s">
        <v>62</v>
      </c>
      <c r="N335" s="57"/>
    </row>
    <row r="336" ht="60.0" customHeight="1">
      <c r="A336" s="56">
        <v>330.0</v>
      </c>
      <c r="B336" s="57" t="s">
        <v>2472</v>
      </c>
      <c r="C336" s="57" t="s">
        <v>2473</v>
      </c>
      <c r="D336" s="57" t="s">
        <v>2474</v>
      </c>
      <c r="E336" s="57" t="s">
        <v>2475</v>
      </c>
      <c r="F336" s="57" t="s">
        <v>2476</v>
      </c>
      <c r="G336" s="57" t="s">
        <v>2477</v>
      </c>
      <c r="H336" s="56" t="str">
        <f t="shared" si="1"/>
        <v>WRONG</v>
      </c>
      <c r="I336" s="56" t="s">
        <v>50</v>
      </c>
      <c r="J336" s="56" t="s">
        <v>40</v>
      </c>
      <c r="K336" s="65" t="s">
        <v>2478</v>
      </c>
      <c r="L336" s="63">
        <v>39920.0</v>
      </c>
      <c r="M336" s="56" t="s">
        <v>42</v>
      </c>
      <c r="N336" s="57" t="s">
        <v>2479</v>
      </c>
    </row>
    <row r="337" ht="60.0" customHeight="1">
      <c r="A337" s="56">
        <v>331.0</v>
      </c>
      <c r="B337" s="57" t="s">
        <v>2480</v>
      </c>
      <c r="C337" s="57" t="s">
        <v>2481</v>
      </c>
      <c r="D337" s="57" t="s">
        <v>2482</v>
      </c>
      <c r="E337" s="57" t="s">
        <v>2483</v>
      </c>
      <c r="F337" s="57" t="s">
        <v>2484</v>
      </c>
      <c r="G337" s="57" t="s">
        <v>2485</v>
      </c>
      <c r="H337" s="56" t="str">
        <f t="shared" si="1"/>
        <v>CORRECT</v>
      </c>
      <c r="I337" s="56" t="s">
        <v>60</v>
      </c>
      <c r="J337" s="56" t="s">
        <v>60</v>
      </c>
      <c r="K337" s="65" t="s">
        <v>2486</v>
      </c>
      <c r="L337" s="63">
        <v>47788.0</v>
      </c>
      <c r="M337" s="56" t="s">
        <v>62</v>
      </c>
      <c r="N337" s="57"/>
    </row>
    <row r="338" ht="60.0" customHeight="1">
      <c r="A338" s="56">
        <v>332.0</v>
      </c>
      <c r="B338" s="57" t="s">
        <v>2487</v>
      </c>
      <c r="C338" s="57" t="s">
        <v>2488</v>
      </c>
      <c r="D338" s="57" t="s">
        <v>2489</v>
      </c>
      <c r="E338" s="57" t="s">
        <v>2490</v>
      </c>
      <c r="F338" s="57" t="s">
        <v>2491</v>
      </c>
      <c r="G338" s="57" t="s">
        <v>2492</v>
      </c>
      <c r="H338" s="56" t="str">
        <f t="shared" si="1"/>
        <v>CORRECT</v>
      </c>
      <c r="I338" s="56" t="s">
        <v>50</v>
      </c>
      <c r="J338" s="56" t="s">
        <v>50</v>
      </c>
      <c r="K338" s="65" t="s">
        <v>2493</v>
      </c>
      <c r="L338" s="63">
        <v>38319.0</v>
      </c>
      <c r="M338" s="56" t="s">
        <v>42</v>
      </c>
      <c r="N338" s="57" t="s">
        <v>2494</v>
      </c>
    </row>
    <row r="339" ht="60.0" customHeight="1">
      <c r="A339" s="56">
        <v>333.0</v>
      </c>
      <c r="B339" s="57" t="s">
        <v>2495</v>
      </c>
      <c r="C339" s="57" t="s">
        <v>2496</v>
      </c>
      <c r="D339" s="57" t="s">
        <v>2497</v>
      </c>
      <c r="E339" s="57" t="s">
        <v>2498</v>
      </c>
      <c r="F339" s="57" t="s">
        <v>2499</v>
      </c>
      <c r="G339" s="57" t="s">
        <v>1059</v>
      </c>
      <c r="H339" s="56" t="str">
        <f t="shared" si="1"/>
        <v>CORRECT</v>
      </c>
      <c r="I339" s="56" t="s">
        <v>40</v>
      </c>
      <c r="J339" s="56" t="s">
        <v>40</v>
      </c>
      <c r="K339" s="65" t="s">
        <v>2500</v>
      </c>
      <c r="L339" s="63">
        <v>41441.0</v>
      </c>
      <c r="M339" s="56" t="s">
        <v>42</v>
      </c>
      <c r="N339" s="57" t="s">
        <v>2501</v>
      </c>
    </row>
    <row r="340" ht="60.0" customHeight="1">
      <c r="A340" s="56">
        <v>334.0</v>
      </c>
      <c r="B340" s="57" t="s">
        <v>2502</v>
      </c>
      <c r="C340" s="57" t="s">
        <v>2503</v>
      </c>
      <c r="D340" s="57" t="s">
        <v>2504</v>
      </c>
      <c r="E340" s="57" t="s">
        <v>2505</v>
      </c>
      <c r="F340" s="57" t="s">
        <v>2506</v>
      </c>
      <c r="G340" s="57" t="s">
        <v>2507</v>
      </c>
      <c r="H340" s="56" t="str">
        <f t="shared" si="1"/>
        <v>CORRECT</v>
      </c>
      <c r="I340" s="56" t="s">
        <v>60</v>
      </c>
      <c r="J340" s="56" t="s">
        <v>60</v>
      </c>
      <c r="K340" s="65" t="s">
        <v>2508</v>
      </c>
      <c r="L340" s="63">
        <v>43228.0</v>
      </c>
      <c r="M340" s="56" t="s">
        <v>42</v>
      </c>
      <c r="N340" s="57" t="s">
        <v>2509</v>
      </c>
    </row>
    <row r="341" ht="60.0" customHeight="1">
      <c r="A341" s="56">
        <v>335.0</v>
      </c>
      <c r="B341" s="57" t="s">
        <v>2510</v>
      </c>
      <c r="C341" s="57" t="s">
        <v>2511</v>
      </c>
      <c r="D341" s="57" t="s">
        <v>2512</v>
      </c>
      <c r="E341" s="57" t="s">
        <v>2513</v>
      </c>
      <c r="F341" s="57" t="s">
        <v>2514</v>
      </c>
      <c r="G341" s="57" t="s">
        <v>2515</v>
      </c>
      <c r="H341" s="56" t="str">
        <f t="shared" si="1"/>
        <v>CORRECT</v>
      </c>
      <c r="I341" s="56" t="s">
        <v>40</v>
      </c>
      <c r="J341" s="56" t="s">
        <v>40</v>
      </c>
      <c r="K341" s="65" t="s">
        <v>2516</v>
      </c>
      <c r="L341" s="63">
        <v>36721.0</v>
      </c>
      <c r="M341" s="56" t="s">
        <v>42</v>
      </c>
      <c r="N341" s="57" t="s">
        <v>2517</v>
      </c>
    </row>
    <row r="342" ht="60.0" customHeight="1">
      <c r="A342" s="56">
        <v>336.0</v>
      </c>
      <c r="B342" s="57" t="s">
        <v>2518</v>
      </c>
      <c r="C342" s="57" t="s">
        <v>2519</v>
      </c>
      <c r="D342" s="57" t="s">
        <v>2520</v>
      </c>
      <c r="E342" s="57" t="s">
        <v>2521</v>
      </c>
      <c r="F342" s="57" t="s">
        <v>2522</v>
      </c>
      <c r="G342" s="57" t="s">
        <v>2523</v>
      </c>
      <c r="H342" s="56" t="str">
        <f t="shared" si="1"/>
        <v>CORRECT</v>
      </c>
      <c r="I342" s="56" t="s">
        <v>60</v>
      </c>
      <c r="J342" s="56" t="s">
        <v>60</v>
      </c>
      <c r="K342" s="65" t="s">
        <v>2524</v>
      </c>
      <c r="L342" s="63">
        <v>34999.0</v>
      </c>
      <c r="M342" s="56" t="s">
        <v>62</v>
      </c>
      <c r="N342" s="57"/>
    </row>
    <row r="343" ht="60.0" customHeight="1">
      <c r="A343" s="56">
        <v>337.0</v>
      </c>
      <c r="B343" s="57" t="s">
        <v>2525</v>
      </c>
      <c r="C343" s="57" t="s">
        <v>2526</v>
      </c>
      <c r="D343" s="57" t="s">
        <v>2527</v>
      </c>
      <c r="E343" s="57" t="s">
        <v>2528</v>
      </c>
      <c r="F343" s="57" t="s">
        <v>2529</v>
      </c>
      <c r="G343" s="57" t="s">
        <v>2530</v>
      </c>
      <c r="H343" s="56" t="str">
        <f t="shared" si="1"/>
        <v>WRONG</v>
      </c>
      <c r="I343" s="56" t="s">
        <v>50</v>
      </c>
      <c r="J343" s="56" t="s">
        <v>77</v>
      </c>
      <c r="K343" s="65" t="s">
        <v>2531</v>
      </c>
      <c r="L343" s="63">
        <v>39286.0</v>
      </c>
      <c r="M343" s="56" t="s">
        <v>42</v>
      </c>
      <c r="N343" s="57" t="s">
        <v>2532</v>
      </c>
    </row>
    <row r="344" ht="60.0" customHeight="1">
      <c r="A344" s="56">
        <v>338.0</v>
      </c>
      <c r="B344" s="57" t="s">
        <v>2533</v>
      </c>
      <c r="C344" s="57" t="s">
        <v>2534</v>
      </c>
      <c r="D344" s="57" t="s">
        <v>2535</v>
      </c>
      <c r="E344" s="57" t="s">
        <v>2536</v>
      </c>
      <c r="F344" s="57" t="s">
        <v>2537</v>
      </c>
      <c r="G344" s="57" t="s">
        <v>2538</v>
      </c>
      <c r="H344" s="56" t="str">
        <f t="shared" si="1"/>
        <v>WRONG</v>
      </c>
      <c r="I344" s="56" t="s">
        <v>60</v>
      </c>
      <c r="J344" s="56" t="s">
        <v>51</v>
      </c>
      <c r="K344" s="65" t="s">
        <v>2539</v>
      </c>
      <c r="L344" s="63">
        <v>34890.0</v>
      </c>
      <c r="M344" s="56" t="s">
        <v>62</v>
      </c>
      <c r="N344" s="57"/>
    </row>
    <row r="345" ht="60.0" customHeight="1">
      <c r="A345" s="56">
        <v>339.0</v>
      </c>
      <c r="B345" s="57" t="s">
        <v>2540</v>
      </c>
      <c r="C345" s="57" t="s">
        <v>2541</v>
      </c>
      <c r="D345" s="57" t="s">
        <v>2542</v>
      </c>
      <c r="E345" s="57" t="s">
        <v>2543</v>
      </c>
      <c r="F345" s="57" t="s">
        <v>2544</v>
      </c>
      <c r="G345" s="57" t="s">
        <v>1059</v>
      </c>
      <c r="H345" s="56" t="str">
        <f t="shared" si="1"/>
        <v>WRONG</v>
      </c>
      <c r="I345" s="56" t="s">
        <v>50</v>
      </c>
      <c r="J345" s="56" t="s">
        <v>60</v>
      </c>
      <c r="K345" s="65" t="s">
        <v>2545</v>
      </c>
      <c r="L345" s="63">
        <v>31697.0</v>
      </c>
      <c r="M345" s="56" t="s">
        <v>42</v>
      </c>
      <c r="N345" s="57" t="s">
        <v>2546</v>
      </c>
    </row>
    <row r="346" ht="60.0" customHeight="1">
      <c r="A346" s="56">
        <v>340.0</v>
      </c>
      <c r="B346" s="57" t="s">
        <v>2547</v>
      </c>
      <c r="C346" s="57" t="s">
        <v>2548</v>
      </c>
      <c r="D346" s="57" t="s">
        <v>2549</v>
      </c>
      <c r="E346" s="57" t="s">
        <v>2550</v>
      </c>
      <c r="F346" s="57" t="s">
        <v>2551</v>
      </c>
      <c r="G346" s="57" t="s">
        <v>2552</v>
      </c>
      <c r="H346" s="56" t="str">
        <f t="shared" si="1"/>
        <v>CORRECT</v>
      </c>
      <c r="I346" s="56" t="s">
        <v>77</v>
      </c>
      <c r="J346" s="56" t="s">
        <v>77</v>
      </c>
      <c r="K346" s="65" t="s">
        <v>2553</v>
      </c>
      <c r="L346" s="63">
        <v>33272.0</v>
      </c>
      <c r="M346" s="56" t="s">
        <v>62</v>
      </c>
      <c r="N346" s="57"/>
    </row>
    <row r="347" ht="60.0" customHeight="1">
      <c r="A347" s="56">
        <v>341.0</v>
      </c>
      <c r="B347" s="57" t="s">
        <v>2554</v>
      </c>
      <c r="C347" s="57" t="s">
        <v>2555</v>
      </c>
      <c r="D347" s="57" t="s">
        <v>2556</v>
      </c>
      <c r="E347" s="57" t="s">
        <v>2557</v>
      </c>
      <c r="F347" s="57" t="s">
        <v>2558</v>
      </c>
      <c r="G347" s="57" t="s">
        <v>1059</v>
      </c>
      <c r="H347" s="56" t="str">
        <f t="shared" si="1"/>
        <v>WRONG</v>
      </c>
      <c r="I347" s="56" t="s">
        <v>40</v>
      </c>
      <c r="J347" s="56" t="s">
        <v>77</v>
      </c>
      <c r="K347" s="65" t="s">
        <v>2559</v>
      </c>
      <c r="L347" s="63">
        <v>36227.0</v>
      </c>
      <c r="M347" s="56" t="s">
        <v>42</v>
      </c>
      <c r="N347" s="57" t="s">
        <v>2560</v>
      </c>
    </row>
    <row r="348" ht="60.0" customHeight="1">
      <c r="A348" s="56">
        <v>342.0</v>
      </c>
      <c r="B348" s="57" t="s">
        <v>2561</v>
      </c>
      <c r="C348" s="57" t="s">
        <v>2562</v>
      </c>
      <c r="D348" s="57" t="s">
        <v>2563</v>
      </c>
      <c r="E348" s="57" t="s">
        <v>2564</v>
      </c>
      <c r="F348" s="57" t="s">
        <v>2565</v>
      </c>
      <c r="G348" s="57" t="s">
        <v>1059</v>
      </c>
      <c r="H348" s="56" t="str">
        <f t="shared" si="1"/>
        <v>CORRECT</v>
      </c>
      <c r="I348" s="56" t="s">
        <v>50</v>
      </c>
      <c r="J348" s="56" t="s">
        <v>50</v>
      </c>
      <c r="K348" s="65" t="s">
        <v>2566</v>
      </c>
      <c r="L348" s="63">
        <v>33158.0</v>
      </c>
      <c r="M348" s="56" t="s">
        <v>42</v>
      </c>
      <c r="N348" s="57" t="s">
        <v>2567</v>
      </c>
    </row>
    <row r="349" ht="60.0" customHeight="1">
      <c r="A349" s="56">
        <v>343.0</v>
      </c>
      <c r="B349" s="57" t="s">
        <v>2568</v>
      </c>
      <c r="C349" s="57" t="s">
        <v>2569</v>
      </c>
      <c r="D349" s="57" t="s">
        <v>2570</v>
      </c>
      <c r="E349" s="57" t="s">
        <v>2571</v>
      </c>
      <c r="F349" s="57" t="s">
        <v>2572</v>
      </c>
      <c r="G349" s="57" t="s">
        <v>2573</v>
      </c>
      <c r="H349" s="56" t="str">
        <f t="shared" si="1"/>
        <v>WRONG</v>
      </c>
      <c r="I349" s="56" t="s">
        <v>77</v>
      </c>
      <c r="J349" s="56" t="s">
        <v>60</v>
      </c>
      <c r="K349" s="65" t="s">
        <v>2574</v>
      </c>
      <c r="L349" s="63">
        <v>50853.0</v>
      </c>
      <c r="M349" s="56" t="s">
        <v>42</v>
      </c>
      <c r="N349" s="57" t="s">
        <v>2575</v>
      </c>
    </row>
    <row r="350" ht="60.0" customHeight="1">
      <c r="A350" s="56">
        <v>344.0</v>
      </c>
      <c r="B350" s="57" t="s">
        <v>2576</v>
      </c>
      <c r="C350" s="57" t="s">
        <v>2577</v>
      </c>
      <c r="D350" s="57" t="s">
        <v>2578</v>
      </c>
      <c r="E350" s="57" t="s">
        <v>2579</v>
      </c>
      <c r="F350" s="57" t="s">
        <v>2580</v>
      </c>
      <c r="G350" s="57" t="s">
        <v>2581</v>
      </c>
      <c r="H350" s="56" t="str">
        <f t="shared" si="1"/>
        <v>WRONG</v>
      </c>
      <c r="I350" s="56" t="s">
        <v>77</v>
      </c>
      <c r="J350" s="56" t="s">
        <v>50</v>
      </c>
      <c r="K350" s="65" t="s">
        <v>2582</v>
      </c>
      <c r="L350" s="63">
        <v>42545.0</v>
      </c>
      <c r="M350" s="56" t="s">
        <v>42</v>
      </c>
      <c r="N350" s="57" t="s">
        <v>2583</v>
      </c>
    </row>
    <row r="351" ht="60.0" customHeight="1">
      <c r="A351" s="56">
        <v>345.0</v>
      </c>
      <c r="B351" s="57" t="s">
        <v>2584</v>
      </c>
      <c r="C351" s="57" t="s">
        <v>2585</v>
      </c>
      <c r="D351" s="57" t="s">
        <v>2586</v>
      </c>
      <c r="E351" s="57" t="s">
        <v>2587</v>
      </c>
      <c r="F351" s="57" t="s">
        <v>2588</v>
      </c>
      <c r="G351" s="57" t="s">
        <v>2589</v>
      </c>
      <c r="H351" s="56" t="str">
        <f t="shared" si="1"/>
        <v>WRONG</v>
      </c>
      <c r="I351" s="56" t="s">
        <v>77</v>
      </c>
      <c r="J351" s="56" t="s">
        <v>40</v>
      </c>
      <c r="K351" s="65" t="s">
        <v>2590</v>
      </c>
      <c r="L351" s="63">
        <v>62064.0</v>
      </c>
      <c r="M351" s="56" t="s">
        <v>62</v>
      </c>
      <c r="N351" s="57"/>
    </row>
    <row r="352" ht="60.0" customHeight="1">
      <c r="A352" s="56">
        <v>346.0</v>
      </c>
      <c r="B352" s="57" t="s">
        <v>2591</v>
      </c>
      <c r="C352" s="57" t="s">
        <v>2592</v>
      </c>
      <c r="D352" s="57" t="s">
        <v>2593</v>
      </c>
      <c r="E352" s="57" t="s">
        <v>2594</v>
      </c>
      <c r="F352" s="57" t="s">
        <v>2595</v>
      </c>
      <c r="G352" s="57" t="s">
        <v>2596</v>
      </c>
      <c r="H352" s="56" t="str">
        <f t="shared" si="1"/>
        <v>WRONG</v>
      </c>
      <c r="I352" s="56" t="s">
        <v>77</v>
      </c>
      <c r="J352" s="56" t="s">
        <v>40</v>
      </c>
      <c r="K352" s="65" t="s">
        <v>2597</v>
      </c>
      <c r="L352" s="63">
        <v>43708.0</v>
      </c>
      <c r="M352" s="56" t="s">
        <v>42</v>
      </c>
      <c r="N352" s="57" t="s">
        <v>2598</v>
      </c>
    </row>
    <row r="353" ht="60.0" customHeight="1">
      <c r="A353" s="56">
        <v>347.0</v>
      </c>
      <c r="B353" s="57" t="s">
        <v>2599</v>
      </c>
      <c r="C353" s="57" t="s">
        <v>2600</v>
      </c>
      <c r="D353" s="57" t="s">
        <v>2601</v>
      </c>
      <c r="E353" s="57" t="s">
        <v>2602</v>
      </c>
      <c r="F353" s="57" t="s">
        <v>2603</v>
      </c>
      <c r="G353" s="57" t="s">
        <v>1059</v>
      </c>
      <c r="H353" s="56" t="str">
        <f t="shared" si="1"/>
        <v>WRONG</v>
      </c>
      <c r="I353" s="56" t="s">
        <v>50</v>
      </c>
      <c r="J353" s="56" t="s">
        <v>60</v>
      </c>
      <c r="K353" s="65" t="s">
        <v>2604</v>
      </c>
      <c r="L353" s="63">
        <v>42382.0</v>
      </c>
      <c r="M353" s="56" t="s">
        <v>42</v>
      </c>
      <c r="N353" s="57" t="s">
        <v>2605</v>
      </c>
    </row>
    <row r="354" ht="60.0" customHeight="1">
      <c r="A354" s="56">
        <v>348.0</v>
      </c>
      <c r="B354" s="57" t="s">
        <v>2606</v>
      </c>
      <c r="C354" s="57" t="s">
        <v>2607</v>
      </c>
      <c r="D354" s="57" t="s">
        <v>2608</v>
      </c>
      <c r="E354" s="57" t="s">
        <v>2609</v>
      </c>
      <c r="F354" s="57" t="s">
        <v>2610</v>
      </c>
      <c r="G354" s="57" t="s">
        <v>1059</v>
      </c>
      <c r="H354" s="56" t="str">
        <f t="shared" si="1"/>
        <v>CORRECT</v>
      </c>
      <c r="I354" s="56" t="s">
        <v>60</v>
      </c>
      <c r="J354" s="56" t="s">
        <v>60</v>
      </c>
      <c r="K354" s="65" t="s">
        <v>2611</v>
      </c>
      <c r="L354" s="63">
        <v>45855.0</v>
      </c>
      <c r="M354" s="56" t="s">
        <v>42</v>
      </c>
      <c r="N354" s="57" t="s">
        <v>2612</v>
      </c>
    </row>
    <row r="355" ht="60.0" customHeight="1">
      <c r="A355" s="56">
        <v>349.0</v>
      </c>
      <c r="B355" s="57" t="s">
        <v>2613</v>
      </c>
      <c r="C355" s="57" t="s">
        <v>2614</v>
      </c>
      <c r="D355" s="57" t="s">
        <v>2615</v>
      </c>
      <c r="E355" s="57" t="s">
        <v>2616</v>
      </c>
      <c r="F355" s="57" t="s">
        <v>2617</v>
      </c>
      <c r="G355" s="57" t="s">
        <v>2618</v>
      </c>
      <c r="H355" s="56" t="str">
        <f t="shared" si="1"/>
        <v>CORRECT</v>
      </c>
      <c r="I355" s="56" t="s">
        <v>40</v>
      </c>
      <c r="J355" s="56" t="s">
        <v>40</v>
      </c>
      <c r="K355" s="65" t="s">
        <v>2619</v>
      </c>
      <c r="L355" s="63">
        <v>41035.0</v>
      </c>
      <c r="M355" s="56" t="s">
        <v>42</v>
      </c>
      <c r="N355" s="57" t="s">
        <v>2620</v>
      </c>
    </row>
    <row r="356" ht="60.0" customHeight="1">
      <c r="A356" s="56">
        <v>350.0</v>
      </c>
      <c r="B356" s="57" t="s">
        <v>2621</v>
      </c>
      <c r="C356" s="57" t="s">
        <v>2622</v>
      </c>
      <c r="D356" s="57" t="s">
        <v>2623</v>
      </c>
      <c r="E356" s="57" t="s">
        <v>2624</v>
      </c>
      <c r="F356" s="57" t="s">
        <v>2625</v>
      </c>
      <c r="G356" s="57" t="s">
        <v>1059</v>
      </c>
      <c r="H356" s="56" t="str">
        <f t="shared" si="1"/>
        <v>CORRECT</v>
      </c>
      <c r="I356" s="56" t="s">
        <v>50</v>
      </c>
      <c r="J356" s="56" t="s">
        <v>50</v>
      </c>
      <c r="K356" s="65" t="s">
        <v>2626</v>
      </c>
      <c r="L356" s="63">
        <v>47496.0</v>
      </c>
      <c r="M356" s="56" t="s">
        <v>62</v>
      </c>
      <c r="N356" s="57"/>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 customWidth="1" min="14" max="14" width="68.88"/>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2689</v>
      </c>
      <c r="C2" s="2"/>
      <c r="D2" s="2"/>
      <c r="E2" s="2"/>
      <c r="F2" s="2"/>
      <c r="G2" s="2"/>
      <c r="H2" s="2"/>
      <c r="I2" s="2"/>
      <c r="J2" s="12"/>
      <c r="K2" s="43" t="s">
        <v>2690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4" t="s">
        <v>2629</v>
      </c>
      <c r="N3" s="44" t="s">
        <v>30</v>
      </c>
      <c r="O3" s="40"/>
      <c r="P3" s="40"/>
      <c r="Q3" s="40"/>
      <c r="R3" s="40"/>
      <c r="S3" s="40"/>
      <c r="T3" s="40"/>
      <c r="U3" s="40"/>
      <c r="V3" s="40"/>
      <c r="W3" s="40"/>
      <c r="X3" s="40"/>
      <c r="Y3" s="40"/>
      <c r="Z3" s="40"/>
      <c r="AA3" s="40"/>
      <c r="AB3" s="40"/>
      <c r="AC3" s="40"/>
    </row>
    <row r="4">
      <c r="A4" s="45" t="s">
        <v>31</v>
      </c>
      <c r="B4" s="2"/>
      <c r="C4" s="2"/>
      <c r="D4" s="2"/>
      <c r="E4" s="12"/>
      <c r="F4" s="46"/>
      <c r="G4" s="46"/>
      <c r="H4" s="47">
        <f>COUNTIFS(H7:H356,"CORRECT")</f>
        <v>194</v>
      </c>
      <c r="I4" s="48"/>
      <c r="L4" s="49">
        <f>AVERAGE(L7:L52)</f>
        <v>36629.36957</v>
      </c>
      <c r="M4" s="50"/>
      <c r="N4" s="50"/>
    </row>
    <row r="5">
      <c r="A5" s="51" t="s">
        <v>32</v>
      </c>
      <c r="B5" s="2"/>
      <c r="C5" s="2"/>
      <c r="D5" s="2"/>
      <c r="E5" s="12"/>
      <c r="F5" s="52"/>
      <c r="G5" s="52"/>
      <c r="H5" s="46">
        <v>350.0</v>
      </c>
      <c r="L5" s="53"/>
      <c r="M5" s="53"/>
      <c r="N5" s="53"/>
    </row>
    <row r="6">
      <c r="A6" s="45" t="s">
        <v>33</v>
      </c>
      <c r="B6" s="2"/>
      <c r="C6" s="2"/>
      <c r="D6" s="2"/>
      <c r="E6" s="12"/>
      <c r="F6" s="46"/>
      <c r="G6" s="46"/>
      <c r="H6" s="54">
        <f>H4/H5</f>
        <v>0.5542857143</v>
      </c>
      <c r="L6" s="55"/>
      <c r="M6" s="55"/>
      <c r="N6" s="55"/>
    </row>
    <row r="7" ht="60.0" customHeight="1">
      <c r="A7" s="56">
        <v>1.0</v>
      </c>
      <c r="B7" s="57" t="s">
        <v>34</v>
      </c>
      <c r="C7" s="57" t="s">
        <v>35</v>
      </c>
      <c r="D7" s="57" t="s">
        <v>36</v>
      </c>
      <c r="E7" s="57" t="s">
        <v>37</v>
      </c>
      <c r="F7" s="57" t="s">
        <v>38</v>
      </c>
      <c r="G7" s="57" t="s">
        <v>39</v>
      </c>
      <c r="H7" s="56" t="str">
        <f t="shared" ref="H7:H356" si="1">IF(I7=J7,"CORRECT","WRONG")</f>
        <v>CORRECT</v>
      </c>
      <c r="I7" s="56" t="s">
        <v>40</v>
      </c>
      <c r="J7" s="58" t="s">
        <v>40</v>
      </c>
      <c r="K7" s="59" t="s">
        <v>2630</v>
      </c>
      <c r="L7" s="60">
        <v>38765.0</v>
      </c>
      <c r="M7" s="56" t="s">
        <v>42</v>
      </c>
      <c r="N7" s="66" t="s">
        <v>43</v>
      </c>
    </row>
    <row r="8" ht="60.0" customHeight="1">
      <c r="A8" s="56">
        <v>2.0</v>
      </c>
      <c r="B8" s="57" t="s">
        <v>44</v>
      </c>
      <c r="C8" s="57" t="s">
        <v>45</v>
      </c>
      <c r="D8" s="57" t="s">
        <v>46</v>
      </c>
      <c r="E8" s="57" t="s">
        <v>47</v>
      </c>
      <c r="F8" s="57" t="s">
        <v>48</v>
      </c>
      <c r="G8" s="57" t="s">
        <v>49</v>
      </c>
      <c r="H8" s="56" t="str">
        <f t="shared" si="1"/>
        <v>WRONG</v>
      </c>
      <c r="I8" s="56" t="s">
        <v>50</v>
      </c>
      <c r="J8" s="58" t="s">
        <v>51</v>
      </c>
      <c r="K8" s="59" t="s">
        <v>52</v>
      </c>
      <c r="L8" s="60">
        <v>33643.0</v>
      </c>
      <c r="M8" s="56" t="s">
        <v>42</v>
      </c>
      <c r="N8" s="66" t="s">
        <v>53</v>
      </c>
    </row>
    <row r="9" ht="60.0" customHeight="1">
      <c r="A9" s="56">
        <v>3.0</v>
      </c>
      <c r="B9" s="57" t="s">
        <v>54</v>
      </c>
      <c r="C9" s="57" t="s">
        <v>55</v>
      </c>
      <c r="D9" s="57" t="s">
        <v>56</v>
      </c>
      <c r="E9" s="57" t="s">
        <v>57</v>
      </c>
      <c r="F9" s="57" t="s">
        <v>58</v>
      </c>
      <c r="G9" s="57" t="s">
        <v>59</v>
      </c>
      <c r="H9" s="56" t="str">
        <f t="shared" si="1"/>
        <v>CORRECT</v>
      </c>
      <c r="I9" s="56" t="s">
        <v>60</v>
      </c>
      <c r="J9" s="58" t="s">
        <v>60</v>
      </c>
      <c r="K9" s="59" t="s">
        <v>61</v>
      </c>
      <c r="L9" s="60">
        <v>40858.0</v>
      </c>
      <c r="M9" s="56" t="s">
        <v>62</v>
      </c>
      <c r="N9" s="66"/>
    </row>
    <row r="10" ht="60.0" customHeight="1">
      <c r="A10" s="56">
        <v>4.0</v>
      </c>
      <c r="B10" s="57" t="s">
        <v>63</v>
      </c>
      <c r="C10" s="57" t="s">
        <v>64</v>
      </c>
      <c r="D10" s="57" t="s">
        <v>65</v>
      </c>
      <c r="E10" s="57" t="s">
        <v>66</v>
      </c>
      <c r="F10" s="57" t="s">
        <v>67</v>
      </c>
      <c r="G10" s="57" t="s">
        <v>68</v>
      </c>
      <c r="H10" s="56" t="str">
        <f t="shared" si="1"/>
        <v>CORRECT</v>
      </c>
      <c r="I10" s="56" t="s">
        <v>60</v>
      </c>
      <c r="J10" s="58" t="s">
        <v>60</v>
      </c>
      <c r="K10" s="59" t="s">
        <v>69</v>
      </c>
      <c r="L10" s="60">
        <v>37473.0</v>
      </c>
      <c r="M10" s="56" t="s">
        <v>42</v>
      </c>
      <c r="N10" s="66" t="s">
        <v>70</v>
      </c>
    </row>
    <row r="11" ht="60.0" customHeight="1">
      <c r="A11" s="56">
        <v>5.0</v>
      </c>
      <c r="B11" s="57" t="s">
        <v>71</v>
      </c>
      <c r="C11" s="57" t="s">
        <v>72</v>
      </c>
      <c r="D11" s="57" t="s">
        <v>73</v>
      </c>
      <c r="E11" s="57" t="s">
        <v>74</v>
      </c>
      <c r="F11" s="57" t="s">
        <v>75</v>
      </c>
      <c r="G11" s="57" t="s">
        <v>76</v>
      </c>
      <c r="H11" s="56" t="str">
        <f t="shared" si="1"/>
        <v>CORRECT</v>
      </c>
      <c r="I11" s="56" t="s">
        <v>77</v>
      </c>
      <c r="J11" s="58" t="s">
        <v>77</v>
      </c>
      <c r="K11" s="59" t="s">
        <v>2631</v>
      </c>
      <c r="L11" s="60">
        <v>30468.0</v>
      </c>
      <c r="M11" s="56" t="s">
        <v>42</v>
      </c>
      <c r="N11" s="66" t="s">
        <v>79</v>
      </c>
    </row>
    <row r="12" ht="60.0" customHeight="1">
      <c r="A12" s="56">
        <v>6.0</v>
      </c>
      <c r="B12" s="57" t="s">
        <v>80</v>
      </c>
      <c r="C12" s="57" t="s">
        <v>81</v>
      </c>
      <c r="D12" s="57" t="s">
        <v>82</v>
      </c>
      <c r="E12" s="57" t="s">
        <v>83</v>
      </c>
      <c r="F12" s="57" t="s">
        <v>84</v>
      </c>
      <c r="G12" s="57" t="s">
        <v>85</v>
      </c>
      <c r="H12" s="56" t="str">
        <f t="shared" si="1"/>
        <v>WRONG</v>
      </c>
      <c r="I12" s="56" t="s">
        <v>60</v>
      </c>
      <c r="J12" s="58" t="s">
        <v>50</v>
      </c>
      <c r="K12" s="59" t="s">
        <v>86</v>
      </c>
      <c r="L12" s="60">
        <v>35713.0</v>
      </c>
      <c r="M12" s="56" t="s">
        <v>62</v>
      </c>
      <c r="N12" s="66"/>
    </row>
    <row r="13" ht="60.0" customHeight="1">
      <c r="A13" s="56">
        <v>7.0</v>
      </c>
      <c r="B13" s="57" t="s">
        <v>87</v>
      </c>
      <c r="C13" s="57" t="s">
        <v>88</v>
      </c>
      <c r="D13" s="57" t="s">
        <v>89</v>
      </c>
      <c r="E13" s="57" t="s">
        <v>90</v>
      </c>
      <c r="F13" s="57" t="s">
        <v>91</v>
      </c>
      <c r="G13" s="57" t="s">
        <v>92</v>
      </c>
      <c r="H13" s="56" t="str">
        <f t="shared" si="1"/>
        <v>CORRECT</v>
      </c>
      <c r="I13" s="56" t="s">
        <v>51</v>
      </c>
      <c r="J13" s="58" t="s">
        <v>51</v>
      </c>
      <c r="K13" s="59" t="s">
        <v>2632</v>
      </c>
      <c r="L13" s="60">
        <v>36816.0</v>
      </c>
      <c r="M13" s="56" t="s">
        <v>62</v>
      </c>
      <c r="N13" s="66"/>
    </row>
    <row r="14" ht="60.0" customHeight="1">
      <c r="A14" s="56">
        <v>8.0</v>
      </c>
      <c r="B14" s="57" t="s">
        <v>94</v>
      </c>
      <c r="C14" s="57" t="s">
        <v>95</v>
      </c>
      <c r="D14" s="57" t="s">
        <v>96</v>
      </c>
      <c r="E14" s="57" t="s">
        <v>97</v>
      </c>
      <c r="F14" s="57" t="s">
        <v>98</v>
      </c>
      <c r="G14" s="57" t="s">
        <v>99</v>
      </c>
      <c r="H14" s="56" t="str">
        <f t="shared" si="1"/>
        <v>WRONG</v>
      </c>
      <c r="I14" s="56" t="s">
        <v>51</v>
      </c>
      <c r="J14" s="58" t="s">
        <v>50</v>
      </c>
      <c r="K14" s="59" t="s">
        <v>100</v>
      </c>
      <c r="L14" s="60">
        <v>33721.0</v>
      </c>
      <c r="M14" s="56" t="s">
        <v>62</v>
      </c>
      <c r="N14" s="66"/>
    </row>
    <row r="15" ht="60.0" customHeight="1">
      <c r="A15" s="56">
        <v>9.0</v>
      </c>
      <c r="B15" s="57" t="s">
        <v>101</v>
      </c>
      <c r="C15" s="57" t="s">
        <v>102</v>
      </c>
      <c r="D15" s="57" t="s">
        <v>103</v>
      </c>
      <c r="E15" s="57" t="s">
        <v>104</v>
      </c>
      <c r="F15" s="57" t="s">
        <v>105</v>
      </c>
      <c r="G15" s="57" t="s">
        <v>106</v>
      </c>
      <c r="H15" s="56" t="str">
        <f t="shared" si="1"/>
        <v>WRONG</v>
      </c>
      <c r="I15" s="56" t="s">
        <v>50</v>
      </c>
      <c r="J15" s="58" t="s">
        <v>40</v>
      </c>
      <c r="K15" s="59" t="s">
        <v>107</v>
      </c>
      <c r="L15" s="60">
        <v>30299.0</v>
      </c>
      <c r="M15" s="56" t="s">
        <v>42</v>
      </c>
      <c r="N15" s="66" t="s">
        <v>108</v>
      </c>
    </row>
    <row r="16" ht="60.0" customHeight="1">
      <c r="A16" s="56">
        <v>10.0</v>
      </c>
      <c r="B16" s="57" t="s">
        <v>109</v>
      </c>
      <c r="C16" s="57" t="s">
        <v>110</v>
      </c>
      <c r="D16" s="57" t="s">
        <v>111</v>
      </c>
      <c r="E16" s="57" t="s">
        <v>112</v>
      </c>
      <c r="F16" s="57" t="s">
        <v>113</v>
      </c>
      <c r="G16" s="57" t="s">
        <v>114</v>
      </c>
      <c r="H16" s="56" t="str">
        <f t="shared" si="1"/>
        <v>CORRECT</v>
      </c>
      <c r="I16" s="56" t="s">
        <v>60</v>
      </c>
      <c r="J16" s="58" t="s">
        <v>60</v>
      </c>
      <c r="K16" s="59" t="s">
        <v>115</v>
      </c>
      <c r="L16" s="60">
        <v>39226.0</v>
      </c>
      <c r="M16" s="56" t="s">
        <v>42</v>
      </c>
      <c r="N16" s="66" t="s">
        <v>116</v>
      </c>
    </row>
    <row r="17" ht="60.0" customHeight="1">
      <c r="A17" s="56">
        <v>11.0</v>
      </c>
      <c r="B17" s="57" t="s">
        <v>117</v>
      </c>
      <c r="C17" s="57" t="s">
        <v>118</v>
      </c>
      <c r="D17" s="57" t="s">
        <v>119</v>
      </c>
      <c r="E17" s="57" t="s">
        <v>120</v>
      </c>
      <c r="F17" s="57" t="s">
        <v>121</v>
      </c>
      <c r="G17" s="57" t="s">
        <v>122</v>
      </c>
      <c r="H17" s="56" t="str">
        <f t="shared" si="1"/>
        <v>CORRECT</v>
      </c>
      <c r="I17" s="56" t="s">
        <v>50</v>
      </c>
      <c r="J17" s="58" t="s">
        <v>50</v>
      </c>
      <c r="K17" s="59" t="s">
        <v>123</v>
      </c>
      <c r="L17" s="60">
        <v>29807.0</v>
      </c>
      <c r="M17" s="56" t="s">
        <v>42</v>
      </c>
      <c r="N17" s="66" t="s">
        <v>124</v>
      </c>
    </row>
    <row r="18" ht="60.0" customHeight="1">
      <c r="A18" s="56">
        <v>12.0</v>
      </c>
      <c r="B18" s="57" t="s">
        <v>125</v>
      </c>
      <c r="C18" s="57" t="s">
        <v>126</v>
      </c>
      <c r="D18" s="57" t="s">
        <v>127</v>
      </c>
      <c r="E18" s="57" t="s">
        <v>128</v>
      </c>
      <c r="F18" s="57" t="s">
        <v>129</v>
      </c>
      <c r="G18" s="57" t="s">
        <v>130</v>
      </c>
      <c r="H18" s="56" t="str">
        <f t="shared" si="1"/>
        <v>CORRECT</v>
      </c>
      <c r="I18" s="56" t="s">
        <v>60</v>
      </c>
      <c r="J18" s="58" t="s">
        <v>60</v>
      </c>
      <c r="K18" s="59" t="s">
        <v>2633</v>
      </c>
      <c r="L18" s="60">
        <v>28499.0</v>
      </c>
      <c r="M18" s="56" t="s">
        <v>42</v>
      </c>
      <c r="N18" s="66" t="s">
        <v>132</v>
      </c>
    </row>
    <row r="19" ht="60.0" customHeight="1">
      <c r="A19" s="56">
        <v>13.0</v>
      </c>
      <c r="B19" s="57" t="s">
        <v>133</v>
      </c>
      <c r="C19" s="57" t="s">
        <v>134</v>
      </c>
      <c r="D19" s="57" t="s">
        <v>135</v>
      </c>
      <c r="E19" s="57" t="s">
        <v>136</v>
      </c>
      <c r="F19" s="57" t="s">
        <v>137</v>
      </c>
      <c r="G19" s="57" t="s">
        <v>138</v>
      </c>
      <c r="H19" s="56" t="str">
        <f t="shared" si="1"/>
        <v>WRONG</v>
      </c>
      <c r="I19" s="56" t="s">
        <v>77</v>
      </c>
      <c r="J19" s="58" t="s">
        <v>50</v>
      </c>
      <c r="K19" s="59" t="s">
        <v>2634</v>
      </c>
      <c r="L19" s="60">
        <v>34070.0</v>
      </c>
      <c r="M19" s="56" t="s">
        <v>62</v>
      </c>
      <c r="N19" s="66"/>
    </row>
    <row r="20" ht="60.0" customHeight="1">
      <c r="A20" s="56">
        <v>14.0</v>
      </c>
      <c r="B20" s="57" t="s">
        <v>140</v>
      </c>
      <c r="C20" s="57" t="s">
        <v>141</v>
      </c>
      <c r="D20" s="57" t="s">
        <v>142</v>
      </c>
      <c r="E20" s="57" t="s">
        <v>143</v>
      </c>
      <c r="F20" s="57" t="s">
        <v>144</v>
      </c>
      <c r="G20" s="57" t="s">
        <v>145</v>
      </c>
      <c r="H20" s="56" t="str">
        <f t="shared" si="1"/>
        <v>WRONG</v>
      </c>
      <c r="I20" s="56" t="s">
        <v>50</v>
      </c>
      <c r="J20" s="58" t="s">
        <v>77</v>
      </c>
      <c r="K20" s="59" t="s">
        <v>2635</v>
      </c>
      <c r="L20" s="60">
        <v>35216.0</v>
      </c>
      <c r="M20" s="56" t="s">
        <v>42</v>
      </c>
      <c r="N20" s="66" t="s">
        <v>147</v>
      </c>
    </row>
    <row r="21" ht="60.0" customHeight="1">
      <c r="A21" s="56">
        <v>15.0</v>
      </c>
      <c r="B21" s="57" t="s">
        <v>148</v>
      </c>
      <c r="C21" s="57" t="s">
        <v>149</v>
      </c>
      <c r="D21" s="57" t="s">
        <v>150</v>
      </c>
      <c r="E21" s="57" t="s">
        <v>151</v>
      </c>
      <c r="F21" s="57" t="s">
        <v>152</v>
      </c>
      <c r="G21" s="57" t="s">
        <v>153</v>
      </c>
      <c r="H21" s="56" t="str">
        <f t="shared" si="1"/>
        <v>CORRECT</v>
      </c>
      <c r="I21" s="56" t="s">
        <v>50</v>
      </c>
      <c r="J21" s="58" t="s">
        <v>50</v>
      </c>
      <c r="K21" s="59" t="s">
        <v>154</v>
      </c>
      <c r="L21" s="60">
        <v>30335.0</v>
      </c>
      <c r="M21" s="56" t="s">
        <v>42</v>
      </c>
      <c r="N21" s="66" t="s">
        <v>155</v>
      </c>
    </row>
    <row r="22" ht="60.0" customHeight="1">
      <c r="A22" s="56">
        <v>16.0</v>
      </c>
      <c r="B22" s="57" t="s">
        <v>156</v>
      </c>
      <c r="C22" s="57" t="s">
        <v>157</v>
      </c>
      <c r="D22" s="57" t="s">
        <v>158</v>
      </c>
      <c r="E22" s="57" t="s">
        <v>159</v>
      </c>
      <c r="F22" s="57" t="s">
        <v>160</v>
      </c>
      <c r="G22" s="57" t="s">
        <v>161</v>
      </c>
      <c r="H22" s="56" t="str">
        <f t="shared" si="1"/>
        <v>WRONG</v>
      </c>
      <c r="I22" s="56" t="s">
        <v>40</v>
      </c>
      <c r="J22" s="58" t="s">
        <v>77</v>
      </c>
      <c r="K22" s="59" t="s">
        <v>162</v>
      </c>
      <c r="L22" s="60">
        <v>29509.0</v>
      </c>
      <c r="M22" s="56" t="s">
        <v>42</v>
      </c>
      <c r="N22" s="66" t="s">
        <v>163</v>
      </c>
    </row>
    <row r="23" ht="60.0" customHeight="1">
      <c r="A23" s="56">
        <v>17.0</v>
      </c>
      <c r="B23" s="57" t="s">
        <v>164</v>
      </c>
      <c r="C23" s="57" t="s">
        <v>165</v>
      </c>
      <c r="D23" s="57" t="s">
        <v>166</v>
      </c>
      <c r="E23" s="57" t="s">
        <v>167</v>
      </c>
      <c r="F23" s="57" t="s">
        <v>168</v>
      </c>
      <c r="G23" s="57" t="s">
        <v>169</v>
      </c>
      <c r="H23" s="56" t="str">
        <f t="shared" si="1"/>
        <v>WRONG</v>
      </c>
      <c r="I23" s="56" t="s">
        <v>77</v>
      </c>
      <c r="J23" s="58" t="s">
        <v>40</v>
      </c>
      <c r="K23" s="59" t="s">
        <v>170</v>
      </c>
      <c r="L23" s="60">
        <v>30767.0</v>
      </c>
      <c r="M23" s="56" t="s">
        <v>42</v>
      </c>
      <c r="N23" s="66" t="s">
        <v>171</v>
      </c>
    </row>
    <row r="24" ht="60.0" customHeight="1">
      <c r="A24" s="56">
        <v>18.0</v>
      </c>
      <c r="B24" s="57" t="s">
        <v>172</v>
      </c>
      <c r="C24" s="57" t="s">
        <v>173</v>
      </c>
      <c r="D24" s="57" t="s">
        <v>174</v>
      </c>
      <c r="E24" s="57" t="s">
        <v>175</v>
      </c>
      <c r="F24" s="57" t="s">
        <v>176</v>
      </c>
      <c r="G24" s="57" t="s">
        <v>177</v>
      </c>
      <c r="H24" s="56" t="str">
        <f t="shared" si="1"/>
        <v>CORRECT</v>
      </c>
      <c r="I24" s="56" t="s">
        <v>50</v>
      </c>
      <c r="J24" s="58" t="s">
        <v>50</v>
      </c>
      <c r="K24" s="59" t="s">
        <v>2636</v>
      </c>
      <c r="L24" s="60">
        <v>37372.0</v>
      </c>
      <c r="M24" s="56" t="s">
        <v>42</v>
      </c>
      <c r="N24" s="66" t="s">
        <v>179</v>
      </c>
    </row>
    <row r="25" ht="60.0" customHeight="1">
      <c r="A25" s="56">
        <v>19.0</v>
      </c>
      <c r="B25" s="57" t="s">
        <v>180</v>
      </c>
      <c r="C25" s="57" t="s">
        <v>181</v>
      </c>
      <c r="D25" s="57" t="s">
        <v>182</v>
      </c>
      <c r="E25" s="57" t="s">
        <v>183</v>
      </c>
      <c r="F25" s="57" t="s">
        <v>184</v>
      </c>
      <c r="G25" s="57" t="s">
        <v>185</v>
      </c>
      <c r="H25" s="56" t="str">
        <f t="shared" si="1"/>
        <v>WRONG</v>
      </c>
      <c r="I25" s="56" t="s">
        <v>51</v>
      </c>
      <c r="J25" s="58" t="s">
        <v>60</v>
      </c>
      <c r="K25" s="59" t="s">
        <v>186</v>
      </c>
      <c r="L25" s="60">
        <v>35872.0</v>
      </c>
      <c r="M25" s="56" t="s">
        <v>42</v>
      </c>
      <c r="N25" s="66" t="s">
        <v>187</v>
      </c>
    </row>
    <row r="26" ht="60.0" customHeight="1">
      <c r="A26" s="56">
        <v>20.0</v>
      </c>
      <c r="B26" s="57" t="s">
        <v>188</v>
      </c>
      <c r="C26" s="57" t="s">
        <v>189</v>
      </c>
      <c r="D26" s="57" t="s">
        <v>190</v>
      </c>
      <c r="E26" s="57" t="s">
        <v>191</v>
      </c>
      <c r="F26" s="57" t="s">
        <v>192</v>
      </c>
      <c r="G26" s="57" t="s">
        <v>193</v>
      </c>
      <c r="H26" s="56" t="str">
        <f t="shared" si="1"/>
        <v>CORRECT</v>
      </c>
      <c r="I26" s="56" t="s">
        <v>51</v>
      </c>
      <c r="J26" s="58" t="s">
        <v>51</v>
      </c>
      <c r="K26" s="59" t="s">
        <v>2637</v>
      </c>
      <c r="L26" s="60">
        <v>33376.0</v>
      </c>
      <c r="M26" s="56" t="s">
        <v>42</v>
      </c>
      <c r="N26" s="66" t="s">
        <v>195</v>
      </c>
    </row>
    <row r="27" ht="60.0" customHeight="1">
      <c r="A27" s="56">
        <v>21.0</v>
      </c>
      <c r="B27" s="57" t="s">
        <v>196</v>
      </c>
      <c r="C27" s="57" t="s">
        <v>197</v>
      </c>
      <c r="D27" s="57" t="s">
        <v>198</v>
      </c>
      <c r="E27" s="57" t="s">
        <v>199</v>
      </c>
      <c r="F27" s="57" t="s">
        <v>200</v>
      </c>
      <c r="G27" s="57" t="s">
        <v>201</v>
      </c>
      <c r="H27" s="56" t="str">
        <f t="shared" si="1"/>
        <v>CORRECT</v>
      </c>
      <c r="I27" s="56" t="s">
        <v>77</v>
      </c>
      <c r="J27" s="58" t="s">
        <v>77</v>
      </c>
      <c r="K27" s="59" t="s">
        <v>202</v>
      </c>
      <c r="L27" s="60">
        <v>41521.0</v>
      </c>
      <c r="M27" s="56" t="s">
        <v>42</v>
      </c>
      <c r="N27" s="66" t="s">
        <v>203</v>
      </c>
    </row>
    <row r="28" ht="60.0" customHeight="1">
      <c r="A28" s="56">
        <v>22.0</v>
      </c>
      <c r="B28" s="57" t="s">
        <v>204</v>
      </c>
      <c r="C28" s="57" t="s">
        <v>205</v>
      </c>
      <c r="D28" s="57" t="s">
        <v>206</v>
      </c>
      <c r="E28" s="57" t="s">
        <v>207</v>
      </c>
      <c r="F28" s="57" t="s">
        <v>208</v>
      </c>
      <c r="G28" s="57" t="s">
        <v>209</v>
      </c>
      <c r="H28" s="56" t="str">
        <f t="shared" si="1"/>
        <v>WRONG</v>
      </c>
      <c r="I28" s="56" t="s">
        <v>50</v>
      </c>
      <c r="J28" s="58" t="s">
        <v>51</v>
      </c>
      <c r="K28" s="59" t="s">
        <v>2638</v>
      </c>
      <c r="L28" s="60">
        <v>42750.0</v>
      </c>
      <c r="M28" s="56" t="s">
        <v>42</v>
      </c>
      <c r="N28" s="66" t="s">
        <v>211</v>
      </c>
    </row>
    <row r="29" ht="60.0" customHeight="1">
      <c r="A29" s="56">
        <v>23.0</v>
      </c>
      <c r="B29" s="57" t="s">
        <v>212</v>
      </c>
      <c r="C29" s="57" t="s">
        <v>213</v>
      </c>
      <c r="D29" s="57" t="s">
        <v>214</v>
      </c>
      <c r="E29" s="57" t="s">
        <v>215</v>
      </c>
      <c r="F29" s="57" t="s">
        <v>216</v>
      </c>
      <c r="G29" s="57" t="s">
        <v>217</v>
      </c>
      <c r="H29" s="56" t="str">
        <f t="shared" si="1"/>
        <v>CORRECT</v>
      </c>
      <c r="I29" s="56" t="s">
        <v>50</v>
      </c>
      <c r="J29" s="58" t="s">
        <v>50</v>
      </c>
      <c r="K29" s="59" t="s">
        <v>218</v>
      </c>
      <c r="L29" s="60">
        <v>28585.0</v>
      </c>
      <c r="M29" s="56" t="s">
        <v>42</v>
      </c>
      <c r="N29" s="66" t="s">
        <v>219</v>
      </c>
    </row>
    <row r="30" ht="60.0" customHeight="1">
      <c r="A30" s="56">
        <v>24.0</v>
      </c>
      <c r="B30" s="57" t="s">
        <v>220</v>
      </c>
      <c r="C30" s="57" t="s">
        <v>221</v>
      </c>
      <c r="D30" s="57" t="s">
        <v>222</v>
      </c>
      <c r="E30" s="57" t="s">
        <v>223</v>
      </c>
      <c r="F30" s="57" t="s">
        <v>224</v>
      </c>
      <c r="G30" s="57" t="s">
        <v>225</v>
      </c>
      <c r="H30" s="56" t="str">
        <f t="shared" si="1"/>
        <v>WRONG</v>
      </c>
      <c r="I30" s="56" t="s">
        <v>50</v>
      </c>
      <c r="J30" s="58" t="s">
        <v>40</v>
      </c>
      <c r="K30" s="59" t="s">
        <v>226</v>
      </c>
      <c r="L30" s="60">
        <v>27956.0</v>
      </c>
      <c r="M30" s="56" t="s">
        <v>42</v>
      </c>
      <c r="N30" s="66" t="s">
        <v>227</v>
      </c>
    </row>
    <row r="31" ht="60.0" customHeight="1">
      <c r="A31" s="56">
        <v>25.0</v>
      </c>
      <c r="B31" s="57" t="s">
        <v>228</v>
      </c>
      <c r="C31" s="57" t="s">
        <v>229</v>
      </c>
      <c r="D31" s="57" t="s">
        <v>230</v>
      </c>
      <c r="E31" s="57" t="s">
        <v>231</v>
      </c>
      <c r="F31" s="57" t="s">
        <v>232</v>
      </c>
      <c r="G31" s="57" t="s">
        <v>233</v>
      </c>
      <c r="H31" s="56" t="str">
        <f t="shared" si="1"/>
        <v>CORRECT</v>
      </c>
      <c r="I31" s="56" t="s">
        <v>50</v>
      </c>
      <c r="J31" s="58" t="s">
        <v>50</v>
      </c>
      <c r="K31" s="59" t="s">
        <v>234</v>
      </c>
      <c r="L31" s="60">
        <v>29089.0</v>
      </c>
      <c r="M31" s="56" t="s">
        <v>42</v>
      </c>
      <c r="N31" s="66" t="s">
        <v>235</v>
      </c>
    </row>
    <row r="32" ht="60.0" customHeight="1">
      <c r="A32" s="56">
        <v>26.0</v>
      </c>
      <c r="B32" s="57" t="s">
        <v>236</v>
      </c>
      <c r="C32" s="57" t="s">
        <v>237</v>
      </c>
      <c r="D32" s="57" t="s">
        <v>238</v>
      </c>
      <c r="E32" s="57" t="s">
        <v>239</v>
      </c>
      <c r="F32" s="57" t="s">
        <v>240</v>
      </c>
      <c r="G32" s="57" t="s">
        <v>241</v>
      </c>
      <c r="H32" s="56" t="str">
        <f t="shared" si="1"/>
        <v>WRONG</v>
      </c>
      <c r="I32" s="56" t="s">
        <v>50</v>
      </c>
      <c r="J32" s="58" t="s">
        <v>60</v>
      </c>
      <c r="K32" s="59" t="s">
        <v>242</v>
      </c>
      <c r="L32" s="60">
        <v>30484.0</v>
      </c>
      <c r="M32" s="56" t="s">
        <v>62</v>
      </c>
      <c r="N32" s="66"/>
    </row>
    <row r="33" ht="60.0" customHeight="1">
      <c r="A33" s="56">
        <v>27.0</v>
      </c>
      <c r="B33" s="57" t="s">
        <v>243</v>
      </c>
      <c r="C33" s="57" t="s">
        <v>244</v>
      </c>
      <c r="D33" s="57" t="s">
        <v>245</v>
      </c>
      <c r="E33" s="57" t="s">
        <v>246</v>
      </c>
      <c r="F33" s="57" t="s">
        <v>247</v>
      </c>
      <c r="G33" s="57" t="s">
        <v>248</v>
      </c>
      <c r="H33" s="56" t="str">
        <f t="shared" si="1"/>
        <v>CORRECT</v>
      </c>
      <c r="I33" s="56" t="s">
        <v>50</v>
      </c>
      <c r="J33" s="58" t="s">
        <v>50</v>
      </c>
      <c r="K33" s="59" t="s">
        <v>249</v>
      </c>
      <c r="L33" s="60">
        <v>33785.0</v>
      </c>
      <c r="M33" s="56" t="s">
        <v>42</v>
      </c>
      <c r="N33" s="66" t="s">
        <v>250</v>
      </c>
    </row>
    <row r="34" ht="60.0" customHeight="1">
      <c r="A34" s="56">
        <v>28.0</v>
      </c>
      <c r="B34" s="57" t="s">
        <v>251</v>
      </c>
      <c r="C34" s="57" t="s">
        <v>252</v>
      </c>
      <c r="D34" s="57" t="s">
        <v>253</v>
      </c>
      <c r="E34" s="57" t="s">
        <v>254</v>
      </c>
      <c r="F34" s="57" t="s">
        <v>255</v>
      </c>
      <c r="G34" s="57" t="s">
        <v>256</v>
      </c>
      <c r="H34" s="56" t="str">
        <f t="shared" si="1"/>
        <v>CORRECT</v>
      </c>
      <c r="I34" s="56" t="s">
        <v>40</v>
      </c>
      <c r="J34" s="58" t="s">
        <v>40</v>
      </c>
      <c r="K34" s="59" t="s">
        <v>257</v>
      </c>
      <c r="L34" s="60">
        <v>34314.0</v>
      </c>
      <c r="M34" s="56" t="s">
        <v>62</v>
      </c>
      <c r="N34" s="66"/>
    </row>
    <row r="35" ht="60.0" customHeight="1">
      <c r="A35" s="56">
        <v>29.0</v>
      </c>
      <c r="B35" s="57" t="s">
        <v>258</v>
      </c>
      <c r="C35" s="57" t="s">
        <v>259</v>
      </c>
      <c r="D35" s="57" t="s">
        <v>260</v>
      </c>
      <c r="E35" s="57" t="s">
        <v>261</v>
      </c>
      <c r="F35" s="57" t="s">
        <v>262</v>
      </c>
      <c r="G35" s="57" t="s">
        <v>263</v>
      </c>
      <c r="H35" s="56" t="str">
        <f t="shared" si="1"/>
        <v>WRONG</v>
      </c>
      <c r="I35" s="56" t="s">
        <v>60</v>
      </c>
      <c r="J35" s="58" t="s">
        <v>50</v>
      </c>
      <c r="K35" s="59" t="s">
        <v>2639</v>
      </c>
      <c r="L35" s="60">
        <v>35498.0</v>
      </c>
      <c r="M35" s="56" t="s">
        <v>62</v>
      </c>
      <c r="N35" s="66"/>
    </row>
    <row r="36" ht="60.0" customHeight="1">
      <c r="A36" s="56">
        <v>30.0</v>
      </c>
      <c r="B36" s="57" t="s">
        <v>265</v>
      </c>
      <c r="C36" s="57" t="s">
        <v>266</v>
      </c>
      <c r="D36" s="57" t="s">
        <v>267</v>
      </c>
      <c r="E36" s="57" t="s">
        <v>268</v>
      </c>
      <c r="F36" s="57" t="s">
        <v>269</v>
      </c>
      <c r="G36" s="57" t="s">
        <v>270</v>
      </c>
      <c r="H36" s="56" t="str">
        <f t="shared" si="1"/>
        <v>CORRECT</v>
      </c>
      <c r="I36" s="56" t="s">
        <v>50</v>
      </c>
      <c r="J36" s="58" t="s">
        <v>50</v>
      </c>
      <c r="K36" s="59" t="s">
        <v>271</v>
      </c>
      <c r="L36" s="60">
        <v>41529.0</v>
      </c>
      <c r="M36" s="56" t="s">
        <v>62</v>
      </c>
      <c r="N36" s="66"/>
    </row>
    <row r="37" ht="60.0" customHeight="1">
      <c r="A37" s="56">
        <v>31.0</v>
      </c>
      <c r="B37" s="57" t="s">
        <v>272</v>
      </c>
      <c r="C37" s="57" t="s">
        <v>273</v>
      </c>
      <c r="D37" s="57" t="s">
        <v>274</v>
      </c>
      <c r="E37" s="57" t="s">
        <v>275</v>
      </c>
      <c r="F37" s="57" t="s">
        <v>276</v>
      </c>
      <c r="G37" s="57" t="s">
        <v>277</v>
      </c>
      <c r="H37" s="56" t="str">
        <f t="shared" si="1"/>
        <v>CORRECT</v>
      </c>
      <c r="I37" s="56" t="s">
        <v>77</v>
      </c>
      <c r="J37" s="58" t="s">
        <v>77</v>
      </c>
      <c r="K37" s="59" t="s">
        <v>278</v>
      </c>
      <c r="L37" s="60">
        <v>28509.0</v>
      </c>
      <c r="M37" s="56" t="s">
        <v>62</v>
      </c>
      <c r="N37" s="66"/>
    </row>
    <row r="38" ht="60.0" customHeight="1">
      <c r="A38" s="56">
        <v>32.0</v>
      </c>
      <c r="B38" s="57" t="s">
        <v>279</v>
      </c>
      <c r="C38" s="57" t="s">
        <v>280</v>
      </c>
      <c r="D38" s="57" t="s">
        <v>281</v>
      </c>
      <c r="E38" s="57" t="s">
        <v>282</v>
      </c>
      <c r="F38" s="57" t="s">
        <v>283</v>
      </c>
      <c r="G38" s="57" t="s">
        <v>284</v>
      </c>
      <c r="H38" s="56" t="str">
        <f t="shared" si="1"/>
        <v>WRONG</v>
      </c>
      <c r="I38" s="56" t="s">
        <v>50</v>
      </c>
      <c r="J38" s="58" t="s">
        <v>60</v>
      </c>
      <c r="K38" s="59" t="s">
        <v>285</v>
      </c>
      <c r="L38" s="60">
        <v>31437.0</v>
      </c>
      <c r="M38" s="56" t="s">
        <v>42</v>
      </c>
      <c r="N38" s="66" t="s">
        <v>286</v>
      </c>
    </row>
    <row r="39" ht="60.0" customHeight="1">
      <c r="A39" s="56">
        <v>33.0</v>
      </c>
      <c r="B39" s="57" t="s">
        <v>287</v>
      </c>
      <c r="C39" s="57" t="s">
        <v>288</v>
      </c>
      <c r="D39" s="57" t="s">
        <v>289</v>
      </c>
      <c r="E39" s="57" t="s">
        <v>290</v>
      </c>
      <c r="F39" s="57" t="s">
        <v>291</v>
      </c>
      <c r="G39" s="57" t="s">
        <v>292</v>
      </c>
      <c r="H39" s="56" t="str">
        <f t="shared" si="1"/>
        <v>WRONG</v>
      </c>
      <c r="I39" s="56" t="s">
        <v>77</v>
      </c>
      <c r="J39" s="58" t="s">
        <v>50</v>
      </c>
      <c r="K39" s="59" t="s">
        <v>293</v>
      </c>
      <c r="L39" s="60">
        <v>36340.0</v>
      </c>
      <c r="M39" s="56" t="s">
        <v>62</v>
      </c>
      <c r="N39" s="66"/>
    </row>
    <row r="40" ht="60.0" customHeight="1">
      <c r="A40" s="56">
        <v>34.0</v>
      </c>
      <c r="B40" s="57" t="s">
        <v>294</v>
      </c>
      <c r="C40" s="57" t="s">
        <v>295</v>
      </c>
      <c r="D40" s="57" t="s">
        <v>296</v>
      </c>
      <c r="E40" s="57" t="s">
        <v>297</v>
      </c>
      <c r="F40" s="57" t="s">
        <v>298</v>
      </c>
      <c r="G40" s="57" t="s">
        <v>299</v>
      </c>
      <c r="H40" s="56" t="str">
        <f t="shared" si="1"/>
        <v>CORRECT</v>
      </c>
      <c r="I40" s="56" t="s">
        <v>51</v>
      </c>
      <c r="J40" s="58" t="s">
        <v>51</v>
      </c>
      <c r="K40" s="59" t="s">
        <v>300</v>
      </c>
      <c r="L40" s="60">
        <v>30113.0</v>
      </c>
      <c r="M40" s="56" t="s">
        <v>42</v>
      </c>
      <c r="N40" s="66" t="s">
        <v>301</v>
      </c>
    </row>
    <row r="41" ht="60.0" customHeight="1">
      <c r="A41" s="56">
        <v>35.0</v>
      </c>
      <c r="B41" s="57" t="s">
        <v>302</v>
      </c>
      <c r="C41" s="57" t="s">
        <v>303</v>
      </c>
      <c r="D41" s="57" t="s">
        <v>304</v>
      </c>
      <c r="E41" s="57" t="s">
        <v>305</v>
      </c>
      <c r="F41" s="57" t="s">
        <v>306</v>
      </c>
      <c r="G41" s="57" t="s">
        <v>307</v>
      </c>
      <c r="H41" s="56" t="str">
        <f t="shared" si="1"/>
        <v>WRONG</v>
      </c>
      <c r="I41" s="56" t="s">
        <v>40</v>
      </c>
      <c r="J41" s="58" t="s">
        <v>77</v>
      </c>
      <c r="K41" s="59" t="s">
        <v>2640</v>
      </c>
      <c r="L41" s="60">
        <v>34535.0</v>
      </c>
      <c r="M41" s="56" t="s">
        <v>62</v>
      </c>
      <c r="N41" s="66"/>
    </row>
    <row r="42" ht="60.0" customHeight="1">
      <c r="A42" s="56">
        <v>36.0</v>
      </c>
      <c r="B42" s="57" t="s">
        <v>309</v>
      </c>
      <c r="C42" s="57" t="s">
        <v>310</v>
      </c>
      <c r="D42" s="57" t="s">
        <v>311</v>
      </c>
      <c r="E42" s="57" t="s">
        <v>312</v>
      </c>
      <c r="F42" s="57" t="s">
        <v>313</v>
      </c>
      <c r="G42" s="57" t="s">
        <v>314</v>
      </c>
      <c r="H42" s="56" t="str">
        <f t="shared" si="1"/>
        <v>WRONG</v>
      </c>
      <c r="I42" s="56" t="s">
        <v>51</v>
      </c>
      <c r="J42" s="58" t="s">
        <v>60</v>
      </c>
      <c r="K42" s="59" t="s">
        <v>315</v>
      </c>
      <c r="L42" s="60">
        <v>39816.0</v>
      </c>
      <c r="M42" s="56" t="s">
        <v>42</v>
      </c>
      <c r="N42" s="66" t="s">
        <v>316</v>
      </c>
    </row>
    <row r="43" ht="60.0" customHeight="1">
      <c r="A43" s="56">
        <v>37.0</v>
      </c>
      <c r="B43" s="57" t="s">
        <v>317</v>
      </c>
      <c r="C43" s="57" t="s">
        <v>318</v>
      </c>
      <c r="D43" s="57" t="s">
        <v>319</v>
      </c>
      <c r="E43" s="57" t="s">
        <v>320</v>
      </c>
      <c r="F43" s="57" t="s">
        <v>321</v>
      </c>
      <c r="G43" s="57" t="s">
        <v>322</v>
      </c>
      <c r="H43" s="56" t="str">
        <f t="shared" si="1"/>
        <v>CORRECT</v>
      </c>
      <c r="I43" s="56" t="s">
        <v>60</v>
      </c>
      <c r="J43" s="58" t="s">
        <v>60</v>
      </c>
      <c r="K43" s="59" t="s">
        <v>2641</v>
      </c>
      <c r="L43" s="60">
        <v>28167.0</v>
      </c>
      <c r="M43" s="56" t="s">
        <v>42</v>
      </c>
      <c r="N43" s="66" t="s">
        <v>324</v>
      </c>
    </row>
    <row r="44" ht="60.0" customHeight="1">
      <c r="A44" s="56">
        <v>38.0</v>
      </c>
      <c r="B44" s="57" t="s">
        <v>325</v>
      </c>
      <c r="C44" s="57" t="s">
        <v>326</v>
      </c>
      <c r="D44" s="57" t="s">
        <v>327</v>
      </c>
      <c r="E44" s="57" t="s">
        <v>328</v>
      </c>
      <c r="F44" s="57" t="s">
        <v>329</v>
      </c>
      <c r="G44" s="57" t="s">
        <v>330</v>
      </c>
      <c r="H44" s="56" t="str">
        <f t="shared" si="1"/>
        <v>CORRECT</v>
      </c>
      <c r="I44" s="56" t="s">
        <v>51</v>
      </c>
      <c r="J44" s="58" t="s">
        <v>51</v>
      </c>
      <c r="K44" s="59" t="s">
        <v>331</v>
      </c>
      <c r="L44" s="60">
        <v>36221.0</v>
      </c>
      <c r="M44" s="56" t="s">
        <v>42</v>
      </c>
      <c r="N44" s="66" t="s">
        <v>332</v>
      </c>
    </row>
    <row r="45" ht="60.0" customHeight="1">
      <c r="A45" s="56">
        <v>39.0</v>
      </c>
      <c r="B45" s="57" t="s">
        <v>333</v>
      </c>
      <c r="C45" s="57" t="s">
        <v>334</v>
      </c>
      <c r="D45" s="57" t="s">
        <v>335</v>
      </c>
      <c r="E45" s="57" t="s">
        <v>336</v>
      </c>
      <c r="F45" s="57" t="s">
        <v>337</v>
      </c>
      <c r="G45" s="57" t="s">
        <v>338</v>
      </c>
      <c r="H45" s="56" t="str">
        <f t="shared" si="1"/>
        <v>WRONG</v>
      </c>
      <c r="I45" s="56" t="s">
        <v>50</v>
      </c>
      <c r="J45" s="58" t="s">
        <v>51</v>
      </c>
      <c r="K45" s="59" t="s">
        <v>339</v>
      </c>
      <c r="L45" s="60">
        <v>40882.0</v>
      </c>
      <c r="M45" s="56" t="s">
        <v>42</v>
      </c>
      <c r="N45" s="66" t="s">
        <v>340</v>
      </c>
    </row>
    <row r="46" ht="60.0" customHeight="1">
      <c r="A46" s="56">
        <v>40.0</v>
      </c>
      <c r="B46" s="57" t="s">
        <v>341</v>
      </c>
      <c r="C46" s="57" t="s">
        <v>342</v>
      </c>
      <c r="D46" s="57" t="s">
        <v>343</v>
      </c>
      <c r="E46" s="57" t="s">
        <v>344</v>
      </c>
      <c r="F46" s="57" t="s">
        <v>345</v>
      </c>
      <c r="G46" s="57" t="s">
        <v>346</v>
      </c>
      <c r="H46" s="56" t="str">
        <f t="shared" si="1"/>
        <v>WRONG</v>
      </c>
      <c r="I46" s="56" t="s">
        <v>60</v>
      </c>
      <c r="J46" s="58" t="s">
        <v>51</v>
      </c>
      <c r="K46" s="59" t="s">
        <v>347</v>
      </c>
      <c r="L46" s="60">
        <v>34336.0</v>
      </c>
      <c r="M46" s="56" t="s">
        <v>62</v>
      </c>
      <c r="N46" s="66"/>
    </row>
    <row r="47" ht="60.0" customHeight="1">
      <c r="A47" s="56">
        <v>41.0</v>
      </c>
      <c r="B47" s="57" t="s">
        <v>348</v>
      </c>
      <c r="C47" s="57" t="s">
        <v>349</v>
      </c>
      <c r="D47" s="57" t="s">
        <v>350</v>
      </c>
      <c r="E47" s="57" t="s">
        <v>351</v>
      </c>
      <c r="F47" s="57" t="s">
        <v>352</v>
      </c>
      <c r="G47" s="57" t="s">
        <v>353</v>
      </c>
      <c r="H47" s="56" t="str">
        <f t="shared" si="1"/>
        <v>WRONG</v>
      </c>
      <c r="I47" s="56" t="s">
        <v>51</v>
      </c>
      <c r="J47" s="58" t="s">
        <v>50</v>
      </c>
      <c r="K47" s="59" t="s">
        <v>2642</v>
      </c>
      <c r="L47" s="60">
        <v>100442.0</v>
      </c>
      <c r="M47" s="56" t="s">
        <v>62</v>
      </c>
      <c r="N47" s="67"/>
    </row>
    <row r="48" ht="60.0" customHeight="1">
      <c r="A48" s="56">
        <v>42.0</v>
      </c>
      <c r="B48" s="57" t="s">
        <v>355</v>
      </c>
      <c r="C48" s="57" t="s">
        <v>356</v>
      </c>
      <c r="D48" s="57" t="s">
        <v>357</v>
      </c>
      <c r="E48" s="57" t="s">
        <v>358</v>
      </c>
      <c r="F48" s="57" t="s">
        <v>359</v>
      </c>
      <c r="G48" s="57" t="s">
        <v>360</v>
      </c>
      <c r="H48" s="56" t="str">
        <f t="shared" si="1"/>
        <v>CORRECT</v>
      </c>
      <c r="I48" s="56" t="s">
        <v>50</v>
      </c>
      <c r="J48" s="58" t="s">
        <v>50</v>
      </c>
      <c r="K48" s="59" t="s">
        <v>361</v>
      </c>
      <c r="L48" s="60">
        <v>44490.0</v>
      </c>
      <c r="M48" s="56" t="s">
        <v>62</v>
      </c>
      <c r="N48" s="66"/>
    </row>
    <row r="49" ht="60.0" customHeight="1">
      <c r="A49" s="56">
        <v>43.0</v>
      </c>
      <c r="B49" s="57" t="s">
        <v>362</v>
      </c>
      <c r="C49" s="57" t="s">
        <v>363</v>
      </c>
      <c r="D49" s="57" t="s">
        <v>364</v>
      </c>
      <c r="E49" s="57" t="s">
        <v>365</v>
      </c>
      <c r="F49" s="57" t="s">
        <v>366</v>
      </c>
      <c r="G49" s="57" t="s">
        <v>367</v>
      </c>
      <c r="H49" s="56" t="str">
        <f t="shared" si="1"/>
        <v>CORRECT</v>
      </c>
      <c r="I49" s="56" t="s">
        <v>60</v>
      </c>
      <c r="J49" s="58" t="s">
        <v>60</v>
      </c>
      <c r="K49" s="59" t="s">
        <v>368</v>
      </c>
      <c r="L49" s="60">
        <v>47946.0</v>
      </c>
      <c r="M49" s="56" t="s">
        <v>42</v>
      </c>
      <c r="N49" s="66" t="s">
        <v>369</v>
      </c>
    </row>
    <row r="50" ht="60.0" customHeight="1">
      <c r="A50" s="56">
        <v>44.0</v>
      </c>
      <c r="B50" s="57" t="s">
        <v>370</v>
      </c>
      <c r="C50" s="57" t="s">
        <v>371</v>
      </c>
      <c r="D50" s="57" t="s">
        <v>372</v>
      </c>
      <c r="E50" s="57" t="s">
        <v>373</v>
      </c>
      <c r="F50" s="57" t="s">
        <v>374</v>
      </c>
      <c r="G50" s="57" t="s">
        <v>375</v>
      </c>
      <c r="H50" s="56" t="str">
        <f t="shared" si="1"/>
        <v>CORRECT</v>
      </c>
      <c r="I50" s="56" t="s">
        <v>51</v>
      </c>
      <c r="J50" s="58" t="s">
        <v>51</v>
      </c>
      <c r="K50" s="59" t="s">
        <v>2643</v>
      </c>
      <c r="L50" s="60">
        <v>38531.0</v>
      </c>
      <c r="M50" s="56" t="s">
        <v>42</v>
      </c>
      <c r="N50" s="66" t="s">
        <v>377</v>
      </c>
    </row>
    <row r="51" ht="60.0" customHeight="1">
      <c r="A51" s="56">
        <v>45.0</v>
      </c>
      <c r="B51" s="57" t="s">
        <v>378</v>
      </c>
      <c r="C51" s="57" t="s">
        <v>379</v>
      </c>
      <c r="D51" s="57" t="s">
        <v>380</v>
      </c>
      <c r="E51" s="57" t="s">
        <v>381</v>
      </c>
      <c r="F51" s="57" t="s">
        <v>382</v>
      </c>
      <c r="G51" s="57" t="s">
        <v>383</v>
      </c>
      <c r="H51" s="56" t="str">
        <f t="shared" si="1"/>
        <v>WRONG</v>
      </c>
      <c r="I51" s="56" t="s">
        <v>50</v>
      </c>
      <c r="J51" s="58" t="s">
        <v>60</v>
      </c>
      <c r="K51" s="59" t="s">
        <v>384</v>
      </c>
      <c r="L51" s="60">
        <v>49549.0</v>
      </c>
      <c r="M51" s="56" t="s">
        <v>42</v>
      </c>
      <c r="N51" s="66" t="s">
        <v>385</v>
      </c>
    </row>
    <row r="52" ht="60.0" customHeight="1">
      <c r="A52" s="56">
        <v>46.0</v>
      </c>
      <c r="B52" s="57" t="s">
        <v>386</v>
      </c>
      <c r="C52" s="57" t="s">
        <v>387</v>
      </c>
      <c r="D52" s="57" t="s">
        <v>388</v>
      </c>
      <c r="E52" s="57" t="s">
        <v>389</v>
      </c>
      <c r="F52" s="57" t="s">
        <v>390</v>
      </c>
      <c r="G52" s="57" t="s">
        <v>391</v>
      </c>
      <c r="H52" s="56" t="str">
        <f t="shared" si="1"/>
        <v>CORRECT</v>
      </c>
      <c r="I52" s="56" t="s">
        <v>60</v>
      </c>
      <c r="J52" s="58" t="s">
        <v>60</v>
      </c>
      <c r="K52" s="59" t="s">
        <v>392</v>
      </c>
      <c r="L52" s="60">
        <v>36321.0</v>
      </c>
      <c r="M52" s="56" t="s">
        <v>42</v>
      </c>
      <c r="N52" s="66" t="s">
        <v>393</v>
      </c>
    </row>
    <row r="53" ht="60.0" customHeight="1">
      <c r="A53" s="56">
        <v>47.0</v>
      </c>
      <c r="B53" s="57" t="s">
        <v>394</v>
      </c>
      <c r="C53" s="57" t="s">
        <v>395</v>
      </c>
      <c r="D53" s="57" t="s">
        <v>396</v>
      </c>
      <c r="E53" s="57" t="s">
        <v>397</v>
      </c>
      <c r="F53" s="57" t="s">
        <v>398</v>
      </c>
      <c r="G53" s="57" t="s">
        <v>399</v>
      </c>
      <c r="H53" s="56" t="str">
        <f t="shared" si="1"/>
        <v>CORRECT</v>
      </c>
      <c r="I53" s="56" t="s">
        <v>60</v>
      </c>
      <c r="J53" s="58" t="s">
        <v>60</v>
      </c>
      <c r="K53" s="59" t="s">
        <v>400</v>
      </c>
      <c r="L53" s="60">
        <v>27397.0</v>
      </c>
      <c r="M53" s="56" t="s">
        <v>62</v>
      </c>
      <c r="N53" s="66"/>
    </row>
    <row r="54" ht="60.0" customHeight="1">
      <c r="A54" s="56">
        <v>48.0</v>
      </c>
      <c r="B54" s="57" t="s">
        <v>401</v>
      </c>
      <c r="C54" s="57" t="s">
        <v>402</v>
      </c>
      <c r="D54" s="57" t="s">
        <v>403</v>
      </c>
      <c r="E54" s="57" t="s">
        <v>404</v>
      </c>
      <c r="F54" s="57" t="s">
        <v>405</v>
      </c>
      <c r="G54" s="57" t="s">
        <v>406</v>
      </c>
      <c r="H54" s="56" t="str">
        <f t="shared" si="1"/>
        <v>CORRECT</v>
      </c>
      <c r="I54" s="56" t="s">
        <v>60</v>
      </c>
      <c r="J54" s="58" t="s">
        <v>60</v>
      </c>
      <c r="K54" s="59" t="s">
        <v>407</v>
      </c>
      <c r="L54" s="60">
        <v>36820.0</v>
      </c>
      <c r="M54" s="56" t="s">
        <v>62</v>
      </c>
      <c r="N54" s="66"/>
    </row>
    <row r="55" ht="60.0" customHeight="1">
      <c r="A55" s="56">
        <v>49.0</v>
      </c>
      <c r="B55" s="57" t="s">
        <v>408</v>
      </c>
      <c r="C55" s="57" t="s">
        <v>409</v>
      </c>
      <c r="D55" s="57" t="s">
        <v>410</v>
      </c>
      <c r="E55" s="57" t="s">
        <v>411</v>
      </c>
      <c r="F55" s="57" t="s">
        <v>412</v>
      </c>
      <c r="G55" s="57" t="s">
        <v>413</v>
      </c>
      <c r="H55" s="56" t="str">
        <f t="shared" si="1"/>
        <v>CORRECT</v>
      </c>
      <c r="I55" s="56" t="s">
        <v>40</v>
      </c>
      <c r="J55" s="58" t="s">
        <v>40</v>
      </c>
      <c r="K55" s="59" t="s">
        <v>414</v>
      </c>
      <c r="L55" s="60">
        <v>33882.0</v>
      </c>
      <c r="M55" s="56" t="s">
        <v>62</v>
      </c>
      <c r="N55" s="66"/>
    </row>
    <row r="56" ht="60.0" customHeight="1">
      <c r="A56" s="56">
        <v>50.0</v>
      </c>
      <c r="B56" s="57" t="s">
        <v>415</v>
      </c>
      <c r="C56" s="57" t="s">
        <v>416</v>
      </c>
      <c r="D56" s="57" t="s">
        <v>417</v>
      </c>
      <c r="E56" s="57" t="s">
        <v>418</v>
      </c>
      <c r="F56" s="57" t="s">
        <v>419</v>
      </c>
      <c r="G56" s="57" t="s">
        <v>420</v>
      </c>
      <c r="H56" s="56" t="str">
        <f t="shared" si="1"/>
        <v>WRONG</v>
      </c>
      <c r="I56" s="56" t="s">
        <v>51</v>
      </c>
      <c r="J56" s="58" t="s">
        <v>60</v>
      </c>
      <c r="K56" s="59" t="s">
        <v>421</v>
      </c>
      <c r="L56" s="60">
        <v>30488.0</v>
      </c>
      <c r="M56" s="56" t="s">
        <v>42</v>
      </c>
      <c r="N56" s="66" t="s">
        <v>422</v>
      </c>
    </row>
    <row r="57" ht="60.0" customHeight="1">
      <c r="A57" s="56">
        <v>51.0</v>
      </c>
      <c r="B57" s="57" t="s">
        <v>423</v>
      </c>
      <c r="C57" s="57" t="s">
        <v>424</v>
      </c>
      <c r="D57" s="57" t="s">
        <v>425</v>
      </c>
      <c r="E57" s="57" t="s">
        <v>426</v>
      </c>
      <c r="F57" s="57" t="s">
        <v>427</v>
      </c>
      <c r="G57" s="57" t="s">
        <v>428</v>
      </c>
      <c r="H57" s="56" t="str">
        <f t="shared" si="1"/>
        <v>WRONG</v>
      </c>
      <c r="I57" s="56" t="s">
        <v>40</v>
      </c>
      <c r="J57" s="58" t="s">
        <v>50</v>
      </c>
      <c r="K57" s="59" t="s">
        <v>429</v>
      </c>
      <c r="L57" s="60">
        <v>45640.0</v>
      </c>
      <c r="M57" s="56" t="s">
        <v>62</v>
      </c>
      <c r="N57" s="66"/>
    </row>
    <row r="58" ht="60.0" customHeight="1">
      <c r="A58" s="56">
        <v>52.0</v>
      </c>
      <c r="B58" s="57" t="s">
        <v>430</v>
      </c>
      <c r="C58" s="57" t="s">
        <v>431</v>
      </c>
      <c r="D58" s="57" t="s">
        <v>432</v>
      </c>
      <c r="E58" s="57" t="s">
        <v>433</v>
      </c>
      <c r="F58" s="57" t="s">
        <v>434</v>
      </c>
      <c r="G58" s="57" t="s">
        <v>435</v>
      </c>
      <c r="H58" s="56" t="str">
        <f t="shared" si="1"/>
        <v>CORRECT</v>
      </c>
      <c r="I58" s="56" t="s">
        <v>60</v>
      </c>
      <c r="J58" s="58" t="s">
        <v>60</v>
      </c>
      <c r="K58" s="59" t="s">
        <v>436</v>
      </c>
      <c r="L58" s="60">
        <v>33202.0</v>
      </c>
      <c r="M58" s="56" t="s">
        <v>42</v>
      </c>
      <c r="N58" s="66" t="s">
        <v>437</v>
      </c>
    </row>
    <row r="59" ht="60.0" customHeight="1">
      <c r="A59" s="56">
        <v>53.0</v>
      </c>
      <c r="B59" s="57" t="s">
        <v>438</v>
      </c>
      <c r="C59" s="57" t="s">
        <v>439</v>
      </c>
      <c r="D59" s="57" t="s">
        <v>440</v>
      </c>
      <c r="E59" s="57" t="s">
        <v>441</v>
      </c>
      <c r="F59" s="57" t="s">
        <v>442</v>
      </c>
      <c r="G59" s="57" t="s">
        <v>443</v>
      </c>
      <c r="H59" s="56" t="str">
        <f t="shared" si="1"/>
        <v>WRONG</v>
      </c>
      <c r="I59" s="56" t="s">
        <v>77</v>
      </c>
      <c r="J59" s="58" t="s">
        <v>60</v>
      </c>
      <c r="K59" s="59" t="s">
        <v>444</v>
      </c>
      <c r="L59" s="60">
        <v>34693.0</v>
      </c>
      <c r="M59" s="56" t="s">
        <v>42</v>
      </c>
      <c r="N59" s="66" t="s">
        <v>445</v>
      </c>
    </row>
    <row r="60" ht="60.0" customHeight="1">
      <c r="A60" s="56">
        <v>54.0</v>
      </c>
      <c r="B60" s="57" t="s">
        <v>446</v>
      </c>
      <c r="C60" s="57" t="s">
        <v>447</v>
      </c>
      <c r="D60" s="57" t="s">
        <v>448</v>
      </c>
      <c r="E60" s="57" t="s">
        <v>449</v>
      </c>
      <c r="F60" s="57" t="s">
        <v>450</v>
      </c>
      <c r="G60" s="57" t="s">
        <v>451</v>
      </c>
      <c r="H60" s="56" t="str">
        <f t="shared" si="1"/>
        <v>WRONG</v>
      </c>
      <c r="I60" s="56" t="s">
        <v>77</v>
      </c>
      <c r="J60" s="58" t="s">
        <v>50</v>
      </c>
      <c r="K60" s="59" t="s">
        <v>452</v>
      </c>
      <c r="L60" s="60">
        <v>33039.0</v>
      </c>
      <c r="M60" s="56" t="s">
        <v>42</v>
      </c>
      <c r="N60" s="66" t="s">
        <v>453</v>
      </c>
    </row>
    <row r="61" ht="60.0" customHeight="1">
      <c r="A61" s="56">
        <v>55.0</v>
      </c>
      <c r="B61" s="57" t="s">
        <v>454</v>
      </c>
      <c r="C61" s="57" t="s">
        <v>455</v>
      </c>
      <c r="D61" s="57" t="s">
        <v>456</v>
      </c>
      <c r="E61" s="57" t="s">
        <v>457</v>
      </c>
      <c r="F61" s="57" t="s">
        <v>458</v>
      </c>
      <c r="G61" s="57" t="s">
        <v>459</v>
      </c>
      <c r="H61" s="56" t="str">
        <f t="shared" si="1"/>
        <v>WRONG</v>
      </c>
      <c r="I61" s="56" t="s">
        <v>50</v>
      </c>
      <c r="J61" s="58" t="s">
        <v>51</v>
      </c>
      <c r="K61" s="59" t="s">
        <v>460</v>
      </c>
      <c r="L61" s="60">
        <v>38563.0</v>
      </c>
      <c r="M61" s="56" t="s">
        <v>62</v>
      </c>
      <c r="N61" s="66"/>
    </row>
    <row r="62" ht="60.0" customHeight="1">
      <c r="A62" s="56">
        <v>56.0</v>
      </c>
      <c r="B62" s="57" t="s">
        <v>461</v>
      </c>
      <c r="C62" s="57" t="s">
        <v>462</v>
      </c>
      <c r="D62" s="57" t="s">
        <v>463</v>
      </c>
      <c r="E62" s="57" t="s">
        <v>464</v>
      </c>
      <c r="F62" s="57" t="s">
        <v>465</v>
      </c>
      <c r="G62" s="57" t="s">
        <v>466</v>
      </c>
      <c r="H62" s="56" t="str">
        <f t="shared" si="1"/>
        <v>WRONG</v>
      </c>
      <c r="I62" s="56" t="s">
        <v>50</v>
      </c>
      <c r="J62" s="58" t="s">
        <v>60</v>
      </c>
      <c r="K62" s="59" t="s">
        <v>467</v>
      </c>
      <c r="L62" s="60">
        <v>32539.0</v>
      </c>
      <c r="M62" s="56" t="s">
        <v>42</v>
      </c>
      <c r="N62" s="66" t="s">
        <v>468</v>
      </c>
    </row>
    <row r="63" ht="60.0" customHeight="1">
      <c r="A63" s="56">
        <v>57.0</v>
      </c>
      <c r="B63" s="57" t="s">
        <v>469</v>
      </c>
      <c r="C63" s="57" t="s">
        <v>470</v>
      </c>
      <c r="D63" s="57" t="s">
        <v>471</v>
      </c>
      <c r="E63" s="57" t="s">
        <v>472</v>
      </c>
      <c r="F63" s="57" t="s">
        <v>473</v>
      </c>
      <c r="G63" s="57" t="s">
        <v>474</v>
      </c>
      <c r="H63" s="56" t="str">
        <f t="shared" si="1"/>
        <v>CORRECT</v>
      </c>
      <c r="I63" s="56" t="s">
        <v>40</v>
      </c>
      <c r="J63" s="58" t="s">
        <v>40</v>
      </c>
      <c r="K63" s="59" t="s">
        <v>2644</v>
      </c>
      <c r="L63" s="60">
        <v>37581.0</v>
      </c>
      <c r="M63" s="56" t="s">
        <v>62</v>
      </c>
      <c r="N63" s="66"/>
    </row>
    <row r="64" ht="60.0" customHeight="1">
      <c r="A64" s="56">
        <v>58.0</v>
      </c>
      <c r="B64" s="57" t="s">
        <v>476</v>
      </c>
      <c r="C64" s="57" t="s">
        <v>477</v>
      </c>
      <c r="D64" s="57" t="s">
        <v>478</v>
      </c>
      <c r="E64" s="57" t="s">
        <v>479</v>
      </c>
      <c r="F64" s="57" t="s">
        <v>480</v>
      </c>
      <c r="G64" s="57" t="s">
        <v>481</v>
      </c>
      <c r="H64" s="56" t="str">
        <f t="shared" si="1"/>
        <v>WRONG</v>
      </c>
      <c r="I64" s="56" t="s">
        <v>77</v>
      </c>
      <c r="J64" s="58" t="s">
        <v>40</v>
      </c>
      <c r="K64" s="59" t="s">
        <v>482</v>
      </c>
      <c r="L64" s="60">
        <v>33748.0</v>
      </c>
      <c r="M64" s="56" t="s">
        <v>42</v>
      </c>
      <c r="N64" s="66" t="s">
        <v>483</v>
      </c>
    </row>
    <row r="65" ht="60.0" customHeight="1">
      <c r="A65" s="56">
        <v>59.0</v>
      </c>
      <c r="B65" s="57" t="s">
        <v>484</v>
      </c>
      <c r="C65" s="57" t="s">
        <v>485</v>
      </c>
      <c r="D65" s="57" t="s">
        <v>486</v>
      </c>
      <c r="E65" s="57" t="s">
        <v>487</v>
      </c>
      <c r="F65" s="57" t="s">
        <v>488</v>
      </c>
      <c r="G65" s="57" t="s">
        <v>489</v>
      </c>
      <c r="H65" s="56" t="str">
        <f t="shared" si="1"/>
        <v>WRONG</v>
      </c>
      <c r="I65" s="56" t="s">
        <v>40</v>
      </c>
      <c r="J65" s="58" t="s">
        <v>51</v>
      </c>
      <c r="K65" s="59" t="s">
        <v>490</v>
      </c>
      <c r="L65" s="60">
        <v>34198.0</v>
      </c>
      <c r="M65" s="56" t="s">
        <v>42</v>
      </c>
      <c r="N65" s="66" t="s">
        <v>491</v>
      </c>
    </row>
    <row r="66" ht="60.0" customHeight="1">
      <c r="A66" s="56">
        <v>60.0</v>
      </c>
      <c r="B66" s="57" t="s">
        <v>492</v>
      </c>
      <c r="C66" s="57" t="s">
        <v>493</v>
      </c>
      <c r="D66" s="57" t="s">
        <v>494</v>
      </c>
      <c r="E66" s="57" t="s">
        <v>495</v>
      </c>
      <c r="F66" s="57" t="s">
        <v>496</v>
      </c>
      <c r="G66" s="57" t="s">
        <v>497</v>
      </c>
      <c r="H66" s="56" t="str">
        <f t="shared" si="1"/>
        <v>CORRECT</v>
      </c>
      <c r="I66" s="56" t="s">
        <v>60</v>
      </c>
      <c r="J66" s="58" t="s">
        <v>60</v>
      </c>
      <c r="K66" s="59" t="s">
        <v>498</v>
      </c>
      <c r="L66" s="60">
        <v>28933.0</v>
      </c>
      <c r="M66" s="56" t="s">
        <v>42</v>
      </c>
      <c r="N66" s="66" t="s">
        <v>499</v>
      </c>
    </row>
    <row r="67" ht="60.0" customHeight="1">
      <c r="A67" s="56">
        <v>61.0</v>
      </c>
      <c r="B67" s="57" t="s">
        <v>500</v>
      </c>
      <c r="C67" s="57" t="s">
        <v>501</v>
      </c>
      <c r="D67" s="57" t="s">
        <v>502</v>
      </c>
      <c r="E67" s="57" t="s">
        <v>503</v>
      </c>
      <c r="F67" s="57" t="s">
        <v>504</v>
      </c>
      <c r="G67" s="57" t="s">
        <v>505</v>
      </c>
      <c r="H67" s="56" t="str">
        <f t="shared" si="1"/>
        <v>WRONG</v>
      </c>
      <c r="I67" s="56" t="s">
        <v>77</v>
      </c>
      <c r="J67" s="58" t="s">
        <v>51</v>
      </c>
      <c r="K67" s="59" t="s">
        <v>2645</v>
      </c>
      <c r="L67" s="60">
        <v>35885.0</v>
      </c>
      <c r="M67" s="56" t="s">
        <v>62</v>
      </c>
      <c r="N67" s="66"/>
    </row>
    <row r="68" ht="60.0" customHeight="1">
      <c r="A68" s="56">
        <v>62.0</v>
      </c>
      <c r="B68" s="57" t="s">
        <v>507</v>
      </c>
      <c r="C68" s="57" t="s">
        <v>508</v>
      </c>
      <c r="D68" s="57" t="s">
        <v>509</v>
      </c>
      <c r="E68" s="57" t="s">
        <v>510</v>
      </c>
      <c r="F68" s="57" t="s">
        <v>511</v>
      </c>
      <c r="G68" s="57" t="s">
        <v>512</v>
      </c>
      <c r="H68" s="56" t="str">
        <f t="shared" si="1"/>
        <v>CORRECT</v>
      </c>
      <c r="I68" s="56" t="s">
        <v>51</v>
      </c>
      <c r="J68" s="58" t="s">
        <v>51</v>
      </c>
      <c r="K68" s="59" t="s">
        <v>513</v>
      </c>
      <c r="L68" s="60">
        <v>26545.0</v>
      </c>
      <c r="M68" s="56" t="s">
        <v>62</v>
      </c>
      <c r="N68" s="66"/>
    </row>
    <row r="69" ht="60.0" customHeight="1">
      <c r="A69" s="56">
        <v>63.0</v>
      </c>
      <c r="B69" s="57" t="s">
        <v>514</v>
      </c>
      <c r="C69" s="57" t="s">
        <v>515</v>
      </c>
      <c r="D69" s="57" t="s">
        <v>516</v>
      </c>
      <c r="E69" s="57" t="s">
        <v>517</v>
      </c>
      <c r="F69" s="57" t="s">
        <v>518</v>
      </c>
      <c r="G69" s="57" t="s">
        <v>519</v>
      </c>
      <c r="H69" s="56" t="str">
        <f t="shared" si="1"/>
        <v>CORRECT</v>
      </c>
      <c r="I69" s="56" t="s">
        <v>60</v>
      </c>
      <c r="J69" s="58" t="s">
        <v>60</v>
      </c>
      <c r="K69" s="59" t="s">
        <v>520</v>
      </c>
      <c r="L69" s="60">
        <v>38640.0</v>
      </c>
      <c r="M69" s="56" t="s">
        <v>42</v>
      </c>
      <c r="N69" s="66" t="s">
        <v>521</v>
      </c>
    </row>
    <row r="70" ht="60.0" customHeight="1">
      <c r="A70" s="56">
        <v>64.0</v>
      </c>
      <c r="B70" s="57" t="s">
        <v>522</v>
      </c>
      <c r="C70" s="57" t="s">
        <v>523</v>
      </c>
      <c r="D70" s="57" t="s">
        <v>524</v>
      </c>
      <c r="E70" s="57" t="s">
        <v>525</v>
      </c>
      <c r="F70" s="57" t="s">
        <v>526</v>
      </c>
      <c r="G70" s="57" t="s">
        <v>527</v>
      </c>
      <c r="H70" s="56" t="str">
        <f t="shared" si="1"/>
        <v>WRONG</v>
      </c>
      <c r="I70" s="56" t="s">
        <v>50</v>
      </c>
      <c r="J70" s="58" t="s">
        <v>60</v>
      </c>
      <c r="K70" s="59" t="s">
        <v>528</v>
      </c>
      <c r="L70" s="60">
        <v>34032.0</v>
      </c>
      <c r="M70" s="56" t="s">
        <v>62</v>
      </c>
      <c r="N70" s="66"/>
    </row>
    <row r="71" ht="60.0" customHeight="1">
      <c r="A71" s="56">
        <v>65.0</v>
      </c>
      <c r="B71" s="57" t="s">
        <v>529</v>
      </c>
      <c r="C71" s="57" t="s">
        <v>530</v>
      </c>
      <c r="D71" s="57" t="s">
        <v>531</v>
      </c>
      <c r="E71" s="57" t="s">
        <v>532</v>
      </c>
      <c r="F71" s="57" t="s">
        <v>533</v>
      </c>
      <c r="G71" s="57" t="s">
        <v>534</v>
      </c>
      <c r="H71" s="56" t="str">
        <f t="shared" si="1"/>
        <v>CORRECT</v>
      </c>
      <c r="I71" s="56" t="s">
        <v>50</v>
      </c>
      <c r="J71" s="58" t="s">
        <v>50</v>
      </c>
      <c r="K71" s="59" t="s">
        <v>535</v>
      </c>
      <c r="L71" s="60">
        <v>44314.0</v>
      </c>
      <c r="M71" s="56" t="s">
        <v>62</v>
      </c>
      <c r="N71" s="66"/>
    </row>
    <row r="72" ht="60.0" customHeight="1">
      <c r="A72" s="56">
        <v>66.0</v>
      </c>
      <c r="B72" s="57" t="s">
        <v>536</v>
      </c>
      <c r="C72" s="57" t="s">
        <v>537</v>
      </c>
      <c r="D72" s="57" t="s">
        <v>538</v>
      </c>
      <c r="E72" s="57" t="s">
        <v>539</v>
      </c>
      <c r="F72" s="57" t="s">
        <v>540</v>
      </c>
      <c r="G72" s="57" t="s">
        <v>541</v>
      </c>
      <c r="H72" s="56" t="str">
        <f t="shared" si="1"/>
        <v>WRONG</v>
      </c>
      <c r="I72" s="56" t="s">
        <v>77</v>
      </c>
      <c r="J72" s="58" t="s">
        <v>50</v>
      </c>
      <c r="K72" s="59" t="s">
        <v>2646</v>
      </c>
      <c r="L72" s="60">
        <v>33408.0</v>
      </c>
      <c r="M72" s="56" t="s">
        <v>42</v>
      </c>
      <c r="N72" s="66" t="s">
        <v>543</v>
      </c>
    </row>
    <row r="73" ht="60.0" customHeight="1">
      <c r="A73" s="56">
        <v>67.0</v>
      </c>
      <c r="B73" s="57" t="s">
        <v>544</v>
      </c>
      <c r="C73" s="57" t="s">
        <v>545</v>
      </c>
      <c r="D73" s="57" t="s">
        <v>546</v>
      </c>
      <c r="E73" s="57" t="s">
        <v>547</v>
      </c>
      <c r="F73" s="57" t="s">
        <v>548</v>
      </c>
      <c r="G73" s="57" t="s">
        <v>549</v>
      </c>
      <c r="H73" s="56" t="str">
        <f t="shared" si="1"/>
        <v>WRONG</v>
      </c>
      <c r="I73" s="56" t="s">
        <v>60</v>
      </c>
      <c r="J73" s="58" t="s">
        <v>77</v>
      </c>
      <c r="K73" s="59" t="s">
        <v>550</v>
      </c>
      <c r="L73" s="60">
        <v>37667.0</v>
      </c>
      <c r="M73" s="56" t="s">
        <v>42</v>
      </c>
      <c r="N73" s="66" t="s">
        <v>551</v>
      </c>
    </row>
    <row r="74" ht="60.0" customHeight="1">
      <c r="A74" s="56">
        <v>68.0</v>
      </c>
      <c r="B74" s="57" t="s">
        <v>552</v>
      </c>
      <c r="C74" s="57" t="s">
        <v>553</v>
      </c>
      <c r="D74" s="57" t="s">
        <v>554</v>
      </c>
      <c r="E74" s="57" t="s">
        <v>555</v>
      </c>
      <c r="F74" s="57" t="s">
        <v>556</v>
      </c>
      <c r="G74" s="57" t="s">
        <v>557</v>
      </c>
      <c r="H74" s="56" t="str">
        <f t="shared" si="1"/>
        <v>CORRECT</v>
      </c>
      <c r="I74" s="56" t="s">
        <v>77</v>
      </c>
      <c r="J74" s="58" t="s">
        <v>77</v>
      </c>
      <c r="K74" s="59" t="s">
        <v>558</v>
      </c>
      <c r="L74" s="60">
        <v>44561.0</v>
      </c>
      <c r="M74" s="56" t="s">
        <v>42</v>
      </c>
      <c r="N74" s="66" t="s">
        <v>559</v>
      </c>
    </row>
    <row r="75" ht="60.0" customHeight="1">
      <c r="A75" s="56">
        <v>69.0</v>
      </c>
      <c r="B75" s="57" t="s">
        <v>560</v>
      </c>
      <c r="C75" s="57" t="s">
        <v>561</v>
      </c>
      <c r="D75" s="57" t="s">
        <v>562</v>
      </c>
      <c r="E75" s="57" t="s">
        <v>563</v>
      </c>
      <c r="F75" s="57" t="s">
        <v>564</v>
      </c>
      <c r="G75" s="57" t="s">
        <v>565</v>
      </c>
      <c r="H75" s="56" t="str">
        <f t="shared" si="1"/>
        <v>WRONG</v>
      </c>
      <c r="I75" s="56" t="s">
        <v>77</v>
      </c>
      <c r="J75" s="58" t="s">
        <v>50</v>
      </c>
      <c r="K75" s="59" t="s">
        <v>566</v>
      </c>
      <c r="L75" s="60">
        <v>33095.0</v>
      </c>
      <c r="M75" s="56" t="s">
        <v>42</v>
      </c>
      <c r="N75" s="66" t="s">
        <v>567</v>
      </c>
    </row>
    <row r="76" ht="60.0" customHeight="1">
      <c r="A76" s="56">
        <v>70.0</v>
      </c>
      <c r="B76" s="57" t="s">
        <v>568</v>
      </c>
      <c r="C76" s="57" t="s">
        <v>569</v>
      </c>
      <c r="D76" s="57" t="s">
        <v>570</v>
      </c>
      <c r="E76" s="57" t="s">
        <v>571</v>
      </c>
      <c r="F76" s="57" t="s">
        <v>572</v>
      </c>
      <c r="G76" s="57" t="s">
        <v>573</v>
      </c>
      <c r="H76" s="56" t="str">
        <f t="shared" si="1"/>
        <v>WRONG</v>
      </c>
      <c r="I76" s="56" t="s">
        <v>50</v>
      </c>
      <c r="J76" s="58" t="s">
        <v>51</v>
      </c>
      <c r="K76" s="59" t="s">
        <v>574</v>
      </c>
      <c r="L76" s="60">
        <v>48204.0</v>
      </c>
      <c r="M76" s="56" t="s">
        <v>62</v>
      </c>
      <c r="N76" s="66"/>
    </row>
    <row r="77" ht="60.0" customHeight="1">
      <c r="A77" s="56">
        <v>71.0</v>
      </c>
      <c r="B77" s="57" t="s">
        <v>575</v>
      </c>
      <c r="C77" s="57" t="s">
        <v>576</v>
      </c>
      <c r="D77" s="57" t="s">
        <v>577</v>
      </c>
      <c r="E77" s="57" t="s">
        <v>578</v>
      </c>
      <c r="F77" s="57" t="s">
        <v>579</v>
      </c>
      <c r="G77" s="57" t="s">
        <v>580</v>
      </c>
      <c r="H77" s="56" t="str">
        <f t="shared" si="1"/>
        <v>CORRECT</v>
      </c>
      <c r="I77" s="56" t="s">
        <v>40</v>
      </c>
      <c r="J77" s="58" t="s">
        <v>40</v>
      </c>
      <c r="K77" s="59" t="s">
        <v>581</v>
      </c>
      <c r="L77" s="60">
        <v>30175.0</v>
      </c>
      <c r="M77" s="56" t="s">
        <v>42</v>
      </c>
      <c r="N77" s="66" t="s">
        <v>582</v>
      </c>
    </row>
    <row r="78" ht="60.0" customHeight="1">
      <c r="A78" s="56">
        <v>72.0</v>
      </c>
      <c r="B78" s="57" t="s">
        <v>583</v>
      </c>
      <c r="C78" s="57" t="s">
        <v>584</v>
      </c>
      <c r="D78" s="57" t="s">
        <v>585</v>
      </c>
      <c r="E78" s="57" t="s">
        <v>586</v>
      </c>
      <c r="F78" s="57" t="s">
        <v>587</v>
      </c>
      <c r="G78" s="57" t="s">
        <v>588</v>
      </c>
      <c r="H78" s="56" t="str">
        <f t="shared" si="1"/>
        <v>WRONG</v>
      </c>
      <c r="I78" s="56" t="s">
        <v>50</v>
      </c>
      <c r="J78" s="58" t="s">
        <v>40</v>
      </c>
      <c r="K78" s="59" t="s">
        <v>2647</v>
      </c>
      <c r="L78" s="60">
        <v>50891.0</v>
      </c>
      <c r="M78" s="56" t="s">
        <v>42</v>
      </c>
      <c r="N78" s="66" t="s">
        <v>590</v>
      </c>
    </row>
    <row r="79" ht="60.0" customHeight="1">
      <c r="A79" s="56">
        <v>73.0</v>
      </c>
      <c r="B79" s="57" t="s">
        <v>591</v>
      </c>
      <c r="C79" s="57" t="s">
        <v>592</v>
      </c>
      <c r="D79" s="57" t="s">
        <v>593</v>
      </c>
      <c r="E79" s="57" t="s">
        <v>594</v>
      </c>
      <c r="F79" s="57" t="s">
        <v>595</v>
      </c>
      <c r="G79" s="57" t="s">
        <v>596</v>
      </c>
      <c r="H79" s="56" t="str">
        <f t="shared" si="1"/>
        <v>WRONG</v>
      </c>
      <c r="I79" s="56" t="s">
        <v>77</v>
      </c>
      <c r="J79" s="58" t="s">
        <v>60</v>
      </c>
      <c r="K79" s="59" t="s">
        <v>597</v>
      </c>
      <c r="L79" s="60">
        <v>31835.0</v>
      </c>
      <c r="M79" s="56" t="s">
        <v>62</v>
      </c>
      <c r="N79" s="66"/>
    </row>
    <row r="80" ht="60.0" customHeight="1">
      <c r="A80" s="56">
        <v>74.0</v>
      </c>
      <c r="B80" s="57" t="s">
        <v>598</v>
      </c>
      <c r="C80" s="57" t="s">
        <v>599</v>
      </c>
      <c r="D80" s="57" t="s">
        <v>600</v>
      </c>
      <c r="E80" s="57" t="s">
        <v>601</v>
      </c>
      <c r="F80" s="57" t="s">
        <v>602</v>
      </c>
      <c r="G80" s="57" t="s">
        <v>603</v>
      </c>
      <c r="H80" s="56" t="str">
        <f t="shared" si="1"/>
        <v>CORRECT</v>
      </c>
      <c r="I80" s="56" t="s">
        <v>60</v>
      </c>
      <c r="J80" s="58" t="s">
        <v>60</v>
      </c>
      <c r="K80" s="59" t="s">
        <v>604</v>
      </c>
      <c r="L80" s="60">
        <v>38567.0</v>
      </c>
      <c r="M80" s="56" t="s">
        <v>42</v>
      </c>
      <c r="N80" s="66" t="s">
        <v>605</v>
      </c>
    </row>
    <row r="81" ht="60.0" customHeight="1">
      <c r="A81" s="56">
        <v>75.0</v>
      </c>
      <c r="B81" s="57" t="s">
        <v>606</v>
      </c>
      <c r="C81" s="57" t="s">
        <v>607</v>
      </c>
      <c r="D81" s="57" t="s">
        <v>608</v>
      </c>
      <c r="E81" s="57" t="s">
        <v>609</v>
      </c>
      <c r="F81" s="57" t="s">
        <v>610</v>
      </c>
      <c r="G81" s="57" t="s">
        <v>611</v>
      </c>
      <c r="H81" s="56" t="str">
        <f t="shared" si="1"/>
        <v>CORRECT</v>
      </c>
      <c r="I81" s="56" t="s">
        <v>77</v>
      </c>
      <c r="J81" s="58" t="s">
        <v>77</v>
      </c>
      <c r="K81" s="59" t="s">
        <v>612</v>
      </c>
      <c r="L81" s="60">
        <v>32591.0</v>
      </c>
      <c r="M81" s="56" t="s">
        <v>62</v>
      </c>
      <c r="N81" s="66"/>
    </row>
    <row r="82" ht="60.0" customHeight="1">
      <c r="A82" s="56">
        <v>76.0</v>
      </c>
      <c r="B82" s="57" t="s">
        <v>613</v>
      </c>
      <c r="C82" s="57" t="s">
        <v>614</v>
      </c>
      <c r="D82" s="57" t="s">
        <v>615</v>
      </c>
      <c r="E82" s="57" t="s">
        <v>616</v>
      </c>
      <c r="F82" s="57" t="s">
        <v>617</v>
      </c>
      <c r="G82" s="57" t="s">
        <v>618</v>
      </c>
      <c r="H82" s="56" t="str">
        <f t="shared" si="1"/>
        <v>WRONG</v>
      </c>
      <c r="I82" s="56" t="s">
        <v>77</v>
      </c>
      <c r="J82" s="58" t="s">
        <v>60</v>
      </c>
      <c r="K82" s="59" t="s">
        <v>2648</v>
      </c>
      <c r="L82" s="60">
        <v>39210.0</v>
      </c>
      <c r="M82" s="56" t="s">
        <v>42</v>
      </c>
      <c r="N82" s="66" t="s">
        <v>620</v>
      </c>
    </row>
    <row r="83" ht="60.0" customHeight="1">
      <c r="A83" s="56">
        <v>77.0</v>
      </c>
      <c r="B83" s="57" t="s">
        <v>621</v>
      </c>
      <c r="C83" s="57" t="s">
        <v>622</v>
      </c>
      <c r="D83" s="57" t="s">
        <v>623</v>
      </c>
      <c r="E83" s="57" t="s">
        <v>624</v>
      </c>
      <c r="F83" s="57" t="s">
        <v>625</v>
      </c>
      <c r="G83" s="57" t="s">
        <v>626</v>
      </c>
      <c r="H83" s="56" t="str">
        <f t="shared" si="1"/>
        <v>CORRECT</v>
      </c>
      <c r="I83" s="56" t="s">
        <v>40</v>
      </c>
      <c r="J83" s="58" t="s">
        <v>40</v>
      </c>
      <c r="K83" s="59" t="s">
        <v>627</v>
      </c>
      <c r="L83" s="60">
        <v>31227.0</v>
      </c>
      <c r="M83" s="56" t="s">
        <v>42</v>
      </c>
      <c r="N83" s="66" t="s">
        <v>628</v>
      </c>
    </row>
    <row r="84" ht="60.0" customHeight="1">
      <c r="A84" s="56">
        <v>78.0</v>
      </c>
      <c r="B84" s="57" t="s">
        <v>629</v>
      </c>
      <c r="C84" s="57" t="s">
        <v>630</v>
      </c>
      <c r="D84" s="57" t="s">
        <v>631</v>
      </c>
      <c r="E84" s="57" t="s">
        <v>632</v>
      </c>
      <c r="F84" s="57" t="s">
        <v>633</v>
      </c>
      <c r="G84" s="57" t="s">
        <v>634</v>
      </c>
      <c r="H84" s="56" t="str">
        <f t="shared" si="1"/>
        <v>WRONG</v>
      </c>
      <c r="I84" s="56" t="s">
        <v>40</v>
      </c>
      <c r="J84" s="58" t="s">
        <v>60</v>
      </c>
      <c r="K84" s="59" t="s">
        <v>635</v>
      </c>
      <c r="L84" s="60">
        <v>35060.0</v>
      </c>
      <c r="M84" s="56" t="s">
        <v>42</v>
      </c>
      <c r="N84" s="66" t="s">
        <v>636</v>
      </c>
    </row>
    <row r="85" ht="60.0" customHeight="1">
      <c r="A85" s="56">
        <v>79.0</v>
      </c>
      <c r="B85" s="57" t="s">
        <v>637</v>
      </c>
      <c r="C85" s="57" t="s">
        <v>638</v>
      </c>
      <c r="D85" s="57" t="s">
        <v>639</v>
      </c>
      <c r="E85" s="57" t="s">
        <v>640</v>
      </c>
      <c r="F85" s="57" t="s">
        <v>641</v>
      </c>
      <c r="G85" s="57" t="s">
        <v>642</v>
      </c>
      <c r="H85" s="56" t="str">
        <f t="shared" si="1"/>
        <v>CORRECT</v>
      </c>
      <c r="I85" s="56" t="s">
        <v>50</v>
      </c>
      <c r="J85" s="58" t="s">
        <v>50</v>
      </c>
      <c r="K85" s="59" t="s">
        <v>643</v>
      </c>
      <c r="L85" s="60">
        <v>32205.0</v>
      </c>
      <c r="M85" s="56" t="s">
        <v>42</v>
      </c>
      <c r="N85" s="66" t="s">
        <v>644</v>
      </c>
    </row>
    <row r="86" ht="60.0" customHeight="1">
      <c r="A86" s="56">
        <v>80.0</v>
      </c>
      <c r="B86" s="57" t="s">
        <v>645</v>
      </c>
      <c r="C86" s="57" t="s">
        <v>646</v>
      </c>
      <c r="D86" s="57" t="s">
        <v>647</v>
      </c>
      <c r="E86" s="57" t="s">
        <v>648</v>
      </c>
      <c r="F86" s="57" t="s">
        <v>649</v>
      </c>
      <c r="G86" s="57" t="s">
        <v>650</v>
      </c>
      <c r="H86" s="56" t="str">
        <f t="shared" si="1"/>
        <v>WRONG</v>
      </c>
      <c r="I86" s="56" t="s">
        <v>60</v>
      </c>
      <c r="J86" s="58" t="s">
        <v>50</v>
      </c>
      <c r="K86" s="59" t="s">
        <v>651</v>
      </c>
      <c r="L86" s="60">
        <v>32261.0</v>
      </c>
      <c r="M86" s="56" t="s">
        <v>42</v>
      </c>
      <c r="N86" s="66" t="s">
        <v>652</v>
      </c>
    </row>
    <row r="87" ht="60.0" customHeight="1">
      <c r="A87" s="56">
        <v>81.0</v>
      </c>
      <c r="B87" s="57" t="s">
        <v>653</v>
      </c>
      <c r="C87" s="57" t="s">
        <v>654</v>
      </c>
      <c r="D87" s="57" t="s">
        <v>655</v>
      </c>
      <c r="E87" s="57" t="s">
        <v>656</v>
      </c>
      <c r="F87" s="57" t="s">
        <v>657</v>
      </c>
      <c r="G87" s="57" t="s">
        <v>658</v>
      </c>
      <c r="H87" s="56" t="str">
        <f t="shared" si="1"/>
        <v>CORRECT</v>
      </c>
      <c r="I87" s="56" t="s">
        <v>60</v>
      </c>
      <c r="J87" s="58" t="s">
        <v>60</v>
      </c>
      <c r="K87" s="59" t="s">
        <v>659</v>
      </c>
      <c r="L87" s="60">
        <v>31021.0</v>
      </c>
      <c r="M87" s="56" t="s">
        <v>42</v>
      </c>
      <c r="N87" s="66" t="s">
        <v>660</v>
      </c>
    </row>
    <row r="88" ht="60.0" customHeight="1">
      <c r="A88" s="56">
        <v>82.0</v>
      </c>
      <c r="B88" s="57" t="s">
        <v>661</v>
      </c>
      <c r="C88" s="57" t="s">
        <v>662</v>
      </c>
      <c r="D88" s="57" t="s">
        <v>663</v>
      </c>
      <c r="E88" s="57" t="s">
        <v>664</v>
      </c>
      <c r="F88" s="57" t="s">
        <v>665</v>
      </c>
      <c r="G88" s="57" t="s">
        <v>666</v>
      </c>
      <c r="H88" s="56" t="str">
        <f t="shared" si="1"/>
        <v>CORRECT</v>
      </c>
      <c r="I88" s="56" t="s">
        <v>60</v>
      </c>
      <c r="J88" s="58" t="s">
        <v>60</v>
      </c>
      <c r="K88" s="59" t="s">
        <v>667</v>
      </c>
      <c r="L88" s="60">
        <v>26660.0</v>
      </c>
      <c r="M88" s="56" t="s">
        <v>62</v>
      </c>
      <c r="N88" s="66"/>
    </row>
    <row r="89" ht="60.0" customHeight="1">
      <c r="A89" s="56">
        <v>83.0</v>
      </c>
      <c r="B89" s="57" t="s">
        <v>668</v>
      </c>
      <c r="C89" s="57" t="s">
        <v>669</v>
      </c>
      <c r="D89" s="57" t="s">
        <v>670</v>
      </c>
      <c r="E89" s="57" t="s">
        <v>671</v>
      </c>
      <c r="F89" s="57" t="s">
        <v>672</v>
      </c>
      <c r="G89" s="57" t="s">
        <v>673</v>
      </c>
      <c r="H89" s="56" t="str">
        <f t="shared" si="1"/>
        <v>WRONG</v>
      </c>
      <c r="I89" s="56" t="s">
        <v>50</v>
      </c>
      <c r="J89" s="58" t="s">
        <v>60</v>
      </c>
      <c r="K89" s="59" t="s">
        <v>2649</v>
      </c>
      <c r="L89" s="60">
        <v>32220.0</v>
      </c>
      <c r="M89" s="56" t="s">
        <v>42</v>
      </c>
      <c r="N89" s="66" t="s">
        <v>675</v>
      </c>
    </row>
    <row r="90" ht="60.0" customHeight="1">
      <c r="A90" s="56">
        <v>84.0</v>
      </c>
      <c r="B90" s="57" t="s">
        <v>676</v>
      </c>
      <c r="C90" s="57" t="s">
        <v>677</v>
      </c>
      <c r="D90" s="57" t="s">
        <v>678</v>
      </c>
      <c r="E90" s="57" t="s">
        <v>679</v>
      </c>
      <c r="F90" s="57" t="s">
        <v>680</v>
      </c>
      <c r="G90" s="57" t="s">
        <v>681</v>
      </c>
      <c r="H90" s="56" t="str">
        <f t="shared" si="1"/>
        <v>CORRECT</v>
      </c>
      <c r="I90" s="56" t="s">
        <v>50</v>
      </c>
      <c r="J90" s="56" t="s">
        <v>50</v>
      </c>
      <c r="K90" s="65" t="s">
        <v>682</v>
      </c>
      <c r="L90" s="63">
        <v>46677.0</v>
      </c>
      <c r="M90" s="56" t="s">
        <v>42</v>
      </c>
      <c r="N90" s="66" t="s">
        <v>683</v>
      </c>
    </row>
    <row r="91" ht="60.0" customHeight="1">
      <c r="A91" s="56">
        <v>85.0</v>
      </c>
      <c r="B91" s="57" t="s">
        <v>684</v>
      </c>
      <c r="C91" s="57" t="s">
        <v>685</v>
      </c>
      <c r="D91" s="57" t="s">
        <v>686</v>
      </c>
      <c r="E91" s="57" t="s">
        <v>687</v>
      </c>
      <c r="F91" s="57" t="s">
        <v>688</v>
      </c>
      <c r="G91" s="57" t="s">
        <v>689</v>
      </c>
      <c r="H91" s="56" t="str">
        <f t="shared" si="1"/>
        <v>CORRECT</v>
      </c>
      <c r="I91" s="56" t="s">
        <v>51</v>
      </c>
      <c r="J91" s="56" t="s">
        <v>51</v>
      </c>
      <c r="K91" s="65" t="s">
        <v>690</v>
      </c>
      <c r="L91" s="63">
        <v>34058.0</v>
      </c>
      <c r="M91" s="56" t="s">
        <v>42</v>
      </c>
      <c r="N91" s="66" t="s">
        <v>691</v>
      </c>
    </row>
    <row r="92" ht="60.0" customHeight="1">
      <c r="A92" s="56">
        <v>86.0</v>
      </c>
      <c r="B92" s="57" t="s">
        <v>692</v>
      </c>
      <c r="C92" s="57" t="s">
        <v>693</v>
      </c>
      <c r="D92" s="57" t="s">
        <v>694</v>
      </c>
      <c r="E92" s="57" t="s">
        <v>695</v>
      </c>
      <c r="F92" s="57" t="s">
        <v>696</v>
      </c>
      <c r="G92" s="57" t="s">
        <v>697</v>
      </c>
      <c r="H92" s="56" t="str">
        <f t="shared" si="1"/>
        <v>CORRECT</v>
      </c>
      <c r="I92" s="56" t="s">
        <v>60</v>
      </c>
      <c r="J92" s="56" t="s">
        <v>60</v>
      </c>
      <c r="K92" s="65" t="s">
        <v>698</v>
      </c>
      <c r="L92" s="63">
        <v>29724.0</v>
      </c>
      <c r="M92" s="56" t="s">
        <v>42</v>
      </c>
      <c r="N92" s="66" t="s">
        <v>699</v>
      </c>
    </row>
    <row r="93" ht="60.0" customHeight="1">
      <c r="A93" s="56">
        <v>87.0</v>
      </c>
      <c r="B93" s="57" t="s">
        <v>700</v>
      </c>
      <c r="C93" s="57" t="s">
        <v>701</v>
      </c>
      <c r="D93" s="57" t="s">
        <v>702</v>
      </c>
      <c r="E93" s="57" t="s">
        <v>703</v>
      </c>
      <c r="F93" s="57" t="s">
        <v>704</v>
      </c>
      <c r="G93" s="57" t="s">
        <v>705</v>
      </c>
      <c r="H93" s="56" t="str">
        <f t="shared" si="1"/>
        <v>WRONG</v>
      </c>
      <c r="I93" s="56" t="s">
        <v>77</v>
      </c>
      <c r="J93" s="56" t="s">
        <v>50</v>
      </c>
      <c r="K93" s="65" t="s">
        <v>706</v>
      </c>
      <c r="L93" s="63">
        <v>35502.0</v>
      </c>
      <c r="M93" s="56" t="s">
        <v>42</v>
      </c>
      <c r="N93" s="66" t="s">
        <v>707</v>
      </c>
    </row>
    <row r="94" ht="60.0" customHeight="1">
      <c r="A94" s="56">
        <v>88.0</v>
      </c>
      <c r="B94" s="57" t="s">
        <v>708</v>
      </c>
      <c r="C94" s="57" t="s">
        <v>709</v>
      </c>
      <c r="D94" s="57" t="s">
        <v>710</v>
      </c>
      <c r="E94" s="57" t="s">
        <v>711</v>
      </c>
      <c r="F94" s="57" t="s">
        <v>712</v>
      </c>
      <c r="G94" s="57" t="s">
        <v>713</v>
      </c>
      <c r="H94" s="56" t="str">
        <f t="shared" si="1"/>
        <v>CORRECT</v>
      </c>
      <c r="I94" s="56" t="s">
        <v>60</v>
      </c>
      <c r="J94" s="56" t="s">
        <v>60</v>
      </c>
      <c r="K94" s="65" t="s">
        <v>714</v>
      </c>
      <c r="L94" s="63">
        <v>41955.0</v>
      </c>
      <c r="M94" s="56" t="s">
        <v>42</v>
      </c>
      <c r="N94" s="66" t="s">
        <v>715</v>
      </c>
    </row>
    <row r="95" ht="60.0" customHeight="1">
      <c r="A95" s="56">
        <v>89.0</v>
      </c>
      <c r="B95" s="57" t="s">
        <v>716</v>
      </c>
      <c r="C95" s="57" t="s">
        <v>717</v>
      </c>
      <c r="D95" s="57" t="s">
        <v>718</v>
      </c>
      <c r="E95" s="57" t="s">
        <v>719</v>
      </c>
      <c r="F95" s="57" t="s">
        <v>720</v>
      </c>
      <c r="G95" s="57" t="s">
        <v>721</v>
      </c>
      <c r="H95" s="56" t="str">
        <f t="shared" si="1"/>
        <v>CORRECT</v>
      </c>
      <c r="I95" s="56" t="s">
        <v>77</v>
      </c>
      <c r="J95" s="56" t="s">
        <v>77</v>
      </c>
      <c r="K95" s="65" t="s">
        <v>722</v>
      </c>
      <c r="L95" s="63">
        <v>29796.0</v>
      </c>
      <c r="M95" s="56" t="s">
        <v>62</v>
      </c>
      <c r="N95" s="66"/>
    </row>
    <row r="96" ht="60.0" customHeight="1">
      <c r="A96" s="56">
        <v>90.0</v>
      </c>
      <c r="B96" s="57" t="s">
        <v>723</v>
      </c>
      <c r="C96" s="57" t="s">
        <v>724</v>
      </c>
      <c r="D96" s="57" t="s">
        <v>725</v>
      </c>
      <c r="E96" s="57" t="s">
        <v>726</v>
      </c>
      <c r="F96" s="57" t="s">
        <v>727</v>
      </c>
      <c r="G96" s="57" t="s">
        <v>728</v>
      </c>
      <c r="H96" s="56" t="str">
        <f t="shared" si="1"/>
        <v>CORRECT</v>
      </c>
      <c r="I96" s="56" t="s">
        <v>40</v>
      </c>
      <c r="J96" s="56" t="s">
        <v>40</v>
      </c>
      <c r="K96" s="65" t="s">
        <v>729</v>
      </c>
      <c r="L96" s="63">
        <v>31661.0</v>
      </c>
      <c r="M96" s="56" t="s">
        <v>62</v>
      </c>
      <c r="N96" s="66"/>
    </row>
    <row r="97" ht="60.0" customHeight="1">
      <c r="A97" s="56">
        <v>91.0</v>
      </c>
      <c r="B97" s="57" t="s">
        <v>730</v>
      </c>
      <c r="C97" s="57" t="s">
        <v>731</v>
      </c>
      <c r="D97" s="57" t="s">
        <v>732</v>
      </c>
      <c r="E97" s="57" t="s">
        <v>733</v>
      </c>
      <c r="F97" s="57" t="s">
        <v>734</v>
      </c>
      <c r="G97" s="57" t="s">
        <v>735</v>
      </c>
      <c r="H97" s="56" t="str">
        <f t="shared" si="1"/>
        <v>WRONG</v>
      </c>
      <c r="I97" s="56" t="s">
        <v>50</v>
      </c>
      <c r="J97" s="56" t="s">
        <v>60</v>
      </c>
      <c r="K97" s="65" t="s">
        <v>736</v>
      </c>
      <c r="L97" s="63">
        <v>39456.0</v>
      </c>
      <c r="M97" s="56" t="s">
        <v>42</v>
      </c>
      <c r="N97" s="66" t="s">
        <v>737</v>
      </c>
    </row>
    <row r="98" ht="60.0" customHeight="1">
      <c r="A98" s="56">
        <v>92.0</v>
      </c>
      <c r="B98" s="57" t="s">
        <v>738</v>
      </c>
      <c r="C98" s="57" t="s">
        <v>739</v>
      </c>
      <c r="D98" s="57" t="s">
        <v>740</v>
      </c>
      <c r="E98" s="57" t="s">
        <v>741</v>
      </c>
      <c r="F98" s="57" t="s">
        <v>742</v>
      </c>
      <c r="G98" s="57" t="s">
        <v>743</v>
      </c>
      <c r="H98" s="56" t="str">
        <f t="shared" si="1"/>
        <v>WRONG</v>
      </c>
      <c r="I98" s="56" t="s">
        <v>60</v>
      </c>
      <c r="J98" s="56" t="s">
        <v>50</v>
      </c>
      <c r="K98" s="65" t="s">
        <v>744</v>
      </c>
      <c r="L98" s="63">
        <v>62149.0</v>
      </c>
      <c r="M98" s="56" t="s">
        <v>42</v>
      </c>
      <c r="N98" s="66" t="s">
        <v>745</v>
      </c>
    </row>
    <row r="99" ht="60.0" customHeight="1">
      <c r="A99" s="56">
        <v>93.0</v>
      </c>
      <c r="B99" s="57" t="s">
        <v>746</v>
      </c>
      <c r="C99" s="57" t="s">
        <v>747</v>
      </c>
      <c r="D99" s="57" t="s">
        <v>748</v>
      </c>
      <c r="E99" s="57" t="s">
        <v>749</v>
      </c>
      <c r="F99" s="57" t="s">
        <v>750</v>
      </c>
      <c r="G99" s="57" t="s">
        <v>751</v>
      </c>
      <c r="H99" s="56" t="str">
        <f t="shared" si="1"/>
        <v>CORRECT</v>
      </c>
      <c r="I99" s="56" t="s">
        <v>50</v>
      </c>
      <c r="J99" s="56" t="s">
        <v>50</v>
      </c>
      <c r="K99" s="65" t="s">
        <v>752</v>
      </c>
      <c r="L99" s="63">
        <v>43323.0</v>
      </c>
      <c r="M99" s="56" t="s">
        <v>62</v>
      </c>
      <c r="N99" s="66"/>
    </row>
    <row r="100" ht="60.0" customHeight="1">
      <c r="A100" s="56">
        <v>94.0</v>
      </c>
      <c r="B100" s="57" t="s">
        <v>753</v>
      </c>
      <c r="C100" s="57" t="s">
        <v>754</v>
      </c>
      <c r="D100" s="57" t="s">
        <v>755</v>
      </c>
      <c r="E100" s="57" t="s">
        <v>756</v>
      </c>
      <c r="F100" s="57" t="s">
        <v>757</v>
      </c>
      <c r="G100" s="57" t="s">
        <v>758</v>
      </c>
      <c r="H100" s="56" t="str">
        <f t="shared" si="1"/>
        <v>CORRECT</v>
      </c>
      <c r="I100" s="56" t="s">
        <v>60</v>
      </c>
      <c r="J100" s="56" t="s">
        <v>60</v>
      </c>
      <c r="K100" s="65" t="s">
        <v>759</v>
      </c>
      <c r="L100" s="63">
        <v>35123.0</v>
      </c>
      <c r="M100" s="56" t="s">
        <v>42</v>
      </c>
      <c r="N100" s="66" t="s">
        <v>760</v>
      </c>
    </row>
    <row r="101" ht="60.0" customHeight="1">
      <c r="A101" s="56">
        <v>95.0</v>
      </c>
      <c r="B101" s="57" t="s">
        <v>761</v>
      </c>
      <c r="C101" s="57" t="s">
        <v>762</v>
      </c>
      <c r="D101" s="57" t="s">
        <v>763</v>
      </c>
      <c r="E101" s="57" t="s">
        <v>764</v>
      </c>
      <c r="F101" s="57" t="s">
        <v>765</v>
      </c>
      <c r="G101" s="57" t="s">
        <v>766</v>
      </c>
      <c r="H101" s="56" t="str">
        <f t="shared" si="1"/>
        <v>CORRECT</v>
      </c>
      <c r="I101" s="56" t="s">
        <v>77</v>
      </c>
      <c r="J101" s="56" t="s">
        <v>77</v>
      </c>
      <c r="K101" s="65" t="s">
        <v>767</v>
      </c>
      <c r="L101" s="63">
        <v>38702.0</v>
      </c>
      <c r="M101" s="56" t="s">
        <v>42</v>
      </c>
      <c r="N101" s="66" t="s">
        <v>768</v>
      </c>
    </row>
    <row r="102" ht="60.0" customHeight="1">
      <c r="A102" s="56">
        <v>96.0</v>
      </c>
      <c r="B102" s="57" t="s">
        <v>769</v>
      </c>
      <c r="C102" s="57" t="s">
        <v>770</v>
      </c>
      <c r="D102" s="57" t="s">
        <v>771</v>
      </c>
      <c r="E102" s="57" t="s">
        <v>772</v>
      </c>
      <c r="F102" s="57" t="s">
        <v>773</v>
      </c>
      <c r="G102" s="57" t="s">
        <v>774</v>
      </c>
      <c r="H102" s="56" t="str">
        <f t="shared" si="1"/>
        <v>WRONG</v>
      </c>
      <c r="I102" s="56" t="s">
        <v>51</v>
      </c>
      <c r="J102" s="56" t="s">
        <v>40</v>
      </c>
      <c r="K102" s="65" t="s">
        <v>775</v>
      </c>
      <c r="L102" s="63">
        <v>29354.0</v>
      </c>
      <c r="M102" s="56" t="s">
        <v>42</v>
      </c>
      <c r="N102" s="66" t="s">
        <v>776</v>
      </c>
    </row>
    <row r="103" ht="60.0" customHeight="1">
      <c r="A103" s="56">
        <v>97.0</v>
      </c>
      <c r="B103" s="57" t="s">
        <v>777</v>
      </c>
      <c r="C103" s="57" t="s">
        <v>778</v>
      </c>
      <c r="D103" s="57" t="s">
        <v>779</v>
      </c>
      <c r="E103" s="57" t="s">
        <v>780</v>
      </c>
      <c r="F103" s="57" t="s">
        <v>781</v>
      </c>
      <c r="G103" s="57" t="s">
        <v>782</v>
      </c>
      <c r="H103" s="56" t="str">
        <f t="shared" si="1"/>
        <v>CORRECT</v>
      </c>
      <c r="I103" s="56" t="s">
        <v>50</v>
      </c>
      <c r="J103" s="56" t="s">
        <v>50</v>
      </c>
      <c r="K103" s="65" t="s">
        <v>783</v>
      </c>
      <c r="L103" s="63">
        <v>45966.0</v>
      </c>
      <c r="M103" s="56" t="s">
        <v>62</v>
      </c>
      <c r="N103" s="66"/>
    </row>
    <row r="104" ht="60.0" customHeight="1">
      <c r="A104" s="56">
        <v>98.0</v>
      </c>
      <c r="B104" s="57" t="s">
        <v>784</v>
      </c>
      <c r="C104" s="57" t="s">
        <v>785</v>
      </c>
      <c r="D104" s="57" t="s">
        <v>786</v>
      </c>
      <c r="E104" s="57" t="s">
        <v>787</v>
      </c>
      <c r="F104" s="57" t="s">
        <v>788</v>
      </c>
      <c r="G104" s="57" t="s">
        <v>789</v>
      </c>
      <c r="H104" s="56" t="str">
        <f t="shared" si="1"/>
        <v>CORRECT</v>
      </c>
      <c r="I104" s="56" t="s">
        <v>77</v>
      </c>
      <c r="J104" s="56" t="s">
        <v>77</v>
      </c>
      <c r="K104" s="65" t="s">
        <v>790</v>
      </c>
      <c r="L104" s="63">
        <v>31523.0</v>
      </c>
      <c r="M104" s="56" t="s">
        <v>42</v>
      </c>
      <c r="N104" s="66" t="s">
        <v>791</v>
      </c>
    </row>
    <row r="105" ht="60.0" customHeight="1">
      <c r="A105" s="56">
        <v>99.0</v>
      </c>
      <c r="B105" s="57" t="s">
        <v>792</v>
      </c>
      <c r="C105" s="57" t="s">
        <v>793</v>
      </c>
      <c r="D105" s="57" t="s">
        <v>794</v>
      </c>
      <c r="E105" s="57" t="s">
        <v>795</v>
      </c>
      <c r="F105" s="57" t="s">
        <v>796</v>
      </c>
      <c r="G105" s="57" t="s">
        <v>797</v>
      </c>
      <c r="H105" s="56" t="str">
        <f t="shared" si="1"/>
        <v>CORRECT</v>
      </c>
      <c r="I105" s="56" t="s">
        <v>77</v>
      </c>
      <c r="J105" s="56" t="s">
        <v>77</v>
      </c>
      <c r="K105" s="65" t="s">
        <v>798</v>
      </c>
      <c r="L105" s="63">
        <v>34488.0</v>
      </c>
      <c r="M105" s="56" t="s">
        <v>42</v>
      </c>
      <c r="N105" s="66" t="s">
        <v>799</v>
      </c>
    </row>
    <row r="106" ht="60.0" customHeight="1">
      <c r="A106" s="56">
        <v>100.0</v>
      </c>
      <c r="B106" s="57" t="s">
        <v>800</v>
      </c>
      <c r="C106" s="57" t="s">
        <v>801</v>
      </c>
      <c r="D106" s="57" t="s">
        <v>802</v>
      </c>
      <c r="E106" s="57" t="s">
        <v>803</v>
      </c>
      <c r="F106" s="57" t="s">
        <v>804</v>
      </c>
      <c r="G106" s="57" t="s">
        <v>805</v>
      </c>
      <c r="H106" s="56" t="str">
        <f t="shared" si="1"/>
        <v>WRONG</v>
      </c>
      <c r="I106" s="56" t="s">
        <v>77</v>
      </c>
      <c r="J106" s="56" t="s">
        <v>60</v>
      </c>
      <c r="K106" s="65" t="s">
        <v>806</v>
      </c>
      <c r="L106" s="63">
        <v>51960.0</v>
      </c>
      <c r="M106" s="56" t="s">
        <v>42</v>
      </c>
      <c r="N106" s="66" t="s">
        <v>807</v>
      </c>
    </row>
    <row r="107" ht="60.0" customHeight="1">
      <c r="A107" s="56">
        <v>101.0</v>
      </c>
      <c r="B107" s="57" t="s">
        <v>808</v>
      </c>
      <c r="C107" s="57" t="s">
        <v>809</v>
      </c>
      <c r="D107" s="57" t="s">
        <v>810</v>
      </c>
      <c r="E107" s="57" t="s">
        <v>811</v>
      </c>
      <c r="F107" s="57" t="s">
        <v>812</v>
      </c>
      <c r="G107" s="57" t="s">
        <v>813</v>
      </c>
      <c r="H107" s="56" t="str">
        <f t="shared" si="1"/>
        <v>CORRECT</v>
      </c>
      <c r="I107" s="56" t="s">
        <v>50</v>
      </c>
      <c r="J107" s="56" t="s">
        <v>50</v>
      </c>
      <c r="K107" s="65" t="s">
        <v>814</v>
      </c>
      <c r="L107" s="63">
        <v>33944.0</v>
      </c>
      <c r="M107" s="56" t="s">
        <v>62</v>
      </c>
      <c r="N107" s="66"/>
    </row>
    <row r="108" ht="60.0" customHeight="1">
      <c r="A108" s="56">
        <v>102.0</v>
      </c>
      <c r="B108" s="57" t="s">
        <v>815</v>
      </c>
      <c r="C108" s="57" t="s">
        <v>816</v>
      </c>
      <c r="D108" s="57" t="s">
        <v>817</v>
      </c>
      <c r="E108" s="57" t="s">
        <v>818</v>
      </c>
      <c r="F108" s="57" t="s">
        <v>819</v>
      </c>
      <c r="G108" s="57" t="s">
        <v>820</v>
      </c>
      <c r="H108" s="56" t="str">
        <f t="shared" si="1"/>
        <v>WRONG</v>
      </c>
      <c r="I108" s="56" t="s">
        <v>40</v>
      </c>
      <c r="J108" s="56" t="s">
        <v>50</v>
      </c>
      <c r="K108" s="65" t="s">
        <v>821</v>
      </c>
      <c r="L108" s="63">
        <v>28541.0</v>
      </c>
      <c r="M108" s="56" t="s">
        <v>42</v>
      </c>
      <c r="N108" s="66" t="s">
        <v>822</v>
      </c>
    </row>
    <row r="109" ht="60.0" customHeight="1">
      <c r="A109" s="56">
        <v>103.0</v>
      </c>
      <c r="B109" s="57" t="s">
        <v>823</v>
      </c>
      <c r="C109" s="57" t="s">
        <v>824</v>
      </c>
      <c r="D109" s="57" t="s">
        <v>825</v>
      </c>
      <c r="E109" s="57" t="s">
        <v>826</v>
      </c>
      <c r="F109" s="57" t="s">
        <v>827</v>
      </c>
      <c r="G109" s="57" t="s">
        <v>828</v>
      </c>
      <c r="H109" s="56" t="str">
        <f t="shared" si="1"/>
        <v>WRONG</v>
      </c>
      <c r="I109" s="56" t="s">
        <v>77</v>
      </c>
      <c r="J109" s="56" t="s">
        <v>60</v>
      </c>
      <c r="K109" s="65" t="s">
        <v>829</v>
      </c>
      <c r="L109" s="63">
        <v>30369.0</v>
      </c>
      <c r="M109" s="56" t="s">
        <v>42</v>
      </c>
      <c r="N109" s="66" t="s">
        <v>830</v>
      </c>
    </row>
    <row r="110" ht="60.0" customHeight="1">
      <c r="A110" s="56">
        <v>104.0</v>
      </c>
      <c r="B110" s="57" t="s">
        <v>831</v>
      </c>
      <c r="C110" s="57" t="s">
        <v>832</v>
      </c>
      <c r="D110" s="57" t="s">
        <v>833</v>
      </c>
      <c r="E110" s="57" t="s">
        <v>834</v>
      </c>
      <c r="F110" s="57" t="s">
        <v>835</v>
      </c>
      <c r="G110" s="57" t="s">
        <v>836</v>
      </c>
      <c r="H110" s="56" t="str">
        <f t="shared" si="1"/>
        <v>WRONG</v>
      </c>
      <c r="I110" s="56" t="s">
        <v>50</v>
      </c>
      <c r="J110" s="56" t="s">
        <v>60</v>
      </c>
      <c r="K110" s="65" t="s">
        <v>837</v>
      </c>
      <c r="L110" s="63">
        <v>42706.0</v>
      </c>
      <c r="M110" s="56" t="s">
        <v>42</v>
      </c>
      <c r="N110" s="66" t="s">
        <v>838</v>
      </c>
    </row>
    <row r="111" ht="60.0" customHeight="1">
      <c r="A111" s="56">
        <v>105.0</v>
      </c>
      <c r="B111" s="57" t="s">
        <v>839</v>
      </c>
      <c r="C111" s="57" t="s">
        <v>840</v>
      </c>
      <c r="D111" s="57" t="s">
        <v>841</v>
      </c>
      <c r="E111" s="57" t="s">
        <v>842</v>
      </c>
      <c r="F111" s="57" t="s">
        <v>843</v>
      </c>
      <c r="G111" s="57" t="s">
        <v>844</v>
      </c>
      <c r="H111" s="56" t="str">
        <f t="shared" si="1"/>
        <v>WRONG</v>
      </c>
      <c r="I111" s="56" t="s">
        <v>77</v>
      </c>
      <c r="J111" s="56" t="s">
        <v>60</v>
      </c>
      <c r="K111" s="65" t="s">
        <v>845</v>
      </c>
      <c r="L111" s="63">
        <v>33297.0</v>
      </c>
      <c r="M111" s="56" t="s">
        <v>42</v>
      </c>
      <c r="N111" s="66" t="s">
        <v>846</v>
      </c>
    </row>
    <row r="112" ht="60.0" customHeight="1">
      <c r="A112" s="56">
        <v>106.0</v>
      </c>
      <c r="B112" s="57" t="s">
        <v>847</v>
      </c>
      <c r="C112" s="57" t="s">
        <v>848</v>
      </c>
      <c r="D112" s="57" t="s">
        <v>849</v>
      </c>
      <c r="E112" s="57" t="s">
        <v>850</v>
      </c>
      <c r="F112" s="57" t="s">
        <v>851</v>
      </c>
      <c r="G112" s="57" t="s">
        <v>852</v>
      </c>
      <c r="H112" s="56" t="str">
        <f t="shared" si="1"/>
        <v>WRONG</v>
      </c>
      <c r="I112" s="56" t="s">
        <v>77</v>
      </c>
      <c r="J112" s="56" t="s">
        <v>50</v>
      </c>
      <c r="K112" s="65" t="s">
        <v>853</v>
      </c>
      <c r="L112" s="63">
        <v>39464.0</v>
      </c>
      <c r="M112" s="56" t="s">
        <v>62</v>
      </c>
      <c r="N112" s="66"/>
    </row>
    <row r="113" ht="60.0" customHeight="1">
      <c r="A113" s="56">
        <v>107.0</v>
      </c>
      <c r="B113" s="57" t="s">
        <v>854</v>
      </c>
      <c r="C113" s="57" t="s">
        <v>855</v>
      </c>
      <c r="D113" s="57" t="s">
        <v>856</v>
      </c>
      <c r="E113" s="57" t="s">
        <v>857</v>
      </c>
      <c r="F113" s="57" t="s">
        <v>858</v>
      </c>
      <c r="G113" s="57" t="s">
        <v>859</v>
      </c>
      <c r="H113" s="56" t="str">
        <f t="shared" si="1"/>
        <v>CORRECT</v>
      </c>
      <c r="I113" s="56" t="s">
        <v>50</v>
      </c>
      <c r="J113" s="56" t="s">
        <v>50</v>
      </c>
      <c r="K113" s="65" t="s">
        <v>860</v>
      </c>
      <c r="L113" s="63">
        <v>36457.0</v>
      </c>
      <c r="M113" s="56" t="s">
        <v>62</v>
      </c>
      <c r="N113" s="67"/>
    </row>
    <row r="114" ht="60.0" customHeight="1">
      <c r="A114" s="56">
        <v>108.0</v>
      </c>
      <c r="B114" s="57" t="s">
        <v>861</v>
      </c>
      <c r="C114" s="57" t="s">
        <v>862</v>
      </c>
      <c r="D114" s="57" t="s">
        <v>863</v>
      </c>
      <c r="E114" s="57" t="s">
        <v>864</v>
      </c>
      <c r="F114" s="57" t="s">
        <v>865</v>
      </c>
      <c r="G114" s="57" t="s">
        <v>866</v>
      </c>
      <c r="H114" s="56" t="str">
        <f t="shared" si="1"/>
        <v>WRONG</v>
      </c>
      <c r="I114" s="56" t="s">
        <v>50</v>
      </c>
      <c r="J114" s="56" t="s">
        <v>60</v>
      </c>
      <c r="K114" s="65" t="s">
        <v>867</v>
      </c>
      <c r="L114" s="63">
        <v>36045.0</v>
      </c>
      <c r="M114" s="56" t="s">
        <v>62</v>
      </c>
      <c r="N114" s="67"/>
    </row>
    <row r="115" ht="60.0" customHeight="1">
      <c r="A115" s="56">
        <v>109.0</v>
      </c>
      <c r="B115" s="57" t="s">
        <v>868</v>
      </c>
      <c r="C115" s="57" t="s">
        <v>869</v>
      </c>
      <c r="D115" s="57" t="s">
        <v>870</v>
      </c>
      <c r="E115" s="57" t="s">
        <v>871</v>
      </c>
      <c r="F115" s="57" t="s">
        <v>872</v>
      </c>
      <c r="G115" s="57" t="s">
        <v>873</v>
      </c>
      <c r="H115" s="56" t="str">
        <f t="shared" si="1"/>
        <v>WRONG</v>
      </c>
      <c r="I115" s="56" t="s">
        <v>51</v>
      </c>
      <c r="J115" s="56" t="s">
        <v>50</v>
      </c>
      <c r="K115" s="65" t="s">
        <v>874</v>
      </c>
      <c r="L115" s="63">
        <v>47451.0</v>
      </c>
      <c r="M115" s="56" t="s">
        <v>62</v>
      </c>
      <c r="N115" s="66"/>
    </row>
    <row r="116" ht="60.0" customHeight="1">
      <c r="A116" s="56">
        <v>110.0</v>
      </c>
      <c r="B116" s="57" t="s">
        <v>875</v>
      </c>
      <c r="C116" s="57" t="s">
        <v>876</v>
      </c>
      <c r="D116" s="57" t="s">
        <v>877</v>
      </c>
      <c r="E116" s="57" t="s">
        <v>878</v>
      </c>
      <c r="F116" s="57" t="s">
        <v>879</v>
      </c>
      <c r="G116" s="57" t="s">
        <v>880</v>
      </c>
      <c r="H116" s="56" t="str">
        <f t="shared" si="1"/>
        <v>WRONG</v>
      </c>
      <c r="I116" s="56" t="s">
        <v>50</v>
      </c>
      <c r="J116" s="56" t="s">
        <v>51</v>
      </c>
      <c r="K116" s="65" t="s">
        <v>881</v>
      </c>
      <c r="L116" s="63">
        <v>28980.0</v>
      </c>
      <c r="M116" s="56" t="s">
        <v>62</v>
      </c>
      <c r="N116" s="66"/>
    </row>
    <row r="117" ht="60.0" customHeight="1">
      <c r="A117" s="56">
        <v>111.0</v>
      </c>
      <c r="B117" s="57" t="s">
        <v>882</v>
      </c>
      <c r="C117" s="57" t="s">
        <v>883</v>
      </c>
      <c r="D117" s="57" t="s">
        <v>884</v>
      </c>
      <c r="E117" s="57" t="s">
        <v>885</v>
      </c>
      <c r="F117" s="57" t="s">
        <v>886</v>
      </c>
      <c r="G117" s="57" t="s">
        <v>887</v>
      </c>
      <c r="H117" s="56" t="str">
        <f t="shared" si="1"/>
        <v>WRONG</v>
      </c>
      <c r="I117" s="56" t="s">
        <v>40</v>
      </c>
      <c r="J117" s="56" t="s">
        <v>51</v>
      </c>
      <c r="K117" s="65" t="s">
        <v>888</v>
      </c>
      <c r="L117" s="63">
        <v>40926.0</v>
      </c>
      <c r="M117" s="56" t="s">
        <v>62</v>
      </c>
      <c r="N117" s="66"/>
    </row>
    <row r="118" ht="60.0" customHeight="1">
      <c r="A118" s="56">
        <v>112.0</v>
      </c>
      <c r="B118" s="57" t="s">
        <v>889</v>
      </c>
      <c r="C118" s="57" t="s">
        <v>890</v>
      </c>
      <c r="D118" s="57" t="s">
        <v>891</v>
      </c>
      <c r="E118" s="57" t="s">
        <v>892</v>
      </c>
      <c r="F118" s="57" t="s">
        <v>893</v>
      </c>
      <c r="G118" s="57" t="s">
        <v>894</v>
      </c>
      <c r="H118" s="56" t="str">
        <f t="shared" si="1"/>
        <v>CORRECT</v>
      </c>
      <c r="I118" s="56" t="s">
        <v>51</v>
      </c>
      <c r="J118" s="56" t="s">
        <v>51</v>
      </c>
      <c r="K118" s="65" t="s">
        <v>895</v>
      </c>
      <c r="L118" s="63">
        <v>35897.0</v>
      </c>
      <c r="M118" s="56" t="s">
        <v>62</v>
      </c>
      <c r="N118" s="66"/>
    </row>
    <row r="119" ht="60.0" customHeight="1">
      <c r="A119" s="56">
        <v>113.0</v>
      </c>
      <c r="B119" s="57" t="s">
        <v>896</v>
      </c>
      <c r="C119" s="57" t="s">
        <v>897</v>
      </c>
      <c r="D119" s="57" t="s">
        <v>898</v>
      </c>
      <c r="E119" s="57" t="s">
        <v>899</v>
      </c>
      <c r="F119" s="57" t="s">
        <v>900</v>
      </c>
      <c r="G119" s="57" t="s">
        <v>901</v>
      </c>
      <c r="H119" s="56" t="str">
        <f t="shared" si="1"/>
        <v>WRONG</v>
      </c>
      <c r="I119" s="56" t="s">
        <v>77</v>
      </c>
      <c r="J119" s="56" t="s">
        <v>60</v>
      </c>
      <c r="K119" s="65" t="s">
        <v>902</v>
      </c>
      <c r="L119" s="63">
        <v>32023.0</v>
      </c>
      <c r="M119" s="56" t="s">
        <v>62</v>
      </c>
      <c r="N119" s="66"/>
    </row>
    <row r="120" ht="60.0" customHeight="1">
      <c r="A120" s="56">
        <v>114.0</v>
      </c>
      <c r="B120" s="57" t="s">
        <v>903</v>
      </c>
      <c r="C120" s="57" t="s">
        <v>904</v>
      </c>
      <c r="D120" s="57" t="s">
        <v>905</v>
      </c>
      <c r="E120" s="57" t="s">
        <v>906</v>
      </c>
      <c r="F120" s="57" t="s">
        <v>907</v>
      </c>
      <c r="G120" s="57" t="s">
        <v>908</v>
      </c>
      <c r="H120" s="56" t="str">
        <f t="shared" si="1"/>
        <v>WRONG</v>
      </c>
      <c r="I120" s="56" t="s">
        <v>60</v>
      </c>
      <c r="J120" s="56" t="s">
        <v>40</v>
      </c>
      <c r="K120" s="65" t="s">
        <v>909</v>
      </c>
      <c r="L120" s="63">
        <v>30095.0</v>
      </c>
      <c r="M120" s="56" t="s">
        <v>42</v>
      </c>
      <c r="N120" s="66" t="s">
        <v>910</v>
      </c>
    </row>
    <row r="121" ht="60.0" customHeight="1">
      <c r="A121" s="56">
        <v>115.0</v>
      </c>
      <c r="B121" s="57" t="s">
        <v>911</v>
      </c>
      <c r="C121" s="57" t="s">
        <v>912</v>
      </c>
      <c r="D121" s="57" t="s">
        <v>913</v>
      </c>
      <c r="E121" s="57" t="s">
        <v>914</v>
      </c>
      <c r="F121" s="57" t="s">
        <v>915</v>
      </c>
      <c r="G121" s="57" t="s">
        <v>916</v>
      </c>
      <c r="H121" s="56" t="str">
        <f t="shared" si="1"/>
        <v>CORRECT</v>
      </c>
      <c r="I121" s="56" t="s">
        <v>77</v>
      </c>
      <c r="J121" s="56" t="s">
        <v>77</v>
      </c>
      <c r="K121" s="65" t="s">
        <v>917</v>
      </c>
      <c r="L121" s="63">
        <v>35630.0</v>
      </c>
      <c r="M121" s="56" t="s">
        <v>62</v>
      </c>
      <c r="N121" s="66"/>
    </row>
    <row r="122" ht="60.0" customHeight="1">
      <c r="A122" s="56">
        <v>116.0</v>
      </c>
      <c r="B122" s="57" t="s">
        <v>918</v>
      </c>
      <c r="C122" s="57" t="s">
        <v>919</v>
      </c>
      <c r="D122" s="57" t="s">
        <v>920</v>
      </c>
      <c r="E122" s="57" t="s">
        <v>921</v>
      </c>
      <c r="F122" s="57" t="s">
        <v>922</v>
      </c>
      <c r="G122" s="57" t="s">
        <v>923</v>
      </c>
      <c r="H122" s="56" t="str">
        <f t="shared" si="1"/>
        <v>CORRECT</v>
      </c>
      <c r="I122" s="56" t="s">
        <v>51</v>
      </c>
      <c r="J122" s="56" t="s">
        <v>51</v>
      </c>
      <c r="K122" s="65" t="s">
        <v>924</v>
      </c>
      <c r="L122" s="63">
        <v>51849.0</v>
      </c>
      <c r="M122" s="56" t="s">
        <v>42</v>
      </c>
      <c r="N122" s="66" t="s">
        <v>925</v>
      </c>
    </row>
    <row r="123" ht="60.0" customHeight="1">
      <c r="A123" s="56">
        <v>117.0</v>
      </c>
      <c r="B123" s="57" t="s">
        <v>926</v>
      </c>
      <c r="C123" s="57" t="s">
        <v>927</v>
      </c>
      <c r="D123" s="57" t="s">
        <v>928</v>
      </c>
      <c r="E123" s="57" t="s">
        <v>929</v>
      </c>
      <c r="F123" s="57" t="s">
        <v>930</v>
      </c>
      <c r="G123" s="57" t="s">
        <v>931</v>
      </c>
      <c r="H123" s="56" t="str">
        <f t="shared" si="1"/>
        <v>CORRECT</v>
      </c>
      <c r="I123" s="56" t="s">
        <v>51</v>
      </c>
      <c r="J123" s="56" t="s">
        <v>51</v>
      </c>
      <c r="K123" s="65" t="s">
        <v>2650</v>
      </c>
      <c r="L123" s="63">
        <v>35552.0</v>
      </c>
      <c r="M123" s="56" t="s">
        <v>42</v>
      </c>
      <c r="N123" s="66" t="s">
        <v>933</v>
      </c>
    </row>
    <row r="124" ht="60.0" customHeight="1">
      <c r="A124" s="56">
        <v>118.0</v>
      </c>
      <c r="B124" s="57" t="s">
        <v>934</v>
      </c>
      <c r="C124" s="57" t="s">
        <v>935</v>
      </c>
      <c r="D124" s="57" t="s">
        <v>936</v>
      </c>
      <c r="E124" s="57" t="s">
        <v>937</v>
      </c>
      <c r="F124" s="57" t="s">
        <v>938</v>
      </c>
      <c r="G124" s="57" t="s">
        <v>939</v>
      </c>
      <c r="H124" s="56" t="str">
        <f t="shared" si="1"/>
        <v>CORRECT</v>
      </c>
      <c r="I124" s="56" t="s">
        <v>40</v>
      </c>
      <c r="J124" s="56" t="s">
        <v>40</v>
      </c>
      <c r="K124" s="65" t="s">
        <v>940</v>
      </c>
      <c r="L124" s="63">
        <v>33896.0</v>
      </c>
      <c r="M124" s="56" t="s">
        <v>42</v>
      </c>
      <c r="N124" s="66" t="s">
        <v>941</v>
      </c>
    </row>
    <row r="125" ht="60.0" customHeight="1">
      <c r="A125" s="56">
        <v>119.0</v>
      </c>
      <c r="B125" s="57" t="s">
        <v>942</v>
      </c>
      <c r="C125" s="57" t="s">
        <v>943</v>
      </c>
      <c r="D125" s="57" t="s">
        <v>944</v>
      </c>
      <c r="E125" s="57" t="s">
        <v>945</v>
      </c>
      <c r="F125" s="57" t="s">
        <v>946</v>
      </c>
      <c r="G125" s="57" t="s">
        <v>947</v>
      </c>
      <c r="H125" s="56" t="str">
        <f t="shared" si="1"/>
        <v>CORRECT</v>
      </c>
      <c r="I125" s="56" t="s">
        <v>40</v>
      </c>
      <c r="J125" s="56" t="s">
        <v>40</v>
      </c>
      <c r="K125" s="65" t="s">
        <v>948</v>
      </c>
      <c r="L125" s="63">
        <v>38945.0</v>
      </c>
      <c r="M125" s="56" t="s">
        <v>62</v>
      </c>
      <c r="N125" s="66"/>
    </row>
    <row r="126" ht="60.0" customHeight="1">
      <c r="A126" s="56">
        <v>120.0</v>
      </c>
      <c r="B126" s="57" t="s">
        <v>949</v>
      </c>
      <c r="C126" s="57" t="s">
        <v>950</v>
      </c>
      <c r="D126" s="57" t="s">
        <v>951</v>
      </c>
      <c r="E126" s="57" t="s">
        <v>952</v>
      </c>
      <c r="F126" s="57" t="s">
        <v>953</v>
      </c>
      <c r="G126" s="57" t="s">
        <v>954</v>
      </c>
      <c r="H126" s="56" t="str">
        <f t="shared" si="1"/>
        <v>CORRECT</v>
      </c>
      <c r="I126" s="56" t="s">
        <v>51</v>
      </c>
      <c r="J126" s="56" t="s">
        <v>51</v>
      </c>
      <c r="K126" s="65" t="s">
        <v>955</v>
      </c>
      <c r="L126" s="63">
        <v>48194.0</v>
      </c>
      <c r="M126" s="56" t="s">
        <v>62</v>
      </c>
      <c r="N126" s="66"/>
    </row>
    <row r="127" ht="60.0" customHeight="1">
      <c r="A127" s="56">
        <v>121.0</v>
      </c>
      <c r="B127" s="57" t="s">
        <v>956</v>
      </c>
      <c r="C127" s="57" t="s">
        <v>957</v>
      </c>
      <c r="D127" s="57" t="s">
        <v>958</v>
      </c>
      <c r="E127" s="57" t="s">
        <v>959</v>
      </c>
      <c r="F127" s="57" t="s">
        <v>960</v>
      </c>
      <c r="G127" s="57" t="s">
        <v>961</v>
      </c>
      <c r="H127" s="56" t="str">
        <f t="shared" si="1"/>
        <v>CORRECT</v>
      </c>
      <c r="I127" s="56" t="s">
        <v>77</v>
      </c>
      <c r="J127" s="56" t="s">
        <v>77</v>
      </c>
      <c r="K127" s="65" t="s">
        <v>962</v>
      </c>
      <c r="L127" s="63">
        <v>35742.0</v>
      </c>
      <c r="M127" s="56" t="s">
        <v>62</v>
      </c>
      <c r="N127" s="66"/>
    </row>
    <row r="128" ht="60.0" customHeight="1">
      <c r="A128" s="56">
        <v>122.0</v>
      </c>
      <c r="B128" s="57" t="s">
        <v>963</v>
      </c>
      <c r="C128" s="57" t="s">
        <v>964</v>
      </c>
      <c r="D128" s="57" t="s">
        <v>965</v>
      </c>
      <c r="E128" s="57" t="s">
        <v>966</v>
      </c>
      <c r="F128" s="57" t="s">
        <v>967</v>
      </c>
      <c r="G128" s="57" t="s">
        <v>968</v>
      </c>
      <c r="H128" s="56" t="str">
        <f t="shared" si="1"/>
        <v>CORRECT</v>
      </c>
      <c r="I128" s="56" t="s">
        <v>60</v>
      </c>
      <c r="J128" s="56" t="s">
        <v>60</v>
      </c>
      <c r="K128" s="65" t="s">
        <v>969</v>
      </c>
      <c r="L128" s="63">
        <v>29051.0</v>
      </c>
      <c r="M128" s="56" t="s">
        <v>42</v>
      </c>
      <c r="N128" s="66" t="s">
        <v>970</v>
      </c>
    </row>
    <row r="129" ht="60.0" customHeight="1">
      <c r="A129" s="56">
        <v>123.0</v>
      </c>
      <c r="B129" s="57" t="s">
        <v>971</v>
      </c>
      <c r="C129" s="57" t="s">
        <v>972</v>
      </c>
      <c r="D129" s="57" t="s">
        <v>973</v>
      </c>
      <c r="E129" s="57" t="s">
        <v>974</v>
      </c>
      <c r="F129" s="57" t="s">
        <v>975</v>
      </c>
      <c r="G129" s="57" t="s">
        <v>976</v>
      </c>
      <c r="H129" s="56" t="str">
        <f t="shared" si="1"/>
        <v>WRONG</v>
      </c>
      <c r="I129" s="56" t="s">
        <v>77</v>
      </c>
      <c r="J129" s="56" t="s">
        <v>60</v>
      </c>
      <c r="K129" s="65" t="s">
        <v>2651</v>
      </c>
      <c r="L129" s="63">
        <v>29606.0</v>
      </c>
      <c r="M129" s="56" t="s">
        <v>42</v>
      </c>
      <c r="N129" s="66" t="s">
        <v>978</v>
      </c>
    </row>
    <row r="130" ht="60.0" customHeight="1">
      <c r="A130" s="56">
        <v>124.0</v>
      </c>
      <c r="B130" s="57" t="s">
        <v>979</v>
      </c>
      <c r="C130" s="57" t="s">
        <v>980</v>
      </c>
      <c r="D130" s="57" t="s">
        <v>981</v>
      </c>
      <c r="E130" s="57" t="s">
        <v>982</v>
      </c>
      <c r="F130" s="57" t="s">
        <v>983</v>
      </c>
      <c r="G130" s="57" t="s">
        <v>984</v>
      </c>
      <c r="H130" s="56" t="str">
        <f t="shared" si="1"/>
        <v>CORRECT</v>
      </c>
      <c r="I130" s="56" t="s">
        <v>40</v>
      </c>
      <c r="J130" s="56" t="s">
        <v>40</v>
      </c>
      <c r="K130" s="65" t="s">
        <v>985</v>
      </c>
      <c r="L130" s="63">
        <v>29744.0</v>
      </c>
      <c r="M130" s="56" t="s">
        <v>42</v>
      </c>
      <c r="N130" s="66" t="s">
        <v>986</v>
      </c>
    </row>
    <row r="131" ht="60.0" customHeight="1">
      <c r="A131" s="56">
        <v>125.0</v>
      </c>
      <c r="B131" s="57" t="s">
        <v>987</v>
      </c>
      <c r="C131" s="57" t="s">
        <v>988</v>
      </c>
      <c r="D131" s="57" t="s">
        <v>989</v>
      </c>
      <c r="E131" s="57" t="s">
        <v>990</v>
      </c>
      <c r="F131" s="57" t="s">
        <v>991</v>
      </c>
      <c r="G131" s="57" t="s">
        <v>992</v>
      </c>
      <c r="H131" s="56" t="str">
        <f t="shared" si="1"/>
        <v>CORRECT</v>
      </c>
      <c r="I131" s="56" t="s">
        <v>40</v>
      </c>
      <c r="J131" s="56" t="s">
        <v>40</v>
      </c>
      <c r="K131" s="65" t="s">
        <v>993</v>
      </c>
      <c r="L131" s="63">
        <v>36376.0</v>
      </c>
      <c r="M131" s="56" t="s">
        <v>62</v>
      </c>
      <c r="N131" s="66"/>
    </row>
    <row r="132" ht="60.0" customHeight="1">
      <c r="A132" s="56">
        <v>126.0</v>
      </c>
      <c r="B132" s="57" t="s">
        <v>994</v>
      </c>
      <c r="C132" s="57" t="s">
        <v>995</v>
      </c>
      <c r="D132" s="57" t="s">
        <v>996</v>
      </c>
      <c r="E132" s="57" t="s">
        <v>997</v>
      </c>
      <c r="F132" s="57" t="s">
        <v>998</v>
      </c>
      <c r="G132" s="57" t="s">
        <v>999</v>
      </c>
      <c r="H132" s="56" t="str">
        <f t="shared" si="1"/>
        <v>CORRECT</v>
      </c>
      <c r="I132" s="56" t="s">
        <v>51</v>
      </c>
      <c r="J132" s="56" t="s">
        <v>51</v>
      </c>
      <c r="K132" s="65" t="s">
        <v>1000</v>
      </c>
      <c r="L132" s="63">
        <v>40860.0</v>
      </c>
      <c r="M132" s="56" t="s">
        <v>62</v>
      </c>
      <c r="N132" s="66"/>
    </row>
    <row r="133" ht="60.0" customHeight="1">
      <c r="A133" s="56">
        <v>127.0</v>
      </c>
      <c r="B133" s="57" t="s">
        <v>1001</v>
      </c>
      <c r="C133" s="57" t="s">
        <v>1002</v>
      </c>
      <c r="D133" s="57" t="s">
        <v>1003</v>
      </c>
      <c r="E133" s="57" t="s">
        <v>1004</v>
      </c>
      <c r="F133" s="57" t="s">
        <v>1005</v>
      </c>
      <c r="G133" s="57" t="s">
        <v>1006</v>
      </c>
      <c r="H133" s="56" t="str">
        <f t="shared" si="1"/>
        <v>WRONG</v>
      </c>
      <c r="I133" s="56" t="s">
        <v>51</v>
      </c>
      <c r="J133" s="56" t="s">
        <v>40</v>
      </c>
      <c r="K133" s="65" t="s">
        <v>1007</v>
      </c>
      <c r="L133" s="63">
        <v>25862.0</v>
      </c>
      <c r="M133" s="56" t="s">
        <v>42</v>
      </c>
      <c r="N133" s="66" t="s">
        <v>1008</v>
      </c>
    </row>
    <row r="134" ht="60.0" customHeight="1">
      <c r="A134" s="56">
        <v>128.0</v>
      </c>
      <c r="B134" s="57" t="s">
        <v>1009</v>
      </c>
      <c r="C134" s="57" t="s">
        <v>1010</v>
      </c>
      <c r="D134" s="57" t="s">
        <v>1011</v>
      </c>
      <c r="E134" s="57" t="s">
        <v>1012</v>
      </c>
      <c r="F134" s="57" t="s">
        <v>1013</v>
      </c>
      <c r="G134" s="57" t="s">
        <v>1014</v>
      </c>
      <c r="H134" s="56" t="str">
        <f t="shared" si="1"/>
        <v>WRONG</v>
      </c>
      <c r="I134" s="56" t="s">
        <v>40</v>
      </c>
      <c r="J134" s="56" t="s">
        <v>51</v>
      </c>
      <c r="K134" s="65" t="s">
        <v>1015</v>
      </c>
      <c r="L134" s="63">
        <v>47707.0</v>
      </c>
      <c r="M134" s="56" t="s">
        <v>62</v>
      </c>
      <c r="N134" s="66"/>
    </row>
    <row r="135" ht="60.0" customHeight="1">
      <c r="A135" s="56">
        <v>129.0</v>
      </c>
      <c r="B135" s="57" t="s">
        <v>1016</v>
      </c>
      <c r="C135" s="57" t="s">
        <v>1017</v>
      </c>
      <c r="D135" s="57" t="s">
        <v>1018</v>
      </c>
      <c r="E135" s="57" t="s">
        <v>1019</v>
      </c>
      <c r="F135" s="57" t="s">
        <v>1020</v>
      </c>
      <c r="G135" s="57" t="s">
        <v>1021</v>
      </c>
      <c r="H135" s="56" t="str">
        <f t="shared" si="1"/>
        <v>CORRECT</v>
      </c>
      <c r="I135" s="56" t="s">
        <v>77</v>
      </c>
      <c r="J135" s="56" t="s">
        <v>77</v>
      </c>
      <c r="K135" s="65" t="s">
        <v>1022</v>
      </c>
      <c r="L135" s="63">
        <v>34220.0</v>
      </c>
      <c r="M135" s="56" t="s">
        <v>62</v>
      </c>
      <c r="N135" s="66"/>
    </row>
    <row r="136" ht="60.0" customHeight="1">
      <c r="A136" s="56">
        <v>130.0</v>
      </c>
      <c r="B136" s="57" t="s">
        <v>1023</v>
      </c>
      <c r="C136" s="57" t="s">
        <v>1024</v>
      </c>
      <c r="D136" s="57" t="s">
        <v>1025</v>
      </c>
      <c r="E136" s="57" t="s">
        <v>1026</v>
      </c>
      <c r="F136" s="57" t="s">
        <v>1027</v>
      </c>
      <c r="G136" s="57" t="s">
        <v>1028</v>
      </c>
      <c r="H136" s="56" t="str">
        <f t="shared" si="1"/>
        <v>WRONG</v>
      </c>
      <c r="I136" s="56" t="s">
        <v>60</v>
      </c>
      <c r="J136" s="56" t="s">
        <v>50</v>
      </c>
      <c r="K136" s="65" t="s">
        <v>2652</v>
      </c>
      <c r="L136" s="63">
        <v>30496.0</v>
      </c>
      <c r="M136" s="56" t="s">
        <v>42</v>
      </c>
      <c r="N136" s="66" t="s">
        <v>1030</v>
      </c>
    </row>
    <row r="137" ht="60.0" customHeight="1">
      <c r="A137" s="56">
        <v>131.0</v>
      </c>
      <c r="B137" s="57" t="s">
        <v>1031</v>
      </c>
      <c r="C137" s="57" t="s">
        <v>1032</v>
      </c>
      <c r="D137" s="57" t="s">
        <v>1033</v>
      </c>
      <c r="E137" s="57" t="s">
        <v>1034</v>
      </c>
      <c r="F137" s="57" t="s">
        <v>1035</v>
      </c>
      <c r="G137" s="57" t="s">
        <v>1036</v>
      </c>
      <c r="H137" s="56" t="str">
        <f t="shared" si="1"/>
        <v>CORRECT</v>
      </c>
      <c r="I137" s="56" t="s">
        <v>60</v>
      </c>
      <c r="J137" s="56" t="s">
        <v>60</v>
      </c>
      <c r="K137" s="65" t="s">
        <v>1037</v>
      </c>
      <c r="L137" s="63">
        <v>32014.0</v>
      </c>
      <c r="M137" s="56" t="s">
        <v>42</v>
      </c>
      <c r="N137" s="66" t="s">
        <v>1038</v>
      </c>
    </row>
    <row r="138" ht="60.0" customHeight="1">
      <c r="A138" s="56">
        <v>132.0</v>
      </c>
      <c r="B138" s="57" t="s">
        <v>1039</v>
      </c>
      <c r="C138" s="57" t="s">
        <v>754</v>
      </c>
      <c r="D138" s="57" t="s">
        <v>1040</v>
      </c>
      <c r="E138" s="57" t="s">
        <v>1041</v>
      </c>
      <c r="F138" s="57" t="s">
        <v>1042</v>
      </c>
      <c r="G138" s="57" t="s">
        <v>1043</v>
      </c>
      <c r="H138" s="56" t="str">
        <f t="shared" si="1"/>
        <v>CORRECT</v>
      </c>
      <c r="I138" s="56" t="s">
        <v>51</v>
      </c>
      <c r="J138" s="56" t="s">
        <v>51</v>
      </c>
      <c r="K138" s="65" t="s">
        <v>1044</v>
      </c>
      <c r="L138" s="63">
        <v>29853.0</v>
      </c>
      <c r="M138" s="56" t="s">
        <v>42</v>
      </c>
      <c r="N138" s="66" t="s">
        <v>1045</v>
      </c>
    </row>
    <row r="139" ht="60.0" customHeight="1">
      <c r="A139" s="56">
        <v>133.0</v>
      </c>
      <c r="B139" s="57" t="s">
        <v>1046</v>
      </c>
      <c r="C139" s="57" t="s">
        <v>1047</v>
      </c>
      <c r="D139" s="57" t="s">
        <v>1048</v>
      </c>
      <c r="E139" s="57" t="s">
        <v>1049</v>
      </c>
      <c r="F139" s="57" t="s">
        <v>1050</v>
      </c>
      <c r="G139" s="57" t="s">
        <v>1051</v>
      </c>
      <c r="H139" s="56" t="str">
        <f t="shared" si="1"/>
        <v>WRONG</v>
      </c>
      <c r="I139" s="56" t="s">
        <v>77</v>
      </c>
      <c r="J139" s="56" t="s">
        <v>60</v>
      </c>
      <c r="K139" s="65" t="s">
        <v>1052</v>
      </c>
      <c r="L139" s="63">
        <v>31898.0</v>
      </c>
      <c r="M139" s="56" t="s">
        <v>42</v>
      </c>
      <c r="N139" s="66" t="s">
        <v>1053</v>
      </c>
    </row>
    <row r="140" ht="60.0" customHeight="1">
      <c r="A140" s="56">
        <v>134.0</v>
      </c>
      <c r="B140" s="57" t="s">
        <v>1054</v>
      </c>
      <c r="C140" s="57" t="s">
        <v>1055</v>
      </c>
      <c r="D140" s="57" t="s">
        <v>1056</v>
      </c>
      <c r="E140" s="57" t="s">
        <v>1057</v>
      </c>
      <c r="F140" s="57" t="s">
        <v>1058</v>
      </c>
      <c r="G140" s="57" t="s">
        <v>1059</v>
      </c>
      <c r="H140" s="56" t="str">
        <f t="shared" si="1"/>
        <v>CORRECT</v>
      </c>
      <c r="I140" s="56" t="s">
        <v>40</v>
      </c>
      <c r="J140" s="56" t="s">
        <v>40</v>
      </c>
      <c r="K140" s="65" t="s">
        <v>2653</v>
      </c>
      <c r="L140" s="63">
        <v>32446.0</v>
      </c>
      <c r="M140" s="56" t="s">
        <v>42</v>
      </c>
      <c r="N140" s="66" t="s">
        <v>1061</v>
      </c>
    </row>
    <row r="141" ht="60.0" customHeight="1">
      <c r="A141" s="56">
        <v>135.0</v>
      </c>
      <c r="B141" s="57" t="s">
        <v>1062</v>
      </c>
      <c r="C141" s="57" t="s">
        <v>1063</v>
      </c>
      <c r="D141" s="57" t="s">
        <v>1064</v>
      </c>
      <c r="E141" s="57" t="s">
        <v>1065</v>
      </c>
      <c r="F141" s="57" t="s">
        <v>1066</v>
      </c>
      <c r="G141" s="57" t="s">
        <v>1067</v>
      </c>
      <c r="H141" s="56" t="str">
        <f t="shared" si="1"/>
        <v>WRONG</v>
      </c>
      <c r="I141" s="56" t="s">
        <v>40</v>
      </c>
      <c r="J141" s="56" t="s">
        <v>51</v>
      </c>
      <c r="K141" s="65" t="s">
        <v>1068</v>
      </c>
      <c r="L141" s="63">
        <v>35837.0</v>
      </c>
      <c r="M141" s="56" t="s">
        <v>42</v>
      </c>
      <c r="N141" s="66" t="s">
        <v>1069</v>
      </c>
    </row>
    <row r="142" ht="60.0" customHeight="1">
      <c r="A142" s="56">
        <v>136.0</v>
      </c>
      <c r="B142" s="57" t="s">
        <v>1070</v>
      </c>
      <c r="C142" s="57" t="s">
        <v>1071</v>
      </c>
      <c r="D142" s="57" t="s">
        <v>1072</v>
      </c>
      <c r="E142" s="57" t="s">
        <v>1073</v>
      </c>
      <c r="F142" s="57" t="s">
        <v>1074</v>
      </c>
      <c r="G142" s="57" t="s">
        <v>1075</v>
      </c>
      <c r="H142" s="56" t="str">
        <f t="shared" si="1"/>
        <v>CORRECT</v>
      </c>
      <c r="I142" s="56" t="s">
        <v>40</v>
      </c>
      <c r="J142" s="56" t="s">
        <v>40</v>
      </c>
      <c r="K142" s="65" t="s">
        <v>1076</v>
      </c>
      <c r="L142" s="63">
        <v>34303.0</v>
      </c>
      <c r="M142" s="56" t="s">
        <v>42</v>
      </c>
      <c r="N142" s="66" t="s">
        <v>1077</v>
      </c>
    </row>
    <row r="143" ht="60.0" customHeight="1">
      <c r="A143" s="56">
        <v>137.0</v>
      </c>
      <c r="B143" s="57" t="s">
        <v>1078</v>
      </c>
      <c r="C143" s="57" t="s">
        <v>1079</v>
      </c>
      <c r="D143" s="57" t="s">
        <v>1080</v>
      </c>
      <c r="E143" s="57" t="s">
        <v>1081</v>
      </c>
      <c r="F143" s="57" t="s">
        <v>1082</v>
      </c>
      <c r="G143" s="57" t="s">
        <v>1083</v>
      </c>
      <c r="H143" s="56" t="str">
        <f t="shared" si="1"/>
        <v>CORRECT</v>
      </c>
      <c r="I143" s="56" t="s">
        <v>50</v>
      </c>
      <c r="J143" s="56" t="s">
        <v>50</v>
      </c>
      <c r="K143" s="65" t="s">
        <v>1084</v>
      </c>
      <c r="L143" s="63">
        <v>34212.0</v>
      </c>
      <c r="M143" s="56" t="s">
        <v>62</v>
      </c>
      <c r="N143" s="66"/>
    </row>
    <row r="144" ht="60.0" customHeight="1">
      <c r="A144" s="56">
        <v>138.0</v>
      </c>
      <c r="B144" s="57" t="s">
        <v>1085</v>
      </c>
      <c r="C144" s="57" t="s">
        <v>1086</v>
      </c>
      <c r="D144" s="57" t="s">
        <v>1087</v>
      </c>
      <c r="E144" s="57" t="s">
        <v>1088</v>
      </c>
      <c r="F144" s="57" t="s">
        <v>1089</v>
      </c>
      <c r="G144" s="57" t="s">
        <v>1090</v>
      </c>
      <c r="H144" s="56" t="str">
        <f t="shared" si="1"/>
        <v>WRONG</v>
      </c>
      <c r="I144" s="56" t="s">
        <v>50</v>
      </c>
      <c r="J144" s="56" t="s">
        <v>40</v>
      </c>
      <c r="K144" s="65" t="s">
        <v>1091</v>
      </c>
      <c r="L144" s="63">
        <v>33777.0</v>
      </c>
      <c r="M144" s="56" t="s">
        <v>62</v>
      </c>
      <c r="N144" s="66"/>
    </row>
    <row r="145" ht="60.0" customHeight="1">
      <c r="A145" s="56">
        <v>139.0</v>
      </c>
      <c r="B145" s="57" t="s">
        <v>1092</v>
      </c>
      <c r="C145" s="57" t="s">
        <v>1093</v>
      </c>
      <c r="D145" s="57" t="s">
        <v>1094</v>
      </c>
      <c r="E145" s="57" t="s">
        <v>1095</v>
      </c>
      <c r="F145" s="57" t="s">
        <v>1096</v>
      </c>
      <c r="G145" s="57" t="s">
        <v>1097</v>
      </c>
      <c r="H145" s="56" t="str">
        <f t="shared" si="1"/>
        <v>CORRECT</v>
      </c>
      <c r="I145" s="56" t="s">
        <v>77</v>
      </c>
      <c r="J145" s="56" t="s">
        <v>77</v>
      </c>
      <c r="K145" s="65" t="s">
        <v>1098</v>
      </c>
      <c r="L145" s="63">
        <v>35429.0</v>
      </c>
      <c r="M145" s="56" t="s">
        <v>62</v>
      </c>
      <c r="N145" s="66"/>
    </row>
    <row r="146" ht="60.0" customHeight="1">
      <c r="A146" s="56">
        <v>140.0</v>
      </c>
      <c r="B146" s="57" t="s">
        <v>1099</v>
      </c>
      <c r="C146" s="57" t="s">
        <v>1100</v>
      </c>
      <c r="D146" s="57" t="s">
        <v>1101</v>
      </c>
      <c r="E146" s="57" t="s">
        <v>1102</v>
      </c>
      <c r="F146" s="57" t="s">
        <v>1103</v>
      </c>
      <c r="G146" s="57" t="s">
        <v>1059</v>
      </c>
      <c r="H146" s="56" t="str">
        <f t="shared" si="1"/>
        <v>WRONG</v>
      </c>
      <c r="I146" s="56" t="s">
        <v>50</v>
      </c>
      <c r="J146" s="56" t="s">
        <v>51</v>
      </c>
      <c r="K146" s="65" t="s">
        <v>1104</v>
      </c>
      <c r="L146" s="63">
        <v>35038.0</v>
      </c>
      <c r="M146" s="56" t="s">
        <v>62</v>
      </c>
      <c r="N146" s="67"/>
    </row>
    <row r="147" ht="60.0" customHeight="1">
      <c r="A147" s="56">
        <v>141.0</v>
      </c>
      <c r="B147" s="57" t="s">
        <v>1105</v>
      </c>
      <c r="C147" s="57" t="s">
        <v>1106</v>
      </c>
      <c r="D147" s="57" t="s">
        <v>1107</v>
      </c>
      <c r="E147" s="57" t="s">
        <v>1108</v>
      </c>
      <c r="F147" s="57" t="s">
        <v>1109</v>
      </c>
      <c r="G147" s="57" t="s">
        <v>1110</v>
      </c>
      <c r="H147" s="56" t="str">
        <f t="shared" si="1"/>
        <v>CORRECT</v>
      </c>
      <c r="I147" s="56" t="s">
        <v>60</v>
      </c>
      <c r="J147" s="56" t="s">
        <v>60</v>
      </c>
      <c r="K147" s="65" t="s">
        <v>1111</v>
      </c>
      <c r="L147" s="63">
        <v>28368.0</v>
      </c>
      <c r="M147" s="56" t="s">
        <v>62</v>
      </c>
      <c r="N147" s="66"/>
    </row>
    <row r="148" ht="60.0" customHeight="1">
      <c r="A148" s="56">
        <v>142.0</v>
      </c>
      <c r="B148" s="57" t="s">
        <v>1112</v>
      </c>
      <c r="C148" s="57" t="s">
        <v>1113</v>
      </c>
      <c r="D148" s="57" t="s">
        <v>1114</v>
      </c>
      <c r="E148" s="57" t="s">
        <v>1115</v>
      </c>
      <c r="F148" s="57" t="s">
        <v>1116</v>
      </c>
      <c r="G148" s="57" t="s">
        <v>1059</v>
      </c>
      <c r="H148" s="56" t="str">
        <f t="shared" si="1"/>
        <v>WRONG</v>
      </c>
      <c r="I148" s="56" t="s">
        <v>50</v>
      </c>
      <c r="J148" s="56" t="s">
        <v>40</v>
      </c>
      <c r="K148" s="65" t="s">
        <v>1117</v>
      </c>
      <c r="L148" s="63">
        <v>35579.0</v>
      </c>
      <c r="M148" s="56" t="s">
        <v>42</v>
      </c>
      <c r="N148" s="66" t="str">
        <f>++ C sC − 0.3-1.3 0.7-1.3 Postganglionic  sympathetic Various autonomic func­ tions ++ dC − 0.4-1.2 0.1-2.0 Afferent sensory  nerves Various autonomic functions Pain, warm temperature,  touch + From Bonica JJ. Principles and Practice of Obstetric Anesthesia and Analgesia. Philadelphia: FA Davis; 1967. Nucleus of Schwann cell Nucleus of Schwann cell Schwann cell sheath Nerve fiber Nerve fiber</f>
        <v>#ERROR!</v>
      </c>
    </row>
    <row r="149" ht="60.0" customHeight="1">
      <c r="A149" s="56">
        <v>143.0</v>
      </c>
      <c r="B149" s="57" t="s">
        <v>1118</v>
      </c>
      <c r="C149" s="57" t="s">
        <v>1119</v>
      </c>
      <c r="D149" s="57" t="s">
        <v>1120</v>
      </c>
      <c r="E149" s="57" t="s">
        <v>1121</v>
      </c>
      <c r="F149" s="57" t="s">
        <v>1122</v>
      </c>
      <c r="G149" s="57" t="s">
        <v>1123</v>
      </c>
      <c r="H149" s="56" t="str">
        <f t="shared" si="1"/>
        <v>CORRECT</v>
      </c>
      <c r="I149" s="56" t="s">
        <v>40</v>
      </c>
      <c r="J149" s="56" t="s">
        <v>40</v>
      </c>
      <c r="K149" s="65" t="s">
        <v>2654</v>
      </c>
      <c r="L149" s="63">
        <v>34001.0</v>
      </c>
      <c r="M149" s="56" t="s">
        <v>62</v>
      </c>
      <c r="N149" s="66"/>
    </row>
    <row r="150" ht="60.0" customHeight="1">
      <c r="A150" s="56">
        <v>144.0</v>
      </c>
      <c r="B150" s="57" t="s">
        <v>1125</v>
      </c>
      <c r="C150" s="57" t="s">
        <v>1126</v>
      </c>
      <c r="D150" s="57" t="s">
        <v>1127</v>
      </c>
      <c r="E150" s="57" t="s">
        <v>1128</v>
      </c>
      <c r="F150" s="57" t="s">
        <v>1129</v>
      </c>
      <c r="G150" s="57" t="s">
        <v>1130</v>
      </c>
      <c r="H150" s="56" t="str">
        <f t="shared" si="1"/>
        <v>CORRECT</v>
      </c>
      <c r="I150" s="56" t="s">
        <v>50</v>
      </c>
      <c r="J150" s="56" t="s">
        <v>50</v>
      </c>
      <c r="K150" s="65" t="s">
        <v>2655</v>
      </c>
      <c r="L150" s="63">
        <v>42403.0</v>
      </c>
      <c r="M150" s="56" t="s">
        <v>62</v>
      </c>
      <c r="N150" s="66"/>
    </row>
    <row r="151" ht="60.0" customHeight="1">
      <c r="A151" s="56">
        <v>145.0</v>
      </c>
      <c r="B151" s="57" t="s">
        <v>1132</v>
      </c>
      <c r="C151" s="57" t="s">
        <v>1133</v>
      </c>
      <c r="D151" s="57" t="s">
        <v>1134</v>
      </c>
      <c r="E151" s="57" t="s">
        <v>1135</v>
      </c>
      <c r="F151" s="57" t="s">
        <v>1136</v>
      </c>
      <c r="G151" s="57" t="s">
        <v>1059</v>
      </c>
      <c r="H151" s="56" t="str">
        <f t="shared" si="1"/>
        <v>WRONG</v>
      </c>
      <c r="I151" s="56" t="s">
        <v>40</v>
      </c>
      <c r="J151" s="56" t="s">
        <v>50</v>
      </c>
      <c r="K151" s="65" t="s">
        <v>1137</v>
      </c>
      <c r="L151" s="63">
        <v>27421.0</v>
      </c>
      <c r="M151" s="56" t="s">
        <v>42</v>
      </c>
      <c r="N151" s="66" t="s">
        <v>1138</v>
      </c>
    </row>
    <row r="152" ht="60.0" customHeight="1">
      <c r="A152" s="56">
        <v>146.0</v>
      </c>
      <c r="B152" s="57" t="s">
        <v>1139</v>
      </c>
      <c r="C152" s="57" t="s">
        <v>1140</v>
      </c>
      <c r="D152" s="57" t="s">
        <v>1141</v>
      </c>
      <c r="E152" s="57" t="s">
        <v>1142</v>
      </c>
      <c r="F152" s="57" t="s">
        <v>1143</v>
      </c>
      <c r="G152" s="57" t="s">
        <v>1144</v>
      </c>
      <c r="H152" s="56" t="str">
        <f t="shared" si="1"/>
        <v>CORRECT</v>
      </c>
      <c r="I152" s="56" t="s">
        <v>50</v>
      </c>
      <c r="J152" s="56" t="s">
        <v>50</v>
      </c>
      <c r="K152" s="65" t="s">
        <v>1145</v>
      </c>
      <c r="L152" s="63">
        <v>43034.0</v>
      </c>
      <c r="M152" s="56" t="s">
        <v>42</v>
      </c>
      <c r="N152" s="66" t="s">
        <v>1146</v>
      </c>
    </row>
    <row r="153" ht="60.0" customHeight="1">
      <c r="A153" s="56">
        <v>147.0</v>
      </c>
      <c r="B153" s="57" t="s">
        <v>1147</v>
      </c>
      <c r="C153" s="57" t="s">
        <v>1148</v>
      </c>
      <c r="D153" s="57" t="s">
        <v>1149</v>
      </c>
      <c r="E153" s="57" t="s">
        <v>1150</v>
      </c>
      <c r="F153" s="57" t="s">
        <v>1151</v>
      </c>
      <c r="G153" s="57" t="s">
        <v>1059</v>
      </c>
      <c r="H153" s="56" t="str">
        <f t="shared" si="1"/>
        <v>WRONG</v>
      </c>
      <c r="I153" s="56" t="s">
        <v>60</v>
      </c>
      <c r="J153" s="56" t="s">
        <v>77</v>
      </c>
      <c r="K153" s="65" t="s">
        <v>1152</v>
      </c>
      <c r="L153" s="63">
        <v>33797.0</v>
      </c>
      <c r="M153" s="56" t="s">
        <v>62</v>
      </c>
      <c r="N153" s="66"/>
    </row>
    <row r="154" ht="60.0" customHeight="1">
      <c r="A154" s="56">
        <v>148.0</v>
      </c>
      <c r="B154" s="57" t="s">
        <v>1153</v>
      </c>
      <c r="C154" s="57" t="s">
        <v>1154</v>
      </c>
      <c r="D154" s="57" t="s">
        <v>1155</v>
      </c>
      <c r="E154" s="57" t="s">
        <v>1156</v>
      </c>
      <c r="F154" s="57" t="s">
        <v>1157</v>
      </c>
      <c r="G154" s="57" t="s">
        <v>1059</v>
      </c>
      <c r="H154" s="56" t="str">
        <f t="shared" si="1"/>
        <v>CORRECT</v>
      </c>
      <c r="I154" s="56" t="s">
        <v>60</v>
      </c>
      <c r="J154" s="56" t="s">
        <v>60</v>
      </c>
      <c r="K154" s="65" t="s">
        <v>1158</v>
      </c>
      <c r="L154" s="63">
        <v>34161.0</v>
      </c>
      <c r="M154" s="56" t="s">
        <v>62</v>
      </c>
      <c r="N154" s="66"/>
    </row>
    <row r="155" ht="60.0" customHeight="1">
      <c r="A155" s="56">
        <v>149.0</v>
      </c>
      <c r="B155" s="57" t="s">
        <v>1159</v>
      </c>
      <c r="C155" s="57" t="s">
        <v>1160</v>
      </c>
      <c r="D155" s="57" t="s">
        <v>1161</v>
      </c>
      <c r="E155" s="57" t="s">
        <v>1162</v>
      </c>
      <c r="F155" s="57" t="s">
        <v>1163</v>
      </c>
      <c r="G155" s="57" t="s">
        <v>1164</v>
      </c>
      <c r="H155" s="56" t="str">
        <f t="shared" si="1"/>
        <v>CORRECT</v>
      </c>
      <c r="I155" s="56" t="s">
        <v>77</v>
      </c>
      <c r="J155" s="56" t="s">
        <v>77</v>
      </c>
      <c r="K155" s="65" t="s">
        <v>1165</v>
      </c>
      <c r="L155" s="63">
        <v>33133.0</v>
      </c>
      <c r="M155" s="56" t="s">
        <v>62</v>
      </c>
      <c r="N155" s="67"/>
    </row>
    <row r="156" ht="60.0" customHeight="1">
      <c r="A156" s="56">
        <v>150.0</v>
      </c>
      <c r="B156" s="57" t="s">
        <v>1166</v>
      </c>
      <c r="C156" s="57" t="s">
        <v>1167</v>
      </c>
      <c r="D156" s="57" t="s">
        <v>1168</v>
      </c>
      <c r="E156" s="57" t="s">
        <v>1169</v>
      </c>
      <c r="F156" s="57" t="s">
        <v>1170</v>
      </c>
      <c r="G156" s="57" t="s">
        <v>1059</v>
      </c>
      <c r="H156" s="56" t="str">
        <f t="shared" si="1"/>
        <v>CORRECT</v>
      </c>
      <c r="I156" s="56" t="s">
        <v>77</v>
      </c>
      <c r="J156" s="56" t="s">
        <v>77</v>
      </c>
      <c r="K156" s="65" t="s">
        <v>1171</v>
      </c>
      <c r="L156" s="63">
        <v>41624.0</v>
      </c>
      <c r="M156" s="56" t="s">
        <v>62</v>
      </c>
      <c r="N156" s="66"/>
    </row>
    <row r="157" ht="60.0" customHeight="1">
      <c r="A157" s="56">
        <v>151.0</v>
      </c>
      <c r="B157" s="57" t="s">
        <v>1172</v>
      </c>
      <c r="C157" s="57" t="s">
        <v>1173</v>
      </c>
      <c r="D157" s="57" t="s">
        <v>1174</v>
      </c>
      <c r="E157" s="57" t="s">
        <v>1175</v>
      </c>
      <c r="F157" s="57" t="s">
        <v>1176</v>
      </c>
      <c r="G157" s="57" t="s">
        <v>1177</v>
      </c>
      <c r="H157" s="56" t="str">
        <f t="shared" si="1"/>
        <v>CORRECT</v>
      </c>
      <c r="I157" s="56" t="s">
        <v>77</v>
      </c>
      <c r="J157" s="56" t="s">
        <v>77</v>
      </c>
      <c r="K157" s="65" t="s">
        <v>1178</v>
      </c>
      <c r="L157" s="63">
        <v>47444.0</v>
      </c>
      <c r="M157" s="56" t="s">
        <v>62</v>
      </c>
      <c r="N157" s="66"/>
    </row>
    <row r="158" ht="60.0" customHeight="1">
      <c r="A158" s="56">
        <v>152.0</v>
      </c>
      <c r="B158" s="57" t="s">
        <v>1179</v>
      </c>
      <c r="C158" s="57" t="s">
        <v>1180</v>
      </c>
      <c r="D158" s="57" t="s">
        <v>1181</v>
      </c>
      <c r="E158" s="57" t="s">
        <v>1182</v>
      </c>
      <c r="F158" s="57" t="s">
        <v>1183</v>
      </c>
      <c r="G158" s="57" t="s">
        <v>1059</v>
      </c>
      <c r="H158" s="56" t="str">
        <f t="shared" si="1"/>
        <v>WRONG</v>
      </c>
      <c r="I158" s="56" t="s">
        <v>77</v>
      </c>
      <c r="J158" s="56" t="s">
        <v>60</v>
      </c>
      <c r="K158" s="65" t="s">
        <v>1184</v>
      </c>
      <c r="L158" s="63">
        <v>31734.0</v>
      </c>
      <c r="M158" s="56" t="s">
        <v>42</v>
      </c>
      <c r="N158" s="66" t="s">
        <v>1185</v>
      </c>
    </row>
    <row r="159" ht="60.0" customHeight="1">
      <c r="A159" s="56">
        <v>153.0</v>
      </c>
      <c r="B159" s="57" t="s">
        <v>1186</v>
      </c>
      <c r="C159" s="57" t="s">
        <v>1187</v>
      </c>
      <c r="D159" s="57" t="s">
        <v>1188</v>
      </c>
      <c r="E159" s="57" t="s">
        <v>1189</v>
      </c>
      <c r="F159" s="57" t="s">
        <v>1190</v>
      </c>
      <c r="G159" s="57" t="s">
        <v>1191</v>
      </c>
      <c r="H159" s="56" t="str">
        <f t="shared" si="1"/>
        <v>CORRECT</v>
      </c>
      <c r="I159" s="56" t="s">
        <v>50</v>
      </c>
      <c r="J159" s="56" t="s">
        <v>50</v>
      </c>
      <c r="K159" s="65" t="s">
        <v>2656</v>
      </c>
      <c r="L159" s="63">
        <v>41882.0</v>
      </c>
      <c r="M159" s="56" t="s">
        <v>62</v>
      </c>
      <c r="N159" s="66"/>
    </row>
    <row r="160" ht="60.0" customHeight="1">
      <c r="A160" s="56">
        <v>154.0</v>
      </c>
      <c r="B160" s="57" t="s">
        <v>1193</v>
      </c>
      <c r="C160" s="57" t="s">
        <v>1194</v>
      </c>
      <c r="D160" s="57" t="s">
        <v>1195</v>
      </c>
      <c r="E160" s="57" t="s">
        <v>1196</v>
      </c>
      <c r="F160" s="57" t="s">
        <v>1197</v>
      </c>
      <c r="G160" s="57" t="s">
        <v>1198</v>
      </c>
      <c r="H160" s="56" t="str">
        <f t="shared" si="1"/>
        <v>WRONG</v>
      </c>
      <c r="I160" s="56" t="s">
        <v>40</v>
      </c>
      <c r="J160" s="56" t="s">
        <v>60</v>
      </c>
      <c r="K160" s="65" t="s">
        <v>1199</v>
      </c>
      <c r="L160" s="63">
        <v>43465.0</v>
      </c>
      <c r="M160" s="56" t="s">
        <v>42</v>
      </c>
      <c r="N160" s="66" t="s">
        <v>1200</v>
      </c>
    </row>
    <row r="161" ht="60.0" customHeight="1">
      <c r="A161" s="56">
        <v>155.0</v>
      </c>
      <c r="B161" s="57" t="s">
        <v>1201</v>
      </c>
      <c r="C161" s="57" t="s">
        <v>1202</v>
      </c>
      <c r="D161" s="57" t="s">
        <v>1203</v>
      </c>
      <c r="E161" s="57" t="s">
        <v>1204</v>
      </c>
      <c r="F161" s="57" t="s">
        <v>1205</v>
      </c>
      <c r="G161" s="57" t="s">
        <v>1206</v>
      </c>
      <c r="H161" s="56" t="str">
        <f t="shared" si="1"/>
        <v>CORRECT</v>
      </c>
      <c r="I161" s="56" t="s">
        <v>50</v>
      </c>
      <c r="J161" s="56" t="s">
        <v>50</v>
      </c>
      <c r="K161" s="65" t="s">
        <v>1207</v>
      </c>
      <c r="L161" s="63">
        <v>31625.0</v>
      </c>
      <c r="M161" s="56" t="s">
        <v>42</v>
      </c>
      <c r="N161" s="66" t="s">
        <v>1208</v>
      </c>
    </row>
    <row r="162" ht="60.0" customHeight="1">
      <c r="A162" s="56">
        <v>156.0</v>
      </c>
      <c r="B162" s="57" t="s">
        <v>1209</v>
      </c>
      <c r="C162" s="57" t="s">
        <v>1210</v>
      </c>
      <c r="D162" s="57" t="s">
        <v>1211</v>
      </c>
      <c r="E162" s="57" t="s">
        <v>1212</v>
      </c>
      <c r="F162" s="57" t="s">
        <v>1213</v>
      </c>
      <c r="G162" s="57" t="s">
        <v>1214</v>
      </c>
      <c r="H162" s="56" t="str">
        <f t="shared" si="1"/>
        <v>CORRECT</v>
      </c>
      <c r="I162" s="56" t="s">
        <v>77</v>
      </c>
      <c r="J162" s="56" t="s">
        <v>77</v>
      </c>
      <c r="K162" s="65" t="s">
        <v>1215</v>
      </c>
      <c r="L162" s="63">
        <v>41470.0</v>
      </c>
      <c r="M162" s="56" t="s">
        <v>62</v>
      </c>
      <c r="N162" s="66"/>
    </row>
    <row r="163" ht="60.0" customHeight="1">
      <c r="A163" s="56">
        <v>157.0</v>
      </c>
      <c r="B163" s="57" t="s">
        <v>1216</v>
      </c>
      <c r="C163" s="57" t="s">
        <v>1217</v>
      </c>
      <c r="D163" s="57" t="s">
        <v>1218</v>
      </c>
      <c r="E163" s="57" t="s">
        <v>1219</v>
      </c>
      <c r="F163" s="57" t="s">
        <v>1220</v>
      </c>
      <c r="G163" s="57" t="s">
        <v>1059</v>
      </c>
      <c r="H163" s="56" t="str">
        <f t="shared" si="1"/>
        <v>CORRECT</v>
      </c>
      <c r="I163" s="56" t="s">
        <v>40</v>
      </c>
      <c r="J163" s="56" t="s">
        <v>40</v>
      </c>
      <c r="K163" s="65" t="s">
        <v>1221</v>
      </c>
      <c r="L163" s="63">
        <v>29489.0</v>
      </c>
      <c r="M163" s="56" t="s">
        <v>62</v>
      </c>
      <c r="N163" s="66"/>
    </row>
    <row r="164" ht="60.0" customHeight="1">
      <c r="A164" s="56">
        <v>158.0</v>
      </c>
      <c r="B164" s="57" t="s">
        <v>1222</v>
      </c>
      <c r="C164" s="57" t="s">
        <v>1223</v>
      </c>
      <c r="D164" s="57" t="s">
        <v>1224</v>
      </c>
      <c r="E164" s="57" t="s">
        <v>1225</v>
      </c>
      <c r="F164" s="57" t="s">
        <v>1226</v>
      </c>
      <c r="G164" s="57" t="s">
        <v>1227</v>
      </c>
      <c r="H164" s="56" t="str">
        <f t="shared" si="1"/>
        <v>CORRECT</v>
      </c>
      <c r="I164" s="56" t="s">
        <v>51</v>
      </c>
      <c r="J164" s="56" t="s">
        <v>51</v>
      </c>
      <c r="K164" s="65" t="s">
        <v>1228</v>
      </c>
      <c r="L164" s="63">
        <v>44977.0</v>
      </c>
      <c r="M164" s="56" t="s">
        <v>42</v>
      </c>
      <c r="N164" s="66" t="s">
        <v>1229</v>
      </c>
    </row>
    <row r="165" ht="60.0" customHeight="1">
      <c r="A165" s="56">
        <v>159.0</v>
      </c>
      <c r="B165" s="57" t="s">
        <v>1230</v>
      </c>
      <c r="C165" s="57" t="s">
        <v>1231</v>
      </c>
      <c r="D165" s="57" t="s">
        <v>1232</v>
      </c>
      <c r="E165" s="57" t="s">
        <v>1233</v>
      </c>
      <c r="F165" s="57" t="s">
        <v>1234</v>
      </c>
      <c r="G165" s="57" t="s">
        <v>1235</v>
      </c>
      <c r="H165" s="56" t="str">
        <f t="shared" si="1"/>
        <v>WRONG</v>
      </c>
      <c r="I165" s="56" t="s">
        <v>50</v>
      </c>
      <c r="J165" s="56" t="s">
        <v>77</v>
      </c>
      <c r="K165" s="65" t="s">
        <v>1236</v>
      </c>
      <c r="L165" s="63">
        <v>32361.0</v>
      </c>
      <c r="M165" s="56" t="s">
        <v>62</v>
      </c>
      <c r="N165" s="66"/>
    </row>
    <row r="166" ht="60.0" customHeight="1">
      <c r="A166" s="56">
        <v>160.0</v>
      </c>
      <c r="B166" s="57" t="s">
        <v>1237</v>
      </c>
      <c r="C166" s="57" t="s">
        <v>1238</v>
      </c>
      <c r="D166" s="57" t="s">
        <v>1239</v>
      </c>
      <c r="E166" s="57" t="s">
        <v>1240</v>
      </c>
      <c r="F166" s="57" t="s">
        <v>1241</v>
      </c>
      <c r="G166" s="57" t="s">
        <v>1059</v>
      </c>
      <c r="H166" s="56" t="str">
        <f t="shared" si="1"/>
        <v>CORRECT</v>
      </c>
      <c r="I166" s="56" t="s">
        <v>60</v>
      </c>
      <c r="J166" s="56" t="s">
        <v>60</v>
      </c>
      <c r="K166" s="65" t="s">
        <v>1242</v>
      </c>
      <c r="L166" s="63">
        <v>29710.0</v>
      </c>
      <c r="M166" s="56" t="s">
        <v>42</v>
      </c>
      <c r="N166" s="66" t="s">
        <v>1243</v>
      </c>
    </row>
    <row r="167" ht="60.0" customHeight="1">
      <c r="A167" s="56">
        <v>161.0</v>
      </c>
      <c r="B167" s="57" t="s">
        <v>1244</v>
      </c>
      <c r="C167" s="57" t="s">
        <v>1245</v>
      </c>
      <c r="D167" s="57" t="s">
        <v>1246</v>
      </c>
      <c r="E167" s="57" t="s">
        <v>1247</v>
      </c>
      <c r="F167" s="57" t="s">
        <v>1248</v>
      </c>
      <c r="G167" s="57" t="s">
        <v>1249</v>
      </c>
      <c r="H167" s="56" t="str">
        <f t="shared" si="1"/>
        <v>WRONG</v>
      </c>
      <c r="I167" s="56" t="s">
        <v>40</v>
      </c>
      <c r="J167" s="56" t="s">
        <v>51</v>
      </c>
      <c r="K167" s="65" t="s">
        <v>2657</v>
      </c>
      <c r="L167" s="63">
        <v>41097.0</v>
      </c>
      <c r="M167" s="56" t="s">
        <v>62</v>
      </c>
      <c r="N167" s="66"/>
    </row>
    <row r="168" ht="60.0" customHeight="1">
      <c r="A168" s="56">
        <v>162.0</v>
      </c>
      <c r="B168" s="57" t="s">
        <v>1251</v>
      </c>
      <c r="C168" s="57" t="s">
        <v>1252</v>
      </c>
      <c r="D168" s="57" t="s">
        <v>1253</v>
      </c>
      <c r="E168" s="57" t="s">
        <v>1254</v>
      </c>
      <c r="F168" s="57" t="s">
        <v>1255</v>
      </c>
      <c r="G168" s="57" t="s">
        <v>1256</v>
      </c>
      <c r="H168" s="56" t="str">
        <f t="shared" si="1"/>
        <v>WRONG</v>
      </c>
      <c r="I168" s="56" t="s">
        <v>77</v>
      </c>
      <c r="J168" s="56" t="s">
        <v>60</v>
      </c>
      <c r="K168" s="65" t="s">
        <v>2658</v>
      </c>
      <c r="L168" s="63">
        <v>48200.0</v>
      </c>
      <c r="M168" s="56" t="s">
        <v>42</v>
      </c>
      <c r="N168" s="66" t="s">
        <v>2659</v>
      </c>
    </row>
    <row r="169" ht="60.0" customHeight="1">
      <c r="A169" s="56">
        <v>163.0</v>
      </c>
      <c r="B169" s="57" t="s">
        <v>1259</v>
      </c>
      <c r="C169" s="57" t="s">
        <v>1260</v>
      </c>
      <c r="D169" s="57" t="s">
        <v>1261</v>
      </c>
      <c r="E169" s="57" t="s">
        <v>1262</v>
      </c>
      <c r="F169" s="57" t="s">
        <v>1263</v>
      </c>
      <c r="G169" s="57" t="s">
        <v>1059</v>
      </c>
      <c r="H169" s="56" t="str">
        <f t="shared" si="1"/>
        <v>WRONG</v>
      </c>
      <c r="I169" s="56" t="s">
        <v>40</v>
      </c>
      <c r="J169" s="56" t="s">
        <v>51</v>
      </c>
      <c r="K169" s="65" t="s">
        <v>1264</v>
      </c>
      <c r="L169" s="63">
        <v>52330.0</v>
      </c>
      <c r="M169" s="56" t="s">
        <v>42</v>
      </c>
      <c r="N169" s="66" t="s">
        <v>1265</v>
      </c>
    </row>
    <row r="170" ht="60.0" customHeight="1">
      <c r="A170" s="56">
        <v>164.0</v>
      </c>
      <c r="B170" s="57" t="s">
        <v>1266</v>
      </c>
      <c r="C170" s="57" t="s">
        <v>1267</v>
      </c>
      <c r="D170" s="57" t="s">
        <v>1268</v>
      </c>
      <c r="E170" s="57" t="s">
        <v>1269</v>
      </c>
      <c r="F170" s="57" t="s">
        <v>1270</v>
      </c>
      <c r="G170" s="57" t="s">
        <v>1271</v>
      </c>
      <c r="H170" s="56" t="str">
        <f t="shared" si="1"/>
        <v>WRONG</v>
      </c>
      <c r="I170" s="56" t="s">
        <v>51</v>
      </c>
      <c r="J170" s="56" t="s">
        <v>50</v>
      </c>
      <c r="K170" s="65" t="s">
        <v>1272</v>
      </c>
      <c r="L170" s="63">
        <v>30503.0</v>
      </c>
      <c r="M170" s="56" t="s">
        <v>62</v>
      </c>
      <c r="N170" s="66"/>
    </row>
    <row r="171" ht="60.0" customHeight="1">
      <c r="A171" s="56">
        <v>165.0</v>
      </c>
      <c r="B171" s="57" t="s">
        <v>1273</v>
      </c>
      <c r="C171" s="57" t="s">
        <v>1274</v>
      </c>
      <c r="D171" s="57" t="s">
        <v>1275</v>
      </c>
      <c r="E171" s="57" t="s">
        <v>1276</v>
      </c>
      <c r="F171" s="57" t="s">
        <v>1277</v>
      </c>
      <c r="G171" s="57" t="s">
        <v>1059</v>
      </c>
      <c r="H171" s="56" t="str">
        <f t="shared" si="1"/>
        <v>WRONG</v>
      </c>
      <c r="I171" s="56" t="s">
        <v>40</v>
      </c>
      <c r="J171" s="56" t="s">
        <v>51</v>
      </c>
      <c r="K171" s="65" t="s">
        <v>2660</v>
      </c>
      <c r="L171" s="63">
        <v>36353.0</v>
      </c>
      <c r="M171" s="56" t="s">
        <v>62</v>
      </c>
      <c r="N171" s="66"/>
    </row>
    <row r="172" ht="60.0" customHeight="1">
      <c r="A172" s="56">
        <v>166.0</v>
      </c>
      <c r="B172" s="57" t="s">
        <v>1279</v>
      </c>
      <c r="C172" s="57" t="s">
        <v>1280</v>
      </c>
      <c r="D172" s="57" t="s">
        <v>1281</v>
      </c>
      <c r="E172" s="57" t="s">
        <v>1282</v>
      </c>
      <c r="F172" s="57" t="s">
        <v>1283</v>
      </c>
      <c r="G172" s="57" t="s">
        <v>1284</v>
      </c>
      <c r="H172" s="56" t="str">
        <f t="shared" si="1"/>
        <v>WRONG</v>
      </c>
      <c r="I172" s="56" t="s">
        <v>60</v>
      </c>
      <c r="J172" s="56" t="s">
        <v>50</v>
      </c>
      <c r="K172" s="65" t="s">
        <v>1285</v>
      </c>
      <c r="L172" s="63">
        <v>39157.0</v>
      </c>
      <c r="M172" s="56" t="s">
        <v>42</v>
      </c>
      <c r="N172" s="66" t="s">
        <v>1286</v>
      </c>
    </row>
    <row r="173" ht="60.0" customHeight="1">
      <c r="A173" s="56">
        <v>167.0</v>
      </c>
      <c r="B173" s="57" t="s">
        <v>1287</v>
      </c>
      <c r="C173" s="57" t="s">
        <v>1288</v>
      </c>
      <c r="D173" s="57" t="s">
        <v>1289</v>
      </c>
      <c r="E173" s="57" t="s">
        <v>1290</v>
      </c>
      <c r="F173" s="57" t="s">
        <v>1291</v>
      </c>
      <c r="G173" s="57" t="s">
        <v>1292</v>
      </c>
      <c r="H173" s="56" t="str">
        <f t="shared" si="1"/>
        <v>WRONG</v>
      </c>
      <c r="I173" s="56" t="s">
        <v>40</v>
      </c>
      <c r="J173" s="56" t="s">
        <v>60</v>
      </c>
      <c r="K173" s="65" t="s">
        <v>2661</v>
      </c>
      <c r="L173" s="63">
        <v>37492.0</v>
      </c>
      <c r="M173" s="56" t="s">
        <v>42</v>
      </c>
      <c r="N173" s="66" t="s">
        <v>2662</v>
      </c>
    </row>
    <row r="174" ht="60.0" customHeight="1">
      <c r="A174" s="56">
        <v>168.0</v>
      </c>
      <c r="B174" s="57" t="s">
        <v>1295</v>
      </c>
      <c r="C174" s="57" t="s">
        <v>1296</v>
      </c>
      <c r="D174" s="57" t="s">
        <v>1297</v>
      </c>
      <c r="E174" s="57" t="s">
        <v>1298</v>
      </c>
      <c r="F174" s="57" t="s">
        <v>1299</v>
      </c>
      <c r="G174" s="57" t="s">
        <v>1300</v>
      </c>
      <c r="H174" s="56" t="str">
        <f t="shared" si="1"/>
        <v>WRONG</v>
      </c>
      <c r="I174" s="56" t="s">
        <v>40</v>
      </c>
      <c r="J174" s="56" t="s">
        <v>77</v>
      </c>
      <c r="K174" s="65" t="s">
        <v>1301</v>
      </c>
      <c r="L174" s="63">
        <v>36321.0</v>
      </c>
      <c r="M174" s="56" t="s">
        <v>62</v>
      </c>
      <c r="N174" s="66"/>
    </row>
    <row r="175" ht="60.0" customHeight="1">
      <c r="A175" s="56">
        <v>169.0</v>
      </c>
      <c r="B175" s="57" t="s">
        <v>1302</v>
      </c>
      <c r="C175" s="57" t="s">
        <v>1303</v>
      </c>
      <c r="D175" s="57" t="s">
        <v>1304</v>
      </c>
      <c r="E175" s="57" t="s">
        <v>1305</v>
      </c>
      <c r="F175" s="57" t="s">
        <v>1306</v>
      </c>
      <c r="G175" s="57" t="s">
        <v>1059</v>
      </c>
      <c r="H175" s="56" t="str">
        <f t="shared" si="1"/>
        <v>CORRECT</v>
      </c>
      <c r="I175" s="56" t="s">
        <v>60</v>
      </c>
      <c r="J175" s="56" t="s">
        <v>60</v>
      </c>
      <c r="K175" s="65" t="s">
        <v>2663</v>
      </c>
      <c r="L175" s="63">
        <v>33195.0</v>
      </c>
      <c r="M175" s="56" t="s">
        <v>62</v>
      </c>
      <c r="N175" s="66"/>
    </row>
    <row r="176" ht="60.0" customHeight="1">
      <c r="A176" s="56">
        <v>170.0</v>
      </c>
      <c r="B176" s="57" t="s">
        <v>1308</v>
      </c>
      <c r="C176" s="57" t="s">
        <v>1309</v>
      </c>
      <c r="D176" s="57" t="s">
        <v>1310</v>
      </c>
      <c r="E176" s="57" t="s">
        <v>1311</v>
      </c>
      <c r="F176" s="57" t="s">
        <v>1312</v>
      </c>
      <c r="G176" s="57" t="s">
        <v>1313</v>
      </c>
      <c r="H176" s="56" t="str">
        <f t="shared" si="1"/>
        <v>CORRECT</v>
      </c>
      <c r="I176" s="56" t="s">
        <v>51</v>
      </c>
      <c r="J176" s="56" t="s">
        <v>51</v>
      </c>
      <c r="K176" s="65" t="s">
        <v>1314</v>
      </c>
      <c r="L176" s="63">
        <v>32747.0</v>
      </c>
      <c r="M176" s="56" t="s">
        <v>42</v>
      </c>
      <c r="N176" s="66" t="s">
        <v>1315</v>
      </c>
    </row>
    <row r="177" ht="60.0" customHeight="1">
      <c r="A177" s="56">
        <v>171.0</v>
      </c>
      <c r="B177" s="57" t="s">
        <v>1316</v>
      </c>
      <c r="C177" s="57" t="s">
        <v>1317</v>
      </c>
      <c r="D177" s="57" t="s">
        <v>1318</v>
      </c>
      <c r="E177" s="57" t="s">
        <v>1319</v>
      </c>
      <c r="F177" s="57" t="s">
        <v>1320</v>
      </c>
      <c r="G177" s="57" t="s">
        <v>1059</v>
      </c>
      <c r="H177" s="56" t="str">
        <f t="shared" si="1"/>
        <v>CORRECT</v>
      </c>
      <c r="I177" s="56" t="s">
        <v>60</v>
      </c>
      <c r="J177" s="56" t="s">
        <v>60</v>
      </c>
      <c r="K177" s="65" t="s">
        <v>1321</v>
      </c>
      <c r="L177" s="63">
        <v>25991.0</v>
      </c>
      <c r="M177" s="56" t="s">
        <v>42</v>
      </c>
      <c r="N177" s="66" t="s">
        <v>1322</v>
      </c>
    </row>
    <row r="178" ht="60.0" customHeight="1">
      <c r="A178" s="56">
        <v>172.0</v>
      </c>
      <c r="B178" s="57" t="s">
        <v>1323</v>
      </c>
      <c r="C178" s="57" t="s">
        <v>1324</v>
      </c>
      <c r="D178" s="57" t="s">
        <v>1325</v>
      </c>
      <c r="E178" s="57" t="s">
        <v>1326</v>
      </c>
      <c r="F178" s="57" t="s">
        <v>1327</v>
      </c>
      <c r="G178" s="57" t="s">
        <v>1059</v>
      </c>
      <c r="H178" s="56" t="str">
        <f t="shared" si="1"/>
        <v>CORRECT</v>
      </c>
      <c r="I178" s="56" t="s">
        <v>50</v>
      </c>
      <c r="J178" s="56" t="s">
        <v>50</v>
      </c>
      <c r="K178" s="65" t="s">
        <v>1328</v>
      </c>
      <c r="L178" s="63">
        <v>40460.0</v>
      </c>
      <c r="M178" s="56" t="s">
        <v>62</v>
      </c>
      <c r="N178" s="66"/>
    </row>
    <row r="179" ht="60.0" customHeight="1">
      <c r="A179" s="56">
        <v>173.0</v>
      </c>
      <c r="B179" s="57" t="s">
        <v>1329</v>
      </c>
      <c r="C179" s="57" t="s">
        <v>1330</v>
      </c>
      <c r="D179" s="57" t="s">
        <v>1331</v>
      </c>
      <c r="E179" s="57" t="s">
        <v>1332</v>
      </c>
      <c r="F179" s="57" t="s">
        <v>1333</v>
      </c>
      <c r="G179" s="57" t="s">
        <v>1334</v>
      </c>
      <c r="H179" s="56" t="str">
        <f t="shared" si="1"/>
        <v>CORRECT</v>
      </c>
      <c r="I179" s="56" t="s">
        <v>40</v>
      </c>
      <c r="J179" s="56" t="s">
        <v>40</v>
      </c>
      <c r="K179" s="65" t="s">
        <v>1335</v>
      </c>
      <c r="L179" s="63">
        <v>38994.0</v>
      </c>
      <c r="M179" s="56" t="s">
        <v>42</v>
      </c>
      <c r="N179" s="66" t="s">
        <v>1336</v>
      </c>
    </row>
    <row r="180" ht="60.0" customHeight="1">
      <c r="A180" s="56">
        <v>174.0</v>
      </c>
      <c r="B180" s="57" t="s">
        <v>1337</v>
      </c>
      <c r="C180" s="57" t="s">
        <v>1338</v>
      </c>
      <c r="D180" s="57" t="s">
        <v>1339</v>
      </c>
      <c r="E180" s="57" t="s">
        <v>1340</v>
      </c>
      <c r="F180" s="57" t="s">
        <v>1341</v>
      </c>
      <c r="G180" s="57" t="s">
        <v>1342</v>
      </c>
      <c r="H180" s="56" t="str">
        <f t="shared" si="1"/>
        <v>CORRECT</v>
      </c>
      <c r="I180" s="56" t="s">
        <v>77</v>
      </c>
      <c r="J180" s="56" t="s">
        <v>77</v>
      </c>
      <c r="K180" s="65" t="s">
        <v>1343</v>
      </c>
      <c r="L180" s="63">
        <v>30451.0</v>
      </c>
      <c r="M180" s="56" t="s">
        <v>62</v>
      </c>
      <c r="N180" s="67"/>
    </row>
    <row r="181" ht="60.0" customHeight="1">
      <c r="A181" s="56">
        <v>175.0</v>
      </c>
      <c r="B181" s="57" t="s">
        <v>1344</v>
      </c>
      <c r="C181" s="57" t="s">
        <v>1345</v>
      </c>
      <c r="D181" s="57" t="s">
        <v>1346</v>
      </c>
      <c r="E181" s="57" t="s">
        <v>1347</v>
      </c>
      <c r="F181" s="57" t="s">
        <v>1348</v>
      </c>
      <c r="G181" s="57" t="s">
        <v>1349</v>
      </c>
      <c r="H181" s="56" t="str">
        <f t="shared" si="1"/>
        <v>CORRECT</v>
      </c>
      <c r="I181" s="56" t="s">
        <v>50</v>
      </c>
      <c r="J181" s="56" t="s">
        <v>50</v>
      </c>
      <c r="K181" s="65" t="s">
        <v>2664</v>
      </c>
      <c r="L181" s="63">
        <v>43778.0</v>
      </c>
      <c r="M181" s="56" t="s">
        <v>62</v>
      </c>
      <c r="N181" s="66"/>
    </row>
    <row r="182" ht="60.0" customHeight="1">
      <c r="A182" s="56">
        <v>176.0</v>
      </c>
      <c r="B182" s="57" t="s">
        <v>1351</v>
      </c>
      <c r="C182" s="57" t="s">
        <v>1352</v>
      </c>
      <c r="D182" s="57" t="s">
        <v>1353</v>
      </c>
      <c r="E182" s="57" t="s">
        <v>1354</v>
      </c>
      <c r="F182" s="57" t="s">
        <v>1355</v>
      </c>
      <c r="G182" s="57" t="s">
        <v>1356</v>
      </c>
      <c r="H182" s="56" t="str">
        <f t="shared" si="1"/>
        <v>CORRECT</v>
      </c>
      <c r="I182" s="56" t="s">
        <v>50</v>
      </c>
      <c r="J182" s="56" t="s">
        <v>50</v>
      </c>
      <c r="K182" s="65" t="s">
        <v>1357</v>
      </c>
      <c r="L182" s="63">
        <v>32447.0</v>
      </c>
      <c r="M182" s="56" t="s">
        <v>62</v>
      </c>
      <c r="N182" s="66"/>
    </row>
    <row r="183" ht="60.0" customHeight="1">
      <c r="A183" s="56">
        <v>177.0</v>
      </c>
      <c r="B183" s="57" t="s">
        <v>1358</v>
      </c>
      <c r="C183" s="57" t="s">
        <v>1359</v>
      </c>
      <c r="D183" s="57" t="s">
        <v>1360</v>
      </c>
      <c r="E183" s="57" t="s">
        <v>1361</v>
      </c>
      <c r="F183" s="57" t="s">
        <v>1362</v>
      </c>
      <c r="G183" s="57" t="s">
        <v>1363</v>
      </c>
      <c r="H183" s="56" t="str">
        <f t="shared" si="1"/>
        <v>CORRECT</v>
      </c>
      <c r="I183" s="56" t="s">
        <v>50</v>
      </c>
      <c r="J183" s="56" t="s">
        <v>50</v>
      </c>
      <c r="K183" s="65" t="s">
        <v>1364</v>
      </c>
      <c r="L183" s="63">
        <v>35616.0</v>
      </c>
      <c r="M183" s="56" t="s">
        <v>62</v>
      </c>
      <c r="N183" s="66"/>
    </row>
    <row r="184" ht="60.0" customHeight="1">
      <c r="A184" s="56">
        <v>178.0</v>
      </c>
      <c r="B184" s="57" t="s">
        <v>1365</v>
      </c>
      <c r="C184" s="57" t="s">
        <v>1366</v>
      </c>
      <c r="D184" s="57" t="s">
        <v>1367</v>
      </c>
      <c r="E184" s="57" t="s">
        <v>1368</v>
      </c>
      <c r="F184" s="57" t="s">
        <v>1369</v>
      </c>
      <c r="G184" s="57" t="s">
        <v>1370</v>
      </c>
      <c r="H184" s="56" t="str">
        <f t="shared" si="1"/>
        <v>CORRECT</v>
      </c>
      <c r="I184" s="56" t="s">
        <v>40</v>
      </c>
      <c r="J184" s="56" t="s">
        <v>40</v>
      </c>
      <c r="K184" s="65" t="s">
        <v>1371</v>
      </c>
      <c r="L184" s="63">
        <v>39060.0</v>
      </c>
      <c r="M184" s="56" t="s">
        <v>42</v>
      </c>
      <c r="N184" s="66" t="s">
        <v>1372</v>
      </c>
    </row>
    <row r="185" ht="60.0" customHeight="1">
      <c r="A185" s="56">
        <v>179.0</v>
      </c>
      <c r="B185" s="57" t="s">
        <v>1373</v>
      </c>
      <c r="C185" s="57" t="s">
        <v>1374</v>
      </c>
      <c r="D185" s="57" t="s">
        <v>1375</v>
      </c>
      <c r="E185" s="57" t="s">
        <v>1376</v>
      </c>
      <c r="F185" s="57" t="s">
        <v>1377</v>
      </c>
      <c r="G185" s="57" t="s">
        <v>1378</v>
      </c>
      <c r="H185" s="56" t="str">
        <f t="shared" si="1"/>
        <v>WRONG</v>
      </c>
      <c r="I185" s="56" t="s">
        <v>51</v>
      </c>
      <c r="J185" s="56" t="s">
        <v>50</v>
      </c>
      <c r="K185" s="65" t="s">
        <v>1379</v>
      </c>
      <c r="L185" s="63">
        <v>35668.0</v>
      </c>
      <c r="M185" s="56" t="s">
        <v>62</v>
      </c>
      <c r="N185" s="66"/>
    </row>
    <row r="186" ht="60.0" customHeight="1">
      <c r="A186" s="56">
        <v>180.0</v>
      </c>
      <c r="B186" s="57" t="s">
        <v>1380</v>
      </c>
      <c r="C186" s="57" t="s">
        <v>1381</v>
      </c>
      <c r="D186" s="57" t="s">
        <v>1382</v>
      </c>
      <c r="E186" s="57" t="s">
        <v>1383</v>
      </c>
      <c r="F186" s="57" t="s">
        <v>1384</v>
      </c>
      <c r="G186" s="57" t="s">
        <v>1385</v>
      </c>
      <c r="H186" s="56" t="str">
        <f t="shared" si="1"/>
        <v>CORRECT</v>
      </c>
      <c r="I186" s="56" t="s">
        <v>77</v>
      </c>
      <c r="J186" s="56" t="s">
        <v>77</v>
      </c>
      <c r="K186" s="65" t="s">
        <v>1386</v>
      </c>
      <c r="L186" s="63">
        <v>36614.0</v>
      </c>
      <c r="M186" s="56" t="s">
        <v>62</v>
      </c>
      <c r="N186" s="66"/>
    </row>
    <row r="187" ht="60.0" customHeight="1">
      <c r="A187" s="56">
        <v>181.0</v>
      </c>
      <c r="B187" s="57" t="s">
        <v>1387</v>
      </c>
      <c r="C187" s="57" t="s">
        <v>1388</v>
      </c>
      <c r="D187" s="57" t="s">
        <v>1389</v>
      </c>
      <c r="E187" s="57" t="s">
        <v>1390</v>
      </c>
      <c r="F187" s="57" t="s">
        <v>1391</v>
      </c>
      <c r="G187" s="57" t="s">
        <v>1392</v>
      </c>
      <c r="H187" s="56" t="str">
        <f t="shared" si="1"/>
        <v>CORRECT</v>
      </c>
      <c r="I187" s="56" t="s">
        <v>40</v>
      </c>
      <c r="J187" s="56" t="s">
        <v>40</v>
      </c>
      <c r="K187" s="65" t="s">
        <v>1393</v>
      </c>
      <c r="L187" s="63">
        <v>35969.0</v>
      </c>
      <c r="M187" s="56" t="s">
        <v>62</v>
      </c>
      <c r="N187" s="66"/>
    </row>
    <row r="188" ht="60.0" customHeight="1">
      <c r="A188" s="56">
        <v>182.0</v>
      </c>
      <c r="B188" s="57" t="s">
        <v>1394</v>
      </c>
      <c r="C188" s="57" t="s">
        <v>1395</v>
      </c>
      <c r="D188" s="57" t="s">
        <v>1396</v>
      </c>
      <c r="E188" s="57" t="s">
        <v>1397</v>
      </c>
      <c r="F188" s="57" t="s">
        <v>1398</v>
      </c>
      <c r="G188" s="57" t="s">
        <v>1399</v>
      </c>
      <c r="H188" s="56" t="str">
        <f t="shared" si="1"/>
        <v>CORRECT</v>
      </c>
      <c r="I188" s="56" t="s">
        <v>50</v>
      </c>
      <c r="J188" s="56" t="s">
        <v>50</v>
      </c>
      <c r="K188" s="65" t="s">
        <v>1400</v>
      </c>
      <c r="L188" s="63">
        <v>27762.0</v>
      </c>
      <c r="M188" s="56" t="s">
        <v>62</v>
      </c>
      <c r="N188" s="66"/>
    </row>
    <row r="189" ht="60.0" customHeight="1">
      <c r="A189" s="56">
        <v>183.0</v>
      </c>
      <c r="B189" s="57" t="s">
        <v>1401</v>
      </c>
      <c r="C189" s="57" t="s">
        <v>1402</v>
      </c>
      <c r="D189" s="57" t="s">
        <v>1403</v>
      </c>
      <c r="E189" s="57" t="s">
        <v>1404</v>
      </c>
      <c r="F189" s="57" t="s">
        <v>1405</v>
      </c>
      <c r="G189" s="57" t="s">
        <v>1406</v>
      </c>
      <c r="H189" s="56" t="str">
        <f t="shared" si="1"/>
        <v>CORRECT</v>
      </c>
      <c r="I189" s="56" t="s">
        <v>51</v>
      </c>
      <c r="J189" s="56" t="s">
        <v>51</v>
      </c>
      <c r="K189" s="65" t="s">
        <v>1407</v>
      </c>
      <c r="L189" s="63">
        <v>35833.0</v>
      </c>
      <c r="M189" s="56" t="s">
        <v>62</v>
      </c>
      <c r="N189" s="67"/>
    </row>
    <row r="190" ht="60.0" customHeight="1">
      <c r="A190" s="56">
        <v>184.0</v>
      </c>
      <c r="B190" s="57" t="s">
        <v>1408</v>
      </c>
      <c r="C190" s="57" t="s">
        <v>1409</v>
      </c>
      <c r="D190" s="57" t="s">
        <v>1410</v>
      </c>
      <c r="E190" s="57" t="s">
        <v>1411</v>
      </c>
      <c r="F190" s="57" t="s">
        <v>1412</v>
      </c>
      <c r="G190" s="57" t="s">
        <v>1413</v>
      </c>
      <c r="H190" s="56" t="str">
        <f t="shared" si="1"/>
        <v>CORRECT</v>
      </c>
      <c r="I190" s="56" t="s">
        <v>51</v>
      </c>
      <c r="J190" s="56" t="s">
        <v>51</v>
      </c>
      <c r="K190" s="65" t="s">
        <v>1414</v>
      </c>
      <c r="L190" s="63">
        <v>34387.0</v>
      </c>
      <c r="M190" s="56" t="s">
        <v>62</v>
      </c>
      <c r="N190" s="67"/>
    </row>
    <row r="191" ht="60.0" customHeight="1">
      <c r="A191" s="56">
        <v>185.0</v>
      </c>
      <c r="B191" s="57" t="s">
        <v>1415</v>
      </c>
      <c r="C191" s="57" t="s">
        <v>1416</v>
      </c>
      <c r="D191" s="57" t="s">
        <v>1417</v>
      </c>
      <c r="E191" s="57" t="s">
        <v>1418</v>
      </c>
      <c r="F191" s="57" t="s">
        <v>1419</v>
      </c>
      <c r="G191" s="57" t="s">
        <v>1420</v>
      </c>
      <c r="H191" s="56" t="str">
        <f t="shared" si="1"/>
        <v>CORRECT</v>
      </c>
      <c r="I191" s="56" t="s">
        <v>60</v>
      </c>
      <c r="J191" s="56" t="s">
        <v>60</v>
      </c>
      <c r="K191" s="65" t="s">
        <v>1421</v>
      </c>
      <c r="L191" s="63">
        <v>35726.0</v>
      </c>
      <c r="M191" s="56" t="s">
        <v>62</v>
      </c>
      <c r="N191" s="67"/>
    </row>
    <row r="192" ht="60.0" customHeight="1">
      <c r="A192" s="56">
        <v>186.0</v>
      </c>
      <c r="B192" s="57" t="s">
        <v>1422</v>
      </c>
      <c r="C192" s="57" t="s">
        <v>1423</v>
      </c>
      <c r="D192" s="57" t="s">
        <v>1424</v>
      </c>
      <c r="E192" s="57" t="s">
        <v>1425</v>
      </c>
      <c r="F192" s="57" t="s">
        <v>1426</v>
      </c>
      <c r="G192" s="57" t="s">
        <v>1427</v>
      </c>
      <c r="H192" s="56" t="str">
        <f t="shared" si="1"/>
        <v>CORRECT</v>
      </c>
      <c r="I192" s="56" t="s">
        <v>77</v>
      </c>
      <c r="J192" s="56" t="s">
        <v>77</v>
      </c>
      <c r="K192" s="65" t="s">
        <v>1428</v>
      </c>
      <c r="L192" s="63">
        <v>47531.0</v>
      </c>
      <c r="M192" s="56" t="s">
        <v>42</v>
      </c>
      <c r="N192" s="66" t="s">
        <v>1429</v>
      </c>
    </row>
    <row r="193" ht="60.0" customHeight="1">
      <c r="A193" s="56">
        <v>187.0</v>
      </c>
      <c r="B193" s="57" t="s">
        <v>1430</v>
      </c>
      <c r="C193" s="57" t="s">
        <v>1431</v>
      </c>
      <c r="D193" s="57" t="s">
        <v>1432</v>
      </c>
      <c r="E193" s="57" t="s">
        <v>1433</v>
      </c>
      <c r="F193" s="57" t="s">
        <v>1434</v>
      </c>
      <c r="G193" s="57" t="s">
        <v>1435</v>
      </c>
      <c r="H193" s="56" t="str">
        <f t="shared" si="1"/>
        <v>CORRECT</v>
      </c>
      <c r="I193" s="56" t="s">
        <v>51</v>
      </c>
      <c r="J193" s="56" t="s">
        <v>51</v>
      </c>
      <c r="K193" s="65" t="s">
        <v>1436</v>
      </c>
      <c r="L193" s="63">
        <v>41701.0</v>
      </c>
      <c r="M193" s="56" t="s">
        <v>42</v>
      </c>
      <c r="N193" s="66" t="s">
        <v>1437</v>
      </c>
    </row>
    <row r="194" ht="60.0" customHeight="1">
      <c r="A194" s="56">
        <v>188.0</v>
      </c>
      <c r="B194" s="57" t="s">
        <v>1438</v>
      </c>
      <c r="C194" s="57" t="s">
        <v>1439</v>
      </c>
      <c r="D194" s="57" t="s">
        <v>1440</v>
      </c>
      <c r="E194" s="57" t="s">
        <v>1441</v>
      </c>
      <c r="F194" s="57" t="s">
        <v>1442</v>
      </c>
      <c r="G194" s="57" t="s">
        <v>1443</v>
      </c>
      <c r="H194" s="56" t="str">
        <f t="shared" si="1"/>
        <v>WRONG</v>
      </c>
      <c r="I194" s="56" t="s">
        <v>50</v>
      </c>
      <c r="J194" s="56" t="s">
        <v>77</v>
      </c>
      <c r="K194" s="65" t="s">
        <v>1444</v>
      </c>
      <c r="L194" s="63">
        <v>44826.0</v>
      </c>
      <c r="M194" s="56" t="s">
        <v>42</v>
      </c>
      <c r="N194" s="66" t="s">
        <v>1445</v>
      </c>
    </row>
    <row r="195" ht="60.0" customHeight="1">
      <c r="A195" s="56">
        <v>189.0</v>
      </c>
      <c r="B195" s="57" t="s">
        <v>1446</v>
      </c>
      <c r="C195" s="57" t="s">
        <v>1447</v>
      </c>
      <c r="D195" s="57" t="s">
        <v>1448</v>
      </c>
      <c r="E195" s="57" t="s">
        <v>1449</v>
      </c>
      <c r="F195" s="57" t="s">
        <v>1450</v>
      </c>
      <c r="G195" s="57" t="s">
        <v>1059</v>
      </c>
      <c r="H195" s="56" t="str">
        <f t="shared" si="1"/>
        <v>CORRECT</v>
      </c>
      <c r="I195" s="56" t="s">
        <v>50</v>
      </c>
      <c r="J195" s="56" t="s">
        <v>50</v>
      </c>
      <c r="K195" s="65" t="s">
        <v>1451</v>
      </c>
      <c r="L195" s="63">
        <v>35152.0</v>
      </c>
      <c r="M195" s="56" t="s">
        <v>42</v>
      </c>
      <c r="N195" s="66" t="s">
        <v>1452</v>
      </c>
    </row>
    <row r="196" ht="60.0" customHeight="1">
      <c r="A196" s="56">
        <v>190.0</v>
      </c>
      <c r="B196" s="57" t="s">
        <v>1453</v>
      </c>
      <c r="C196" s="57" t="s">
        <v>1454</v>
      </c>
      <c r="D196" s="57" t="s">
        <v>1455</v>
      </c>
      <c r="E196" s="57" t="s">
        <v>1456</v>
      </c>
      <c r="F196" s="57" t="s">
        <v>1457</v>
      </c>
      <c r="G196" s="57" t="s">
        <v>1458</v>
      </c>
      <c r="H196" s="56" t="str">
        <f t="shared" si="1"/>
        <v>CORRECT</v>
      </c>
      <c r="I196" s="56" t="s">
        <v>77</v>
      </c>
      <c r="J196" s="56" t="s">
        <v>77</v>
      </c>
      <c r="K196" s="65" t="s">
        <v>1459</v>
      </c>
      <c r="L196" s="63">
        <v>49086.0</v>
      </c>
      <c r="M196" s="56" t="s">
        <v>42</v>
      </c>
      <c r="N196" s="66" t="s">
        <v>1460</v>
      </c>
    </row>
    <row r="197" ht="60.0" customHeight="1">
      <c r="A197" s="56">
        <v>191.0</v>
      </c>
      <c r="B197" s="57" t="s">
        <v>1461</v>
      </c>
      <c r="C197" s="57" t="s">
        <v>1462</v>
      </c>
      <c r="D197" s="57" t="s">
        <v>1463</v>
      </c>
      <c r="E197" s="57" t="s">
        <v>1464</v>
      </c>
      <c r="F197" s="57" t="s">
        <v>1465</v>
      </c>
      <c r="G197" s="57" t="s">
        <v>1466</v>
      </c>
      <c r="H197" s="56" t="str">
        <f t="shared" si="1"/>
        <v>CORRECT</v>
      </c>
      <c r="I197" s="56" t="s">
        <v>60</v>
      </c>
      <c r="J197" s="56" t="s">
        <v>60</v>
      </c>
      <c r="K197" s="65" t="s">
        <v>1467</v>
      </c>
      <c r="L197" s="63">
        <v>46700.0</v>
      </c>
      <c r="M197" s="56" t="s">
        <v>62</v>
      </c>
      <c r="N197" s="66"/>
    </row>
    <row r="198" ht="60.0" customHeight="1">
      <c r="A198" s="56">
        <v>192.0</v>
      </c>
      <c r="B198" s="57" t="s">
        <v>1468</v>
      </c>
      <c r="C198" s="57" t="s">
        <v>1469</v>
      </c>
      <c r="D198" s="57" t="s">
        <v>1470</v>
      </c>
      <c r="E198" s="57" t="s">
        <v>1471</v>
      </c>
      <c r="F198" s="57" t="s">
        <v>1472</v>
      </c>
      <c r="G198" s="57" t="s">
        <v>1473</v>
      </c>
      <c r="H198" s="56" t="str">
        <f t="shared" si="1"/>
        <v>WRONG</v>
      </c>
      <c r="I198" s="56" t="s">
        <v>40</v>
      </c>
      <c r="J198" s="56" t="s">
        <v>50</v>
      </c>
      <c r="K198" s="65" t="s">
        <v>1474</v>
      </c>
      <c r="L198" s="63">
        <v>33290.0</v>
      </c>
      <c r="M198" s="56" t="s">
        <v>42</v>
      </c>
      <c r="N198" s="66" t="s">
        <v>1475</v>
      </c>
    </row>
    <row r="199" ht="60.0" customHeight="1">
      <c r="A199" s="56">
        <v>193.0</v>
      </c>
      <c r="B199" s="57" t="s">
        <v>1476</v>
      </c>
      <c r="C199" s="57" t="s">
        <v>1477</v>
      </c>
      <c r="D199" s="57" t="s">
        <v>1478</v>
      </c>
      <c r="E199" s="57" t="s">
        <v>1479</v>
      </c>
      <c r="F199" s="57" t="s">
        <v>1116</v>
      </c>
      <c r="G199" s="57" t="s">
        <v>1480</v>
      </c>
      <c r="H199" s="56" t="str">
        <f t="shared" si="1"/>
        <v>CORRECT</v>
      </c>
      <c r="I199" s="56" t="s">
        <v>60</v>
      </c>
      <c r="J199" s="56" t="s">
        <v>60</v>
      </c>
      <c r="K199" s="65" t="s">
        <v>1481</v>
      </c>
      <c r="L199" s="63">
        <v>35550.0</v>
      </c>
      <c r="M199" s="56" t="s">
        <v>42</v>
      </c>
      <c r="N199" s="66" t="s">
        <v>1482</v>
      </c>
    </row>
    <row r="200" ht="60.0" customHeight="1">
      <c r="A200" s="56">
        <v>194.0</v>
      </c>
      <c r="B200" s="57" t="s">
        <v>1483</v>
      </c>
      <c r="C200" s="57" t="s">
        <v>1484</v>
      </c>
      <c r="D200" s="57" t="s">
        <v>1485</v>
      </c>
      <c r="E200" s="57" t="s">
        <v>1486</v>
      </c>
      <c r="F200" s="57" t="s">
        <v>1487</v>
      </c>
      <c r="G200" s="57" t="s">
        <v>1488</v>
      </c>
      <c r="H200" s="56" t="str">
        <f t="shared" si="1"/>
        <v>CORRECT</v>
      </c>
      <c r="I200" s="56" t="s">
        <v>50</v>
      </c>
      <c r="J200" s="56" t="s">
        <v>50</v>
      </c>
      <c r="K200" s="65" t="s">
        <v>1489</v>
      </c>
      <c r="L200" s="63">
        <v>32943.0</v>
      </c>
      <c r="M200" s="56" t="s">
        <v>42</v>
      </c>
      <c r="N200" s="66" t="s">
        <v>1069</v>
      </c>
    </row>
    <row r="201" ht="60.0" customHeight="1">
      <c r="A201" s="56">
        <v>195.0</v>
      </c>
      <c r="B201" s="57" t="s">
        <v>1490</v>
      </c>
      <c r="C201" s="57" t="s">
        <v>1491</v>
      </c>
      <c r="D201" s="57" t="s">
        <v>1492</v>
      </c>
      <c r="E201" s="57" t="s">
        <v>1493</v>
      </c>
      <c r="F201" s="57" t="s">
        <v>1494</v>
      </c>
      <c r="G201" s="57" t="s">
        <v>1495</v>
      </c>
      <c r="H201" s="56" t="str">
        <f t="shared" si="1"/>
        <v>WRONG</v>
      </c>
      <c r="I201" s="56" t="s">
        <v>60</v>
      </c>
      <c r="J201" s="56" t="s">
        <v>40</v>
      </c>
      <c r="K201" s="65" t="s">
        <v>1496</v>
      </c>
      <c r="L201" s="63">
        <v>37812.0</v>
      </c>
      <c r="M201" s="56" t="s">
        <v>62</v>
      </c>
      <c r="N201" s="66"/>
    </row>
    <row r="202" ht="60.0" customHeight="1">
      <c r="A202" s="56">
        <v>196.0</v>
      </c>
      <c r="B202" s="57" t="s">
        <v>1497</v>
      </c>
      <c r="C202" s="57" t="s">
        <v>1498</v>
      </c>
      <c r="D202" s="57" t="s">
        <v>1499</v>
      </c>
      <c r="E202" s="57" t="s">
        <v>1500</v>
      </c>
      <c r="F202" s="57" t="s">
        <v>1501</v>
      </c>
      <c r="G202" s="57" t="s">
        <v>1502</v>
      </c>
      <c r="H202" s="56" t="str">
        <f t="shared" si="1"/>
        <v>CORRECT</v>
      </c>
      <c r="I202" s="56" t="s">
        <v>40</v>
      </c>
      <c r="J202" s="56" t="s">
        <v>40</v>
      </c>
      <c r="K202" s="65" t="s">
        <v>1503</v>
      </c>
      <c r="L202" s="63">
        <v>35304.0</v>
      </c>
      <c r="M202" s="56" t="s">
        <v>42</v>
      </c>
      <c r="N202" s="66" t="s">
        <v>1069</v>
      </c>
    </row>
    <row r="203" ht="60.0" customHeight="1">
      <c r="A203" s="56">
        <v>197.0</v>
      </c>
      <c r="B203" s="57" t="s">
        <v>1504</v>
      </c>
      <c r="C203" s="57" t="s">
        <v>1505</v>
      </c>
      <c r="D203" s="57" t="s">
        <v>1506</v>
      </c>
      <c r="E203" s="57" t="s">
        <v>1507</v>
      </c>
      <c r="F203" s="57" t="s">
        <v>1508</v>
      </c>
      <c r="G203" s="57" t="s">
        <v>1059</v>
      </c>
      <c r="H203" s="56" t="str">
        <f t="shared" si="1"/>
        <v>WRONG</v>
      </c>
      <c r="I203" s="56" t="s">
        <v>77</v>
      </c>
      <c r="J203" s="56" t="s">
        <v>60</v>
      </c>
      <c r="K203" s="65" t="s">
        <v>1509</v>
      </c>
      <c r="L203" s="63">
        <v>35480.0</v>
      </c>
      <c r="M203" s="56" t="s">
        <v>42</v>
      </c>
      <c r="N203" s="66" t="s">
        <v>1510</v>
      </c>
    </row>
    <row r="204" ht="60.0" customHeight="1">
      <c r="A204" s="56">
        <v>198.0</v>
      </c>
      <c r="B204" s="57" t="s">
        <v>1511</v>
      </c>
      <c r="C204" s="57" t="s">
        <v>1512</v>
      </c>
      <c r="D204" s="57" t="s">
        <v>1513</v>
      </c>
      <c r="E204" s="57" t="s">
        <v>1514</v>
      </c>
      <c r="F204" s="57" t="s">
        <v>1515</v>
      </c>
      <c r="G204" s="57" t="s">
        <v>1516</v>
      </c>
      <c r="H204" s="56" t="str">
        <f t="shared" si="1"/>
        <v>CORRECT</v>
      </c>
      <c r="I204" s="56" t="s">
        <v>77</v>
      </c>
      <c r="J204" s="56" t="s">
        <v>77</v>
      </c>
      <c r="K204" s="65" t="s">
        <v>1517</v>
      </c>
      <c r="L204" s="63">
        <v>30558.0</v>
      </c>
      <c r="M204" s="56" t="s">
        <v>42</v>
      </c>
      <c r="N204" s="66" t="s">
        <v>1518</v>
      </c>
    </row>
    <row r="205" ht="60.0" customHeight="1">
      <c r="A205" s="56">
        <v>199.0</v>
      </c>
      <c r="B205" s="57" t="s">
        <v>1519</v>
      </c>
      <c r="C205" s="57" t="s">
        <v>1520</v>
      </c>
      <c r="D205" s="57" t="s">
        <v>1521</v>
      </c>
      <c r="E205" s="57" t="s">
        <v>1522</v>
      </c>
      <c r="F205" s="57" t="s">
        <v>1523</v>
      </c>
      <c r="G205" s="57" t="s">
        <v>1524</v>
      </c>
      <c r="H205" s="56" t="str">
        <f t="shared" si="1"/>
        <v>CORRECT</v>
      </c>
      <c r="I205" s="56" t="s">
        <v>51</v>
      </c>
      <c r="J205" s="56" t="s">
        <v>51</v>
      </c>
      <c r="K205" s="65" t="s">
        <v>2665</v>
      </c>
      <c r="L205" s="63">
        <v>33171.0</v>
      </c>
      <c r="M205" s="56" t="s">
        <v>62</v>
      </c>
      <c r="N205" s="67"/>
    </row>
    <row r="206" ht="60.0" customHeight="1">
      <c r="A206" s="56">
        <v>200.0</v>
      </c>
      <c r="B206" s="57" t="s">
        <v>1526</v>
      </c>
      <c r="C206" s="57" t="s">
        <v>1527</v>
      </c>
      <c r="D206" s="57" t="s">
        <v>1528</v>
      </c>
      <c r="E206" s="57" t="s">
        <v>1529</v>
      </c>
      <c r="F206" s="57" t="s">
        <v>1530</v>
      </c>
      <c r="G206" s="57" t="s">
        <v>1531</v>
      </c>
      <c r="H206" s="56" t="str">
        <f t="shared" si="1"/>
        <v>WRONG</v>
      </c>
      <c r="I206" s="56" t="s">
        <v>40</v>
      </c>
      <c r="J206" s="56" t="s">
        <v>77</v>
      </c>
      <c r="K206" s="65" t="s">
        <v>1532</v>
      </c>
      <c r="L206" s="63">
        <v>32860.0</v>
      </c>
      <c r="M206" s="56" t="s">
        <v>62</v>
      </c>
      <c r="N206" s="66"/>
    </row>
    <row r="207" ht="60.0" customHeight="1">
      <c r="A207" s="56">
        <v>201.0</v>
      </c>
      <c r="B207" s="57" t="s">
        <v>1533</v>
      </c>
      <c r="C207" s="57" t="s">
        <v>1534</v>
      </c>
      <c r="D207" s="57" t="s">
        <v>1535</v>
      </c>
      <c r="E207" s="57" t="s">
        <v>1536</v>
      </c>
      <c r="F207" s="57" t="s">
        <v>1537</v>
      </c>
      <c r="G207" s="57" t="s">
        <v>1538</v>
      </c>
      <c r="H207" s="56" t="str">
        <f t="shared" si="1"/>
        <v>CORRECT</v>
      </c>
      <c r="I207" s="56" t="s">
        <v>60</v>
      </c>
      <c r="J207" s="56" t="s">
        <v>60</v>
      </c>
      <c r="K207" s="65" t="s">
        <v>1539</v>
      </c>
      <c r="L207" s="63">
        <v>28690.0</v>
      </c>
      <c r="M207" s="56" t="s">
        <v>62</v>
      </c>
      <c r="N207" s="66"/>
    </row>
    <row r="208" ht="60.0" customHeight="1">
      <c r="A208" s="56">
        <v>202.0</v>
      </c>
      <c r="B208" s="57" t="s">
        <v>1540</v>
      </c>
      <c r="C208" s="57" t="s">
        <v>1541</v>
      </c>
      <c r="D208" s="57" t="s">
        <v>1542</v>
      </c>
      <c r="E208" s="57" t="s">
        <v>1543</v>
      </c>
      <c r="F208" s="57" t="s">
        <v>1544</v>
      </c>
      <c r="G208" s="57" t="s">
        <v>1059</v>
      </c>
      <c r="H208" s="56" t="str">
        <f t="shared" si="1"/>
        <v>WRONG</v>
      </c>
      <c r="I208" s="56" t="s">
        <v>77</v>
      </c>
      <c r="J208" s="56" t="s">
        <v>60</v>
      </c>
      <c r="K208" s="65" t="s">
        <v>1545</v>
      </c>
      <c r="L208" s="63">
        <v>34967.0</v>
      </c>
      <c r="M208" s="56" t="s">
        <v>42</v>
      </c>
      <c r="N208" s="66" t="s">
        <v>1546</v>
      </c>
    </row>
    <row r="209" ht="60.0" customHeight="1">
      <c r="A209" s="56">
        <v>203.0</v>
      </c>
      <c r="B209" s="57" t="s">
        <v>1547</v>
      </c>
      <c r="C209" s="57" t="s">
        <v>1548</v>
      </c>
      <c r="D209" s="57" t="s">
        <v>1549</v>
      </c>
      <c r="E209" s="57" t="s">
        <v>1550</v>
      </c>
      <c r="F209" s="57" t="s">
        <v>1551</v>
      </c>
      <c r="G209" s="57" t="s">
        <v>1552</v>
      </c>
      <c r="H209" s="56" t="str">
        <f t="shared" si="1"/>
        <v>WRONG</v>
      </c>
      <c r="I209" s="56" t="s">
        <v>51</v>
      </c>
      <c r="J209" s="56" t="s">
        <v>40</v>
      </c>
      <c r="K209" s="65" t="s">
        <v>1553</v>
      </c>
      <c r="L209" s="63">
        <v>33185.0</v>
      </c>
      <c r="M209" s="56" t="s">
        <v>42</v>
      </c>
      <c r="N209" s="66" t="s">
        <v>1554</v>
      </c>
    </row>
    <row r="210" ht="60.0" customHeight="1">
      <c r="A210" s="56">
        <v>204.0</v>
      </c>
      <c r="B210" s="57" t="s">
        <v>1555</v>
      </c>
      <c r="C210" s="57" t="s">
        <v>1556</v>
      </c>
      <c r="D210" s="57" t="s">
        <v>1557</v>
      </c>
      <c r="E210" s="57" t="s">
        <v>1558</v>
      </c>
      <c r="F210" s="57" t="s">
        <v>1559</v>
      </c>
      <c r="G210" s="57" t="s">
        <v>1560</v>
      </c>
      <c r="H210" s="56" t="str">
        <f t="shared" si="1"/>
        <v>WRONG</v>
      </c>
      <c r="I210" s="56" t="s">
        <v>60</v>
      </c>
      <c r="J210" s="56" t="s">
        <v>51</v>
      </c>
      <c r="K210" s="65" t="s">
        <v>1561</v>
      </c>
      <c r="L210" s="63">
        <v>38791.0</v>
      </c>
      <c r="M210" s="56" t="s">
        <v>42</v>
      </c>
      <c r="N210" s="66" t="s">
        <v>1562</v>
      </c>
    </row>
    <row r="211" ht="60.0" customHeight="1">
      <c r="A211" s="56">
        <v>205.0</v>
      </c>
      <c r="B211" s="57" t="s">
        <v>1563</v>
      </c>
      <c r="C211" s="57" t="s">
        <v>1564</v>
      </c>
      <c r="D211" s="57" t="s">
        <v>1565</v>
      </c>
      <c r="E211" s="57" t="s">
        <v>1566</v>
      </c>
      <c r="F211" s="57" t="s">
        <v>1567</v>
      </c>
      <c r="G211" s="57" t="s">
        <v>1568</v>
      </c>
      <c r="H211" s="56" t="str">
        <f t="shared" si="1"/>
        <v>WRONG</v>
      </c>
      <c r="I211" s="56" t="s">
        <v>40</v>
      </c>
      <c r="J211" s="56" t="s">
        <v>51</v>
      </c>
      <c r="K211" s="65" t="s">
        <v>1569</v>
      </c>
      <c r="L211" s="63">
        <v>32258.0</v>
      </c>
      <c r="M211" s="56" t="s">
        <v>42</v>
      </c>
      <c r="N211" s="66" t="s">
        <v>1570</v>
      </c>
    </row>
    <row r="212" ht="60.0" customHeight="1">
      <c r="A212" s="56">
        <v>206.0</v>
      </c>
      <c r="B212" s="57" t="s">
        <v>1571</v>
      </c>
      <c r="C212" s="57" t="s">
        <v>1572</v>
      </c>
      <c r="D212" s="57" t="s">
        <v>1573</v>
      </c>
      <c r="E212" s="57" t="s">
        <v>1574</v>
      </c>
      <c r="F212" s="57" t="s">
        <v>1575</v>
      </c>
      <c r="G212" s="57" t="s">
        <v>1576</v>
      </c>
      <c r="H212" s="56" t="str">
        <f t="shared" si="1"/>
        <v>WRONG</v>
      </c>
      <c r="I212" s="56" t="s">
        <v>51</v>
      </c>
      <c r="J212" s="56" t="s">
        <v>60</v>
      </c>
      <c r="K212" s="65" t="s">
        <v>1577</v>
      </c>
      <c r="L212" s="63">
        <v>33437.0</v>
      </c>
      <c r="M212" s="56" t="s">
        <v>62</v>
      </c>
      <c r="N212" s="66"/>
    </row>
    <row r="213" ht="60.0" customHeight="1">
      <c r="A213" s="56">
        <v>207.0</v>
      </c>
      <c r="B213" s="57" t="s">
        <v>1578</v>
      </c>
      <c r="C213" s="57" t="s">
        <v>1579</v>
      </c>
      <c r="D213" s="57" t="s">
        <v>1580</v>
      </c>
      <c r="E213" s="57" t="s">
        <v>1581</v>
      </c>
      <c r="F213" s="57" t="s">
        <v>1582</v>
      </c>
      <c r="G213" s="57" t="s">
        <v>1583</v>
      </c>
      <c r="H213" s="56" t="str">
        <f t="shared" si="1"/>
        <v>WRONG</v>
      </c>
      <c r="I213" s="56" t="s">
        <v>50</v>
      </c>
      <c r="J213" s="56" t="s">
        <v>60</v>
      </c>
      <c r="K213" s="65" t="s">
        <v>2666</v>
      </c>
      <c r="L213" s="63">
        <v>60559.0</v>
      </c>
      <c r="M213" s="56" t="s">
        <v>62</v>
      </c>
      <c r="N213" s="66"/>
    </row>
    <row r="214" ht="60.0" customHeight="1">
      <c r="A214" s="56">
        <v>208.0</v>
      </c>
      <c r="B214" s="57" t="s">
        <v>1585</v>
      </c>
      <c r="C214" s="57" t="s">
        <v>1586</v>
      </c>
      <c r="D214" s="57" t="s">
        <v>1587</v>
      </c>
      <c r="E214" s="57" t="s">
        <v>1588</v>
      </c>
      <c r="F214" s="57" t="s">
        <v>1589</v>
      </c>
      <c r="G214" s="57" t="s">
        <v>1590</v>
      </c>
      <c r="H214" s="56" t="str">
        <f t="shared" si="1"/>
        <v>WRONG</v>
      </c>
      <c r="I214" s="56" t="s">
        <v>40</v>
      </c>
      <c r="J214" s="56" t="s">
        <v>60</v>
      </c>
      <c r="K214" s="65" t="s">
        <v>2667</v>
      </c>
      <c r="L214" s="63">
        <v>75160.0</v>
      </c>
      <c r="M214" s="56" t="s">
        <v>62</v>
      </c>
      <c r="N214" s="66"/>
    </row>
    <row r="215" ht="60.0" customHeight="1">
      <c r="A215" s="56">
        <v>209.0</v>
      </c>
      <c r="B215" s="57" t="s">
        <v>1592</v>
      </c>
      <c r="C215" s="57" t="s">
        <v>1593</v>
      </c>
      <c r="D215" s="57" t="s">
        <v>1594</v>
      </c>
      <c r="E215" s="57" t="s">
        <v>1595</v>
      </c>
      <c r="F215" s="57" t="s">
        <v>1596</v>
      </c>
      <c r="G215" s="57" t="s">
        <v>1597</v>
      </c>
      <c r="H215" s="56" t="str">
        <f t="shared" si="1"/>
        <v>CORRECT</v>
      </c>
      <c r="I215" s="56" t="s">
        <v>60</v>
      </c>
      <c r="J215" s="56" t="s">
        <v>60</v>
      </c>
      <c r="K215" s="65" t="s">
        <v>2668</v>
      </c>
      <c r="L215" s="63">
        <v>41513.0</v>
      </c>
      <c r="M215" s="56" t="s">
        <v>62</v>
      </c>
      <c r="N215" s="66"/>
    </row>
    <row r="216" ht="60.0" customHeight="1">
      <c r="A216" s="56">
        <v>210.0</v>
      </c>
      <c r="B216" s="57" t="s">
        <v>1599</v>
      </c>
      <c r="C216" s="57" t="s">
        <v>1600</v>
      </c>
      <c r="D216" s="57" t="s">
        <v>1601</v>
      </c>
      <c r="E216" s="57" t="s">
        <v>1602</v>
      </c>
      <c r="F216" s="57" t="s">
        <v>1603</v>
      </c>
      <c r="G216" s="57" t="s">
        <v>1604</v>
      </c>
      <c r="H216" s="56" t="str">
        <f t="shared" si="1"/>
        <v>WRONG</v>
      </c>
      <c r="I216" s="56" t="s">
        <v>40</v>
      </c>
      <c r="J216" s="56" t="s">
        <v>77</v>
      </c>
      <c r="K216" s="65" t="s">
        <v>1605</v>
      </c>
      <c r="L216" s="63">
        <v>32114.0</v>
      </c>
      <c r="M216" s="56" t="s">
        <v>42</v>
      </c>
      <c r="N216" s="66" t="s">
        <v>1606</v>
      </c>
    </row>
    <row r="217" ht="60.0" customHeight="1">
      <c r="A217" s="56">
        <v>211.0</v>
      </c>
      <c r="B217" s="57" t="s">
        <v>1607</v>
      </c>
      <c r="C217" s="57" t="s">
        <v>1608</v>
      </c>
      <c r="D217" s="57" t="s">
        <v>1609</v>
      </c>
      <c r="E217" s="57" t="s">
        <v>1610</v>
      </c>
      <c r="F217" s="57" t="s">
        <v>1611</v>
      </c>
      <c r="G217" s="57" t="s">
        <v>1612</v>
      </c>
      <c r="H217" s="56" t="str">
        <f t="shared" si="1"/>
        <v>WRONG</v>
      </c>
      <c r="I217" s="56" t="s">
        <v>51</v>
      </c>
      <c r="J217" s="56" t="s">
        <v>77</v>
      </c>
      <c r="K217" s="65" t="s">
        <v>1613</v>
      </c>
      <c r="L217" s="63">
        <v>35431.0</v>
      </c>
      <c r="M217" s="56" t="s">
        <v>42</v>
      </c>
      <c r="N217" s="66" t="s">
        <v>1614</v>
      </c>
    </row>
    <row r="218" ht="60.0" customHeight="1">
      <c r="A218" s="56">
        <v>212.0</v>
      </c>
      <c r="B218" s="57" t="s">
        <v>1615</v>
      </c>
      <c r="C218" s="57" t="s">
        <v>1616</v>
      </c>
      <c r="D218" s="57" t="s">
        <v>1617</v>
      </c>
      <c r="E218" s="57" t="s">
        <v>1618</v>
      </c>
      <c r="F218" s="57" t="s">
        <v>1619</v>
      </c>
      <c r="G218" s="57" t="s">
        <v>1620</v>
      </c>
      <c r="H218" s="56" t="str">
        <f t="shared" si="1"/>
        <v>WRONG</v>
      </c>
      <c r="I218" s="56" t="s">
        <v>50</v>
      </c>
      <c r="J218" s="56" t="s">
        <v>40</v>
      </c>
      <c r="K218" s="65" t="s">
        <v>1621</v>
      </c>
      <c r="L218" s="63">
        <v>33761.0</v>
      </c>
      <c r="M218" s="56" t="s">
        <v>62</v>
      </c>
      <c r="N218" s="66"/>
    </row>
    <row r="219" ht="60.0" customHeight="1">
      <c r="A219" s="56">
        <v>213.0</v>
      </c>
      <c r="B219" s="57" t="s">
        <v>1622</v>
      </c>
      <c r="C219" s="57" t="s">
        <v>1623</v>
      </c>
      <c r="D219" s="57" t="s">
        <v>1624</v>
      </c>
      <c r="E219" s="57" t="s">
        <v>1625</v>
      </c>
      <c r="F219" s="57" t="s">
        <v>1626</v>
      </c>
      <c r="G219" s="57" t="s">
        <v>1627</v>
      </c>
      <c r="H219" s="56" t="str">
        <f t="shared" si="1"/>
        <v>WRONG</v>
      </c>
      <c r="I219" s="56" t="s">
        <v>60</v>
      </c>
      <c r="J219" s="56" t="s">
        <v>51</v>
      </c>
      <c r="K219" s="65" t="s">
        <v>1628</v>
      </c>
      <c r="L219" s="63">
        <v>43646.0</v>
      </c>
      <c r="M219" s="56" t="s">
        <v>42</v>
      </c>
      <c r="N219" s="66" t="s">
        <v>1629</v>
      </c>
    </row>
    <row r="220" ht="60.0" customHeight="1">
      <c r="A220" s="56">
        <v>214.0</v>
      </c>
      <c r="B220" s="57" t="s">
        <v>1630</v>
      </c>
      <c r="C220" s="57" t="s">
        <v>1631</v>
      </c>
      <c r="D220" s="57" t="s">
        <v>1632</v>
      </c>
      <c r="E220" s="57" t="s">
        <v>1633</v>
      </c>
      <c r="F220" s="57" t="s">
        <v>1634</v>
      </c>
      <c r="G220" s="57" t="s">
        <v>1635</v>
      </c>
      <c r="H220" s="56" t="str">
        <f t="shared" si="1"/>
        <v>CORRECT</v>
      </c>
      <c r="I220" s="56" t="s">
        <v>60</v>
      </c>
      <c r="J220" s="56" t="s">
        <v>60</v>
      </c>
      <c r="K220" s="65" t="s">
        <v>1636</v>
      </c>
      <c r="L220" s="63">
        <v>32676.0</v>
      </c>
      <c r="M220" s="56" t="s">
        <v>42</v>
      </c>
      <c r="N220" s="66" t="s">
        <v>1637</v>
      </c>
    </row>
    <row r="221" ht="60.0" customHeight="1">
      <c r="A221" s="56">
        <v>215.0</v>
      </c>
      <c r="B221" s="57" t="s">
        <v>1638</v>
      </c>
      <c r="C221" s="57" t="s">
        <v>1639</v>
      </c>
      <c r="D221" s="57" t="s">
        <v>1640</v>
      </c>
      <c r="E221" s="57" t="s">
        <v>1641</v>
      </c>
      <c r="F221" s="57" t="s">
        <v>1642</v>
      </c>
      <c r="G221" s="57" t="s">
        <v>1643</v>
      </c>
      <c r="H221" s="56" t="str">
        <f t="shared" si="1"/>
        <v>CORRECT</v>
      </c>
      <c r="I221" s="56" t="s">
        <v>60</v>
      </c>
      <c r="J221" s="56" t="s">
        <v>60</v>
      </c>
      <c r="K221" s="65" t="s">
        <v>1644</v>
      </c>
      <c r="L221" s="63">
        <v>39756.0</v>
      </c>
      <c r="M221" s="56" t="s">
        <v>42</v>
      </c>
      <c r="N221" s="66" t="s">
        <v>1645</v>
      </c>
    </row>
    <row r="222" ht="60.0" customHeight="1">
      <c r="A222" s="56">
        <v>216.0</v>
      </c>
      <c r="B222" s="57" t="s">
        <v>1646</v>
      </c>
      <c r="C222" s="57" t="s">
        <v>1647</v>
      </c>
      <c r="D222" s="57" t="s">
        <v>1648</v>
      </c>
      <c r="E222" s="57" t="s">
        <v>1649</v>
      </c>
      <c r="F222" s="57" t="s">
        <v>1650</v>
      </c>
      <c r="G222" s="57" t="s">
        <v>1651</v>
      </c>
      <c r="H222" s="56" t="str">
        <f t="shared" si="1"/>
        <v>CORRECT</v>
      </c>
      <c r="I222" s="56" t="s">
        <v>60</v>
      </c>
      <c r="J222" s="56" t="s">
        <v>60</v>
      </c>
      <c r="K222" s="65" t="s">
        <v>2669</v>
      </c>
      <c r="L222" s="63">
        <v>42210.0</v>
      </c>
      <c r="M222" s="56" t="s">
        <v>42</v>
      </c>
      <c r="N222" s="66" t="s">
        <v>1653</v>
      </c>
    </row>
    <row r="223" ht="60.0" customHeight="1">
      <c r="A223" s="56">
        <v>217.0</v>
      </c>
      <c r="B223" s="57" t="s">
        <v>1654</v>
      </c>
      <c r="C223" s="57" t="s">
        <v>1655</v>
      </c>
      <c r="D223" s="57" t="s">
        <v>1656</v>
      </c>
      <c r="E223" s="57" t="s">
        <v>1657</v>
      </c>
      <c r="F223" s="57" t="s">
        <v>1658</v>
      </c>
      <c r="G223" s="57" t="s">
        <v>1659</v>
      </c>
      <c r="H223" s="56" t="str">
        <f t="shared" si="1"/>
        <v>WRONG</v>
      </c>
      <c r="I223" s="56" t="s">
        <v>77</v>
      </c>
      <c r="J223" s="56" t="s">
        <v>60</v>
      </c>
      <c r="K223" s="65" t="s">
        <v>1660</v>
      </c>
      <c r="L223" s="63">
        <v>33400.0</v>
      </c>
      <c r="M223" s="56" t="s">
        <v>62</v>
      </c>
      <c r="N223" s="66"/>
    </row>
    <row r="224" ht="60.0" customHeight="1">
      <c r="A224" s="56">
        <v>218.0</v>
      </c>
      <c r="B224" s="57" t="s">
        <v>1661</v>
      </c>
      <c r="C224" s="57" t="s">
        <v>1662</v>
      </c>
      <c r="D224" s="57" t="s">
        <v>1663</v>
      </c>
      <c r="E224" s="57" t="s">
        <v>1664</v>
      </c>
      <c r="F224" s="57" t="s">
        <v>1665</v>
      </c>
      <c r="G224" s="57" t="s">
        <v>1666</v>
      </c>
      <c r="H224" s="56" t="str">
        <f t="shared" si="1"/>
        <v>CORRECT</v>
      </c>
      <c r="I224" s="56" t="s">
        <v>60</v>
      </c>
      <c r="J224" s="56" t="s">
        <v>60</v>
      </c>
      <c r="K224" s="65" t="s">
        <v>1667</v>
      </c>
      <c r="L224" s="63">
        <v>34852.0</v>
      </c>
      <c r="M224" s="56" t="s">
        <v>62</v>
      </c>
      <c r="N224" s="66"/>
    </row>
    <row r="225" ht="60.0" customHeight="1">
      <c r="A225" s="56">
        <v>219.0</v>
      </c>
      <c r="B225" s="57" t="s">
        <v>1668</v>
      </c>
      <c r="C225" s="57" t="s">
        <v>1669</v>
      </c>
      <c r="D225" s="57" t="s">
        <v>593</v>
      </c>
      <c r="E225" s="57" t="s">
        <v>1670</v>
      </c>
      <c r="F225" s="57" t="s">
        <v>1671</v>
      </c>
      <c r="G225" s="57" t="s">
        <v>1672</v>
      </c>
      <c r="H225" s="56" t="str">
        <f t="shared" si="1"/>
        <v>WRONG</v>
      </c>
      <c r="I225" s="56" t="s">
        <v>77</v>
      </c>
      <c r="J225" s="56" t="s">
        <v>51</v>
      </c>
      <c r="K225" s="65" t="s">
        <v>1673</v>
      </c>
      <c r="L225" s="63">
        <v>37072.0</v>
      </c>
      <c r="M225" s="56" t="s">
        <v>42</v>
      </c>
      <c r="N225" s="66" t="s">
        <v>1674</v>
      </c>
    </row>
    <row r="226" ht="60.0" customHeight="1">
      <c r="A226" s="56">
        <v>220.0</v>
      </c>
      <c r="B226" s="57" t="s">
        <v>1675</v>
      </c>
      <c r="C226" s="57" t="s">
        <v>1676</v>
      </c>
      <c r="D226" s="57" t="s">
        <v>1677</v>
      </c>
      <c r="E226" s="57" t="s">
        <v>1678</v>
      </c>
      <c r="F226" s="57" t="s">
        <v>1679</v>
      </c>
      <c r="G226" s="57" t="s">
        <v>1680</v>
      </c>
      <c r="H226" s="56" t="str">
        <f t="shared" si="1"/>
        <v>CORRECT</v>
      </c>
      <c r="I226" s="56" t="s">
        <v>40</v>
      </c>
      <c r="J226" s="56" t="s">
        <v>40</v>
      </c>
      <c r="K226" s="65" t="s">
        <v>1681</v>
      </c>
      <c r="L226" s="63">
        <v>36808.0</v>
      </c>
      <c r="M226" s="56" t="s">
        <v>42</v>
      </c>
      <c r="N226" s="66" t="s">
        <v>1682</v>
      </c>
    </row>
    <row r="227" ht="60.0" customHeight="1">
      <c r="A227" s="56">
        <v>221.0</v>
      </c>
      <c r="B227" s="57" t="s">
        <v>1683</v>
      </c>
      <c r="C227" s="57" t="s">
        <v>1684</v>
      </c>
      <c r="D227" s="57" t="s">
        <v>1685</v>
      </c>
      <c r="E227" s="57" t="s">
        <v>1686</v>
      </c>
      <c r="F227" s="57" t="s">
        <v>1687</v>
      </c>
      <c r="G227" s="57" t="s">
        <v>1688</v>
      </c>
      <c r="H227" s="56" t="str">
        <f t="shared" si="1"/>
        <v>CORRECT</v>
      </c>
      <c r="I227" s="56" t="s">
        <v>50</v>
      </c>
      <c r="J227" s="56" t="s">
        <v>50</v>
      </c>
      <c r="K227" s="65" t="s">
        <v>1689</v>
      </c>
      <c r="L227" s="63">
        <v>46597.0</v>
      </c>
      <c r="M227" s="56" t="s">
        <v>42</v>
      </c>
      <c r="N227" s="66" t="s">
        <v>1690</v>
      </c>
    </row>
    <row r="228" ht="60.0" customHeight="1">
      <c r="A228" s="56">
        <v>222.0</v>
      </c>
      <c r="B228" s="57" t="s">
        <v>1691</v>
      </c>
      <c r="C228" s="57" t="s">
        <v>1692</v>
      </c>
      <c r="D228" s="57" t="s">
        <v>1693</v>
      </c>
      <c r="E228" s="57" t="s">
        <v>1694</v>
      </c>
      <c r="F228" s="57" t="s">
        <v>1695</v>
      </c>
      <c r="G228" s="57" t="s">
        <v>1696</v>
      </c>
      <c r="H228" s="56" t="str">
        <f t="shared" si="1"/>
        <v>WRONG</v>
      </c>
      <c r="I228" s="56" t="s">
        <v>77</v>
      </c>
      <c r="J228" s="56" t="s">
        <v>60</v>
      </c>
      <c r="K228" s="65" t="s">
        <v>1697</v>
      </c>
      <c r="L228" s="63">
        <v>33471.0</v>
      </c>
      <c r="M228" s="56" t="s">
        <v>42</v>
      </c>
      <c r="N228" s="66" t="s">
        <v>1698</v>
      </c>
    </row>
    <row r="229" ht="60.0" customHeight="1">
      <c r="A229" s="56">
        <v>223.0</v>
      </c>
      <c r="B229" s="57" t="s">
        <v>1699</v>
      </c>
      <c r="C229" s="57" t="s">
        <v>1700</v>
      </c>
      <c r="D229" s="57" t="s">
        <v>1701</v>
      </c>
      <c r="E229" s="57" t="s">
        <v>1702</v>
      </c>
      <c r="F229" s="57" t="s">
        <v>1703</v>
      </c>
      <c r="G229" s="57" t="s">
        <v>1059</v>
      </c>
      <c r="H229" s="56" t="str">
        <f t="shared" si="1"/>
        <v>WRONG</v>
      </c>
      <c r="I229" s="56" t="s">
        <v>77</v>
      </c>
      <c r="J229" s="56" t="s">
        <v>60</v>
      </c>
      <c r="K229" s="65" t="s">
        <v>1704</v>
      </c>
      <c r="L229" s="63">
        <v>41437.0</v>
      </c>
      <c r="M229" s="56" t="s">
        <v>62</v>
      </c>
      <c r="N229" s="66"/>
    </row>
    <row r="230" ht="60.0" customHeight="1">
      <c r="A230" s="56">
        <v>224.0</v>
      </c>
      <c r="B230" s="57" t="s">
        <v>1705</v>
      </c>
      <c r="C230" s="57" t="s">
        <v>1706</v>
      </c>
      <c r="D230" s="57" t="s">
        <v>1707</v>
      </c>
      <c r="E230" s="57" t="s">
        <v>1708</v>
      </c>
      <c r="F230" s="57" t="s">
        <v>1709</v>
      </c>
      <c r="G230" s="57" t="s">
        <v>1710</v>
      </c>
      <c r="H230" s="56" t="str">
        <f t="shared" si="1"/>
        <v>WRONG</v>
      </c>
      <c r="I230" s="56" t="s">
        <v>77</v>
      </c>
      <c r="J230" s="56" t="s">
        <v>40</v>
      </c>
      <c r="K230" s="65" t="s">
        <v>1711</v>
      </c>
      <c r="L230" s="63">
        <v>50000.0</v>
      </c>
      <c r="M230" s="56" t="s">
        <v>62</v>
      </c>
      <c r="N230" s="66"/>
    </row>
    <row r="231" ht="60.0" customHeight="1">
      <c r="A231" s="56">
        <v>225.0</v>
      </c>
      <c r="B231" s="57" t="s">
        <v>1712</v>
      </c>
      <c r="C231" s="57" t="s">
        <v>1713</v>
      </c>
      <c r="D231" s="57" t="s">
        <v>1714</v>
      </c>
      <c r="E231" s="57" t="s">
        <v>1715</v>
      </c>
      <c r="F231" s="57" t="s">
        <v>1716</v>
      </c>
      <c r="G231" s="57" t="s">
        <v>1717</v>
      </c>
      <c r="H231" s="56" t="str">
        <f t="shared" si="1"/>
        <v>CORRECT</v>
      </c>
      <c r="I231" s="56" t="s">
        <v>40</v>
      </c>
      <c r="J231" s="56" t="s">
        <v>40</v>
      </c>
      <c r="K231" s="65" t="s">
        <v>1718</v>
      </c>
      <c r="L231" s="63">
        <v>33946.0</v>
      </c>
      <c r="M231" s="56" t="s">
        <v>62</v>
      </c>
      <c r="N231" s="66"/>
    </row>
    <row r="232" ht="60.0" customHeight="1">
      <c r="A232" s="56">
        <v>226.0</v>
      </c>
      <c r="B232" s="57" t="s">
        <v>1719</v>
      </c>
      <c r="C232" s="57" t="s">
        <v>1720</v>
      </c>
      <c r="D232" s="57" t="s">
        <v>1721</v>
      </c>
      <c r="E232" s="57" t="s">
        <v>1722</v>
      </c>
      <c r="F232" s="57" t="s">
        <v>1723</v>
      </c>
      <c r="G232" s="57" t="s">
        <v>1724</v>
      </c>
      <c r="H232" s="56" t="str">
        <f t="shared" si="1"/>
        <v>WRONG</v>
      </c>
      <c r="I232" s="56" t="s">
        <v>40</v>
      </c>
      <c r="J232" s="56" t="s">
        <v>50</v>
      </c>
      <c r="K232" s="65" t="s">
        <v>1725</v>
      </c>
      <c r="L232" s="63">
        <v>33759.0</v>
      </c>
      <c r="M232" s="56" t="s">
        <v>42</v>
      </c>
      <c r="N232" s="66" t="s">
        <v>1726</v>
      </c>
    </row>
    <row r="233" ht="60.0" customHeight="1">
      <c r="A233" s="56">
        <v>227.0</v>
      </c>
      <c r="B233" s="57" t="s">
        <v>1727</v>
      </c>
      <c r="C233" s="57" t="s">
        <v>1728</v>
      </c>
      <c r="D233" s="57" t="s">
        <v>1729</v>
      </c>
      <c r="E233" s="57" t="s">
        <v>1730</v>
      </c>
      <c r="F233" s="57" t="s">
        <v>1731</v>
      </c>
      <c r="G233" s="57" t="s">
        <v>1732</v>
      </c>
      <c r="H233" s="56" t="str">
        <f t="shared" si="1"/>
        <v>WRONG</v>
      </c>
      <c r="I233" s="56" t="s">
        <v>77</v>
      </c>
      <c r="J233" s="56" t="s">
        <v>51</v>
      </c>
      <c r="K233" s="65" t="s">
        <v>1733</v>
      </c>
      <c r="L233" s="63">
        <v>30438.0</v>
      </c>
      <c r="M233" s="56" t="s">
        <v>62</v>
      </c>
      <c r="N233" s="66"/>
    </row>
    <row r="234" ht="60.0" customHeight="1">
      <c r="A234" s="56">
        <v>228.0</v>
      </c>
      <c r="B234" s="57" t="s">
        <v>1734</v>
      </c>
      <c r="C234" s="57" t="s">
        <v>1735</v>
      </c>
      <c r="D234" s="57" t="s">
        <v>1736</v>
      </c>
      <c r="E234" s="57" t="s">
        <v>1737</v>
      </c>
      <c r="F234" s="57" t="s">
        <v>1738</v>
      </c>
      <c r="G234" s="57" t="s">
        <v>1739</v>
      </c>
      <c r="H234" s="56" t="str">
        <f t="shared" si="1"/>
        <v>CORRECT</v>
      </c>
      <c r="I234" s="56" t="s">
        <v>50</v>
      </c>
      <c r="J234" s="56" t="s">
        <v>50</v>
      </c>
      <c r="K234" s="65" t="s">
        <v>1740</v>
      </c>
      <c r="L234" s="63">
        <v>34534.0</v>
      </c>
      <c r="M234" s="56" t="s">
        <v>42</v>
      </c>
      <c r="N234" s="66" t="s">
        <v>1741</v>
      </c>
    </row>
    <row r="235" ht="60.0" customHeight="1">
      <c r="A235" s="56">
        <v>229.0</v>
      </c>
      <c r="B235" s="57" t="s">
        <v>1742</v>
      </c>
      <c r="C235" s="57" t="s">
        <v>1743</v>
      </c>
      <c r="D235" s="57" t="s">
        <v>1744</v>
      </c>
      <c r="E235" s="57" t="s">
        <v>1745</v>
      </c>
      <c r="F235" s="57" t="s">
        <v>1746</v>
      </c>
      <c r="G235" s="57" t="s">
        <v>1747</v>
      </c>
      <c r="H235" s="56" t="str">
        <f t="shared" si="1"/>
        <v>WRONG</v>
      </c>
      <c r="I235" s="56" t="s">
        <v>51</v>
      </c>
      <c r="J235" s="56" t="s">
        <v>40</v>
      </c>
      <c r="K235" s="65" t="s">
        <v>1748</v>
      </c>
      <c r="L235" s="63">
        <v>38390.0</v>
      </c>
      <c r="M235" s="56" t="s">
        <v>42</v>
      </c>
      <c r="N235" s="66" t="s">
        <v>1741</v>
      </c>
    </row>
    <row r="236" ht="60.0" customHeight="1">
      <c r="A236" s="56">
        <v>230.0</v>
      </c>
      <c r="B236" s="57" t="s">
        <v>1749</v>
      </c>
      <c r="C236" s="57" t="s">
        <v>1750</v>
      </c>
      <c r="D236" s="57" t="s">
        <v>1751</v>
      </c>
      <c r="E236" s="57" t="s">
        <v>1752</v>
      </c>
      <c r="F236" s="57" t="s">
        <v>1753</v>
      </c>
      <c r="G236" s="57" t="s">
        <v>1754</v>
      </c>
      <c r="H236" s="56" t="str">
        <f t="shared" si="1"/>
        <v>WRONG</v>
      </c>
      <c r="I236" s="56" t="s">
        <v>40</v>
      </c>
      <c r="J236" s="56" t="s">
        <v>77</v>
      </c>
      <c r="K236" s="65" t="s">
        <v>1755</v>
      </c>
      <c r="L236" s="63">
        <v>56366.0</v>
      </c>
      <c r="M236" s="56" t="s">
        <v>62</v>
      </c>
      <c r="N236" s="66"/>
    </row>
    <row r="237" ht="60.0" customHeight="1">
      <c r="A237" s="56">
        <v>231.0</v>
      </c>
      <c r="B237" s="57" t="s">
        <v>1756</v>
      </c>
      <c r="C237" s="57" t="s">
        <v>1757</v>
      </c>
      <c r="D237" s="57" t="s">
        <v>1758</v>
      </c>
      <c r="E237" s="57" t="s">
        <v>1759</v>
      </c>
      <c r="F237" s="57" t="s">
        <v>1760</v>
      </c>
      <c r="G237" s="57" t="s">
        <v>1761</v>
      </c>
      <c r="H237" s="56" t="str">
        <f t="shared" si="1"/>
        <v>CORRECT</v>
      </c>
      <c r="I237" s="56" t="s">
        <v>51</v>
      </c>
      <c r="J237" s="56" t="s">
        <v>51</v>
      </c>
      <c r="K237" s="65" t="s">
        <v>1762</v>
      </c>
      <c r="L237" s="63">
        <v>33243.0</v>
      </c>
      <c r="M237" s="56" t="s">
        <v>62</v>
      </c>
      <c r="N237" s="66"/>
    </row>
    <row r="238" ht="60.0" customHeight="1">
      <c r="A238" s="56">
        <v>232.0</v>
      </c>
      <c r="B238" s="57" t="s">
        <v>1763</v>
      </c>
      <c r="C238" s="57" t="s">
        <v>1764</v>
      </c>
      <c r="D238" s="57" t="s">
        <v>1765</v>
      </c>
      <c r="E238" s="57" t="s">
        <v>1766</v>
      </c>
      <c r="F238" s="57" t="s">
        <v>1767</v>
      </c>
      <c r="G238" s="57" t="s">
        <v>728</v>
      </c>
      <c r="H238" s="56" t="str">
        <f t="shared" si="1"/>
        <v>CORRECT</v>
      </c>
      <c r="I238" s="56" t="s">
        <v>60</v>
      </c>
      <c r="J238" s="56" t="s">
        <v>60</v>
      </c>
      <c r="K238" s="65" t="s">
        <v>2670</v>
      </c>
      <c r="L238" s="63">
        <v>31409.0</v>
      </c>
      <c r="M238" s="56" t="s">
        <v>42</v>
      </c>
      <c r="N238" s="66" t="s">
        <v>1769</v>
      </c>
    </row>
    <row r="239" ht="60.0" customHeight="1">
      <c r="A239" s="56">
        <v>233.0</v>
      </c>
      <c r="B239" s="57" t="s">
        <v>1770</v>
      </c>
      <c r="C239" s="57" t="s">
        <v>1771</v>
      </c>
      <c r="D239" s="57" t="s">
        <v>1772</v>
      </c>
      <c r="E239" s="57" t="s">
        <v>1773</v>
      </c>
      <c r="F239" s="57" t="s">
        <v>1774</v>
      </c>
      <c r="G239" s="57" t="s">
        <v>1775</v>
      </c>
      <c r="H239" s="56" t="str">
        <f t="shared" si="1"/>
        <v>CORRECT</v>
      </c>
      <c r="I239" s="56" t="s">
        <v>77</v>
      </c>
      <c r="J239" s="56" t="s">
        <v>77</v>
      </c>
      <c r="K239" s="65" t="s">
        <v>1776</v>
      </c>
      <c r="L239" s="63">
        <v>46602.0</v>
      </c>
      <c r="M239" s="56" t="s">
        <v>62</v>
      </c>
      <c r="N239" s="66"/>
    </row>
    <row r="240" ht="60.0" customHeight="1">
      <c r="A240" s="56">
        <v>234.0</v>
      </c>
      <c r="B240" s="57" t="s">
        <v>1777</v>
      </c>
      <c r="C240" s="57" t="s">
        <v>1778</v>
      </c>
      <c r="D240" s="57" t="s">
        <v>1779</v>
      </c>
      <c r="E240" s="57" t="s">
        <v>1780</v>
      </c>
      <c r="F240" s="57" t="s">
        <v>1781</v>
      </c>
      <c r="G240" s="57" t="s">
        <v>1782</v>
      </c>
      <c r="H240" s="56" t="str">
        <f t="shared" si="1"/>
        <v>WRONG</v>
      </c>
      <c r="I240" s="56" t="s">
        <v>60</v>
      </c>
      <c r="J240" s="56" t="s">
        <v>50</v>
      </c>
      <c r="K240" s="65" t="s">
        <v>2671</v>
      </c>
      <c r="L240" s="63">
        <v>38015.0</v>
      </c>
      <c r="M240" s="56" t="s">
        <v>42</v>
      </c>
      <c r="N240" s="66" t="s">
        <v>1784</v>
      </c>
    </row>
    <row r="241" ht="60.0" customHeight="1">
      <c r="A241" s="56">
        <v>235.0</v>
      </c>
      <c r="B241" s="57" t="s">
        <v>1785</v>
      </c>
      <c r="C241" s="57" t="s">
        <v>1786</v>
      </c>
      <c r="D241" s="57" t="s">
        <v>1787</v>
      </c>
      <c r="E241" s="57" t="s">
        <v>1788</v>
      </c>
      <c r="F241" s="57" t="s">
        <v>1789</v>
      </c>
      <c r="G241" s="57" t="s">
        <v>1790</v>
      </c>
      <c r="H241" s="56" t="str">
        <f t="shared" si="1"/>
        <v>CORRECT</v>
      </c>
      <c r="I241" s="56" t="s">
        <v>50</v>
      </c>
      <c r="J241" s="56" t="s">
        <v>50</v>
      </c>
      <c r="K241" s="65" t="s">
        <v>2672</v>
      </c>
      <c r="L241" s="63">
        <v>43156.0</v>
      </c>
      <c r="M241" s="56" t="s">
        <v>62</v>
      </c>
      <c r="N241" s="66"/>
    </row>
    <row r="242" ht="60.0" customHeight="1">
      <c r="A242" s="56">
        <v>236.0</v>
      </c>
      <c r="B242" s="57" t="s">
        <v>1792</v>
      </c>
      <c r="C242" s="57" t="s">
        <v>1793</v>
      </c>
      <c r="D242" s="57" t="s">
        <v>1794</v>
      </c>
      <c r="E242" s="57" t="s">
        <v>1795</v>
      </c>
      <c r="F242" s="57" t="s">
        <v>1796</v>
      </c>
      <c r="G242" s="57" t="s">
        <v>1797</v>
      </c>
      <c r="H242" s="56" t="str">
        <f t="shared" si="1"/>
        <v>CORRECT</v>
      </c>
      <c r="I242" s="56" t="s">
        <v>60</v>
      </c>
      <c r="J242" s="56" t="s">
        <v>60</v>
      </c>
      <c r="K242" s="65" t="s">
        <v>1798</v>
      </c>
      <c r="L242" s="63">
        <v>33320.0</v>
      </c>
      <c r="M242" s="56" t="s">
        <v>42</v>
      </c>
      <c r="N242" s="66" t="s">
        <v>1784</v>
      </c>
    </row>
    <row r="243" ht="60.0" customHeight="1">
      <c r="A243" s="56">
        <v>237.0</v>
      </c>
      <c r="B243" s="57" t="s">
        <v>1799</v>
      </c>
      <c r="C243" s="57" t="s">
        <v>1800</v>
      </c>
      <c r="D243" s="57" t="s">
        <v>1801</v>
      </c>
      <c r="E243" s="57" t="s">
        <v>1802</v>
      </c>
      <c r="F243" s="57" t="s">
        <v>1803</v>
      </c>
      <c r="G243" s="57" t="s">
        <v>1804</v>
      </c>
      <c r="H243" s="56" t="str">
        <f t="shared" si="1"/>
        <v>CORRECT</v>
      </c>
      <c r="I243" s="56" t="s">
        <v>40</v>
      </c>
      <c r="J243" s="56" t="s">
        <v>40</v>
      </c>
      <c r="K243" s="65" t="s">
        <v>2673</v>
      </c>
      <c r="L243" s="63">
        <v>34754.0</v>
      </c>
      <c r="M243" s="56" t="s">
        <v>62</v>
      </c>
      <c r="N243" s="67"/>
    </row>
    <row r="244" ht="60.0" customHeight="1">
      <c r="A244" s="56">
        <v>238.0</v>
      </c>
      <c r="B244" s="57" t="s">
        <v>1806</v>
      </c>
      <c r="C244" s="57" t="s">
        <v>1807</v>
      </c>
      <c r="D244" s="57" t="s">
        <v>1808</v>
      </c>
      <c r="E244" s="57" t="s">
        <v>1809</v>
      </c>
      <c r="F244" s="57" t="s">
        <v>1810</v>
      </c>
      <c r="G244" s="57" t="s">
        <v>1811</v>
      </c>
      <c r="H244" s="56" t="str">
        <f t="shared" si="1"/>
        <v>CORRECT</v>
      </c>
      <c r="I244" s="56" t="s">
        <v>60</v>
      </c>
      <c r="J244" s="56" t="s">
        <v>60</v>
      </c>
      <c r="K244" s="65" t="s">
        <v>1812</v>
      </c>
      <c r="L244" s="63">
        <v>38651.0</v>
      </c>
      <c r="M244" s="56" t="s">
        <v>42</v>
      </c>
      <c r="N244" s="66" t="s">
        <v>1813</v>
      </c>
    </row>
    <row r="245" ht="60.0" customHeight="1">
      <c r="A245" s="56">
        <v>239.0</v>
      </c>
      <c r="B245" s="57" t="s">
        <v>1814</v>
      </c>
      <c r="C245" s="57" t="s">
        <v>1815</v>
      </c>
      <c r="D245" s="57" t="s">
        <v>1816</v>
      </c>
      <c r="E245" s="57" t="s">
        <v>1817</v>
      </c>
      <c r="F245" s="57" t="s">
        <v>1818</v>
      </c>
      <c r="G245" s="57" t="s">
        <v>1819</v>
      </c>
      <c r="H245" s="56" t="str">
        <f t="shared" si="1"/>
        <v>CORRECT</v>
      </c>
      <c r="I245" s="56" t="s">
        <v>77</v>
      </c>
      <c r="J245" s="56" t="s">
        <v>77</v>
      </c>
      <c r="K245" s="65" t="s">
        <v>1820</v>
      </c>
      <c r="L245" s="63">
        <v>26907.0</v>
      </c>
      <c r="M245" s="56" t="s">
        <v>42</v>
      </c>
      <c r="N245" s="66" t="s">
        <v>1821</v>
      </c>
    </row>
    <row r="246" ht="60.0" customHeight="1">
      <c r="A246" s="56">
        <v>240.0</v>
      </c>
      <c r="B246" s="57" t="s">
        <v>1822</v>
      </c>
      <c r="C246" s="57" t="s">
        <v>1823</v>
      </c>
      <c r="D246" s="57" t="s">
        <v>1824</v>
      </c>
      <c r="E246" s="57" t="s">
        <v>1825</v>
      </c>
      <c r="F246" s="57" t="s">
        <v>1826</v>
      </c>
      <c r="G246" s="57" t="s">
        <v>1827</v>
      </c>
      <c r="H246" s="56" t="str">
        <f t="shared" si="1"/>
        <v>CORRECT</v>
      </c>
      <c r="I246" s="56" t="s">
        <v>77</v>
      </c>
      <c r="J246" s="56" t="s">
        <v>77</v>
      </c>
      <c r="K246" s="65" t="s">
        <v>1828</v>
      </c>
      <c r="L246" s="63">
        <v>34548.0</v>
      </c>
      <c r="M246" s="56" t="s">
        <v>42</v>
      </c>
      <c r="N246" s="66" t="s">
        <v>1829</v>
      </c>
    </row>
    <row r="247" ht="60.0" customHeight="1">
      <c r="A247" s="56">
        <v>241.0</v>
      </c>
      <c r="B247" s="57" t="s">
        <v>1830</v>
      </c>
      <c r="C247" s="57" t="s">
        <v>1831</v>
      </c>
      <c r="D247" s="57" t="s">
        <v>1832</v>
      </c>
      <c r="E247" s="57" t="s">
        <v>1833</v>
      </c>
      <c r="F247" s="57" t="s">
        <v>1834</v>
      </c>
      <c r="G247" s="57" t="s">
        <v>1835</v>
      </c>
      <c r="H247" s="56" t="str">
        <f t="shared" si="1"/>
        <v>CORRECT</v>
      </c>
      <c r="I247" s="56" t="s">
        <v>40</v>
      </c>
      <c r="J247" s="56" t="s">
        <v>40</v>
      </c>
      <c r="K247" s="65" t="s">
        <v>1836</v>
      </c>
      <c r="L247" s="63">
        <v>34796.0</v>
      </c>
      <c r="M247" s="56" t="s">
        <v>42</v>
      </c>
      <c r="N247" s="66" t="s">
        <v>1837</v>
      </c>
    </row>
    <row r="248" ht="60.0" customHeight="1">
      <c r="A248" s="56">
        <v>242.0</v>
      </c>
      <c r="B248" s="57" t="s">
        <v>1838</v>
      </c>
      <c r="C248" s="57" t="s">
        <v>1839</v>
      </c>
      <c r="D248" s="57" t="s">
        <v>1840</v>
      </c>
      <c r="E248" s="57" t="s">
        <v>1841</v>
      </c>
      <c r="F248" s="57" t="s">
        <v>1842</v>
      </c>
      <c r="G248" s="57" t="s">
        <v>1843</v>
      </c>
      <c r="H248" s="56" t="str">
        <f t="shared" si="1"/>
        <v>CORRECT</v>
      </c>
      <c r="I248" s="56" t="s">
        <v>77</v>
      </c>
      <c r="J248" s="56" t="s">
        <v>77</v>
      </c>
      <c r="K248" s="65" t="s">
        <v>2674</v>
      </c>
      <c r="L248" s="63">
        <v>31865.0</v>
      </c>
      <c r="M248" s="56" t="s">
        <v>62</v>
      </c>
      <c r="N248" s="66"/>
    </row>
    <row r="249" ht="60.0" customHeight="1">
      <c r="A249" s="56">
        <v>243.0</v>
      </c>
      <c r="B249" s="57" t="s">
        <v>1845</v>
      </c>
      <c r="C249" s="57" t="s">
        <v>1846</v>
      </c>
      <c r="D249" s="57" t="s">
        <v>1847</v>
      </c>
      <c r="E249" s="57" t="s">
        <v>1848</v>
      </c>
      <c r="F249" s="57" t="s">
        <v>1849</v>
      </c>
      <c r="G249" s="57" t="s">
        <v>1850</v>
      </c>
      <c r="H249" s="56" t="str">
        <f t="shared" si="1"/>
        <v>CORRECT</v>
      </c>
      <c r="I249" s="56" t="s">
        <v>40</v>
      </c>
      <c r="J249" s="56" t="s">
        <v>40</v>
      </c>
      <c r="K249" s="65" t="s">
        <v>1851</v>
      </c>
      <c r="L249" s="63">
        <v>27351.0</v>
      </c>
      <c r="M249" s="56" t="s">
        <v>62</v>
      </c>
      <c r="N249" s="66"/>
    </row>
    <row r="250" ht="60.0" customHeight="1">
      <c r="A250" s="56">
        <v>244.0</v>
      </c>
      <c r="B250" s="57" t="s">
        <v>1852</v>
      </c>
      <c r="C250" s="57" t="s">
        <v>1853</v>
      </c>
      <c r="D250" s="57" t="s">
        <v>1854</v>
      </c>
      <c r="E250" s="57" t="s">
        <v>1855</v>
      </c>
      <c r="F250" s="57" t="s">
        <v>1856</v>
      </c>
      <c r="G250" s="57" t="s">
        <v>1857</v>
      </c>
      <c r="H250" s="56" t="str">
        <f t="shared" si="1"/>
        <v>CORRECT</v>
      </c>
      <c r="I250" s="56" t="s">
        <v>40</v>
      </c>
      <c r="J250" s="56" t="s">
        <v>40</v>
      </c>
      <c r="K250" s="65" t="s">
        <v>1858</v>
      </c>
      <c r="L250" s="63">
        <v>34588.0</v>
      </c>
      <c r="M250" s="56" t="s">
        <v>42</v>
      </c>
      <c r="N250" s="66" t="s">
        <v>1859</v>
      </c>
    </row>
    <row r="251" ht="60.0" customHeight="1">
      <c r="A251" s="56">
        <v>245.0</v>
      </c>
      <c r="B251" s="57" t="s">
        <v>1860</v>
      </c>
      <c r="C251" s="57" t="s">
        <v>1861</v>
      </c>
      <c r="D251" s="57" t="s">
        <v>1862</v>
      </c>
      <c r="E251" s="57" t="s">
        <v>1863</v>
      </c>
      <c r="F251" s="57" t="s">
        <v>1864</v>
      </c>
      <c r="G251" s="57" t="s">
        <v>1865</v>
      </c>
      <c r="H251" s="56" t="str">
        <f t="shared" si="1"/>
        <v>CORRECT</v>
      </c>
      <c r="I251" s="56" t="s">
        <v>60</v>
      </c>
      <c r="J251" s="56" t="s">
        <v>60</v>
      </c>
      <c r="K251" s="65" t="s">
        <v>1866</v>
      </c>
      <c r="L251" s="63">
        <v>31358.0</v>
      </c>
      <c r="M251" s="56" t="s">
        <v>42</v>
      </c>
      <c r="N251" s="66" t="s">
        <v>1867</v>
      </c>
    </row>
    <row r="252" ht="60.0" customHeight="1">
      <c r="A252" s="56">
        <v>246.0</v>
      </c>
      <c r="B252" s="57" t="s">
        <v>1868</v>
      </c>
      <c r="C252" s="57" t="s">
        <v>1869</v>
      </c>
      <c r="D252" s="57" t="s">
        <v>1870</v>
      </c>
      <c r="E252" s="57" t="s">
        <v>1871</v>
      </c>
      <c r="F252" s="57" t="s">
        <v>1872</v>
      </c>
      <c r="G252" s="57" t="s">
        <v>1059</v>
      </c>
      <c r="H252" s="56" t="str">
        <f t="shared" si="1"/>
        <v>CORRECT</v>
      </c>
      <c r="I252" s="56" t="s">
        <v>50</v>
      </c>
      <c r="J252" s="56" t="s">
        <v>50</v>
      </c>
      <c r="K252" s="65" t="s">
        <v>1873</v>
      </c>
      <c r="L252" s="63">
        <v>39946.0</v>
      </c>
      <c r="M252" s="56" t="s">
        <v>42</v>
      </c>
      <c r="N252" s="66" t="s">
        <v>1874</v>
      </c>
    </row>
    <row r="253" ht="60.0" customHeight="1">
      <c r="A253" s="56">
        <v>247.0</v>
      </c>
      <c r="B253" s="57" t="s">
        <v>1875</v>
      </c>
      <c r="C253" s="57" t="s">
        <v>1876</v>
      </c>
      <c r="D253" s="57" t="s">
        <v>1877</v>
      </c>
      <c r="E253" s="57" t="s">
        <v>1878</v>
      </c>
      <c r="F253" s="57" t="s">
        <v>1879</v>
      </c>
      <c r="G253" s="57" t="s">
        <v>1880</v>
      </c>
      <c r="H253" s="56" t="str">
        <f t="shared" si="1"/>
        <v>CORRECT</v>
      </c>
      <c r="I253" s="56" t="s">
        <v>60</v>
      </c>
      <c r="J253" s="56" t="s">
        <v>60</v>
      </c>
      <c r="K253" s="65" t="s">
        <v>1881</v>
      </c>
      <c r="L253" s="63">
        <v>32080.0</v>
      </c>
      <c r="M253" s="56" t="s">
        <v>42</v>
      </c>
      <c r="N253" s="66" t="s">
        <v>1882</v>
      </c>
    </row>
    <row r="254" ht="60.0" customHeight="1">
      <c r="A254" s="56">
        <v>248.0</v>
      </c>
      <c r="B254" s="57" t="s">
        <v>1883</v>
      </c>
      <c r="C254" s="57" t="s">
        <v>1884</v>
      </c>
      <c r="D254" s="57" t="s">
        <v>1885</v>
      </c>
      <c r="E254" s="57" t="s">
        <v>1886</v>
      </c>
      <c r="F254" s="57" t="s">
        <v>1887</v>
      </c>
      <c r="G254" s="57" t="s">
        <v>1888</v>
      </c>
      <c r="H254" s="56" t="str">
        <f t="shared" si="1"/>
        <v>WRONG</v>
      </c>
      <c r="I254" s="56" t="s">
        <v>51</v>
      </c>
      <c r="J254" s="56" t="s">
        <v>77</v>
      </c>
      <c r="K254" s="65" t="s">
        <v>2675</v>
      </c>
      <c r="L254" s="63">
        <v>37561.0</v>
      </c>
      <c r="M254" s="56" t="s">
        <v>42</v>
      </c>
      <c r="N254" s="66" t="s">
        <v>1890</v>
      </c>
    </row>
    <row r="255" ht="60.0" customHeight="1">
      <c r="A255" s="56">
        <v>249.0</v>
      </c>
      <c r="B255" s="57" t="s">
        <v>1891</v>
      </c>
      <c r="C255" s="57" t="s">
        <v>1892</v>
      </c>
      <c r="D255" s="57" t="s">
        <v>1893</v>
      </c>
      <c r="E255" s="57" t="s">
        <v>1894</v>
      </c>
      <c r="F255" s="57" t="s">
        <v>1895</v>
      </c>
      <c r="G255" s="57" t="s">
        <v>1896</v>
      </c>
      <c r="H255" s="56" t="str">
        <f t="shared" si="1"/>
        <v>WRONG</v>
      </c>
      <c r="I255" s="56" t="s">
        <v>77</v>
      </c>
      <c r="J255" s="56" t="s">
        <v>40</v>
      </c>
      <c r="K255" s="65" t="s">
        <v>1897</v>
      </c>
      <c r="L255" s="63">
        <v>36719.0</v>
      </c>
      <c r="M255" s="56" t="s">
        <v>42</v>
      </c>
      <c r="N255" s="66" t="s">
        <v>1898</v>
      </c>
    </row>
    <row r="256" ht="60.0" customHeight="1">
      <c r="A256" s="56">
        <v>250.0</v>
      </c>
      <c r="B256" s="57" t="s">
        <v>1899</v>
      </c>
      <c r="C256" s="57" t="s">
        <v>1900</v>
      </c>
      <c r="D256" s="57" t="s">
        <v>1901</v>
      </c>
      <c r="E256" s="57" t="s">
        <v>1902</v>
      </c>
      <c r="F256" s="57" t="s">
        <v>1903</v>
      </c>
      <c r="G256" s="57" t="s">
        <v>1904</v>
      </c>
      <c r="H256" s="56" t="str">
        <f t="shared" si="1"/>
        <v>WRONG</v>
      </c>
      <c r="I256" s="56" t="s">
        <v>77</v>
      </c>
      <c r="J256" s="56" t="s">
        <v>60</v>
      </c>
      <c r="K256" s="65" t="s">
        <v>1905</v>
      </c>
      <c r="L256" s="63">
        <v>44905.0</v>
      </c>
      <c r="M256" s="56" t="s">
        <v>62</v>
      </c>
      <c r="N256" s="66"/>
    </row>
    <row r="257" ht="60.0" customHeight="1">
      <c r="A257" s="56">
        <v>251.0</v>
      </c>
      <c r="B257" s="57" t="s">
        <v>1906</v>
      </c>
      <c r="C257" s="57" t="s">
        <v>1907</v>
      </c>
      <c r="D257" s="57" t="s">
        <v>1908</v>
      </c>
      <c r="E257" s="57" t="s">
        <v>1909</v>
      </c>
      <c r="F257" s="57" t="s">
        <v>1910</v>
      </c>
      <c r="G257" s="57" t="s">
        <v>1911</v>
      </c>
      <c r="H257" s="56" t="str">
        <f t="shared" si="1"/>
        <v>CORRECT</v>
      </c>
      <c r="I257" s="56" t="s">
        <v>51</v>
      </c>
      <c r="J257" s="56" t="s">
        <v>51</v>
      </c>
      <c r="K257" s="65" t="s">
        <v>1912</v>
      </c>
      <c r="L257" s="63">
        <v>55300.0</v>
      </c>
      <c r="M257" s="56" t="s">
        <v>62</v>
      </c>
      <c r="N257" s="66"/>
    </row>
    <row r="258" ht="60.0" customHeight="1">
      <c r="A258" s="56">
        <v>252.0</v>
      </c>
      <c r="B258" s="57" t="s">
        <v>1913</v>
      </c>
      <c r="C258" s="57" t="s">
        <v>1914</v>
      </c>
      <c r="D258" s="57" t="s">
        <v>1915</v>
      </c>
      <c r="E258" s="57" t="s">
        <v>1916</v>
      </c>
      <c r="F258" s="57" t="s">
        <v>1917</v>
      </c>
      <c r="G258" s="57" t="s">
        <v>1918</v>
      </c>
      <c r="H258" s="56" t="str">
        <f t="shared" si="1"/>
        <v>CORRECT</v>
      </c>
      <c r="I258" s="56" t="s">
        <v>51</v>
      </c>
      <c r="J258" s="56" t="s">
        <v>51</v>
      </c>
      <c r="K258" s="65" t="s">
        <v>1919</v>
      </c>
      <c r="L258" s="63">
        <v>27896.0</v>
      </c>
      <c r="M258" s="56" t="s">
        <v>42</v>
      </c>
      <c r="N258" s="66" t="s">
        <v>1920</v>
      </c>
    </row>
    <row r="259" ht="60.0" customHeight="1">
      <c r="A259" s="56">
        <v>253.0</v>
      </c>
      <c r="B259" s="57" t="s">
        <v>1921</v>
      </c>
      <c r="C259" s="57" t="s">
        <v>1922</v>
      </c>
      <c r="D259" s="57" t="s">
        <v>1923</v>
      </c>
      <c r="E259" s="57" t="s">
        <v>1924</v>
      </c>
      <c r="F259" s="57" t="s">
        <v>1925</v>
      </c>
      <c r="G259" s="57" t="s">
        <v>1926</v>
      </c>
      <c r="H259" s="56" t="str">
        <f t="shared" si="1"/>
        <v>CORRECT</v>
      </c>
      <c r="I259" s="56" t="s">
        <v>40</v>
      </c>
      <c r="J259" s="56" t="s">
        <v>40</v>
      </c>
      <c r="K259" s="65" t="s">
        <v>1927</v>
      </c>
      <c r="L259" s="63">
        <v>41946.0</v>
      </c>
      <c r="M259" s="56" t="s">
        <v>42</v>
      </c>
      <c r="N259" s="66" t="s">
        <v>1928</v>
      </c>
    </row>
    <row r="260" ht="60.0" customHeight="1">
      <c r="A260" s="56">
        <v>254.0</v>
      </c>
      <c r="B260" s="57" t="s">
        <v>1929</v>
      </c>
      <c r="C260" s="57" t="s">
        <v>1930</v>
      </c>
      <c r="D260" s="57" t="s">
        <v>1931</v>
      </c>
      <c r="E260" s="57" t="s">
        <v>1932</v>
      </c>
      <c r="F260" s="57" t="s">
        <v>1933</v>
      </c>
      <c r="G260" s="57" t="s">
        <v>1934</v>
      </c>
      <c r="H260" s="56" t="str">
        <f t="shared" si="1"/>
        <v>WRONG</v>
      </c>
      <c r="I260" s="56" t="s">
        <v>50</v>
      </c>
      <c r="J260" s="56" t="s">
        <v>51</v>
      </c>
      <c r="K260" s="65" t="s">
        <v>1935</v>
      </c>
      <c r="L260" s="63">
        <v>40109.0</v>
      </c>
      <c r="M260" s="56" t="s">
        <v>62</v>
      </c>
      <c r="N260" s="66"/>
    </row>
    <row r="261" ht="60.0" customHeight="1">
      <c r="A261" s="56">
        <v>255.0</v>
      </c>
      <c r="B261" s="57" t="s">
        <v>1936</v>
      </c>
      <c r="C261" s="57" t="s">
        <v>1937</v>
      </c>
      <c r="D261" s="57" t="s">
        <v>1938</v>
      </c>
      <c r="E261" s="57" t="s">
        <v>1939</v>
      </c>
      <c r="F261" s="57" t="s">
        <v>1940</v>
      </c>
      <c r="G261" s="57" t="s">
        <v>1941</v>
      </c>
      <c r="H261" s="56" t="str">
        <f t="shared" si="1"/>
        <v>WRONG</v>
      </c>
      <c r="I261" s="56" t="s">
        <v>51</v>
      </c>
      <c r="J261" s="56" t="s">
        <v>50</v>
      </c>
      <c r="K261" s="65" t="s">
        <v>1942</v>
      </c>
      <c r="L261" s="63">
        <v>57352.0</v>
      </c>
      <c r="M261" s="56" t="s">
        <v>62</v>
      </c>
      <c r="N261" s="66"/>
    </row>
    <row r="262" ht="60.0" customHeight="1">
      <c r="A262" s="56">
        <v>256.0</v>
      </c>
      <c r="B262" s="57" t="s">
        <v>1943</v>
      </c>
      <c r="C262" s="57" t="s">
        <v>1944</v>
      </c>
      <c r="D262" s="57" t="s">
        <v>1945</v>
      </c>
      <c r="E262" s="57" t="s">
        <v>1946</v>
      </c>
      <c r="F262" s="57" t="s">
        <v>1947</v>
      </c>
      <c r="G262" s="57" t="s">
        <v>1948</v>
      </c>
      <c r="H262" s="56" t="str">
        <f t="shared" si="1"/>
        <v>WRONG</v>
      </c>
      <c r="I262" s="56" t="s">
        <v>60</v>
      </c>
      <c r="J262" s="56" t="s">
        <v>50</v>
      </c>
      <c r="K262" s="65" t="s">
        <v>1949</v>
      </c>
      <c r="L262" s="63">
        <v>38968.0</v>
      </c>
      <c r="M262" s="56" t="s">
        <v>62</v>
      </c>
      <c r="N262" s="66"/>
    </row>
    <row r="263" ht="60.0" customHeight="1">
      <c r="A263" s="56">
        <v>257.0</v>
      </c>
      <c r="B263" s="57" t="s">
        <v>1950</v>
      </c>
      <c r="C263" s="57" t="s">
        <v>1951</v>
      </c>
      <c r="D263" s="57" t="s">
        <v>1952</v>
      </c>
      <c r="E263" s="57" t="s">
        <v>1953</v>
      </c>
      <c r="F263" s="57" t="s">
        <v>1954</v>
      </c>
      <c r="G263" s="57" t="s">
        <v>1955</v>
      </c>
      <c r="H263" s="56" t="str">
        <f t="shared" si="1"/>
        <v>CORRECT</v>
      </c>
      <c r="I263" s="56" t="s">
        <v>40</v>
      </c>
      <c r="J263" s="56" t="s">
        <v>40</v>
      </c>
      <c r="K263" s="65" t="s">
        <v>1956</v>
      </c>
      <c r="L263" s="63">
        <v>33273.0</v>
      </c>
      <c r="M263" s="56" t="s">
        <v>42</v>
      </c>
      <c r="N263" s="66" t="s">
        <v>1957</v>
      </c>
    </row>
    <row r="264" ht="60.0" customHeight="1">
      <c r="A264" s="56">
        <v>258.0</v>
      </c>
      <c r="B264" s="57" t="s">
        <v>1958</v>
      </c>
      <c r="C264" s="57" t="s">
        <v>1959</v>
      </c>
      <c r="D264" s="57" t="s">
        <v>1960</v>
      </c>
      <c r="E264" s="57" t="s">
        <v>1961</v>
      </c>
      <c r="F264" s="57" t="s">
        <v>1962</v>
      </c>
      <c r="G264" s="57" t="s">
        <v>1963</v>
      </c>
      <c r="H264" s="56" t="str">
        <f t="shared" si="1"/>
        <v>CORRECT</v>
      </c>
      <c r="I264" s="56" t="s">
        <v>40</v>
      </c>
      <c r="J264" s="56" t="s">
        <v>40</v>
      </c>
      <c r="K264" s="65" t="s">
        <v>1964</v>
      </c>
      <c r="L264" s="63">
        <v>32581.0</v>
      </c>
      <c r="M264" s="56" t="s">
        <v>62</v>
      </c>
      <c r="N264" s="66"/>
    </row>
    <row r="265" ht="60.0" customHeight="1">
      <c r="A265" s="56">
        <v>259.0</v>
      </c>
      <c r="B265" s="57" t="s">
        <v>1965</v>
      </c>
      <c r="C265" s="57" t="s">
        <v>1966</v>
      </c>
      <c r="D265" s="57" t="s">
        <v>1967</v>
      </c>
      <c r="E265" s="57" t="s">
        <v>1968</v>
      </c>
      <c r="F265" s="57" t="s">
        <v>1969</v>
      </c>
      <c r="G265" s="57" t="s">
        <v>1970</v>
      </c>
      <c r="H265" s="56" t="str">
        <f t="shared" si="1"/>
        <v>CORRECT</v>
      </c>
      <c r="I265" s="56" t="s">
        <v>40</v>
      </c>
      <c r="J265" s="56" t="s">
        <v>40</v>
      </c>
      <c r="K265" s="65" t="s">
        <v>1971</v>
      </c>
      <c r="L265" s="63">
        <v>46337.0</v>
      </c>
      <c r="M265" s="56" t="s">
        <v>62</v>
      </c>
      <c r="N265" s="66"/>
    </row>
    <row r="266" ht="60.0" customHeight="1">
      <c r="A266" s="56">
        <v>260.0</v>
      </c>
      <c r="B266" s="57" t="s">
        <v>1972</v>
      </c>
      <c r="C266" s="57" t="s">
        <v>1274</v>
      </c>
      <c r="D266" s="57" t="s">
        <v>1973</v>
      </c>
      <c r="E266" s="57" t="s">
        <v>1974</v>
      </c>
      <c r="F266" s="57" t="s">
        <v>1975</v>
      </c>
      <c r="G266" s="57" t="s">
        <v>1976</v>
      </c>
      <c r="H266" s="56" t="str">
        <f t="shared" si="1"/>
        <v>CORRECT</v>
      </c>
      <c r="I266" s="56" t="s">
        <v>50</v>
      </c>
      <c r="J266" s="56" t="s">
        <v>50</v>
      </c>
      <c r="K266" s="65" t="s">
        <v>1977</v>
      </c>
      <c r="L266" s="63">
        <v>34370.0</v>
      </c>
      <c r="M266" s="56" t="s">
        <v>42</v>
      </c>
      <c r="N266" s="66" t="s">
        <v>1978</v>
      </c>
    </row>
    <row r="267" ht="60.0" customHeight="1">
      <c r="A267" s="56">
        <v>261.0</v>
      </c>
      <c r="B267" s="57" t="s">
        <v>1979</v>
      </c>
      <c r="C267" s="57" t="s">
        <v>1980</v>
      </c>
      <c r="D267" s="57" t="s">
        <v>1981</v>
      </c>
      <c r="E267" s="57" t="s">
        <v>1041</v>
      </c>
      <c r="F267" s="57" t="s">
        <v>1982</v>
      </c>
      <c r="G267" s="57" t="s">
        <v>1983</v>
      </c>
      <c r="H267" s="56" t="str">
        <f t="shared" si="1"/>
        <v>CORRECT</v>
      </c>
      <c r="I267" s="56" t="s">
        <v>50</v>
      </c>
      <c r="J267" s="56" t="s">
        <v>50</v>
      </c>
      <c r="K267" s="65" t="s">
        <v>1984</v>
      </c>
      <c r="L267" s="63">
        <v>28824.0</v>
      </c>
      <c r="M267" s="56" t="s">
        <v>62</v>
      </c>
      <c r="N267" s="66"/>
    </row>
    <row r="268" ht="60.0" customHeight="1">
      <c r="A268" s="56">
        <v>262.0</v>
      </c>
      <c r="B268" s="57" t="s">
        <v>1985</v>
      </c>
      <c r="C268" s="57" t="s">
        <v>1986</v>
      </c>
      <c r="D268" s="57" t="s">
        <v>1987</v>
      </c>
      <c r="E268" s="57" t="s">
        <v>1988</v>
      </c>
      <c r="F268" s="57" t="s">
        <v>1989</v>
      </c>
      <c r="G268" s="57" t="s">
        <v>1059</v>
      </c>
      <c r="H268" s="56" t="str">
        <f t="shared" si="1"/>
        <v>CORRECT</v>
      </c>
      <c r="I268" s="56" t="s">
        <v>40</v>
      </c>
      <c r="J268" s="56" t="s">
        <v>40</v>
      </c>
      <c r="K268" s="65" t="s">
        <v>1990</v>
      </c>
      <c r="L268" s="63">
        <v>34201.0</v>
      </c>
      <c r="M268" s="56" t="s">
        <v>62</v>
      </c>
      <c r="N268" s="67"/>
    </row>
    <row r="269" ht="60.0" customHeight="1">
      <c r="A269" s="56">
        <v>263.0</v>
      </c>
      <c r="B269" s="57" t="s">
        <v>1991</v>
      </c>
      <c r="C269" s="57" t="s">
        <v>1992</v>
      </c>
      <c r="D269" s="57" t="s">
        <v>1993</v>
      </c>
      <c r="E269" s="57" t="s">
        <v>1994</v>
      </c>
      <c r="F269" s="57" t="s">
        <v>1995</v>
      </c>
      <c r="G269" s="57" t="s">
        <v>1996</v>
      </c>
      <c r="H269" s="56" t="str">
        <f t="shared" si="1"/>
        <v>WRONG</v>
      </c>
      <c r="I269" s="56" t="s">
        <v>50</v>
      </c>
      <c r="J269" s="56" t="s">
        <v>60</v>
      </c>
      <c r="K269" s="65" t="s">
        <v>2676</v>
      </c>
      <c r="L269" s="63">
        <v>38745.0</v>
      </c>
      <c r="M269" s="56" t="s">
        <v>62</v>
      </c>
      <c r="N269" s="66"/>
    </row>
    <row r="270" ht="60.0" customHeight="1">
      <c r="A270" s="56">
        <v>264.0</v>
      </c>
      <c r="B270" s="57" t="s">
        <v>1998</v>
      </c>
      <c r="C270" s="57" t="s">
        <v>1999</v>
      </c>
      <c r="D270" s="57" t="s">
        <v>2000</v>
      </c>
      <c r="E270" s="57" t="s">
        <v>2001</v>
      </c>
      <c r="F270" s="57" t="s">
        <v>2002</v>
      </c>
      <c r="G270" s="57" t="s">
        <v>2003</v>
      </c>
      <c r="H270" s="56" t="str">
        <f t="shared" si="1"/>
        <v>CORRECT</v>
      </c>
      <c r="I270" s="56" t="s">
        <v>40</v>
      </c>
      <c r="J270" s="56" t="s">
        <v>40</v>
      </c>
      <c r="K270" s="65" t="s">
        <v>2004</v>
      </c>
      <c r="L270" s="63">
        <v>35073.0</v>
      </c>
      <c r="M270" s="56" t="s">
        <v>42</v>
      </c>
      <c r="N270" s="66" t="s">
        <v>2005</v>
      </c>
    </row>
    <row r="271" ht="60.0" customHeight="1">
      <c r="A271" s="56">
        <v>265.0</v>
      </c>
      <c r="B271" s="57" t="s">
        <v>2006</v>
      </c>
      <c r="C271" s="57" t="s">
        <v>2007</v>
      </c>
      <c r="D271" s="57" t="s">
        <v>2008</v>
      </c>
      <c r="E271" s="57" t="s">
        <v>2009</v>
      </c>
      <c r="F271" s="57" t="s">
        <v>2010</v>
      </c>
      <c r="G271" s="57" t="s">
        <v>2011</v>
      </c>
      <c r="H271" s="56" t="str">
        <f t="shared" si="1"/>
        <v>WRONG</v>
      </c>
      <c r="I271" s="56" t="s">
        <v>51</v>
      </c>
      <c r="J271" s="56" t="s">
        <v>40</v>
      </c>
      <c r="K271" s="65" t="s">
        <v>2012</v>
      </c>
      <c r="L271" s="63">
        <v>29114.0</v>
      </c>
      <c r="M271" s="56" t="s">
        <v>42</v>
      </c>
      <c r="N271" s="66" t="s">
        <v>2013</v>
      </c>
    </row>
    <row r="272" ht="60.0" customHeight="1">
      <c r="A272" s="56">
        <v>266.0</v>
      </c>
      <c r="B272" s="57" t="s">
        <v>2014</v>
      </c>
      <c r="C272" s="57" t="s">
        <v>2015</v>
      </c>
      <c r="D272" s="57" t="s">
        <v>2016</v>
      </c>
      <c r="E272" s="57" t="s">
        <v>2017</v>
      </c>
      <c r="F272" s="57" t="s">
        <v>2018</v>
      </c>
      <c r="G272" s="57" t="s">
        <v>2019</v>
      </c>
      <c r="H272" s="56" t="str">
        <f t="shared" si="1"/>
        <v>WRONG</v>
      </c>
      <c r="I272" s="56" t="s">
        <v>50</v>
      </c>
      <c r="J272" s="56" t="s">
        <v>77</v>
      </c>
      <c r="K272" s="65" t="s">
        <v>2020</v>
      </c>
      <c r="L272" s="63">
        <v>36958.0</v>
      </c>
      <c r="M272" s="56" t="s">
        <v>42</v>
      </c>
      <c r="N272" s="66" t="s">
        <v>2021</v>
      </c>
    </row>
    <row r="273" ht="60.0" customHeight="1">
      <c r="A273" s="56">
        <v>267.0</v>
      </c>
      <c r="B273" s="57" t="s">
        <v>2022</v>
      </c>
      <c r="C273" s="57" t="s">
        <v>2023</v>
      </c>
      <c r="D273" s="57" t="s">
        <v>2024</v>
      </c>
      <c r="E273" s="57" t="s">
        <v>2025</v>
      </c>
      <c r="F273" s="57" t="s">
        <v>2026</v>
      </c>
      <c r="G273" s="57" t="s">
        <v>2027</v>
      </c>
      <c r="H273" s="56" t="str">
        <f t="shared" si="1"/>
        <v>CORRECT</v>
      </c>
      <c r="I273" s="56" t="s">
        <v>60</v>
      </c>
      <c r="J273" s="56" t="s">
        <v>60</v>
      </c>
      <c r="K273" s="65" t="s">
        <v>2028</v>
      </c>
      <c r="L273" s="63">
        <v>63180.0</v>
      </c>
      <c r="M273" s="56" t="s">
        <v>62</v>
      </c>
      <c r="N273" s="66"/>
    </row>
    <row r="274" ht="60.0" customHeight="1">
      <c r="A274" s="56">
        <v>268.0</v>
      </c>
      <c r="B274" s="57" t="s">
        <v>2029</v>
      </c>
      <c r="C274" s="57" t="s">
        <v>2030</v>
      </c>
      <c r="D274" s="57" t="s">
        <v>2031</v>
      </c>
      <c r="E274" s="57" t="s">
        <v>2032</v>
      </c>
      <c r="F274" s="57" t="s">
        <v>2033</v>
      </c>
      <c r="G274" s="57" t="s">
        <v>1059</v>
      </c>
      <c r="H274" s="56" t="str">
        <f t="shared" si="1"/>
        <v>WRONG</v>
      </c>
      <c r="I274" s="56" t="s">
        <v>40</v>
      </c>
      <c r="J274" s="56" t="s">
        <v>51</v>
      </c>
      <c r="K274" s="65" t="s">
        <v>2034</v>
      </c>
      <c r="L274" s="63">
        <v>30376.0</v>
      </c>
      <c r="M274" s="56" t="s">
        <v>62</v>
      </c>
      <c r="N274" s="67"/>
    </row>
    <row r="275" ht="60.0" customHeight="1">
      <c r="A275" s="56">
        <v>269.0</v>
      </c>
      <c r="B275" s="57" t="s">
        <v>2035</v>
      </c>
      <c r="C275" s="57" t="s">
        <v>2036</v>
      </c>
      <c r="D275" s="57" t="s">
        <v>2037</v>
      </c>
      <c r="E275" s="57" t="s">
        <v>2038</v>
      </c>
      <c r="F275" s="57" t="s">
        <v>2039</v>
      </c>
      <c r="G275" s="57" t="s">
        <v>2040</v>
      </c>
      <c r="H275" s="56" t="str">
        <f t="shared" si="1"/>
        <v>CORRECT</v>
      </c>
      <c r="I275" s="56" t="s">
        <v>60</v>
      </c>
      <c r="J275" s="56" t="s">
        <v>60</v>
      </c>
      <c r="K275" s="65" t="s">
        <v>2041</v>
      </c>
      <c r="L275" s="63">
        <v>55022.0</v>
      </c>
      <c r="M275" s="56" t="s">
        <v>62</v>
      </c>
      <c r="N275" s="66"/>
    </row>
    <row r="276" ht="60.0" customHeight="1">
      <c r="A276" s="56">
        <v>270.0</v>
      </c>
      <c r="B276" s="57" t="s">
        <v>2042</v>
      </c>
      <c r="C276" s="57" t="s">
        <v>2043</v>
      </c>
      <c r="D276" s="57" t="s">
        <v>2044</v>
      </c>
      <c r="E276" s="57" t="s">
        <v>2045</v>
      </c>
      <c r="F276" s="57" t="s">
        <v>2046</v>
      </c>
      <c r="G276" s="57" t="s">
        <v>2047</v>
      </c>
      <c r="H276" s="56" t="str">
        <f t="shared" si="1"/>
        <v>CORRECT</v>
      </c>
      <c r="I276" s="56" t="s">
        <v>77</v>
      </c>
      <c r="J276" s="56" t="s">
        <v>77</v>
      </c>
      <c r="K276" s="65" t="s">
        <v>2048</v>
      </c>
      <c r="L276" s="63">
        <v>35205.0</v>
      </c>
      <c r="M276" s="56" t="s">
        <v>42</v>
      </c>
      <c r="N276" s="66" t="s">
        <v>2049</v>
      </c>
    </row>
    <row r="277" ht="60.0" customHeight="1">
      <c r="A277" s="56">
        <v>271.0</v>
      </c>
      <c r="B277" s="57" t="s">
        <v>2050</v>
      </c>
      <c r="C277" s="57" t="s">
        <v>2051</v>
      </c>
      <c r="D277" s="57" t="s">
        <v>2052</v>
      </c>
      <c r="E277" s="57" t="s">
        <v>2053</v>
      </c>
      <c r="F277" s="57" t="s">
        <v>2054</v>
      </c>
      <c r="G277" s="57" t="s">
        <v>2055</v>
      </c>
      <c r="H277" s="56" t="str">
        <f t="shared" si="1"/>
        <v>WRONG</v>
      </c>
      <c r="I277" s="56" t="s">
        <v>51</v>
      </c>
      <c r="J277" s="56" t="s">
        <v>60</v>
      </c>
      <c r="K277" s="65" t="s">
        <v>2056</v>
      </c>
      <c r="L277" s="63">
        <v>46959.0</v>
      </c>
      <c r="M277" s="56" t="s">
        <v>62</v>
      </c>
      <c r="N277" s="66"/>
    </row>
    <row r="278" ht="60.0" customHeight="1">
      <c r="A278" s="56">
        <v>272.0</v>
      </c>
      <c r="B278" s="57" t="s">
        <v>2057</v>
      </c>
      <c r="C278" s="57" t="s">
        <v>2058</v>
      </c>
      <c r="D278" s="57" t="s">
        <v>2059</v>
      </c>
      <c r="E278" s="57" t="s">
        <v>2060</v>
      </c>
      <c r="F278" s="57" t="s">
        <v>2061</v>
      </c>
      <c r="G278" s="57" t="s">
        <v>2062</v>
      </c>
      <c r="H278" s="56" t="str">
        <f t="shared" si="1"/>
        <v>WRONG</v>
      </c>
      <c r="I278" s="56" t="s">
        <v>50</v>
      </c>
      <c r="J278" s="56" t="s">
        <v>60</v>
      </c>
      <c r="K278" s="65" t="s">
        <v>2063</v>
      </c>
      <c r="L278" s="63">
        <v>57495.0</v>
      </c>
      <c r="M278" s="56" t="s">
        <v>42</v>
      </c>
      <c r="N278" s="66" t="s">
        <v>2064</v>
      </c>
    </row>
    <row r="279" ht="60.0" customHeight="1">
      <c r="A279" s="56">
        <v>273.0</v>
      </c>
      <c r="B279" s="57" t="s">
        <v>2065</v>
      </c>
      <c r="C279" s="57" t="s">
        <v>2066</v>
      </c>
      <c r="D279" s="57" t="s">
        <v>2067</v>
      </c>
      <c r="E279" s="57" t="s">
        <v>2068</v>
      </c>
      <c r="F279" s="57" t="s">
        <v>2069</v>
      </c>
      <c r="G279" s="57" t="s">
        <v>2070</v>
      </c>
      <c r="H279" s="56" t="str">
        <f t="shared" si="1"/>
        <v>CORRECT</v>
      </c>
      <c r="I279" s="56" t="s">
        <v>51</v>
      </c>
      <c r="J279" s="56" t="s">
        <v>51</v>
      </c>
      <c r="K279" s="65" t="s">
        <v>2677</v>
      </c>
      <c r="L279" s="63">
        <v>40770.0</v>
      </c>
      <c r="M279" s="56" t="s">
        <v>42</v>
      </c>
      <c r="N279" s="66" t="s">
        <v>2072</v>
      </c>
    </row>
    <row r="280" ht="60.0" customHeight="1">
      <c r="A280" s="56">
        <v>274.0</v>
      </c>
      <c r="B280" s="57" t="s">
        <v>2073</v>
      </c>
      <c r="C280" s="57" t="s">
        <v>2074</v>
      </c>
      <c r="D280" s="57" t="s">
        <v>2075</v>
      </c>
      <c r="E280" s="57" t="s">
        <v>2076</v>
      </c>
      <c r="F280" s="57" t="s">
        <v>2077</v>
      </c>
      <c r="G280" s="57" t="s">
        <v>2078</v>
      </c>
      <c r="H280" s="56" t="str">
        <f t="shared" si="1"/>
        <v>WRONG</v>
      </c>
      <c r="I280" s="56" t="s">
        <v>77</v>
      </c>
      <c r="J280" s="56" t="s">
        <v>51</v>
      </c>
      <c r="K280" s="65" t="s">
        <v>2079</v>
      </c>
      <c r="L280" s="63">
        <v>30307.0</v>
      </c>
      <c r="M280" s="56" t="s">
        <v>42</v>
      </c>
      <c r="N280" s="66" t="s">
        <v>2080</v>
      </c>
    </row>
    <row r="281" ht="60.0" customHeight="1">
      <c r="A281" s="56">
        <v>275.0</v>
      </c>
      <c r="B281" s="57" t="s">
        <v>2081</v>
      </c>
      <c r="C281" s="57" t="s">
        <v>2082</v>
      </c>
      <c r="D281" s="57" t="s">
        <v>2083</v>
      </c>
      <c r="E281" s="57" t="s">
        <v>2084</v>
      </c>
      <c r="F281" s="57" t="s">
        <v>1723</v>
      </c>
      <c r="G281" s="57" t="s">
        <v>2085</v>
      </c>
      <c r="H281" s="56" t="str">
        <f t="shared" si="1"/>
        <v>WRONG</v>
      </c>
      <c r="I281" s="56" t="s">
        <v>40</v>
      </c>
      <c r="J281" s="56" t="s">
        <v>50</v>
      </c>
      <c r="K281" s="65" t="s">
        <v>2678</v>
      </c>
      <c r="L281" s="63">
        <v>45839.0</v>
      </c>
      <c r="M281" s="56" t="s">
        <v>62</v>
      </c>
      <c r="N281" s="66"/>
    </row>
    <row r="282" ht="60.0" customHeight="1">
      <c r="A282" s="56">
        <v>276.0</v>
      </c>
      <c r="B282" s="57" t="s">
        <v>2087</v>
      </c>
      <c r="C282" s="57" t="s">
        <v>2088</v>
      </c>
      <c r="D282" s="57" t="s">
        <v>2089</v>
      </c>
      <c r="E282" s="57" t="s">
        <v>2090</v>
      </c>
      <c r="F282" s="57" t="s">
        <v>2091</v>
      </c>
      <c r="G282" s="57" t="s">
        <v>2092</v>
      </c>
      <c r="H282" s="56" t="str">
        <f t="shared" si="1"/>
        <v>CORRECT</v>
      </c>
      <c r="I282" s="56" t="s">
        <v>50</v>
      </c>
      <c r="J282" s="56" t="s">
        <v>50</v>
      </c>
      <c r="K282" s="65" t="s">
        <v>2679</v>
      </c>
      <c r="L282" s="63">
        <v>42647.0</v>
      </c>
      <c r="M282" s="56" t="s">
        <v>62</v>
      </c>
      <c r="N282" s="66"/>
    </row>
    <row r="283" ht="60.0" customHeight="1">
      <c r="A283" s="56">
        <v>277.0</v>
      </c>
      <c r="B283" s="57" t="s">
        <v>2094</v>
      </c>
      <c r="C283" s="57" t="s">
        <v>2095</v>
      </c>
      <c r="D283" s="57" t="s">
        <v>2096</v>
      </c>
      <c r="E283" s="57" t="s">
        <v>2097</v>
      </c>
      <c r="F283" s="57" t="s">
        <v>2098</v>
      </c>
      <c r="G283" s="57" t="s">
        <v>2099</v>
      </c>
      <c r="H283" s="56" t="str">
        <f t="shared" si="1"/>
        <v>CORRECT</v>
      </c>
      <c r="I283" s="56" t="s">
        <v>50</v>
      </c>
      <c r="J283" s="56" t="s">
        <v>50</v>
      </c>
      <c r="K283" s="65" t="s">
        <v>2100</v>
      </c>
      <c r="L283" s="63">
        <v>55035.0</v>
      </c>
      <c r="M283" s="56" t="s">
        <v>42</v>
      </c>
      <c r="N283" s="66" t="s">
        <v>2101</v>
      </c>
    </row>
    <row r="284" ht="60.0" customHeight="1">
      <c r="A284" s="56">
        <v>278.0</v>
      </c>
      <c r="B284" s="57" t="s">
        <v>2102</v>
      </c>
      <c r="C284" s="57" t="s">
        <v>2103</v>
      </c>
      <c r="D284" s="57" t="s">
        <v>2104</v>
      </c>
      <c r="E284" s="57" t="s">
        <v>2105</v>
      </c>
      <c r="F284" s="57" t="s">
        <v>2106</v>
      </c>
      <c r="G284" s="57" t="s">
        <v>2107</v>
      </c>
      <c r="H284" s="56" t="str">
        <f t="shared" si="1"/>
        <v>CORRECT</v>
      </c>
      <c r="I284" s="56" t="s">
        <v>50</v>
      </c>
      <c r="J284" s="56" t="s">
        <v>50</v>
      </c>
      <c r="K284" s="65" t="s">
        <v>2108</v>
      </c>
      <c r="L284" s="63">
        <v>44122.0</v>
      </c>
      <c r="M284" s="56" t="s">
        <v>62</v>
      </c>
      <c r="N284" s="66"/>
    </row>
    <row r="285" ht="60.0" customHeight="1">
      <c r="A285" s="56">
        <v>279.0</v>
      </c>
      <c r="B285" s="57" t="s">
        <v>2109</v>
      </c>
      <c r="C285" s="57" t="s">
        <v>2110</v>
      </c>
      <c r="D285" s="57" t="s">
        <v>2111</v>
      </c>
      <c r="E285" s="57" t="s">
        <v>2112</v>
      </c>
      <c r="F285" s="57" t="s">
        <v>2113</v>
      </c>
      <c r="G285" s="57" t="s">
        <v>2114</v>
      </c>
      <c r="H285" s="56" t="str">
        <f t="shared" si="1"/>
        <v>WRONG</v>
      </c>
      <c r="I285" s="56" t="s">
        <v>60</v>
      </c>
      <c r="J285" s="56" t="s">
        <v>77</v>
      </c>
      <c r="K285" s="65" t="s">
        <v>2115</v>
      </c>
      <c r="L285" s="63">
        <v>49350.0</v>
      </c>
      <c r="M285" s="56" t="s">
        <v>62</v>
      </c>
      <c r="N285" s="66"/>
    </row>
    <row r="286" ht="60.0" customHeight="1">
      <c r="A286" s="56">
        <v>280.0</v>
      </c>
      <c r="B286" s="57" t="s">
        <v>2116</v>
      </c>
      <c r="C286" s="57" t="s">
        <v>2117</v>
      </c>
      <c r="D286" s="57" t="s">
        <v>2118</v>
      </c>
      <c r="E286" s="57" t="s">
        <v>2119</v>
      </c>
      <c r="F286" s="57" t="s">
        <v>2120</v>
      </c>
      <c r="G286" s="57" t="s">
        <v>2121</v>
      </c>
      <c r="H286" s="56" t="str">
        <f t="shared" si="1"/>
        <v>WRONG</v>
      </c>
      <c r="I286" s="56" t="s">
        <v>77</v>
      </c>
      <c r="J286" s="56" t="s">
        <v>60</v>
      </c>
      <c r="K286" s="65" t="s">
        <v>2122</v>
      </c>
      <c r="L286" s="63">
        <v>36179.0</v>
      </c>
      <c r="M286" s="56" t="s">
        <v>62</v>
      </c>
      <c r="N286" s="66"/>
    </row>
    <row r="287" ht="60.0" customHeight="1">
      <c r="A287" s="56">
        <v>281.0</v>
      </c>
      <c r="B287" s="57" t="s">
        <v>2123</v>
      </c>
      <c r="C287" s="57" t="s">
        <v>2124</v>
      </c>
      <c r="D287" s="57" t="s">
        <v>2125</v>
      </c>
      <c r="E287" s="57" t="s">
        <v>2126</v>
      </c>
      <c r="F287" s="57" t="s">
        <v>2127</v>
      </c>
      <c r="G287" s="57" t="s">
        <v>2128</v>
      </c>
      <c r="H287" s="56" t="str">
        <f t="shared" si="1"/>
        <v>WRONG</v>
      </c>
      <c r="I287" s="56" t="s">
        <v>77</v>
      </c>
      <c r="J287" s="56" t="s">
        <v>50</v>
      </c>
      <c r="K287" s="65" t="s">
        <v>2129</v>
      </c>
      <c r="L287" s="63">
        <v>40964.0</v>
      </c>
      <c r="M287" s="56" t="s">
        <v>62</v>
      </c>
      <c r="N287" s="66"/>
    </row>
    <row r="288" ht="60.0" customHeight="1">
      <c r="A288" s="56">
        <v>282.0</v>
      </c>
      <c r="B288" s="57" t="s">
        <v>2130</v>
      </c>
      <c r="C288" s="57" t="s">
        <v>2131</v>
      </c>
      <c r="D288" s="57" t="s">
        <v>2132</v>
      </c>
      <c r="E288" s="57" t="s">
        <v>2133</v>
      </c>
      <c r="F288" s="57" t="s">
        <v>2134</v>
      </c>
      <c r="G288" s="57" t="s">
        <v>2135</v>
      </c>
      <c r="H288" s="56" t="str">
        <f t="shared" si="1"/>
        <v>CORRECT</v>
      </c>
      <c r="I288" s="56" t="s">
        <v>50</v>
      </c>
      <c r="J288" s="56" t="s">
        <v>50</v>
      </c>
      <c r="K288" s="65" t="s">
        <v>2136</v>
      </c>
      <c r="L288" s="63">
        <v>30017.0</v>
      </c>
      <c r="M288" s="56" t="s">
        <v>62</v>
      </c>
      <c r="N288" s="66"/>
    </row>
    <row r="289" ht="60.0" customHeight="1">
      <c r="A289" s="56">
        <v>283.0</v>
      </c>
      <c r="B289" s="57" t="s">
        <v>2137</v>
      </c>
      <c r="C289" s="57" t="s">
        <v>2138</v>
      </c>
      <c r="D289" s="57" t="s">
        <v>2139</v>
      </c>
      <c r="E289" s="57" t="s">
        <v>2140</v>
      </c>
      <c r="F289" s="57" t="s">
        <v>2141</v>
      </c>
      <c r="G289" s="57" t="s">
        <v>2142</v>
      </c>
      <c r="H289" s="56" t="str">
        <f t="shared" si="1"/>
        <v>WRONG</v>
      </c>
      <c r="I289" s="56" t="s">
        <v>77</v>
      </c>
      <c r="J289" s="56" t="s">
        <v>51</v>
      </c>
      <c r="K289" s="65" t="s">
        <v>2680</v>
      </c>
      <c r="L289" s="63">
        <v>46000.0</v>
      </c>
      <c r="M289" s="56" t="s">
        <v>62</v>
      </c>
      <c r="N289" s="66"/>
    </row>
    <row r="290" ht="60.0" customHeight="1">
      <c r="A290" s="56">
        <v>284.0</v>
      </c>
      <c r="B290" s="57" t="s">
        <v>2144</v>
      </c>
      <c r="C290" s="57" t="s">
        <v>2145</v>
      </c>
      <c r="D290" s="57" t="s">
        <v>2146</v>
      </c>
      <c r="E290" s="57" t="s">
        <v>2147</v>
      </c>
      <c r="F290" s="57" t="s">
        <v>2148</v>
      </c>
      <c r="G290" s="57" t="s">
        <v>1059</v>
      </c>
      <c r="H290" s="56" t="str">
        <f t="shared" si="1"/>
        <v>WRONG</v>
      </c>
      <c r="I290" s="56" t="s">
        <v>40</v>
      </c>
      <c r="J290" s="56" t="s">
        <v>51</v>
      </c>
      <c r="K290" s="65" t="s">
        <v>2149</v>
      </c>
      <c r="L290" s="63">
        <v>35211.0</v>
      </c>
      <c r="M290" s="56" t="s">
        <v>62</v>
      </c>
      <c r="N290" s="66"/>
    </row>
    <row r="291" ht="60.0" customHeight="1">
      <c r="A291" s="56">
        <v>285.0</v>
      </c>
      <c r="B291" s="57" t="s">
        <v>2150</v>
      </c>
      <c r="C291" s="57" t="s">
        <v>2151</v>
      </c>
      <c r="D291" s="57" t="s">
        <v>2152</v>
      </c>
      <c r="E291" s="57" t="s">
        <v>2153</v>
      </c>
      <c r="F291" s="57" t="s">
        <v>2154</v>
      </c>
      <c r="G291" s="57" t="s">
        <v>2155</v>
      </c>
      <c r="H291" s="56" t="str">
        <f t="shared" si="1"/>
        <v>CORRECT</v>
      </c>
      <c r="I291" s="56" t="s">
        <v>50</v>
      </c>
      <c r="J291" s="56" t="s">
        <v>50</v>
      </c>
      <c r="K291" s="65" t="s">
        <v>2156</v>
      </c>
      <c r="L291" s="63">
        <v>32553.0</v>
      </c>
      <c r="M291" s="56" t="s">
        <v>42</v>
      </c>
      <c r="N291" s="66" t="s">
        <v>2157</v>
      </c>
    </row>
    <row r="292" ht="60.0" customHeight="1">
      <c r="A292" s="56">
        <v>286.0</v>
      </c>
      <c r="B292" s="57" t="s">
        <v>2158</v>
      </c>
      <c r="C292" s="57" t="s">
        <v>2159</v>
      </c>
      <c r="D292" s="57" t="s">
        <v>2160</v>
      </c>
      <c r="E292" s="57" t="s">
        <v>2161</v>
      </c>
      <c r="F292" s="57" t="s">
        <v>2162</v>
      </c>
      <c r="G292" s="57" t="s">
        <v>2163</v>
      </c>
      <c r="H292" s="56" t="str">
        <f t="shared" si="1"/>
        <v>WRONG</v>
      </c>
      <c r="I292" s="56" t="s">
        <v>51</v>
      </c>
      <c r="J292" s="56" t="s">
        <v>60</v>
      </c>
      <c r="K292" s="65" t="s">
        <v>2164</v>
      </c>
      <c r="L292" s="63">
        <v>34505.0</v>
      </c>
      <c r="M292" s="56" t="s">
        <v>62</v>
      </c>
      <c r="N292" s="66"/>
    </row>
    <row r="293" ht="60.0" customHeight="1">
      <c r="A293" s="56">
        <v>287.0</v>
      </c>
      <c r="B293" s="57" t="s">
        <v>2165</v>
      </c>
      <c r="C293" s="57" t="s">
        <v>2166</v>
      </c>
      <c r="D293" s="57" t="s">
        <v>2167</v>
      </c>
      <c r="E293" s="57" t="s">
        <v>2168</v>
      </c>
      <c r="F293" s="57" t="s">
        <v>2169</v>
      </c>
      <c r="G293" s="57" t="s">
        <v>1059</v>
      </c>
      <c r="H293" s="56" t="str">
        <f t="shared" si="1"/>
        <v>CORRECT</v>
      </c>
      <c r="I293" s="56" t="s">
        <v>50</v>
      </c>
      <c r="J293" s="56" t="s">
        <v>50</v>
      </c>
      <c r="K293" s="65" t="s">
        <v>2170</v>
      </c>
      <c r="L293" s="63">
        <v>59198.0</v>
      </c>
      <c r="M293" s="56" t="s">
        <v>42</v>
      </c>
      <c r="N293" s="66" t="s">
        <v>2171</v>
      </c>
    </row>
    <row r="294" ht="60.0" customHeight="1">
      <c r="A294" s="56">
        <v>288.0</v>
      </c>
      <c r="B294" s="57" t="s">
        <v>2172</v>
      </c>
      <c r="C294" s="57" t="s">
        <v>2173</v>
      </c>
      <c r="D294" s="57" t="s">
        <v>2174</v>
      </c>
      <c r="E294" s="57" t="s">
        <v>2175</v>
      </c>
      <c r="F294" s="57" t="s">
        <v>2176</v>
      </c>
      <c r="G294" s="57" t="s">
        <v>2177</v>
      </c>
      <c r="H294" s="56" t="str">
        <f t="shared" si="1"/>
        <v>CORRECT</v>
      </c>
      <c r="I294" s="56" t="s">
        <v>60</v>
      </c>
      <c r="J294" s="56" t="s">
        <v>60</v>
      </c>
      <c r="K294" s="65" t="s">
        <v>2681</v>
      </c>
      <c r="L294" s="63">
        <v>35822.0</v>
      </c>
      <c r="M294" s="56" t="s">
        <v>42</v>
      </c>
      <c r="N294" s="66" t="s">
        <v>2179</v>
      </c>
    </row>
    <row r="295" ht="60.0" customHeight="1">
      <c r="A295" s="56">
        <v>289.0</v>
      </c>
      <c r="B295" s="57" t="s">
        <v>2180</v>
      </c>
      <c r="C295" s="57" t="s">
        <v>2181</v>
      </c>
      <c r="D295" s="57" t="s">
        <v>2182</v>
      </c>
      <c r="E295" s="57" t="s">
        <v>2183</v>
      </c>
      <c r="F295" s="57" t="s">
        <v>2184</v>
      </c>
      <c r="G295" s="57" t="s">
        <v>2185</v>
      </c>
      <c r="H295" s="56" t="str">
        <f t="shared" si="1"/>
        <v>WRONG</v>
      </c>
      <c r="I295" s="56" t="s">
        <v>60</v>
      </c>
      <c r="J295" s="56" t="s">
        <v>40</v>
      </c>
      <c r="K295" s="65" t="s">
        <v>2186</v>
      </c>
      <c r="L295" s="63">
        <v>38767.0</v>
      </c>
      <c r="M295" s="56" t="s">
        <v>62</v>
      </c>
      <c r="N295" s="66"/>
    </row>
    <row r="296" ht="60.0" customHeight="1">
      <c r="A296" s="56">
        <v>290.0</v>
      </c>
      <c r="B296" s="57" t="s">
        <v>2187</v>
      </c>
      <c r="C296" s="57" t="s">
        <v>2188</v>
      </c>
      <c r="D296" s="57" t="s">
        <v>2189</v>
      </c>
      <c r="E296" s="57" t="s">
        <v>2190</v>
      </c>
      <c r="F296" s="57" t="s">
        <v>2191</v>
      </c>
      <c r="G296" s="57" t="s">
        <v>1059</v>
      </c>
      <c r="H296" s="56" t="str">
        <f t="shared" si="1"/>
        <v>CORRECT</v>
      </c>
      <c r="I296" s="56" t="s">
        <v>60</v>
      </c>
      <c r="J296" s="56" t="s">
        <v>60</v>
      </c>
      <c r="K296" s="65" t="s">
        <v>2192</v>
      </c>
      <c r="L296" s="63">
        <v>28695.0</v>
      </c>
      <c r="M296" s="56" t="s">
        <v>42</v>
      </c>
      <c r="N296" s="66" t="s">
        <v>2193</v>
      </c>
    </row>
    <row r="297" ht="60.0" customHeight="1">
      <c r="A297" s="56">
        <v>291.0</v>
      </c>
      <c r="B297" s="57" t="s">
        <v>2194</v>
      </c>
      <c r="C297" s="57" t="s">
        <v>2195</v>
      </c>
      <c r="D297" s="57" t="s">
        <v>2196</v>
      </c>
      <c r="E297" s="57" t="s">
        <v>2197</v>
      </c>
      <c r="F297" s="57" t="s">
        <v>98</v>
      </c>
      <c r="G297" s="57" t="s">
        <v>2198</v>
      </c>
      <c r="H297" s="56" t="str">
        <f t="shared" si="1"/>
        <v>CORRECT</v>
      </c>
      <c r="I297" s="56" t="s">
        <v>40</v>
      </c>
      <c r="J297" s="56" t="s">
        <v>40</v>
      </c>
      <c r="K297" s="65" t="s">
        <v>2199</v>
      </c>
      <c r="L297" s="63">
        <v>37778.0</v>
      </c>
      <c r="M297" s="56" t="s">
        <v>62</v>
      </c>
      <c r="N297" s="66"/>
    </row>
    <row r="298" ht="60.0" customHeight="1">
      <c r="A298" s="56">
        <v>292.0</v>
      </c>
      <c r="B298" s="57" t="s">
        <v>2200</v>
      </c>
      <c r="C298" s="57" t="s">
        <v>2201</v>
      </c>
      <c r="D298" s="57" t="s">
        <v>2202</v>
      </c>
      <c r="E298" s="57" t="s">
        <v>2203</v>
      </c>
      <c r="F298" s="57" t="s">
        <v>2204</v>
      </c>
      <c r="G298" s="57" t="s">
        <v>2205</v>
      </c>
      <c r="H298" s="56" t="str">
        <f t="shared" si="1"/>
        <v>CORRECT</v>
      </c>
      <c r="I298" s="56" t="s">
        <v>50</v>
      </c>
      <c r="J298" s="56" t="s">
        <v>50</v>
      </c>
      <c r="K298" s="65" t="s">
        <v>2206</v>
      </c>
      <c r="L298" s="63">
        <v>49606.0</v>
      </c>
      <c r="M298" s="56" t="s">
        <v>62</v>
      </c>
      <c r="N298" s="66"/>
    </row>
    <row r="299" ht="60.0" customHeight="1">
      <c r="A299" s="56">
        <v>293.0</v>
      </c>
      <c r="B299" s="57" t="s">
        <v>2207</v>
      </c>
      <c r="C299" s="57" t="s">
        <v>2043</v>
      </c>
      <c r="D299" s="57" t="s">
        <v>2208</v>
      </c>
      <c r="E299" s="57" t="s">
        <v>2209</v>
      </c>
      <c r="F299" s="57" t="s">
        <v>2210</v>
      </c>
      <c r="G299" s="57" t="s">
        <v>2211</v>
      </c>
      <c r="H299" s="56" t="str">
        <f t="shared" si="1"/>
        <v>WRONG</v>
      </c>
      <c r="I299" s="56" t="s">
        <v>60</v>
      </c>
      <c r="J299" s="56" t="s">
        <v>51</v>
      </c>
      <c r="K299" s="65" t="s">
        <v>2682</v>
      </c>
      <c r="L299" s="63">
        <v>38178.0</v>
      </c>
      <c r="M299" s="56" t="s">
        <v>42</v>
      </c>
      <c r="N299" s="66" t="s">
        <v>2213</v>
      </c>
    </row>
    <row r="300" ht="60.0" customHeight="1">
      <c r="A300" s="56">
        <v>294.0</v>
      </c>
      <c r="B300" s="57" t="s">
        <v>2214</v>
      </c>
      <c r="C300" s="57" t="s">
        <v>2215</v>
      </c>
      <c r="D300" s="57" t="s">
        <v>2216</v>
      </c>
      <c r="E300" s="57" t="s">
        <v>2217</v>
      </c>
      <c r="F300" s="57" t="s">
        <v>2218</v>
      </c>
      <c r="G300" s="57" t="s">
        <v>2219</v>
      </c>
      <c r="H300" s="56" t="str">
        <f t="shared" si="1"/>
        <v>CORRECT</v>
      </c>
      <c r="I300" s="56" t="s">
        <v>50</v>
      </c>
      <c r="J300" s="56" t="s">
        <v>50</v>
      </c>
      <c r="K300" s="65" t="s">
        <v>2220</v>
      </c>
      <c r="L300" s="63">
        <v>42307.0</v>
      </c>
      <c r="M300" s="56" t="s">
        <v>62</v>
      </c>
      <c r="N300" s="66"/>
    </row>
    <row r="301" ht="60.0" customHeight="1">
      <c r="A301" s="56">
        <v>295.0</v>
      </c>
      <c r="B301" s="57" t="s">
        <v>2221</v>
      </c>
      <c r="C301" s="57" t="s">
        <v>2222</v>
      </c>
      <c r="D301" s="57" t="s">
        <v>2223</v>
      </c>
      <c r="E301" s="57" t="s">
        <v>2224</v>
      </c>
      <c r="F301" s="57" t="s">
        <v>2225</v>
      </c>
      <c r="G301" s="57" t="s">
        <v>2226</v>
      </c>
      <c r="H301" s="56" t="str">
        <f t="shared" si="1"/>
        <v>WRONG</v>
      </c>
      <c r="I301" s="56" t="s">
        <v>40</v>
      </c>
      <c r="J301" s="56" t="s">
        <v>60</v>
      </c>
      <c r="K301" s="65" t="s">
        <v>2683</v>
      </c>
      <c r="L301" s="63">
        <v>50349.0</v>
      </c>
      <c r="M301" s="56" t="s">
        <v>62</v>
      </c>
      <c r="N301" s="66"/>
    </row>
    <row r="302" ht="60.0" customHeight="1">
      <c r="A302" s="56">
        <v>296.0</v>
      </c>
      <c r="B302" s="57" t="s">
        <v>2228</v>
      </c>
      <c r="C302" s="57" t="s">
        <v>2229</v>
      </c>
      <c r="D302" s="57" t="s">
        <v>2230</v>
      </c>
      <c r="E302" s="57" t="s">
        <v>2231</v>
      </c>
      <c r="F302" s="57" t="s">
        <v>2232</v>
      </c>
      <c r="G302" s="57" t="s">
        <v>2233</v>
      </c>
      <c r="H302" s="56" t="str">
        <f t="shared" si="1"/>
        <v>WRONG</v>
      </c>
      <c r="I302" s="56" t="s">
        <v>50</v>
      </c>
      <c r="J302" s="56" t="s">
        <v>40</v>
      </c>
      <c r="K302" s="65" t="s">
        <v>2234</v>
      </c>
      <c r="L302" s="63">
        <v>36556.0</v>
      </c>
      <c r="M302" s="56" t="s">
        <v>42</v>
      </c>
      <c r="N302" s="66" t="s">
        <v>2235</v>
      </c>
    </row>
    <row r="303" ht="60.0" customHeight="1">
      <c r="A303" s="56">
        <v>297.0</v>
      </c>
      <c r="B303" s="57" t="s">
        <v>2236</v>
      </c>
      <c r="C303" s="57" t="s">
        <v>2237</v>
      </c>
      <c r="D303" s="57" t="s">
        <v>2238</v>
      </c>
      <c r="E303" s="57" t="s">
        <v>2239</v>
      </c>
      <c r="F303" s="57" t="s">
        <v>2240</v>
      </c>
      <c r="G303" s="57" t="s">
        <v>2241</v>
      </c>
      <c r="H303" s="56" t="str">
        <f t="shared" si="1"/>
        <v>WRONG</v>
      </c>
      <c r="I303" s="56" t="s">
        <v>77</v>
      </c>
      <c r="J303" s="56" t="s">
        <v>51</v>
      </c>
      <c r="K303" s="65" t="s">
        <v>2242</v>
      </c>
      <c r="L303" s="63">
        <v>35489.0</v>
      </c>
      <c r="M303" s="56" t="s">
        <v>42</v>
      </c>
      <c r="N303" s="66" t="s">
        <v>2243</v>
      </c>
    </row>
    <row r="304" ht="60.0" customHeight="1">
      <c r="A304" s="56">
        <v>298.0</v>
      </c>
      <c r="B304" s="57" t="s">
        <v>2244</v>
      </c>
      <c r="C304" s="57" t="s">
        <v>2245</v>
      </c>
      <c r="D304" s="57" t="s">
        <v>2246</v>
      </c>
      <c r="E304" s="57" t="s">
        <v>2247</v>
      </c>
      <c r="F304" s="57" t="s">
        <v>2248</v>
      </c>
      <c r="G304" s="57" t="s">
        <v>2249</v>
      </c>
      <c r="H304" s="56" t="str">
        <f t="shared" si="1"/>
        <v>CORRECT</v>
      </c>
      <c r="I304" s="56" t="s">
        <v>50</v>
      </c>
      <c r="J304" s="56" t="s">
        <v>50</v>
      </c>
      <c r="K304" s="65" t="s">
        <v>2250</v>
      </c>
      <c r="L304" s="63">
        <v>37291.0</v>
      </c>
      <c r="M304" s="56" t="s">
        <v>42</v>
      </c>
      <c r="N304" s="66" t="s">
        <v>2251</v>
      </c>
    </row>
    <row r="305" ht="60.0" customHeight="1">
      <c r="A305" s="56">
        <v>299.0</v>
      </c>
      <c r="B305" s="57" t="s">
        <v>2252</v>
      </c>
      <c r="C305" s="57" t="s">
        <v>2253</v>
      </c>
      <c r="D305" s="57" t="s">
        <v>2254</v>
      </c>
      <c r="E305" s="57" t="s">
        <v>2255</v>
      </c>
      <c r="F305" s="57" t="s">
        <v>2256</v>
      </c>
      <c r="G305" s="57" t="s">
        <v>1059</v>
      </c>
      <c r="H305" s="56" t="str">
        <f t="shared" si="1"/>
        <v>CORRECT</v>
      </c>
      <c r="I305" s="56" t="s">
        <v>50</v>
      </c>
      <c r="J305" s="56" t="s">
        <v>50</v>
      </c>
      <c r="K305" s="65" t="s">
        <v>2257</v>
      </c>
      <c r="L305" s="63">
        <v>38491.0</v>
      </c>
      <c r="M305" s="56" t="s">
        <v>42</v>
      </c>
      <c r="N305" s="66" t="s">
        <v>2258</v>
      </c>
    </row>
    <row r="306" ht="60.0" customHeight="1">
      <c r="A306" s="56">
        <v>300.0</v>
      </c>
      <c r="B306" s="57" t="s">
        <v>2259</v>
      </c>
      <c r="C306" s="57" t="s">
        <v>2260</v>
      </c>
      <c r="D306" s="57" t="s">
        <v>2261</v>
      </c>
      <c r="E306" s="57" t="s">
        <v>2262</v>
      </c>
      <c r="F306" s="57" t="s">
        <v>2263</v>
      </c>
      <c r="G306" s="57" t="s">
        <v>2264</v>
      </c>
      <c r="H306" s="56" t="str">
        <f t="shared" si="1"/>
        <v>WRONG</v>
      </c>
      <c r="I306" s="56" t="s">
        <v>40</v>
      </c>
      <c r="J306" s="56" t="s">
        <v>60</v>
      </c>
      <c r="K306" s="65" t="s">
        <v>2265</v>
      </c>
      <c r="L306" s="63">
        <v>33062.0</v>
      </c>
      <c r="M306" s="56" t="s">
        <v>62</v>
      </c>
      <c r="N306" s="66"/>
    </row>
    <row r="307" ht="60.0" customHeight="1">
      <c r="A307" s="56">
        <v>301.0</v>
      </c>
      <c r="B307" s="57" t="s">
        <v>2266</v>
      </c>
      <c r="C307" s="57" t="s">
        <v>2267</v>
      </c>
      <c r="D307" s="57" t="s">
        <v>2268</v>
      </c>
      <c r="E307" s="57" t="s">
        <v>2269</v>
      </c>
      <c r="F307" s="57" t="s">
        <v>2270</v>
      </c>
      <c r="G307" s="57" t="s">
        <v>2271</v>
      </c>
      <c r="H307" s="56" t="str">
        <f t="shared" si="1"/>
        <v>CORRECT</v>
      </c>
      <c r="I307" s="56" t="s">
        <v>50</v>
      </c>
      <c r="J307" s="56" t="s">
        <v>50</v>
      </c>
      <c r="K307" s="65" t="s">
        <v>2272</v>
      </c>
      <c r="L307" s="63">
        <v>34988.0</v>
      </c>
      <c r="M307" s="56" t="s">
        <v>62</v>
      </c>
      <c r="N307" s="66"/>
    </row>
    <row r="308" ht="60.0" customHeight="1">
      <c r="A308" s="56">
        <v>302.0</v>
      </c>
      <c r="B308" s="57" t="s">
        <v>2273</v>
      </c>
      <c r="C308" s="57" t="s">
        <v>2274</v>
      </c>
      <c r="D308" s="57" t="s">
        <v>2275</v>
      </c>
      <c r="E308" s="57" t="s">
        <v>2276</v>
      </c>
      <c r="F308" s="57" t="s">
        <v>2277</v>
      </c>
      <c r="G308" s="57" t="s">
        <v>1059</v>
      </c>
      <c r="H308" s="56" t="str">
        <f t="shared" si="1"/>
        <v>CORRECT</v>
      </c>
      <c r="I308" s="56" t="s">
        <v>40</v>
      </c>
      <c r="J308" s="56" t="s">
        <v>40</v>
      </c>
      <c r="K308" s="65" t="s">
        <v>2278</v>
      </c>
      <c r="L308" s="63">
        <v>27050.0</v>
      </c>
      <c r="M308" s="56" t="s">
        <v>62</v>
      </c>
      <c r="N308" s="66"/>
    </row>
    <row r="309" ht="60.0" customHeight="1">
      <c r="A309" s="56">
        <v>303.0</v>
      </c>
      <c r="B309" s="57" t="s">
        <v>2279</v>
      </c>
      <c r="C309" s="57" t="s">
        <v>2280</v>
      </c>
      <c r="D309" s="57" t="s">
        <v>2281</v>
      </c>
      <c r="E309" s="57" t="s">
        <v>2282</v>
      </c>
      <c r="F309" s="57" t="s">
        <v>2283</v>
      </c>
      <c r="G309" s="57" t="s">
        <v>2284</v>
      </c>
      <c r="H309" s="56" t="str">
        <f t="shared" si="1"/>
        <v>WRONG</v>
      </c>
      <c r="I309" s="56" t="s">
        <v>40</v>
      </c>
      <c r="J309" s="56" t="s">
        <v>50</v>
      </c>
      <c r="K309" s="65" t="s">
        <v>2684</v>
      </c>
      <c r="L309" s="63">
        <v>27154.0</v>
      </c>
      <c r="M309" s="56" t="s">
        <v>42</v>
      </c>
      <c r="N309" s="66" t="s">
        <v>2685</v>
      </c>
    </row>
    <row r="310" ht="60.0" customHeight="1">
      <c r="A310" s="56">
        <v>304.0</v>
      </c>
      <c r="B310" s="57" t="s">
        <v>2287</v>
      </c>
      <c r="C310" s="57" t="s">
        <v>2288</v>
      </c>
      <c r="D310" s="57" t="s">
        <v>2289</v>
      </c>
      <c r="E310" s="57" t="s">
        <v>2290</v>
      </c>
      <c r="F310" s="57" t="s">
        <v>2291</v>
      </c>
      <c r="G310" s="57" t="s">
        <v>2292</v>
      </c>
      <c r="H310" s="56" t="str">
        <f t="shared" si="1"/>
        <v>CORRECT</v>
      </c>
      <c r="I310" s="56" t="s">
        <v>50</v>
      </c>
      <c r="J310" s="56" t="s">
        <v>50</v>
      </c>
      <c r="K310" s="65" t="s">
        <v>2293</v>
      </c>
      <c r="L310" s="63">
        <v>37776.0</v>
      </c>
      <c r="M310" s="56" t="s">
        <v>42</v>
      </c>
      <c r="N310" s="66" t="s">
        <v>2294</v>
      </c>
    </row>
    <row r="311" ht="60.0" customHeight="1">
      <c r="A311" s="56">
        <v>305.0</v>
      </c>
      <c r="B311" s="57" t="s">
        <v>2295</v>
      </c>
      <c r="C311" s="57" t="s">
        <v>2296</v>
      </c>
      <c r="D311" s="57" t="s">
        <v>2297</v>
      </c>
      <c r="E311" s="57" t="s">
        <v>2298</v>
      </c>
      <c r="F311" s="57" t="s">
        <v>2299</v>
      </c>
      <c r="G311" s="57" t="s">
        <v>2300</v>
      </c>
      <c r="H311" s="56" t="str">
        <f t="shared" si="1"/>
        <v>CORRECT</v>
      </c>
      <c r="I311" s="56" t="s">
        <v>50</v>
      </c>
      <c r="J311" s="56" t="s">
        <v>50</v>
      </c>
      <c r="K311" s="65" t="s">
        <v>2301</v>
      </c>
      <c r="L311" s="63">
        <v>42393.0</v>
      </c>
      <c r="M311" s="56" t="s">
        <v>62</v>
      </c>
      <c r="N311" s="66"/>
    </row>
    <row r="312" ht="60.0" customHeight="1">
      <c r="A312" s="56">
        <v>306.0</v>
      </c>
      <c r="B312" s="57" t="s">
        <v>2302</v>
      </c>
      <c r="C312" s="57" t="s">
        <v>2303</v>
      </c>
      <c r="D312" s="57" t="s">
        <v>2304</v>
      </c>
      <c r="E312" s="57" t="s">
        <v>2305</v>
      </c>
      <c r="F312" s="57" t="s">
        <v>2306</v>
      </c>
      <c r="G312" s="57" t="s">
        <v>2307</v>
      </c>
      <c r="H312" s="56" t="str">
        <f t="shared" si="1"/>
        <v>WRONG</v>
      </c>
      <c r="I312" s="56" t="s">
        <v>50</v>
      </c>
      <c r="J312" s="56" t="s">
        <v>60</v>
      </c>
      <c r="K312" s="65" t="s">
        <v>2308</v>
      </c>
      <c r="L312" s="63">
        <v>30941.0</v>
      </c>
      <c r="M312" s="56" t="s">
        <v>62</v>
      </c>
      <c r="N312" s="67"/>
    </row>
    <row r="313" ht="60.0" customHeight="1">
      <c r="A313" s="56">
        <v>307.0</v>
      </c>
      <c r="B313" s="57" t="s">
        <v>2309</v>
      </c>
      <c r="C313" s="57" t="s">
        <v>2310</v>
      </c>
      <c r="D313" s="57" t="s">
        <v>2311</v>
      </c>
      <c r="E313" s="57" t="s">
        <v>2312</v>
      </c>
      <c r="F313" s="57" t="s">
        <v>2313</v>
      </c>
      <c r="G313" s="57" t="s">
        <v>2314</v>
      </c>
      <c r="H313" s="56" t="str">
        <f t="shared" si="1"/>
        <v>WRONG</v>
      </c>
      <c r="I313" s="56" t="s">
        <v>77</v>
      </c>
      <c r="J313" s="56" t="s">
        <v>50</v>
      </c>
      <c r="K313" s="65" t="s">
        <v>2315</v>
      </c>
      <c r="L313" s="63">
        <v>26876.0</v>
      </c>
      <c r="M313" s="56" t="s">
        <v>42</v>
      </c>
      <c r="N313" s="66" t="s">
        <v>2316</v>
      </c>
    </row>
    <row r="314" ht="60.0" customHeight="1">
      <c r="A314" s="56">
        <v>308.0</v>
      </c>
      <c r="B314" s="57" t="s">
        <v>2317</v>
      </c>
      <c r="C314" s="57" t="s">
        <v>2318</v>
      </c>
      <c r="D314" s="57" t="s">
        <v>2319</v>
      </c>
      <c r="E314" s="57" t="s">
        <v>2320</v>
      </c>
      <c r="F314" s="57" t="s">
        <v>2321</v>
      </c>
      <c r="G314" s="57" t="s">
        <v>1059</v>
      </c>
      <c r="H314" s="56" t="str">
        <f t="shared" si="1"/>
        <v>WRONG</v>
      </c>
      <c r="I314" s="56" t="s">
        <v>77</v>
      </c>
      <c r="J314" s="56" t="s">
        <v>60</v>
      </c>
      <c r="K314" s="65" t="s">
        <v>2322</v>
      </c>
      <c r="L314" s="63">
        <v>28904.0</v>
      </c>
      <c r="M314" s="56" t="s">
        <v>62</v>
      </c>
      <c r="N314" s="66"/>
    </row>
    <row r="315" ht="60.0" customHeight="1">
      <c r="A315" s="56">
        <v>309.0</v>
      </c>
      <c r="B315" s="57" t="s">
        <v>2323</v>
      </c>
      <c r="C315" s="57" t="s">
        <v>2324</v>
      </c>
      <c r="D315" s="57" t="s">
        <v>2325</v>
      </c>
      <c r="E315" s="57" t="s">
        <v>2326</v>
      </c>
      <c r="F315" s="57" t="s">
        <v>2327</v>
      </c>
      <c r="G315" s="57" t="s">
        <v>2328</v>
      </c>
      <c r="H315" s="56" t="str">
        <f t="shared" si="1"/>
        <v>CORRECT</v>
      </c>
      <c r="I315" s="56" t="s">
        <v>40</v>
      </c>
      <c r="J315" s="56" t="s">
        <v>40</v>
      </c>
      <c r="K315" s="65" t="s">
        <v>2329</v>
      </c>
      <c r="L315" s="63">
        <v>35296.0</v>
      </c>
      <c r="M315" s="56" t="s">
        <v>62</v>
      </c>
      <c r="N315" s="66"/>
    </row>
    <row r="316" ht="60.0" customHeight="1">
      <c r="A316" s="56">
        <v>310.0</v>
      </c>
      <c r="B316" s="57" t="s">
        <v>2330</v>
      </c>
      <c r="C316" s="57" t="s">
        <v>816</v>
      </c>
      <c r="D316" s="57" t="s">
        <v>2331</v>
      </c>
      <c r="E316" s="57" t="s">
        <v>2332</v>
      </c>
      <c r="F316" s="57" t="s">
        <v>1042</v>
      </c>
      <c r="G316" s="57" t="s">
        <v>2333</v>
      </c>
      <c r="H316" s="56" t="str">
        <f t="shared" si="1"/>
        <v>WRONG</v>
      </c>
      <c r="I316" s="56" t="s">
        <v>50</v>
      </c>
      <c r="J316" s="56" t="s">
        <v>77</v>
      </c>
      <c r="K316" s="65" t="s">
        <v>2334</v>
      </c>
      <c r="L316" s="63">
        <v>40401.0</v>
      </c>
      <c r="M316" s="56" t="s">
        <v>62</v>
      </c>
      <c r="N316" s="66"/>
    </row>
    <row r="317" ht="60.0" customHeight="1">
      <c r="A317" s="56">
        <v>311.0</v>
      </c>
      <c r="B317" s="57" t="s">
        <v>2335</v>
      </c>
      <c r="C317" s="57" t="s">
        <v>2336</v>
      </c>
      <c r="D317" s="57" t="s">
        <v>2337</v>
      </c>
      <c r="E317" s="57" t="s">
        <v>2338</v>
      </c>
      <c r="F317" s="57" t="s">
        <v>2339</v>
      </c>
      <c r="G317" s="57" t="s">
        <v>1059</v>
      </c>
      <c r="H317" s="56" t="str">
        <f t="shared" si="1"/>
        <v>CORRECT</v>
      </c>
      <c r="I317" s="56" t="s">
        <v>77</v>
      </c>
      <c r="J317" s="56" t="s">
        <v>77</v>
      </c>
      <c r="K317" s="65" t="s">
        <v>2340</v>
      </c>
      <c r="L317" s="63">
        <v>42022.0</v>
      </c>
      <c r="M317" s="56" t="s">
        <v>42</v>
      </c>
      <c r="N317" s="66" t="s">
        <v>2341</v>
      </c>
    </row>
    <row r="318" ht="60.0" customHeight="1">
      <c r="A318" s="56">
        <v>312.0</v>
      </c>
      <c r="B318" s="57" t="s">
        <v>2342</v>
      </c>
      <c r="C318" s="57" t="s">
        <v>2343</v>
      </c>
      <c r="D318" s="57" t="s">
        <v>2344</v>
      </c>
      <c r="E318" s="57" t="s">
        <v>2345</v>
      </c>
      <c r="F318" s="57" t="s">
        <v>2346</v>
      </c>
      <c r="G318" s="57" t="s">
        <v>1059</v>
      </c>
      <c r="H318" s="56" t="str">
        <f t="shared" si="1"/>
        <v>WRONG</v>
      </c>
      <c r="I318" s="56" t="s">
        <v>40</v>
      </c>
      <c r="J318" s="56" t="s">
        <v>60</v>
      </c>
      <c r="K318" s="65" t="s">
        <v>2686</v>
      </c>
      <c r="L318" s="63">
        <v>53473.0</v>
      </c>
      <c r="M318" s="56" t="s">
        <v>62</v>
      </c>
      <c r="N318" s="66"/>
    </row>
    <row r="319" ht="60.0" customHeight="1">
      <c r="A319" s="56">
        <v>313.0</v>
      </c>
      <c r="B319" s="57" t="s">
        <v>2348</v>
      </c>
      <c r="C319" s="57" t="s">
        <v>2349</v>
      </c>
      <c r="D319" s="57" t="s">
        <v>2350</v>
      </c>
      <c r="E319" s="57" t="s">
        <v>2351</v>
      </c>
      <c r="F319" s="57" t="s">
        <v>2352</v>
      </c>
      <c r="G319" s="57" t="s">
        <v>2353</v>
      </c>
      <c r="H319" s="56" t="str">
        <f t="shared" si="1"/>
        <v>CORRECT</v>
      </c>
      <c r="I319" s="56" t="s">
        <v>50</v>
      </c>
      <c r="J319" s="56" t="s">
        <v>50</v>
      </c>
      <c r="K319" s="65" t="s">
        <v>2354</v>
      </c>
      <c r="L319" s="63">
        <v>29573.0</v>
      </c>
      <c r="M319" s="56" t="s">
        <v>62</v>
      </c>
      <c r="N319" s="66"/>
    </row>
    <row r="320" ht="60.0" customHeight="1">
      <c r="A320" s="56">
        <v>314.0</v>
      </c>
      <c r="B320" s="57" t="s">
        <v>2355</v>
      </c>
      <c r="C320" s="57" t="s">
        <v>2356</v>
      </c>
      <c r="D320" s="57" t="s">
        <v>2357</v>
      </c>
      <c r="E320" s="57" t="s">
        <v>2358</v>
      </c>
      <c r="F320" s="57" t="s">
        <v>2359</v>
      </c>
      <c r="G320" s="57" t="s">
        <v>2360</v>
      </c>
      <c r="H320" s="56" t="str">
        <f t="shared" si="1"/>
        <v>CORRECT</v>
      </c>
      <c r="I320" s="56" t="s">
        <v>77</v>
      </c>
      <c r="J320" s="56" t="s">
        <v>77</v>
      </c>
      <c r="K320" s="65" t="s">
        <v>2361</v>
      </c>
      <c r="L320" s="63">
        <v>31339.0</v>
      </c>
      <c r="M320" s="56" t="s">
        <v>62</v>
      </c>
      <c r="N320" s="66"/>
    </row>
    <row r="321" ht="60.0" customHeight="1">
      <c r="A321" s="56">
        <v>315.0</v>
      </c>
      <c r="B321" s="57" t="s">
        <v>2362</v>
      </c>
      <c r="C321" s="57" t="s">
        <v>2363</v>
      </c>
      <c r="D321" s="57" t="s">
        <v>2364</v>
      </c>
      <c r="E321" s="57" t="s">
        <v>2365</v>
      </c>
      <c r="F321" s="57" t="s">
        <v>2366</v>
      </c>
      <c r="G321" s="57" t="s">
        <v>2367</v>
      </c>
      <c r="H321" s="56" t="str">
        <f t="shared" si="1"/>
        <v>WRONG</v>
      </c>
      <c r="I321" s="56" t="s">
        <v>77</v>
      </c>
      <c r="J321" s="56" t="s">
        <v>60</v>
      </c>
      <c r="K321" s="65" t="s">
        <v>2368</v>
      </c>
      <c r="L321" s="63">
        <v>32974.0</v>
      </c>
      <c r="M321" s="56" t="s">
        <v>42</v>
      </c>
      <c r="N321" s="66" t="s">
        <v>2369</v>
      </c>
    </row>
    <row r="322" ht="60.0" customHeight="1">
      <c r="A322" s="56">
        <v>316.0</v>
      </c>
      <c r="B322" s="57" t="s">
        <v>2370</v>
      </c>
      <c r="C322" s="57" t="s">
        <v>2371</v>
      </c>
      <c r="D322" s="57" t="s">
        <v>2372</v>
      </c>
      <c r="E322" s="57" t="s">
        <v>2373</v>
      </c>
      <c r="F322" s="57" t="s">
        <v>2374</v>
      </c>
      <c r="G322" s="57" t="s">
        <v>2375</v>
      </c>
      <c r="H322" s="56" t="str">
        <f t="shared" si="1"/>
        <v>CORRECT</v>
      </c>
      <c r="I322" s="56" t="s">
        <v>50</v>
      </c>
      <c r="J322" s="56" t="s">
        <v>50</v>
      </c>
      <c r="K322" s="65" t="s">
        <v>2376</v>
      </c>
      <c r="L322" s="63">
        <v>30148.0</v>
      </c>
      <c r="M322" s="56" t="s">
        <v>42</v>
      </c>
      <c r="N322" s="66" t="s">
        <v>2377</v>
      </c>
    </row>
    <row r="323" ht="60.0" customHeight="1">
      <c r="A323" s="56">
        <v>317.0</v>
      </c>
      <c r="B323" s="57" t="s">
        <v>2378</v>
      </c>
      <c r="C323" s="57" t="s">
        <v>2379</v>
      </c>
      <c r="D323" s="57" t="s">
        <v>2380</v>
      </c>
      <c r="E323" s="57" t="s">
        <v>2381</v>
      </c>
      <c r="F323" s="57" t="s">
        <v>2382</v>
      </c>
      <c r="G323" s="57" t="s">
        <v>1059</v>
      </c>
      <c r="H323" s="56" t="str">
        <f t="shared" si="1"/>
        <v>CORRECT</v>
      </c>
      <c r="I323" s="56" t="s">
        <v>77</v>
      </c>
      <c r="J323" s="56" t="s">
        <v>77</v>
      </c>
      <c r="K323" s="65" t="s">
        <v>2383</v>
      </c>
      <c r="L323" s="63">
        <v>39223.0</v>
      </c>
      <c r="M323" s="56" t="s">
        <v>42</v>
      </c>
      <c r="N323" s="66" t="s">
        <v>2384</v>
      </c>
    </row>
    <row r="324" ht="60.0" customHeight="1">
      <c r="A324" s="56">
        <v>318.0</v>
      </c>
      <c r="B324" s="57" t="s">
        <v>2385</v>
      </c>
      <c r="C324" s="57" t="s">
        <v>2386</v>
      </c>
      <c r="D324" s="57" t="s">
        <v>2387</v>
      </c>
      <c r="E324" s="57" t="s">
        <v>2388</v>
      </c>
      <c r="F324" s="57" t="s">
        <v>2389</v>
      </c>
      <c r="G324" s="57" t="s">
        <v>2390</v>
      </c>
      <c r="H324" s="56" t="str">
        <f t="shared" si="1"/>
        <v>CORRECT</v>
      </c>
      <c r="I324" s="56" t="s">
        <v>77</v>
      </c>
      <c r="J324" s="56" t="s">
        <v>77</v>
      </c>
      <c r="K324" s="65" t="s">
        <v>2391</v>
      </c>
      <c r="L324" s="63">
        <v>28759.0</v>
      </c>
      <c r="M324" s="56" t="s">
        <v>62</v>
      </c>
      <c r="N324" s="66"/>
    </row>
    <row r="325" ht="60.0" customHeight="1">
      <c r="A325" s="56">
        <v>319.0</v>
      </c>
      <c r="B325" s="57" t="s">
        <v>2392</v>
      </c>
      <c r="C325" s="57" t="s">
        <v>2393</v>
      </c>
      <c r="D325" s="57" t="s">
        <v>2394</v>
      </c>
      <c r="E325" s="57" t="s">
        <v>2395</v>
      </c>
      <c r="F325" s="57" t="s">
        <v>2396</v>
      </c>
      <c r="G325" s="57" t="s">
        <v>2397</v>
      </c>
      <c r="H325" s="56" t="str">
        <f t="shared" si="1"/>
        <v>WRONG</v>
      </c>
      <c r="I325" s="56" t="s">
        <v>60</v>
      </c>
      <c r="J325" s="56" t="s">
        <v>77</v>
      </c>
      <c r="K325" s="65" t="s">
        <v>2398</v>
      </c>
      <c r="L325" s="63">
        <v>41750.0</v>
      </c>
      <c r="M325" s="56" t="s">
        <v>62</v>
      </c>
      <c r="N325" s="66"/>
    </row>
    <row r="326" ht="60.0" customHeight="1">
      <c r="A326" s="56">
        <v>320.0</v>
      </c>
      <c r="B326" s="57" t="s">
        <v>2399</v>
      </c>
      <c r="C326" s="57" t="s">
        <v>2400</v>
      </c>
      <c r="D326" s="57" t="s">
        <v>2401</v>
      </c>
      <c r="E326" s="57" t="s">
        <v>2402</v>
      </c>
      <c r="F326" s="57" t="s">
        <v>2403</v>
      </c>
      <c r="G326" s="57" t="s">
        <v>2404</v>
      </c>
      <c r="H326" s="56" t="str">
        <f t="shared" si="1"/>
        <v>CORRECT</v>
      </c>
      <c r="I326" s="56" t="s">
        <v>40</v>
      </c>
      <c r="J326" s="56" t="s">
        <v>40</v>
      </c>
      <c r="K326" s="65" t="s">
        <v>2405</v>
      </c>
      <c r="L326" s="63">
        <v>32816.0</v>
      </c>
      <c r="M326" s="56" t="s">
        <v>42</v>
      </c>
      <c r="N326" s="66" t="s">
        <v>2406</v>
      </c>
    </row>
    <row r="327" ht="60.0" customHeight="1">
      <c r="A327" s="56">
        <v>321.0</v>
      </c>
      <c r="B327" s="57" t="s">
        <v>2407</v>
      </c>
      <c r="C327" s="57" t="s">
        <v>2408</v>
      </c>
      <c r="D327" s="57" t="s">
        <v>2409</v>
      </c>
      <c r="E327" s="57" t="s">
        <v>2410</v>
      </c>
      <c r="F327" s="57" t="s">
        <v>2411</v>
      </c>
      <c r="G327" s="57" t="s">
        <v>2412</v>
      </c>
      <c r="H327" s="56" t="str">
        <f t="shared" si="1"/>
        <v>WRONG</v>
      </c>
      <c r="I327" s="56" t="s">
        <v>60</v>
      </c>
      <c r="J327" s="56" t="s">
        <v>50</v>
      </c>
      <c r="K327" s="65" t="s">
        <v>2413</v>
      </c>
      <c r="L327" s="63">
        <v>51718.0</v>
      </c>
      <c r="M327" s="56" t="s">
        <v>42</v>
      </c>
      <c r="N327" s="66" t="s">
        <v>2414</v>
      </c>
    </row>
    <row r="328" ht="60.0" customHeight="1">
      <c r="A328" s="56">
        <v>322.0</v>
      </c>
      <c r="B328" s="57" t="s">
        <v>2415</v>
      </c>
      <c r="C328" s="57" t="s">
        <v>2416</v>
      </c>
      <c r="D328" s="57" t="s">
        <v>2417</v>
      </c>
      <c r="E328" s="57" t="s">
        <v>2418</v>
      </c>
      <c r="F328" s="57" t="s">
        <v>2419</v>
      </c>
      <c r="G328" s="57" t="s">
        <v>2420</v>
      </c>
      <c r="H328" s="56" t="str">
        <f t="shared" si="1"/>
        <v>WRONG</v>
      </c>
      <c r="I328" s="56" t="s">
        <v>77</v>
      </c>
      <c r="J328" s="56" t="s">
        <v>50</v>
      </c>
      <c r="K328" s="65" t="s">
        <v>2421</v>
      </c>
      <c r="L328" s="63">
        <v>49157.0</v>
      </c>
      <c r="M328" s="56" t="s">
        <v>42</v>
      </c>
      <c r="N328" s="66" t="s">
        <v>2414</v>
      </c>
    </row>
    <row r="329" ht="60.0" customHeight="1">
      <c r="A329" s="56">
        <v>323.0</v>
      </c>
      <c r="B329" s="57" t="s">
        <v>2422</v>
      </c>
      <c r="C329" s="57" t="s">
        <v>2423</v>
      </c>
      <c r="D329" s="57" t="s">
        <v>2424</v>
      </c>
      <c r="E329" s="57" t="s">
        <v>2425</v>
      </c>
      <c r="F329" s="57" t="s">
        <v>2426</v>
      </c>
      <c r="G329" s="57" t="s">
        <v>2427</v>
      </c>
      <c r="H329" s="56" t="str">
        <f t="shared" si="1"/>
        <v>CORRECT</v>
      </c>
      <c r="I329" s="56" t="s">
        <v>77</v>
      </c>
      <c r="J329" s="56" t="s">
        <v>77</v>
      </c>
      <c r="K329" s="65" t="s">
        <v>2428</v>
      </c>
      <c r="L329" s="63">
        <v>45696.0</v>
      </c>
      <c r="M329" s="56" t="s">
        <v>62</v>
      </c>
      <c r="N329" s="66"/>
    </row>
    <row r="330" ht="60.0" customHeight="1">
      <c r="A330" s="56">
        <v>324.0</v>
      </c>
      <c r="B330" s="57" t="s">
        <v>2429</v>
      </c>
      <c r="C330" s="57" t="s">
        <v>2430</v>
      </c>
      <c r="D330" s="57" t="s">
        <v>2431</v>
      </c>
      <c r="E330" s="57" t="s">
        <v>2432</v>
      </c>
      <c r="F330" s="57" t="s">
        <v>2433</v>
      </c>
      <c r="G330" s="57" t="s">
        <v>2434</v>
      </c>
      <c r="H330" s="56" t="str">
        <f t="shared" si="1"/>
        <v>CORRECT</v>
      </c>
      <c r="I330" s="56" t="s">
        <v>77</v>
      </c>
      <c r="J330" s="56" t="s">
        <v>77</v>
      </c>
      <c r="K330" s="65" t="s">
        <v>2435</v>
      </c>
      <c r="L330" s="63">
        <v>53168.0</v>
      </c>
      <c r="M330" s="56" t="s">
        <v>42</v>
      </c>
      <c r="N330" s="66" t="s">
        <v>1562</v>
      </c>
    </row>
    <row r="331" ht="60.0" customHeight="1">
      <c r="A331" s="56">
        <v>325.0</v>
      </c>
      <c r="B331" s="57" t="s">
        <v>2436</v>
      </c>
      <c r="C331" s="57" t="s">
        <v>2437</v>
      </c>
      <c r="D331" s="57" t="s">
        <v>2438</v>
      </c>
      <c r="E331" s="57" t="s">
        <v>2439</v>
      </c>
      <c r="F331" s="57" t="s">
        <v>2440</v>
      </c>
      <c r="G331" s="57" t="s">
        <v>2441</v>
      </c>
      <c r="H331" s="56" t="str">
        <f t="shared" si="1"/>
        <v>CORRECT</v>
      </c>
      <c r="I331" s="56" t="s">
        <v>77</v>
      </c>
      <c r="J331" s="56" t="s">
        <v>77</v>
      </c>
      <c r="K331" s="65" t="s">
        <v>2687</v>
      </c>
      <c r="L331" s="63">
        <v>33184.0</v>
      </c>
      <c r="M331" s="56" t="s">
        <v>62</v>
      </c>
      <c r="N331" s="67"/>
    </row>
    <row r="332" ht="60.0" customHeight="1">
      <c r="A332" s="56">
        <v>326.0</v>
      </c>
      <c r="B332" s="57" t="s">
        <v>2443</v>
      </c>
      <c r="C332" s="57" t="s">
        <v>2444</v>
      </c>
      <c r="D332" s="57" t="s">
        <v>2445</v>
      </c>
      <c r="E332" s="57" t="s">
        <v>2446</v>
      </c>
      <c r="F332" s="57" t="s">
        <v>2447</v>
      </c>
      <c r="G332" s="57" t="s">
        <v>2448</v>
      </c>
      <c r="H332" s="56" t="str">
        <f t="shared" si="1"/>
        <v>WRONG</v>
      </c>
      <c r="I332" s="56" t="s">
        <v>51</v>
      </c>
      <c r="J332" s="56" t="s">
        <v>77</v>
      </c>
      <c r="K332" s="65" t="s">
        <v>2449</v>
      </c>
      <c r="L332" s="63">
        <v>47764.0</v>
      </c>
      <c r="M332" s="56" t="s">
        <v>62</v>
      </c>
      <c r="N332" s="67"/>
    </row>
    <row r="333" ht="60.0" customHeight="1">
      <c r="A333" s="56">
        <v>327.0</v>
      </c>
      <c r="B333" s="57" t="s">
        <v>2450</v>
      </c>
      <c r="C333" s="57" t="s">
        <v>2451</v>
      </c>
      <c r="D333" s="57" t="s">
        <v>2452</v>
      </c>
      <c r="E333" s="57" t="s">
        <v>2453</v>
      </c>
      <c r="F333" s="57" t="s">
        <v>2454</v>
      </c>
      <c r="G333" s="57" t="s">
        <v>2455</v>
      </c>
      <c r="H333" s="56" t="str">
        <f t="shared" si="1"/>
        <v>WRONG</v>
      </c>
      <c r="I333" s="56" t="s">
        <v>50</v>
      </c>
      <c r="J333" s="56" t="s">
        <v>60</v>
      </c>
      <c r="K333" s="65" t="s">
        <v>2456</v>
      </c>
      <c r="L333" s="63">
        <v>40327.0</v>
      </c>
      <c r="M333" s="56" t="s">
        <v>42</v>
      </c>
      <c r="N333" s="66" t="s">
        <v>2457</v>
      </c>
    </row>
    <row r="334" ht="60.0" customHeight="1">
      <c r="A334" s="56">
        <v>328.0</v>
      </c>
      <c r="B334" s="57" t="s">
        <v>2458</v>
      </c>
      <c r="C334" s="57" t="s">
        <v>2459</v>
      </c>
      <c r="D334" s="57" t="s">
        <v>2460</v>
      </c>
      <c r="E334" s="57" t="s">
        <v>2461</v>
      </c>
      <c r="F334" s="57" t="s">
        <v>2462</v>
      </c>
      <c r="G334" s="57" t="s">
        <v>2463</v>
      </c>
      <c r="H334" s="56" t="str">
        <f t="shared" si="1"/>
        <v>WRONG</v>
      </c>
      <c r="I334" s="56" t="s">
        <v>51</v>
      </c>
      <c r="J334" s="56" t="s">
        <v>50</v>
      </c>
      <c r="K334" s="65" t="s">
        <v>2464</v>
      </c>
      <c r="L334" s="63">
        <v>37453.0</v>
      </c>
      <c r="M334" s="56" t="s">
        <v>62</v>
      </c>
      <c r="N334" s="66"/>
    </row>
    <row r="335" ht="60.0" customHeight="1">
      <c r="A335" s="56">
        <v>329.0</v>
      </c>
      <c r="B335" s="57" t="s">
        <v>2465</v>
      </c>
      <c r="C335" s="57" t="s">
        <v>2466</v>
      </c>
      <c r="D335" s="57" t="s">
        <v>2467</v>
      </c>
      <c r="E335" s="57" t="s">
        <v>2468</v>
      </c>
      <c r="F335" s="57" t="s">
        <v>2469</v>
      </c>
      <c r="G335" s="57" t="s">
        <v>2470</v>
      </c>
      <c r="H335" s="56" t="str">
        <f t="shared" si="1"/>
        <v>WRONG</v>
      </c>
      <c r="I335" s="56" t="s">
        <v>40</v>
      </c>
      <c r="J335" s="56" t="s">
        <v>51</v>
      </c>
      <c r="K335" s="65" t="s">
        <v>2688</v>
      </c>
      <c r="L335" s="63">
        <v>33898.0</v>
      </c>
      <c r="M335" s="56" t="s">
        <v>62</v>
      </c>
      <c r="N335" s="66"/>
    </row>
    <row r="336" ht="60.0" customHeight="1">
      <c r="A336" s="56">
        <v>330.0</v>
      </c>
      <c r="B336" s="57" t="s">
        <v>2472</v>
      </c>
      <c r="C336" s="57" t="s">
        <v>2473</v>
      </c>
      <c r="D336" s="57" t="s">
        <v>2474</v>
      </c>
      <c r="E336" s="57" t="s">
        <v>2475</v>
      </c>
      <c r="F336" s="57" t="s">
        <v>2476</v>
      </c>
      <c r="G336" s="57" t="s">
        <v>2477</v>
      </c>
      <c r="H336" s="56" t="str">
        <f t="shared" si="1"/>
        <v>WRONG</v>
      </c>
      <c r="I336" s="56" t="s">
        <v>50</v>
      </c>
      <c r="J336" s="56" t="s">
        <v>40</v>
      </c>
      <c r="K336" s="65" t="s">
        <v>2478</v>
      </c>
      <c r="L336" s="63">
        <v>36963.0</v>
      </c>
      <c r="M336" s="56" t="s">
        <v>42</v>
      </c>
      <c r="N336" s="66" t="s">
        <v>2479</v>
      </c>
    </row>
    <row r="337" ht="60.0" customHeight="1">
      <c r="A337" s="56">
        <v>331.0</v>
      </c>
      <c r="B337" s="57" t="s">
        <v>2480</v>
      </c>
      <c r="C337" s="57" t="s">
        <v>2481</v>
      </c>
      <c r="D337" s="57" t="s">
        <v>2482</v>
      </c>
      <c r="E337" s="57" t="s">
        <v>2483</v>
      </c>
      <c r="F337" s="57" t="s">
        <v>2484</v>
      </c>
      <c r="G337" s="57" t="s">
        <v>2485</v>
      </c>
      <c r="H337" s="56" t="str">
        <f t="shared" si="1"/>
        <v>CORRECT</v>
      </c>
      <c r="I337" s="56" t="s">
        <v>60</v>
      </c>
      <c r="J337" s="56" t="s">
        <v>60</v>
      </c>
      <c r="K337" s="65" t="s">
        <v>2486</v>
      </c>
      <c r="L337" s="63">
        <v>44099.0</v>
      </c>
      <c r="M337" s="56" t="s">
        <v>62</v>
      </c>
      <c r="N337" s="66"/>
    </row>
    <row r="338" ht="60.0" customHeight="1">
      <c r="A338" s="56">
        <v>332.0</v>
      </c>
      <c r="B338" s="57" t="s">
        <v>2487</v>
      </c>
      <c r="C338" s="57" t="s">
        <v>2488</v>
      </c>
      <c r="D338" s="57" t="s">
        <v>2489</v>
      </c>
      <c r="E338" s="57" t="s">
        <v>2490</v>
      </c>
      <c r="F338" s="57" t="s">
        <v>2491</v>
      </c>
      <c r="G338" s="57" t="s">
        <v>2492</v>
      </c>
      <c r="H338" s="56" t="str">
        <f t="shared" si="1"/>
        <v>CORRECT</v>
      </c>
      <c r="I338" s="56" t="s">
        <v>50</v>
      </c>
      <c r="J338" s="56" t="s">
        <v>50</v>
      </c>
      <c r="K338" s="65" t="s">
        <v>2493</v>
      </c>
      <c r="L338" s="63">
        <v>35023.0</v>
      </c>
      <c r="M338" s="56" t="s">
        <v>42</v>
      </c>
      <c r="N338" s="66" t="s">
        <v>2494</v>
      </c>
    </row>
    <row r="339" ht="60.0" customHeight="1">
      <c r="A339" s="56">
        <v>333.0</v>
      </c>
      <c r="B339" s="57" t="s">
        <v>2495</v>
      </c>
      <c r="C339" s="57" t="s">
        <v>2496</v>
      </c>
      <c r="D339" s="57" t="s">
        <v>2497</v>
      </c>
      <c r="E339" s="57" t="s">
        <v>2498</v>
      </c>
      <c r="F339" s="57" t="s">
        <v>2499</v>
      </c>
      <c r="G339" s="57" t="s">
        <v>1059</v>
      </c>
      <c r="H339" s="56" t="str">
        <f t="shared" si="1"/>
        <v>CORRECT</v>
      </c>
      <c r="I339" s="56" t="s">
        <v>40</v>
      </c>
      <c r="J339" s="56" t="s">
        <v>40</v>
      </c>
      <c r="K339" s="65" t="s">
        <v>2500</v>
      </c>
      <c r="L339" s="63">
        <v>41487.0</v>
      </c>
      <c r="M339" s="56" t="s">
        <v>42</v>
      </c>
      <c r="N339" s="66" t="s">
        <v>2501</v>
      </c>
    </row>
    <row r="340" ht="60.0" customHeight="1">
      <c r="A340" s="56">
        <v>334.0</v>
      </c>
      <c r="B340" s="57" t="s">
        <v>2502</v>
      </c>
      <c r="C340" s="57" t="s">
        <v>2503</v>
      </c>
      <c r="D340" s="57" t="s">
        <v>2504</v>
      </c>
      <c r="E340" s="57" t="s">
        <v>2505</v>
      </c>
      <c r="F340" s="57" t="s">
        <v>2506</v>
      </c>
      <c r="G340" s="57" t="s">
        <v>2507</v>
      </c>
      <c r="H340" s="56" t="str">
        <f t="shared" si="1"/>
        <v>CORRECT</v>
      </c>
      <c r="I340" s="56" t="s">
        <v>60</v>
      </c>
      <c r="J340" s="56" t="s">
        <v>60</v>
      </c>
      <c r="K340" s="65" t="s">
        <v>2508</v>
      </c>
      <c r="L340" s="63">
        <v>45481.0</v>
      </c>
      <c r="M340" s="56" t="s">
        <v>42</v>
      </c>
      <c r="N340" s="66" t="s">
        <v>2509</v>
      </c>
    </row>
    <row r="341" ht="60.0" customHeight="1">
      <c r="A341" s="56">
        <v>335.0</v>
      </c>
      <c r="B341" s="57" t="s">
        <v>2510</v>
      </c>
      <c r="C341" s="57" t="s">
        <v>2511</v>
      </c>
      <c r="D341" s="57" t="s">
        <v>2512</v>
      </c>
      <c r="E341" s="57" t="s">
        <v>2513</v>
      </c>
      <c r="F341" s="57" t="s">
        <v>2514</v>
      </c>
      <c r="G341" s="57" t="s">
        <v>2515</v>
      </c>
      <c r="H341" s="56" t="str">
        <f t="shared" si="1"/>
        <v>CORRECT</v>
      </c>
      <c r="I341" s="56" t="s">
        <v>40</v>
      </c>
      <c r="J341" s="56" t="s">
        <v>40</v>
      </c>
      <c r="K341" s="65" t="s">
        <v>2516</v>
      </c>
      <c r="L341" s="63">
        <v>38193.0</v>
      </c>
      <c r="M341" s="56" t="s">
        <v>42</v>
      </c>
      <c r="N341" s="66" t="s">
        <v>2517</v>
      </c>
    </row>
    <row r="342" ht="60.0" customHeight="1">
      <c r="A342" s="56">
        <v>336.0</v>
      </c>
      <c r="B342" s="57" t="s">
        <v>2518</v>
      </c>
      <c r="C342" s="57" t="s">
        <v>2519</v>
      </c>
      <c r="D342" s="57" t="s">
        <v>2520</v>
      </c>
      <c r="E342" s="57" t="s">
        <v>2521</v>
      </c>
      <c r="F342" s="57" t="s">
        <v>2522</v>
      </c>
      <c r="G342" s="57" t="s">
        <v>2523</v>
      </c>
      <c r="H342" s="56" t="str">
        <f t="shared" si="1"/>
        <v>CORRECT</v>
      </c>
      <c r="I342" s="56" t="s">
        <v>60</v>
      </c>
      <c r="J342" s="56" t="s">
        <v>60</v>
      </c>
      <c r="K342" s="65" t="s">
        <v>2524</v>
      </c>
      <c r="L342" s="63">
        <v>35625.0</v>
      </c>
      <c r="M342" s="56" t="s">
        <v>62</v>
      </c>
      <c r="N342" s="66"/>
    </row>
    <row r="343" ht="60.0" customHeight="1">
      <c r="A343" s="56">
        <v>337.0</v>
      </c>
      <c r="B343" s="57" t="s">
        <v>2525</v>
      </c>
      <c r="C343" s="57" t="s">
        <v>2526</v>
      </c>
      <c r="D343" s="57" t="s">
        <v>2527</v>
      </c>
      <c r="E343" s="57" t="s">
        <v>2528</v>
      </c>
      <c r="F343" s="57" t="s">
        <v>2529</v>
      </c>
      <c r="G343" s="57" t="s">
        <v>2530</v>
      </c>
      <c r="H343" s="56" t="str">
        <f t="shared" si="1"/>
        <v>WRONG</v>
      </c>
      <c r="I343" s="56" t="s">
        <v>50</v>
      </c>
      <c r="J343" s="56" t="s">
        <v>77</v>
      </c>
      <c r="K343" s="65" t="s">
        <v>2531</v>
      </c>
      <c r="L343" s="63">
        <v>39697.0</v>
      </c>
      <c r="M343" s="56" t="s">
        <v>42</v>
      </c>
      <c r="N343" s="66" t="s">
        <v>2532</v>
      </c>
    </row>
    <row r="344" ht="60.0" customHeight="1">
      <c r="A344" s="56">
        <v>338.0</v>
      </c>
      <c r="B344" s="57" t="s">
        <v>2533</v>
      </c>
      <c r="C344" s="57" t="s">
        <v>2534</v>
      </c>
      <c r="D344" s="57" t="s">
        <v>2535</v>
      </c>
      <c r="E344" s="57" t="s">
        <v>2536</v>
      </c>
      <c r="F344" s="57" t="s">
        <v>2537</v>
      </c>
      <c r="G344" s="57" t="s">
        <v>2538</v>
      </c>
      <c r="H344" s="56" t="str">
        <f t="shared" si="1"/>
        <v>WRONG</v>
      </c>
      <c r="I344" s="56" t="s">
        <v>60</v>
      </c>
      <c r="J344" s="56" t="s">
        <v>51</v>
      </c>
      <c r="K344" s="65" t="s">
        <v>2539</v>
      </c>
      <c r="L344" s="63">
        <v>34181.0</v>
      </c>
      <c r="M344" s="56" t="s">
        <v>62</v>
      </c>
      <c r="N344" s="66"/>
    </row>
    <row r="345" ht="60.0" customHeight="1">
      <c r="A345" s="56">
        <v>339.0</v>
      </c>
      <c r="B345" s="57" t="s">
        <v>2540</v>
      </c>
      <c r="C345" s="57" t="s">
        <v>2541</v>
      </c>
      <c r="D345" s="57" t="s">
        <v>2542</v>
      </c>
      <c r="E345" s="57" t="s">
        <v>2543</v>
      </c>
      <c r="F345" s="57" t="s">
        <v>2544</v>
      </c>
      <c r="G345" s="57" t="s">
        <v>1059</v>
      </c>
      <c r="H345" s="56" t="str">
        <f t="shared" si="1"/>
        <v>WRONG</v>
      </c>
      <c r="I345" s="56" t="s">
        <v>50</v>
      </c>
      <c r="J345" s="56" t="s">
        <v>60</v>
      </c>
      <c r="K345" s="65" t="s">
        <v>2545</v>
      </c>
      <c r="L345" s="63">
        <v>30601.0</v>
      </c>
      <c r="M345" s="56" t="s">
        <v>42</v>
      </c>
      <c r="N345" s="66" t="s">
        <v>2546</v>
      </c>
    </row>
    <row r="346" ht="60.0" customHeight="1">
      <c r="A346" s="56">
        <v>340.0</v>
      </c>
      <c r="B346" s="57" t="s">
        <v>2547</v>
      </c>
      <c r="C346" s="57" t="s">
        <v>2548</v>
      </c>
      <c r="D346" s="57" t="s">
        <v>2549</v>
      </c>
      <c r="E346" s="57" t="s">
        <v>2550</v>
      </c>
      <c r="F346" s="57" t="s">
        <v>2551</v>
      </c>
      <c r="G346" s="57" t="s">
        <v>2552</v>
      </c>
      <c r="H346" s="56" t="str">
        <f t="shared" si="1"/>
        <v>CORRECT</v>
      </c>
      <c r="I346" s="56" t="s">
        <v>77</v>
      </c>
      <c r="J346" s="56" t="s">
        <v>77</v>
      </c>
      <c r="K346" s="65" t="s">
        <v>2553</v>
      </c>
      <c r="L346" s="63">
        <v>31210.0</v>
      </c>
      <c r="M346" s="56" t="s">
        <v>62</v>
      </c>
      <c r="N346" s="66"/>
    </row>
    <row r="347" ht="60.0" customHeight="1">
      <c r="A347" s="56">
        <v>341.0</v>
      </c>
      <c r="B347" s="57" t="s">
        <v>2554</v>
      </c>
      <c r="C347" s="57" t="s">
        <v>2555</v>
      </c>
      <c r="D347" s="57" t="s">
        <v>2556</v>
      </c>
      <c r="E347" s="57" t="s">
        <v>2557</v>
      </c>
      <c r="F347" s="57" t="s">
        <v>2558</v>
      </c>
      <c r="G347" s="57" t="s">
        <v>1059</v>
      </c>
      <c r="H347" s="56" t="str">
        <f t="shared" si="1"/>
        <v>WRONG</v>
      </c>
      <c r="I347" s="56" t="s">
        <v>40</v>
      </c>
      <c r="J347" s="56" t="s">
        <v>77</v>
      </c>
      <c r="K347" s="65" t="s">
        <v>2559</v>
      </c>
      <c r="L347" s="63">
        <v>35830.0</v>
      </c>
      <c r="M347" s="56" t="s">
        <v>42</v>
      </c>
      <c r="N347" s="66" t="s">
        <v>2560</v>
      </c>
    </row>
    <row r="348" ht="60.0" customHeight="1">
      <c r="A348" s="56">
        <v>342.0</v>
      </c>
      <c r="B348" s="57" t="s">
        <v>2561</v>
      </c>
      <c r="C348" s="57" t="s">
        <v>2562</v>
      </c>
      <c r="D348" s="57" t="s">
        <v>2563</v>
      </c>
      <c r="E348" s="57" t="s">
        <v>2564</v>
      </c>
      <c r="F348" s="57" t="s">
        <v>2565</v>
      </c>
      <c r="G348" s="57" t="s">
        <v>1059</v>
      </c>
      <c r="H348" s="56" t="str">
        <f t="shared" si="1"/>
        <v>CORRECT</v>
      </c>
      <c r="I348" s="56" t="s">
        <v>50</v>
      </c>
      <c r="J348" s="56" t="s">
        <v>50</v>
      </c>
      <c r="K348" s="65" t="s">
        <v>2566</v>
      </c>
      <c r="L348" s="63">
        <v>30655.0</v>
      </c>
      <c r="M348" s="56" t="s">
        <v>42</v>
      </c>
      <c r="N348" s="66" t="s">
        <v>2567</v>
      </c>
    </row>
    <row r="349" ht="60.0" customHeight="1">
      <c r="A349" s="56">
        <v>343.0</v>
      </c>
      <c r="B349" s="57" t="s">
        <v>2568</v>
      </c>
      <c r="C349" s="57" t="s">
        <v>2569</v>
      </c>
      <c r="D349" s="57" t="s">
        <v>2570</v>
      </c>
      <c r="E349" s="57" t="s">
        <v>2571</v>
      </c>
      <c r="F349" s="57" t="s">
        <v>2572</v>
      </c>
      <c r="G349" s="57" t="s">
        <v>2573</v>
      </c>
      <c r="H349" s="56" t="str">
        <f t="shared" si="1"/>
        <v>WRONG</v>
      </c>
      <c r="I349" s="56" t="s">
        <v>77</v>
      </c>
      <c r="J349" s="56" t="s">
        <v>60</v>
      </c>
      <c r="K349" s="65" t="s">
        <v>2574</v>
      </c>
      <c r="L349" s="63">
        <v>47887.0</v>
      </c>
      <c r="M349" s="56" t="s">
        <v>42</v>
      </c>
      <c r="N349" s="66" t="s">
        <v>2575</v>
      </c>
    </row>
    <row r="350" ht="60.0" customHeight="1">
      <c r="A350" s="56">
        <v>344.0</v>
      </c>
      <c r="B350" s="57" t="s">
        <v>2576</v>
      </c>
      <c r="C350" s="57" t="s">
        <v>2577</v>
      </c>
      <c r="D350" s="57" t="s">
        <v>2578</v>
      </c>
      <c r="E350" s="57" t="s">
        <v>2579</v>
      </c>
      <c r="F350" s="57" t="s">
        <v>2580</v>
      </c>
      <c r="G350" s="57" t="s">
        <v>2581</v>
      </c>
      <c r="H350" s="56" t="str">
        <f t="shared" si="1"/>
        <v>WRONG</v>
      </c>
      <c r="I350" s="56" t="s">
        <v>77</v>
      </c>
      <c r="J350" s="56" t="s">
        <v>50</v>
      </c>
      <c r="K350" s="65" t="s">
        <v>2582</v>
      </c>
      <c r="L350" s="63">
        <v>39555.0</v>
      </c>
      <c r="M350" s="56" t="s">
        <v>42</v>
      </c>
      <c r="N350" s="66" t="s">
        <v>2583</v>
      </c>
    </row>
    <row r="351" ht="60.0" customHeight="1">
      <c r="A351" s="56">
        <v>345.0</v>
      </c>
      <c r="B351" s="57" t="s">
        <v>2584</v>
      </c>
      <c r="C351" s="57" t="s">
        <v>2585</v>
      </c>
      <c r="D351" s="57" t="s">
        <v>2586</v>
      </c>
      <c r="E351" s="57" t="s">
        <v>2587</v>
      </c>
      <c r="F351" s="57" t="s">
        <v>2588</v>
      </c>
      <c r="G351" s="57" t="s">
        <v>2589</v>
      </c>
      <c r="H351" s="56" t="str">
        <f t="shared" si="1"/>
        <v>WRONG</v>
      </c>
      <c r="I351" s="56" t="s">
        <v>77</v>
      </c>
      <c r="J351" s="56" t="s">
        <v>40</v>
      </c>
      <c r="K351" s="65" t="s">
        <v>2590</v>
      </c>
      <c r="L351" s="63">
        <v>59733.0</v>
      </c>
      <c r="M351" s="56" t="s">
        <v>62</v>
      </c>
      <c r="N351" s="66"/>
    </row>
    <row r="352" ht="60.0" customHeight="1">
      <c r="A352" s="56">
        <v>346.0</v>
      </c>
      <c r="B352" s="57" t="s">
        <v>2591</v>
      </c>
      <c r="C352" s="57" t="s">
        <v>2592</v>
      </c>
      <c r="D352" s="57" t="s">
        <v>2593</v>
      </c>
      <c r="E352" s="57" t="s">
        <v>2594</v>
      </c>
      <c r="F352" s="57" t="s">
        <v>2595</v>
      </c>
      <c r="G352" s="57" t="s">
        <v>2596</v>
      </c>
      <c r="H352" s="56" t="str">
        <f t="shared" si="1"/>
        <v>WRONG</v>
      </c>
      <c r="I352" s="56" t="s">
        <v>77</v>
      </c>
      <c r="J352" s="56" t="s">
        <v>40</v>
      </c>
      <c r="K352" s="65" t="s">
        <v>2597</v>
      </c>
      <c r="L352" s="63">
        <v>42912.0</v>
      </c>
      <c r="M352" s="56" t="s">
        <v>42</v>
      </c>
      <c r="N352" s="66" t="s">
        <v>2598</v>
      </c>
    </row>
    <row r="353" ht="60.0" customHeight="1">
      <c r="A353" s="56">
        <v>347.0</v>
      </c>
      <c r="B353" s="57" t="s">
        <v>2599</v>
      </c>
      <c r="C353" s="57" t="s">
        <v>2600</v>
      </c>
      <c r="D353" s="57" t="s">
        <v>2601</v>
      </c>
      <c r="E353" s="57" t="s">
        <v>2602</v>
      </c>
      <c r="F353" s="57" t="s">
        <v>2603</v>
      </c>
      <c r="G353" s="57" t="s">
        <v>1059</v>
      </c>
      <c r="H353" s="56" t="str">
        <f t="shared" si="1"/>
        <v>WRONG</v>
      </c>
      <c r="I353" s="56" t="s">
        <v>50</v>
      </c>
      <c r="J353" s="56" t="s">
        <v>60</v>
      </c>
      <c r="K353" s="65" t="s">
        <v>2604</v>
      </c>
      <c r="L353" s="63">
        <v>40132.0</v>
      </c>
      <c r="M353" s="56" t="s">
        <v>42</v>
      </c>
      <c r="N353" s="66" t="s">
        <v>2605</v>
      </c>
    </row>
    <row r="354" ht="60.0" customHeight="1">
      <c r="A354" s="56">
        <v>348.0</v>
      </c>
      <c r="B354" s="57" t="s">
        <v>2606</v>
      </c>
      <c r="C354" s="57" t="s">
        <v>2607</v>
      </c>
      <c r="D354" s="57" t="s">
        <v>2608</v>
      </c>
      <c r="E354" s="57" t="s">
        <v>2609</v>
      </c>
      <c r="F354" s="57" t="s">
        <v>2610</v>
      </c>
      <c r="G354" s="57" t="s">
        <v>1059</v>
      </c>
      <c r="H354" s="56" t="str">
        <f t="shared" si="1"/>
        <v>CORRECT</v>
      </c>
      <c r="I354" s="56" t="s">
        <v>60</v>
      </c>
      <c r="J354" s="56" t="s">
        <v>60</v>
      </c>
      <c r="K354" s="65" t="s">
        <v>2611</v>
      </c>
      <c r="L354" s="63">
        <v>42021.0</v>
      </c>
      <c r="M354" s="56" t="s">
        <v>42</v>
      </c>
      <c r="N354" s="66" t="s">
        <v>2612</v>
      </c>
    </row>
    <row r="355" ht="60.0" customHeight="1">
      <c r="A355" s="56">
        <v>349.0</v>
      </c>
      <c r="B355" s="57" t="s">
        <v>2613</v>
      </c>
      <c r="C355" s="57" t="s">
        <v>2614</v>
      </c>
      <c r="D355" s="57" t="s">
        <v>2615</v>
      </c>
      <c r="E355" s="57" t="s">
        <v>2616</v>
      </c>
      <c r="F355" s="57" t="s">
        <v>2617</v>
      </c>
      <c r="G355" s="57" t="s">
        <v>2618</v>
      </c>
      <c r="H355" s="56" t="str">
        <f t="shared" si="1"/>
        <v>CORRECT</v>
      </c>
      <c r="I355" s="56" t="s">
        <v>40</v>
      </c>
      <c r="J355" s="56" t="s">
        <v>40</v>
      </c>
      <c r="K355" s="65" t="s">
        <v>2619</v>
      </c>
      <c r="L355" s="63">
        <v>38844.0</v>
      </c>
      <c r="M355" s="56" t="s">
        <v>42</v>
      </c>
      <c r="N355" s="66" t="s">
        <v>2620</v>
      </c>
    </row>
    <row r="356" ht="60.0" customHeight="1">
      <c r="A356" s="56">
        <v>350.0</v>
      </c>
      <c r="B356" s="57" t="s">
        <v>2621</v>
      </c>
      <c r="C356" s="57" t="s">
        <v>2622</v>
      </c>
      <c r="D356" s="57" t="s">
        <v>2623</v>
      </c>
      <c r="E356" s="57" t="s">
        <v>2624</v>
      </c>
      <c r="F356" s="57" t="s">
        <v>2625</v>
      </c>
      <c r="G356" s="57" t="s">
        <v>1059</v>
      </c>
      <c r="H356" s="56" t="str">
        <f t="shared" si="1"/>
        <v>CORRECT</v>
      </c>
      <c r="I356" s="56" t="s">
        <v>50</v>
      </c>
      <c r="J356" s="56" t="s">
        <v>50</v>
      </c>
      <c r="K356" s="65" t="s">
        <v>2626</v>
      </c>
      <c r="L356" s="63">
        <v>43398.0</v>
      </c>
      <c r="M356" s="56" t="s">
        <v>62</v>
      </c>
      <c r="N356" s="66"/>
    </row>
    <row r="357">
      <c r="A357" s="48"/>
      <c r="B357" s="64"/>
      <c r="C357" s="64"/>
      <c r="D357" s="64"/>
      <c r="E357" s="64"/>
      <c r="F357" s="64"/>
      <c r="G357" s="64"/>
      <c r="H357" s="48"/>
      <c r="I357" s="48"/>
      <c r="J357" s="48"/>
    </row>
    <row r="358">
      <c r="A358" s="48"/>
      <c r="B358" s="64"/>
      <c r="C358" s="64"/>
      <c r="D358" s="64"/>
      <c r="E358" s="64"/>
      <c r="F358" s="64"/>
      <c r="G358" s="64"/>
      <c r="H358" s="48"/>
      <c r="I358" s="48"/>
      <c r="J358" s="48"/>
    </row>
    <row r="359">
      <c r="A359" s="48"/>
      <c r="B359" s="64"/>
      <c r="C359" s="64"/>
      <c r="D359" s="64"/>
      <c r="E359" s="64"/>
      <c r="F359" s="64"/>
      <c r="G359" s="64"/>
      <c r="H359" s="48"/>
      <c r="I359" s="48"/>
      <c r="J359" s="48"/>
    </row>
    <row r="360">
      <c r="A360" s="48"/>
      <c r="B360" s="64"/>
      <c r="C360" s="64"/>
      <c r="D360" s="64"/>
      <c r="E360" s="64"/>
      <c r="F360" s="64"/>
      <c r="G360" s="64"/>
      <c r="H360" s="48"/>
      <c r="I360" s="48"/>
      <c r="J360" s="48"/>
    </row>
    <row r="361">
      <c r="A361" s="48"/>
      <c r="B361" s="64"/>
      <c r="C361" s="64"/>
      <c r="D361" s="64"/>
      <c r="E361" s="64"/>
      <c r="F361" s="64"/>
      <c r="G361" s="64"/>
      <c r="H361" s="48"/>
      <c r="I361" s="48"/>
      <c r="J361" s="48"/>
    </row>
    <row r="362">
      <c r="A362" s="48"/>
      <c r="B362" s="64"/>
      <c r="C362" s="64"/>
      <c r="D362" s="64"/>
      <c r="E362" s="64"/>
      <c r="F362" s="64"/>
      <c r="G362" s="64"/>
      <c r="H362" s="48"/>
      <c r="I362" s="48"/>
      <c r="J362" s="48"/>
    </row>
    <row r="363">
      <c r="A363" s="48"/>
      <c r="B363" s="64"/>
      <c r="C363" s="64"/>
      <c r="D363" s="64"/>
      <c r="E363" s="64"/>
      <c r="F363" s="64"/>
      <c r="G363" s="64"/>
      <c r="H363" s="48"/>
      <c r="I363" s="48"/>
      <c r="J363" s="48"/>
    </row>
    <row r="364">
      <c r="A364" s="48"/>
      <c r="B364" s="64"/>
      <c r="C364" s="64"/>
      <c r="D364" s="64"/>
      <c r="E364" s="64"/>
      <c r="F364" s="64"/>
      <c r="G364" s="64"/>
      <c r="H364" s="48"/>
      <c r="I364" s="48"/>
      <c r="J364" s="48"/>
    </row>
    <row r="365">
      <c r="A365" s="48"/>
      <c r="B365" s="64"/>
      <c r="C365" s="64"/>
      <c r="D365" s="64"/>
      <c r="E365" s="64"/>
      <c r="F365" s="64"/>
      <c r="G365" s="64"/>
      <c r="H365" s="48"/>
      <c r="I365" s="48"/>
      <c r="J365" s="48"/>
    </row>
    <row r="366">
      <c r="A366" s="48"/>
      <c r="B366" s="64"/>
      <c r="C366" s="64"/>
      <c r="D366" s="64"/>
      <c r="E366" s="64"/>
      <c r="F366" s="64"/>
      <c r="G366" s="64"/>
      <c r="H366" s="48"/>
      <c r="I366" s="48"/>
      <c r="J366" s="48"/>
    </row>
    <row r="367">
      <c r="A367" s="48"/>
      <c r="B367" s="64"/>
      <c r="C367" s="64"/>
      <c r="D367" s="64"/>
      <c r="E367" s="64"/>
      <c r="F367" s="64"/>
      <c r="G367" s="64"/>
      <c r="H367" s="48"/>
      <c r="I367" s="48"/>
      <c r="J367" s="48"/>
    </row>
    <row r="368">
      <c r="A368" s="48"/>
      <c r="B368" s="64"/>
      <c r="C368" s="64"/>
      <c r="D368" s="64"/>
      <c r="E368" s="64"/>
      <c r="F368" s="64"/>
      <c r="G368" s="64"/>
      <c r="H368" s="48"/>
      <c r="I368" s="48"/>
      <c r="J368" s="48"/>
    </row>
    <row r="369">
      <c r="A369" s="48"/>
      <c r="B369" s="64"/>
      <c r="C369" s="64"/>
      <c r="D369" s="64"/>
      <c r="E369" s="64"/>
      <c r="F369" s="64"/>
      <c r="G369" s="64"/>
      <c r="H369" s="48"/>
      <c r="I369" s="48"/>
      <c r="J369" s="48"/>
    </row>
    <row r="370">
      <c r="A370" s="48"/>
      <c r="B370" s="64"/>
      <c r="C370" s="64"/>
      <c r="D370" s="64"/>
      <c r="E370" s="64"/>
      <c r="F370" s="64"/>
      <c r="G370" s="64"/>
      <c r="H370" s="48"/>
      <c r="I370" s="48"/>
      <c r="J370" s="48"/>
    </row>
    <row r="371">
      <c r="A371" s="48"/>
      <c r="B371" s="64"/>
      <c r="C371" s="64"/>
      <c r="D371" s="64"/>
      <c r="E371" s="64"/>
      <c r="F371" s="64"/>
      <c r="G371" s="64"/>
      <c r="H371" s="48"/>
      <c r="I371" s="48"/>
      <c r="J371" s="48"/>
    </row>
    <row r="372">
      <c r="A372" s="48"/>
      <c r="B372" s="64"/>
      <c r="C372" s="64"/>
      <c r="D372" s="64"/>
      <c r="E372" s="64"/>
      <c r="F372" s="64"/>
      <c r="G372" s="64"/>
      <c r="H372" s="48"/>
      <c r="I372" s="48"/>
      <c r="J372" s="48"/>
    </row>
    <row r="373">
      <c r="A373" s="48"/>
      <c r="B373" s="64"/>
      <c r="C373" s="64"/>
      <c r="D373" s="64"/>
      <c r="E373" s="64"/>
      <c r="F373" s="64"/>
      <c r="G373" s="64"/>
      <c r="H373" s="48"/>
      <c r="I373" s="48"/>
      <c r="J373" s="48"/>
    </row>
    <row r="374">
      <c r="A374" s="48"/>
      <c r="B374" s="64"/>
      <c r="C374" s="64"/>
      <c r="D374" s="64"/>
      <c r="E374" s="64"/>
      <c r="F374" s="64"/>
      <c r="G374" s="64"/>
      <c r="H374" s="48"/>
      <c r="I374" s="48"/>
      <c r="J374" s="48"/>
    </row>
    <row r="375">
      <c r="A375" s="48"/>
      <c r="B375" s="64"/>
      <c r="C375" s="64"/>
      <c r="D375" s="64"/>
      <c r="E375" s="64"/>
      <c r="F375" s="64"/>
      <c r="G375" s="64"/>
      <c r="H375" s="48"/>
      <c r="I375" s="48"/>
      <c r="J375" s="48"/>
    </row>
    <row r="376">
      <c r="A376" s="48"/>
      <c r="B376" s="64"/>
      <c r="C376" s="64"/>
      <c r="D376" s="64"/>
      <c r="E376" s="64"/>
      <c r="F376" s="64"/>
      <c r="G376" s="64"/>
      <c r="H376" s="48"/>
      <c r="I376" s="48"/>
      <c r="J376" s="48"/>
    </row>
    <row r="377">
      <c r="A377" s="48"/>
      <c r="B377" s="64"/>
      <c r="C377" s="64"/>
      <c r="D377" s="64"/>
      <c r="E377" s="64"/>
      <c r="F377" s="64"/>
      <c r="G377" s="64"/>
      <c r="H377" s="48"/>
      <c r="I377" s="48"/>
      <c r="J377" s="48"/>
    </row>
    <row r="378">
      <c r="A378" s="48"/>
      <c r="B378" s="64"/>
      <c r="C378" s="64"/>
      <c r="D378" s="64"/>
      <c r="E378" s="64"/>
      <c r="F378" s="64"/>
      <c r="G378" s="64"/>
      <c r="H378" s="48"/>
      <c r="I378" s="48"/>
      <c r="J378" s="48"/>
    </row>
    <row r="379">
      <c r="A379" s="48"/>
      <c r="B379" s="64"/>
      <c r="C379" s="64"/>
      <c r="D379" s="64"/>
      <c r="E379" s="64"/>
      <c r="F379" s="64"/>
      <c r="G379" s="64"/>
      <c r="H379" s="48"/>
      <c r="I379" s="48"/>
      <c r="J379" s="48"/>
    </row>
    <row r="380">
      <c r="A380" s="48"/>
      <c r="B380" s="64"/>
      <c r="C380" s="64"/>
      <c r="D380" s="64"/>
      <c r="E380" s="64"/>
      <c r="F380" s="64"/>
      <c r="G380" s="64"/>
      <c r="H380" s="48"/>
      <c r="I380" s="48"/>
      <c r="J380" s="48"/>
    </row>
    <row r="381">
      <c r="A381" s="48"/>
      <c r="B381" s="64"/>
      <c r="C381" s="64"/>
      <c r="D381" s="64"/>
      <c r="E381" s="64"/>
      <c r="F381" s="64"/>
      <c r="G381" s="64"/>
      <c r="H381" s="48"/>
      <c r="I381" s="48"/>
      <c r="J381" s="48"/>
    </row>
    <row r="382">
      <c r="A382" s="48"/>
      <c r="B382" s="64"/>
      <c r="C382" s="64"/>
      <c r="D382" s="64"/>
      <c r="E382" s="64"/>
      <c r="F382" s="64"/>
      <c r="G382" s="64"/>
      <c r="H382" s="48"/>
      <c r="I382" s="48"/>
      <c r="J382" s="48"/>
    </row>
    <row r="383">
      <c r="A383" s="48"/>
      <c r="B383" s="64"/>
      <c r="C383" s="64"/>
      <c r="D383" s="64"/>
      <c r="E383" s="64"/>
      <c r="F383" s="64"/>
      <c r="G383" s="64"/>
      <c r="H383" s="48"/>
      <c r="I383" s="48"/>
      <c r="J383" s="48"/>
    </row>
    <row r="384">
      <c r="A384" s="48"/>
      <c r="B384" s="64"/>
      <c r="C384" s="64"/>
      <c r="D384" s="64"/>
      <c r="E384" s="64"/>
      <c r="F384" s="64"/>
      <c r="G384" s="64"/>
      <c r="H384" s="48"/>
      <c r="I384" s="48"/>
      <c r="J384" s="48"/>
    </row>
    <row r="385">
      <c r="A385" s="48"/>
      <c r="B385" s="64"/>
      <c r="C385" s="64"/>
      <c r="D385" s="64"/>
      <c r="E385" s="64"/>
      <c r="F385" s="64"/>
      <c r="G385" s="64"/>
      <c r="H385" s="48"/>
      <c r="I385" s="48"/>
      <c r="J385" s="48"/>
    </row>
    <row r="386">
      <c r="A386" s="48"/>
      <c r="B386" s="64"/>
      <c r="C386" s="64"/>
      <c r="D386" s="64"/>
      <c r="E386" s="64"/>
      <c r="F386" s="64"/>
      <c r="G386" s="64"/>
      <c r="H386" s="48"/>
      <c r="I386" s="48"/>
      <c r="J386" s="48"/>
    </row>
    <row r="387">
      <c r="A387" s="48"/>
      <c r="B387" s="64"/>
      <c r="C387" s="64"/>
      <c r="D387" s="64"/>
      <c r="E387" s="64"/>
      <c r="F387" s="64"/>
      <c r="G387" s="64"/>
      <c r="H387" s="48"/>
      <c r="I387" s="48"/>
      <c r="J387" s="48"/>
    </row>
    <row r="388">
      <c r="A388" s="48"/>
      <c r="B388" s="64"/>
      <c r="C388" s="64"/>
      <c r="D388" s="64"/>
      <c r="E388" s="64"/>
      <c r="F388" s="64"/>
      <c r="G388" s="64"/>
      <c r="H388" s="48"/>
      <c r="I388" s="48"/>
      <c r="J388" s="48"/>
    </row>
    <row r="389">
      <c r="A389" s="48"/>
      <c r="B389" s="64"/>
      <c r="C389" s="64"/>
      <c r="D389" s="64"/>
      <c r="E389" s="64"/>
      <c r="F389" s="64"/>
      <c r="G389" s="64"/>
      <c r="H389" s="48"/>
      <c r="I389" s="48"/>
      <c r="J389" s="48"/>
    </row>
    <row r="390">
      <c r="A390" s="48"/>
      <c r="B390" s="64"/>
      <c r="C390" s="64"/>
      <c r="D390" s="64"/>
      <c r="E390" s="64"/>
      <c r="F390" s="64"/>
      <c r="G390" s="64"/>
      <c r="H390" s="48"/>
      <c r="I390" s="48"/>
      <c r="J390" s="48"/>
    </row>
    <row r="391">
      <c r="A391" s="48"/>
      <c r="B391" s="64"/>
      <c r="C391" s="64"/>
      <c r="D391" s="64"/>
      <c r="E391" s="64"/>
      <c r="F391" s="64"/>
      <c r="G391" s="64"/>
      <c r="H391" s="48"/>
      <c r="I391" s="48"/>
      <c r="J391" s="48"/>
    </row>
    <row r="392">
      <c r="A392" s="48"/>
      <c r="B392" s="64"/>
      <c r="C392" s="64"/>
      <c r="D392" s="64"/>
      <c r="E392" s="64"/>
      <c r="F392" s="64"/>
      <c r="G392" s="64"/>
      <c r="H392" s="48"/>
      <c r="I392" s="48"/>
      <c r="J392" s="48"/>
    </row>
    <row r="393">
      <c r="A393" s="48"/>
      <c r="B393" s="64"/>
      <c r="C393" s="64"/>
      <c r="D393" s="64"/>
      <c r="E393" s="64"/>
      <c r="F393" s="64"/>
      <c r="G393" s="64"/>
      <c r="H393" s="48"/>
      <c r="I393" s="48"/>
      <c r="J393" s="48"/>
    </row>
    <row r="394">
      <c r="A394" s="48"/>
      <c r="B394" s="64"/>
      <c r="C394" s="64"/>
      <c r="D394" s="64"/>
      <c r="E394" s="64"/>
      <c r="F394" s="64"/>
      <c r="G394" s="64"/>
      <c r="H394" s="48"/>
      <c r="I394" s="48"/>
      <c r="J394" s="48"/>
    </row>
    <row r="395">
      <c r="A395" s="48"/>
      <c r="B395" s="64"/>
      <c r="C395" s="64"/>
      <c r="D395" s="64"/>
      <c r="E395" s="64"/>
      <c r="F395" s="64"/>
      <c r="G395" s="64"/>
      <c r="H395" s="48"/>
      <c r="I395" s="48"/>
      <c r="J395" s="48"/>
    </row>
    <row r="396">
      <c r="A396" s="48"/>
      <c r="B396" s="64"/>
      <c r="C396" s="64"/>
      <c r="D396" s="64"/>
      <c r="E396" s="64"/>
      <c r="F396" s="64"/>
      <c r="G396" s="64"/>
      <c r="H396" s="48"/>
      <c r="I396" s="48"/>
      <c r="J396" s="48"/>
    </row>
    <row r="397">
      <c r="A397" s="48"/>
      <c r="B397" s="64"/>
      <c r="C397" s="64"/>
      <c r="D397" s="64"/>
      <c r="E397" s="64"/>
      <c r="F397" s="64"/>
      <c r="G397" s="64"/>
      <c r="H397" s="48"/>
      <c r="I397" s="48"/>
      <c r="J397" s="48"/>
    </row>
    <row r="398">
      <c r="A398" s="48"/>
      <c r="B398" s="64"/>
      <c r="C398" s="64"/>
      <c r="D398" s="64"/>
      <c r="E398" s="64"/>
      <c r="F398" s="64"/>
      <c r="G398" s="64"/>
      <c r="H398" s="48"/>
      <c r="I398" s="48"/>
      <c r="J398" s="48"/>
    </row>
    <row r="399">
      <c r="A399" s="48"/>
      <c r="B399" s="64"/>
      <c r="C399" s="64"/>
      <c r="D399" s="64"/>
      <c r="E399" s="64"/>
      <c r="F399" s="64"/>
      <c r="G399" s="64"/>
      <c r="H399" s="48"/>
      <c r="I399" s="48"/>
      <c r="J399" s="48"/>
    </row>
    <row r="400">
      <c r="A400" s="48"/>
      <c r="B400" s="64"/>
      <c r="C400" s="64"/>
      <c r="D400" s="64"/>
      <c r="E400" s="64"/>
      <c r="F400" s="64"/>
      <c r="G400" s="64"/>
      <c r="H400" s="48"/>
      <c r="I400" s="48"/>
      <c r="J400" s="48"/>
    </row>
    <row r="401">
      <c r="A401" s="48"/>
      <c r="B401" s="64"/>
      <c r="C401" s="64"/>
      <c r="D401" s="64"/>
      <c r="E401" s="64"/>
      <c r="F401" s="64"/>
      <c r="G401" s="64"/>
      <c r="H401" s="48"/>
      <c r="I401" s="48"/>
      <c r="J401" s="48"/>
    </row>
    <row r="402">
      <c r="A402" s="48"/>
      <c r="B402" s="64"/>
      <c r="C402" s="64"/>
      <c r="D402" s="64"/>
      <c r="E402" s="64"/>
      <c r="F402" s="64"/>
      <c r="G402" s="64"/>
      <c r="H402" s="48"/>
      <c r="I402" s="48"/>
      <c r="J402" s="48"/>
    </row>
    <row r="403">
      <c r="A403" s="48"/>
      <c r="B403" s="64"/>
      <c r="C403" s="64"/>
      <c r="D403" s="64"/>
      <c r="E403" s="64"/>
      <c r="F403" s="64"/>
      <c r="G403" s="64"/>
      <c r="H403" s="48"/>
      <c r="I403" s="48"/>
      <c r="J403" s="48"/>
    </row>
    <row r="404">
      <c r="A404" s="48"/>
      <c r="B404" s="64"/>
      <c r="C404" s="64"/>
      <c r="D404" s="64"/>
      <c r="E404" s="64"/>
      <c r="F404" s="64"/>
      <c r="G404" s="64"/>
      <c r="H404" s="48"/>
      <c r="I404" s="48"/>
      <c r="J404" s="48"/>
    </row>
    <row r="405">
      <c r="A405" s="48"/>
      <c r="B405" s="64"/>
      <c r="C405" s="64"/>
      <c r="D405" s="64"/>
      <c r="E405" s="64"/>
      <c r="F405" s="64"/>
      <c r="G405" s="64"/>
      <c r="H405" s="48"/>
      <c r="I405" s="48"/>
      <c r="J405" s="48"/>
    </row>
    <row r="406">
      <c r="A406" s="48"/>
      <c r="B406" s="64"/>
      <c r="C406" s="64"/>
      <c r="D406" s="64"/>
      <c r="E406" s="64"/>
      <c r="F406" s="64"/>
      <c r="G406" s="64"/>
      <c r="H406" s="48"/>
      <c r="I406" s="48"/>
      <c r="J406" s="48"/>
    </row>
    <row r="407">
      <c r="A407" s="48"/>
      <c r="B407" s="64"/>
      <c r="C407" s="64"/>
      <c r="D407" s="64"/>
      <c r="E407" s="64"/>
      <c r="F407" s="64"/>
      <c r="G407" s="64"/>
      <c r="H407" s="48"/>
      <c r="I407" s="48"/>
      <c r="J407" s="48"/>
    </row>
    <row r="408">
      <c r="A408" s="48"/>
      <c r="B408" s="64"/>
      <c r="C408" s="64"/>
      <c r="D408" s="64"/>
      <c r="E408" s="64"/>
      <c r="F408" s="64"/>
      <c r="G408" s="64"/>
      <c r="H408" s="48"/>
      <c r="I408" s="48"/>
      <c r="J408" s="48"/>
    </row>
    <row r="409">
      <c r="A409" s="48"/>
      <c r="B409" s="64"/>
      <c r="C409" s="64"/>
      <c r="D409" s="64"/>
      <c r="E409" s="64"/>
      <c r="F409" s="64"/>
      <c r="G409" s="64"/>
      <c r="H409" s="48"/>
      <c r="I409" s="48"/>
      <c r="J409" s="48"/>
    </row>
    <row r="410">
      <c r="A410" s="48"/>
      <c r="B410" s="64"/>
      <c r="C410" s="64"/>
      <c r="D410" s="64"/>
      <c r="E410" s="64"/>
      <c r="F410" s="64"/>
      <c r="G410" s="64"/>
      <c r="H410" s="48"/>
      <c r="I410" s="48"/>
      <c r="J410" s="48"/>
    </row>
    <row r="411">
      <c r="A411" s="48"/>
      <c r="B411" s="64"/>
      <c r="C411" s="64"/>
      <c r="D411" s="64"/>
      <c r="E411" s="64"/>
      <c r="F411" s="64"/>
      <c r="G411" s="64"/>
      <c r="H411" s="48"/>
      <c r="I411" s="48"/>
      <c r="J411" s="48"/>
    </row>
    <row r="412">
      <c r="A412" s="48"/>
      <c r="B412" s="64"/>
      <c r="C412" s="64"/>
      <c r="D412" s="64"/>
      <c r="E412" s="64"/>
      <c r="F412" s="64"/>
      <c r="G412" s="64"/>
      <c r="H412" s="48"/>
      <c r="I412" s="48"/>
      <c r="J412" s="48"/>
    </row>
    <row r="413">
      <c r="A413" s="48"/>
      <c r="B413" s="64"/>
      <c r="C413" s="64"/>
      <c r="D413" s="64"/>
      <c r="E413" s="64"/>
      <c r="F413" s="64"/>
      <c r="G413" s="64"/>
      <c r="H413" s="48"/>
      <c r="I413" s="48"/>
      <c r="J413" s="48"/>
    </row>
    <row r="414">
      <c r="A414" s="48"/>
      <c r="B414" s="64"/>
      <c r="C414" s="64"/>
      <c r="D414" s="64"/>
      <c r="E414" s="64"/>
      <c r="F414" s="64"/>
      <c r="G414" s="64"/>
      <c r="H414" s="48"/>
      <c r="I414" s="48"/>
      <c r="J414" s="48"/>
    </row>
    <row r="415">
      <c r="A415" s="48"/>
      <c r="B415" s="64"/>
      <c r="C415" s="64"/>
      <c r="D415" s="64"/>
      <c r="E415" s="64"/>
      <c r="F415" s="64"/>
      <c r="G415" s="64"/>
      <c r="H415" s="48"/>
      <c r="I415" s="48"/>
      <c r="J415" s="48"/>
    </row>
    <row r="416">
      <c r="A416" s="48"/>
      <c r="B416" s="64"/>
      <c r="C416" s="64"/>
      <c r="D416" s="64"/>
      <c r="E416" s="64"/>
      <c r="F416" s="64"/>
      <c r="G416" s="64"/>
      <c r="H416" s="48"/>
      <c r="I416" s="48"/>
      <c r="J416" s="48"/>
    </row>
    <row r="417">
      <c r="A417" s="48"/>
      <c r="B417" s="64"/>
      <c r="C417" s="64"/>
      <c r="D417" s="64"/>
      <c r="E417" s="64"/>
      <c r="F417" s="64"/>
      <c r="G417" s="64"/>
      <c r="H417" s="48"/>
      <c r="I417" s="48"/>
      <c r="J417" s="48"/>
    </row>
    <row r="418">
      <c r="A418" s="48"/>
      <c r="B418" s="64"/>
      <c r="C418" s="64"/>
      <c r="D418" s="64"/>
      <c r="E418" s="64"/>
      <c r="F418" s="64"/>
      <c r="G418" s="64"/>
      <c r="H418" s="48"/>
      <c r="I418" s="48"/>
      <c r="J418" s="48"/>
    </row>
    <row r="419">
      <c r="A419" s="48"/>
      <c r="B419" s="64"/>
      <c r="C419" s="64"/>
      <c r="D419" s="64"/>
      <c r="E419" s="64"/>
      <c r="F419" s="64"/>
      <c r="G419" s="64"/>
      <c r="H419" s="48"/>
      <c r="I419" s="48"/>
      <c r="J419" s="48"/>
    </row>
    <row r="420">
      <c r="A420" s="48"/>
      <c r="B420" s="64"/>
      <c r="C420" s="64"/>
      <c r="D420" s="64"/>
      <c r="E420" s="64"/>
      <c r="F420" s="64"/>
      <c r="G420" s="64"/>
      <c r="H420" s="48"/>
      <c r="I420" s="48"/>
      <c r="J420" s="48"/>
    </row>
    <row r="421">
      <c r="A421" s="48"/>
      <c r="B421" s="64"/>
      <c r="C421" s="64"/>
      <c r="D421" s="64"/>
      <c r="E421" s="64"/>
      <c r="F421" s="64"/>
      <c r="G421" s="64"/>
      <c r="H421" s="48"/>
      <c r="I421" s="48"/>
      <c r="J421" s="48"/>
    </row>
    <row r="422">
      <c r="A422" s="48"/>
      <c r="B422" s="64"/>
      <c r="C422" s="64"/>
      <c r="D422" s="64"/>
      <c r="E422" s="64"/>
      <c r="F422" s="64"/>
      <c r="G422" s="64"/>
      <c r="H422" s="48"/>
      <c r="I422" s="48"/>
      <c r="J422" s="48"/>
    </row>
    <row r="423">
      <c r="A423" s="48"/>
      <c r="B423" s="64"/>
      <c r="C423" s="64"/>
      <c r="D423" s="64"/>
      <c r="E423" s="64"/>
      <c r="F423" s="64"/>
      <c r="G423" s="64"/>
      <c r="H423" s="48"/>
      <c r="I423" s="48"/>
      <c r="J423" s="48"/>
    </row>
    <row r="424">
      <c r="A424" s="48"/>
      <c r="B424" s="64"/>
      <c r="C424" s="64"/>
      <c r="D424" s="64"/>
      <c r="E424" s="64"/>
      <c r="F424" s="64"/>
      <c r="G424" s="64"/>
      <c r="H424" s="48"/>
      <c r="I424" s="48"/>
      <c r="J424" s="48"/>
    </row>
    <row r="425">
      <c r="A425" s="48"/>
      <c r="B425" s="64"/>
      <c r="C425" s="64"/>
      <c r="D425" s="64"/>
      <c r="E425" s="64"/>
      <c r="F425" s="64"/>
      <c r="G425" s="64"/>
      <c r="H425" s="48"/>
      <c r="I425" s="48"/>
      <c r="J425" s="48"/>
    </row>
    <row r="426">
      <c r="A426" s="48"/>
      <c r="B426" s="64"/>
      <c r="C426" s="64"/>
      <c r="D426" s="64"/>
      <c r="E426" s="64"/>
      <c r="F426" s="64"/>
      <c r="G426" s="64"/>
      <c r="H426" s="48"/>
      <c r="I426" s="48"/>
      <c r="J426" s="48"/>
    </row>
    <row r="427">
      <c r="A427" s="48"/>
      <c r="B427" s="64"/>
      <c r="C427" s="64"/>
      <c r="D427" s="64"/>
      <c r="E427" s="64"/>
      <c r="F427" s="64"/>
      <c r="G427" s="64"/>
      <c r="H427" s="48"/>
      <c r="I427" s="48"/>
      <c r="J427" s="48"/>
    </row>
    <row r="428">
      <c r="A428" s="48"/>
      <c r="B428" s="64"/>
      <c r="C428" s="64"/>
      <c r="D428" s="64"/>
      <c r="E428" s="64"/>
      <c r="F428" s="64"/>
      <c r="G428" s="64"/>
      <c r="H428" s="48"/>
      <c r="I428" s="48"/>
      <c r="J428" s="48"/>
    </row>
    <row r="429">
      <c r="A429" s="48"/>
      <c r="B429" s="64"/>
      <c r="C429" s="64"/>
      <c r="D429" s="64"/>
      <c r="E429" s="64"/>
      <c r="F429" s="64"/>
      <c r="G429" s="64"/>
      <c r="H429" s="48"/>
      <c r="I429" s="48"/>
      <c r="J429" s="48"/>
    </row>
    <row r="430">
      <c r="A430" s="48"/>
      <c r="B430" s="64"/>
      <c r="C430" s="64"/>
      <c r="D430" s="64"/>
      <c r="E430" s="64"/>
      <c r="F430" s="64"/>
      <c r="G430" s="64"/>
      <c r="H430" s="48"/>
      <c r="I430" s="48"/>
      <c r="J430" s="48"/>
    </row>
    <row r="431">
      <c r="A431" s="48"/>
      <c r="B431" s="64"/>
      <c r="C431" s="64"/>
      <c r="D431" s="64"/>
      <c r="E431" s="64"/>
      <c r="F431" s="64"/>
      <c r="G431" s="64"/>
      <c r="H431" s="48"/>
      <c r="I431" s="48"/>
      <c r="J431" s="48"/>
    </row>
    <row r="432">
      <c r="A432" s="48"/>
      <c r="B432" s="64"/>
      <c r="C432" s="64"/>
      <c r="D432" s="64"/>
      <c r="E432" s="64"/>
      <c r="F432" s="64"/>
      <c r="G432" s="64"/>
      <c r="H432" s="48"/>
      <c r="I432" s="48"/>
      <c r="J432" s="48"/>
    </row>
    <row r="433">
      <c r="A433" s="48"/>
      <c r="B433" s="64"/>
      <c r="C433" s="64"/>
      <c r="D433" s="64"/>
      <c r="E433" s="64"/>
      <c r="F433" s="64"/>
      <c r="G433" s="64"/>
      <c r="H433" s="48"/>
      <c r="I433" s="48"/>
      <c r="J433" s="48"/>
    </row>
    <row r="434">
      <c r="A434" s="48"/>
      <c r="B434" s="64"/>
      <c r="C434" s="64"/>
      <c r="D434" s="64"/>
      <c r="E434" s="64"/>
      <c r="F434" s="64"/>
      <c r="G434" s="64"/>
      <c r="H434" s="48"/>
      <c r="I434" s="48"/>
      <c r="J434" s="48"/>
    </row>
    <row r="435">
      <c r="A435" s="48"/>
      <c r="B435" s="64"/>
      <c r="C435" s="64"/>
      <c r="D435" s="64"/>
      <c r="E435" s="64"/>
      <c r="F435" s="64"/>
      <c r="G435" s="64"/>
      <c r="H435" s="48"/>
      <c r="I435" s="48"/>
      <c r="J435" s="48"/>
    </row>
    <row r="436">
      <c r="A436" s="48"/>
      <c r="B436" s="64"/>
      <c r="C436" s="64"/>
      <c r="D436" s="64"/>
      <c r="E436" s="64"/>
      <c r="F436" s="64"/>
      <c r="G436" s="64"/>
      <c r="H436" s="48"/>
      <c r="I436" s="48"/>
      <c r="J436" s="48"/>
    </row>
    <row r="437">
      <c r="A437" s="48"/>
      <c r="B437" s="64"/>
      <c r="C437" s="64"/>
      <c r="D437" s="64"/>
      <c r="E437" s="64"/>
      <c r="F437" s="64"/>
      <c r="G437" s="64"/>
      <c r="H437" s="48"/>
      <c r="I437" s="48"/>
      <c r="J437" s="48"/>
    </row>
    <row r="438">
      <c r="A438" s="48"/>
      <c r="B438" s="64"/>
      <c r="C438" s="64"/>
      <c r="D438" s="64"/>
      <c r="E438" s="64"/>
      <c r="F438" s="64"/>
      <c r="G438" s="64"/>
      <c r="H438" s="48"/>
      <c r="I438" s="48"/>
      <c r="J438" s="48"/>
    </row>
    <row r="439">
      <c r="A439" s="48"/>
      <c r="B439" s="64"/>
      <c r="C439" s="64"/>
      <c r="D439" s="64"/>
      <c r="E439" s="64"/>
      <c r="F439" s="64"/>
      <c r="G439" s="64"/>
      <c r="H439" s="48"/>
      <c r="I439" s="48"/>
      <c r="J439" s="48"/>
    </row>
    <row r="440">
      <c r="A440" s="48"/>
      <c r="B440" s="64"/>
      <c r="C440" s="64"/>
      <c r="D440" s="64"/>
      <c r="E440" s="64"/>
      <c r="F440" s="64"/>
      <c r="G440" s="64"/>
      <c r="H440" s="48"/>
      <c r="I440" s="48"/>
      <c r="J440" s="48"/>
    </row>
    <row r="441">
      <c r="A441" s="48"/>
      <c r="B441" s="64"/>
      <c r="C441" s="64"/>
      <c r="D441" s="64"/>
      <c r="E441" s="64"/>
      <c r="F441" s="64"/>
      <c r="G441" s="64"/>
      <c r="H441" s="48"/>
      <c r="I441" s="48"/>
      <c r="J441" s="48"/>
    </row>
    <row r="442">
      <c r="A442" s="48"/>
      <c r="B442" s="64"/>
      <c r="C442" s="64"/>
      <c r="D442" s="64"/>
      <c r="E442" s="64"/>
      <c r="F442" s="64"/>
      <c r="G442" s="64"/>
      <c r="H442" s="48"/>
      <c r="I442" s="48"/>
      <c r="J442" s="48"/>
    </row>
    <row r="443">
      <c r="A443" s="48"/>
      <c r="B443" s="64"/>
      <c r="C443" s="64"/>
      <c r="D443" s="64"/>
      <c r="E443" s="64"/>
      <c r="F443" s="64"/>
      <c r="G443" s="64"/>
      <c r="H443" s="48"/>
      <c r="I443" s="48"/>
      <c r="J443" s="48"/>
    </row>
    <row r="444">
      <c r="A444" s="48"/>
      <c r="B444" s="64"/>
      <c r="C444" s="64"/>
      <c r="D444" s="64"/>
      <c r="E444" s="64"/>
      <c r="F444" s="64"/>
      <c r="G444" s="64"/>
      <c r="H444" s="48"/>
      <c r="I444" s="48"/>
      <c r="J444" s="48"/>
    </row>
    <row r="445">
      <c r="A445" s="48"/>
      <c r="B445" s="64"/>
      <c r="C445" s="64"/>
      <c r="D445" s="64"/>
      <c r="E445" s="64"/>
      <c r="F445" s="64"/>
      <c r="G445" s="64"/>
      <c r="H445" s="48"/>
      <c r="I445" s="48"/>
      <c r="J445" s="48"/>
    </row>
    <row r="446">
      <c r="A446" s="48"/>
      <c r="B446" s="64"/>
      <c r="C446" s="64"/>
      <c r="D446" s="64"/>
      <c r="E446" s="64"/>
      <c r="F446" s="64"/>
      <c r="G446" s="64"/>
      <c r="H446" s="48"/>
      <c r="I446" s="48"/>
      <c r="J446" s="48"/>
    </row>
    <row r="447">
      <c r="A447" s="48"/>
      <c r="B447" s="64"/>
      <c r="C447" s="64"/>
      <c r="D447" s="64"/>
      <c r="E447" s="64"/>
      <c r="F447" s="64"/>
      <c r="G447" s="64"/>
      <c r="H447" s="48"/>
      <c r="I447" s="48"/>
      <c r="J447" s="48"/>
    </row>
    <row r="448">
      <c r="A448" s="48"/>
      <c r="B448" s="64"/>
      <c r="C448" s="64"/>
      <c r="D448" s="64"/>
      <c r="E448" s="64"/>
      <c r="F448" s="64"/>
      <c r="G448" s="64"/>
      <c r="H448" s="48"/>
      <c r="I448" s="48"/>
      <c r="J448" s="48"/>
    </row>
    <row r="449">
      <c r="A449" s="48"/>
      <c r="B449" s="64"/>
      <c r="C449" s="64"/>
      <c r="D449" s="64"/>
      <c r="E449" s="64"/>
      <c r="F449" s="64"/>
      <c r="G449" s="64"/>
      <c r="H449" s="48"/>
      <c r="I449" s="48"/>
      <c r="J449" s="48"/>
    </row>
    <row r="450">
      <c r="A450" s="48"/>
      <c r="B450" s="64"/>
      <c r="C450" s="64"/>
      <c r="D450" s="64"/>
      <c r="E450" s="64"/>
      <c r="F450" s="64"/>
      <c r="G450" s="64"/>
      <c r="H450" s="48"/>
      <c r="I450" s="48"/>
      <c r="J450" s="48"/>
    </row>
    <row r="451">
      <c r="A451" s="48"/>
      <c r="B451" s="64"/>
      <c r="C451" s="64"/>
      <c r="D451" s="64"/>
      <c r="E451" s="64"/>
      <c r="F451" s="64"/>
      <c r="G451" s="64"/>
      <c r="H451" s="48"/>
      <c r="I451" s="48"/>
      <c r="J451" s="48"/>
    </row>
    <row r="452">
      <c r="A452" s="48"/>
      <c r="B452" s="64"/>
      <c r="C452" s="64"/>
      <c r="D452" s="64"/>
      <c r="E452" s="64"/>
      <c r="F452" s="64"/>
      <c r="G452" s="64"/>
      <c r="H452" s="48"/>
      <c r="I452" s="48"/>
      <c r="J452" s="48"/>
    </row>
    <row r="453">
      <c r="A453" s="48"/>
      <c r="B453" s="64"/>
      <c r="C453" s="64"/>
      <c r="D453" s="64"/>
      <c r="E453" s="64"/>
      <c r="F453" s="64"/>
      <c r="G453" s="64"/>
      <c r="H453" s="48"/>
      <c r="I453" s="48"/>
      <c r="J453" s="48"/>
    </row>
    <row r="454">
      <c r="A454" s="48"/>
      <c r="B454" s="64"/>
      <c r="C454" s="64"/>
      <c r="D454" s="64"/>
      <c r="E454" s="64"/>
      <c r="F454" s="64"/>
      <c r="G454" s="64"/>
      <c r="H454" s="48"/>
      <c r="I454" s="48"/>
      <c r="J454" s="48"/>
    </row>
    <row r="455">
      <c r="A455" s="48"/>
      <c r="B455" s="64"/>
      <c r="C455" s="64"/>
      <c r="D455" s="64"/>
      <c r="E455" s="64"/>
      <c r="F455" s="64"/>
      <c r="G455" s="64"/>
      <c r="H455" s="48"/>
      <c r="I455" s="48"/>
      <c r="J455" s="48"/>
    </row>
    <row r="456">
      <c r="A456" s="48"/>
      <c r="B456" s="64"/>
      <c r="C456" s="64"/>
      <c r="D456" s="64"/>
      <c r="E456" s="64"/>
      <c r="F456" s="64"/>
      <c r="G456" s="64"/>
      <c r="H456" s="48"/>
      <c r="I456" s="48"/>
      <c r="J456" s="48"/>
    </row>
    <row r="457">
      <c r="A457" s="48"/>
      <c r="B457" s="64"/>
      <c r="C457" s="64"/>
      <c r="D457" s="64"/>
      <c r="E457" s="64"/>
      <c r="F457" s="64"/>
      <c r="G457" s="64"/>
      <c r="H457" s="48"/>
      <c r="I457" s="48"/>
      <c r="J457" s="48"/>
    </row>
    <row r="458">
      <c r="A458" s="48"/>
      <c r="B458" s="64"/>
      <c r="C458" s="64"/>
      <c r="D458" s="64"/>
      <c r="E458" s="64"/>
      <c r="F458" s="64"/>
      <c r="G458" s="64"/>
      <c r="H458" s="48"/>
      <c r="I458" s="48"/>
      <c r="J458" s="48"/>
    </row>
    <row r="459">
      <c r="A459" s="48"/>
      <c r="B459" s="64"/>
      <c r="C459" s="64"/>
      <c r="D459" s="64"/>
      <c r="E459" s="64"/>
      <c r="F459" s="64"/>
      <c r="G459" s="64"/>
      <c r="H459" s="48"/>
      <c r="I459" s="48"/>
      <c r="J459" s="48"/>
    </row>
    <row r="460">
      <c r="A460" s="48"/>
      <c r="B460" s="64"/>
      <c r="C460" s="64"/>
      <c r="D460" s="64"/>
      <c r="E460" s="64"/>
      <c r="F460" s="64"/>
      <c r="G460" s="64"/>
      <c r="H460" s="48"/>
      <c r="I460" s="48"/>
      <c r="J460" s="48"/>
    </row>
    <row r="461">
      <c r="A461" s="48"/>
      <c r="B461" s="64"/>
      <c r="C461" s="64"/>
      <c r="D461" s="64"/>
      <c r="E461" s="64"/>
      <c r="F461" s="64"/>
      <c r="G461" s="64"/>
      <c r="H461" s="48"/>
      <c r="I461" s="48"/>
      <c r="J461" s="48"/>
    </row>
    <row r="462">
      <c r="A462" s="48"/>
      <c r="B462" s="64"/>
      <c r="C462" s="64"/>
      <c r="D462" s="64"/>
      <c r="E462" s="64"/>
      <c r="F462" s="64"/>
      <c r="G462" s="64"/>
      <c r="H462" s="48"/>
      <c r="I462" s="48"/>
      <c r="J462" s="48"/>
    </row>
    <row r="463">
      <c r="A463" s="48"/>
      <c r="B463" s="64"/>
      <c r="C463" s="64"/>
      <c r="D463" s="64"/>
      <c r="E463" s="64"/>
      <c r="F463" s="64"/>
      <c r="G463" s="64"/>
      <c r="H463" s="48"/>
      <c r="I463" s="48"/>
      <c r="J463" s="48"/>
    </row>
    <row r="464">
      <c r="A464" s="48"/>
      <c r="B464" s="64"/>
      <c r="C464" s="64"/>
      <c r="D464" s="64"/>
      <c r="E464" s="64"/>
      <c r="F464" s="64"/>
      <c r="G464" s="64"/>
      <c r="H464" s="48"/>
      <c r="I464" s="48"/>
      <c r="J464" s="48"/>
    </row>
    <row r="465">
      <c r="A465" s="48"/>
      <c r="B465" s="64"/>
      <c r="C465" s="64"/>
      <c r="D465" s="64"/>
      <c r="E465" s="64"/>
      <c r="F465" s="64"/>
      <c r="G465" s="64"/>
      <c r="H465" s="48"/>
      <c r="I465" s="48"/>
      <c r="J465" s="48"/>
    </row>
    <row r="466">
      <c r="A466" s="48"/>
      <c r="B466" s="64"/>
      <c r="C466" s="64"/>
      <c r="D466" s="64"/>
      <c r="E466" s="64"/>
      <c r="F466" s="64"/>
      <c r="G466" s="64"/>
      <c r="H466" s="48"/>
      <c r="I466" s="48"/>
      <c r="J466" s="48"/>
    </row>
    <row r="467">
      <c r="A467" s="48"/>
      <c r="B467" s="64"/>
      <c r="C467" s="64"/>
      <c r="D467" s="64"/>
      <c r="E467" s="64"/>
      <c r="F467" s="64"/>
      <c r="G467" s="64"/>
      <c r="H467" s="48"/>
      <c r="I467" s="48"/>
      <c r="J467" s="48"/>
    </row>
    <row r="468">
      <c r="A468" s="48"/>
      <c r="B468" s="64"/>
      <c r="C468" s="64"/>
      <c r="D468" s="64"/>
      <c r="E468" s="64"/>
      <c r="F468" s="64"/>
      <c r="G468" s="64"/>
      <c r="H468" s="48"/>
      <c r="I468" s="48"/>
      <c r="J468" s="48"/>
    </row>
    <row r="469">
      <c r="A469" s="48"/>
      <c r="B469" s="64"/>
      <c r="C469" s="64"/>
      <c r="D469" s="64"/>
      <c r="E469" s="64"/>
      <c r="F469" s="64"/>
      <c r="G469" s="64"/>
      <c r="H469" s="48"/>
      <c r="I469" s="48"/>
      <c r="J469" s="48"/>
    </row>
    <row r="470">
      <c r="A470" s="48"/>
      <c r="B470" s="64"/>
      <c r="C470" s="64"/>
      <c r="D470" s="64"/>
      <c r="E470" s="64"/>
      <c r="F470" s="64"/>
      <c r="G470" s="64"/>
      <c r="H470" s="48"/>
      <c r="I470" s="48"/>
      <c r="J470" s="48"/>
    </row>
    <row r="471">
      <c r="A471" s="48"/>
      <c r="B471" s="64"/>
      <c r="C471" s="64"/>
      <c r="D471" s="64"/>
      <c r="E471" s="64"/>
      <c r="F471" s="64"/>
      <c r="G471" s="64"/>
      <c r="H471" s="48"/>
      <c r="I471" s="48"/>
      <c r="J471" s="48"/>
    </row>
    <row r="472">
      <c r="A472" s="48"/>
      <c r="B472" s="64"/>
      <c r="C472" s="64"/>
      <c r="D472" s="64"/>
      <c r="E472" s="64"/>
      <c r="F472" s="64"/>
      <c r="G472" s="64"/>
      <c r="H472" s="48"/>
      <c r="I472" s="48"/>
      <c r="J472" s="48"/>
    </row>
    <row r="473">
      <c r="A473" s="48"/>
      <c r="B473" s="64"/>
      <c r="C473" s="64"/>
      <c r="D473" s="64"/>
      <c r="E473" s="64"/>
      <c r="F473" s="64"/>
      <c r="G473" s="64"/>
      <c r="H473" s="48"/>
      <c r="I473" s="48"/>
      <c r="J473" s="48"/>
    </row>
    <row r="474">
      <c r="A474" s="48"/>
      <c r="B474" s="64"/>
      <c r="C474" s="64"/>
      <c r="D474" s="64"/>
      <c r="E474" s="64"/>
      <c r="F474" s="64"/>
      <c r="G474" s="64"/>
      <c r="H474" s="48"/>
      <c r="I474" s="48"/>
      <c r="J474" s="48"/>
    </row>
    <row r="475">
      <c r="A475" s="48"/>
      <c r="B475" s="64"/>
      <c r="C475" s="64"/>
      <c r="D475" s="64"/>
      <c r="E475" s="64"/>
      <c r="F475" s="64"/>
      <c r="G475" s="64"/>
      <c r="H475" s="48"/>
      <c r="I475" s="48"/>
      <c r="J475" s="48"/>
    </row>
    <row r="476">
      <c r="A476" s="48"/>
      <c r="B476" s="64"/>
      <c r="C476" s="64"/>
      <c r="D476" s="64"/>
      <c r="E476" s="64"/>
      <c r="F476" s="64"/>
      <c r="G476" s="64"/>
      <c r="H476" s="48"/>
      <c r="I476" s="48"/>
      <c r="J476" s="48"/>
    </row>
    <row r="477">
      <c r="A477" s="48"/>
      <c r="B477" s="64"/>
      <c r="C477" s="64"/>
      <c r="D477" s="64"/>
      <c r="E477" s="64"/>
      <c r="F477" s="64"/>
      <c r="G477" s="64"/>
      <c r="H477" s="48"/>
      <c r="I477" s="48"/>
      <c r="J477" s="48"/>
    </row>
    <row r="478">
      <c r="A478" s="48"/>
      <c r="B478" s="64"/>
      <c r="C478" s="64"/>
      <c r="D478" s="64"/>
      <c r="E478" s="64"/>
      <c r="F478" s="64"/>
      <c r="G478" s="64"/>
      <c r="H478" s="48"/>
      <c r="I478" s="48"/>
      <c r="J478" s="48"/>
    </row>
    <row r="479">
      <c r="A479" s="48"/>
      <c r="B479" s="64"/>
      <c r="C479" s="64"/>
      <c r="D479" s="64"/>
      <c r="E479" s="64"/>
      <c r="F479" s="64"/>
      <c r="G479" s="64"/>
      <c r="H479" s="48"/>
      <c r="I479" s="48"/>
      <c r="J479" s="48"/>
    </row>
    <row r="480">
      <c r="A480" s="48"/>
      <c r="B480" s="64"/>
      <c r="C480" s="64"/>
      <c r="D480" s="64"/>
      <c r="E480" s="64"/>
      <c r="F480" s="64"/>
      <c r="G480" s="64"/>
      <c r="H480" s="48"/>
      <c r="I480" s="48"/>
      <c r="J480" s="48"/>
    </row>
    <row r="481">
      <c r="A481" s="48"/>
      <c r="B481" s="64"/>
      <c r="C481" s="64"/>
      <c r="D481" s="64"/>
      <c r="E481" s="64"/>
      <c r="F481" s="64"/>
      <c r="G481" s="64"/>
      <c r="H481" s="48"/>
      <c r="I481" s="48"/>
      <c r="J481" s="48"/>
    </row>
    <row r="482">
      <c r="A482" s="48"/>
      <c r="B482" s="64"/>
      <c r="C482" s="64"/>
      <c r="D482" s="64"/>
      <c r="E482" s="64"/>
      <c r="F482" s="64"/>
      <c r="G482" s="64"/>
      <c r="H482" s="48"/>
      <c r="I482" s="48"/>
      <c r="J482" s="48"/>
    </row>
    <row r="483">
      <c r="A483" s="48"/>
      <c r="B483" s="64"/>
      <c r="C483" s="64"/>
      <c r="D483" s="64"/>
      <c r="E483" s="64"/>
      <c r="F483" s="64"/>
      <c r="G483" s="64"/>
      <c r="H483" s="48"/>
      <c r="I483" s="48"/>
      <c r="J483" s="48"/>
    </row>
    <row r="484">
      <c r="A484" s="48"/>
      <c r="B484" s="64"/>
      <c r="C484" s="64"/>
      <c r="D484" s="64"/>
      <c r="E484" s="64"/>
      <c r="F484" s="64"/>
      <c r="G484" s="64"/>
      <c r="H484" s="48"/>
      <c r="I484" s="48"/>
      <c r="J484" s="48"/>
    </row>
    <row r="485">
      <c r="A485" s="48"/>
      <c r="B485" s="64"/>
      <c r="C485" s="64"/>
      <c r="D485" s="64"/>
      <c r="E485" s="64"/>
      <c r="F485" s="64"/>
      <c r="G485" s="64"/>
      <c r="H485" s="48"/>
      <c r="I485" s="48"/>
      <c r="J485" s="48"/>
    </row>
    <row r="486">
      <c r="A486" s="48"/>
      <c r="B486" s="64"/>
      <c r="C486" s="64"/>
      <c r="D486" s="64"/>
      <c r="E486" s="64"/>
      <c r="F486" s="64"/>
      <c r="G486" s="64"/>
      <c r="H486" s="48"/>
      <c r="I486" s="48"/>
      <c r="J486" s="48"/>
    </row>
    <row r="487">
      <c r="A487" s="48"/>
      <c r="B487" s="64"/>
      <c r="C487" s="64"/>
      <c r="D487" s="64"/>
      <c r="E487" s="64"/>
      <c r="F487" s="64"/>
      <c r="G487" s="64"/>
      <c r="H487" s="48"/>
      <c r="I487" s="48"/>
      <c r="J487" s="48"/>
    </row>
    <row r="488">
      <c r="A488" s="48"/>
      <c r="B488" s="64"/>
      <c r="C488" s="64"/>
      <c r="D488" s="64"/>
      <c r="E488" s="64"/>
      <c r="F488" s="64"/>
      <c r="G488" s="64"/>
      <c r="H488" s="48"/>
      <c r="I488" s="48"/>
      <c r="J488" s="48"/>
    </row>
    <row r="489">
      <c r="A489" s="48"/>
      <c r="B489" s="64"/>
      <c r="C489" s="64"/>
      <c r="D489" s="64"/>
      <c r="E489" s="64"/>
      <c r="F489" s="64"/>
      <c r="G489" s="64"/>
      <c r="H489" s="48"/>
      <c r="I489" s="48"/>
      <c r="J489" s="48"/>
    </row>
    <row r="490">
      <c r="A490" s="48"/>
      <c r="B490" s="64"/>
      <c r="C490" s="64"/>
      <c r="D490" s="64"/>
      <c r="E490" s="64"/>
      <c r="F490" s="64"/>
      <c r="G490" s="64"/>
      <c r="H490" s="48"/>
      <c r="I490" s="48"/>
      <c r="J490" s="48"/>
    </row>
    <row r="491">
      <c r="A491" s="48"/>
      <c r="B491" s="64"/>
      <c r="C491" s="64"/>
      <c r="D491" s="64"/>
      <c r="E491" s="64"/>
      <c r="F491" s="64"/>
      <c r="G491" s="64"/>
      <c r="H491" s="48"/>
      <c r="I491" s="48"/>
      <c r="J491" s="48"/>
    </row>
    <row r="492">
      <c r="A492" s="48"/>
      <c r="B492" s="64"/>
      <c r="C492" s="64"/>
      <c r="D492" s="64"/>
      <c r="E492" s="64"/>
      <c r="F492" s="64"/>
      <c r="G492" s="64"/>
      <c r="H492" s="48"/>
      <c r="I492" s="48"/>
      <c r="J492" s="48"/>
    </row>
    <row r="493">
      <c r="A493" s="48"/>
      <c r="B493" s="64"/>
      <c r="C493" s="64"/>
      <c r="D493" s="64"/>
      <c r="E493" s="64"/>
      <c r="F493" s="64"/>
      <c r="G493" s="64"/>
      <c r="H493" s="48"/>
      <c r="I493" s="48"/>
      <c r="J493" s="48"/>
    </row>
    <row r="494">
      <c r="A494" s="48"/>
      <c r="B494" s="64"/>
      <c r="C494" s="64"/>
      <c r="D494" s="64"/>
      <c r="E494" s="64"/>
      <c r="F494" s="64"/>
      <c r="G494" s="64"/>
      <c r="H494" s="48"/>
      <c r="I494" s="48"/>
      <c r="J494" s="48"/>
    </row>
    <row r="495">
      <c r="A495" s="48"/>
      <c r="B495" s="64"/>
      <c r="C495" s="64"/>
      <c r="D495" s="64"/>
      <c r="E495" s="64"/>
      <c r="F495" s="64"/>
      <c r="G495" s="64"/>
      <c r="H495" s="48"/>
      <c r="I495" s="48"/>
      <c r="J495" s="48"/>
    </row>
    <row r="496">
      <c r="A496" s="48"/>
      <c r="B496" s="64"/>
      <c r="C496" s="64"/>
      <c r="D496" s="64"/>
      <c r="E496" s="64"/>
      <c r="F496" s="64"/>
      <c r="G496" s="64"/>
      <c r="H496" s="48"/>
      <c r="I496" s="48"/>
      <c r="J496" s="48"/>
    </row>
    <row r="497">
      <c r="A497" s="48"/>
      <c r="B497" s="64"/>
      <c r="C497" s="64"/>
      <c r="D497" s="64"/>
      <c r="E497" s="64"/>
      <c r="F497" s="64"/>
      <c r="G497" s="64"/>
      <c r="H497" s="48"/>
      <c r="I497" s="48"/>
      <c r="J497" s="48"/>
    </row>
    <row r="498">
      <c r="A498" s="48"/>
      <c r="B498" s="64"/>
      <c r="C498" s="64"/>
      <c r="D498" s="64"/>
      <c r="E498" s="64"/>
      <c r="F498" s="64"/>
      <c r="G498" s="64"/>
      <c r="H498" s="48"/>
      <c r="I498" s="48"/>
      <c r="J498" s="48"/>
    </row>
    <row r="499">
      <c r="A499" s="48"/>
      <c r="B499" s="64"/>
      <c r="C499" s="64"/>
      <c r="D499" s="64"/>
      <c r="E499" s="64"/>
      <c r="F499" s="64"/>
      <c r="G499" s="64"/>
      <c r="H499" s="48"/>
      <c r="I499" s="48"/>
      <c r="J499" s="48"/>
    </row>
    <row r="500">
      <c r="A500" s="48"/>
      <c r="B500" s="64"/>
      <c r="C500" s="64"/>
      <c r="D500" s="64"/>
      <c r="E500" s="64"/>
      <c r="F500" s="64"/>
      <c r="G500" s="64"/>
      <c r="H500" s="48"/>
      <c r="I500" s="48"/>
      <c r="J500" s="48"/>
    </row>
    <row r="501">
      <c r="A501" s="48"/>
      <c r="B501" s="64"/>
      <c r="C501" s="64"/>
      <c r="D501" s="64"/>
      <c r="E501" s="64"/>
      <c r="F501" s="64"/>
      <c r="G501" s="64"/>
      <c r="H501" s="48"/>
      <c r="I501" s="48"/>
      <c r="J501" s="48"/>
    </row>
    <row r="502">
      <c r="A502" s="48"/>
      <c r="B502" s="64"/>
      <c r="C502" s="64"/>
      <c r="D502" s="64"/>
      <c r="E502" s="64"/>
      <c r="F502" s="64"/>
      <c r="G502" s="64"/>
      <c r="H502" s="48"/>
      <c r="I502" s="48"/>
      <c r="J502" s="48"/>
    </row>
    <row r="503">
      <c r="A503" s="48"/>
      <c r="B503" s="64"/>
      <c r="C503" s="64"/>
      <c r="D503" s="64"/>
      <c r="E503" s="64"/>
      <c r="F503" s="64"/>
      <c r="G503" s="64"/>
      <c r="H503" s="48"/>
      <c r="I503" s="48"/>
      <c r="J503" s="48"/>
    </row>
    <row r="504">
      <c r="A504" s="48"/>
      <c r="B504" s="64"/>
      <c r="C504" s="64"/>
      <c r="D504" s="64"/>
      <c r="E504" s="64"/>
      <c r="F504" s="64"/>
      <c r="G504" s="64"/>
      <c r="H504" s="48"/>
      <c r="I504" s="48"/>
      <c r="J504" s="48"/>
    </row>
    <row r="505">
      <c r="A505" s="48"/>
      <c r="B505" s="64"/>
      <c r="C505" s="64"/>
      <c r="D505" s="64"/>
      <c r="E505" s="64"/>
      <c r="F505" s="64"/>
      <c r="G505" s="64"/>
      <c r="H505" s="48"/>
      <c r="I505" s="48"/>
      <c r="J505" s="48"/>
    </row>
    <row r="506">
      <c r="A506" s="48"/>
      <c r="B506" s="64"/>
      <c r="C506" s="64"/>
      <c r="D506" s="64"/>
      <c r="E506" s="64"/>
      <c r="F506" s="64"/>
      <c r="G506" s="64"/>
      <c r="H506" s="48"/>
      <c r="I506" s="48"/>
      <c r="J506" s="48"/>
    </row>
    <row r="507">
      <c r="A507" s="48"/>
      <c r="B507" s="64"/>
      <c r="C507" s="64"/>
      <c r="D507" s="64"/>
      <c r="E507" s="64"/>
      <c r="F507" s="64"/>
      <c r="G507" s="64"/>
      <c r="H507" s="48"/>
      <c r="I507" s="48"/>
      <c r="J507" s="48"/>
    </row>
    <row r="508">
      <c r="A508" s="48"/>
      <c r="B508" s="64"/>
      <c r="C508" s="64"/>
      <c r="D508" s="64"/>
      <c r="E508" s="64"/>
      <c r="F508" s="64"/>
      <c r="G508" s="64"/>
      <c r="H508" s="48"/>
      <c r="I508" s="48"/>
      <c r="J508" s="48"/>
    </row>
    <row r="509">
      <c r="A509" s="48"/>
      <c r="B509" s="64"/>
      <c r="C509" s="64"/>
      <c r="D509" s="64"/>
      <c r="E509" s="64"/>
      <c r="F509" s="64"/>
      <c r="G509" s="64"/>
      <c r="H509" s="48"/>
      <c r="I509" s="48"/>
      <c r="J509" s="48"/>
    </row>
    <row r="510">
      <c r="A510" s="48"/>
      <c r="B510" s="64"/>
      <c r="C510" s="64"/>
      <c r="D510" s="64"/>
      <c r="E510" s="64"/>
      <c r="F510" s="64"/>
      <c r="G510" s="64"/>
      <c r="H510" s="48"/>
      <c r="I510" s="48"/>
      <c r="J510" s="48"/>
    </row>
    <row r="511">
      <c r="A511" s="48"/>
      <c r="B511" s="64"/>
      <c r="C511" s="64"/>
      <c r="D511" s="64"/>
      <c r="E511" s="64"/>
      <c r="F511" s="64"/>
      <c r="G511" s="64"/>
      <c r="H511" s="48"/>
      <c r="I511" s="48"/>
      <c r="J511" s="48"/>
    </row>
    <row r="512">
      <c r="A512" s="48"/>
      <c r="B512" s="64"/>
      <c r="C512" s="64"/>
      <c r="D512" s="64"/>
      <c r="E512" s="64"/>
      <c r="F512" s="64"/>
      <c r="G512" s="64"/>
      <c r="H512" s="48"/>
      <c r="I512" s="48"/>
      <c r="J512" s="48"/>
    </row>
    <row r="513">
      <c r="A513" s="48"/>
      <c r="B513" s="64"/>
      <c r="C513" s="64"/>
      <c r="D513" s="64"/>
      <c r="E513" s="64"/>
      <c r="F513" s="64"/>
      <c r="G513" s="64"/>
      <c r="H513" s="48"/>
      <c r="I513" s="48"/>
      <c r="J513" s="48"/>
    </row>
    <row r="514">
      <c r="A514" s="48"/>
      <c r="B514" s="64"/>
      <c r="C514" s="64"/>
      <c r="D514" s="64"/>
      <c r="E514" s="64"/>
      <c r="F514" s="64"/>
      <c r="G514" s="64"/>
      <c r="H514" s="48"/>
      <c r="I514" s="48"/>
      <c r="J514" s="48"/>
    </row>
    <row r="515">
      <c r="A515" s="48"/>
      <c r="B515" s="64"/>
      <c r="C515" s="64"/>
      <c r="D515" s="64"/>
      <c r="E515" s="64"/>
      <c r="F515" s="64"/>
      <c r="G515" s="64"/>
      <c r="H515" s="48"/>
      <c r="I515" s="48"/>
      <c r="J515" s="48"/>
    </row>
    <row r="516">
      <c r="A516" s="48"/>
      <c r="B516" s="64"/>
      <c r="C516" s="64"/>
      <c r="D516" s="64"/>
      <c r="E516" s="64"/>
      <c r="F516" s="64"/>
      <c r="G516" s="64"/>
      <c r="H516" s="48"/>
      <c r="I516" s="48"/>
      <c r="J516" s="48"/>
    </row>
    <row r="517">
      <c r="A517" s="48"/>
      <c r="B517" s="64"/>
      <c r="C517" s="64"/>
      <c r="D517" s="64"/>
      <c r="E517" s="64"/>
      <c r="F517" s="64"/>
      <c r="G517" s="64"/>
      <c r="H517" s="48"/>
      <c r="I517" s="48"/>
      <c r="J517" s="48"/>
    </row>
    <row r="518">
      <c r="A518" s="48"/>
      <c r="B518" s="64"/>
      <c r="C518" s="64"/>
      <c r="D518" s="64"/>
      <c r="E518" s="64"/>
      <c r="F518" s="64"/>
      <c r="G518" s="64"/>
      <c r="H518" s="48"/>
      <c r="I518" s="48"/>
      <c r="J518" s="48"/>
    </row>
    <row r="519">
      <c r="A519" s="48"/>
      <c r="B519" s="64"/>
      <c r="C519" s="64"/>
      <c r="D519" s="64"/>
      <c r="E519" s="64"/>
      <c r="F519" s="64"/>
      <c r="G519" s="64"/>
      <c r="H519" s="48"/>
      <c r="I519" s="48"/>
      <c r="J519" s="48"/>
    </row>
    <row r="520">
      <c r="A520" s="48"/>
      <c r="B520" s="64"/>
      <c r="C520" s="64"/>
      <c r="D520" s="64"/>
      <c r="E520" s="64"/>
      <c r="F520" s="64"/>
      <c r="G520" s="64"/>
      <c r="H520" s="48"/>
      <c r="I520" s="48"/>
      <c r="J520" s="48"/>
    </row>
    <row r="521">
      <c r="A521" s="48"/>
      <c r="B521" s="64"/>
      <c r="C521" s="64"/>
      <c r="D521" s="64"/>
      <c r="E521" s="64"/>
      <c r="F521" s="64"/>
      <c r="G521" s="64"/>
      <c r="H521" s="48"/>
      <c r="I521" s="48"/>
      <c r="J521" s="48"/>
    </row>
    <row r="522">
      <c r="A522" s="48"/>
      <c r="B522" s="64"/>
      <c r="C522" s="64"/>
      <c r="D522" s="64"/>
      <c r="E522" s="64"/>
      <c r="F522" s="64"/>
      <c r="G522" s="64"/>
      <c r="H522" s="48"/>
      <c r="I522" s="48"/>
      <c r="J522" s="48"/>
    </row>
    <row r="523">
      <c r="A523" s="48"/>
      <c r="B523" s="64"/>
      <c r="C523" s="64"/>
      <c r="D523" s="64"/>
      <c r="E523" s="64"/>
      <c r="F523" s="64"/>
      <c r="G523" s="64"/>
      <c r="H523" s="48"/>
      <c r="I523" s="48"/>
      <c r="J523" s="48"/>
    </row>
    <row r="524">
      <c r="A524" s="48"/>
      <c r="B524" s="64"/>
      <c r="C524" s="64"/>
      <c r="D524" s="64"/>
      <c r="E524" s="64"/>
      <c r="F524" s="64"/>
      <c r="G524" s="64"/>
      <c r="H524" s="48"/>
      <c r="I524" s="48"/>
      <c r="J524" s="48"/>
    </row>
    <row r="525">
      <c r="A525" s="48"/>
      <c r="B525" s="64"/>
      <c r="C525" s="64"/>
      <c r="D525" s="64"/>
      <c r="E525" s="64"/>
      <c r="F525" s="64"/>
      <c r="G525" s="64"/>
      <c r="H525" s="48"/>
      <c r="I525" s="48"/>
      <c r="J525" s="48"/>
    </row>
    <row r="526">
      <c r="A526" s="48"/>
      <c r="B526" s="64"/>
      <c r="C526" s="64"/>
      <c r="D526" s="64"/>
      <c r="E526" s="64"/>
      <c r="F526" s="64"/>
      <c r="G526" s="64"/>
      <c r="H526" s="48"/>
      <c r="I526" s="48"/>
      <c r="J526" s="48"/>
    </row>
    <row r="527">
      <c r="A527" s="48"/>
      <c r="B527" s="64"/>
      <c r="C527" s="64"/>
      <c r="D527" s="64"/>
      <c r="E527" s="64"/>
      <c r="F527" s="64"/>
      <c r="G527" s="64"/>
      <c r="H527" s="48"/>
      <c r="I527" s="48"/>
      <c r="J527" s="48"/>
    </row>
    <row r="528">
      <c r="A528" s="48"/>
      <c r="B528" s="64"/>
      <c r="C528" s="64"/>
      <c r="D528" s="64"/>
      <c r="E528" s="64"/>
      <c r="F528" s="64"/>
      <c r="G528" s="64"/>
      <c r="H528" s="48"/>
      <c r="I528" s="48"/>
      <c r="J528" s="48"/>
    </row>
    <row r="529">
      <c r="A529" s="48"/>
      <c r="B529" s="64"/>
      <c r="C529" s="64"/>
      <c r="D529" s="64"/>
      <c r="E529" s="64"/>
      <c r="F529" s="64"/>
      <c r="G529" s="64"/>
      <c r="H529" s="48"/>
      <c r="I529" s="48"/>
      <c r="J529" s="48"/>
    </row>
    <row r="530">
      <c r="A530" s="48"/>
      <c r="B530" s="64"/>
      <c r="C530" s="64"/>
      <c r="D530" s="64"/>
      <c r="E530" s="64"/>
      <c r="F530" s="64"/>
      <c r="G530" s="64"/>
      <c r="H530" s="48"/>
      <c r="I530" s="48"/>
      <c r="J530" s="48"/>
    </row>
    <row r="531">
      <c r="A531" s="48"/>
      <c r="B531" s="64"/>
      <c r="C531" s="64"/>
      <c r="D531" s="64"/>
      <c r="E531" s="64"/>
      <c r="F531" s="64"/>
      <c r="G531" s="64"/>
      <c r="H531" s="48"/>
      <c r="I531" s="48"/>
      <c r="J531" s="48"/>
    </row>
    <row r="532">
      <c r="A532" s="48"/>
      <c r="B532" s="64"/>
      <c r="C532" s="64"/>
      <c r="D532" s="64"/>
      <c r="E532" s="64"/>
      <c r="F532" s="64"/>
      <c r="G532" s="64"/>
      <c r="H532" s="48"/>
      <c r="I532" s="48"/>
      <c r="J532" s="48"/>
    </row>
    <row r="533">
      <c r="A533" s="48"/>
      <c r="B533" s="64"/>
      <c r="C533" s="64"/>
      <c r="D533" s="64"/>
      <c r="E533" s="64"/>
      <c r="F533" s="64"/>
      <c r="G533" s="64"/>
      <c r="H533" s="48"/>
      <c r="I533" s="48"/>
      <c r="J533" s="48"/>
    </row>
    <row r="534">
      <c r="A534" s="48"/>
      <c r="B534" s="64"/>
      <c r="C534" s="64"/>
      <c r="D534" s="64"/>
      <c r="E534" s="64"/>
      <c r="F534" s="64"/>
      <c r="G534" s="64"/>
      <c r="H534" s="48"/>
      <c r="I534" s="48"/>
      <c r="J534" s="48"/>
    </row>
    <row r="535">
      <c r="A535" s="48"/>
      <c r="B535" s="64"/>
      <c r="C535" s="64"/>
      <c r="D535" s="64"/>
      <c r="E535" s="64"/>
      <c r="F535" s="64"/>
      <c r="G535" s="64"/>
      <c r="H535" s="48"/>
      <c r="I535" s="48"/>
      <c r="J535" s="48"/>
    </row>
    <row r="536">
      <c r="A536" s="48"/>
      <c r="B536" s="64"/>
      <c r="C536" s="64"/>
      <c r="D536" s="64"/>
      <c r="E536" s="64"/>
      <c r="F536" s="64"/>
      <c r="G536" s="64"/>
      <c r="H536" s="48"/>
      <c r="I536" s="48"/>
      <c r="J536" s="48"/>
    </row>
    <row r="537">
      <c r="A537" s="48"/>
      <c r="B537" s="64"/>
      <c r="C537" s="64"/>
      <c r="D537" s="64"/>
      <c r="E537" s="64"/>
      <c r="F537" s="64"/>
      <c r="G537" s="64"/>
      <c r="H537" s="48"/>
      <c r="I537" s="48"/>
      <c r="J537" s="48"/>
    </row>
    <row r="538">
      <c r="A538" s="48"/>
      <c r="B538" s="64"/>
      <c r="C538" s="64"/>
      <c r="D538" s="64"/>
      <c r="E538" s="64"/>
      <c r="F538" s="64"/>
      <c r="G538" s="64"/>
      <c r="H538" s="48"/>
      <c r="I538" s="48"/>
      <c r="J538" s="48"/>
    </row>
    <row r="539">
      <c r="A539" s="48"/>
      <c r="B539" s="64"/>
      <c r="C539" s="64"/>
      <c r="D539" s="64"/>
      <c r="E539" s="64"/>
      <c r="F539" s="64"/>
      <c r="G539" s="64"/>
      <c r="H539" s="48"/>
      <c r="I539" s="48"/>
      <c r="J539" s="48"/>
    </row>
    <row r="540">
      <c r="A540" s="48"/>
      <c r="B540" s="64"/>
      <c r="C540" s="64"/>
      <c r="D540" s="64"/>
      <c r="E540" s="64"/>
      <c r="F540" s="64"/>
      <c r="G540" s="64"/>
      <c r="H540" s="48"/>
      <c r="I540" s="48"/>
      <c r="J540" s="48"/>
    </row>
    <row r="541">
      <c r="A541" s="48"/>
      <c r="B541" s="64"/>
      <c r="C541" s="64"/>
      <c r="D541" s="64"/>
      <c r="E541" s="64"/>
      <c r="F541" s="64"/>
      <c r="G541" s="64"/>
      <c r="H541" s="48"/>
      <c r="I541" s="48"/>
      <c r="J541" s="48"/>
    </row>
    <row r="542">
      <c r="A542" s="48"/>
      <c r="B542" s="64"/>
      <c r="C542" s="64"/>
      <c r="D542" s="64"/>
      <c r="E542" s="64"/>
      <c r="F542" s="64"/>
      <c r="G542" s="64"/>
      <c r="H542" s="48"/>
      <c r="I542" s="48"/>
      <c r="J542" s="48"/>
    </row>
    <row r="543">
      <c r="A543" s="48"/>
      <c r="B543" s="64"/>
      <c r="C543" s="64"/>
      <c r="D543" s="64"/>
      <c r="E543" s="64"/>
      <c r="F543" s="64"/>
      <c r="G543" s="64"/>
      <c r="H543" s="48"/>
      <c r="I543" s="48"/>
      <c r="J543" s="48"/>
    </row>
    <row r="544">
      <c r="A544" s="48"/>
      <c r="B544" s="64"/>
      <c r="C544" s="64"/>
      <c r="D544" s="64"/>
      <c r="E544" s="64"/>
      <c r="F544" s="64"/>
      <c r="G544" s="64"/>
      <c r="H544" s="48"/>
      <c r="I544" s="48"/>
      <c r="J544" s="48"/>
    </row>
    <row r="545">
      <c r="A545" s="48"/>
      <c r="B545" s="64"/>
      <c r="C545" s="64"/>
      <c r="D545" s="64"/>
      <c r="E545" s="64"/>
      <c r="F545" s="64"/>
      <c r="G545" s="64"/>
      <c r="H545" s="48"/>
      <c r="I545" s="48"/>
      <c r="J545" s="48"/>
    </row>
    <row r="546">
      <c r="A546" s="48"/>
      <c r="B546" s="64"/>
      <c r="C546" s="64"/>
      <c r="D546" s="64"/>
      <c r="E546" s="64"/>
      <c r="F546" s="64"/>
      <c r="G546" s="64"/>
      <c r="H546" s="48"/>
      <c r="I546" s="48"/>
      <c r="J546" s="48"/>
    </row>
    <row r="547">
      <c r="A547" s="48"/>
      <c r="B547" s="64"/>
      <c r="C547" s="64"/>
      <c r="D547" s="64"/>
      <c r="E547" s="64"/>
      <c r="F547" s="64"/>
      <c r="G547" s="64"/>
      <c r="H547" s="48"/>
      <c r="I547" s="48"/>
      <c r="J547" s="48"/>
    </row>
    <row r="548">
      <c r="A548" s="48"/>
      <c r="B548" s="64"/>
      <c r="C548" s="64"/>
      <c r="D548" s="64"/>
      <c r="E548" s="64"/>
      <c r="F548" s="64"/>
      <c r="G548" s="64"/>
      <c r="H548" s="48"/>
      <c r="I548" s="48"/>
      <c r="J548" s="48"/>
    </row>
    <row r="549">
      <c r="A549" s="48"/>
      <c r="B549" s="64"/>
      <c r="C549" s="64"/>
      <c r="D549" s="64"/>
      <c r="E549" s="64"/>
      <c r="F549" s="64"/>
      <c r="G549" s="64"/>
      <c r="H549" s="48"/>
      <c r="I549" s="48"/>
      <c r="J549" s="48"/>
    </row>
    <row r="550">
      <c r="A550" s="48"/>
      <c r="B550" s="64"/>
      <c r="C550" s="64"/>
      <c r="D550" s="64"/>
      <c r="E550" s="64"/>
      <c r="F550" s="64"/>
      <c r="G550" s="64"/>
      <c r="H550" s="48"/>
      <c r="I550" s="48"/>
      <c r="J550" s="48"/>
    </row>
    <row r="551">
      <c r="A551" s="48"/>
      <c r="B551" s="64"/>
      <c r="C551" s="64"/>
      <c r="D551" s="64"/>
      <c r="E551" s="64"/>
      <c r="F551" s="64"/>
      <c r="G551" s="64"/>
      <c r="H551" s="48"/>
      <c r="I551" s="48"/>
      <c r="J551" s="48"/>
    </row>
    <row r="552">
      <c r="A552" s="48"/>
      <c r="B552" s="64"/>
      <c r="C552" s="64"/>
      <c r="D552" s="64"/>
      <c r="E552" s="64"/>
      <c r="F552" s="64"/>
      <c r="G552" s="64"/>
      <c r="H552" s="48"/>
      <c r="I552" s="48"/>
      <c r="J552" s="48"/>
    </row>
    <row r="553">
      <c r="A553" s="48"/>
      <c r="B553" s="64"/>
      <c r="C553" s="64"/>
      <c r="D553" s="64"/>
      <c r="E553" s="64"/>
      <c r="F553" s="64"/>
      <c r="G553" s="64"/>
      <c r="H553" s="48"/>
      <c r="I553" s="48"/>
      <c r="J553" s="48"/>
    </row>
    <row r="554">
      <c r="A554" s="48"/>
      <c r="B554" s="64"/>
      <c r="C554" s="64"/>
      <c r="D554" s="64"/>
      <c r="E554" s="64"/>
      <c r="F554" s="64"/>
      <c r="G554" s="64"/>
      <c r="H554" s="48"/>
      <c r="I554" s="48"/>
      <c r="J554" s="48"/>
    </row>
    <row r="555">
      <c r="A555" s="48"/>
      <c r="B555" s="64"/>
      <c r="C555" s="64"/>
      <c r="D555" s="64"/>
      <c r="E555" s="64"/>
      <c r="F555" s="64"/>
      <c r="G555" s="64"/>
      <c r="H555" s="48"/>
      <c r="I555" s="48"/>
      <c r="J555" s="48"/>
    </row>
    <row r="556">
      <c r="A556" s="48"/>
      <c r="B556" s="64"/>
      <c r="C556" s="64"/>
      <c r="D556" s="64"/>
      <c r="E556" s="64"/>
      <c r="F556" s="64"/>
      <c r="G556" s="64"/>
      <c r="H556" s="48"/>
      <c r="I556" s="48"/>
      <c r="J556" s="48"/>
    </row>
    <row r="557">
      <c r="A557" s="48"/>
      <c r="B557" s="64"/>
      <c r="C557" s="64"/>
      <c r="D557" s="64"/>
      <c r="E557" s="64"/>
      <c r="F557" s="64"/>
      <c r="G557" s="64"/>
      <c r="H557" s="48"/>
      <c r="I557" s="48"/>
      <c r="J557" s="48"/>
    </row>
    <row r="558">
      <c r="A558" s="48"/>
      <c r="B558" s="64"/>
      <c r="C558" s="64"/>
      <c r="D558" s="64"/>
      <c r="E558" s="64"/>
      <c r="F558" s="64"/>
      <c r="G558" s="64"/>
      <c r="H558" s="48"/>
      <c r="I558" s="48"/>
      <c r="J558" s="48"/>
    </row>
    <row r="559">
      <c r="A559" s="48"/>
      <c r="B559" s="64"/>
      <c r="C559" s="64"/>
      <c r="D559" s="64"/>
      <c r="E559" s="64"/>
      <c r="F559" s="64"/>
      <c r="G559" s="64"/>
      <c r="H559" s="48"/>
      <c r="I559" s="48"/>
      <c r="J559" s="48"/>
    </row>
    <row r="560">
      <c r="A560" s="48"/>
      <c r="B560" s="64"/>
      <c r="C560" s="64"/>
      <c r="D560" s="64"/>
      <c r="E560" s="64"/>
      <c r="F560" s="64"/>
      <c r="G560" s="64"/>
      <c r="H560" s="48"/>
      <c r="I560" s="48"/>
      <c r="J560" s="48"/>
    </row>
    <row r="561">
      <c r="A561" s="48"/>
      <c r="B561" s="64"/>
      <c r="C561" s="64"/>
      <c r="D561" s="64"/>
      <c r="E561" s="64"/>
      <c r="F561" s="64"/>
      <c r="G561" s="64"/>
      <c r="H561" s="48"/>
      <c r="I561" s="48"/>
      <c r="J561" s="48"/>
    </row>
    <row r="562">
      <c r="A562" s="48"/>
      <c r="B562" s="64"/>
      <c r="C562" s="64"/>
      <c r="D562" s="64"/>
      <c r="E562" s="64"/>
      <c r="F562" s="64"/>
      <c r="G562" s="64"/>
      <c r="H562" s="48"/>
      <c r="I562" s="48"/>
      <c r="J562" s="48"/>
    </row>
    <row r="563">
      <c r="A563" s="48"/>
      <c r="B563" s="64"/>
      <c r="C563" s="64"/>
      <c r="D563" s="64"/>
      <c r="E563" s="64"/>
      <c r="F563" s="64"/>
      <c r="G563" s="64"/>
      <c r="H563" s="48"/>
      <c r="I563" s="48"/>
      <c r="J563" s="48"/>
    </row>
    <row r="564">
      <c r="A564" s="48"/>
      <c r="B564" s="64"/>
      <c r="C564" s="64"/>
      <c r="D564" s="64"/>
      <c r="E564" s="64"/>
      <c r="F564" s="64"/>
      <c r="G564" s="64"/>
      <c r="H564" s="48"/>
      <c r="I564" s="48"/>
      <c r="J564" s="48"/>
    </row>
    <row r="565">
      <c r="A565" s="48"/>
      <c r="B565" s="64"/>
      <c r="C565" s="64"/>
      <c r="D565" s="64"/>
      <c r="E565" s="64"/>
      <c r="F565" s="64"/>
      <c r="G565" s="64"/>
      <c r="H565" s="48"/>
      <c r="I565" s="48"/>
      <c r="J565" s="48"/>
    </row>
    <row r="566">
      <c r="A566" s="48"/>
      <c r="B566" s="64"/>
      <c r="C566" s="64"/>
      <c r="D566" s="64"/>
      <c r="E566" s="64"/>
      <c r="F566" s="64"/>
      <c r="G566" s="64"/>
      <c r="H566" s="48"/>
      <c r="I566" s="48"/>
      <c r="J566" s="48"/>
    </row>
    <row r="567">
      <c r="A567" s="48"/>
      <c r="B567" s="64"/>
      <c r="C567" s="64"/>
      <c r="D567" s="64"/>
      <c r="E567" s="64"/>
      <c r="F567" s="64"/>
      <c r="G567" s="64"/>
      <c r="H567" s="48"/>
      <c r="I567" s="48"/>
      <c r="J567" s="48"/>
    </row>
    <row r="568">
      <c r="A568" s="48"/>
      <c r="B568" s="64"/>
      <c r="C568" s="64"/>
      <c r="D568" s="64"/>
      <c r="E568" s="64"/>
      <c r="F568" s="64"/>
      <c r="G568" s="64"/>
      <c r="H568" s="48"/>
      <c r="I568" s="48"/>
      <c r="J568" s="48"/>
    </row>
    <row r="569">
      <c r="A569" s="48"/>
      <c r="B569" s="64"/>
      <c r="C569" s="64"/>
      <c r="D569" s="64"/>
      <c r="E569" s="64"/>
      <c r="F569" s="64"/>
      <c r="G569" s="64"/>
      <c r="H569" s="48"/>
      <c r="I569" s="48"/>
      <c r="J569" s="48"/>
    </row>
    <row r="570">
      <c r="A570" s="48"/>
      <c r="B570" s="64"/>
      <c r="C570" s="64"/>
      <c r="D570" s="64"/>
      <c r="E570" s="64"/>
      <c r="F570" s="64"/>
      <c r="G570" s="64"/>
      <c r="H570" s="48"/>
      <c r="I570" s="48"/>
      <c r="J570" s="48"/>
    </row>
    <row r="571">
      <c r="A571" s="48"/>
      <c r="B571" s="64"/>
      <c r="C571" s="64"/>
      <c r="D571" s="64"/>
      <c r="E571" s="64"/>
      <c r="F571" s="64"/>
      <c r="G571" s="64"/>
      <c r="H571" s="48"/>
      <c r="I571" s="48"/>
      <c r="J571" s="48"/>
    </row>
    <row r="572">
      <c r="A572" s="48"/>
      <c r="B572" s="64"/>
      <c r="C572" s="64"/>
      <c r="D572" s="64"/>
      <c r="E572" s="64"/>
      <c r="F572" s="64"/>
      <c r="G572" s="64"/>
      <c r="H572" s="48"/>
      <c r="I572" s="48"/>
      <c r="J572" s="48"/>
    </row>
    <row r="573">
      <c r="A573" s="48"/>
      <c r="B573" s="64"/>
      <c r="C573" s="64"/>
      <c r="D573" s="64"/>
      <c r="E573" s="64"/>
      <c r="F573" s="64"/>
      <c r="G573" s="64"/>
      <c r="H573" s="48"/>
      <c r="I573" s="48"/>
      <c r="J573" s="48"/>
    </row>
    <row r="574">
      <c r="A574" s="48"/>
      <c r="B574" s="64"/>
      <c r="C574" s="64"/>
      <c r="D574" s="64"/>
      <c r="E574" s="64"/>
      <c r="F574" s="64"/>
      <c r="G574" s="64"/>
      <c r="H574" s="48"/>
      <c r="I574" s="48"/>
      <c r="J574" s="48"/>
    </row>
    <row r="575">
      <c r="A575" s="48"/>
      <c r="B575" s="64"/>
      <c r="C575" s="64"/>
      <c r="D575" s="64"/>
      <c r="E575" s="64"/>
      <c r="F575" s="64"/>
      <c r="G575" s="64"/>
      <c r="H575" s="48"/>
      <c r="I575" s="48"/>
      <c r="J575" s="48"/>
    </row>
    <row r="576">
      <c r="A576" s="48"/>
      <c r="B576" s="64"/>
      <c r="C576" s="64"/>
      <c r="D576" s="64"/>
      <c r="E576" s="64"/>
      <c r="F576" s="64"/>
      <c r="G576" s="64"/>
      <c r="H576" s="48"/>
      <c r="I576" s="48"/>
      <c r="J576" s="48"/>
    </row>
    <row r="577">
      <c r="A577" s="48"/>
      <c r="B577" s="64"/>
      <c r="C577" s="64"/>
      <c r="D577" s="64"/>
      <c r="E577" s="64"/>
      <c r="F577" s="64"/>
      <c r="G577" s="64"/>
      <c r="H577" s="48"/>
      <c r="I577" s="48"/>
      <c r="J577" s="48"/>
    </row>
    <row r="578">
      <c r="A578" s="48"/>
      <c r="B578" s="64"/>
      <c r="C578" s="64"/>
      <c r="D578" s="64"/>
      <c r="E578" s="64"/>
      <c r="F578" s="64"/>
      <c r="G578" s="64"/>
      <c r="H578" s="48"/>
      <c r="I578" s="48"/>
      <c r="J578" s="48"/>
    </row>
    <row r="579">
      <c r="A579" s="48"/>
      <c r="B579" s="64"/>
      <c r="C579" s="64"/>
      <c r="D579" s="64"/>
      <c r="E579" s="64"/>
      <c r="F579" s="64"/>
      <c r="G579" s="64"/>
      <c r="H579" s="48"/>
      <c r="I579" s="48"/>
      <c r="J579" s="48"/>
    </row>
    <row r="580">
      <c r="A580" s="48"/>
      <c r="B580" s="64"/>
      <c r="C580" s="64"/>
      <c r="D580" s="64"/>
      <c r="E580" s="64"/>
      <c r="F580" s="64"/>
      <c r="G580" s="64"/>
      <c r="H580" s="48"/>
      <c r="I580" s="48"/>
      <c r="J580" s="48"/>
    </row>
    <row r="581">
      <c r="A581" s="48"/>
      <c r="B581" s="64"/>
      <c r="C581" s="64"/>
      <c r="D581" s="64"/>
      <c r="E581" s="64"/>
      <c r="F581" s="64"/>
      <c r="G581" s="64"/>
      <c r="H581" s="48"/>
      <c r="I581" s="48"/>
      <c r="J581" s="48"/>
    </row>
    <row r="582">
      <c r="A582" s="48"/>
      <c r="B582" s="64"/>
      <c r="C582" s="64"/>
      <c r="D582" s="64"/>
      <c r="E582" s="64"/>
      <c r="F582" s="64"/>
      <c r="G582" s="64"/>
      <c r="H582" s="48"/>
      <c r="I582" s="48"/>
      <c r="J582" s="48"/>
    </row>
    <row r="583">
      <c r="A583" s="48"/>
      <c r="B583" s="64"/>
      <c r="C583" s="64"/>
      <c r="D583" s="64"/>
      <c r="E583" s="64"/>
      <c r="F583" s="64"/>
      <c r="G583" s="64"/>
      <c r="H583" s="48"/>
      <c r="I583" s="48"/>
      <c r="J583" s="48"/>
    </row>
    <row r="584">
      <c r="A584" s="48"/>
      <c r="B584" s="64"/>
      <c r="C584" s="64"/>
      <c r="D584" s="64"/>
      <c r="E584" s="64"/>
      <c r="F584" s="64"/>
      <c r="G584" s="64"/>
      <c r="H584" s="48"/>
      <c r="I584" s="48"/>
      <c r="J584" s="48"/>
    </row>
    <row r="585">
      <c r="A585" s="48"/>
      <c r="B585" s="64"/>
      <c r="C585" s="64"/>
      <c r="D585" s="64"/>
      <c r="E585" s="64"/>
      <c r="F585" s="64"/>
      <c r="G585" s="64"/>
      <c r="H585" s="48"/>
      <c r="I585" s="48"/>
      <c r="J585" s="48"/>
    </row>
    <row r="586">
      <c r="A586" s="48"/>
      <c r="B586" s="64"/>
      <c r="C586" s="64"/>
      <c r="D586" s="64"/>
      <c r="E586" s="64"/>
      <c r="F586" s="64"/>
      <c r="G586" s="64"/>
      <c r="H586" s="48"/>
      <c r="I586" s="48"/>
      <c r="J586" s="48"/>
    </row>
    <row r="587">
      <c r="A587" s="48"/>
      <c r="B587" s="64"/>
      <c r="C587" s="64"/>
      <c r="D587" s="64"/>
      <c r="E587" s="64"/>
      <c r="F587" s="64"/>
      <c r="G587" s="64"/>
      <c r="H587" s="48"/>
      <c r="I587" s="48"/>
      <c r="J587" s="48"/>
    </row>
    <row r="588">
      <c r="A588" s="48"/>
      <c r="B588" s="64"/>
      <c r="C588" s="64"/>
      <c r="D588" s="64"/>
      <c r="E588" s="64"/>
      <c r="F588" s="64"/>
      <c r="G588" s="64"/>
      <c r="H588" s="48"/>
      <c r="I588" s="48"/>
      <c r="J588" s="48"/>
    </row>
    <row r="589">
      <c r="A589" s="48"/>
      <c r="B589" s="64"/>
      <c r="C589" s="64"/>
      <c r="D589" s="64"/>
      <c r="E589" s="64"/>
      <c r="F589" s="64"/>
      <c r="G589" s="64"/>
      <c r="H589" s="48"/>
      <c r="I589" s="48"/>
      <c r="J589" s="48"/>
    </row>
    <row r="590">
      <c r="A590" s="48"/>
      <c r="B590" s="64"/>
      <c r="C590" s="64"/>
      <c r="D590" s="64"/>
      <c r="E590" s="64"/>
      <c r="F590" s="64"/>
      <c r="G590" s="64"/>
      <c r="H590" s="48"/>
      <c r="I590" s="48"/>
      <c r="J590" s="48"/>
    </row>
    <row r="591">
      <c r="A591" s="48"/>
      <c r="B591" s="64"/>
      <c r="C591" s="64"/>
      <c r="D591" s="64"/>
      <c r="E591" s="64"/>
      <c r="F591" s="64"/>
      <c r="G591" s="64"/>
      <c r="H591" s="48"/>
      <c r="I591" s="48"/>
      <c r="J591" s="48"/>
    </row>
    <row r="592">
      <c r="A592" s="48"/>
      <c r="B592" s="64"/>
      <c r="C592" s="64"/>
      <c r="D592" s="64"/>
      <c r="E592" s="64"/>
      <c r="F592" s="64"/>
      <c r="G592" s="64"/>
      <c r="H592" s="48"/>
      <c r="I592" s="48"/>
      <c r="J592" s="48"/>
    </row>
    <row r="593">
      <c r="A593" s="48"/>
      <c r="B593" s="64"/>
      <c r="C593" s="64"/>
      <c r="D593" s="64"/>
      <c r="E593" s="64"/>
      <c r="F593" s="64"/>
      <c r="G593" s="64"/>
      <c r="H593" s="48"/>
      <c r="I593" s="48"/>
      <c r="J593" s="48"/>
    </row>
    <row r="594">
      <c r="A594" s="48"/>
      <c r="B594" s="64"/>
      <c r="C594" s="64"/>
      <c r="D594" s="64"/>
      <c r="E594" s="64"/>
      <c r="F594" s="64"/>
      <c r="G594" s="64"/>
      <c r="H594" s="48"/>
      <c r="I594" s="48"/>
      <c r="J594" s="48"/>
    </row>
    <row r="595">
      <c r="A595" s="48"/>
      <c r="B595" s="64"/>
      <c r="C595" s="64"/>
      <c r="D595" s="64"/>
      <c r="E595" s="64"/>
      <c r="F595" s="64"/>
      <c r="G595" s="64"/>
      <c r="H595" s="48"/>
      <c r="I595" s="48"/>
      <c r="J595" s="48"/>
    </row>
    <row r="596">
      <c r="A596" s="48"/>
      <c r="B596" s="64"/>
      <c r="C596" s="64"/>
      <c r="D596" s="64"/>
      <c r="E596" s="64"/>
      <c r="F596" s="64"/>
      <c r="G596" s="64"/>
      <c r="H596" s="48"/>
      <c r="I596" s="48"/>
      <c r="J596" s="48"/>
    </row>
    <row r="597">
      <c r="A597" s="48"/>
      <c r="B597" s="64"/>
      <c r="C597" s="64"/>
      <c r="D597" s="64"/>
      <c r="E597" s="64"/>
      <c r="F597" s="64"/>
      <c r="G597" s="64"/>
      <c r="H597" s="48"/>
      <c r="I597" s="48"/>
      <c r="J597" s="48"/>
    </row>
    <row r="598">
      <c r="A598" s="48"/>
      <c r="B598" s="64"/>
      <c r="C598" s="64"/>
      <c r="D598" s="64"/>
      <c r="E598" s="64"/>
      <c r="F598" s="64"/>
      <c r="G598" s="64"/>
      <c r="H598" s="48"/>
      <c r="I598" s="48"/>
      <c r="J598" s="48"/>
    </row>
    <row r="599">
      <c r="A599" s="48"/>
      <c r="B599" s="64"/>
      <c r="C599" s="64"/>
      <c r="D599" s="64"/>
      <c r="E599" s="64"/>
      <c r="F599" s="64"/>
      <c r="G599" s="64"/>
      <c r="H599" s="48"/>
      <c r="I599" s="48"/>
      <c r="J599" s="48"/>
    </row>
    <row r="600">
      <c r="A600" s="48"/>
      <c r="B600" s="64"/>
      <c r="C600" s="64"/>
      <c r="D600" s="64"/>
      <c r="E600" s="64"/>
      <c r="F600" s="64"/>
      <c r="G600" s="64"/>
      <c r="H600" s="48"/>
      <c r="I600" s="48"/>
      <c r="J600" s="48"/>
    </row>
    <row r="601">
      <c r="A601" s="48"/>
      <c r="B601" s="64"/>
      <c r="C601" s="64"/>
      <c r="D601" s="64"/>
      <c r="E601" s="64"/>
      <c r="F601" s="64"/>
      <c r="G601" s="64"/>
      <c r="H601" s="48"/>
      <c r="I601" s="48"/>
      <c r="J601" s="48"/>
    </row>
    <row r="602">
      <c r="A602" s="48"/>
      <c r="B602" s="64"/>
      <c r="C602" s="64"/>
      <c r="D602" s="64"/>
      <c r="E602" s="64"/>
      <c r="F602" s="64"/>
      <c r="G602" s="64"/>
      <c r="H602" s="48"/>
      <c r="I602" s="48"/>
      <c r="J602" s="48"/>
    </row>
    <row r="603">
      <c r="A603" s="48"/>
      <c r="B603" s="64"/>
      <c r="C603" s="64"/>
      <c r="D603" s="64"/>
      <c r="E603" s="64"/>
      <c r="F603" s="64"/>
      <c r="G603" s="64"/>
      <c r="H603" s="48"/>
      <c r="I603" s="48"/>
      <c r="J603" s="48"/>
    </row>
    <row r="604">
      <c r="A604" s="48"/>
      <c r="B604" s="64"/>
      <c r="C604" s="64"/>
      <c r="D604" s="64"/>
      <c r="E604" s="64"/>
      <c r="F604" s="64"/>
      <c r="G604" s="64"/>
      <c r="H604" s="48"/>
      <c r="I604" s="48"/>
      <c r="J604" s="48"/>
    </row>
    <row r="605">
      <c r="A605" s="48"/>
      <c r="B605" s="64"/>
      <c r="C605" s="64"/>
      <c r="D605" s="64"/>
      <c r="E605" s="64"/>
      <c r="F605" s="64"/>
      <c r="G605" s="64"/>
      <c r="H605" s="48"/>
      <c r="I605" s="48"/>
      <c r="J605" s="48"/>
    </row>
    <row r="606">
      <c r="A606" s="48"/>
      <c r="B606" s="64"/>
      <c r="C606" s="64"/>
      <c r="D606" s="64"/>
      <c r="E606" s="64"/>
      <c r="F606" s="64"/>
      <c r="G606" s="64"/>
      <c r="H606" s="48"/>
      <c r="I606" s="48"/>
      <c r="J606" s="48"/>
    </row>
    <row r="607">
      <c r="A607" s="48"/>
      <c r="B607" s="64"/>
      <c r="C607" s="64"/>
      <c r="D607" s="64"/>
      <c r="E607" s="64"/>
      <c r="F607" s="64"/>
      <c r="G607" s="64"/>
      <c r="H607" s="48"/>
      <c r="I607" s="48"/>
      <c r="J607" s="48"/>
    </row>
    <row r="608">
      <c r="A608" s="48"/>
      <c r="B608" s="64"/>
      <c r="C608" s="64"/>
      <c r="D608" s="64"/>
      <c r="E608" s="64"/>
      <c r="F608" s="64"/>
      <c r="G608" s="64"/>
      <c r="H608" s="48"/>
      <c r="I608" s="48"/>
      <c r="J608" s="48"/>
    </row>
    <row r="609">
      <c r="A609" s="48"/>
      <c r="B609" s="64"/>
      <c r="C609" s="64"/>
      <c r="D609" s="64"/>
      <c r="E609" s="64"/>
      <c r="F609" s="64"/>
      <c r="G609" s="64"/>
      <c r="H609" s="48"/>
      <c r="I609" s="48"/>
      <c r="J609" s="48"/>
    </row>
    <row r="610">
      <c r="A610" s="48"/>
      <c r="B610" s="64"/>
      <c r="C610" s="64"/>
      <c r="D610" s="64"/>
      <c r="E610" s="64"/>
      <c r="F610" s="64"/>
      <c r="G610" s="64"/>
      <c r="H610" s="48"/>
      <c r="I610" s="48"/>
      <c r="J610" s="48"/>
    </row>
    <row r="611">
      <c r="A611" s="48"/>
      <c r="B611" s="64"/>
      <c r="C611" s="64"/>
      <c r="D611" s="64"/>
      <c r="E611" s="64"/>
      <c r="F611" s="64"/>
      <c r="G611" s="64"/>
      <c r="H611" s="48"/>
      <c r="I611" s="48"/>
      <c r="J611" s="48"/>
    </row>
    <row r="612">
      <c r="A612" s="48"/>
      <c r="B612" s="64"/>
      <c r="C612" s="64"/>
      <c r="D612" s="64"/>
      <c r="E612" s="64"/>
      <c r="F612" s="64"/>
      <c r="G612" s="64"/>
      <c r="H612" s="48"/>
      <c r="I612" s="48"/>
      <c r="J612" s="48"/>
    </row>
    <row r="613">
      <c r="A613" s="48"/>
      <c r="B613" s="64"/>
      <c r="C613" s="64"/>
      <c r="D613" s="64"/>
      <c r="E613" s="64"/>
      <c r="F613" s="64"/>
      <c r="G613" s="64"/>
      <c r="H613" s="48"/>
      <c r="I613" s="48"/>
      <c r="J613" s="48"/>
    </row>
    <row r="614">
      <c r="A614" s="48"/>
      <c r="B614" s="64"/>
      <c r="C614" s="64"/>
      <c r="D614" s="64"/>
      <c r="E614" s="64"/>
      <c r="F614" s="64"/>
      <c r="G614" s="64"/>
      <c r="H614" s="48"/>
      <c r="I614" s="48"/>
      <c r="J614" s="48"/>
    </row>
    <row r="615">
      <c r="A615" s="48"/>
      <c r="B615" s="64"/>
      <c r="C615" s="64"/>
      <c r="D615" s="64"/>
      <c r="E615" s="64"/>
      <c r="F615" s="64"/>
      <c r="G615" s="64"/>
      <c r="H615" s="48"/>
      <c r="I615" s="48"/>
      <c r="J615" s="48"/>
    </row>
    <row r="616">
      <c r="A616" s="48"/>
      <c r="B616" s="64"/>
      <c r="C616" s="64"/>
      <c r="D616" s="64"/>
      <c r="E616" s="64"/>
      <c r="F616" s="64"/>
      <c r="G616" s="64"/>
      <c r="H616" s="48"/>
      <c r="I616" s="48"/>
      <c r="J616" s="48"/>
    </row>
    <row r="617">
      <c r="A617" s="48"/>
      <c r="B617" s="64"/>
      <c r="C617" s="64"/>
      <c r="D617" s="64"/>
      <c r="E617" s="64"/>
      <c r="F617" s="64"/>
      <c r="G617" s="64"/>
      <c r="H617" s="48"/>
      <c r="I617" s="48"/>
      <c r="J617" s="48"/>
    </row>
    <row r="618">
      <c r="A618" s="48"/>
      <c r="B618" s="64"/>
      <c r="C618" s="64"/>
      <c r="D618" s="64"/>
      <c r="E618" s="64"/>
      <c r="F618" s="64"/>
      <c r="G618" s="64"/>
      <c r="H618" s="48"/>
      <c r="I618" s="48"/>
      <c r="J618" s="48"/>
    </row>
    <row r="619">
      <c r="A619" s="48"/>
      <c r="B619" s="64"/>
      <c r="C619" s="64"/>
      <c r="D619" s="64"/>
      <c r="E619" s="64"/>
      <c r="F619" s="64"/>
      <c r="G619" s="64"/>
      <c r="H619" s="48"/>
      <c r="I619" s="48"/>
      <c r="J619" s="48"/>
    </row>
    <row r="620">
      <c r="A620" s="48"/>
      <c r="B620" s="64"/>
      <c r="C620" s="64"/>
      <c r="D620" s="64"/>
      <c r="E620" s="64"/>
      <c r="F620" s="64"/>
      <c r="G620" s="64"/>
      <c r="H620" s="48"/>
      <c r="I620" s="48"/>
      <c r="J620" s="48"/>
    </row>
    <row r="621">
      <c r="A621" s="48"/>
      <c r="B621" s="64"/>
      <c r="C621" s="64"/>
      <c r="D621" s="64"/>
      <c r="E621" s="64"/>
      <c r="F621" s="64"/>
      <c r="G621" s="64"/>
      <c r="H621" s="48"/>
      <c r="I621" s="48"/>
      <c r="J621" s="48"/>
    </row>
    <row r="622">
      <c r="A622" s="48"/>
      <c r="B622" s="64"/>
      <c r="C622" s="64"/>
      <c r="D622" s="64"/>
      <c r="E622" s="64"/>
      <c r="F622" s="64"/>
      <c r="G622" s="64"/>
      <c r="H622" s="48"/>
      <c r="I622" s="48"/>
      <c r="J622" s="48"/>
    </row>
    <row r="623">
      <c r="A623" s="48"/>
      <c r="B623" s="64"/>
      <c r="C623" s="64"/>
      <c r="D623" s="64"/>
      <c r="E623" s="64"/>
      <c r="F623" s="64"/>
      <c r="G623" s="64"/>
      <c r="H623" s="48"/>
      <c r="I623" s="48"/>
      <c r="J623" s="48"/>
    </row>
    <row r="624">
      <c r="A624" s="48"/>
      <c r="B624" s="64"/>
      <c r="C624" s="64"/>
      <c r="D624" s="64"/>
      <c r="E624" s="64"/>
      <c r="F624" s="64"/>
      <c r="G624" s="64"/>
      <c r="H624" s="48"/>
      <c r="I624" s="48"/>
      <c r="J624" s="48"/>
    </row>
    <row r="625">
      <c r="A625" s="48"/>
      <c r="B625" s="64"/>
      <c r="C625" s="64"/>
      <c r="D625" s="64"/>
      <c r="E625" s="64"/>
      <c r="F625" s="64"/>
      <c r="G625" s="64"/>
      <c r="H625" s="48"/>
      <c r="I625" s="48"/>
      <c r="J625" s="48"/>
    </row>
    <row r="626">
      <c r="A626" s="48"/>
      <c r="B626" s="64"/>
      <c r="C626" s="64"/>
      <c r="D626" s="64"/>
      <c r="E626" s="64"/>
      <c r="F626" s="64"/>
      <c r="G626" s="64"/>
      <c r="H626" s="48"/>
      <c r="I626" s="48"/>
      <c r="J626" s="48"/>
    </row>
    <row r="627">
      <c r="A627" s="48"/>
      <c r="B627" s="64"/>
      <c r="C627" s="64"/>
      <c r="D627" s="64"/>
      <c r="E627" s="64"/>
      <c r="F627" s="64"/>
      <c r="G627" s="64"/>
      <c r="H627" s="48"/>
      <c r="I627" s="48"/>
      <c r="J627" s="48"/>
    </row>
    <row r="628">
      <c r="A628" s="48"/>
      <c r="B628" s="64"/>
      <c r="C628" s="64"/>
      <c r="D628" s="64"/>
      <c r="E628" s="64"/>
      <c r="F628" s="64"/>
      <c r="G628" s="64"/>
      <c r="H628" s="48"/>
      <c r="I628" s="48"/>
      <c r="J628" s="48"/>
    </row>
    <row r="629">
      <c r="A629" s="48"/>
      <c r="B629" s="64"/>
      <c r="C629" s="64"/>
      <c r="D629" s="64"/>
      <c r="E629" s="64"/>
      <c r="F629" s="64"/>
      <c r="G629" s="64"/>
      <c r="H629" s="48"/>
      <c r="I629" s="48"/>
      <c r="J629" s="48"/>
    </row>
    <row r="630">
      <c r="A630" s="48"/>
      <c r="B630" s="64"/>
      <c r="C630" s="64"/>
      <c r="D630" s="64"/>
      <c r="E630" s="64"/>
      <c r="F630" s="64"/>
      <c r="G630" s="64"/>
      <c r="H630" s="48"/>
      <c r="I630" s="48"/>
      <c r="J630" s="48"/>
    </row>
    <row r="631">
      <c r="A631" s="48"/>
      <c r="B631" s="64"/>
      <c r="C631" s="64"/>
      <c r="D631" s="64"/>
      <c r="E631" s="64"/>
      <c r="F631" s="64"/>
      <c r="G631" s="64"/>
      <c r="H631" s="48"/>
      <c r="I631" s="48"/>
      <c r="J631" s="48"/>
    </row>
    <row r="632">
      <c r="A632" s="48"/>
      <c r="B632" s="64"/>
      <c r="C632" s="64"/>
      <c r="D632" s="64"/>
      <c r="E632" s="64"/>
      <c r="F632" s="64"/>
      <c r="G632" s="64"/>
      <c r="H632" s="48"/>
      <c r="I632" s="48"/>
      <c r="J632" s="48"/>
    </row>
    <row r="633">
      <c r="A633" s="48"/>
      <c r="B633" s="64"/>
      <c r="C633" s="64"/>
      <c r="D633" s="64"/>
      <c r="E633" s="64"/>
      <c r="F633" s="64"/>
      <c r="G633" s="64"/>
      <c r="H633" s="48"/>
      <c r="I633" s="48"/>
      <c r="J633" s="48"/>
    </row>
    <row r="634">
      <c r="A634" s="48"/>
      <c r="B634" s="64"/>
      <c r="C634" s="64"/>
      <c r="D634" s="64"/>
      <c r="E634" s="64"/>
      <c r="F634" s="64"/>
      <c r="G634" s="64"/>
      <c r="H634" s="48"/>
      <c r="I634" s="48"/>
      <c r="J634" s="48"/>
    </row>
    <row r="635">
      <c r="A635" s="48"/>
      <c r="B635" s="64"/>
      <c r="C635" s="64"/>
      <c r="D635" s="64"/>
      <c r="E635" s="64"/>
      <c r="F635" s="64"/>
      <c r="G635" s="64"/>
      <c r="H635" s="48"/>
      <c r="I635" s="48"/>
      <c r="J635" s="48"/>
    </row>
    <row r="636">
      <c r="A636" s="48"/>
      <c r="B636" s="64"/>
      <c r="C636" s="64"/>
      <c r="D636" s="64"/>
      <c r="E636" s="64"/>
      <c r="F636" s="64"/>
      <c r="G636" s="64"/>
      <c r="H636" s="48"/>
      <c r="I636" s="48"/>
      <c r="J636" s="48"/>
    </row>
    <row r="637">
      <c r="A637" s="48"/>
      <c r="B637" s="64"/>
      <c r="C637" s="64"/>
      <c r="D637" s="64"/>
      <c r="E637" s="64"/>
      <c r="F637" s="64"/>
      <c r="G637" s="64"/>
      <c r="H637" s="48"/>
      <c r="I637" s="48"/>
      <c r="J637" s="48"/>
    </row>
    <row r="638">
      <c r="A638" s="48"/>
      <c r="B638" s="64"/>
      <c r="C638" s="64"/>
      <c r="D638" s="64"/>
      <c r="E638" s="64"/>
      <c r="F638" s="64"/>
      <c r="G638" s="64"/>
      <c r="H638" s="48"/>
      <c r="I638" s="48"/>
      <c r="J638" s="48"/>
    </row>
    <row r="639">
      <c r="A639" s="48"/>
      <c r="B639" s="64"/>
      <c r="C639" s="64"/>
      <c r="D639" s="64"/>
      <c r="E639" s="64"/>
      <c r="F639" s="64"/>
      <c r="G639" s="64"/>
      <c r="H639" s="48"/>
      <c r="I639" s="48"/>
      <c r="J639" s="48"/>
    </row>
    <row r="640">
      <c r="A640" s="48"/>
      <c r="B640" s="64"/>
      <c r="C640" s="64"/>
      <c r="D640" s="64"/>
      <c r="E640" s="64"/>
      <c r="F640" s="64"/>
      <c r="G640" s="64"/>
      <c r="H640" s="48"/>
      <c r="I640" s="48"/>
      <c r="J640" s="48"/>
    </row>
    <row r="641">
      <c r="A641" s="48"/>
      <c r="B641" s="64"/>
      <c r="C641" s="64"/>
      <c r="D641" s="64"/>
      <c r="E641" s="64"/>
      <c r="F641" s="64"/>
      <c r="G641" s="64"/>
      <c r="H641" s="48"/>
      <c r="I641" s="48"/>
      <c r="J641" s="48"/>
    </row>
    <row r="642">
      <c r="A642" s="48"/>
      <c r="B642" s="64"/>
      <c r="C642" s="64"/>
      <c r="D642" s="64"/>
      <c r="E642" s="64"/>
      <c r="F642" s="64"/>
      <c r="G642" s="64"/>
      <c r="H642" s="48"/>
      <c r="I642" s="48"/>
      <c r="J642" s="48"/>
    </row>
    <row r="643">
      <c r="A643" s="48"/>
      <c r="B643" s="64"/>
      <c r="C643" s="64"/>
      <c r="D643" s="64"/>
      <c r="E643" s="64"/>
      <c r="F643" s="64"/>
      <c r="G643" s="64"/>
      <c r="H643" s="48"/>
      <c r="I643" s="48"/>
      <c r="J643" s="48"/>
    </row>
    <row r="644">
      <c r="A644" s="48"/>
      <c r="B644" s="64"/>
      <c r="C644" s="64"/>
      <c r="D644" s="64"/>
      <c r="E644" s="64"/>
      <c r="F644" s="64"/>
      <c r="G644" s="64"/>
      <c r="H644" s="48"/>
      <c r="I644" s="48"/>
      <c r="J644" s="48"/>
    </row>
    <row r="645">
      <c r="A645" s="48"/>
      <c r="B645" s="64"/>
      <c r="C645" s="64"/>
      <c r="D645" s="64"/>
      <c r="E645" s="64"/>
      <c r="F645" s="64"/>
      <c r="G645" s="64"/>
      <c r="H645" s="48"/>
      <c r="I645" s="48"/>
      <c r="J645" s="48"/>
    </row>
    <row r="646">
      <c r="A646" s="48"/>
      <c r="B646" s="64"/>
      <c r="C646" s="64"/>
      <c r="D646" s="64"/>
      <c r="E646" s="64"/>
      <c r="F646" s="64"/>
      <c r="G646" s="64"/>
      <c r="H646" s="48"/>
      <c r="I646" s="48"/>
      <c r="J646" s="48"/>
    </row>
    <row r="647">
      <c r="A647" s="48"/>
      <c r="B647" s="64"/>
      <c r="C647" s="64"/>
      <c r="D647" s="64"/>
      <c r="E647" s="64"/>
      <c r="F647" s="64"/>
      <c r="G647" s="64"/>
      <c r="H647" s="48"/>
      <c r="I647" s="48"/>
      <c r="J647" s="48"/>
    </row>
    <row r="648">
      <c r="A648" s="48"/>
      <c r="B648" s="64"/>
      <c r="C648" s="64"/>
      <c r="D648" s="64"/>
      <c r="E648" s="64"/>
      <c r="F648" s="64"/>
      <c r="G648" s="64"/>
      <c r="H648" s="48"/>
      <c r="I648" s="48"/>
      <c r="J648" s="48"/>
    </row>
    <row r="649">
      <c r="A649" s="48"/>
      <c r="B649" s="64"/>
      <c r="C649" s="64"/>
      <c r="D649" s="64"/>
      <c r="E649" s="64"/>
      <c r="F649" s="64"/>
      <c r="G649" s="64"/>
      <c r="H649" s="48"/>
      <c r="I649" s="48"/>
      <c r="J649" s="48"/>
    </row>
    <row r="650">
      <c r="A650" s="48"/>
      <c r="B650" s="64"/>
      <c r="C650" s="64"/>
      <c r="D650" s="64"/>
      <c r="E650" s="64"/>
      <c r="F650" s="64"/>
      <c r="G650" s="64"/>
      <c r="H650" s="48"/>
      <c r="I650" s="48"/>
      <c r="J650" s="48"/>
    </row>
    <row r="651">
      <c r="A651" s="48"/>
      <c r="B651" s="64"/>
      <c r="C651" s="64"/>
      <c r="D651" s="64"/>
      <c r="E651" s="64"/>
      <c r="F651" s="64"/>
      <c r="G651" s="64"/>
      <c r="H651" s="48"/>
      <c r="I651" s="48"/>
      <c r="J651" s="48"/>
    </row>
    <row r="652">
      <c r="A652" s="48"/>
      <c r="B652" s="64"/>
      <c r="C652" s="64"/>
      <c r="D652" s="64"/>
      <c r="E652" s="64"/>
      <c r="F652" s="64"/>
      <c r="G652" s="64"/>
      <c r="H652" s="48"/>
      <c r="I652" s="48"/>
      <c r="J652" s="48"/>
    </row>
    <row r="653">
      <c r="A653" s="48"/>
      <c r="B653" s="64"/>
      <c r="C653" s="64"/>
      <c r="D653" s="64"/>
      <c r="E653" s="64"/>
      <c r="F653" s="64"/>
      <c r="G653" s="64"/>
      <c r="H653" s="48"/>
      <c r="I653" s="48"/>
      <c r="J653" s="48"/>
    </row>
    <row r="654">
      <c r="A654" s="48"/>
      <c r="B654" s="64"/>
      <c r="C654" s="64"/>
      <c r="D654" s="64"/>
      <c r="E654" s="64"/>
      <c r="F654" s="64"/>
      <c r="G654" s="64"/>
      <c r="H654" s="48"/>
      <c r="I654" s="48"/>
      <c r="J654" s="48"/>
    </row>
    <row r="655">
      <c r="A655" s="48"/>
      <c r="B655" s="64"/>
      <c r="C655" s="64"/>
      <c r="D655" s="64"/>
      <c r="E655" s="64"/>
      <c r="F655" s="64"/>
      <c r="G655" s="64"/>
      <c r="H655" s="48"/>
      <c r="I655" s="48"/>
      <c r="J655" s="48"/>
    </row>
    <row r="656">
      <c r="A656" s="48"/>
      <c r="B656" s="64"/>
      <c r="C656" s="64"/>
      <c r="D656" s="64"/>
      <c r="E656" s="64"/>
      <c r="F656" s="64"/>
      <c r="G656" s="64"/>
      <c r="H656" s="48"/>
      <c r="I656" s="48"/>
      <c r="J656" s="48"/>
    </row>
    <row r="657">
      <c r="A657" s="48"/>
      <c r="B657" s="64"/>
      <c r="C657" s="64"/>
      <c r="D657" s="64"/>
      <c r="E657" s="64"/>
      <c r="F657" s="64"/>
      <c r="G657" s="64"/>
      <c r="H657" s="48"/>
      <c r="I657" s="48"/>
      <c r="J657" s="48"/>
    </row>
    <row r="658">
      <c r="A658" s="48"/>
      <c r="B658" s="64"/>
      <c r="C658" s="64"/>
      <c r="D658" s="64"/>
      <c r="E658" s="64"/>
      <c r="F658" s="64"/>
      <c r="G658" s="64"/>
      <c r="H658" s="48"/>
      <c r="I658" s="48"/>
      <c r="J658" s="48"/>
    </row>
    <row r="659">
      <c r="A659" s="48"/>
      <c r="B659" s="64"/>
      <c r="C659" s="64"/>
      <c r="D659" s="64"/>
      <c r="E659" s="64"/>
      <c r="F659" s="64"/>
      <c r="G659" s="64"/>
      <c r="H659" s="48"/>
      <c r="I659" s="48"/>
      <c r="J659" s="48"/>
    </row>
    <row r="660">
      <c r="A660" s="48"/>
      <c r="B660" s="64"/>
      <c r="C660" s="64"/>
      <c r="D660" s="64"/>
      <c r="E660" s="64"/>
      <c r="F660" s="64"/>
      <c r="G660" s="64"/>
      <c r="H660" s="48"/>
      <c r="I660" s="48"/>
      <c r="J660" s="48"/>
    </row>
    <row r="661">
      <c r="A661" s="48"/>
      <c r="B661" s="64"/>
      <c r="C661" s="64"/>
      <c r="D661" s="64"/>
      <c r="E661" s="64"/>
      <c r="F661" s="64"/>
      <c r="G661" s="64"/>
      <c r="H661" s="48"/>
      <c r="I661" s="48"/>
      <c r="J661" s="48"/>
    </row>
    <row r="662">
      <c r="A662" s="48"/>
      <c r="B662" s="64"/>
      <c r="C662" s="64"/>
      <c r="D662" s="64"/>
      <c r="E662" s="64"/>
      <c r="F662" s="64"/>
      <c r="G662" s="64"/>
      <c r="H662" s="48"/>
      <c r="I662" s="48"/>
      <c r="J662" s="48"/>
    </row>
    <row r="663">
      <c r="A663" s="48"/>
      <c r="B663" s="64"/>
      <c r="C663" s="64"/>
      <c r="D663" s="64"/>
      <c r="E663" s="64"/>
      <c r="F663" s="64"/>
      <c r="G663" s="64"/>
      <c r="H663" s="48"/>
      <c r="I663" s="48"/>
      <c r="J663" s="48"/>
    </row>
    <row r="664">
      <c r="A664" s="48"/>
      <c r="B664" s="64"/>
      <c r="C664" s="64"/>
      <c r="D664" s="64"/>
      <c r="E664" s="64"/>
      <c r="F664" s="64"/>
      <c r="G664" s="64"/>
      <c r="H664" s="48"/>
      <c r="I664" s="48"/>
      <c r="J664" s="48"/>
    </row>
    <row r="665">
      <c r="A665" s="48"/>
      <c r="B665" s="64"/>
      <c r="C665" s="64"/>
      <c r="D665" s="64"/>
      <c r="E665" s="64"/>
      <c r="F665" s="64"/>
      <c r="G665" s="64"/>
      <c r="H665" s="48"/>
      <c r="I665" s="48"/>
      <c r="J665" s="48"/>
    </row>
    <row r="666">
      <c r="A666" s="48"/>
      <c r="B666" s="64"/>
      <c r="C666" s="64"/>
      <c r="D666" s="64"/>
      <c r="E666" s="64"/>
      <c r="F666" s="64"/>
      <c r="G666" s="64"/>
      <c r="H666" s="48"/>
      <c r="I666" s="48"/>
      <c r="J666" s="48"/>
    </row>
    <row r="667">
      <c r="A667" s="48"/>
      <c r="B667" s="64"/>
      <c r="C667" s="64"/>
      <c r="D667" s="64"/>
      <c r="E667" s="64"/>
      <c r="F667" s="64"/>
      <c r="G667" s="64"/>
      <c r="H667" s="48"/>
      <c r="I667" s="48"/>
      <c r="J667" s="48"/>
    </row>
    <row r="668">
      <c r="A668" s="48"/>
      <c r="B668" s="64"/>
      <c r="C668" s="64"/>
      <c r="D668" s="64"/>
      <c r="E668" s="64"/>
      <c r="F668" s="64"/>
      <c r="G668" s="64"/>
      <c r="H668" s="48"/>
      <c r="I668" s="48"/>
      <c r="J668" s="48"/>
    </row>
    <row r="669">
      <c r="A669" s="48"/>
      <c r="B669" s="64"/>
      <c r="C669" s="64"/>
      <c r="D669" s="64"/>
      <c r="E669" s="64"/>
      <c r="F669" s="64"/>
      <c r="G669" s="64"/>
      <c r="H669" s="48"/>
      <c r="I669" s="48"/>
      <c r="J669" s="48"/>
    </row>
    <row r="670">
      <c r="A670" s="48"/>
      <c r="B670" s="64"/>
      <c r="C670" s="64"/>
      <c r="D670" s="64"/>
      <c r="E670" s="64"/>
      <c r="F670" s="64"/>
      <c r="G670" s="64"/>
      <c r="H670" s="48"/>
      <c r="I670" s="48"/>
      <c r="J670" s="48"/>
    </row>
    <row r="671">
      <c r="A671" s="48"/>
      <c r="B671" s="64"/>
      <c r="C671" s="64"/>
      <c r="D671" s="64"/>
      <c r="E671" s="64"/>
      <c r="F671" s="64"/>
      <c r="G671" s="64"/>
      <c r="H671" s="48"/>
      <c r="I671" s="48"/>
      <c r="J671" s="48"/>
    </row>
    <row r="672">
      <c r="A672" s="48"/>
      <c r="B672" s="64"/>
      <c r="C672" s="64"/>
      <c r="D672" s="64"/>
      <c r="E672" s="64"/>
      <c r="F672" s="64"/>
      <c r="G672" s="64"/>
      <c r="H672" s="48"/>
      <c r="I672" s="48"/>
      <c r="J672" s="48"/>
    </row>
    <row r="673">
      <c r="A673" s="48"/>
      <c r="B673" s="64"/>
      <c r="C673" s="64"/>
      <c r="D673" s="64"/>
      <c r="E673" s="64"/>
      <c r="F673" s="64"/>
      <c r="G673" s="64"/>
      <c r="H673" s="48"/>
      <c r="I673" s="48"/>
      <c r="J673" s="48"/>
    </row>
    <row r="674">
      <c r="A674" s="48"/>
      <c r="B674" s="64"/>
      <c r="C674" s="64"/>
      <c r="D674" s="64"/>
      <c r="E674" s="64"/>
      <c r="F674" s="64"/>
      <c r="G674" s="64"/>
      <c r="H674" s="48"/>
      <c r="I674" s="48"/>
      <c r="J674" s="48"/>
    </row>
    <row r="675">
      <c r="A675" s="48"/>
      <c r="B675" s="64"/>
      <c r="C675" s="64"/>
      <c r="D675" s="64"/>
      <c r="E675" s="64"/>
      <c r="F675" s="64"/>
      <c r="G675" s="64"/>
      <c r="H675" s="48"/>
      <c r="I675" s="48"/>
      <c r="J675" s="48"/>
    </row>
    <row r="676">
      <c r="A676" s="48"/>
      <c r="B676" s="64"/>
      <c r="C676" s="64"/>
      <c r="D676" s="64"/>
      <c r="E676" s="64"/>
      <c r="F676" s="64"/>
      <c r="G676" s="64"/>
      <c r="H676" s="48"/>
      <c r="I676" s="48"/>
      <c r="J676" s="48"/>
    </row>
    <row r="677">
      <c r="A677" s="48"/>
      <c r="B677" s="64"/>
      <c r="C677" s="64"/>
      <c r="D677" s="64"/>
      <c r="E677" s="64"/>
      <c r="F677" s="64"/>
      <c r="G677" s="64"/>
      <c r="H677" s="48"/>
      <c r="I677" s="48"/>
      <c r="J677" s="48"/>
    </row>
    <row r="678">
      <c r="A678" s="48"/>
      <c r="B678" s="64"/>
      <c r="C678" s="64"/>
      <c r="D678" s="64"/>
      <c r="E678" s="64"/>
      <c r="F678" s="64"/>
      <c r="G678" s="64"/>
      <c r="H678" s="48"/>
      <c r="I678" s="48"/>
      <c r="J678" s="48"/>
    </row>
    <row r="679">
      <c r="A679" s="48"/>
      <c r="B679" s="64"/>
      <c r="C679" s="64"/>
      <c r="D679" s="64"/>
      <c r="E679" s="64"/>
      <c r="F679" s="64"/>
      <c r="G679" s="64"/>
      <c r="H679" s="48"/>
      <c r="I679" s="48"/>
      <c r="J679" s="48"/>
    </row>
    <row r="680">
      <c r="A680" s="48"/>
      <c r="B680" s="64"/>
      <c r="C680" s="64"/>
      <c r="D680" s="64"/>
      <c r="E680" s="64"/>
      <c r="F680" s="64"/>
      <c r="G680" s="64"/>
      <c r="H680" s="48"/>
      <c r="I680" s="48"/>
      <c r="J680" s="48"/>
    </row>
    <row r="681">
      <c r="A681" s="48"/>
      <c r="B681" s="64"/>
      <c r="C681" s="64"/>
      <c r="D681" s="64"/>
      <c r="E681" s="64"/>
      <c r="F681" s="64"/>
      <c r="G681" s="64"/>
      <c r="H681" s="48"/>
      <c r="I681" s="48"/>
      <c r="J681" s="48"/>
    </row>
    <row r="682">
      <c r="A682" s="48"/>
      <c r="B682" s="64"/>
      <c r="C682" s="64"/>
      <c r="D682" s="64"/>
      <c r="E682" s="64"/>
      <c r="F682" s="64"/>
      <c r="G682" s="64"/>
      <c r="H682" s="48"/>
      <c r="I682" s="48"/>
      <c r="J682" s="48"/>
    </row>
    <row r="683">
      <c r="A683" s="48"/>
      <c r="B683" s="64"/>
      <c r="C683" s="64"/>
      <c r="D683" s="64"/>
      <c r="E683" s="64"/>
      <c r="F683" s="64"/>
      <c r="G683" s="64"/>
      <c r="H683" s="48"/>
      <c r="I683" s="48"/>
      <c r="J683" s="48"/>
    </row>
    <row r="684">
      <c r="A684" s="48"/>
      <c r="B684" s="64"/>
      <c r="C684" s="64"/>
      <c r="D684" s="64"/>
      <c r="E684" s="64"/>
      <c r="F684" s="64"/>
      <c r="G684" s="64"/>
      <c r="H684" s="48"/>
      <c r="I684" s="48"/>
      <c r="J684" s="48"/>
    </row>
    <row r="685">
      <c r="A685" s="48"/>
      <c r="B685" s="64"/>
      <c r="C685" s="64"/>
      <c r="D685" s="64"/>
      <c r="E685" s="64"/>
      <c r="F685" s="64"/>
      <c r="G685" s="64"/>
      <c r="H685" s="48"/>
      <c r="I685" s="48"/>
      <c r="J685" s="48"/>
    </row>
    <row r="686">
      <c r="A686" s="48"/>
      <c r="B686" s="64"/>
      <c r="C686" s="64"/>
      <c r="D686" s="64"/>
      <c r="E686" s="64"/>
      <c r="F686" s="64"/>
      <c r="G686" s="64"/>
      <c r="H686" s="48"/>
      <c r="I686" s="48"/>
      <c r="J686" s="48"/>
    </row>
    <row r="687">
      <c r="A687" s="48"/>
      <c r="B687" s="64"/>
      <c r="C687" s="64"/>
      <c r="D687" s="64"/>
      <c r="E687" s="64"/>
      <c r="F687" s="64"/>
      <c r="G687" s="64"/>
      <c r="H687" s="48"/>
      <c r="I687" s="48"/>
      <c r="J687" s="48"/>
    </row>
    <row r="688">
      <c r="A688" s="48"/>
      <c r="B688" s="64"/>
      <c r="C688" s="64"/>
      <c r="D688" s="64"/>
      <c r="E688" s="64"/>
      <c r="F688" s="64"/>
      <c r="G688" s="64"/>
      <c r="H688" s="48"/>
      <c r="I688" s="48"/>
      <c r="J688" s="48"/>
    </row>
    <row r="689">
      <c r="A689" s="48"/>
      <c r="B689" s="64"/>
      <c r="C689" s="64"/>
      <c r="D689" s="64"/>
      <c r="E689" s="64"/>
      <c r="F689" s="64"/>
      <c r="G689" s="64"/>
      <c r="H689" s="48"/>
      <c r="I689" s="48"/>
      <c r="J689" s="48"/>
    </row>
    <row r="690">
      <c r="A690" s="48"/>
      <c r="B690" s="64"/>
      <c r="C690" s="64"/>
      <c r="D690" s="64"/>
      <c r="E690" s="64"/>
      <c r="F690" s="64"/>
      <c r="G690" s="64"/>
      <c r="H690" s="48"/>
      <c r="I690" s="48"/>
      <c r="J690" s="48"/>
    </row>
    <row r="691">
      <c r="A691" s="48"/>
      <c r="B691" s="64"/>
      <c r="C691" s="64"/>
      <c r="D691" s="64"/>
      <c r="E691" s="64"/>
      <c r="F691" s="64"/>
      <c r="G691" s="64"/>
      <c r="H691" s="48"/>
      <c r="I691" s="48"/>
      <c r="J691" s="48"/>
    </row>
    <row r="692">
      <c r="A692" s="48"/>
      <c r="B692" s="64"/>
      <c r="C692" s="64"/>
      <c r="D692" s="64"/>
      <c r="E692" s="64"/>
      <c r="F692" s="64"/>
      <c r="G692" s="64"/>
      <c r="H692" s="48"/>
      <c r="I692" s="48"/>
      <c r="J692" s="48"/>
    </row>
    <row r="693">
      <c r="A693" s="48"/>
      <c r="B693" s="64"/>
      <c r="C693" s="64"/>
      <c r="D693" s="64"/>
      <c r="E693" s="64"/>
      <c r="F693" s="64"/>
      <c r="G693" s="64"/>
      <c r="H693" s="48"/>
      <c r="I693" s="48"/>
      <c r="J693" s="48"/>
    </row>
    <row r="694">
      <c r="A694" s="48"/>
      <c r="B694" s="64"/>
      <c r="C694" s="64"/>
      <c r="D694" s="64"/>
      <c r="E694" s="64"/>
      <c r="F694" s="64"/>
      <c r="G694" s="64"/>
      <c r="H694" s="48"/>
      <c r="I694" s="48"/>
      <c r="J694" s="48"/>
    </row>
    <row r="695">
      <c r="A695" s="48"/>
      <c r="B695" s="64"/>
      <c r="C695" s="64"/>
      <c r="D695" s="64"/>
      <c r="E695" s="64"/>
      <c r="F695" s="64"/>
      <c r="G695" s="64"/>
      <c r="H695" s="48"/>
      <c r="I695" s="48"/>
      <c r="J695" s="48"/>
    </row>
    <row r="696">
      <c r="A696" s="48"/>
      <c r="B696" s="64"/>
      <c r="C696" s="64"/>
      <c r="D696" s="64"/>
      <c r="E696" s="64"/>
      <c r="F696" s="64"/>
      <c r="G696" s="64"/>
      <c r="H696" s="48"/>
      <c r="I696" s="48"/>
      <c r="J696" s="48"/>
    </row>
    <row r="697">
      <c r="A697" s="48"/>
      <c r="B697" s="64"/>
      <c r="C697" s="64"/>
      <c r="D697" s="64"/>
      <c r="E697" s="64"/>
      <c r="F697" s="64"/>
      <c r="G697" s="64"/>
      <c r="H697" s="48"/>
      <c r="I697" s="48"/>
      <c r="J697" s="48"/>
    </row>
    <row r="698">
      <c r="A698" s="48"/>
      <c r="B698" s="64"/>
      <c r="C698" s="64"/>
      <c r="D698" s="64"/>
      <c r="E698" s="64"/>
      <c r="F698" s="64"/>
      <c r="G698" s="64"/>
      <c r="H698" s="48"/>
      <c r="I698" s="48"/>
      <c r="J698" s="48"/>
    </row>
    <row r="699">
      <c r="A699" s="48"/>
      <c r="B699" s="64"/>
      <c r="C699" s="64"/>
      <c r="D699" s="64"/>
      <c r="E699" s="64"/>
      <c r="F699" s="64"/>
      <c r="G699" s="64"/>
      <c r="H699" s="48"/>
      <c r="I699" s="48"/>
      <c r="J699" s="48"/>
    </row>
    <row r="700">
      <c r="A700" s="48"/>
      <c r="B700" s="64"/>
      <c r="C700" s="64"/>
      <c r="D700" s="64"/>
      <c r="E700" s="64"/>
      <c r="F700" s="64"/>
      <c r="G700" s="64"/>
      <c r="H700" s="48"/>
      <c r="I700" s="48"/>
      <c r="J700" s="48"/>
    </row>
    <row r="701">
      <c r="A701" s="48"/>
      <c r="B701" s="64"/>
      <c r="C701" s="64"/>
      <c r="D701" s="64"/>
      <c r="E701" s="64"/>
      <c r="F701" s="64"/>
      <c r="G701" s="64"/>
      <c r="H701" s="48"/>
      <c r="I701" s="48"/>
      <c r="J701" s="48"/>
    </row>
    <row r="702">
      <c r="A702" s="48"/>
      <c r="B702" s="64"/>
      <c r="C702" s="64"/>
      <c r="D702" s="64"/>
      <c r="E702" s="64"/>
      <c r="F702" s="64"/>
      <c r="G702" s="64"/>
      <c r="H702" s="48"/>
      <c r="I702" s="48"/>
      <c r="J702" s="48"/>
    </row>
    <row r="703">
      <c r="A703" s="48"/>
      <c r="B703" s="64"/>
      <c r="C703" s="64"/>
      <c r="D703" s="64"/>
      <c r="E703" s="64"/>
      <c r="F703" s="64"/>
      <c r="G703" s="64"/>
      <c r="H703" s="48"/>
      <c r="I703" s="48"/>
      <c r="J703" s="48"/>
    </row>
    <row r="704">
      <c r="A704" s="48"/>
      <c r="B704" s="64"/>
      <c r="C704" s="64"/>
      <c r="D704" s="64"/>
      <c r="E704" s="64"/>
      <c r="F704" s="64"/>
      <c r="G704" s="64"/>
      <c r="H704" s="48"/>
      <c r="I704" s="48"/>
      <c r="J704" s="48"/>
    </row>
    <row r="705">
      <c r="A705" s="48"/>
      <c r="B705" s="64"/>
      <c r="C705" s="64"/>
      <c r="D705" s="64"/>
      <c r="E705" s="64"/>
      <c r="F705" s="64"/>
      <c r="G705" s="64"/>
      <c r="H705" s="48"/>
      <c r="I705" s="48"/>
      <c r="J705" s="48"/>
    </row>
    <row r="706">
      <c r="A706" s="48"/>
      <c r="B706" s="64"/>
      <c r="C706" s="64"/>
      <c r="D706" s="64"/>
      <c r="E706" s="64"/>
      <c r="F706" s="64"/>
      <c r="G706" s="64"/>
      <c r="H706" s="48"/>
      <c r="I706" s="48"/>
      <c r="J706" s="48"/>
    </row>
    <row r="707">
      <c r="A707" s="48"/>
      <c r="B707" s="64"/>
      <c r="C707" s="64"/>
      <c r="D707" s="64"/>
      <c r="E707" s="64"/>
      <c r="F707" s="64"/>
      <c r="G707" s="64"/>
      <c r="H707" s="48"/>
      <c r="I707" s="48"/>
      <c r="J707" s="48"/>
    </row>
    <row r="708">
      <c r="A708" s="48"/>
      <c r="B708" s="64"/>
      <c r="C708" s="64"/>
      <c r="D708" s="64"/>
      <c r="E708" s="64"/>
      <c r="F708" s="64"/>
      <c r="G708" s="64"/>
      <c r="H708" s="48"/>
      <c r="I708" s="48"/>
      <c r="J708" s="48"/>
    </row>
    <row r="709">
      <c r="A709" s="48"/>
      <c r="B709" s="64"/>
      <c r="C709" s="64"/>
      <c r="D709" s="64"/>
      <c r="E709" s="64"/>
      <c r="F709" s="64"/>
      <c r="G709" s="64"/>
      <c r="H709" s="48"/>
      <c r="I709" s="48"/>
      <c r="J709" s="48"/>
    </row>
    <row r="710">
      <c r="A710" s="48"/>
      <c r="B710" s="64"/>
      <c r="C710" s="64"/>
      <c r="D710" s="64"/>
      <c r="E710" s="64"/>
      <c r="F710" s="64"/>
      <c r="G710" s="64"/>
      <c r="H710" s="48"/>
      <c r="I710" s="48"/>
      <c r="J710" s="48"/>
    </row>
    <row r="711">
      <c r="A711" s="48"/>
      <c r="B711" s="64"/>
      <c r="C711" s="64"/>
      <c r="D711" s="64"/>
      <c r="E711" s="64"/>
      <c r="F711" s="64"/>
      <c r="G711" s="64"/>
      <c r="H711" s="48"/>
      <c r="I711" s="48"/>
      <c r="J711" s="48"/>
    </row>
    <row r="712">
      <c r="A712" s="48"/>
      <c r="B712" s="64"/>
      <c r="C712" s="64"/>
      <c r="D712" s="64"/>
      <c r="E712" s="64"/>
      <c r="F712" s="64"/>
      <c r="G712" s="64"/>
      <c r="H712" s="48"/>
      <c r="I712" s="48"/>
      <c r="J712" s="48"/>
    </row>
    <row r="713">
      <c r="A713" s="48"/>
      <c r="B713" s="64"/>
      <c r="C713" s="64"/>
      <c r="D713" s="64"/>
      <c r="E713" s="64"/>
      <c r="F713" s="64"/>
      <c r="G713" s="64"/>
      <c r="H713" s="48"/>
      <c r="I713" s="48"/>
      <c r="J713" s="48"/>
    </row>
    <row r="714">
      <c r="A714" s="48"/>
      <c r="B714" s="64"/>
      <c r="C714" s="64"/>
      <c r="D714" s="64"/>
      <c r="E714" s="64"/>
      <c r="F714" s="64"/>
      <c r="G714" s="64"/>
      <c r="H714" s="48"/>
      <c r="I714" s="48"/>
      <c r="J714" s="48"/>
    </row>
    <row r="715">
      <c r="A715" s="48"/>
      <c r="B715" s="64"/>
      <c r="C715" s="64"/>
      <c r="D715" s="64"/>
      <c r="E715" s="64"/>
      <c r="F715" s="64"/>
      <c r="G715" s="64"/>
      <c r="H715" s="48"/>
      <c r="I715" s="48"/>
      <c r="J715" s="48"/>
    </row>
    <row r="716">
      <c r="A716" s="48"/>
      <c r="B716" s="64"/>
      <c r="C716" s="64"/>
      <c r="D716" s="64"/>
      <c r="E716" s="64"/>
      <c r="F716" s="64"/>
      <c r="G716" s="64"/>
      <c r="H716" s="48"/>
      <c r="I716" s="48"/>
      <c r="J716" s="48"/>
    </row>
    <row r="717">
      <c r="A717" s="48"/>
      <c r="B717" s="64"/>
      <c r="C717" s="64"/>
      <c r="D717" s="64"/>
      <c r="E717" s="64"/>
      <c r="F717" s="64"/>
      <c r="G717" s="64"/>
      <c r="H717" s="48"/>
      <c r="I717" s="48"/>
      <c r="J717" s="48"/>
    </row>
    <row r="718">
      <c r="A718" s="48"/>
      <c r="B718" s="64"/>
      <c r="C718" s="64"/>
      <c r="D718" s="64"/>
      <c r="E718" s="64"/>
      <c r="F718" s="64"/>
      <c r="G718" s="64"/>
      <c r="H718" s="48"/>
      <c r="I718" s="48"/>
      <c r="J718" s="48"/>
    </row>
    <row r="719">
      <c r="A719" s="48"/>
      <c r="B719" s="64"/>
      <c r="C719" s="64"/>
      <c r="D719" s="64"/>
      <c r="E719" s="64"/>
      <c r="F719" s="64"/>
      <c r="G719" s="64"/>
      <c r="H719" s="48"/>
      <c r="I719" s="48"/>
      <c r="J719" s="48"/>
    </row>
    <row r="720">
      <c r="A720" s="48"/>
      <c r="B720" s="64"/>
      <c r="C720" s="64"/>
      <c r="D720" s="64"/>
      <c r="E720" s="64"/>
      <c r="F720" s="64"/>
      <c r="G720" s="64"/>
      <c r="H720" s="48"/>
      <c r="I720" s="48"/>
      <c r="J720" s="48"/>
    </row>
    <row r="721">
      <c r="A721" s="48"/>
      <c r="B721" s="64"/>
      <c r="C721" s="64"/>
      <c r="D721" s="64"/>
      <c r="E721" s="64"/>
      <c r="F721" s="64"/>
      <c r="G721" s="64"/>
      <c r="H721" s="48"/>
      <c r="I721" s="48"/>
      <c r="J721" s="48"/>
    </row>
    <row r="722">
      <c r="A722" s="48"/>
      <c r="B722" s="64"/>
      <c r="C722" s="64"/>
      <c r="D722" s="64"/>
      <c r="E722" s="64"/>
      <c r="F722" s="64"/>
      <c r="G722" s="64"/>
      <c r="H722" s="48"/>
      <c r="I722" s="48"/>
      <c r="J722" s="48"/>
    </row>
    <row r="723">
      <c r="A723" s="48"/>
      <c r="B723" s="64"/>
      <c r="C723" s="64"/>
      <c r="D723" s="64"/>
      <c r="E723" s="64"/>
      <c r="F723" s="64"/>
      <c r="G723" s="64"/>
      <c r="H723" s="48"/>
      <c r="I723" s="48"/>
      <c r="J723" s="48"/>
    </row>
    <row r="724">
      <c r="A724" s="48"/>
      <c r="B724" s="64"/>
      <c r="C724" s="64"/>
      <c r="D724" s="64"/>
      <c r="E724" s="64"/>
      <c r="F724" s="64"/>
      <c r="G724" s="64"/>
      <c r="H724" s="48"/>
      <c r="I724" s="48"/>
      <c r="J724" s="48"/>
    </row>
    <row r="725">
      <c r="A725" s="48"/>
      <c r="B725" s="64"/>
      <c r="C725" s="64"/>
      <c r="D725" s="64"/>
      <c r="E725" s="64"/>
      <c r="F725" s="64"/>
      <c r="G725" s="64"/>
      <c r="H725" s="48"/>
      <c r="I725" s="48"/>
      <c r="J725" s="48"/>
    </row>
    <row r="726">
      <c r="A726" s="48"/>
      <c r="B726" s="64"/>
      <c r="C726" s="64"/>
      <c r="D726" s="64"/>
      <c r="E726" s="64"/>
      <c r="F726" s="64"/>
      <c r="G726" s="64"/>
      <c r="H726" s="48"/>
      <c r="I726" s="48"/>
      <c r="J726" s="48"/>
    </row>
    <row r="727">
      <c r="A727" s="48"/>
      <c r="B727" s="64"/>
      <c r="C727" s="64"/>
      <c r="D727" s="64"/>
      <c r="E727" s="64"/>
      <c r="F727" s="64"/>
      <c r="G727" s="64"/>
      <c r="H727" s="48"/>
      <c r="I727" s="48"/>
      <c r="J727" s="48"/>
    </row>
    <row r="728">
      <c r="A728" s="48"/>
      <c r="B728" s="64"/>
      <c r="C728" s="64"/>
      <c r="D728" s="64"/>
      <c r="E728" s="64"/>
      <c r="F728" s="64"/>
      <c r="G728" s="64"/>
      <c r="H728" s="48"/>
      <c r="I728" s="48"/>
      <c r="J728" s="48"/>
    </row>
    <row r="729">
      <c r="A729" s="48"/>
      <c r="B729" s="64"/>
      <c r="C729" s="64"/>
      <c r="D729" s="64"/>
      <c r="E729" s="64"/>
      <c r="F729" s="64"/>
      <c r="G729" s="64"/>
      <c r="H729" s="48"/>
      <c r="I729" s="48"/>
      <c r="J729" s="48"/>
    </row>
    <row r="730">
      <c r="A730" s="48"/>
      <c r="B730" s="64"/>
      <c r="C730" s="64"/>
      <c r="D730" s="64"/>
      <c r="E730" s="64"/>
      <c r="F730" s="64"/>
      <c r="G730" s="64"/>
      <c r="H730" s="48"/>
      <c r="I730" s="48"/>
      <c r="J730" s="48"/>
    </row>
    <row r="731">
      <c r="A731" s="48"/>
      <c r="B731" s="64"/>
      <c r="C731" s="64"/>
      <c r="D731" s="64"/>
      <c r="E731" s="64"/>
      <c r="F731" s="64"/>
      <c r="G731" s="64"/>
      <c r="H731" s="48"/>
      <c r="I731" s="48"/>
      <c r="J731" s="48"/>
    </row>
    <row r="732">
      <c r="A732" s="48"/>
      <c r="B732" s="64"/>
      <c r="C732" s="64"/>
      <c r="D732" s="64"/>
      <c r="E732" s="64"/>
      <c r="F732" s="64"/>
      <c r="G732" s="64"/>
      <c r="H732" s="48"/>
      <c r="I732" s="48"/>
      <c r="J732" s="48"/>
    </row>
    <row r="733">
      <c r="A733" s="48"/>
      <c r="B733" s="64"/>
      <c r="C733" s="64"/>
      <c r="D733" s="64"/>
      <c r="E733" s="64"/>
      <c r="F733" s="64"/>
      <c r="G733" s="64"/>
      <c r="H733" s="48"/>
      <c r="I733" s="48"/>
      <c r="J733" s="48"/>
    </row>
    <row r="734">
      <c r="A734" s="48"/>
      <c r="B734" s="64"/>
      <c r="C734" s="64"/>
      <c r="D734" s="64"/>
      <c r="E734" s="64"/>
      <c r="F734" s="64"/>
      <c r="G734" s="64"/>
      <c r="H734" s="48"/>
      <c r="I734" s="48"/>
      <c r="J734" s="48"/>
    </row>
    <row r="735">
      <c r="A735" s="48"/>
      <c r="B735" s="64"/>
      <c r="C735" s="64"/>
      <c r="D735" s="64"/>
      <c r="E735" s="64"/>
      <c r="F735" s="64"/>
      <c r="G735" s="64"/>
      <c r="H735" s="48"/>
      <c r="I735" s="48"/>
      <c r="J735" s="48"/>
    </row>
    <row r="736">
      <c r="A736" s="48"/>
      <c r="B736" s="64"/>
      <c r="C736" s="64"/>
      <c r="D736" s="64"/>
      <c r="E736" s="64"/>
      <c r="F736" s="64"/>
      <c r="G736" s="64"/>
      <c r="H736" s="48"/>
      <c r="I736" s="48"/>
      <c r="J736" s="48"/>
    </row>
    <row r="737">
      <c r="A737" s="48"/>
      <c r="B737" s="64"/>
      <c r="C737" s="64"/>
      <c r="D737" s="64"/>
      <c r="E737" s="64"/>
      <c r="F737" s="64"/>
      <c r="G737" s="64"/>
      <c r="H737" s="48"/>
      <c r="I737" s="48"/>
      <c r="J737" s="48"/>
    </row>
    <row r="738">
      <c r="A738" s="48"/>
      <c r="B738" s="64"/>
      <c r="C738" s="64"/>
      <c r="D738" s="64"/>
      <c r="E738" s="64"/>
      <c r="F738" s="64"/>
      <c r="G738" s="64"/>
      <c r="H738" s="48"/>
      <c r="I738" s="48"/>
      <c r="J738" s="48"/>
    </row>
    <row r="739">
      <c r="A739" s="48"/>
      <c r="B739" s="64"/>
      <c r="C739" s="64"/>
      <c r="D739" s="64"/>
      <c r="E739" s="64"/>
      <c r="F739" s="64"/>
      <c r="G739" s="64"/>
      <c r="H739" s="48"/>
      <c r="I739" s="48"/>
      <c r="J739" s="48"/>
    </row>
    <row r="740">
      <c r="A740" s="48"/>
      <c r="B740" s="64"/>
      <c r="C740" s="64"/>
      <c r="D740" s="64"/>
      <c r="E740" s="64"/>
      <c r="F740" s="64"/>
      <c r="G740" s="64"/>
      <c r="H740" s="48"/>
      <c r="I740" s="48"/>
      <c r="J740" s="48"/>
    </row>
    <row r="741">
      <c r="A741" s="48"/>
      <c r="B741" s="64"/>
      <c r="C741" s="64"/>
      <c r="D741" s="64"/>
      <c r="E741" s="64"/>
      <c r="F741" s="64"/>
      <c r="G741" s="64"/>
      <c r="H741" s="48"/>
      <c r="I741" s="48"/>
      <c r="J741" s="48"/>
    </row>
    <row r="742">
      <c r="A742" s="48"/>
      <c r="B742" s="64"/>
      <c r="C742" s="64"/>
      <c r="D742" s="64"/>
      <c r="E742" s="64"/>
      <c r="F742" s="64"/>
      <c r="G742" s="64"/>
      <c r="H742" s="48"/>
      <c r="I742" s="48"/>
      <c r="J742" s="48"/>
    </row>
    <row r="743">
      <c r="A743" s="48"/>
      <c r="B743" s="64"/>
      <c r="C743" s="64"/>
      <c r="D743" s="64"/>
      <c r="E743" s="64"/>
      <c r="F743" s="64"/>
      <c r="G743" s="64"/>
      <c r="H743" s="48"/>
      <c r="I743" s="48"/>
      <c r="J743" s="48"/>
    </row>
    <row r="744">
      <c r="A744" s="48"/>
      <c r="B744" s="64"/>
      <c r="C744" s="64"/>
      <c r="D744" s="64"/>
      <c r="E744" s="64"/>
      <c r="F744" s="64"/>
      <c r="G744" s="64"/>
      <c r="H744" s="48"/>
      <c r="I744" s="48"/>
      <c r="J744" s="48"/>
    </row>
    <row r="745">
      <c r="A745" s="48"/>
      <c r="B745" s="64"/>
      <c r="C745" s="64"/>
      <c r="D745" s="64"/>
      <c r="E745" s="64"/>
      <c r="F745" s="64"/>
      <c r="G745" s="64"/>
      <c r="H745" s="48"/>
      <c r="I745" s="48"/>
      <c r="J745" s="48"/>
    </row>
    <row r="746">
      <c r="A746" s="48"/>
      <c r="B746" s="64"/>
      <c r="C746" s="64"/>
      <c r="D746" s="64"/>
      <c r="E746" s="64"/>
      <c r="F746" s="64"/>
      <c r="G746" s="64"/>
      <c r="H746" s="48"/>
      <c r="I746" s="48"/>
      <c r="J746" s="48"/>
    </row>
    <row r="747">
      <c r="A747" s="48"/>
      <c r="B747" s="64"/>
      <c r="C747" s="64"/>
      <c r="D747" s="64"/>
      <c r="E747" s="64"/>
      <c r="F747" s="64"/>
      <c r="G747" s="64"/>
      <c r="H747" s="48"/>
      <c r="I747" s="48"/>
      <c r="J747" s="48"/>
    </row>
    <row r="748">
      <c r="A748" s="48"/>
      <c r="B748" s="64"/>
      <c r="C748" s="64"/>
      <c r="D748" s="64"/>
      <c r="E748" s="64"/>
      <c r="F748" s="64"/>
      <c r="G748" s="64"/>
      <c r="H748" s="48"/>
      <c r="I748" s="48"/>
      <c r="J748" s="48"/>
    </row>
    <row r="749">
      <c r="A749" s="48"/>
      <c r="B749" s="64"/>
      <c r="C749" s="64"/>
      <c r="D749" s="64"/>
      <c r="E749" s="64"/>
      <c r="F749" s="64"/>
      <c r="G749" s="64"/>
      <c r="H749" s="48"/>
      <c r="I749" s="48"/>
      <c r="J749" s="48"/>
    </row>
    <row r="750">
      <c r="A750" s="48"/>
      <c r="B750" s="64"/>
      <c r="C750" s="64"/>
      <c r="D750" s="64"/>
      <c r="E750" s="64"/>
      <c r="F750" s="64"/>
      <c r="G750" s="64"/>
      <c r="H750" s="48"/>
      <c r="I750" s="48"/>
      <c r="J750" s="48"/>
    </row>
    <row r="751">
      <c r="A751" s="48"/>
      <c r="B751" s="64"/>
      <c r="C751" s="64"/>
      <c r="D751" s="64"/>
      <c r="E751" s="64"/>
      <c r="F751" s="64"/>
      <c r="G751" s="64"/>
      <c r="H751" s="48"/>
      <c r="I751" s="48"/>
      <c r="J751" s="48"/>
    </row>
    <row r="752">
      <c r="A752" s="48"/>
      <c r="B752" s="64"/>
      <c r="C752" s="64"/>
      <c r="D752" s="64"/>
      <c r="E752" s="64"/>
      <c r="F752" s="64"/>
      <c r="G752" s="64"/>
      <c r="H752" s="48"/>
      <c r="I752" s="48"/>
      <c r="J752" s="48"/>
    </row>
    <row r="753">
      <c r="A753" s="48"/>
      <c r="B753" s="64"/>
      <c r="C753" s="64"/>
      <c r="D753" s="64"/>
      <c r="E753" s="64"/>
      <c r="F753" s="64"/>
      <c r="G753" s="64"/>
      <c r="H753" s="48"/>
      <c r="I753" s="48"/>
      <c r="J753" s="48"/>
    </row>
    <row r="754">
      <c r="A754" s="48"/>
      <c r="B754" s="64"/>
      <c r="C754" s="64"/>
      <c r="D754" s="64"/>
      <c r="E754" s="64"/>
      <c r="F754" s="64"/>
      <c r="G754" s="64"/>
      <c r="H754" s="48"/>
      <c r="I754" s="48"/>
      <c r="J754" s="48"/>
    </row>
    <row r="755">
      <c r="A755" s="48"/>
      <c r="B755" s="64"/>
      <c r="C755" s="64"/>
      <c r="D755" s="64"/>
      <c r="E755" s="64"/>
      <c r="F755" s="64"/>
      <c r="G755" s="64"/>
      <c r="H755" s="48"/>
      <c r="I755" s="48"/>
      <c r="J755" s="48"/>
    </row>
    <row r="756">
      <c r="A756" s="48"/>
      <c r="B756" s="64"/>
      <c r="C756" s="64"/>
      <c r="D756" s="64"/>
      <c r="E756" s="64"/>
      <c r="F756" s="64"/>
      <c r="G756" s="64"/>
      <c r="H756" s="48"/>
      <c r="I756" s="48"/>
      <c r="J756" s="48"/>
    </row>
    <row r="757">
      <c r="A757" s="48"/>
      <c r="B757" s="64"/>
      <c r="C757" s="64"/>
      <c r="D757" s="64"/>
      <c r="E757" s="64"/>
      <c r="F757" s="64"/>
      <c r="G757" s="64"/>
      <c r="H757" s="48"/>
      <c r="I757" s="48"/>
      <c r="J757" s="48"/>
    </row>
    <row r="758">
      <c r="A758" s="48"/>
      <c r="B758" s="64"/>
      <c r="C758" s="64"/>
      <c r="D758" s="64"/>
      <c r="E758" s="64"/>
      <c r="F758" s="64"/>
      <c r="G758" s="64"/>
      <c r="H758" s="48"/>
      <c r="I758" s="48"/>
      <c r="J758" s="48"/>
    </row>
    <row r="759">
      <c r="A759" s="48"/>
      <c r="B759" s="64"/>
      <c r="C759" s="64"/>
      <c r="D759" s="64"/>
      <c r="E759" s="64"/>
      <c r="F759" s="64"/>
      <c r="G759" s="64"/>
      <c r="H759" s="48"/>
      <c r="I759" s="48"/>
      <c r="J759" s="48"/>
    </row>
    <row r="760">
      <c r="A760" s="48"/>
      <c r="B760" s="64"/>
      <c r="C760" s="64"/>
      <c r="D760" s="64"/>
      <c r="E760" s="64"/>
      <c r="F760" s="64"/>
      <c r="G760" s="64"/>
      <c r="H760" s="48"/>
      <c r="I760" s="48"/>
      <c r="J760" s="48"/>
    </row>
    <row r="761">
      <c r="A761" s="48"/>
      <c r="B761" s="64"/>
      <c r="C761" s="64"/>
      <c r="D761" s="64"/>
      <c r="E761" s="64"/>
      <c r="F761" s="64"/>
      <c r="G761" s="64"/>
      <c r="H761" s="48"/>
      <c r="I761" s="48"/>
      <c r="J761" s="48"/>
    </row>
    <row r="762">
      <c r="A762" s="48"/>
      <c r="B762" s="64"/>
      <c r="C762" s="64"/>
      <c r="D762" s="64"/>
      <c r="E762" s="64"/>
      <c r="F762" s="64"/>
      <c r="G762" s="64"/>
      <c r="H762" s="48"/>
      <c r="I762" s="48"/>
      <c r="J762" s="48"/>
    </row>
    <row r="763">
      <c r="A763" s="48"/>
      <c r="B763" s="64"/>
      <c r="C763" s="64"/>
      <c r="D763" s="64"/>
      <c r="E763" s="64"/>
      <c r="F763" s="64"/>
      <c r="G763" s="64"/>
      <c r="H763" s="48"/>
      <c r="I763" s="48"/>
      <c r="J763" s="48"/>
    </row>
    <row r="764">
      <c r="A764" s="48"/>
      <c r="B764" s="64"/>
      <c r="C764" s="64"/>
      <c r="D764" s="64"/>
      <c r="E764" s="64"/>
      <c r="F764" s="64"/>
      <c r="G764" s="64"/>
      <c r="H764" s="48"/>
      <c r="I764" s="48"/>
      <c r="J764" s="48"/>
    </row>
    <row r="765">
      <c r="A765" s="48"/>
      <c r="B765" s="64"/>
      <c r="C765" s="64"/>
      <c r="D765" s="64"/>
      <c r="E765" s="64"/>
      <c r="F765" s="64"/>
      <c r="G765" s="64"/>
      <c r="H765" s="48"/>
      <c r="I765" s="48"/>
      <c r="J765" s="48"/>
    </row>
    <row r="766">
      <c r="A766" s="48"/>
      <c r="B766" s="64"/>
      <c r="C766" s="64"/>
      <c r="D766" s="64"/>
      <c r="E766" s="64"/>
      <c r="F766" s="64"/>
      <c r="G766" s="64"/>
      <c r="H766" s="48"/>
      <c r="I766" s="48"/>
      <c r="J766" s="48"/>
    </row>
    <row r="767">
      <c r="A767" s="48"/>
      <c r="B767" s="64"/>
      <c r="C767" s="64"/>
      <c r="D767" s="64"/>
      <c r="E767" s="64"/>
      <c r="F767" s="64"/>
      <c r="G767" s="64"/>
      <c r="H767" s="48"/>
      <c r="I767" s="48"/>
      <c r="J767" s="48"/>
    </row>
    <row r="768">
      <c r="A768" s="48"/>
      <c r="B768" s="64"/>
      <c r="C768" s="64"/>
      <c r="D768" s="64"/>
      <c r="E768" s="64"/>
      <c r="F768" s="64"/>
      <c r="G768" s="64"/>
      <c r="H768" s="48"/>
      <c r="I768" s="48"/>
      <c r="J768" s="48"/>
    </row>
    <row r="769">
      <c r="A769" s="48"/>
      <c r="B769" s="64"/>
      <c r="C769" s="64"/>
      <c r="D769" s="64"/>
      <c r="E769" s="64"/>
      <c r="F769" s="64"/>
      <c r="G769" s="64"/>
      <c r="H769" s="48"/>
      <c r="I769" s="48"/>
      <c r="J769" s="48"/>
    </row>
    <row r="770">
      <c r="A770" s="48"/>
      <c r="B770" s="64"/>
      <c r="C770" s="64"/>
      <c r="D770" s="64"/>
      <c r="E770" s="64"/>
      <c r="F770" s="64"/>
      <c r="G770" s="64"/>
      <c r="H770" s="48"/>
      <c r="I770" s="48"/>
      <c r="J770" s="48"/>
    </row>
    <row r="771">
      <c r="A771" s="48"/>
      <c r="B771" s="64"/>
      <c r="C771" s="64"/>
      <c r="D771" s="64"/>
      <c r="E771" s="64"/>
      <c r="F771" s="64"/>
      <c r="G771" s="64"/>
      <c r="H771" s="48"/>
      <c r="I771" s="48"/>
      <c r="J771" s="48"/>
    </row>
    <row r="772">
      <c r="A772" s="48"/>
      <c r="B772" s="64"/>
      <c r="C772" s="64"/>
      <c r="D772" s="64"/>
      <c r="E772" s="64"/>
      <c r="F772" s="64"/>
      <c r="G772" s="64"/>
      <c r="H772" s="48"/>
      <c r="I772" s="48"/>
      <c r="J772" s="48"/>
    </row>
    <row r="773">
      <c r="A773" s="48"/>
      <c r="B773" s="64"/>
      <c r="C773" s="64"/>
      <c r="D773" s="64"/>
      <c r="E773" s="64"/>
      <c r="F773" s="64"/>
      <c r="G773" s="64"/>
      <c r="H773" s="48"/>
      <c r="I773" s="48"/>
      <c r="J773" s="48"/>
    </row>
    <row r="774">
      <c r="A774" s="48"/>
      <c r="B774" s="64"/>
      <c r="C774" s="64"/>
      <c r="D774" s="64"/>
      <c r="E774" s="64"/>
      <c r="F774" s="64"/>
      <c r="G774" s="64"/>
      <c r="H774" s="48"/>
      <c r="I774" s="48"/>
      <c r="J774" s="48"/>
    </row>
    <row r="775">
      <c r="A775" s="48"/>
      <c r="B775" s="64"/>
      <c r="C775" s="64"/>
      <c r="D775" s="64"/>
      <c r="E775" s="64"/>
      <c r="F775" s="64"/>
      <c r="G775" s="64"/>
      <c r="H775" s="48"/>
      <c r="I775" s="48"/>
      <c r="J775" s="48"/>
    </row>
    <row r="776">
      <c r="A776" s="48"/>
      <c r="B776" s="64"/>
      <c r="C776" s="64"/>
      <c r="D776" s="64"/>
      <c r="E776" s="64"/>
      <c r="F776" s="64"/>
      <c r="G776" s="64"/>
      <c r="H776" s="48"/>
      <c r="I776" s="48"/>
      <c r="J776" s="48"/>
    </row>
    <row r="777">
      <c r="A777" s="48"/>
      <c r="B777" s="64"/>
      <c r="C777" s="64"/>
      <c r="D777" s="64"/>
      <c r="E777" s="64"/>
      <c r="F777" s="64"/>
      <c r="G777" s="64"/>
      <c r="H777" s="48"/>
      <c r="I777" s="48"/>
      <c r="J777" s="48"/>
    </row>
    <row r="778">
      <c r="A778" s="48"/>
      <c r="B778" s="64"/>
      <c r="C778" s="64"/>
      <c r="D778" s="64"/>
      <c r="E778" s="64"/>
      <c r="F778" s="64"/>
      <c r="G778" s="64"/>
      <c r="H778" s="48"/>
      <c r="I778" s="48"/>
      <c r="J778" s="48"/>
    </row>
    <row r="779">
      <c r="A779" s="48"/>
      <c r="B779" s="64"/>
      <c r="C779" s="64"/>
      <c r="D779" s="64"/>
      <c r="E779" s="64"/>
      <c r="F779" s="64"/>
      <c r="G779" s="64"/>
      <c r="H779" s="48"/>
      <c r="I779" s="48"/>
      <c r="J779" s="48"/>
    </row>
    <row r="780">
      <c r="A780" s="48"/>
      <c r="B780" s="64"/>
      <c r="C780" s="64"/>
      <c r="D780" s="64"/>
      <c r="E780" s="64"/>
      <c r="F780" s="64"/>
      <c r="G780" s="64"/>
      <c r="H780" s="48"/>
      <c r="I780" s="48"/>
      <c r="J780" s="48"/>
    </row>
    <row r="781">
      <c r="A781" s="48"/>
      <c r="B781" s="64"/>
      <c r="C781" s="64"/>
      <c r="D781" s="64"/>
      <c r="E781" s="64"/>
      <c r="F781" s="64"/>
      <c r="G781" s="64"/>
      <c r="H781" s="48"/>
      <c r="I781" s="48"/>
      <c r="J781" s="48"/>
    </row>
    <row r="782">
      <c r="A782" s="48"/>
      <c r="B782" s="64"/>
      <c r="C782" s="64"/>
      <c r="D782" s="64"/>
      <c r="E782" s="64"/>
      <c r="F782" s="64"/>
      <c r="G782" s="64"/>
      <c r="H782" s="48"/>
      <c r="I782" s="48"/>
      <c r="J782" s="48"/>
    </row>
    <row r="783">
      <c r="A783" s="48"/>
      <c r="B783" s="64"/>
      <c r="C783" s="64"/>
      <c r="D783" s="64"/>
      <c r="E783" s="64"/>
      <c r="F783" s="64"/>
      <c r="G783" s="64"/>
      <c r="H783" s="48"/>
      <c r="I783" s="48"/>
      <c r="J783" s="48"/>
    </row>
    <row r="784">
      <c r="A784" s="48"/>
      <c r="B784" s="64"/>
      <c r="C784" s="64"/>
      <c r="D784" s="64"/>
      <c r="E784" s="64"/>
      <c r="F784" s="64"/>
      <c r="G784" s="64"/>
      <c r="H784" s="48"/>
      <c r="I784" s="48"/>
      <c r="J784" s="48"/>
    </row>
    <row r="785">
      <c r="A785" s="48"/>
      <c r="B785" s="64"/>
      <c r="C785" s="64"/>
      <c r="D785" s="64"/>
      <c r="E785" s="64"/>
      <c r="F785" s="64"/>
      <c r="G785" s="64"/>
      <c r="H785" s="48"/>
      <c r="I785" s="48"/>
      <c r="J785" s="48"/>
    </row>
    <row r="786">
      <c r="A786" s="48"/>
      <c r="B786" s="64"/>
      <c r="C786" s="64"/>
      <c r="D786" s="64"/>
      <c r="E786" s="64"/>
      <c r="F786" s="64"/>
      <c r="G786" s="64"/>
      <c r="H786" s="48"/>
      <c r="I786" s="48"/>
      <c r="J786" s="48"/>
    </row>
    <row r="787">
      <c r="A787" s="48"/>
      <c r="B787" s="64"/>
      <c r="C787" s="64"/>
      <c r="D787" s="64"/>
      <c r="E787" s="64"/>
      <c r="F787" s="64"/>
      <c r="G787" s="64"/>
      <c r="H787" s="48"/>
      <c r="I787" s="48"/>
      <c r="J787" s="48"/>
    </row>
    <row r="788">
      <c r="A788" s="48"/>
      <c r="B788" s="64"/>
      <c r="C788" s="64"/>
      <c r="D788" s="64"/>
      <c r="E788" s="64"/>
      <c r="F788" s="64"/>
      <c r="G788" s="64"/>
      <c r="H788" s="48"/>
      <c r="I788" s="48"/>
      <c r="J788" s="48"/>
    </row>
    <row r="789">
      <c r="A789" s="48"/>
      <c r="B789" s="64"/>
      <c r="C789" s="64"/>
      <c r="D789" s="64"/>
      <c r="E789" s="64"/>
      <c r="F789" s="64"/>
      <c r="G789" s="64"/>
      <c r="H789" s="48"/>
      <c r="I789" s="48"/>
      <c r="J789" s="48"/>
    </row>
    <row r="790">
      <c r="A790" s="48"/>
      <c r="B790" s="64"/>
      <c r="C790" s="64"/>
      <c r="D790" s="64"/>
      <c r="E790" s="64"/>
      <c r="F790" s="64"/>
      <c r="G790" s="64"/>
      <c r="H790" s="48"/>
      <c r="I790" s="48"/>
      <c r="J790" s="48"/>
    </row>
    <row r="791">
      <c r="A791" s="48"/>
      <c r="B791" s="64"/>
      <c r="C791" s="64"/>
      <c r="D791" s="64"/>
      <c r="E791" s="64"/>
      <c r="F791" s="64"/>
      <c r="G791" s="64"/>
      <c r="H791" s="48"/>
      <c r="I791" s="48"/>
      <c r="J791" s="48"/>
    </row>
    <row r="792">
      <c r="A792" s="48"/>
      <c r="B792" s="64"/>
      <c r="C792" s="64"/>
      <c r="D792" s="64"/>
      <c r="E792" s="64"/>
      <c r="F792" s="64"/>
      <c r="G792" s="64"/>
      <c r="H792" s="48"/>
      <c r="I792" s="48"/>
      <c r="J792" s="48"/>
    </row>
    <row r="793">
      <c r="A793" s="48"/>
      <c r="B793" s="64"/>
      <c r="C793" s="64"/>
      <c r="D793" s="64"/>
      <c r="E793" s="64"/>
      <c r="F793" s="64"/>
      <c r="G793" s="64"/>
      <c r="H793" s="48"/>
      <c r="I793" s="48"/>
      <c r="J793" s="48"/>
    </row>
    <row r="794">
      <c r="A794" s="48"/>
      <c r="B794" s="64"/>
      <c r="C794" s="64"/>
      <c r="D794" s="64"/>
      <c r="E794" s="64"/>
      <c r="F794" s="64"/>
      <c r="G794" s="64"/>
      <c r="H794" s="48"/>
      <c r="I794" s="48"/>
      <c r="J794" s="48"/>
    </row>
    <row r="795">
      <c r="A795" s="48"/>
      <c r="B795" s="64"/>
      <c r="C795" s="64"/>
      <c r="D795" s="64"/>
      <c r="E795" s="64"/>
      <c r="F795" s="64"/>
      <c r="G795" s="64"/>
      <c r="H795" s="48"/>
      <c r="I795" s="48"/>
      <c r="J795" s="48"/>
    </row>
    <row r="796">
      <c r="A796" s="48"/>
      <c r="B796" s="64"/>
      <c r="C796" s="64"/>
      <c r="D796" s="64"/>
      <c r="E796" s="64"/>
      <c r="F796" s="64"/>
      <c r="G796" s="64"/>
      <c r="H796" s="48"/>
      <c r="I796" s="48"/>
      <c r="J796" s="48"/>
    </row>
    <row r="797">
      <c r="A797" s="48"/>
      <c r="B797" s="64"/>
      <c r="C797" s="64"/>
      <c r="D797" s="64"/>
      <c r="E797" s="64"/>
      <c r="F797" s="64"/>
      <c r="G797" s="64"/>
      <c r="H797" s="48"/>
      <c r="I797" s="48"/>
      <c r="J797" s="48"/>
    </row>
    <row r="798">
      <c r="A798" s="48"/>
      <c r="B798" s="64"/>
      <c r="C798" s="64"/>
      <c r="D798" s="64"/>
      <c r="E798" s="64"/>
      <c r="F798" s="64"/>
      <c r="G798" s="64"/>
      <c r="H798" s="48"/>
      <c r="I798" s="48"/>
      <c r="J798" s="48"/>
    </row>
    <row r="799">
      <c r="A799" s="48"/>
      <c r="B799" s="64"/>
      <c r="C799" s="64"/>
      <c r="D799" s="64"/>
      <c r="E799" s="64"/>
      <c r="F799" s="64"/>
      <c r="G799" s="64"/>
      <c r="H799" s="48"/>
      <c r="I799" s="48"/>
      <c r="J799" s="48"/>
    </row>
    <row r="800">
      <c r="A800" s="48"/>
      <c r="B800" s="64"/>
      <c r="C800" s="64"/>
      <c r="D800" s="64"/>
      <c r="E800" s="64"/>
      <c r="F800" s="64"/>
      <c r="G800" s="64"/>
      <c r="H800" s="48"/>
      <c r="I800" s="48"/>
      <c r="J800" s="48"/>
    </row>
    <row r="801">
      <c r="A801" s="48"/>
      <c r="B801" s="64"/>
      <c r="C801" s="64"/>
      <c r="D801" s="64"/>
      <c r="E801" s="64"/>
      <c r="F801" s="64"/>
      <c r="G801" s="64"/>
      <c r="H801" s="48"/>
      <c r="I801" s="48"/>
      <c r="J801" s="48"/>
    </row>
    <row r="802">
      <c r="A802" s="48"/>
      <c r="B802" s="64"/>
      <c r="C802" s="64"/>
      <c r="D802" s="64"/>
      <c r="E802" s="64"/>
      <c r="F802" s="64"/>
      <c r="G802" s="64"/>
      <c r="H802" s="48"/>
      <c r="I802" s="48"/>
      <c r="J802" s="48"/>
    </row>
    <row r="803">
      <c r="A803" s="48"/>
      <c r="B803" s="64"/>
      <c r="C803" s="64"/>
      <c r="D803" s="64"/>
      <c r="E803" s="64"/>
      <c r="F803" s="64"/>
      <c r="G803" s="64"/>
      <c r="H803" s="48"/>
      <c r="I803" s="48"/>
      <c r="J803" s="48"/>
    </row>
    <row r="804">
      <c r="A804" s="48"/>
      <c r="B804" s="64"/>
      <c r="C804" s="64"/>
      <c r="D804" s="64"/>
      <c r="E804" s="64"/>
      <c r="F804" s="64"/>
      <c r="G804" s="64"/>
      <c r="H804" s="48"/>
      <c r="I804" s="48"/>
      <c r="J804" s="48"/>
    </row>
    <row r="805">
      <c r="A805" s="48"/>
      <c r="B805" s="64"/>
      <c r="C805" s="64"/>
      <c r="D805" s="64"/>
      <c r="E805" s="64"/>
      <c r="F805" s="64"/>
      <c r="G805" s="64"/>
      <c r="H805" s="48"/>
      <c r="I805" s="48"/>
      <c r="J805" s="48"/>
    </row>
    <row r="806">
      <c r="A806" s="48"/>
      <c r="B806" s="64"/>
      <c r="C806" s="64"/>
      <c r="D806" s="64"/>
      <c r="E806" s="64"/>
      <c r="F806" s="64"/>
      <c r="G806" s="64"/>
      <c r="H806" s="48"/>
      <c r="I806" s="48"/>
      <c r="J806" s="48"/>
    </row>
    <row r="807">
      <c r="A807" s="48"/>
      <c r="B807" s="64"/>
      <c r="C807" s="64"/>
      <c r="D807" s="64"/>
      <c r="E807" s="64"/>
      <c r="F807" s="64"/>
      <c r="G807" s="64"/>
      <c r="H807" s="48"/>
      <c r="I807" s="48"/>
      <c r="J807" s="48"/>
    </row>
    <row r="808">
      <c r="A808" s="48"/>
      <c r="B808" s="64"/>
      <c r="C808" s="64"/>
      <c r="D808" s="64"/>
      <c r="E808" s="64"/>
      <c r="F808" s="64"/>
      <c r="G808" s="64"/>
      <c r="H808" s="48"/>
      <c r="I808" s="48"/>
      <c r="J808" s="48"/>
    </row>
    <row r="809">
      <c r="A809" s="48"/>
      <c r="B809" s="64"/>
      <c r="C809" s="64"/>
      <c r="D809" s="64"/>
      <c r="E809" s="64"/>
      <c r="F809" s="64"/>
      <c r="G809" s="64"/>
      <c r="H809" s="48"/>
      <c r="I809" s="48"/>
      <c r="J809" s="48"/>
    </row>
    <row r="810">
      <c r="A810" s="48"/>
      <c r="B810" s="64"/>
      <c r="C810" s="64"/>
      <c r="D810" s="64"/>
      <c r="E810" s="64"/>
      <c r="F810" s="64"/>
      <c r="G810" s="64"/>
      <c r="H810" s="48"/>
      <c r="I810" s="48"/>
      <c r="J810" s="48"/>
    </row>
    <row r="811">
      <c r="A811" s="48"/>
      <c r="B811" s="64"/>
      <c r="C811" s="64"/>
      <c r="D811" s="64"/>
      <c r="E811" s="64"/>
      <c r="F811" s="64"/>
      <c r="G811" s="64"/>
      <c r="H811" s="48"/>
      <c r="I811" s="48"/>
      <c r="J811" s="48"/>
    </row>
    <row r="812">
      <c r="A812" s="48"/>
      <c r="B812" s="64"/>
      <c r="C812" s="64"/>
      <c r="D812" s="64"/>
      <c r="E812" s="64"/>
      <c r="F812" s="64"/>
      <c r="G812" s="64"/>
      <c r="H812" s="48"/>
      <c r="I812" s="48"/>
      <c r="J812" s="48"/>
    </row>
    <row r="813">
      <c r="A813" s="48"/>
      <c r="B813" s="64"/>
      <c r="C813" s="64"/>
      <c r="D813" s="64"/>
      <c r="E813" s="64"/>
      <c r="F813" s="64"/>
      <c r="G813" s="64"/>
      <c r="H813" s="48"/>
      <c r="I813" s="48"/>
      <c r="J813" s="48"/>
    </row>
    <row r="814">
      <c r="A814" s="48"/>
      <c r="B814" s="64"/>
      <c r="C814" s="64"/>
      <c r="D814" s="64"/>
      <c r="E814" s="64"/>
      <c r="F814" s="64"/>
      <c r="G814" s="64"/>
      <c r="H814" s="48"/>
      <c r="I814" s="48"/>
      <c r="J814" s="48"/>
    </row>
    <row r="815">
      <c r="A815" s="48"/>
      <c r="B815" s="64"/>
      <c r="C815" s="64"/>
      <c r="D815" s="64"/>
      <c r="E815" s="64"/>
      <c r="F815" s="64"/>
      <c r="G815" s="64"/>
      <c r="H815" s="48"/>
      <c r="I815" s="48"/>
      <c r="J815" s="48"/>
    </row>
    <row r="816">
      <c r="A816" s="48"/>
      <c r="B816" s="64"/>
      <c r="C816" s="64"/>
      <c r="D816" s="64"/>
      <c r="E816" s="64"/>
      <c r="F816" s="64"/>
      <c r="G816" s="64"/>
      <c r="H816" s="48"/>
      <c r="I816" s="48"/>
      <c r="J816" s="48"/>
    </row>
    <row r="817">
      <c r="A817" s="48"/>
      <c r="B817" s="64"/>
      <c r="C817" s="64"/>
      <c r="D817" s="64"/>
      <c r="E817" s="64"/>
      <c r="F817" s="64"/>
      <c r="G817" s="64"/>
      <c r="H817" s="48"/>
      <c r="I817" s="48"/>
      <c r="J817" s="48"/>
    </row>
    <row r="818">
      <c r="A818" s="48"/>
      <c r="B818" s="64"/>
      <c r="C818" s="64"/>
      <c r="D818" s="64"/>
      <c r="E818" s="64"/>
      <c r="F818" s="64"/>
      <c r="G818" s="64"/>
      <c r="H818" s="48"/>
      <c r="I818" s="48"/>
      <c r="J818" s="48"/>
    </row>
    <row r="819">
      <c r="A819" s="48"/>
      <c r="B819" s="64"/>
      <c r="C819" s="64"/>
      <c r="D819" s="64"/>
      <c r="E819" s="64"/>
      <c r="F819" s="64"/>
      <c r="G819" s="64"/>
      <c r="H819" s="48"/>
      <c r="I819" s="48"/>
      <c r="J819" s="48"/>
    </row>
    <row r="820">
      <c r="A820" s="48"/>
      <c r="B820" s="64"/>
      <c r="C820" s="64"/>
      <c r="D820" s="64"/>
      <c r="E820" s="64"/>
      <c r="F820" s="64"/>
      <c r="G820" s="64"/>
      <c r="H820" s="48"/>
      <c r="I820" s="48"/>
      <c r="J820" s="48"/>
    </row>
    <row r="821">
      <c r="A821" s="48"/>
      <c r="B821" s="64"/>
      <c r="C821" s="64"/>
      <c r="D821" s="64"/>
      <c r="E821" s="64"/>
      <c r="F821" s="64"/>
      <c r="G821" s="64"/>
      <c r="H821" s="48"/>
      <c r="I821" s="48"/>
      <c r="J821" s="48"/>
    </row>
    <row r="822">
      <c r="A822" s="48"/>
      <c r="B822" s="64"/>
      <c r="C822" s="64"/>
      <c r="D822" s="64"/>
      <c r="E822" s="64"/>
      <c r="F822" s="64"/>
      <c r="G822" s="64"/>
      <c r="H822" s="48"/>
      <c r="I822" s="48"/>
      <c r="J822" s="48"/>
    </row>
    <row r="823">
      <c r="A823" s="48"/>
      <c r="B823" s="64"/>
      <c r="C823" s="64"/>
      <c r="D823" s="64"/>
      <c r="E823" s="64"/>
      <c r="F823" s="64"/>
      <c r="G823" s="64"/>
      <c r="H823" s="48"/>
      <c r="I823" s="48"/>
      <c r="J823" s="48"/>
    </row>
    <row r="824">
      <c r="A824" s="48"/>
      <c r="B824" s="64"/>
      <c r="C824" s="64"/>
      <c r="D824" s="64"/>
      <c r="E824" s="64"/>
      <c r="F824" s="64"/>
      <c r="G824" s="64"/>
      <c r="H824" s="48"/>
      <c r="I824" s="48"/>
      <c r="J824" s="48"/>
    </row>
    <row r="825">
      <c r="A825" s="48"/>
      <c r="B825" s="64"/>
      <c r="C825" s="64"/>
      <c r="D825" s="64"/>
      <c r="E825" s="64"/>
      <c r="F825" s="64"/>
      <c r="G825" s="64"/>
      <c r="H825" s="48"/>
      <c r="I825" s="48"/>
      <c r="J825" s="48"/>
    </row>
    <row r="826">
      <c r="A826" s="48"/>
      <c r="B826" s="64"/>
      <c r="C826" s="64"/>
      <c r="D826" s="64"/>
      <c r="E826" s="64"/>
      <c r="F826" s="64"/>
      <c r="G826" s="64"/>
      <c r="H826" s="48"/>
      <c r="I826" s="48"/>
      <c r="J826" s="48"/>
    </row>
    <row r="827">
      <c r="A827" s="48"/>
      <c r="B827" s="64"/>
      <c r="C827" s="64"/>
      <c r="D827" s="64"/>
      <c r="E827" s="64"/>
      <c r="F827" s="64"/>
      <c r="G827" s="64"/>
      <c r="H827" s="48"/>
      <c r="I827" s="48"/>
      <c r="J827" s="48"/>
    </row>
    <row r="828">
      <c r="A828" s="48"/>
      <c r="B828" s="64"/>
      <c r="C828" s="64"/>
      <c r="D828" s="64"/>
      <c r="E828" s="64"/>
      <c r="F828" s="64"/>
      <c r="G828" s="64"/>
      <c r="H828" s="48"/>
      <c r="I828" s="48"/>
      <c r="J828" s="48"/>
    </row>
    <row r="829">
      <c r="A829" s="48"/>
      <c r="B829" s="64"/>
      <c r="C829" s="64"/>
      <c r="D829" s="64"/>
      <c r="E829" s="64"/>
      <c r="F829" s="64"/>
      <c r="G829" s="64"/>
      <c r="H829" s="48"/>
      <c r="I829" s="48"/>
      <c r="J829" s="48"/>
    </row>
    <row r="830">
      <c r="A830" s="48"/>
      <c r="B830" s="64"/>
      <c r="C830" s="64"/>
      <c r="D830" s="64"/>
      <c r="E830" s="64"/>
      <c r="F830" s="64"/>
      <c r="G830" s="64"/>
      <c r="H830" s="48"/>
      <c r="I830" s="48"/>
      <c r="J830" s="48"/>
    </row>
    <row r="831">
      <c r="A831" s="48"/>
      <c r="B831" s="64"/>
      <c r="C831" s="64"/>
      <c r="D831" s="64"/>
      <c r="E831" s="64"/>
      <c r="F831" s="64"/>
      <c r="G831" s="64"/>
      <c r="H831" s="48"/>
      <c r="I831" s="48"/>
      <c r="J831" s="48"/>
    </row>
    <row r="832">
      <c r="A832" s="48"/>
      <c r="B832" s="64"/>
      <c r="C832" s="64"/>
      <c r="D832" s="64"/>
      <c r="E832" s="64"/>
      <c r="F832" s="64"/>
      <c r="G832" s="64"/>
      <c r="H832" s="48"/>
      <c r="I832" s="48"/>
      <c r="J832" s="48"/>
    </row>
    <row r="833">
      <c r="A833" s="48"/>
      <c r="B833" s="64"/>
      <c r="C833" s="64"/>
      <c r="D833" s="64"/>
      <c r="E833" s="64"/>
      <c r="F833" s="64"/>
      <c r="G833" s="64"/>
      <c r="H833" s="48"/>
      <c r="I833" s="48"/>
      <c r="J833" s="48"/>
    </row>
    <row r="834">
      <c r="A834" s="48"/>
      <c r="B834" s="64"/>
      <c r="C834" s="64"/>
      <c r="D834" s="64"/>
      <c r="E834" s="64"/>
      <c r="F834" s="64"/>
      <c r="G834" s="64"/>
      <c r="H834" s="48"/>
      <c r="I834" s="48"/>
      <c r="J834" s="48"/>
    </row>
    <row r="835">
      <c r="A835" s="48"/>
      <c r="B835" s="64"/>
      <c r="C835" s="64"/>
      <c r="D835" s="64"/>
      <c r="E835" s="64"/>
      <c r="F835" s="64"/>
      <c r="G835" s="64"/>
      <c r="H835" s="48"/>
      <c r="I835" s="48"/>
      <c r="J835" s="48"/>
    </row>
    <row r="836">
      <c r="A836" s="48"/>
      <c r="B836" s="64"/>
      <c r="C836" s="64"/>
      <c r="D836" s="64"/>
      <c r="E836" s="64"/>
      <c r="F836" s="64"/>
      <c r="G836" s="64"/>
      <c r="H836" s="48"/>
      <c r="I836" s="48"/>
      <c r="J836" s="48"/>
    </row>
    <row r="837">
      <c r="A837" s="48"/>
      <c r="B837" s="64"/>
      <c r="C837" s="64"/>
      <c r="D837" s="64"/>
      <c r="E837" s="64"/>
      <c r="F837" s="64"/>
      <c r="G837" s="64"/>
      <c r="H837" s="48"/>
      <c r="I837" s="48"/>
      <c r="J837" s="48"/>
    </row>
    <row r="838">
      <c r="A838" s="48"/>
      <c r="B838" s="64"/>
      <c r="C838" s="64"/>
      <c r="D838" s="64"/>
      <c r="E838" s="64"/>
      <c r="F838" s="64"/>
      <c r="G838" s="64"/>
      <c r="H838" s="48"/>
      <c r="I838" s="48"/>
      <c r="J838" s="48"/>
    </row>
    <row r="839">
      <c r="A839" s="48"/>
      <c r="B839" s="64"/>
      <c r="C839" s="64"/>
      <c r="D839" s="64"/>
      <c r="E839" s="64"/>
      <c r="F839" s="64"/>
      <c r="G839" s="64"/>
      <c r="H839" s="48"/>
      <c r="I839" s="48"/>
      <c r="J839" s="48"/>
    </row>
    <row r="840">
      <c r="A840" s="48"/>
      <c r="B840" s="64"/>
      <c r="C840" s="64"/>
      <c r="D840" s="64"/>
      <c r="E840" s="64"/>
      <c r="F840" s="64"/>
      <c r="G840" s="64"/>
      <c r="H840" s="48"/>
      <c r="I840" s="48"/>
      <c r="J840" s="48"/>
    </row>
    <row r="841">
      <c r="A841" s="48"/>
      <c r="B841" s="64"/>
      <c r="C841" s="64"/>
      <c r="D841" s="64"/>
      <c r="E841" s="64"/>
      <c r="F841" s="64"/>
      <c r="G841" s="64"/>
      <c r="H841" s="48"/>
      <c r="I841" s="48"/>
      <c r="J841" s="48"/>
    </row>
    <row r="842">
      <c r="A842" s="48"/>
      <c r="B842" s="64"/>
      <c r="C842" s="64"/>
      <c r="D842" s="64"/>
      <c r="E842" s="64"/>
      <c r="F842" s="64"/>
      <c r="G842" s="64"/>
      <c r="H842" s="48"/>
      <c r="I842" s="48"/>
      <c r="J842" s="48"/>
    </row>
    <row r="843">
      <c r="A843" s="48"/>
      <c r="B843" s="64"/>
      <c r="C843" s="64"/>
      <c r="D843" s="64"/>
      <c r="E843" s="64"/>
      <c r="F843" s="64"/>
      <c r="G843" s="64"/>
      <c r="H843" s="48"/>
      <c r="I843" s="48"/>
      <c r="J843" s="48"/>
    </row>
    <row r="844">
      <c r="A844" s="48"/>
      <c r="B844" s="64"/>
      <c r="C844" s="64"/>
      <c r="D844" s="64"/>
      <c r="E844" s="64"/>
      <c r="F844" s="64"/>
      <c r="G844" s="64"/>
      <c r="H844" s="48"/>
      <c r="I844" s="48"/>
      <c r="J844" s="48"/>
    </row>
    <row r="845">
      <c r="A845" s="48"/>
      <c r="B845" s="64"/>
      <c r="C845" s="64"/>
      <c r="D845" s="64"/>
      <c r="E845" s="64"/>
      <c r="F845" s="64"/>
      <c r="G845" s="64"/>
      <c r="H845" s="48"/>
      <c r="I845" s="48"/>
      <c r="J845" s="48"/>
    </row>
    <row r="846">
      <c r="A846" s="48"/>
      <c r="B846" s="64"/>
      <c r="C846" s="64"/>
      <c r="D846" s="64"/>
      <c r="E846" s="64"/>
      <c r="F846" s="64"/>
      <c r="G846" s="64"/>
      <c r="H846" s="48"/>
      <c r="I846" s="48"/>
      <c r="J846" s="48"/>
    </row>
    <row r="847">
      <c r="A847" s="48"/>
      <c r="B847" s="64"/>
      <c r="C847" s="64"/>
      <c r="D847" s="64"/>
      <c r="E847" s="64"/>
      <c r="F847" s="64"/>
      <c r="G847" s="64"/>
      <c r="H847" s="48"/>
      <c r="I847" s="48"/>
      <c r="J847" s="48"/>
    </row>
    <row r="848">
      <c r="A848" s="48"/>
      <c r="B848" s="64"/>
      <c r="C848" s="64"/>
      <c r="D848" s="64"/>
      <c r="E848" s="64"/>
      <c r="F848" s="64"/>
      <c r="G848" s="64"/>
      <c r="H848" s="48"/>
      <c r="I848" s="48"/>
      <c r="J848" s="48"/>
    </row>
    <row r="849">
      <c r="A849" s="48"/>
      <c r="B849" s="64"/>
      <c r="C849" s="64"/>
      <c r="D849" s="64"/>
      <c r="E849" s="64"/>
      <c r="F849" s="64"/>
      <c r="G849" s="64"/>
      <c r="H849" s="48"/>
      <c r="I849" s="48"/>
      <c r="J849" s="48"/>
    </row>
    <row r="850">
      <c r="A850" s="48"/>
      <c r="B850" s="64"/>
      <c r="C850" s="64"/>
      <c r="D850" s="64"/>
      <c r="E850" s="64"/>
      <c r="F850" s="64"/>
      <c r="G850" s="64"/>
      <c r="H850" s="48"/>
      <c r="I850" s="48"/>
      <c r="J850" s="48"/>
    </row>
    <row r="851">
      <c r="A851" s="48"/>
      <c r="B851" s="64"/>
      <c r="C851" s="64"/>
      <c r="D851" s="64"/>
      <c r="E851" s="64"/>
      <c r="F851" s="64"/>
      <c r="G851" s="64"/>
      <c r="H851" s="48"/>
      <c r="I851" s="48"/>
      <c r="J851" s="48"/>
    </row>
    <row r="852">
      <c r="A852" s="48"/>
      <c r="B852" s="64"/>
      <c r="C852" s="64"/>
      <c r="D852" s="64"/>
      <c r="E852" s="64"/>
      <c r="F852" s="64"/>
      <c r="G852" s="64"/>
      <c r="H852" s="48"/>
      <c r="I852" s="48"/>
      <c r="J852" s="48"/>
    </row>
    <row r="853">
      <c r="A853" s="48"/>
      <c r="B853" s="64"/>
      <c r="C853" s="64"/>
      <c r="D853" s="64"/>
      <c r="E853" s="64"/>
      <c r="F853" s="64"/>
      <c r="G853" s="64"/>
      <c r="H853" s="48"/>
      <c r="I853" s="48"/>
      <c r="J853" s="48"/>
    </row>
    <row r="854">
      <c r="A854" s="48"/>
      <c r="B854" s="64"/>
      <c r="C854" s="64"/>
      <c r="D854" s="64"/>
      <c r="E854" s="64"/>
      <c r="F854" s="64"/>
      <c r="G854" s="64"/>
      <c r="H854" s="48"/>
      <c r="I854" s="48"/>
      <c r="J854" s="48"/>
    </row>
    <row r="855">
      <c r="A855" s="48"/>
      <c r="B855" s="64"/>
      <c r="C855" s="64"/>
      <c r="D855" s="64"/>
      <c r="E855" s="64"/>
      <c r="F855" s="64"/>
      <c r="G855" s="64"/>
      <c r="H855" s="48"/>
      <c r="I855" s="48"/>
      <c r="J855" s="48"/>
    </row>
    <row r="856">
      <c r="A856" s="48"/>
      <c r="B856" s="64"/>
      <c r="C856" s="64"/>
      <c r="D856" s="64"/>
      <c r="E856" s="64"/>
      <c r="F856" s="64"/>
      <c r="G856" s="64"/>
      <c r="H856" s="48"/>
      <c r="I856" s="48"/>
      <c r="J856" s="48"/>
    </row>
    <row r="857">
      <c r="A857" s="48"/>
      <c r="B857" s="64"/>
      <c r="C857" s="64"/>
      <c r="D857" s="64"/>
      <c r="E857" s="64"/>
      <c r="F857" s="64"/>
      <c r="G857" s="64"/>
      <c r="H857" s="48"/>
      <c r="I857" s="48"/>
      <c r="J857" s="48"/>
    </row>
    <row r="858">
      <c r="A858" s="48"/>
      <c r="B858" s="64"/>
      <c r="C858" s="64"/>
      <c r="D858" s="64"/>
      <c r="E858" s="64"/>
      <c r="F858" s="64"/>
      <c r="G858" s="64"/>
      <c r="H858" s="48"/>
      <c r="I858" s="48"/>
      <c r="J858" s="48"/>
    </row>
    <row r="859">
      <c r="A859" s="48"/>
      <c r="B859" s="64"/>
      <c r="C859" s="64"/>
      <c r="D859" s="64"/>
      <c r="E859" s="64"/>
      <c r="F859" s="64"/>
      <c r="G859" s="64"/>
      <c r="H859" s="48"/>
      <c r="I859" s="48"/>
      <c r="J859" s="48"/>
    </row>
    <row r="860">
      <c r="A860" s="48"/>
      <c r="B860" s="64"/>
      <c r="C860" s="64"/>
      <c r="D860" s="64"/>
      <c r="E860" s="64"/>
      <c r="F860" s="64"/>
      <c r="G860" s="64"/>
      <c r="H860" s="48"/>
      <c r="I860" s="48"/>
      <c r="J860" s="48"/>
    </row>
    <row r="861">
      <c r="A861" s="48"/>
      <c r="B861" s="64"/>
      <c r="C861" s="64"/>
      <c r="D861" s="64"/>
      <c r="E861" s="64"/>
      <c r="F861" s="64"/>
      <c r="G861" s="64"/>
      <c r="H861" s="48"/>
      <c r="I861" s="48"/>
      <c r="J861" s="48"/>
    </row>
    <row r="862">
      <c r="A862" s="48"/>
      <c r="B862" s="64"/>
      <c r="C862" s="64"/>
      <c r="D862" s="64"/>
      <c r="E862" s="64"/>
      <c r="F862" s="64"/>
      <c r="G862" s="64"/>
      <c r="H862" s="48"/>
      <c r="I862" s="48"/>
      <c r="J862" s="48"/>
    </row>
    <row r="863">
      <c r="A863" s="48"/>
      <c r="B863" s="64"/>
      <c r="C863" s="64"/>
      <c r="D863" s="64"/>
      <c r="E863" s="64"/>
      <c r="F863" s="64"/>
      <c r="G863" s="64"/>
      <c r="H863" s="48"/>
      <c r="I863" s="48"/>
      <c r="J863" s="48"/>
    </row>
    <row r="864">
      <c r="A864" s="48"/>
      <c r="B864" s="64"/>
      <c r="C864" s="64"/>
      <c r="D864" s="64"/>
      <c r="E864" s="64"/>
      <c r="F864" s="64"/>
      <c r="G864" s="64"/>
      <c r="H864" s="48"/>
      <c r="I864" s="48"/>
      <c r="J864" s="48"/>
    </row>
    <row r="865">
      <c r="A865" s="48"/>
      <c r="B865" s="64"/>
      <c r="C865" s="64"/>
      <c r="D865" s="64"/>
      <c r="E865" s="64"/>
      <c r="F865" s="64"/>
      <c r="G865" s="64"/>
      <c r="H865" s="48"/>
      <c r="I865" s="48"/>
      <c r="J865" s="48"/>
    </row>
    <row r="866">
      <c r="A866" s="48"/>
      <c r="B866" s="64"/>
      <c r="C866" s="64"/>
      <c r="D866" s="64"/>
      <c r="E866" s="64"/>
      <c r="F866" s="64"/>
      <c r="G866" s="64"/>
      <c r="H866" s="48"/>
      <c r="I866" s="48"/>
      <c r="J866" s="48"/>
    </row>
    <row r="867">
      <c r="A867" s="48"/>
      <c r="B867" s="64"/>
      <c r="C867" s="64"/>
      <c r="D867" s="64"/>
      <c r="E867" s="64"/>
      <c r="F867" s="64"/>
      <c r="G867" s="64"/>
      <c r="H867" s="48"/>
      <c r="I867" s="48"/>
      <c r="J867" s="48"/>
    </row>
    <row r="868">
      <c r="A868" s="48"/>
      <c r="B868" s="64"/>
      <c r="C868" s="64"/>
      <c r="D868" s="64"/>
      <c r="E868" s="64"/>
      <c r="F868" s="64"/>
      <c r="G868" s="64"/>
      <c r="H868" s="48"/>
      <c r="I868" s="48"/>
      <c r="J868" s="48"/>
    </row>
    <row r="869">
      <c r="A869" s="48"/>
      <c r="B869" s="64"/>
      <c r="C869" s="64"/>
      <c r="D869" s="64"/>
      <c r="E869" s="64"/>
      <c r="F869" s="64"/>
      <c r="G869" s="64"/>
      <c r="H869" s="48"/>
      <c r="I869" s="48"/>
      <c r="J869" s="48"/>
    </row>
    <row r="870">
      <c r="A870" s="48"/>
      <c r="B870" s="64"/>
      <c r="C870" s="64"/>
      <c r="D870" s="64"/>
      <c r="E870" s="64"/>
      <c r="F870" s="64"/>
      <c r="G870" s="64"/>
      <c r="H870" s="48"/>
      <c r="I870" s="48"/>
      <c r="J870" s="48"/>
    </row>
    <row r="871">
      <c r="A871" s="48"/>
      <c r="B871" s="64"/>
      <c r="C871" s="64"/>
      <c r="D871" s="64"/>
      <c r="E871" s="64"/>
      <c r="F871" s="64"/>
      <c r="G871" s="64"/>
      <c r="H871" s="48"/>
      <c r="I871" s="48"/>
      <c r="J871" s="48"/>
    </row>
    <row r="872">
      <c r="A872" s="48"/>
      <c r="B872" s="64"/>
      <c r="C872" s="64"/>
      <c r="D872" s="64"/>
      <c r="E872" s="64"/>
      <c r="F872" s="64"/>
      <c r="G872" s="64"/>
      <c r="H872" s="48"/>
      <c r="I872" s="48"/>
      <c r="J872" s="48"/>
    </row>
    <row r="873">
      <c r="A873" s="48"/>
      <c r="B873" s="64"/>
      <c r="C873" s="64"/>
      <c r="D873" s="64"/>
      <c r="E873" s="64"/>
      <c r="F873" s="64"/>
      <c r="G873" s="64"/>
      <c r="H873" s="48"/>
      <c r="I873" s="48"/>
      <c r="J873" s="48"/>
    </row>
    <row r="874">
      <c r="A874" s="48"/>
      <c r="B874" s="64"/>
      <c r="C874" s="64"/>
      <c r="D874" s="64"/>
      <c r="E874" s="64"/>
      <c r="F874" s="64"/>
      <c r="G874" s="64"/>
      <c r="H874" s="48"/>
      <c r="I874" s="48"/>
      <c r="J874" s="48"/>
    </row>
    <row r="875">
      <c r="A875" s="48"/>
      <c r="B875" s="64"/>
      <c r="C875" s="64"/>
      <c r="D875" s="64"/>
      <c r="E875" s="64"/>
      <c r="F875" s="64"/>
      <c r="G875" s="64"/>
      <c r="H875" s="48"/>
      <c r="I875" s="48"/>
      <c r="J875" s="48"/>
    </row>
    <row r="876">
      <c r="A876" s="48"/>
      <c r="B876" s="64"/>
      <c r="C876" s="64"/>
      <c r="D876" s="64"/>
      <c r="E876" s="64"/>
      <c r="F876" s="64"/>
      <c r="G876" s="64"/>
      <c r="H876" s="48"/>
      <c r="I876" s="48"/>
      <c r="J876" s="48"/>
    </row>
    <row r="877">
      <c r="A877" s="48"/>
      <c r="B877" s="64"/>
      <c r="C877" s="64"/>
      <c r="D877" s="64"/>
      <c r="E877" s="64"/>
      <c r="F877" s="64"/>
      <c r="G877" s="64"/>
      <c r="H877" s="48"/>
      <c r="I877" s="48"/>
      <c r="J877" s="48"/>
    </row>
    <row r="878">
      <c r="A878" s="48"/>
      <c r="B878" s="64"/>
      <c r="C878" s="64"/>
      <c r="D878" s="64"/>
      <c r="E878" s="64"/>
      <c r="F878" s="64"/>
      <c r="G878" s="64"/>
      <c r="H878" s="48"/>
      <c r="I878" s="48"/>
      <c r="J878" s="48"/>
    </row>
    <row r="879">
      <c r="A879" s="48"/>
      <c r="B879" s="64"/>
      <c r="C879" s="64"/>
      <c r="D879" s="64"/>
      <c r="E879" s="64"/>
      <c r="F879" s="64"/>
      <c r="G879" s="64"/>
      <c r="H879" s="48"/>
      <c r="I879" s="48"/>
      <c r="J879" s="48"/>
    </row>
    <row r="880">
      <c r="A880" s="48"/>
      <c r="B880" s="64"/>
      <c r="C880" s="64"/>
      <c r="D880" s="64"/>
      <c r="E880" s="64"/>
      <c r="F880" s="64"/>
      <c r="G880" s="64"/>
      <c r="H880" s="48"/>
      <c r="I880" s="48"/>
      <c r="J880" s="48"/>
    </row>
    <row r="881">
      <c r="A881" s="48"/>
      <c r="B881" s="64"/>
      <c r="C881" s="64"/>
      <c r="D881" s="64"/>
      <c r="E881" s="64"/>
      <c r="F881" s="64"/>
      <c r="G881" s="64"/>
      <c r="H881" s="48"/>
      <c r="I881" s="48"/>
      <c r="J881" s="48"/>
    </row>
    <row r="882">
      <c r="A882" s="48"/>
      <c r="B882" s="64"/>
      <c r="C882" s="64"/>
      <c r="D882" s="64"/>
      <c r="E882" s="64"/>
      <c r="F882" s="64"/>
      <c r="G882" s="64"/>
      <c r="H882" s="48"/>
      <c r="I882" s="48"/>
      <c r="J882" s="48"/>
    </row>
    <row r="883">
      <c r="A883" s="48"/>
      <c r="B883" s="64"/>
      <c r="C883" s="64"/>
      <c r="D883" s="64"/>
      <c r="E883" s="64"/>
      <c r="F883" s="64"/>
      <c r="G883" s="64"/>
      <c r="H883" s="48"/>
      <c r="I883" s="48"/>
      <c r="J883" s="48"/>
    </row>
    <row r="884">
      <c r="A884" s="48"/>
      <c r="B884" s="64"/>
      <c r="C884" s="64"/>
      <c r="D884" s="64"/>
      <c r="E884" s="64"/>
      <c r="F884" s="64"/>
      <c r="G884" s="64"/>
      <c r="H884" s="48"/>
      <c r="I884" s="48"/>
      <c r="J884" s="48"/>
    </row>
    <row r="885">
      <c r="A885" s="48"/>
      <c r="B885" s="64"/>
      <c r="C885" s="64"/>
      <c r="D885" s="64"/>
      <c r="E885" s="64"/>
      <c r="F885" s="64"/>
      <c r="G885" s="64"/>
      <c r="H885" s="48"/>
      <c r="I885" s="48"/>
      <c r="J885" s="48"/>
    </row>
    <row r="886">
      <c r="A886" s="48"/>
      <c r="B886" s="64"/>
      <c r="C886" s="64"/>
      <c r="D886" s="64"/>
      <c r="E886" s="64"/>
      <c r="F886" s="64"/>
      <c r="G886" s="64"/>
      <c r="H886" s="48"/>
      <c r="I886" s="48"/>
      <c r="J886" s="48"/>
    </row>
    <row r="887">
      <c r="A887" s="48"/>
      <c r="B887" s="64"/>
      <c r="C887" s="64"/>
      <c r="D887" s="64"/>
      <c r="E887" s="64"/>
      <c r="F887" s="64"/>
      <c r="G887" s="64"/>
      <c r="H887" s="48"/>
      <c r="I887" s="48"/>
      <c r="J887" s="48"/>
    </row>
    <row r="888">
      <c r="A888" s="48"/>
      <c r="B888" s="64"/>
      <c r="C888" s="64"/>
      <c r="D888" s="64"/>
      <c r="E888" s="64"/>
      <c r="F888" s="64"/>
      <c r="G888" s="64"/>
      <c r="H888" s="48"/>
      <c r="I888" s="48"/>
      <c r="J888" s="48"/>
    </row>
    <row r="889">
      <c r="A889" s="48"/>
      <c r="B889" s="64"/>
      <c r="C889" s="64"/>
      <c r="D889" s="64"/>
      <c r="E889" s="64"/>
      <c r="F889" s="64"/>
      <c r="G889" s="64"/>
      <c r="H889" s="48"/>
      <c r="I889" s="48"/>
      <c r="J889" s="48"/>
    </row>
    <row r="890">
      <c r="A890" s="48"/>
      <c r="B890" s="64"/>
      <c r="C890" s="64"/>
      <c r="D890" s="64"/>
      <c r="E890" s="64"/>
      <c r="F890" s="64"/>
      <c r="G890" s="64"/>
      <c r="H890" s="48"/>
      <c r="I890" s="48"/>
      <c r="J890" s="48"/>
    </row>
    <row r="891">
      <c r="A891" s="48"/>
      <c r="B891" s="64"/>
      <c r="C891" s="64"/>
      <c r="D891" s="64"/>
      <c r="E891" s="64"/>
      <c r="F891" s="64"/>
      <c r="G891" s="64"/>
      <c r="H891" s="48"/>
      <c r="I891" s="48"/>
      <c r="J891" s="48"/>
    </row>
    <row r="892">
      <c r="A892" s="48"/>
      <c r="B892" s="64"/>
      <c r="C892" s="64"/>
      <c r="D892" s="64"/>
      <c r="E892" s="64"/>
      <c r="F892" s="64"/>
      <c r="G892" s="64"/>
      <c r="H892" s="48"/>
      <c r="I892" s="48"/>
      <c r="J892" s="48"/>
    </row>
    <row r="893">
      <c r="A893" s="48"/>
      <c r="B893" s="64"/>
      <c r="C893" s="64"/>
      <c r="D893" s="64"/>
      <c r="E893" s="64"/>
      <c r="F893" s="64"/>
      <c r="G893" s="64"/>
      <c r="H893" s="48"/>
      <c r="I893" s="48"/>
      <c r="J893" s="48"/>
    </row>
    <row r="894">
      <c r="A894" s="48"/>
      <c r="B894" s="64"/>
      <c r="C894" s="64"/>
      <c r="D894" s="64"/>
      <c r="E894" s="64"/>
      <c r="F894" s="64"/>
      <c r="G894" s="64"/>
      <c r="H894" s="48"/>
      <c r="I894" s="48"/>
      <c r="J894" s="48"/>
    </row>
    <row r="895">
      <c r="A895" s="48"/>
      <c r="B895" s="64"/>
      <c r="C895" s="64"/>
      <c r="D895" s="64"/>
      <c r="E895" s="64"/>
      <c r="F895" s="64"/>
      <c r="G895" s="64"/>
      <c r="H895" s="48"/>
      <c r="I895" s="48"/>
      <c r="J895" s="48"/>
    </row>
    <row r="896">
      <c r="A896" s="48"/>
      <c r="B896" s="64"/>
      <c r="C896" s="64"/>
      <c r="D896" s="64"/>
      <c r="E896" s="64"/>
      <c r="F896" s="64"/>
      <c r="G896" s="64"/>
      <c r="H896" s="48"/>
      <c r="I896" s="48"/>
      <c r="J896" s="48"/>
    </row>
    <row r="897">
      <c r="A897" s="48"/>
      <c r="B897" s="64"/>
      <c r="C897" s="64"/>
      <c r="D897" s="64"/>
      <c r="E897" s="64"/>
      <c r="F897" s="64"/>
      <c r="G897" s="64"/>
      <c r="H897" s="48"/>
      <c r="I897" s="48"/>
      <c r="J897" s="48"/>
    </row>
    <row r="898">
      <c r="A898" s="48"/>
      <c r="B898" s="64"/>
      <c r="C898" s="64"/>
      <c r="D898" s="64"/>
      <c r="E898" s="64"/>
      <c r="F898" s="64"/>
      <c r="G898" s="64"/>
      <c r="H898" s="48"/>
      <c r="I898" s="48"/>
      <c r="J898" s="48"/>
    </row>
    <row r="899">
      <c r="A899" s="48"/>
      <c r="B899" s="64"/>
      <c r="C899" s="64"/>
      <c r="D899" s="64"/>
      <c r="E899" s="64"/>
      <c r="F899" s="64"/>
      <c r="G899" s="64"/>
      <c r="H899" s="48"/>
      <c r="I899" s="48"/>
      <c r="J899" s="48"/>
    </row>
    <row r="900">
      <c r="A900" s="48"/>
      <c r="B900" s="64"/>
      <c r="C900" s="64"/>
      <c r="D900" s="64"/>
      <c r="E900" s="64"/>
      <c r="F900" s="64"/>
      <c r="G900" s="64"/>
      <c r="H900" s="48"/>
      <c r="I900" s="48"/>
      <c r="J900" s="48"/>
    </row>
    <row r="901">
      <c r="A901" s="48"/>
      <c r="B901" s="64"/>
      <c r="C901" s="64"/>
      <c r="D901" s="64"/>
      <c r="E901" s="64"/>
      <c r="F901" s="64"/>
      <c r="G901" s="64"/>
      <c r="H901" s="48"/>
      <c r="I901" s="48"/>
      <c r="J901" s="48"/>
    </row>
    <row r="902">
      <c r="A902" s="48"/>
      <c r="B902" s="64"/>
      <c r="C902" s="64"/>
      <c r="D902" s="64"/>
      <c r="E902" s="64"/>
      <c r="F902" s="64"/>
      <c r="G902" s="64"/>
      <c r="H902" s="48"/>
      <c r="I902" s="48"/>
      <c r="J902" s="48"/>
    </row>
    <row r="903">
      <c r="A903" s="48"/>
      <c r="B903" s="64"/>
      <c r="C903" s="64"/>
      <c r="D903" s="64"/>
      <c r="E903" s="64"/>
      <c r="F903" s="64"/>
      <c r="G903" s="64"/>
      <c r="H903" s="48"/>
      <c r="I903" s="48"/>
      <c r="J903" s="48"/>
    </row>
    <row r="904">
      <c r="A904" s="48"/>
      <c r="B904" s="64"/>
      <c r="C904" s="64"/>
      <c r="D904" s="64"/>
      <c r="E904" s="64"/>
      <c r="F904" s="64"/>
      <c r="G904" s="64"/>
      <c r="H904" s="48"/>
      <c r="I904" s="48"/>
      <c r="J904" s="48"/>
    </row>
    <row r="905">
      <c r="A905" s="48"/>
      <c r="B905" s="64"/>
      <c r="C905" s="64"/>
      <c r="D905" s="64"/>
      <c r="E905" s="64"/>
      <c r="F905" s="64"/>
      <c r="G905" s="64"/>
      <c r="H905" s="48"/>
      <c r="I905" s="48"/>
      <c r="J905" s="48"/>
    </row>
    <row r="906">
      <c r="A906" s="48"/>
      <c r="B906" s="64"/>
      <c r="C906" s="64"/>
      <c r="D906" s="64"/>
      <c r="E906" s="64"/>
      <c r="F906" s="64"/>
      <c r="G906" s="64"/>
      <c r="H906" s="48"/>
      <c r="I906" s="48"/>
      <c r="J906" s="48"/>
    </row>
    <row r="907">
      <c r="A907" s="48"/>
      <c r="B907" s="64"/>
      <c r="C907" s="64"/>
      <c r="D907" s="64"/>
      <c r="E907" s="64"/>
      <c r="F907" s="64"/>
      <c r="G907" s="64"/>
      <c r="H907" s="48"/>
      <c r="I907" s="48"/>
      <c r="J907" s="48"/>
    </row>
    <row r="908">
      <c r="A908" s="48"/>
      <c r="B908" s="64"/>
      <c r="C908" s="64"/>
      <c r="D908" s="64"/>
      <c r="E908" s="64"/>
      <c r="F908" s="64"/>
      <c r="G908" s="64"/>
      <c r="H908" s="48"/>
      <c r="I908" s="48"/>
      <c r="J908" s="48"/>
    </row>
    <row r="909">
      <c r="A909" s="48"/>
      <c r="B909" s="64"/>
      <c r="C909" s="64"/>
      <c r="D909" s="64"/>
      <c r="E909" s="64"/>
      <c r="F909" s="64"/>
      <c r="G909" s="64"/>
      <c r="H909" s="48"/>
      <c r="I909" s="48"/>
      <c r="J909" s="48"/>
    </row>
    <row r="910">
      <c r="A910" s="48"/>
      <c r="B910" s="64"/>
      <c r="C910" s="64"/>
      <c r="D910" s="64"/>
      <c r="E910" s="64"/>
      <c r="F910" s="64"/>
      <c r="G910" s="64"/>
      <c r="H910" s="48"/>
      <c r="I910" s="48"/>
      <c r="J910" s="48"/>
    </row>
    <row r="911">
      <c r="A911" s="48"/>
      <c r="B911" s="64"/>
      <c r="C911" s="64"/>
      <c r="D911" s="64"/>
      <c r="E911" s="64"/>
      <c r="F911" s="64"/>
      <c r="G911" s="64"/>
      <c r="H911" s="48"/>
      <c r="I911" s="48"/>
      <c r="J911" s="48"/>
    </row>
    <row r="912">
      <c r="A912" s="48"/>
      <c r="B912" s="64"/>
      <c r="C912" s="64"/>
      <c r="D912" s="64"/>
      <c r="E912" s="64"/>
      <c r="F912" s="64"/>
      <c r="G912" s="64"/>
      <c r="H912" s="48"/>
      <c r="I912" s="48"/>
      <c r="J912" s="48"/>
    </row>
    <row r="913">
      <c r="A913" s="48"/>
      <c r="B913" s="64"/>
      <c r="C913" s="64"/>
      <c r="D913" s="64"/>
      <c r="E913" s="64"/>
      <c r="F913" s="64"/>
      <c r="G913" s="64"/>
      <c r="H913" s="48"/>
      <c r="I913" s="48"/>
      <c r="J913" s="48"/>
    </row>
    <row r="914">
      <c r="A914" s="48"/>
      <c r="B914" s="64"/>
      <c r="C914" s="64"/>
      <c r="D914" s="64"/>
      <c r="E914" s="64"/>
      <c r="F914" s="64"/>
      <c r="G914" s="64"/>
      <c r="H914" s="48"/>
      <c r="I914" s="48"/>
      <c r="J914" s="48"/>
    </row>
    <row r="915">
      <c r="A915" s="48"/>
      <c r="B915" s="64"/>
      <c r="C915" s="64"/>
      <c r="D915" s="64"/>
      <c r="E915" s="64"/>
      <c r="F915" s="64"/>
      <c r="G915" s="64"/>
      <c r="H915" s="48"/>
      <c r="I915" s="48"/>
      <c r="J915" s="48"/>
    </row>
    <row r="916">
      <c r="A916" s="48"/>
      <c r="B916" s="64"/>
      <c r="C916" s="64"/>
      <c r="D916" s="64"/>
      <c r="E916" s="64"/>
      <c r="F916" s="64"/>
      <c r="G916" s="64"/>
      <c r="H916" s="48"/>
      <c r="I916" s="48"/>
      <c r="J916" s="48"/>
    </row>
    <row r="917">
      <c r="A917" s="48"/>
      <c r="B917" s="64"/>
      <c r="C917" s="64"/>
      <c r="D917" s="64"/>
      <c r="E917" s="64"/>
      <c r="F917" s="64"/>
      <c r="G917" s="64"/>
      <c r="H917" s="48"/>
      <c r="I917" s="48"/>
      <c r="J917" s="48"/>
    </row>
    <row r="918">
      <c r="A918" s="48"/>
      <c r="B918" s="64"/>
      <c r="C918" s="64"/>
      <c r="D918" s="64"/>
      <c r="E918" s="64"/>
      <c r="F918" s="64"/>
      <c r="G918" s="64"/>
      <c r="H918" s="48"/>
      <c r="I918" s="48"/>
      <c r="J918" s="48"/>
    </row>
    <row r="919">
      <c r="A919" s="48"/>
      <c r="B919" s="64"/>
      <c r="C919" s="64"/>
      <c r="D919" s="64"/>
      <c r="E919" s="64"/>
      <c r="F919" s="64"/>
      <c r="G919" s="64"/>
      <c r="H919" s="48"/>
      <c r="I919" s="48"/>
      <c r="J919" s="48"/>
    </row>
    <row r="920">
      <c r="A920" s="48"/>
      <c r="B920" s="64"/>
      <c r="C920" s="64"/>
      <c r="D920" s="64"/>
      <c r="E920" s="64"/>
      <c r="F920" s="64"/>
      <c r="G920" s="64"/>
      <c r="H920" s="48"/>
      <c r="I920" s="48"/>
      <c r="J920" s="48"/>
    </row>
    <row r="921">
      <c r="A921" s="48"/>
      <c r="B921" s="64"/>
      <c r="C921" s="64"/>
      <c r="D921" s="64"/>
      <c r="E921" s="64"/>
      <c r="F921" s="64"/>
      <c r="G921" s="64"/>
      <c r="H921" s="48"/>
      <c r="I921" s="48"/>
      <c r="J921" s="48"/>
    </row>
    <row r="922">
      <c r="A922" s="48"/>
      <c r="B922" s="64"/>
      <c r="C922" s="64"/>
      <c r="D922" s="64"/>
      <c r="E922" s="64"/>
      <c r="F922" s="64"/>
      <c r="G922" s="64"/>
      <c r="H922" s="48"/>
      <c r="I922" s="48"/>
      <c r="J922" s="48"/>
    </row>
    <row r="923">
      <c r="A923" s="48"/>
      <c r="B923" s="64"/>
      <c r="C923" s="64"/>
      <c r="D923" s="64"/>
      <c r="E923" s="64"/>
      <c r="F923" s="64"/>
      <c r="G923" s="64"/>
      <c r="H923" s="48"/>
      <c r="I923" s="48"/>
      <c r="J923" s="48"/>
    </row>
    <row r="924">
      <c r="A924" s="48"/>
      <c r="B924" s="64"/>
      <c r="C924" s="64"/>
      <c r="D924" s="64"/>
      <c r="E924" s="64"/>
      <c r="F924" s="64"/>
      <c r="G924" s="64"/>
      <c r="H924" s="48"/>
      <c r="I924" s="48"/>
      <c r="J924" s="48"/>
    </row>
    <row r="925">
      <c r="A925" s="48"/>
      <c r="B925" s="64"/>
      <c r="C925" s="64"/>
      <c r="D925" s="64"/>
      <c r="E925" s="64"/>
      <c r="F925" s="64"/>
      <c r="G925" s="64"/>
      <c r="H925" s="48"/>
      <c r="I925" s="48"/>
      <c r="J925" s="48"/>
    </row>
    <row r="926">
      <c r="A926" s="48"/>
      <c r="B926" s="64"/>
      <c r="C926" s="64"/>
      <c r="D926" s="64"/>
      <c r="E926" s="64"/>
      <c r="F926" s="64"/>
      <c r="G926" s="64"/>
      <c r="H926" s="48"/>
      <c r="I926" s="48"/>
      <c r="J926" s="48"/>
    </row>
    <row r="927">
      <c r="A927" s="48"/>
      <c r="B927" s="64"/>
      <c r="C927" s="64"/>
      <c r="D927" s="64"/>
      <c r="E927" s="64"/>
      <c r="F927" s="64"/>
      <c r="G927" s="64"/>
      <c r="H927" s="48"/>
      <c r="I927" s="48"/>
      <c r="J927" s="48"/>
    </row>
    <row r="928">
      <c r="A928" s="48"/>
      <c r="B928" s="64"/>
      <c r="C928" s="64"/>
      <c r="D928" s="64"/>
      <c r="E928" s="64"/>
      <c r="F928" s="64"/>
      <c r="G928" s="64"/>
      <c r="H928" s="48"/>
      <c r="I928" s="48"/>
      <c r="J928" s="48"/>
    </row>
    <row r="929">
      <c r="A929" s="48"/>
      <c r="B929" s="64"/>
      <c r="C929" s="64"/>
      <c r="D929" s="64"/>
      <c r="E929" s="64"/>
      <c r="F929" s="64"/>
      <c r="G929" s="64"/>
      <c r="H929" s="48"/>
      <c r="I929" s="48"/>
      <c r="J929" s="48"/>
    </row>
    <row r="930">
      <c r="A930" s="48"/>
      <c r="B930" s="64"/>
      <c r="C930" s="64"/>
      <c r="D930" s="64"/>
      <c r="E930" s="64"/>
      <c r="F930" s="64"/>
      <c r="G930" s="64"/>
      <c r="H930" s="48"/>
      <c r="I930" s="48"/>
      <c r="J930" s="48"/>
    </row>
    <row r="931">
      <c r="A931" s="48"/>
      <c r="B931" s="64"/>
      <c r="C931" s="64"/>
      <c r="D931" s="64"/>
      <c r="E931" s="64"/>
      <c r="F931" s="64"/>
      <c r="G931" s="64"/>
      <c r="H931" s="48"/>
      <c r="I931" s="48"/>
      <c r="J931" s="48"/>
    </row>
    <row r="932">
      <c r="A932" s="48"/>
      <c r="B932" s="64"/>
      <c r="C932" s="64"/>
      <c r="D932" s="64"/>
      <c r="E932" s="64"/>
      <c r="F932" s="64"/>
      <c r="G932" s="64"/>
      <c r="H932" s="48"/>
      <c r="I932" s="48"/>
      <c r="J932" s="48"/>
    </row>
    <row r="933">
      <c r="A933" s="48"/>
      <c r="B933" s="64"/>
      <c r="C933" s="64"/>
      <c r="D933" s="64"/>
      <c r="E933" s="64"/>
      <c r="F933" s="64"/>
      <c r="G933" s="64"/>
      <c r="H933" s="48"/>
      <c r="I933" s="48"/>
      <c r="J933" s="48"/>
    </row>
    <row r="934">
      <c r="A934" s="48"/>
      <c r="B934" s="64"/>
      <c r="C934" s="64"/>
      <c r="D934" s="64"/>
      <c r="E934" s="64"/>
      <c r="F934" s="64"/>
      <c r="G934" s="64"/>
      <c r="H934" s="48"/>
      <c r="I934" s="48"/>
      <c r="J934" s="48"/>
    </row>
    <row r="935">
      <c r="A935" s="48"/>
      <c r="B935" s="64"/>
      <c r="C935" s="64"/>
      <c r="D935" s="64"/>
      <c r="E935" s="64"/>
      <c r="F935" s="64"/>
      <c r="G935" s="64"/>
      <c r="H935" s="48"/>
      <c r="I935" s="48"/>
      <c r="J935" s="48"/>
    </row>
    <row r="936">
      <c r="A936" s="48"/>
      <c r="B936" s="64"/>
      <c r="C936" s="64"/>
      <c r="D936" s="64"/>
      <c r="E936" s="64"/>
      <c r="F936" s="64"/>
      <c r="G936" s="64"/>
      <c r="H936" s="48"/>
      <c r="I936" s="48"/>
      <c r="J936" s="48"/>
    </row>
    <row r="937">
      <c r="A937" s="48"/>
      <c r="B937" s="64"/>
      <c r="C937" s="64"/>
      <c r="D937" s="64"/>
      <c r="E937" s="64"/>
      <c r="F937" s="64"/>
      <c r="G937" s="64"/>
      <c r="H937" s="48"/>
      <c r="I937" s="48"/>
      <c r="J937" s="48"/>
    </row>
    <row r="938">
      <c r="A938" s="48"/>
      <c r="B938" s="64"/>
      <c r="C938" s="64"/>
      <c r="D938" s="64"/>
      <c r="E938" s="64"/>
      <c r="F938" s="64"/>
      <c r="G938" s="64"/>
      <c r="H938" s="48"/>
      <c r="I938" s="48"/>
      <c r="J938" s="48"/>
    </row>
    <row r="939">
      <c r="A939" s="48"/>
      <c r="B939" s="64"/>
      <c r="C939" s="64"/>
      <c r="D939" s="64"/>
      <c r="E939" s="64"/>
      <c r="F939" s="64"/>
      <c r="G939" s="64"/>
      <c r="H939" s="48"/>
      <c r="I939" s="48"/>
      <c r="J939" s="48"/>
    </row>
    <row r="940">
      <c r="A940" s="48"/>
      <c r="B940" s="64"/>
      <c r="C940" s="64"/>
      <c r="D940" s="64"/>
      <c r="E940" s="64"/>
      <c r="F940" s="64"/>
      <c r="G940" s="64"/>
      <c r="H940" s="48"/>
      <c r="I940" s="48"/>
      <c r="J940" s="48"/>
    </row>
    <row r="941">
      <c r="A941" s="48"/>
      <c r="B941" s="64"/>
      <c r="C941" s="64"/>
      <c r="D941" s="64"/>
      <c r="E941" s="64"/>
      <c r="F941" s="64"/>
      <c r="G941" s="64"/>
      <c r="H941" s="48"/>
      <c r="I941" s="48"/>
      <c r="J941" s="48"/>
    </row>
    <row r="942">
      <c r="A942" s="48"/>
      <c r="B942" s="64"/>
      <c r="C942" s="64"/>
      <c r="D942" s="64"/>
      <c r="E942" s="64"/>
      <c r="F942" s="64"/>
      <c r="G942" s="64"/>
      <c r="H942" s="48"/>
      <c r="I942" s="48"/>
      <c r="J942" s="48"/>
    </row>
    <row r="943">
      <c r="A943" s="48"/>
      <c r="B943" s="64"/>
      <c r="C943" s="64"/>
      <c r="D943" s="64"/>
      <c r="E943" s="64"/>
      <c r="F943" s="64"/>
      <c r="G943" s="64"/>
      <c r="H943" s="48"/>
      <c r="I943" s="48"/>
      <c r="J943" s="48"/>
    </row>
    <row r="944">
      <c r="A944" s="48"/>
      <c r="B944" s="64"/>
      <c r="C944" s="64"/>
      <c r="D944" s="64"/>
      <c r="E944" s="64"/>
      <c r="F944" s="64"/>
      <c r="G944" s="64"/>
      <c r="H944" s="48"/>
      <c r="I944" s="48"/>
      <c r="J944" s="48"/>
    </row>
    <row r="945">
      <c r="A945" s="48"/>
      <c r="B945" s="64"/>
      <c r="C945" s="64"/>
      <c r="D945" s="64"/>
      <c r="E945" s="64"/>
      <c r="F945" s="64"/>
      <c r="G945" s="64"/>
      <c r="H945" s="48"/>
      <c r="I945" s="48"/>
      <c r="J945" s="48"/>
    </row>
    <row r="946">
      <c r="A946" s="48"/>
      <c r="B946" s="64"/>
      <c r="C946" s="64"/>
      <c r="D946" s="64"/>
      <c r="E946" s="64"/>
      <c r="F946" s="64"/>
      <c r="G946" s="64"/>
      <c r="H946" s="48"/>
      <c r="I946" s="48"/>
      <c r="J946" s="48"/>
    </row>
    <row r="947">
      <c r="A947" s="48"/>
      <c r="B947" s="64"/>
      <c r="C947" s="64"/>
      <c r="D947" s="64"/>
      <c r="E947" s="64"/>
      <c r="F947" s="64"/>
      <c r="G947" s="64"/>
      <c r="H947" s="48"/>
      <c r="I947" s="48"/>
      <c r="J947" s="48"/>
    </row>
    <row r="948">
      <c r="A948" s="48"/>
      <c r="B948" s="64"/>
      <c r="C948" s="64"/>
      <c r="D948" s="64"/>
      <c r="E948" s="64"/>
      <c r="F948" s="64"/>
      <c r="G948" s="64"/>
      <c r="H948" s="48"/>
      <c r="I948" s="48"/>
      <c r="J948" s="48"/>
    </row>
    <row r="949">
      <c r="A949" s="48"/>
      <c r="B949" s="64"/>
      <c r="C949" s="64"/>
      <c r="D949" s="64"/>
      <c r="E949" s="64"/>
      <c r="F949" s="64"/>
      <c r="G949" s="64"/>
      <c r="H949" s="48"/>
      <c r="I949" s="48"/>
      <c r="J949" s="48"/>
    </row>
    <row r="950">
      <c r="A950" s="48"/>
      <c r="B950" s="64"/>
      <c r="C950" s="64"/>
      <c r="D950" s="64"/>
      <c r="E950" s="64"/>
      <c r="F950" s="64"/>
      <c r="G950" s="64"/>
      <c r="H950" s="48"/>
      <c r="I950" s="48"/>
      <c r="J950" s="48"/>
    </row>
    <row r="951">
      <c r="A951" s="48"/>
      <c r="B951" s="64"/>
      <c r="C951" s="64"/>
      <c r="D951" s="64"/>
      <c r="E951" s="64"/>
      <c r="F951" s="64"/>
      <c r="G951" s="64"/>
      <c r="H951" s="48"/>
      <c r="I951" s="48"/>
      <c r="J951" s="48"/>
    </row>
    <row r="952">
      <c r="A952" s="48"/>
      <c r="B952" s="64"/>
      <c r="C952" s="64"/>
      <c r="D952" s="64"/>
      <c r="E952" s="64"/>
      <c r="F952" s="64"/>
      <c r="G952" s="64"/>
      <c r="H952" s="48"/>
      <c r="I952" s="48"/>
      <c r="J952" s="48"/>
    </row>
    <row r="953">
      <c r="A953" s="48"/>
      <c r="B953" s="64"/>
      <c r="C953" s="64"/>
      <c r="D953" s="64"/>
      <c r="E953" s="64"/>
      <c r="F953" s="64"/>
      <c r="G953" s="64"/>
      <c r="H953" s="48"/>
      <c r="I953" s="48"/>
      <c r="J953" s="48"/>
    </row>
    <row r="954">
      <c r="A954" s="48"/>
      <c r="B954" s="64"/>
      <c r="C954" s="64"/>
      <c r="D954" s="64"/>
      <c r="E954" s="64"/>
      <c r="F954" s="64"/>
      <c r="G954" s="64"/>
      <c r="H954" s="48"/>
      <c r="I954" s="48"/>
      <c r="J954" s="48"/>
    </row>
    <row r="955">
      <c r="A955" s="48"/>
      <c r="B955" s="64"/>
      <c r="C955" s="64"/>
      <c r="D955" s="64"/>
      <c r="E955" s="64"/>
      <c r="F955" s="64"/>
      <c r="G955" s="64"/>
      <c r="H955" s="48"/>
      <c r="I955" s="48"/>
      <c r="J955" s="48"/>
    </row>
    <row r="956">
      <c r="A956" s="48"/>
      <c r="B956" s="64"/>
      <c r="C956" s="64"/>
      <c r="D956" s="64"/>
      <c r="E956" s="64"/>
      <c r="F956" s="64"/>
      <c r="G956" s="64"/>
      <c r="H956" s="48"/>
      <c r="I956" s="48"/>
      <c r="J956" s="48"/>
    </row>
    <row r="957">
      <c r="A957" s="48"/>
      <c r="B957" s="64"/>
      <c r="C957" s="64"/>
      <c r="D957" s="64"/>
      <c r="E957" s="64"/>
      <c r="F957" s="64"/>
      <c r="G957" s="64"/>
      <c r="H957" s="48"/>
      <c r="I957" s="48"/>
      <c r="J957" s="48"/>
    </row>
    <row r="958">
      <c r="A958" s="48"/>
      <c r="B958" s="64"/>
      <c r="C958" s="64"/>
      <c r="D958" s="64"/>
      <c r="E958" s="64"/>
      <c r="F958" s="64"/>
      <c r="G958" s="64"/>
      <c r="H958" s="48"/>
      <c r="I958" s="48"/>
      <c r="J958" s="48"/>
    </row>
    <row r="959">
      <c r="A959" s="48"/>
      <c r="B959" s="64"/>
      <c r="C959" s="64"/>
      <c r="D959" s="64"/>
      <c r="E959" s="64"/>
      <c r="F959" s="64"/>
      <c r="G959" s="64"/>
      <c r="H959" s="48"/>
      <c r="I959" s="48"/>
      <c r="J959" s="48"/>
    </row>
    <row r="960">
      <c r="A960" s="48"/>
      <c r="B960" s="64"/>
      <c r="C960" s="64"/>
      <c r="D960" s="64"/>
      <c r="E960" s="64"/>
      <c r="F960" s="64"/>
      <c r="G960" s="64"/>
      <c r="H960" s="48"/>
      <c r="I960" s="48"/>
      <c r="J960" s="48"/>
    </row>
    <row r="961">
      <c r="A961" s="48"/>
      <c r="B961" s="64"/>
      <c r="C961" s="64"/>
      <c r="D961" s="64"/>
      <c r="E961" s="64"/>
      <c r="F961" s="64"/>
      <c r="G961" s="64"/>
      <c r="H961" s="48"/>
      <c r="I961" s="48"/>
      <c r="J961" s="48"/>
    </row>
    <row r="962">
      <c r="A962" s="48"/>
      <c r="B962" s="64"/>
      <c r="C962" s="64"/>
      <c r="D962" s="64"/>
      <c r="E962" s="64"/>
      <c r="F962" s="64"/>
      <c r="G962" s="64"/>
      <c r="H962" s="48"/>
      <c r="I962" s="48"/>
      <c r="J962" s="48"/>
    </row>
    <row r="963">
      <c r="A963" s="48"/>
      <c r="B963" s="64"/>
      <c r="C963" s="64"/>
      <c r="D963" s="64"/>
      <c r="E963" s="64"/>
      <c r="F963" s="64"/>
      <c r="G963" s="64"/>
      <c r="H963" s="48"/>
      <c r="I963" s="48"/>
      <c r="J963" s="48"/>
    </row>
    <row r="964">
      <c r="A964" s="48"/>
      <c r="B964" s="64"/>
      <c r="C964" s="64"/>
      <c r="D964" s="64"/>
      <c r="E964" s="64"/>
      <c r="F964" s="64"/>
      <c r="G964" s="64"/>
      <c r="H964" s="48"/>
      <c r="I964" s="48"/>
      <c r="J964" s="48"/>
    </row>
    <row r="965">
      <c r="A965" s="48"/>
      <c r="B965" s="64"/>
      <c r="C965" s="64"/>
      <c r="D965" s="64"/>
      <c r="E965" s="64"/>
      <c r="F965" s="64"/>
      <c r="G965" s="64"/>
      <c r="H965" s="48"/>
      <c r="I965" s="48"/>
      <c r="J965" s="48"/>
    </row>
    <row r="966">
      <c r="A966" s="48"/>
      <c r="B966" s="64"/>
      <c r="C966" s="64"/>
      <c r="D966" s="64"/>
      <c r="E966" s="64"/>
      <c r="F966" s="64"/>
      <c r="G966" s="64"/>
      <c r="H966" s="48"/>
      <c r="I966" s="48"/>
      <c r="J966" s="48"/>
    </row>
    <row r="967">
      <c r="A967" s="48"/>
      <c r="B967" s="64"/>
      <c r="C967" s="64"/>
      <c r="D967" s="64"/>
      <c r="E967" s="64"/>
      <c r="F967" s="64"/>
      <c r="G967" s="64"/>
      <c r="H967" s="48"/>
      <c r="I967" s="48"/>
      <c r="J967" s="48"/>
    </row>
    <row r="968">
      <c r="A968" s="48"/>
      <c r="B968" s="64"/>
      <c r="C968" s="64"/>
      <c r="D968" s="64"/>
      <c r="E968" s="64"/>
      <c r="F968" s="64"/>
      <c r="G968" s="64"/>
      <c r="H968" s="48"/>
      <c r="I968" s="48"/>
      <c r="J968" s="48"/>
    </row>
    <row r="969">
      <c r="A969" s="48"/>
      <c r="B969" s="64"/>
      <c r="C969" s="64"/>
      <c r="D969" s="64"/>
      <c r="E969" s="64"/>
      <c r="F969" s="64"/>
      <c r="G969" s="64"/>
      <c r="H969" s="48"/>
      <c r="I969" s="48"/>
      <c r="J969" s="48"/>
    </row>
    <row r="970">
      <c r="A970" s="48"/>
      <c r="B970" s="64"/>
      <c r="C970" s="64"/>
      <c r="D970" s="64"/>
      <c r="E970" s="64"/>
      <c r="F970" s="64"/>
      <c r="G970" s="64"/>
      <c r="H970" s="48"/>
      <c r="I970" s="48"/>
      <c r="J970" s="48"/>
    </row>
    <row r="971">
      <c r="A971" s="48"/>
      <c r="B971" s="64"/>
      <c r="C971" s="64"/>
      <c r="D971" s="64"/>
      <c r="E971" s="64"/>
      <c r="F971" s="64"/>
      <c r="G971" s="64"/>
      <c r="H971" s="48"/>
      <c r="I971" s="48"/>
      <c r="J971" s="48"/>
    </row>
    <row r="972">
      <c r="A972" s="48"/>
      <c r="B972" s="64"/>
      <c r="C972" s="64"/>
      <c r="D972" s="64"/>
      <c r="E972" s="64"/>
      <c r="F972" s="64"/>
      <c r="G972" s="64"/>
      <c r="H972" s="48"/>
      <c r="I972" s="48"/>
      <c r="J972" s="48"/>
    </row>
    <row r="973">
      <c r="A973" s="48"/>
      <c r="B973" s="64"/>
      <c r="C973" s="64"/>
      <c r="D973" s="64"/>
      <c r="E973" s="64"/>
      <c r="F973" s="64"/>
      <c r="G973" s="64"/>
      <c r="H973" s="48"/>
      <c r="I973" s="48"/>
      <c r="J973" s="48"/>
    </row>
    <row r="974">
      <c r="A974" s="48"/>
      <c r="B974" s="64"/>
      <c r="C974" s="64"/>
      <c r="D974" s="64"/>
      <c r="E974" s="64"/>
      <c r="F974" s="64"/>
      <c r="G974" s="64"/>
      <c r="H974" s="48"/>
      <c r="I974" s="48"/>
      <c r="J974" s="48"/>
    </row>
    <row r="975">
      <c r="A975" s="48"/>
      <c r="B975" s="64"/>
      <c r="C975" s="64"/>
      <c r="D975" s="64"/>
      <c r="E975" s="64"/>
      <c r="F975" s="64"/>
      <c r="G975" s="64"/>
      <c r="H975" s="48"/>
      <c r="I975" s="48"/>
      <c r="J975" s="48"/>
    </row>
    <row r="976">
      <c r="A976" s="48"/>
      <c r="B976" s="64"/>
      <c r="C976" s="64"/>
      <c r="D976" s="64"/>
      <c r="E976" s="64"/>
      <c r="F976" s="64"/>
      <c r="G976" s="64"/>
      <c r="H976" s="48"/>
      <c r="I976" s="48"/>
      <c r="J976" s="48"/>
    </row>
    <row r="977">
      <c r="A977" s="48"/>
      <c r="B977" s="64"/>
      <c r="C977" s="64"/>
      <c r="D977" s="64"/>
      <c r="E977" s="64"/>
      <c r="F977" s="64"/>
      <c r="G977" s="64"/>
      <c r="H977" s="48"/>
      <c r="I977" s="48"/>
      <c r="J977" s="48"/>
    </row>
    <row r="978">
      <c r="A978" s="48"/>
      <c r="B978" s="64"/>
      <c r="C978" s="64"/>
      <c r="D978" s="64"/>
      <c r="E978" s="64"/>
      <c r="F978" s="64"/>
      <c r="G978" s="64"/>
      <c r="H978" s="48"/>
      <c r="I978" s="48"/>
      <c r="J978" s="48"/>
    </row>
    <row r="979">
      <c r="A979" s="48"/>
      <c r="B979" s="64"/>
      <c r="C979" s="64"/>
      <c r="D979" s="64"/>
      <c r="E979" s="64"/>
      <c r="F979" s="64"/>
      <c r="G979" s="64"/>
      <c r="H979" s="48"/>
      <c r="I979" s="48"/>
      <c r="J979" s="48"/>
    </row>
    <row r="980">
      <c r="A980" s="48"/>
      <c r="B980" s="64"/>
      <c r="C980" s="64"/>
      <c r="D980" s="64"/>
      <c r="E980" s="64"/>
      <c r="F980" s="64"/>
      <c r="G980" s="64"/>
      <c r="H980" s="48"/>
      <c r="I980" s="48"/>
      <c r="J980" s="48"/>
    </row>
    <row r="981">
      <c r="A981" s="48"/>
      <c r="B981" s="64"/>
      <c r="C981" s="64"/>
      <c r="D981" s="64"/>
      <c r="E981" s="64"/>
      <c r="F981" s="64"/>
      <c r="G981" s="64"/>
      <c r="H981" s="48"/>
      <c r="I981" s="48"/>
      <c r="J981" s="48"/>
    </row>
    <row r="982">
      <c r="A982" s="48"/>
      <c r="B982" s="64"/>
      <c r="C982" s="64"/>
      <c r="D982" s="64"/>
      <c r="E982" s="64"/>
      <c r="F982" s="64"/>
      <c r="G982" s="64"/>
      <c r="H982" s="48"/>
      <c r="I982" s="48"/>
      <c r="J982" s="48"/>
    </row>
    <row r="983">
      <c r="A983" s="48"/>
      <c r="B983" s="64"/>
      <c r="C983" s="64"/>
      <c r="D983" s="64"/>
      <c r="E983" s="64"/>
      <c r="F983" s="64"/>
      <c r="G983" s="64"/>
      <c r="H983" s="48"/>
      <c r="I983" s="48"/>
      <c r="J983" s="48"/>
    </row>
    <row r="984">
      <c r="A984" s="48"/>
      <c r="B984" s="64"/>
      <c r="C984" s="64"/>
      <c r="D984" s="64"/>
      <c r="E984" s="64"/>
      <c r="F984" s="64"/>
      <c r="G984" s="64"/>
      <c r="H984" s="48"/>
      <c r="I984" s="48"/>
      <c r="J984" s="48"/>
    </row>
    <row r="985">
      <c r="A985" s="48"/>
      <c r="B985" s="64"/>
      <c r="C985" s="64"/>
      <c r="D985" s="64"/>
      <c r="E985" s="64"/>
      <c r="F985" s="64"/>
      <c r="G985" s="64"/>
      <c r="H985" s="48"/>
      <c r="I985" s="48"/>
      <c r="J985" s="48"/>
    </row>
    <row r="986">
      <c r="A986" s="48"/>
      <c r="B986" s="64"/>
      <c r="C986" s="64"/>
      <c r="D986" s="64"/>
      <c r="E986" s="64"/>
      <c r="F986" s="64"/>
      <c r="G986" s="64"/>
      <c r="H986" s="48"/>
      <c r="I986" s="48"/>
      <c r="J986" s="48"/>
    </row>
    <row r="987">
      <c r="A987" s="48"/>
      <c r="B987" s="64"/>
      <c r="C987" s="64"/>
      <c r="D987" s="64"/>
      <c r="E987" s="64"/>
      <c r="F987" s="64"/>
      <c r="G987" s="64"/>
      <c r="H987" s="48"/>
      <c r="I987" s="48"/>
      <c r="J987" s="48"/>
    </row>
    <row r="988">
      <c r="A988" s="48"/>
      <c r="B988" s="64"/>
      <c r="C988" s="64"/>
      <c r="D988" s="64"/>
      <c r="E988" s="64"/>
      <c r="F988" s="64"/>
      <c r="G988" s="64"/>
      <c r="H988" s="48"/>
      <c r="I988" s="48"/>
      <c r="J988" s="48"/>
    </row>
    <row r="989">
      <c r="A989" s="48"/>
      <c r="B989" s="64"/>
      <c r="C989" s="64"/>
      <c r="D989" s="64"/>
      <c r="E989" s="64"/>
      <c r="F989" s="64"/>
      <c r="G989" s="64"/>
      <c r="H989" s="48"/>
      <c r="I989" s="48"/>
      <c r="J989" s="48"/>
    </row>
    <row r="990">
      <c r="A990" s="48"/>
      <c r="B990" s="64"/>
      <c r="C990" s="64"/>
      <c r="D990" s="64"/>
      <c r="E990" s="64"/>
      <c r="F990" s="64"/>
      <c r="G990" s="64"/>
      <c r="H990" s="48"/>
      <c r="I990" s="48"/>
      <c r="J990" s="48"/>
    </row>
    <row r="991">
      <c r="A991" s="48"/>
      <c r="B991" s="64"/>
      <c r="C991" s="64"/>
      <c r="D991" s="64"/>
      <c r="E991" s="64"/>
      <c r="F991" s="64"/>
      <c r="G991" s="64"/>
      <c r="H991" s="48"/>
      <c r="I991" s="48"/>
      <c r="J991" s="48"/>
    </row>
    <row r="992">
      <c r="A992" s="48"/>
      <c r="B992" s="64"/>
      <c r="C992" s="64"/>
      <c r="D992" s="64"/>
      <c r="E992" s="64"/>
      <c r="F992" s="64"/>
      <c r="G992" s="64"/>
      <c r="H992" s="48"/>
      <c r="I992" s="48"/>
      <c r="J992" s="48"/>
    </row>
    <row r="993">
      <c r="A993" s="48"/>
      <c r="B993" s="64"/>
      <c r="C993" s="64"/>
      <c r="D993" s="64"/>
      <c r="E993" s="64"/>
      <c r="F993" s="64"/>
      <c r="G993" s="64"/>
      <c r="H993" s="48"/>
      <c r="I993" s="48"/>
      <c r="J993" s="48"/>
    </row>
    <row r="994">
      <c r="A994" s="48"/>
      <c r="B994" s="64"/>
      <c r="C994" s="64"/>
      <c r="D994" s="64"/>
      <c r="E994" s="64"/>
      <c r="F994" s="64"/>
      <c r="G994" s="64"/>
      <c r="H994" s="48"/>
      <c r="I994" s="48"/>
      <c r="J994" s="48"/>
    </row>
    <row r="995">
      <c r="A995" s="48"/>
      <c r="B995" s="64"/>
      <c r="C995" s="64"/>
      <c r="D995" s="64"/>
      <c r="E995" s="64"/>
      <c r="F995" s="64"/>
      <c r="G995" s="64"/>
      <c r="H995" s="48"/>
      <c r="I995" s="48"/>
      <c r="J995" s="48"/>
    </row>
    <row r="996">
      <c r="A996" s="48"/>
      <c r="B996" s="64"/>
      <c r="C996" s="64"/>
      <c r="D996" s="64"/>
      <c r="E996" s="64"/>
      <c r="F996" s="64"/>
      <c r="G996" s="64"/>
      <c r="H996" s="48"/>
      <c r="I996" s="48"/>
      <c r="J996" s="48"/>
    </row>
    <row r="997">
      <c r="A997" s="48"/>
      <c r="B997" s="64"/>
      <c r="C997" s="64"/>
      <c r="D997" s="64"/>
      <c r="E997" s="64"/>
      <c r="F997" s="64"/>
      <c r="G997" s="64"/>
      <c r="H997" s="48"/>
      <c r="I997" s="48"/>
      <c r="J997" s="48"/>
    </row>
    <row r="998">
      <c r="A998" s="48"/>
      <c r="B998" s="64"/>
      <c r="C998" s="64"/>
      <c r="D998" s="64"/>
      <c r="E998" s="64"/>
      <c r="F998" s="64"/>
      <c r="G998" s="64"/>
      <c r="H998" s="48"/>
      <c r="I998" s="48"/>
      <c r="J998" s="48"/>
    </row>
    <row r="999">
      <c r="A999" s="48"/>
      <c r="B999" s="64"/>
      <c r="C999" s="64"/>
      <c r="D999" s="64"/>
      <c r="E999" s="64"/>
      <c r="F999" s="64"/>
      <c r="G999" s="64"/>
      <c r="H999" s="48"/>
      <c r="I999" s="48"/>
      <c r="J999" s="48"/>
    </row>
    <row r="1000">
      <c r="A1000" s="48"/>
      <c r="B1000" s="64"/>
      <c r="C1000" s="64"/>
      <c r="D1000" s="64"/>
      <c r="E1000" s="64"/>
      <c r="F1000" s="64"/>
      <c r="G1000" s="64"/>
      <c r="H1000" s="48"/>
      <c r="I1000" s="48"/>
      <c r="J1000" s="48"/>
    </row>
    <row r="1001">
      <c r="A1001" s="48"/>
      <c r="B1001" s="64"/>
      <c r="C1001" s="64"/>
      <c r="D1001" s="64"/>
      <c r="E1001" s="64"/>
      <c r="F1001" s="64"/>
      <c r="G1001" s="64"/>
      <c r="H1001" s="48"/>
      <c r="I1001" s="48"/>
      <c r="J1001" s="48"/>
    </row>
    <row r="1002">
      <c r="A1002" s="48"/>
      <c r="B1002" s="64"/>
      <c r="C1002" s="64"/>
      <c r="D1002" s="64"/>
      <c r="E1002" s="64"/>
      <c r="F1002" s="64"/>
      <c r="G1002" s="64"/>
      <c r="H1002" s="48"/>
      <c r="I1002" s="48"/>
      <c r="J1002" s="48"/>
    </row>
    <row r="1003">
      <c r="A1003" s="48"/>
      <c r="B1003" s="64"/>
      <c r="C1003" s="64"/>
      <c r="D1003" s="64"/>
      <c r="E1003" s="64"/>
      <c r="F1003" s="64"/>
      <c r="G1003" s="64"/>
      <c r="H1003" s="48"/>
      <c r="I1003" s="48"/>
      <c r="J1003" s="48"/>
    </row>
    <row r="1004">
      <c r="A1004" s="48"/>
      <c r="B1004" s="64"/>
      <c r="C1004" s="64"/>
      <c r="D1004" s="64"/>
      <c r="E1004" s="64"/>
      <c r="F1004" s="64"/>
      <c r="G1004" s="64"/>
      <c r="H1004" s="48"/>
      <c r="I1004" s="48"/>
      <c r="J1004" s="48"/>
    </row>
    <row r="1005">
      <c r="A1005" s="48"/>
      <c r="B1005" s="64"/>
      <c r="C1005" s="64"/>
      <c r="D1005" s="64"/>
      <c r="E1005" s="64"/>
      <c r="F1005" s="64"/>
      <c r="G1005" s="64"/>
      <c r="H1005" s="48"/>
      <c r="I1005" s="48"/>
      <c r="J1005" s="48"/>
    </row>
    <row r="1006">
      <c r="A1006" s="48"/>
      <c r="B1006" s="64"/>
      <c r="C1006" s="64"/>
      <c r="D1006" s="64"/>
      <c r="E1006" s="64"/>
      <c r="F1006" s="64"/>
      <c r="G1006" s="64"/>
      <c r="H1006" s="48"/>
      <c r="I1006" s="48"/>
      <c r="J1006" s="48"/>
    </row>
    <row r="1007">
      <c r="A1007" s="48"/>
      <c r="B1007" s="64"/>
      <c r="C1007" s="64"/>
      <c r="D1007" s="64"/>
      <c r="E1007" s="64"/>
      <c r="F1007" s="64"/>
      <c r="G1007" s="64"/>
      <c r="H1007" s="48"/>
      <c r="I1007" s="48"/>
      <c r="J1007" s="48"/>
    </row>
    <row r="1008">
      <c r="A1008" s="48"/>
      <c r="B1008" s="64"/>
      <c r="C1008" s="64"/>
      <c r="D1008" s="64"/>
      <c r="E1008" s="64"/>
      <c r="F1008" s="64"/>
      <c r="G1008" s="64"/>
      <c r="H1008" s="48"/>
      <c r="I1008" s="48"/>
      <c r="J1008" s="48"/>
    </row>
    <row r="1009">
      <c r="A1009" s="48"/>
      <c r="B1009" s="64"/>
      <c r="C1009" s="64"/>
      <c r="D1009" s="64"/>
      <c r="E1009" s="64"/>
      <c r="F1009" s="64"/>
      <c r="G1009" s="64"/>
      <c r="H1009" s="48"/>
      <c r="I1009" s="48"/>
      <c r="J1009" s="48"/>
    </row>
    <row r="1010">
      <c r="A1010" s="48"/>
      <c r="B1010" s="64"/>
      <c r="C1010" s="64"/>
      <c r="D1010" s="64"/>
      <c r="E1010" s="64"/>
      <c r="F1010" s="64"/>
      <c r="G1010" s="64"/>
      <c r="H1010" s="48"/>
      <c r="I1010" s="48"/>
      <c r="J1010" s="48"/>
    </row>
    <row r="1011">
      <c r="A1011" s="48"/>
      <c r="B1011" s="64"/>
      <c r="C1011" s="64"/>
      <c r="D1011" s="64"/>
      <c r="E1011" s="64"/>
      <c r="F1011" s="64"/>
      <c r="G1011" s="64"/>
      <c r="H1011" s="48"/>
      <c r="I1011" s="48"/>
      <c r="J1011" s="48"/>
    </row>
    <row r="1012">
      <c r="A1012" s="48"/>
      <c r="B1012" s="64"/>
      <c r="C1012" s="64"/>
      <c r="D1012" s="64"/>
      <c r="E1012" s="64"/>
      <c r="F1012" s="64"/>
      <c r="G1012" s="64"/>
      <c r="H1012" s="48"/>
      <c r="I1012" s="48"/>
      <c r="J1012" s="48"/>
    </row>
    <row r="1013">
      <c r="A1013" s="48"/>
      <c r="B1013" s="64"/>
      <c r="C1013" s="64"/>
      <c r="D1013" s="64"/>
      <c r="E1013" s="64"/>
      <c r="F1013" s="64"/>
      <c r="G1013" s="64"/>
      <c r="H1013" s="48"/>
      <c r="I1013" s="48"/>
      <c r="J1013" s="48"/>
    </row>
    <row r="1014">
      <c r="A1014" s="48"/>
      <c r="B1014" s="64"/>
      <c r="C1014" s="64"/>
      <c r="D1014" s="64"/>
      <c r="E1014" s="64"/>
      <c r="F1014" s="64"/>
      <c r="G1014" s="64"/>
      <c r="H1014" s="48"/>
      <c r="I1014" s="48"/>
      <c r="J1014" s="48"/>
    </row>
    <row r="1015">
      <c r="A1015" s="48"/>
      <c r="B1015" s="64"/>
      <c r="C1015" s="64"/>
      <c r="D1015" s="64"/>
      <c r="E1015" s="64"/>
      <c r="F1015" s="64"/>
      <c r="G1015" s="64"/>
      <c r="H1015" s="48"/>
      <c r="I1015" s="48"/>
      <c r="J1015" s="48"/>
    </row>
    <row r="1016">
      <c r="A1016" s="48"/>
      <c r="B1016" s="64"/>
      <c r="C1016" s="64"/>
      <c r="D1016" s="64"/>
      <c r="E1016" s="64"/>
      <c r="F1016" s="64"/>
      <c r="G1016" s="64"/>
      <c r="H1016" s="48"/>
      <c r="I1016" s="48"/>
      <c r="J1016" s="48"/>
    </row>
    <row r="1017">
      <c r="A1017" s="48"/>
      <c r="B1017" s="64"/>
      <c r="C1017" s="64"/>
      <c r="D1017" s="64"/>
      <c r="E1017" s="64"/>
      <c r="F1017" s="64"/>
      <c r="G1017" s="64"/>
      <c r="H1017" s="48"/>
      <c r="I1017" s="48"/>
      <c r="J1017" s="48"/>
    </row>
    <row r="1018">
      <c r="A1018" s="48"/>
      <c r="B1018" s="64"/>
      <c r="C1018" s="64"/>
      <c r="D1018" s="64"/>
      <c r="E1018" s="64"/>
      <c r="F1018" s="64"/>
      <c r="G1018" s="64"/>
      <c r="H1018" s="48"/>
      <c r="I1018" s="48"/>
      <c r="J1018" s="48"/>
    </row>
    <row r="1019">
      <c r="A1019" s="48"/>
      <c r="B1019" s="64"/>
      <c r="C1019" s="64"/>
      <c r="D1019" s="64"/>
      <c r="E1019" s="64"/>
      <c r="F1019" s="64"/>
      <c r="G1019" s="64"/>
      <c r="H1019" s="48"/>
      <c r="I1019" s="48"/>
      <c r="J1019" s="48"/>
    </row>
    <row r="1020">
      <c r="A1020" s="48"/>
      <c r="B1020" s="64"/>
      <c r="C1020" s="64"/>
      <c r="D1020" s="64"/>
      <c r="E1020" s="64"/>
      <c r="F1020" s="64"/>
      <c r="G1020" s="64"/>
      <c r="H1020" s="48"/>
      <c r="I1020" s="48"/>
      <c r="J1020" s="48"/>
    </row>
    <row r="1021">
      <c r="A1021" s="48"/>
      <c r="B1021" s="64"/>
      <c r="C1021" s="64"/>
      <c r="D1021" s="64"/>
      <c r="E1021" s="64"/>
      <c r="F1021" s="64"/>
      <c r="G1021" s="64"/>
      <c r="H1021" s="48"/>
      <c r="I1021" s="48"/>
      <c r="J1021" s="48"/>
    </row>
    <row r="1022">
      <c r="A1022" s="48"/>
      <c r="B1022" s="64"/>
      <c r="C1022" s="64"/>
      <c r="D1022" s="64"/>
      <c r="E1022" s="64"/>
      <c r="F1022" s="64"/>
      <c r="G1022" s="64"/>
      <c r="H1022" s="48"/>
      <c r="I1022" s="48"/>
      <c r="J1022" s="48"/>
    </row>
    <row r="1023">
      <c r="A1023" s="48"/>
      <c r="B1023" s="64"/>
      <c r="C1023" s="64"/>
      <c r="D1023" s="64"/>
      <c r="E1023" s="64"/>
      <c r="F1023" s="64"/>
      <c r="G1023" s="64"/>
      <c r="H1023" s="48"/>
      <c r="I1023" s="48"/>
      <c r="J1023" s="48"/>
    </row>
    <row r="1024">
      <c r="A1024" s="48"/>
      <c r="B1024" s="64"/>
      <c r="C1024" s="64"/>
      <c r="D1024" s="64"/>
      <c r="E1024" s="64"/>
      <c r="F1024" s="64"/>
      <c r="G1024" s="64"/>
      <c r="H1024" s="48"/>
      <c r="I1024" s="48"/>
      <c r="J1024" s="48"/>
    </row>
    <row r="1025">
      <c r="A1025" s="48"/>
      <c r="B1025" s="64"/>
      <c r="C1025" s="64"/>
      <c r="D1025" s="64"/>
      <c r="E1025" s="64"/>
      <c r="F1025" s="64"/>
      <c r="G1025" s="64"/>
      <c r="H1025" s="48"/>
      <c r="I1025" s="48"/>
      <c r="J1025" s="48"/>
    </row>
    <row r="1026">
      <c r="A1026" s="48"/>
      <c r="B1026" s="64"/>
      <c r="C1026" s="64"/>
      <c r="D1026" s="64"/>
      <c r="E1026" s="64"/>
      <c r="F1026" s="64"/>
      <c r="G1026" s="64"/>
      <c r="H1026" s="48"/>
      <c r="I1026" s="48"/>
      <c r="J1026" s="48"/>
    </row>
    <row r="1027">
      <c r="A1027" s="48"/>
      <c r="B1027" s="64"/>
      <c r="C1027" s="64"/>
      <c r="D1027" s="64"/>
      <c r="E1027" s="64"/>
      <c r="F1027" s="64"/>
      <c r="G1027" s="64"/>
      <c r="H1027" s="48"/>
      <c r="I1027" s="48"/>
      <c r="J1027" s="48"/>
    </row>
    <row r="1028">
      <c r="A1028" s="48"/>
      <c r="B1028" s="64"/>
      <c r="C1028" s="64"/>
      <c r="D1028" s="64"/>
      <c r="E1028" s="64"/>
      <c r="F1028" s="64"/>
      <c r="G1028" s="64"/>
      <c r="H1028" s="48"/>
      <c r="I1028" s="48"/>
      <c r="J1028" s="48"/>
    </row>
    <row r="1029">
      <c r="A1029" s="48"/>
      <c r="B1029" s="64"/>
      <c r="C1029" s="64"/>
      <c r="D1029" s="64"/>
      <c r="E1029" s="64"/>
      <c r="F1029" s="64"/>
      <c r="G1029" s="64"/>
      <c r="H1029" s="48"/>
      <c r="I1029" s="48"/>
      <c r="J1029" s="48"/>
    </row>
    <row r="1030">
      <c r="A1030" s="48"/>
      <c r="B1030" s="64"/>
      <c r="C1030" s="64"/>
      <c r="D1030" s="64"/>
      <c r="E1030" s="64"/>
      <c r="F1030" s="64"/>
      <c r="G1030" s="64"/>
      <c r="H1030" s="48"/>
      <c r="I1030" s="48"/>
      <c r="J1030" s="48"/>
    </row>
    <row r="1031">
      <c r="A1031" s="48"/>
      <c r="B1031" s="64"/>
      <c r="C1031" s="64"/>
      <c r="D1031" s="64"/>
      <c r="E1031" s="64"/>
      <c r="F1031" s="64"/>
      <c r="G1031" s="64"/>
      <c r="H1031" s="48"/>
      <c r="I1031" s="48"/>
      <c r="J1031" s="48"/>
    </row>
    <row r="1032">
      <c r="A1032" s="48"/>
      <c r="B1032" s="64"/>
      <c r="C1032" s="64"/>
      <c r="D1032" s="64"/>
      <c r="E1032" s="64"/>
      <c r="F1032" s="64"/>
      <c r="G1032" s="64"/>
      <c r="H1032" s="48"/>
      <c r="I1032" s="48"/>
      <c r="J1032" s="48"/>
    </row>
    <row r="1033">
      <c r="A1033" s="48"/>
      <c r="B1033" s="64"/>
      <c r="C1033" s="64"/>
      <c r="D1033" s="64"/>
      <c r="E1033" s="64"/>
      <c r="F1033" s="64"/>
      <c r="G1033" s="64"/>
      <c r="H1033" s="48"/>
      <c r="I1033" s="48"/>
      <c r="J1033" s="48"/>
    </row>
    <row r="1034">
      <c r="A1034" s="48"/>
      <c r="B1034" s="64"/>
      <c r="C1034" s="64"/>
      <c r="D1034" s="64"/>
      <c r="E1034" s="64"/>
      <c r="F1034" s="64"/>
      <c r="G1034" s="64"/>
      <c r="H1034" s="48"/>
      <c r="I1034" s="48"/>
      <c r="J1034" s="48"/>
    </row>
    <row r="1035">
      <c r="A1035" s="48"/>
      <c r="B1035" s="64"/>
      <c r="C1035" s="64"/>
      <c r="D1035" s="64"/>
      <c r="E1035" s="64"/>
      <c r="F1035" s="64"/>
      <c r="G1035" s="64"/>
      <c r="H1035" s="48"/>
      <c r="I1035" s="48"/>
      <c r="J1035" s="48"/>
    </row>
    <row r="1036">
      <c r="A1036" s="48"/>
      <c r="B1036" s="64"/>
      <c r="C1036" s="64"/>
      <c r="D1036" s="64"/>
      <c r="E1036" s="64"/>
      <c r="F1036" s="64"/>
      <c r="G1036" s="64"/>
      <c r="H1036" s="48"/>
      <c r="I1036" s="48"/>
      <c r="J1036" s="48"/>
    </row>
    <row r="1037">
      <c r="A1037" s="48"/>
      <c r="B1037" s="64"/>
      <c r="C1037" s="64"/>
      <c r="D1037" s="64"/>
      <c r="E1037" s="64"/>
      <c r="F1037" s="64"/>
      <c r="G1037" s="64"/>
      <c r="H1037" s="48"/>
      <c r="I1037" s="48"/>
      <c r="J1037" s="48"/>
    </row>
    <row r="1038">
      <c r="A1038" s="48"/>
      <c r="B1038" s="64"/>
      <c r="C1038" s="64"/>
      <c r="D1038" s="64"/>
      <c r="E1038" s="64"/>
      <c r="F1038" s="64"/>
      <c r="G1038" s="64"/>
      <c r="H1038" s="48"/>
      <c r="I1038" s="48"/>
      <c r="J1038" s="48"/>
    </row>
    <row r="1039">
      <c r="A1039" s="48"/>
      <c r="B1039" s="64"/>
      <c r="C1039" s="64"/>
      <c r="D1039" s="64"/>
      <c r="E1039" s="64"/>
      <c r="F1039" s="64"/>
      <c r="G1039" s="64"/>
      <c r="H1039" s="48"/>
      <c r="I1039" s="48"/>
      <c r="J1039" s="48"/>
    </row>
  </sheetData>
  <mergeCells count="10">
    <mergeCell ref="A4:E4"/>
    <mergeCell ref="A5:E5"/>
    <mergeCell ref="A1:K1"/>
    <mergeCell ref="B2:J2"/>
    <mergeCell ref="K2:L2"/>
    <mergeCell ref="I4:K6"/>
    <mergeCell ref="L4:L6"/>
    <mergeCell ref="M4:M6"/>
    <mergeCell ref="N4:N6"/>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