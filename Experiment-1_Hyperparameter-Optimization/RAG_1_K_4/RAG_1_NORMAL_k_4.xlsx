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<sst xmlns="http://schemas.openxmlformats.org/spreadsheetml/2006/main" count="3482" uniqueCount="506">
  <si>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</si>
  <si>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</si>
  <si>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</si>
  <si>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</si>
  <si>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</si>
  <si>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</si>
  <si>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</si>
  <si>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</si>
  <si>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</si>
  <si>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</si>
  <si>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</si>
  <si>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</si>
  <si>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</si>
  <si>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</si>
  <si>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</si>
  <si>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</si>
  <si>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</si>
  <si>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</si>
  <si>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</si>
  <si>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</si>
  <si>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</si>
  <si>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</si>
  <si>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</si>
  <si>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</si>
  <si>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</si>
  <si>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</si>
  <si>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</si>
  <si>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</si>
  <si>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</si>
  <si>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</si>
  <si>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</si>
  <si>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</si>
  <si>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</si>
  <si>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</si>
  <si>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</si>
  <si>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</si>
  <si>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</si>
  <si>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</si>
  <si>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popliteal nerve block is performed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</si>
  <si>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</si>
  <si>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</si>
  <si>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</si>
  <si>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</si>
  <si>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right upper quadrant abdominal pain and nausea 30 minutes after receiving premedication with morphine and midazolam. Morphine is the likely cause of the adverse reaction. Naloxone is the most appropriate therapy to reverse the effects of morphine and alleviate the patient's symptoms."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</si>
  <si>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</si>
  <si>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</si>
  <si>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</si>
  <si>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</si>
  <si>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</si>
  <si>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as it helps to dilute the elevated calcium levels and prevent further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</si>
  <si>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</si>
  <si>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</si>
  <si>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</si>
  <si>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</si>
  <si>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is considered the most reliable test for predicting the likelihood of developing malignant hyperthermia, as it has the highest sensitivity and specificity among the three options."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</si>
  <si>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</si>
  <si>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</si>
  <si>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</si>
  <si>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</si>
  <si>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vapor in the mixture. The vaporizer contains an anesthetic with a vapor pressure of 150 mmHg, and 100 mL of O2 is bubbled through it. The fresh gas flow is 5 L/min. The volume of anesthetic vapor in the mixture can be calculated as 100 mL / (150 mmHg / 760 mmHg) = 0.75 mL. The delivered anesthetic concentration is then 0.75 mL / (100 mL + 5 L) =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</si>
  <si>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</si>
  <si>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</si>
  <si>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</si>
  <si>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</si>
  <si>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helps to reduce heat loss by convection and radiation."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</si>
  <si>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</si>
  <si>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</si>
  <si>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</si>
  <si>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</si>
  <si>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the procedure, and it is not safe to send the patient home in 1 hour without proper observation." }</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</si>
  <si>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</si>
  <si>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</si>
  <si>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</si>
  <si>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</si>
  <si>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patient's position can significantly affect the extent of spread of local anesthetic following subarachnoid block with hyperbaric bupivacaine, as it can influence the distribution of the anesthetic solution in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</si>
  <si>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</si>
  <si>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</si>
  <si>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</si>
  <si>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</si>
  <si>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"Administering furosemide is the most appropriate management strategy for the 17-year-old boy developing pulmonary edema after resolution of postoperative laryngospasm, as it can help to reduce fluid overload and improve oxygenation."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</si>
  <si>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</si>
  <si>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</si>
  <si>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</si>
  <si>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</si>
  <si>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developed sudden onset of nausea, diaphoresis, and sharp pain in the left shoulder, which is a classic presentation of bladder perforation, a rare but serious complication of spinal anesthesia. This sudden onset of symptoms is not typical of angina pectoris or inadequate spinal sensory level."</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</si>
  <si>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</si>
  <si>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</si>
  <si>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</si>
  <si>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</si>
  <si>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a decrease in SpO2. The increase in ETCO2 also suggests that the patient is not adequately ventilated, which may be contributing to the decrease in SpO2."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</si>
  <si>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</si>
  <si>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</si>
  <si>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</si>
  <si>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</si>
  <si>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"Two hours after a laparoscopic cholecystectomy, the patient's SpO2 is 90% on room air, indicating mild hypoxemia. The most likely cause of this is hypoventilation, as the patient is receiving IV PCA with morphine, which can cause respiratory depression and decreased tidal volume."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</si>
  <si>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</si>
  <si>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</si>
  <si>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</si>
  <si>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</si>
  <si>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is a preset factor."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</si>
  <si>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</si>
  <si>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</si>
  <si>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</si>
  <si>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</si>
  <si>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increased coronary perfusion pressure is necessary to ensure adequate oxygen delivery to the heart muscle. This is particularly important in patients with aortic stenosis, where tachycardia can further decrease coronary filling time and increase the risk of myocardial ischemia."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</si>
  <si>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</si>
  <si>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</si>
  <si>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</si>
  <si>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</si>
  <si>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value that is most likely to confirm adequate synthetic hepatic function. This is because the PT measures the ability of the liver to produce clotting factors, specifically prothrombin, which is essential for blood clotting. An abnormal PT result can indicate liver dysfunction or disease, making it a useful test for evaluating liver function."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</si>
  <si>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</si>
  <si>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</si>
  <si>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</si>
  <si>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</si>
  <si>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as it ensures that the electrical shock is delivered during the QRS complex, reducing the risk of ventricular fibrillation." }</t>
  </si>
  <si>
    <t>Compared with a semiclosed circle system, a Bain circuit exhibits which of the following characteristics?</t>
  </si>
  <si>
    <t>A. Less rebreathing of CO2</t>
  </si>
  <si>
    <t>B. A lower fresh gas flow requirement</t>
  </si>
  <si>
    <t>C. More rapid change in inspired gas concentration</t>
  </si>
  <si>
    <t>{   "Answer": "A",   "Explain": "A Bain circuit exhibits less rebreathing of CO2 compared to a semiclosed circle system because it has a higher fresh gas flow rate with minimal rebreathing and more venting of waste gas."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</si>
  <si>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</si>
  <si>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</si>
  <si>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</si>
  <si>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</si>
  <si>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capnograph waveform to be displaced, resulting in a decrease in the amplitude of the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</si>
  <si>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</si>
  <si>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</si>
  <si>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</si>
  <si>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</si>
  <si>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penicillin allergy and cefazolin is being considered for administration." }</t>
  </si>
  <si>
    <t>Which of the following factors DECREASES the MAC of isoflurane?</t>
  </si>
  <si>
    <t>A. Acute cocaine intoxication</t>
  </si>
  <si>
    <t>B. Chronic ethanol abuse</t>
  </si>
  <si>
    <t>C. Symptomatic hyponatremia</t>
  </si>
  <si>
    <t>{   "Answer": "A",   "Explain": "Acute cocaine intoxication decreases the MAC of isoflurane by increasing the activity of cytochrome P450 enzymes, which metabolize isoflurane and reduce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</si>
  <si>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</si>
  <si>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</si>
  <si>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</si>
  <si>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</si>
  <si>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</si>
  <si>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</si>
  <si>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</si>
  <si>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</si>
  <si>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</si>
  <si>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meaning that at a given oxygen partial pressure, the amount of oxygen bound to hemoglobin decreases, allowing more oxygen to be released to the tissues."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</si>
  <si>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</si>
  <si>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</si>
  <si>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</si>
  <si>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</si>
  <si>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decreased, leading to decreased cardiac output and peripheral resistance, which is a characteristic feature of hypothyroidism." }</t>
  </si>
  <si>
    <t>Which of the following anesthetic drugs is MOST likely to be associated with longer seizure duration when used for electroconvulsive therapy?</t>
  </si>
  <si>
    <t>A. Etomidate</t>
  </si>
  <si>
    <t>B. Methohexital</t>
  </si>
  <si>
    <t>C. Propofol</t>
  </si>
  <si>
    <t>{   "Answer": "B",   "Explain": "Methohexital is most likely to be associated with longer seizure duration when used for electroconvulsive therapy because it has a slower elimination half-life compared to propofol and etomidate, which can lead to prolonged effects on the brain and increased seizure duration." }</t>
  </si>
  <si>
    <t>Which of the following drugs does NOT cause enhanced activity of the GABA receptor?</t>
  </si>
  <si>
    <t>B. Ketamine</t>
  </si>
  <si>
    <t>{   "Answer": "A",   "Explain": "Etomidate does not cause enhanced activity of the GABA receptor, whereas ketamine and propofol do." }</t>
  </si>
  <si>
    <t>Which of the following components is MISPLACED in the circle system shown in the above illustration?</t>
  </si>
  <si>
    <t>A. Fresh gas inlet</t>
  </si>
  <si>
    <t>B. CO2 absorber</t>
  </si>
  <si>
    <t>C. Expiratory valve</t>
  </si>
  <si>
    <t>{   "Answer": C,   "Explain": "The expiratory valve is typically located outside the circle system, whereas the other two options, fresh gas inlet and CO2 absorber, are typically part of the circle system."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</si>
  <si>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</si>
  <si>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</si>
  <si>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</si>
  <si>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</si>
  <si>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widely distributed throughout the body, which is often associated with low plasma protein binding. This is because a large volume of distribution means that the drug is not being sequestered by plasma proteins, allowing it to spread out and distribute itself throughout the body." }</t>
  </si>
  <si>
    <t>Which of the following drugs has the LONGEST duration of action in a patient with renal failure?</t>
  </si>
  <si>
    <t>A. Neostigmine</t>
  </si>
  <si>
    <t>B. Rocuronium</t>
  </si>
  <si>
    <t>C. Succinylcholine</t>
  </si>
  <si>
    <t>{   "Answer": "A",   "Explain": "Neostigmine has the longest duration of action among the given options, as it is a long-acting anticholinesterase that can take several hours to wear off."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</si>
  <si>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</si>
  <si>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</si>
  <si>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</si>
  <si>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</si>
  <si>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supplies sensation to the larynx and is responsible for the sensation of pain and discomfort in the larynx."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</si>
  <si>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</si>
  <si>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</si>
  <si>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</si>
  <si>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</si>
  <si>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supplies sensory innervation to the epiglottis and the upper part of the larynx."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</si>
  <si>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</si>
  <si>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</si>
  <si>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</si>
  <si>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</si>
  <si>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suppresses the body's natural thermoregulatory mechanisms, including vasoconstriction, which normally help to conserve heat and maintain a stable body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</si>
  <si>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</si>
  <si>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</si>
  <si>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</si>
  <si>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</si>
  <si>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"B",   "Explain": "The patient's hypoxemia is most likely caused by increased dead space ventilation. The patient's SpO2 improved when the FiO2 was increased to 1.0, indicating that the hypoxemia was not due to a lack of oxygen in the inspired gas. The patient's tidal volume is 350 mL, which is relatively small, and the fresh gas flow is 5 L/min, which is relatively high. This suggests that the patient is not tolerating the high fresh gas flow and is rebreathing some of the anesthetic gases, leading to increased dead space ventilation and hypoxemia."</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</si>
  <si>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</si>
  <si>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</si>
  <si>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</si>
  <si>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</si>
  <si>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indicating that the block is effective for the brachial plexus. However, the procedure requires two hours of tourniquet inflation, which may cause discomfort in the intercostobrachial nerve distribution. Therefore, an additional block of the intercostobrachial nerve would be the most appropriate next step to provide adequate anesthesia for the patient."</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</si>
  <si>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</si>
  <si>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</si>
  <si>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</si>
  <si>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</si>
  <si>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 rapidly redistributes from the brain and other tissues back to the bloodstream, leading to a decrease in its concentration at the effect site."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</si>
  <si>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</si>
  <si>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</si>
  <si>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</si>
  <si>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</si>
  <si>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lead to a false reading of lower O2 levels."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</si>
  <si>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</si>
  <si>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</si>
  <si>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</si>
  <si>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</si>
  <si>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clinically as if they are in a dissociative state, characterized by analgesia, amnesia, and a sense of detachment from their surroundings."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</si>
  <si>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</si>
  <si>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</si>
  <si>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</si>
  <si>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</si>
  <si>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more quickly,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</si>
  <si>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</si>
  <si>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</si>
  <si>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</si>
  <si>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</si>
  <si>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average of a large number of measurements. It represents the amount of uncertainty or variability in the sample mean, and is used to construct confidence intervals and test hypotheses about the population mean." }</t>
  </si>
  <si>
    <t>Pulse oximetry accurately reflects SaO2 in which of the following situations?</t>
  </si>
  <si>
    <t>A. Administration of indocyanine green</t>
  </si>
  <si>
    <t>B. Carboxyhemoglobinemia</t>
  </si>
  <si>
    <t>C. 40% fetal hemoglobin concentration</t>
  </si>
  <si>
    <t>{   "Answer": "A",   "Explain": "Pulse oximetry accurately reflects SaO2 in situations where there is no interference with light absorption, such as in the absence of indocyanine green administration."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</si>
  <si>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</si>
  <si>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</si>
  <si>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</si>
  <si>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</si>
  <si>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 is receiving a 4-hour general anesthetic, and the fasting blood glucose was 100 mg/dL. This suggests that the patient's blood glucose level is already within a normal range. Given that the anesthetic will only last for 4 hours, it is unlikely that the blood glucose level will drop significantly, making mild hypoglycemia (C) the most likely expected outcome on emergence."</t>
  </si>
  <si>
    <t>Which of the following drugs INCREASES gastric pH while decreasing gastric volume?</t>
  </si>
  <si>
    <t>A. Glycopyrrolate</t>
  </si>
  <si>
    <t>B. Metoclopramide</t>
  </si>
  <si>
    <t>C. Ranitidine</t>
  </si>
  <si>
    <t>{   "Answer": "C",   "Explain": "Ranitidine is an H2-receptor antagonist that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</si>
  <si>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</si>
  <si>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</si>
  <si>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</si>
  <si>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</si>
  <si>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can diffuse out of the bloodstream and into the lungs more quickly, resulting in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</si>
  <si>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</si>
  <si>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</si>
  <si>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</si>
  <si>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</si>
  <si>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ensuring that the patient's body has a sufficient oxygen reserve to maintain adequate oxygenation during the apneic period."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</si>
  <si>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</si>
  <si>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</si>
  <si>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</si>
  <si>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</si>
  <si>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paralysis of the left vocal cord. As a result, she is likely to experience aphonia, or the inability to speak, due to the paralysis of the affected vocal cord." }</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</si>
  <si>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</si>
  <si>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</si>
  <si>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</si>
  <si>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</si>
  <si>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around 45 mmHg because the increased O2 delivery to the body has saturated the hemoglobin and reduced the amount of deoxygenated hemoglobin, resulting in a decrease in mixed venous O2 tension." }</t>
  </si>
  <si>
    <t>Which of the following drugs has the SHORTEST elimination half-life?</t>
  </si>
  <si>
    <t>B. Lorazepam</t>
  </si>
  <si>
    <t>C. Midazolam</t>
  </si>
  <si>
    <t>{   "Answer": "A",   "Explain": "Flumazenil has a shorter elimination half-life compared to lorazepam and midazolam, with a half-life of approximately 1-2 hours, making it the shortest among the three options."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</si>
  <si>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</si>
  <si>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</si>
  <si>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</si>
  <si>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</si>
  <si>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</si>
  <si>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right upper quadrant abdominal pain and nausea 30 minutes after receiving premedication with morphine and midazolam. This suggests that the morphine may be causing the adverse effects. Naloxone is the most appropriate therapy to reverse the effects of morphine and alleviate the patient's symptoms." }</t>
  </si>
  <si>
    <t>{   "Answer": "B",   "Explain": "Normal saline is the most appropriate initial management for a 68-year-old woman with primary hyperparathyroidism and a serum calcium concentration of 15 mg/dL, as it helps to dilute the elevated calcium levels and prevent further cardiac complications." }</t>
  </si>
  <si>
    <t>{   "Answer": "B",   "Explain": "Genetic testing of the ryanodine receptor is the most reliable test to predict the likelihood of developing malignant hyperthermia, as it is highly specific and can detect the underlying genetic mutation responsible for the condition." }</t>
  </si>
  <si>
    <t>{   "Answer": "B",   "Explain": "To find the delivered anesthetic concentration, we need to calculate the volume of anesthetic vapor in the mixture. The vaporizer contains an anesthetic with a vapor pressure of 150 mmHg, and 100 mL of O2 is bubbled through it. The fresh gas flow is 5 L/min. The volume of anesthetic vapor in the mixture is 100 mL x (150 mmHg / 760 mmHg) = 19.7 mL. The total volume of the mixture is 100 mL + 5 L = 5000 mL. The delivered anesthetic concentration is therefore 19.7 mL / 5000 mL = 0.39%. This is closest to 0.5%."</t>
  </si>
  <si>
    <t>{   "Answer": "C",   "Explain": "Vasoconstriction is the most effective physiologic mechanism for maintaining body temperature in this patient with mild hypothermia, as it helps to reduce heat loss by conduction and radiation." }</t>
  </si>
  <si>
    <t>{   "Answer": "A",   "Explain": "Flumazenil has a shorter duration of action compared to midazolam, and its effects can be easily antagonized, but it does not have a longer duration of action than midazolam, so the patient should remain hospitalized for observation to ensure the sedation is fully reversed." }</t>
  </si>
  <si>
    <t>{   "Answer": "C",   "Explain": "The total dose of drug has the greatest effect on the extent of spread of local anesthetic following subarachnoid block with hyperbaric bupivacaine, as it directly influences the amount of anesthetic that is distributed throughout the cerebrospinal fluid." }</t>
  </si>
  <si>
    <t>{   "Answer": "B",   "Explain": "Administering furosemide is the most appropriate management strategy in this scenario as it can help to reduce pulmonary edema and improve oxygenation. The patient is already receiving 100% O2, but their SpO2 is still 80%, indicating that they may have underlying pulmonary edema. Furosemide can help to reduce fluid accumulation in the lungs and improve oxygenation, making it the most effective treatment option in this situation."</t>
  </si>
  <si>
    <t>{   "Answer": "B",   "Explain": "The patient developed sudden onset of nausea, diaphoresis, and sharp pain in the left shoulder, which is a classic presentation of bladder perforation. This is a more likely cause than angina pectoris, which typically presents with chest pain, and inadequate spinal sensory level, which would not cause sudden onset of symptoms."</t>
  </si>
  <si>
    <t>{   "Answer": "A",   "Explain": "In pressure support ventilation, pressure support breaths are triggered by a decrease in airway pressure, which indicates the need for additional breath support." }</t>
  </si>
  <si>
    <t>{   "Answer": "B",   "Explain": "ECG synchronization is the best strategy to prevent ventricular dysrhythmias in a patient undergoing extracorporeal shock wave lithotripsy, as it ensures that the electrical shock is delivered at the peak of the T wave, reducing the risk of ventricular fibrillation." }</t>
  </si>
  <si>
    <t>{   "Answer": "C",   "Explain": "Instillation of local anesthetic into the trachea via the cricothyroid membrane is most likely to block the recurrent laryngeal nerve, which supplies sensation to the larynx and is responsible for the sensation of pain and discomfort in the larynx during intubation."</t>
  </si>
  <si>
    <t>{   "Answer": "B",   "Explain": "The patient's hypoxemia is most likely caused by increased dead space ventilation. The patient's SpO2 improved when the FiO2 was increased to 1.0, indicating that the hypoxemia was not due to a lack of oxygen in the inspired gas. The patient's tidal volume is 350 mL, which is relatively small, and the fresh gas flow is 5 L/min, which is relatively high. This suggests that the patient is not tolerating the fresh gas flow well, leading to increased dead space ventilation and hypoxemia."</t>
  </si>
  <si>
    <t>{   "Answer": "A",   "Explain": "After a single dose of propofol, emergence is primarily due to redistribution from the brain and other highly perfused tissues to less perfused tissues, such as muscle and fat, where it is stored and slowly released."</t>
  </si>
  <si>
    <t>{   "Answer": "C",   "Explain": "The patient is receiving a 4-hour general anesthetic, and the fasting blood glucose was 100 mg/dL. This suggests that the patient's blood glucose level is already within a normal range. Given that the anesthetic will not significantly affect blood glucose levels, mild hypoglycemia (C) is the most likely expected outcome on emergence."</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</si>
  <si>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</si>
  <si>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</si>
  <si>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sudden onset of right upper quadrant abdominal pain and nausea 30 minutes after receiving morphine and midazolam. This suggests that the patient may be experiencing morphine-induced pruritus, which is a common adverse effect of morphine. Naloxone is the most appropriate therapy for this patient's pain as it is an opioid antagonist that can reverse the effects of morphine and alleviate pruritus." }</t>
  </si>
  <si>
    <t>{   "Answer": "B",   "Explain": "To find the delivered anesthetic concentration, we need to calculate the volume of anesthetic vapor in the mixture. The vaporizer contains an anesthetic with a vapor pressure of 150 mmHg, and 100 mL of O2 is bubbled through it. The fresh gas flow is 5 L/min. The volume of anesthetic vapor in the mixture is 100 mL x (150 mmHg / 760 mmHg) = 19.7 mL. The total volume of gas in the mixture is 100 mL + 5 L = 5000 mL. The delivered anesthetic concentration is therefore 19.7 mL / 5000 mL = 0.39%. This is closest to 0.5%."</t>
  </si>
  <si>
    <t>{   "Answer": "A",   "Explain": "Flumazenil has a shorter duration of action compared to midazolam, which means that the patient may still be affected by the midazolam even after 1 hour, and may require further observation to ensure they are fully recovered." }</t>
  </si>
  <si>
    <t>{   "Answer": "C",   "Explain": "The total dose of drug exerts the greatest effect on the extent of spread of local anesthetic following subarachnoid block with hyperbaric bupivacaine, as it directly influences the amount of anesthetic that is distributed throughout the cerebrospinal fluid." }</t>
  </si>
  <si>
    <t>{   "Answer": "B",   "Explain": "The patient developed nausea, diaphoresis, and sharp pain in the left shoulder 45 minutes after the start of the procedure, which is a classic presentation of bladder perforation. This is a more likely cause than angina pectoris, which typically presents with chest pain, and inadequate spinal sensory level, which would not cause sudden onset of symptoms."</t>
  </si>
  <si>
    <t>{   "Answer": "B",   "Explain": "The patient is in the Trendelenburg position with CO2 insufflation, which can cause compression of the vena cava, leading to a decrease in SpO2. The increase in ETCO2 also suggests that the patient is not adequately ventilated, which can further contribute to the decrease in SpO2." }</t>
  </si>
  <si>
    <t>{   "Answer": "B",   "Explain": "Two hours after a laparoscopic cholecystectomy, the patient's SpO2 is 90% on room air, indicating mild hypoxemia. The most likely cause of this is hypoventilation, as the patient is receiving IV PCA with morphine, which can cause respiratory depression." }</t>
  </si>
  <si>
    <t>{   "Answer": "B",   "Explain": "The prothrombin time (PT) is a laboratory value that is most likely to confirm adequate synthetic hepatic function. This is because the PT measures the ability of the liver to produce clotting factors, specifically prothrombin, which is essential for blood clotting. An abnormal PT result would indicate impaired liver function, whereas a normal PT result would suggest adequate liver function." }</t>
  </si>
  <si>
    <t>{   "Answer": "B",   "Explain": "ECG synchronization is the best strategy to prevent ventricular dysrhythmias during extracorporeal shock wave lithotripsy, as it ensures that the electrical shock is delivered during the QRS complex, reducing the risk of ventricular fibrillation." }</t>
  </si>
  <si>
    <t>{   "Answer": "C",   "Explain": "The patient is in the lateral position, which can cause the capnograph waveform to shift to the right due to the change in patient positioning, resulting in a decrease in end-tidal CO2 levels between points A and B." }</t>
  </si>
  <si>
    <t>{   "Answer": "C",   "Explain": "Hyperthermia causes a rightward shift of the oxyhemoglobin dissociation curve, meaning that at a given oxygen partial pressure, the hemoglobin is less likely to release oxygen to the tissues." }</t>
  </si>
  <si>
    <t>{   "Answer": "B",   "Explain": "In clinical hypothyroidism, myocardial contractility is decreased, leading to decreased cardiac output and peripheral resistance, which is a characteristic feature of hypothyroid cardiomyopathy." }</t>
  </si>
  <si>
    <t>{   "Answer": "A",   "Explain": "Etomidate does not cause enhanced activity of the GABA receptor, whereas ketamine and propofol have been shown to increase the activity of GABA receptors." }</t>
  </si>
  <si>
    <t>{   "Answer": "A",   "Explain": "Ablation of thermoregulatory vasoconstriction is the most likely explanation for the initial reduction in core temperature during general anesthesia. This is because general anesthesia suppresses the body's natural thermoregulatory response, leading to a decrease in vasoconstriction and a subsequent loss of heat from the core to the periphery." }</t>
  </si>
  <si>
    <t>{   "Answer": "B",   "Explain": "The patient's hypoxemia is most likely caused by increased dead space ventilation. With a tidal volume of 350 mL and a respiratory rate of 20 breaths/minute, the patient is receiving a total minute ventilation of 7 L/min. The fresh gas flow of 5 L/min is not sufficient to meet the patient's oxygen demand, resulting in a significant amount of dead space ventilation. This is supported by the improvement in oxygen saturation when the FiO2 is increased to 1.0, indicating that the patient's hypoxemia was primarily due to inadequate oxygenation rather than a low inspired oxygen concentration."</t>
  </si>
  <si>
    <t>{   "Answer": "B",   "Explain": "The patient has complete anesthesia in the median, radial, and ulnar nerve distributions after a supraclavicular block, indicating that the block is effective for the brachial plexus. However, the tourniquet is still in use, which may cause pain in the intercostobrachial nerve distribution. Therefore, an additional block of the intercostobrachial nerve would be the most appropriate next step to ensure adequate anesthesia for the patient."</t>
  </si>
  <si>
    <t>{   "Answer": "A",   "Explain": "After a single dose of propofol, emergence is primarily due to redistribution from the brain and other highly perfused tissues to less perfused tissues, such as muscle and fat, where it is stored and slowly released." }</t>
  </si>
  <si>
    <t>{   "Answer": "B",   "Explain": "After 30 minutes of stable anesthesia, the O2 analyzer reading decreased from 50% to 30%. This is likely due to the accumulation of water on the O2 sensor membrane, which can cause a decrease in the accuracy of the O2 reading." }</t>
  </si>
  <si>
    <t>{   "Answer": "A",   "Explain": "After an induction dose of ketamine, patients appear clinically as if they are in a dissociative state, characterized by analgesia, amnesia, and a sense of detachment from their surroundings, which is the most likely effect." }</t>
  </si>
  <si>
    <t>{   "Answer": "C",   "Explain": "Ranitidine is an H2-receptor antagonist that decreases gastric acid secretion, thereby increasing gastric pH, while also decreasing gastric volume." }</t>
  </si>
  <si>
    <t>{   "Answer": "C",   "Explain": "Nitrous oxide has a lower blood gas solubility compared to desflurane, which means it can diffuse more easily from the bloodstream to the alveoli, leading to a more rapid equilibration of alveolar and inspired concentrations." }</t>
  </si>
  <si>
    <t>{   "Answer": "B",   "Explain": "A 32-year-old woman sustains an injury to the left recurrent laryngeal nerve during thyroidectomy, which is likely to cause paralysis of the left vocal cord. As a result, the patient is likely to experience aphonia, which is the inability to speak or make sounds due to the paralysis of the vocal cord." }</t>
  </si>
  <si>
    <t>{   "Answer": "A",   "Explain": "After breathing 100% O2 for 10 minutes, the mixed venous O2 tension is expected to be around 45 mmHg because the increased O2 delivery to the body has saturated the hemoglobin and reduced the amount of deoxygenated blood returning to the heart, resulting in a decrease in mixed venous O2 tension."</t>
  </si>
  <si>
    <t>{   "Answer": "A",   "Explain": "Flumazenil has a shorter elimination half-life compared to Lorazepam and Midazolam, with a half-life of approximately 1-2 hours."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</si>
  <si>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</si>
  <si>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</si>
  <si>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</si>
  <si>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"The patient is in the Trendelenburg position with CO2 insufflation, which can cause compression of the vena cava, leading to a decrease in SpO2. The increase in ETCO2 also suggests that the patient is not ventilating adequately, which is consistent with compression of the vena cava."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</si>
  <si>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</si>
  <si>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</si>
  <si>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saphenous nerve block is performed at the medial aspect of the lower leg, making option C, Tibial, the most likely choice for blocking a nerve for an operation at this location." }</t>
  </si>
  <si>
    <t>{   "Answer": "C",   "Explain": "The patient is experiencing adverse effects of morphine, such as nausea and right upper quadrant abdominal pain, which may be due to its antagonist effects on the opioid receptor. Naloxone is the antidote for morphine and can reverse its effects, making it the most appropriate therapy for this patient's pain." }</t>
  </si>
  <si>
    <t>{   "Answer": "B",   "Explain": "Normal saline is the most appropriate initial management for a 68-year-old woman with primary hyperparathyroidism and a serum calcium concentration of 15 mg/dL, as it will help to dilute the elevated calcium levels and prevent further complications." }</t>
  </si>
  <si>
    <t>{   "Answer": "B",   "Explain": "Genetic testing of the ryanodine receptor is the most reliable test to predict the likelihood of developing malignant hyperthermia, as it has a high specificity and is not as sensitive as the caffeine-halothane contracture test." }</t>
  </si>
  <si>
    <t>{   "Answer": "B",   "Explain": "To find the delivered anesthetic concentration, we need to calculate the volume of anesthetic gas in the fresh gas flow. The vaporizer adds 100 mL/min of anesthetic gas to the fresh gas flow of 5 L/min. The concentration of anesthetic gas in the fresh gas flow is the volume of anesthetic gas added divided by the total flow rate, which is 100 mL/min / (100 mL/min + 5 L/min) = 2%. Since the vapor pressure of the anesthetic is 150 mmHg, the concentration of anesthetic gas in the mixture is 2% of 150 mmHg, which is 3%. However, the correct answer is 0.5%, which is 2.5% of 150 mmHg divided by 5 L/min."</t>
  </si>
  <si>
    <t>{   "Answer": "C",   "Explain": "Vasoconstriction is the most effective physiologic mechanism for maintaining body temperature in this patient with mild hypothermia, as it helps to reduce heat loss through radiation and conduction." }</t>
  </si>
  <si>
    <t>{   "Answer": "A",   "Explain": "Flumazenil has a shorter duration of action compared to midazolam, and the patient's sedation is easily antagonized by flumazenil, indicating that the patient is still under the influence of midazolam, and should remain hospitalized for observation to ensure the patient's safety and prevent potential complications." }</t>
  </si>
  <si>
    <t>{   "Answer": "B",   "Explain": "Administering furosemide is the most appropriate management strategy in this scenario as it can help to reduce pulmonary edema and improve oxygenation. The patient is already receiving 100% O2, and increasing the oxygen flow rate may not be effective in improving oxygenation. Furosemide can help to reduce fluid overload and improve lung compliance, which can lead to improved oxygenation and resolution of the pulmonary edema."</t>
  </si>
  <si>
    <t>{   "Answer": "B",   "Explain": "The patient developed nausea, diaphoresis, and sharp pain in the left shoulder 45 minutes after the start of the procedure, which is a sudden onset of symptoms. This is more likely due to bladder perforation, as it is a rare but possible complication of TURP procedure, and the symptoms are consistent with this etiology." }</t>
  </si>
  <si>
    <t>{   "Answer": "B",   "Explain": "The patient is in the Trendelenburg position with CO2 insufflation, which can cause compression of the vena cava, leading to a decrease in SpO2. The partial pressure of ETCO2 increasing from 38 to 43 mmHg suggests that the patient is hyperventilating, which can also contribute to the decrease in SpO2."</t>
  </si>
  <si>
    <t>{   "Answer": "B",   "Explain": "Two hours after a laparoscopic cholecystectomy, the patient's SpO2 is 90% on room air, indicating mild hypoxemia. The most likely cause of her hypoxemia is hypoventilation, as the patient received IV PCA with morphine, which can cause respiratory depression and decreased tidal volume." }</t>
  </si>
  <si>
    <t>{   "Answer": "A",   "Explain": "In pressure support ventilation, pressure support breaths are triggered by a decrease in airway pressure, which indicates that the patient is trying to breathe and needs assistance." }</t>
  </si>
  <si>
    <t>{   "Answer": "B",   "Explain": "The increased heart rate from 60 bpm to 120 bpm during induction of anesthesia increases the metabolic demand of the myocardium. To satisfy this increased demand, the body needs to increase coronary perfusion pressure to deliver more oxygen and nutrients to the heart muscle. This is achieved by increasing coronary perfusion pressure, which is the most likely factor to satisfy the increased metabolic demand of the myocardium." }</t>
  </si>
  <si>
    <t>{   "Answer": "B",   "Explain": "A prothrombin time (PT) is a laboratory value that measures the time it takes for the blood to clot, which is a reflection of the liver's synthetic function. It is the most likely to confirm adequate synthetic hepatic function, as it assesses the liver's ability to produce clotting factors." }</t>
  </si>
  <si>
    <t>{   "Answer": "B",   "Explain": "Synchronized cardioversion is the best strategy to prevent ventricular dysrhythmias in a patient undergoing extracorporeal shock wave lithotripsy, as it is the recommended treatment for hemodynamically unstable patients with narrow-complex tachycardias."</t>
  </si>
  <si>
    <t>{   "Answer": "C",   "Explain": "The patient position, specifically being in the lateral position, can cause a decrease in tidal volume, resulting in a decrease in the capnograph waveform between points A and B." }</t>
  </si>
  <si>
    <t>{   "Answer": "B",   "Explain": "The anesthesiologist should administer hydrocortisone, followed by cefazolin, as the patient has a history of penicillin allergy and cefazolin is a beta-lactam antibiotic, which may trigger an allergic reaction." }</t>
  </si>
  <si>
    <t>{   "Answer": "A",   "Explain": "Acute cocaine intoxication decreases the MAC of isoflurane by increasing the activity of cytochrome P450 enzymes, which metabolize isoflurane, leading to a reduction in its potency." }</t>
  </si>
  <si>
    <t>{   "Answer": "B",   "Explain": "In clinical hypothyroidism, myocardial contractility is decreased, leading to decreased cardiac output and peripheral resistance." }</t>
  </si>
  <si>
    <t>{   "Answer": "B",   "Explain": "Methohexital is more likely to be associated with longer seizure duration when used for electroconvulsive therapy because it has a slower elimination half-life compared to propofol and etomidate, which can lead to prolonged effects on the brain." }</t>
  </si>
  <si>
    <t>{   "Answer": "B",   "Explain": "The CO2 absorber is typically placed in the breathing circuit between the patient and the anesthesia machine, not in the circle system as shown in the illustration." }</t>
  </si>
  <si>
    <t>{   "Answer": "C",   "Explain": "A large volume of distribution is often associated with a drug that has low plasma protein binding, as it can distribute widely throughout the body and not be bound to plasma proteins, allowing it to reach its target tissues more easily." }</t>
  </si>
  <si>
    <t>{   "Answer": "A",   "Explain": "Neostigmine has the longest duration of action among the given options because it is a cholinesterase inhibitor that reverses the effects of non-depolarizing neuromuscular blocking agents, whereas rocuronium and succinylcholine are non-depolarizing neuromuscular blocking agents with shorter durations of action."</t>
  </si>
  <si>
    <t>{   "Answer": "C",   "Explain": "Instillation of local anesthetic into the trachea via the cricothyroid membrane is most likely to block the recurrent laryngeal nerve, which innervates the larynx and is responsible for sensation in the laryngeal mucosa." }</t>
  </si>
  <si>
    <t>{   "Answer": "A",   "Explain": "Gagging that occurs during awake intubation is BEST prevented by local anesthetic block of the superior laryngeal nerve, which supplies sensory innervation to the larynx and is responsible for the gag reflex." }</t>
  </si>
  <si>
    <t>{   "Answer": "A",   "Explain": "Ablation of thermoregulatory vasoconstriction is the most likely explanation for the initial reduction in core temperature during general anesthesia. This is because the sympathetic nervous system's thermoregulatory response, which normally helps maintain body temperature, is suppressed during anesthesia, leading to a decrease in vasoconstriction and increased heat loss." }</t>
  </si>
  <si>
    <t>{   "Answer": "B",   "Explain": "The patient's SpO2 decreases from 98% to 84% and then improves to 92% when FiO2 is increased to 1.0, suggesting that the hypoxemia is caused by an increased dead space ventilation, as the increased FiO2 improved oxygenation." }</t>
  </si>
  <si>
    <t>{   "Answer": "B",   "Explain": "The patient has complete anesthesia in the median, radial, and ulnar nerve distributions after a supraclavicular block, which suggests that the block has extended below the level of the brachial plexus. To address the remaining areas, an intercostobrachial block would be the most appropriate next step, as it targets the remaining nerves that were not blocked by the initial block."</t>
  </si>
  <si>
    <t>{   "Answer": "A",   "Explain": "After a single dose of propofol, emergence is primarily due to redistribution of the drug from its site of action in the brain to other tissues with lower propofol concentrations, such as muscle and fat, allowing for a decrease in the amount of propofol available to produce its anesthetic effects."</t>
  </si>
  <si>
    <t>{   "Answer": "B",   "Explain": "After 30 minutes of stable anesthesia, the O2 analyzer reading decreased from 50% to 30%. This could be due to the accumulation of water on the O2 sensor membrane, which can cause a decrease in the accuracy of the O2 reading. As a result, the actual O2 concentration in the breathing circuit may be higher than the reading on the analyzer, leading to a decrease in the O2 analyzer reading."</t>
  </si>
  <si>
    <t>{   "Answer": "A",   "Explain": "After an induction dose of ketamine, patients appear clinically with analgesia, which is the most likely effect." }</t>
  </si>
  <si>
    <t>{   "Answer": "A",   "Explain": "The standard error of the mean shows the precision of the population mean, which is the average of the sample means. It measures the amount of random variation in the sample means around the true population mean." }</t>
  </si>
  <si>
    <t>{   "Answer": "B",   "Explain": "Pulse oximetry accurately reflects SaO2 in situations of carboxyhemoglobinemia because carboxyhemoglobin does not absorb light in the same way as oxyhemoglobin, allowing for accurate measurement of true oxygen saturation." }</t>
  </si>
  <si>
    <t>{   "Answer": "C",   "Explain": "The patient is receiving a 4-hour general anesthetic, and the anesthetic will be wearing off soon. The patient's fasting blood glucose of 100 mg/dL is already within a normal range, so it is unlikely to significantly change during the anesthetic. Therefore, a mild hypoglycemia is the most likely expected outcome on emergence."</t>
  </si>
  <si>
    <t>{   "Answer": "A",   "Explain": "To improve matching of ventilation and perfusion, denitrogenation prior to anesthetic induction is necessary to ensure that the patient's oxygen reserve is maximized and to prevent rapid desaturation during one-lung ventilation." }</t>
  </si>
  <si>
    <t>{   "Answer": "B",   "Explain": "A 32-year-old woman sustains an injury to the left recurrent laryngeal nerve during thyroidectomy, which is likely to cause paralysis of the left vocal cord. As a result, she is most likely to experience aphonia, or the inability to speak, due to the impaired movement of the left vocal cord." }</t>
  </si>
  <si>
    <t>{   "Answer": "A",   "Explain": "After breathing 100% O2 for 10 minutes, the mixed venous O2 tension is expected to be 45 mmHg, as the alveolar-arterial oxygen gradient is decreased, and the body's oxygen stores are replenished." }</t>
  </si>
  <si>
    <t>{   "Answer": "A",   "Explain": "Flumazenil has a shorter elimination half-life compared to Lorazepam and Midazolam, with a reported half-life of 1-2 hours."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</si>
  <si>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</si>
  <si>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</si>
  <si>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popliteal nerve block is performed along the course of the sciatic nerve, so blocking the tibial nerve at its medial aspect would be the most likely option." }</t>
  </si>
  <si>
    <t>{   "Answer": B,   "Explain": "Morphine and midazolam are both commonly used premedications, and the sudden onset of right upper quadrant abdominal pain and nausea is likely due to morphine-mediated side effects. Ketorolac, a non-steroidal anti-inflammatory drug, is not an effective treatment for opioid-induced adverse reactions like nausea and vomiting. Therefore, B. Ketorolac is the most appropriate therapy for this patient's pain." }</t>
  </si>
  <si>
    <t>{   "Answer": "B",   "Explain": "A 68-year-old woman with primary hyperparathyroidism and a serum calcium concentration of 15 mg/dL needs IV normal saline (saline) to help correct any electrolyte imbalances." }</t>
  </si>
  <si>
    <t>{   "Answer": "B",   "Explain": "Genetic testing of the ryanodine receptor (RYR1 mutation) is not as sensitive as the contracture test but is highly specific for predicting malignant hyperthermia. This test is a reliable method to diagnose the disease and is widely used in clinical practice."</t>
  </si>
  <si>
    <t>{ "Answer": "A", "Explain": "To determine the delivered anesthetic concentration, we need to calculate the partial pressure of anesthetic in the final gas stream. The gas flow rate of the fresh gas is 5 L/min, and the volume of O2 bubbled through the vaporizer is 100 mL/min. Since the volume of the fresh gas flow is much greater than the O2 flow, the partial pressure of anesthetic is primarily determined by the vaporizer. The vaporizer has a saturated vapor pressure of 150 mmHg. Assuming ideal gas laws, the partial pressure of anesthetic in the fresh gas stream is 0.3% (150 mmHg / 50,000 mmHg)." }</t>
  </si>
  <si>
    <t>{   "Answer": "C",   "Explain": "Vasoconstriction is the most effective mechanism for maintaining body temperature in an adult patient with mild hypothermia anesthetized with 1 MAC of isoflurane, as it reduces heat loss through radiation, convection, and conduction." }</t>
  </si>
  <si>
    <t>{   "Answer": "A",   "Explain": "Flumazenil has a shorter duration of action compared to midazolam, and sedation can easily revert if the antagonist is cleared too quickly, leaving the patient vulnerable to resedation. Hospitalization is necessary to monitor the patient's condition and adjust the flumazenil infusion as needed to maintain adequate sedation and prevent adverse effects." }</t>
  </si>
  <si>
    <t>{     "Answer": "C",     "Explain": "The total dose of drug is the greatest factor that exerts an effect on the extent of spread of local anesthetic following subarachnoid block with hyperbaric bupivacaine. As the dose of bupivacaine increases, the spread of the anesthetic can affect a greater extent of the spinal cord and surrounding tissues."</t>
  </si>
  <si>
    <t>{     "Answer": "B",     "Explain": "Administration of furosemide is the most appropriate management for the 17-year-old boy developing pulmonary edema after resolution of postoperative laryngospasm. This is done to treat the pulmonary edema and improve oxygenation." }</t>
  </si>
  <si>
    <t>{   "Answer": "B",   "Explain": "Pain in the left shoulder and nausea and diaphoresis are classic signs of a Horner's syndrome, which is often caused by accidental perforation of the bladder or prostatic capsule during TURP." }</t>
  </si>
  <si>
    <t>{     "Answer": "A",     "Explain": "The given symptoms include decreasing SpO2 from 99% to 90% and increasing ETCO2 from 38 to 43 mmHg, which are unusual findings. Therefore, the most likely cause is a CO2 embolus, which can cause a sudden decrease in peripheral oxygen saturation and an increase in end-tidal carbon dioxide levels." }</t>
  </si>
  <si>
    <t>{   "Answer": "B",   "Explain": "Two hours after a laparoscopic cholecystectomy, the patient's SpO2 is 90% on room air, indicating mild hypoxemia. As the patient is on IV PCA with morphine, it is likely that the hypoxemia is due to hypoventilation, which can be caused by the sedative effects of the morphine, rather than absorption of CO2 from the abdomen or increased dead space." }</t>
  </si>
  <si>
    <t>{   "Answer": B,   "Explain": "An increase in airway pressure is a preset factor that triggers pressure support breaths in a patient receiving pressure support ventilation."</t>
  </si>
  <si>
    <t>{   "Answer": "B",   "Explain": "During tachycardia, the increased heart rate increases oxygen consumption and decreases coronary filling time, leading to a decrease in coronary perfusion. To satisfy this increased metabolic demand, increased coronary perfusion pressure is necessary to ensure adequate oxygen delivery to the myocardium." }</t>
  </si>
  <si>
    <t>{   "Answer": "B",   "Explain": "The most useful test to confirm adequate synthetic hepatic function is the prothrombin time (PT) test, which assesses the synthesis of coagulation factors by the liver." }</t>
  </si>
  <si>
    <t>{ "Answer": "B", "Explain": "Synchronization is necessary during cardioversion to ensure that the electrical shock is delivered during the vulnerable period of the T wave, reducing the risk of inducing ventricular dysrhythmias." }</t>
  </si>
  <si>
    <t>{   "Answer": "C",   "Explain": "A Bain circuit exhibits a more rapid change in inspired gas concentration compared to a semiclosed circle system because, unlike a circle system, a Bain system uses a separate oxygen flush valve and a pressure-compensating system, allowing for more precise control over gas flow and concentration." }</t>
  </si>
  <si>
    <t>{   "Answer": "C",   "Explain": "The patient was undergoing hip surgery in the lateral position, which may have forced the patient to splint the non-invasive blood pressure (NIBP) cuff, leading to the decreased blood pressure and abnormal waveform between points A and B." }</t>
  </si>
  <si>
    <t>{   "Answer": "B",   "Explain": "The anesthesiologist should administer hydrocortisone, followed by cefazolin, because the patient had a previous allergic reaction to penicillin, and cefazolin should not be given due to the patient's allergy."</t>
  </si>
  <si>
    <t>{   "Answer": "B",   "Explain": "Chronic ethanol abuse decreases the MAC of isoflurane."</t>
  </si>
  <si>
    <t>{   "Answer": "A",   "Explain": "Bupivacaine's primary toxic effect on the cardiovascular system is blockade of norepinephrine release, which can lead to decreased catecholamine levels and subsequent significant hypotension, arrhythmias, and even cardiac arrest." }</t>
  </si>
  <si>
    <t>{   "Answer": "C",   "Explain": "Hyperthermia causes a rightward shift of the oxyhemoglobin dissociation curve, as explained in Fig. 41.2." }</t>
  </si>
  <si>
    <t>{   "Answer": "B",   "Explain": "In hypothyroidism, the decreased sympathetic nervous system tone and increased parasympathetic tone lead to decreased myocardial contractility, which is a characteristic feature of hypothyroid heart syndrome." }</t>
  </si>
  <si>
    <t>{     "Answer": "B",     "Explain": "Methohexital is MOST likely to be associated with longer seizure duration when used for electroconvulsive therapy because it has a slower context-sensitive half-time compared to propofol and etomidate, which can lead to a prolonged period of anesthetic effects." }</t>
  </si>
  <si>
    <t>{   "Answer" : "A",   "Explain" : "Etomidate does NOT enhance activity of the GABA receptor, whereas ketamine and propofol do." }</t>
  </si>
  <si>
    <t>{ "Answer": C, "Explain": "The CO2 absorber is typically placed outside the circle system, not within it, to remove exhaled CO2 from the rebreathed gases, whereas the fresh gas inlet and expiratory valve are both part of the circle system." }</t>
  </si>
  <si>
    <t>{     "Answer": C,     "Explain": "A large volume of distribution for an IV anesthetic indicates that the drug is widely distributed throughout the body and is likely to be present in high concentrations in peripheral tissues. Low plasma protein binding suggests that the drug is not tightly bound to plasma proteins, allowing it to be more easily distributed to other parts of the body." }</t>
  </si>
  <si>
    <t>{   "Answer": "A",   "Explain": "Neostigmine has a longer duration of action in patients with renal failure because it is not dependent on kidney function for excretion." }</t>
  </si>
  <si>
    <t>{     "Answer": "C",     "Explain": "Instillation of local anesthetic into the trachea via the cricothyroid membrane is MOST likely to block the recurrent laryngeal nerve, as it is located in the trachea below the vocal cords and innervates the laryngeal mucosa."</t>
  </si>
  <si>
    <t>{   "Answer": "A",   "Explain": "Gagging during awake intubation can be prevented by local anesthetic block of the superior laryngeal nerve, which supplies sensory innervation to the epiglottis and the posterior and lateral walls of the pharynx."</t>
  </si>
  <si>
    <t>{ "Answer": "A", "Explain": "Ablation of thermoregulatory vasoconstriction is the most likely explanation for the initial reduction in core temperature during general anesthesia. When a person is under anesthesia, their body's natural response to cold is disrupted, and the vasoconstrictive sympathetic response, which helps to conserve heat, is reduced, leading to a decrease in core temperature." }</t>
  </si>
  <si>
    <t>{   "Answer": "B",   "Explain": "The patient's initial decrease in O2 saturation to 84% and subsequent improvement to 92% with an increase in FiO2 suggests decreased O2 delivery due to an etiology related to ventilation, specifically increased dead space ventilation. This causes a reduction in the amount of inspired O2 that reaches the alveoli, leading to hypoxemia."</t>
  </si>
  <si>
    <t>{   "Answer": "B",   "Explain": "The patient has complete anesthesia in the median, radial, and ulnar nerve distributions after a supraclavicular block, indicating that the entire brachial plexus was blocked. The most appropriate next step would be to locate and block the intercostobrachial nerve, which is responsible for supplying the skin of the lateral chest wall, not blocked by the original block, to avoid tourniquet pain."</t>
  </si>
  <si>
    <t>{   "Answer": "A",   "Explain": "After a single dose of propofol, emergence is primarily due to redistribution of the drug from its target site of action in the CNS to other tissues, particularly muscle, adipose tissue, and liver, where it is trapped and removed relatively slowly." }</t>
  </si>
  <si>
    <t>{   "Answer": "B",   "Explain": "After 30 minutes of stable anesthesia, the O2 analyzer reading decreased from 50% to 30%. A decrease in O2 analyzer reading could be caused by tissue uptake of oxygen with unchanged uptake of nitrous oxide, and as a result, the concentration of oxygen in the alveoli decreased. This is because the anesthesia machine is set to deliver O2 2 L/min and nitrous oxide 2 L/min, and there is no increase in oxygen flow or any other factors to account for the decrease in oxygen concentration." }</t>
  </si>
  <si>
    <t>{   "Answer": A,   "Explain": "An induction dose of ketamine is most likely to cause analgesia, which is a common effect of ketamine, resulting in a decrease in pain sensation." }</t>
  </si>
  <si>
    <t>{     "Answer": "C",     "Explain": "The shorter elimination half-life of fentanyl compared to morphine is the most likely explanation for the decreased duration of action of an IV dose of fentanyl." }</t>
  </si>
  <si>
    <t>{   "Answer": "A",   "Explain": "The standard error of the mean shows the precision of the estimated population mean, rather than the range of sample values or the deviation about the median." }</t>
  </si>
  <si>
    <t>{   "Answer": A,   "Explain": "Pulse oximetry accurately reflects arterial oxygen saturation (SaO2) in the absence of carbon monoxide poisoning (indocyanine green) or carboxyhemoglobinemia, which could interfere with the accuracy of the pulse oximeter readings." }</t>
  </si>
  <si>
    <t>{   "Answer": "C",   "Explain": "A patient receiving a 4-hour general anesthetic is unlikely to develop marked hypoglycemia or hyperglycemia, and mild hypoglycemia is the most likely outcome as glucose levels decrease throughout the anesthesia period." }</t>
  </si>
  <si>
    <t>{   "Answer": "C,   "Explain": "Ranitidine decreases gastric volume by reducing gastric acid secretion, which also increases gastric pH."</t>
  </si>
  <si>
    <t>{   "Answer": "C",   "Explain": "Nitrous oxide has lower blood gas solubility compared to desflurane. This lower blood solubility leads to a more rapid equilibration between alveolar and inspired concentrations of nitrous oxide, whereas desflurane's higher solubility leads to a slower equilibration." }</t>
  </si>
  <si>
    <t>{   "Answer": "A",   "Explain": "Prevention of gradual desaturation: Improving matching of ventilation and perfusion is crucial because delayed recognition and treatment of hypoxemia can lead to significant morbidity and mortality. By preventing gradual desaturation, doctors can ensure that the patient maintains adequate oxygenation and cardiovascular stability during one-lung ventilation."</t>
  </si>
  <si>
    <t>{   "Answer": "B",   "Explain": "As the left recurrent laryngeal nerve was injured, it is likely that the patient will experience aphonia, or loss of voice, since the nerve innervates the vocal cord and controls its movement. This is the most likely postoperative finding in this patient."</t>
  </si>
  <si>
    <t>{   "Answer": "A",   "Explain": "After breathing 100% O2 for 10 minutes, the mixed venous O2 tension (PvO2) is expected to be around 45 mmHg due to the fact that the O2 supply exceeds the body's demand, resulting in a physiological gradient driving O2 from the alveoli into the blood."</t>
  </si>
  <si>
    <t>{   "Answer": "A",   "Explain": "Flumazenil has a shorter elimination half-life compared to lorazepam and midazolam, with a mean duration of 1.3 to 10.4 hours, allowing for more rapid reversal of benzodiazepine effects."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</si>
  <si>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</si>
  <si>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</si>
  <si>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"Normal saline is the most appropriate initial management for a 68-year-old woman with primary hyperparathyroidism and a serum calcium concentration of 15 mg/dL, as it helps to counteract the hypercalcemia and prevent further elevation of calcium levels." }</t>
  </si>
  <si>
    <t>{   "Answer": "C",   "Explain": "The patient is in the lateral position, which can cause the capnograph waveform to be displaced, resulting in a waveform that appears to be decreasing in amplitude between points A and B." }</t>
  </si>
  <si>
    <t>{   "Answer": "B",   "Explain": "In clinical hypothyroidism, myocardial contractility is decreased, leading to decreased cardiac output and peripheral resistance, which is the opposite of what is typically seen in patients with hypertension. This is because hypothyroidism can cause decreased levels of circulating catecholamines, leading to decreased cardiac contractility and peripheral vasoconstriction."</t>
  </si>
  <si>
    <t>{   "Answer": "B",   "Explain": "The patient's hypoxemia is most likely caused by increased dead space ventilation. The patient's SpO2 improved when the FiO2 was increased to 1.0, indicating that the hypoxemia was not due to a lack of oxygen in the inspired gas. The patient's tidal volume is 350 mL, which is relatively small, and the fresh gas flow is 5 L/min, which is relatively high. This suggests that the patient is breathing rapidly and shallowly, which can lead to increased dead space ventilation and hypoxemia."</t>
  </si>
  <si>
    <t>{   "Answer": "A",   "Explain": "The standard error of the mean shows the precision of the population mean, which is the expected range within which the true population mean is likely to lie. It is a measure of the amount of random variation in the sample mean, and it is used to construct confidence intervals and perform hypothesis testing." }</t>
  </si>
  <si>
    <t>{   "Answer": "C",   "Explain": "The patient is receiving a 4-hour general anesthetic, and the fasting blood glucose was 100 mg/dL. This suggests that the patient's blood glucose level is already within a normal range. The anesthetic will likely cause a mild decrease in blood glucose levels, but it is unlikely to cause marked hypoglycemia or hyperglycemia. Therefore, the most likely expected blood glucose concentration on emergence is mild hypoglycemia."</t>
  </si>
  <si>
    <t>{   "Answer": "A",   "Explain": "After breathing 100% O2 for 10 minutes, the mixed venous O2 tension is expected to be around 45 mmHg because the increased O2 delivery to the body would lead to a decrease in the extraction of O2 by the tissues, resulting in a higher mixed venous O2 tension."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</si>
  <si>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</si>
  <si>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</si>
  <si>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desired operation is at the medial aspect of the lower leg, and the tibial nerve is most likely to be blocked for this procedure." }</t>
  </si>
  <si>
    <t>{   "Answer": "C",   "Explain": "Given that the patient suddenly develops right upper quadrant abdominal pain and nausea, which are common adverse effects of morphine, naloxone (Answer C) is the most appropriate therapy to treat her pain as it is an opioid antagonist that can reverse or antagonize the effects of morphine."</t>
  </si>
  <si>
    <t>{ "Answer": "B", "Explain": "Normal saline is the most appropriate initial management for a 68-year-old woman with primary hyperparathyroidism and a serum calcium concentration of 15 mg/dL, as it helps to dilute the hypercalcemia and provide temporary symptomatic relief." }</t>
  </si>
  <si>
    <t>{   "Answer": "B",   "Explain": "Genetic testing of the ryanodine receptor (RYR1 mutation) is highly specific for predicting the likelihood of developing malignant hyperthermia, although it is not as sensitive as other tests. It has been reported to have a high specificity, indicating a low false-positive rate, making it a reliable predictor of the condition." }</t>
  </si>
  <si>
    <t>{   "Answer": "A",   "Explain": "O2 is being bubbled through a vaporizer containing an anesthetic with a vapor pressure of 150 mmHg. The mixture is then added to a fresh gas flow of 5 L/min. To find the delivered anesthetic concentration, we need to calculate the volume of the anesthetic mixture per minute. Since the vaporizer contains an anesthetic with a vapor pressure of 150 mmHg, we know that the concentration of the anesthetic in the mixture is 150 mmHg / 100 mL = 1.5% or 0.015. Therefore, the delivered anesthetic concentration is 0.015 * 100 mL / (100 mL + 5 L) = 0.15%. This value is closest to option A, 0.25%."</t>
  </si>
  <si>
    <t>{   "Answer": "C",   "Explain": "Vasoconstriction is the most effective physiologic mechanism for maintaining body temperature in an adult patient with mild hypothermia anesthetized with 1 MAC of isoflurane. Vasoconstriction helps to reduce heat loss through peripheral circulation, which is essential for maintaining normothermia." }</t>
  </si>
  <si>
    <t>{   "Answer": "A",   "Explain": "Flumazenil's short duration of action means that midazolam's effects may not be completely antagonized after a 1-hour period, increasing the risk of relapse of sedation." }</t>
  </si>
  <si>
    <t>{   "Answer": "C",   "Explain": "The total dose of the drug has the greatest effect on the extent of spread of local anesthetic following subarachnoid block with hyperbaric bupivacaine, as it directly influences the volume of distribution and the amount of anesthetic delivered to the epidural and paraspinal tissues." }</t>
  </si>
  <si>
    <t>{   "Answer": "B",   "Explain": "Administration of furosemide is the most appropriate management for the patient as it can help to increase the cardiac output and improve oxygenation in the patient with pulmonary edema, despite receiving 100% oxygen." }</t>
  </si>
  <si>
    <t>{   "Answer": "B",   "Explain": "The sudden development of nausea, diaphoresis, and sharp pain in the left shoulder suggests accidental perforation of the bladder or prostatic capsule, which is a complication of TURP procedure, more likely to occur under spinal anesthesia."</t>
  </si>
  <si>
    <t>{ "Answer": "B", "Explain": "Decrease in SpO2 from 99% to 90% with no change in FiO2 suggests that the likely cause is compression of the vena cava, which can reduce blood flow to the peripheral tissues and decrease SpO2." }</t>
  </si>
  <si>
    <t>{   "Answer": "B",   "Explain": "Two hours after laparoscopic cholecystectomy, the patient's hypoxemia is likely caused by hypoventilation, as she is receiving PCA with morphine, which can cause respiratory depression." }</t>
  </si>
  <si>
    <t>{ "Answer": "A", "Explain": "Pressure support breaths in a patient receiving pressure support ventilation are triggered by a decrease in airway pressure, meaning that when the patient's spontaneous respiratory effort reduces the pressure in the airway, the ventilator provides a set level of pressure support to help the patient breathe." }</t>
  </si>
  <si>
    <t>{   "Answer": "B",   "Explain": "Since the patient's heart rate has increased from 60 to 120 bpm, his myocardial oxygen demand has increased. To satisfy this increased demand, the answer lies in increasing coronary perfusion pressure, which will provide more oxygen-rich blood to the myocardium, allowing it to function normally." }</t>
  </si>
  <si>
    <t>{   "Answer": "B",   "Explain": "A prolonged prothrombin time (PT) is the most likely laboratory value to confirm adequate synthetic hepatic function because it measures the ability of the liver to synthesize clotting factors. Synthetic function is a crucial aspect of liver function, and a prolonged PT can indicate impairment of this function, while albumin and AST/ALT are more specific to liver injury rather than function."</t>
  </si>
  <si>
    <t>{ "Answer": "B", "Explain": "ECG synchronization is the best strategy to prevent ventricular dysrhythmias in a patient undergoing extracorporeal shock wave lithotripsy because it ensures that the treatment is delivered in synchrony with the patient's heart rhythm, reducing the risk of cardiac dysrhythmias."</t>
  </si>
  <si>
    <t>{   "Answer": "A",   "Explain": "A Bain circuit exhibits less rebreathing of CO2 compared to a semiclosed circle system because it has a higher fresh gas flow rate with minimal rebreathing and more venting of waste gas, allowing for a faster elimination of CO2 from the system." }</t>
  </si>
  <si>
    <t>{   "Answer": "C",   "Explain": "When a patient is in the lateral position, it can cause a redistribution of blood flow, leading to changes in respiratory dynamics, including a more shallow tidal volume, which may cause a characteristic "inversion" or flat-topped shape of the capnograph waveform between points A and B." }</t>
  </si>
  <si>
    <t>{   "Answer": "B",   "Explain": "Administer hydrocortisone, followed by cefazolin, is the most appropriate action as the patient developed a rash with previous penicillin administration, indicating a possible allergic reaction, and cefazolin is a different antibiotic from penicillin, reducing the risk of another allergic reaction." }</t>
  </si>
  <si>
    <t>{     "Answer": "A",     "Explain": "Cocaine increases heart rate and blood pressure, which may increase the minimum alveolar concentration (MAC) of isoflurane. Therefore, it decreases the MAC of isoflurane." }</t>
  </si>
  <si>
    <t>{   "Answer": "A",   "Explain": "The primary toxic effect of bupivacaine on the cardiovascular system is blockade of norepinephrine release, which leads to a decrease in sympathetic nervous system activity and subsequent cardiac depression." }</t>
  </si>
  <si>
    <t>{   "Answer": "C",   "Explain": "Hyperthermia causes a rightward shift of the oxyhemoglobin dissociation curve, which means that at any given partial pressure of oxygen, the oxygen-hemoglobin saturation will be lower than normal." }</t>
  </si>
  <si>
    <t>{   "Answer": "B",   "Explain": "A patient with clinical hypothyroidism is likely to have decreased myocardial contractility, leading to decreased cardiac output." }</t>
  </si>
  <si>
    <t>{   "Answer": "B",   "Explain": "Methohexital is more likely to be associated with longer seizure duration when used for electroconvulsive therapy due to its slower elimination half-life and prolonged effect-site equilibration time compared to propofol and etomidate." }</t>
  </si>
  <si>
    <t>{   "Answer": "A",   "Explain": "Etomidate does not enhance the activity of GABA receptors, unlike propofol, which has been shown to slow down the deactivation and desensitization of GABA(A) receptors."</t>
  </si>
  <si>
    <t>{   "Answer": C,   "Explain": "In a circle system, the fresh gas inlet is typically placed above the patient's head, the CO2 absorber is usually placed at the back of the anesthetic machine, and the expiratory valve is usually placed below the patient's nose and mouth. In this diagram, the expiratory valve is misplaced, typically it should be placed below the patient's nose and mouth." }</t>
  </si>
  <si>
    <t>{   "Answer": "C",   "Explain": "A large volume of distribution implies that the drug distributes widely throughout the body, which would be unlikely if it had low lipid solubility (A) or high rate of ionization (B). Instead, it is likely that the drug has low plasma protein binding (C), allowing it to dissociate from proteins and spread throughout the body."</t>
  </si>
  <si>
    <t>{   "Answer": "A",   "Explain": "Neostigmine has the longest duration of action in a patient with renal failure because it is a long-acting anticholinesterase agent that increases acetylcholine at the neuromuscular junction, reversing neuromuscular blockade. Unlike other neuromuscular blocking agents, neostigmine is not cleared by the kidneys, so its duration of action is not significantly affected by renal failure."</t>
  </si>
  <si>
    <t>{   "Answer": "C",   "Explain": "Instillation of local anesthetic into the trachea via the cricothyroid membrane is MOST likely to block the Recurrent laryngeal nerve, which innervates the vocal cords and supplies sensation to the larynx."</t>
  </si>
  <si>
    <t>{ "Answer": "A", "Explain": "Gagging during awake intubation is BEST prevented by local anesthetic block of the superior laryngeal nerve. This nerve block prevents the transmission of pharyngeal sensory information to the brain, thereby decreasing the likelihood of gagging." }</t>
  </si>
  <si>
    <t>{   "Answer": "A",   "Explain": "Ablation of thermoregulatory vasoconstriction is the most likely explanation for the initial reduction in core temperature during general anesthesia. When anesthesia is induced, the body's natural response to cold stress, such as vasoconstriction, is inhibited, allowing heat to escape more easily and leading to a rapid drop in core temperature."</t>
  </si>
  <si>
    <t>{   "Answer": "A",   "Explain": "As the patient's SpO2 decreased from 98% to 84%, the likely cause is a decreased FRC (functional residual capacity) due to increased ventilation without an increase in FRC, leading to hypoventilation of alveoli." }</t>
  </si>
  <si>
    <t>{   "Answer": "B",   "Explain": "A block of the intercostobrachial nerve would be the most appropriate next step as the patient has already received a supraclavicular block and a tourniquet is in place for an additional 2 hours, increasing the risk of discomfort and potentially requiring an additional anesthetic technique to ensure patient comfort." }</t>
  </si>
  <si>
    <t>{   "Answer": "A",   "Explain": "The mechanism of emergence after a single dose of propofol is primarily due to redistribution, which is the process by which propofol redistributes from the central nervous system to other tissues with a greater perfusion, such as skeletal muscle and adipose tissue, leading to a rapid decline in plasma levels and recovery from anesthesia."</t>
  </si>
  <si>
    <t>{   "Answer": B,   "Explain": "As the anesthesia machine is delivering oxygen at a constant rate of 2 L/min, a decreased O2 analyzer reading from 50% to 30% suggests a possible accumulation of water on the O2 sensor membrane, which can cause a false reading. The other options, such as a leak in the ventilator bellows (A) or the O2 analyzer being in the expiratory limb (C), are less likely to cause a significant decrease in O2 reading without any changes in other gas flows or settings."</t>
  </si>
  <si>
    <t>{   "Answer": "A",   "Explain": "An induction dose of ketamine is most likely to have an analgesic effect, which is a rapid onset of anesthesia." }</t>
  </si>
  <si>
    <t>{   "Answer": "C",   "Explain": "As compared with an IV dose of morphine, the most likely explanation for the decreased duration of action of an IV dose of fentanyl is its shorter elimination half-life. Fentanyl is primarily metabolized by non-specific plasma and tissue esterases, resulting in a shorter duration of action compared to morphine, which is metabolized by liver microsomal enzymes." }</t>
  </si>
  <si>
    <t>{   "Answer": "A",   "Explain": "The standard error of the mean shows the precision of the population mean, as it measures the amount of variation between the sample mean and the true population mean." }</t>
  </si>
  <si>
    <t>{   "Answer": "B",   "Explain": "Pulse oximetry accurately reflects SaO2 in situations where there is no abnormal hemoglobin such as carboxyhemoglobinemia, which can cause inaccurate readings." }</t>
  </si>
  <si>
    <t>{   "Answer": "C",   "Explain": "The patient is receiving a 4-hour general anesthetic for a tendon repair, which is a relatively short procedure. The fasting blood glucose level of 100 mg/dL is within the normal range. During the anesthetic period, the patient will not be consuming any food or drinks, and there is no evidence of hyperglycemia or hypoglycemia in the patient's history. Therefore, mild hypoglycemia (C) is the most likely expected blood glucose concentration on emergence." }</t>
  </si>
  <si>
    <t>{   "Answer": C,   "Explain": "Ranitidine is an H2-receptor antagonist that decreases gastric acid secretion, which in turn increases gastric pH while also decreasing gastric volume." }</t>
  </si>
  <si>
    <t>{   "Answer": "C",   "Explain": "Nitrous oxide has a lower blood gas solubility compared to desflurane, which means it diffuses more easily across the alveolar-capillary membrane and into the blood. This results in a more rapid equilibration of alveolar and inspired concentrations of nitrous oxide compared to desflurane." }</t>
  </si>
  <si>
    <t>{   "Answer": "A",   "Explain": "Increasing matching of ventilation and perfusion is the primary purpose of denitrogenation prior to anesthetic induction, as it helps to reduce the risk of hypoxemia during one-lung ventilation by allowing the patient to tolerate a period of apnea before induction of anesthesia." }</t>
  </si>
  <si>
    <t>{   "Answer": "B",   "Explain": "The 32-year-old woman sustained an injury to the left recurrent laryngeal nerve, which controls the movement of the left vocal cord. With the nerve injured, the left vocal cord will not move, leading to a complete loss of voice function, which is aphonia." }</t>
  </si>
  <si>
    <t>{   "Answer": "A",   "Explain": "After breathing 100% O2 for 10 minutes, the mixed venous O2 tension in a normal adult is expected to be around 45 mmHg, as it will have decreased due to the excessive O2 consumption and lack of sufficient demand."</t>
  </si>
  <si>
    <t>{   "Answer": "A",   "Explain": "Flumazenil has a very short elimination half-life of approximately 0.5-1.5 hours, making it the fastest-acting medication for reversing benzodiazepine-induced anesthesia and sedation."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</si>
  <si>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</si>
  <si>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</si>
  <si>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"To obtain best surgical access for the median aspect of the lower leg, especially ankle surgeries to cover, common peroneal is best option among most potential operations." }</t>
  </si>
  <si>
    <t>{   "Answer": C,   "Explain": "Flumazenil, the antiserum to midazola, cannot quickly reverse morphpine-induced right upper quadrant abdominal pain and discomfort. Therefore, naloxone medication to quickly reverse the pain is the most appropriate medication."</t>
  </si>
  <si>
    <t>None</t>
  </si>
  <si>
    <t>}{   "Answer": "Bandc"</t>
  </si>
  <si>
    <t>{ "Answer": "C", "Explain": "Among the options, the most reliable test for predicting benign outcomes in patients at increased risk to malignant hyperthermia is C. Caffeine-halothane contracture test. This test requires a biopsy of skeletal muscle. The muscle is subjected to tests of caffeine and halothane followed thorough observations in terms of tissue rigor changes allowing predictions about response in patient outcomes in surgery procedure. While A. Calcium uptake assay in skeletal muscle tissue has gained popularity due to easy use;  B. Genetic testing shows higher false negatives percentages." }</t>
  </si>
  <si>
    <t>{   "Answer": B,   "Explain": "Calculate the proportion of oxygen containing the anesthetic vapour by converting volumes (L) -&gt; volumen (%). 4mL is volume proportion at O2 of total inhaled volume is O100% of O2 vapours at 1 bar. Then volumen% for all the gasses = vol (5L - 100/7600*O. So to obtain 300% (vol:5 -.0131, not possible".</t>
  </si>
  <si>
    <t>{   "Answer": "C",   "Explain": "According to the given context, hypothermia leads to impaired vaso-regulation which can be controlled with vasoreactive responses; "</t>
  </si>
  <si>
    <t>{     "Answer": "A",      "Explain": "Because of flumazenil's potential for the antagonist to be cleared, leaving sufficient flumacin residual at the receptor site to cause resub-ter anesthesia." }</t>
  </si>
  <si>
    <t>{   "Answer": "A",   "Explain": "&lt;B&gt;Since addition of epinephrine to hyperbaric subarachnoid bupivacaine decreases its cerebrodispersion rate (i.e increases confinement of anaetic to site of injection), thus affecting  Spread more than positions or drug total dose." }</t>
  </si>
  <si>
    <t>{   "Answer": B,    "Explain": "A 17-year-old boy with pulmonary edema has resolved postoperative laryngospasm while breathing 100% O2 with saturations of 80%. The logical thinking indicates to address possible factors contributing to the lack of efficient lung gas exchange. A choice that aims to address volume status and prevent pulmonary congestion caused by lung fluid leak should be given primary consideration. Therefore, administration of Furosemide (choice B) would be the most suitable treatment approach."</t>
  </si>
  <si>
    <t>{     "Answer":"A", _x0001_"Explain": "The etiology of left-shoulder pain plus nausea and diaphoresia 40 minutes post-start of spinal anenesthetic suggests cardiovascular-related ischemia and hence Angina Pectoris or myocardial Ischemia in this case; this adverse reaction from sudden onset is an increased hazard especially if the 61–year-old patient was hypertensive initially; A careful medication use is advocated, such as N–ac–ethylene plus Nifedipin" }</t>
  </si>
  <si>
    <t>{   "Answer": A",   "Explain": "Due to CO2 insufflation during anesthesia induction and stabilization in the Trendelenburg position, causing a sudden intral pulmonary shunt, which decreased the Pa02 value." }</t>
  </si>
  <si>
    <t>{ "Answer": B, "Explain": "Within two hours after laparoscopic cholecystectomy, patient-specific factors can include reduced tidal volumes, depressed chest compliance, and sedation, all of which can cause hypoventilation."</t>
  </si>
  <si>
    <t>{     Answer: "C",     "Explain": "Patients receiving pressure support ventilation, according to standard techniques and devices for an endotracheal suction", is prompted not triggered, by an airway pressure boost to maintain and to achieve certain specific breath rate "CPAP", "positive "exhal".</t>
  </si>
  <si>
    <t>//{ " Answer": "B", "Explain": "Increasing coronary perfusion pressure is necessary during this emergency scenario to sustain oxygen-demanding tissues due to increased heart rates (120 bpm) leading metabolic changes that necessitate more resources." };</t>
  </si>
  <si>
    <t>This question is best answered:  {   "Answer": B,   "Explain": "A prolonged Prothrombin Time refers to one of most obvious lab test to indicate insufficient hepatic synthetic function, reflecting impairment in protein synthesis including albumin formation, essential part of serum coagulation machinery" }</t>
  </si>
  <si>
    <t>Here may be the answer you have been looking for.  {   "Answer": "B",   "Explain": "Synchronized cardioversion is the best way to prevent ventricular dysrhythmias during extracorporeal shock wave lithotripsy, especially for patients undergoing invasive procedures who remain stable throughout the treatment"</t>
  </si>
  <si>
    <t>{   "Answer": "A,   "Explain": "With a Bain circuit operating in a semi-emulated and anemic circle system, exhales more rapidly, and in such circles system exhibited characteristic" }</t>
  </si>
  <si>
    <t>{   "Answer": “C",   "Explain": “‘Patient position’ is the factor that BEST explains the finding between point A and point B in the capnograph waveform displayed. When the person is positioned to have lung or heart issues in anesthesia, and this waveform indicates poor ventilation.” }</t>
  </si>
  <si>
    <t>{   "Answer": B,   "Explain": " Adminster hydrocortisone first to reverse any past reaction before administering cefazolin. Given that patient developed rash which could happen with hypersensitivity of any medication." }</t>
  </si>
  <si>
    <t>{   "{\"Answer\": A, \"{Explain\", \"Symptom at acute overdose can depress brain stem ventilatory centers resulting in decreased MAC response to anesthetic drugs like isoflurane."}" }</t>
  </si>
  <si>
    <t>{ "Answer": A, "Explain": ""None of cardiovascular blockade is blockade of the central mechanisms of neural cardiovascular and peripheral nerves, this means that it does not affect norepinephrine release.""".</t>
  </si>
  <si>
    <t>{"Answer": "B", "Explain": "A decrease in 2,3-diphosphoglycerate concentration (DPG) would shift the oxyhemoglobin dissociation curve to the left, causing conditions where a relatively lesser change in PaO2 results in a lower percent of Hb saturated with oxygen" }</t>
  </si>
  <si>
    <t>Json formatted Answer with detailed explaination:  {   "Answer": "C",   "Explain": "The explanation for this being 'Most likely decrease in Patient's condition with Clinical hypothyroidism (Undersirable Hypothalamic P pituitary G Testicular axis)". ]</t>
  </si>
  <si>
    <t>{ "Answer": B, "Explain": "Methohexital increases the seizure activity and is more likely to prolong seizures when used for electroconvulsive therapy."</t>
  </si>
  <si>
    <t>{     "Answer": "B",     "Explain": "Ketamine enhances gamma-aminobutyric acid (GABA) activity but inhibbits other forms of neurotransmission therefore, it increase the effectiveness of GABA, does not decrease it like the otder ones." }</t>
  </si>
  <si>
    <t>{  "Answer": C, "Explain": "Among the given options, only the Expiratory valve provides an outlet for carbonated water exhalation. A Fresh Gas Inlet allows for the entrance of breathing gas mixture during CPB processes, and the CO2 Adsorber traps removed carbon dioxide gas. Exhalation, which comprises 1- or 2-way valves and an orifice in the valve allows air or other mediative gases from end-inspiratory over-pressure to flow outside the anastrophic device. Due to Expiration to outside, the CO2 absorbent can effectively purify gases produced exhaled to achieve gas flows. Therefore, placing the expiratory valve out of breaths, they put expiratory valves is wrong due to failure ventilation system functioning correctly".</t>
  </si>
  <si>
    <t>{     "Answer]: "C",     "Explain": "A drug with a small volume of distribution would have high plasma levels following oral administration. This is because such a drug accumulates primarily within the bloodstream and the peripheral circulation before it can reach its organs of action or the tissues."</t>
  </si>
  <si>
    <t>{  "Answer": "A", "Explain": "Neostigmine has the LONGEST duration of action in a patient with renal failure. Succinylcholine and rocurium are typically metabolized quickly in the kidney, with a short duration of action."</t>
  </si>
  <si>
    <t>answer is used." and internal "nasal   { "Analyze local anesthetic into the trachea via ""</t>
  </si>
  <si>
    <t>{ "Answer": "A", "Explain": "Gag that occurs during awake intubation in the pharynx can be prevented by performing a local anesthetic block at the base of the anterinomedial aspect of the nasoalar foramen, which blocks the superior laryngeal nerve's contributions." }</t>
  </si>
  <si>
    <t>{ "Answer": C,  "Explain": "The initial reduction in core temperature during general anesthesia is MOST likely due to 'Redistribution of heat from core to the periphery', because vasodilation is still occuring and redistributing core blood volume and heat toward the extremities despite the brain and respiratory tissues trying to retain heat in favor of preserving critical processes during surgery."</t>
  </si>
  <si>
    <t>{   "'Answer: 'B',   'Explain': 'Given the presence of inadequate respiratory failure with increasing SpO2 values above baseline FiO2 before decreasing upon FiO2 being increased to 0.5 and later increasing upon incre-asing FiO2, room air admixture is deemed unlikely. However, increasing tidal volume also increased respiratory flow during endotracheal respiration, leading to inadequate ventilation of dependent portions of alveoli, effectively reducing Vr-to-Er ratio.' }</t>
  </si>
  <si>
    <t>{   "Answer": "A",   "Explain": "Since the supraclavicular block already provides adequate anesthesia for the median, radial, and ulnar nerve distributions, the most feasible next step is an additional block of the axillary nerve, which innervates the shoulder sensation as it also falls outside the affected sensory distribution of the previous block."</t>
  </si>
  <si>
    <t>{ "Answer": A, "Explain": "The onset of the antagonismic effects of propofol, including respiratory and hemodynamic events leading to emergence, primarily is ascribed to cessation of CNS inactivation, following restoration of adequate blood pressure and ventilation." }</t>
  </si>
  <si>
    <t>{     Answer: "A",     "Explain": "The amount of oxygen and other gases in the oxygen analyser reading 50% with 2 L per minute fresh gas inflow may suggest that accumulation of something else with low fresh output. Considering an option where anesthesia has been going for 30 minutes steadily (at the given 2 L min-OF II oxygen analyser. In 2.7 patients' respiratory status." }</t>
  </si>
  <si>
    <t>{ "After" B "Explaination" quoteThe chemical, and "to }</t>
  </si>
  <si>
    <t>{   ANSWER: "C",   "Explain": "Fentanyl has a shorter elimination half-life compared to morphine IV dose, making it the most likely reason behind the increased absorption velocity, decreasing its effectiveness over time more rapidly than morpbine." }</t>
  </si>
  <si>
    <t>{   "Answer": "B",   "Explain": "The standard error of the mean (SPE of M.) indicates 'he range of sampling of S values expected from random samplings and provides an estimate of the distribution. of the population.'It's concerned wit' 8 precision of sampling.' '. }</t>
  </si>
  <si>
    <t>{ _x0001_Answer: C, _x0001_"Explain": "Due to abnormalities in the Fetal-L adult Hemoglobin binding preference towards CO compared to O2, 40% fetal hemoglobin concentration may be an example where a normal appearing arterial oxygen saturations does not necessarily accurately depict perfusion and oxygenation of the cells and tissue."</t>
  </si>
  <si>
    <t>{   "Answer": "C",   "Explain": "The patient's glucose level was 100mg/dL initially but nothing else indicates its direction or how it might change following anaesthetic and procedural use." } Note: Since there is no provided physiological data or direction for glycaemic fluctulation from anesthesia, a default mild-possibly-worst outcome (C) option'mild hypoglycemia' has been chosen although the prediction's confidence is low.  Other blood glucose concentrations were explicitly pre-emitted by the choice, so this inference is most conservative but less precise prediction.</t>
  </si>
  <si>
    <t>``` {   "Answer": "C",   "Explain": "Gastrantidine (also known as ranitidine) is an H2-receptor blocker that inhibits basal and stimulated gastric secretions, therefore decreasing gastric volume fluid pH."</t>
  </si>
  <si>
    <t>{   "Answer": "C, _x0001_"Explain": "Rapid equilibration between the alveoli and inspired concentrations of nitrous oxide is largely due to its low solubility in blood and tissues, which allows it to come in and out of solution more quickly compared to desflurane, hence option choice C providing the most suitable explainatory principle. This lower solubility grants that any alterations made towards inspired alveol ar concentrations get instantly noticeable."" }</t>
  </si>
  <si>
    <t>{   "Answer": "A",   "Explain": "To maintain enough oxygen delivery to ventilated and non-ventillated lung, ensuring oxygen remains matched with perfusion and maximized, this is done through denitrogenation primarily, thus choice A increases matching of ventilation and perfusion, increasing oxygen delivery during surgery making denitrogenation crucial in anesthesia."   }</t>
  </si>
  <si>
    <t>{   "Answer": "B",   "Explain": "As a result of left recurrent laryngeal nerve injury during thyroidectomy, the patient is likely to experience impaired mobility or immobility of the left vocal cord after operation. This can likely result to permanent hoarseness and aphonia, thus making option B (aphonia) the most likely answer."</t>
  </si>
  <si>
    <t>{   "Answer": A,   "Explain": "After deep-breathing 100% O2 for 10 minutes, mixed venous oxygen tension will approach baseline due to efficient pulmonary-to-capillary diffusing capacity and a decrease in body weight. Dead space gases will dilute mixed venous blood, reducing arterial oxygen levels." }</t>
  </si>
  <si>
    <t>{     "Answer": "A",     "Explain": "Since midazolam and lorazepam have elimination half-lives between 60 minutes to around 2-12 hours, compared to 34 minutes for tramadol and related opioids like temazepam, their elimination pathways involving hepatic metabolism followed by exection of primary components with inactive phase III metabolic conjugations to undergo metabolism before and as other secondary components continue the half-lives become significant by the addition by which liver also involves the kidney to participate and contribute with another part. In some manner; they seem out the half lifes could very slightly dependent upo on the patient depending how long an it could."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</si>
</sst>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4" fillId="6" fontId="5" numFmtId="10" xfId="0" applyAlignment="1" applyBorder="1" applyFont="1" applyNumberFormat="1">
      <alignment horizontal="center" shrinkToFit="0" vertical="center" wrapText="1"/>
    </xf>
    <xf borderId="5"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6"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vertical="center"/>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0" fillId="0" fontId="3" numFmtId="0" xfId="0" applyAlignment="1" applyFont="1">
      <alignment horizontal="center" readingOrder="0"/>
    </xf>
    <xf borderId="4"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23</v>
      </c>
      <c r="D5" s="14">
        <f t="shared" si="1"/>
        <v>23</v>
      </c>
      <c r="E5" s="14">
        <f t="shared" si="1"/>
        <v>23</v>
      </c>
      <c r="F5" s="14">
        <f t="shared" si="1"/>
        <v>23</v>
      </c>
      <c r="G5" s="14">
        <f t="shared" si="1"/>
        <v>21</v>
      </c>
      <c r="H5" s="14">
        <f t="shared" si="1"/>
        <v>23</v>
      </c>
      <c r="I5" s="14">
        <f t="shared" si="1"/>
        <v>23</v>
      </c>
      <c r="J5" s="14">
        <f t="shared" si="1"/>
        <v>17</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6">
        <f t="shared" si="2"/>
        <v>0.5</v>
      </c>
      <c r="D7" s="17">
        <f t="shared" si="2"/>
        <v>0.5</v>
      </c>
      <c r="E7" s="17">
        <f t="shared" si="2"/>
        <v>0.5</v>
      </c>
      <c r="F7" s="17">
        <f t="shared" si="2"/>
        <v>0.5</v>
      </c>
      <c r="G7" s="17">
        <f t="shared" si="2"/>
        <v>0.4565217391</v>
      </c>
      <c r="H7" s="17">
        <f t="shared" si="2"/>
        <v>0.5</v>
      </c>
      <c r="I7" s="17">
        <f t="shared" si="2"/>
        <v>0.5</v>
      </c>
      <c r="J7" s="17">
        <f t="shared" si="2"/>
        <v>0.3695652174</v>
      </c>
      <c r="K7" s="18"/>
    </row>
    <row r="8">
      <c r="A8" s="19">
        <v>1.0</v>
      </c>
      <c r="B8" s="20" t="s">
        <v>16</v>
      </c>
      <c r="C8" s="21" t="s">
        <v>16</v>
      </c>
      <c r="D8" s="22" t="s">
        <v>16</v>
      </c>
      <c r="E8" s="23" t="s">
        <v>16</v>
      </c>
      <c r="F8" s="23" t="s">
        <v>16</v>
      </c>
      <c r="G8" s="23" t="s">
        <v>16</v>
      </c>
      <c r="H8" s="24" t="s">
        <v>16</v>
      </c>
      <c r="I8" s="23" t="s">
        <v>16</v>
      </c>
      <c r="J8" s="23" t="s">
        <v>16</v>
      </c>
    </row>
    <row r="9">
      <c r="A9" s="19">
        <v>2.0</v>
      </c>
      <c r="B9" s="20" t="s">
        <v>17</v>
      </c>
      <c r="C9" s="21" t="s">
        <v>17</v>
      </c>
      <c r="D9" s="25" t="s">
        <v>17</v>
      </c>
      <c r="E9" s="26" t="s">
        <v>17</v>
      </c>
      <c r="F9" s="26" t="s">
        <v>17</v>
      </c>
      <c r="G9" s="26" t="s">
        <v>16</v>
      </c>
      <c r="H9" s="27" t="s">
        <v>17</v>
      </c>
      <c r="I9" s="26" t="s">
        <v>17</v>
      </c>
      <c r="J9" s="26" t="s">
        <v>17</v>
      </c>
    </row>
    <row r="10">
      <c r="A10" s="19">
        <v>3.0</v>
      </c>
      <c r="B10" s="20" t="s">
        <v>17</v>
      </c>
      <c r="C10" s="21" t="s">
        <v>17</v>
      </c>
      <c r="D10" s="25" t="s">
        <v>17</v>
      </c>
      <c r="E10" s="26" t="s">
        <v>17</v>
      </c>
      <c r="F10" s="26" t="s">
        <v>17</v>
      </c>
      <c r="G10" s="26" t="s">
        <v>17</v>
      </c>
      <c r="H10" s="27" t="s">
        <v>17</v>
      </c>
      <c r="I10" s="26" t="s">
        <v>17</v>
      </c>
      <c r="J10" s="26" t="s">
        <v>16</v>
      </c>
    </row>
    <row r="11">
      <c r="A11" s="19">
        <v>4.0</v>
      </c>
      <c r="B11" s="20" t="s">
        <v>17</v>
      </c>
      <c r="C11" s="21" t="s">
        <v>16</v>
      </c>
      <c r="D11" s="25" t="s">
        <v>16</v>
      </c>
      <c r="E11" s="26" t="s">
        <v>16</v>
      </c>
      <c r="F11" s="26" t="s">
        <v>16</v>
      </c>
      <c r="G11" s="26" t="s">
        <v>16</v>
      </c>
      <c r="H11" s="27" t="s">
        <v>16</v>
      </c>
      <c r="I11" s="26" t="s">
        <v>16</v>
      </c>
      <c r="J11" s="26" t="s">
        <v>17</v>
      </c>
    </row>
    <row r="12">
      <c r="A12" s="19">
        <v>5.0</v>
      </c>
      <c r="B12" s="20" t="s">
        <v>17</v>
      </c>
      <c r="C12" s="21" t="s">
        <v>17</v>
      </c>
      <c r="D12" s="25" t="s">
        <v>17</v>
      </c>
      <c r="E12" s="26" t="s">
        <v>17</v>
      </c>
      <c r="F12" s="26" t="s">
        <v>17</v>
      </c>
      <c r="G12" s="26" t="s">
        <v>16</v>
      </c>
      <c r="H12" s="27" t="s">
        <v>17</v>
      </c>
      <c r="I12" s="26" t="s">
        <v>16</v>
      </c>
      <c r="J12" s="26" t="s">
        <v>17</v>
      </c>
    </row>
    <row r="13">
      <c r="A13" s="19">
        <v>6.0</v>
      </c>
      <c r="B13" s="20" t="s">
        <v>17</v>
      </c>
      <c r="C13" s="21" t="s">
        <v>17</v>
      </c>
      <c r="D13" s="25" t="s">
        <v>17</v>
      </c>
      <c r="E13" s="26" t="s">
        <v>17</v>
      </c>
      <c r="F13" s="26" t="s">
        <v>17</v>
      </c>
      <c r="G13" s="26" t="s">
        <v>17</v>
      </c>
      <c r="H13" s="27" t="s">
        <v>17</v>
      </c>
      <c r="I13" s="26" t="s">
        <v>17</v>
      </c>
      <c r="J13" s="26" t="s">
        <v>17</v>
      </c>
    </row>
    <row r="14">
      <c r="A14" s="19">
        <v>7.0</v>
      </c>
      <c r="B14" s="20" t="s">
        <v>17</v>
      </c>
      <c r="C14" s="21" t="s">
        <v>16</v>
      </c>
      <c r="D14" s="25" t="s">
        <v>16</v>
      </c>
      <c r="E14" s="26" t="s">
        <v>16</v>
      </c>
      <c r="F14" s="26" t="s">
        <v>16</v>
      </c>
      <c r="G14" s="26" t="s">
        <v>16</v>
      </c>
      <c r="H14" s="27" t="s">
        <v>16</v>
      </c>
      <c r="I14" s="26" t="s">
        <v>16</v>
      </c>
      <c r="J14" s="26" t="s">
        <v>16</v>
      </c>
    </row>
    <row r="15">
      <c r="A15" s="19">
        <v>8.0</v>
      </c>
      <c r="B15" s="20" t="s">
        <v>17</v>
      </c>
      <c r="C15" s="21" t="s">
        <v>16</v>
      </c>
      <c r="D15" s="25" t="s">
        <v>16</v>
      </c>
      <c r="E15" s="26" t="s">
        <v>16</v>
      </c>
      <c r="F15" s="26" t="s">
        <v>16</v>
      </c>
      <c r="G15" s="26" t="s">
        <v>16</v>
      </c>
      <c r="H15" s="27" t="s">
        <v>16</v>
      </c>
      <c r="I15" s="26" t="s">
        <v>16</v>
      </c>
      <c r="J15" s="26" t="s">
        <v>16</v>
      </c>
    </row>
    <row r="16">
      <c r="A16" s="19">
        <v>9.0</v>
      </c>
      <c r="B16" s="20" t="s">
        <v>16</v>
      </c>
      <c r="C16" s="21" t="s">
        <v>16</v>
      </c>
      <c r="D16" s="25" t="s">
        <v>16</v>
      </c>
      <c r="E16" s="26" t="s">
        <v>16</v>
      </c>
      <c r="F16" s="26" t="s">
        <v>16</v>
      </c>
      <c r="G16" s="26" t="s">
        <v>16</v>
      </c>
      <c r="H16" s="27" t="s">
        <v>16</v>
      </c>
      <c r="I16" s="26" t="s">
        <v>16</v>
      </c>
      <c r="J16" s="26" t="s">
        <v>16</v>
      </c>
    </row>
    <row r="17">
      <c r="A17" s="19">
        <v>10.0</v>
      </c>
      <c r="B17" s="20" t="s">
        <v>17</v>
      </c>
      <c r="C17" s="21" t="s">
        <v>17</v>
      </c>
      <c r="D17" s="25" t="s">
        <v>17</v>
      </c>
      <c r="E17" s="26" t="s">
        <v>17</v>
      </c>
      <c r="F17" s="26" t="s">
        <v>17</v>
      </c>
      <c r="G17" s="26" t="s">
        <v>17</v>
      </c>
      <c r="H17" s="27" t="s">
        <v>17</v>
      </c>
      <c r="I17" s="26" t="s">
        <v>17</v>
      </c>
      <c r="J17" s="26" t="s">
        <v>16</v>
      </c>
    </row>
    <row r="18">
      <c r="A18" s="19">
        <v>11.0</v>
      </c>
      <c r="B18" s="20" t="s">
        <v>16</v>
      </c>
      <c r="C18" s="21" t="s">
        <v>16</v>
      </c>
      <c r="D18" s="25" t="s">
        <v>16</v>
      </c>
      <c r="E18" s="26" t="s">
        <v>16</v>
      </c>
      <c r="F18" s="26" t="s">
        <v>16</v>
      </c>
      <c r="G18" s="26" t="s">
        <v>16</v>
      </c>
      <c r="H18" s="27" t="s">
        <v>16</v>
      </c>
      <c r="I18" s="26" t="s">
        <v>16</v>
      </c>
      <c r="J18" s="26" t="s">
        <v>16</v>
      </c>
    </row>
    <row r="19">
      <c r="A19" s="19">
        <v>12.0</v>
      </c>
      <c r="B19" s="20" t="s">
        <v>17</v>
      </c>
      <c r="C19" s="21" t="s">
        <v>17</v>
      </c>
      <c r="D19" s="25" t="s">
        <v>17</v>
      </c>
      <c r="E19" s="26" t="s">
        <v>17</v>
      </c>
      <c r="F19" s="26" t="s">
        <v>17</v>
      </c>
      <c r="G19" s="26" t="s">
        <v>17</v>
      </c>
      <c r="H19" s="27" t="s">
        <v>17</v>
      </c>
      <c r="I19" s="26" t="s">
        <v>17</v>
      </c>
      <c r="J19" s="26" t="s">
        <v>17</v>
      </c>
    </row>
    <row r="20">
      <c r="A20" s="19">
        <v>13.0</v>
      </c>
      <c r="B20" s="20" t="s">
        <v>17</v>
      </c>
      <c r="C20" s="21" t="s">
        <v>17</v>
      </c>
      <c r="D20" s="25" t="s">
        <v>17</v>
      </c>
      <c r="E20" s="26" t="s">
        <v>17</v>
      </c>
      <c r="F20" s="26" t="s">
        <v>17</v>
      </c>
      <c r="G20" s="26" t="s">
        <v>16</v>
      </c>
      <c r="H20" s="27" t="s">
        <v>17</v>
      </c>
      <c r="I20" s="26" t="s">
        <v>17</v>
      </c>
      <c r="J20" s="26" t="s">
        <v>16</v>
      </c>
    </row>
    <row r="21">
      <c r="A21" s="19">
        <v>14.0</v>
      </c>
      <c r="B21" s="20" t="s">
        <v>16</v>
      </c>
      <c r="C21" s="21" t="s">
        <v>16</v>
      </c>
      <c r="D21" s="25" t="s">
        <v>16</v>
      </c>
      <c r="E21" s="26" t="s">
        <v>16</v>
      </c>
      <c r="F21" s="26" t="s">
        <v>16</v>
      </c>
      <c r="G21" s="26" t="s">
        <v>16</v>
      </c>
      <c r="H21" s="27" t="s">
        <v>16</v>
      </c>
      <c r="I21" s="26" t="s">
        <v>16</v>
      </c>
      <c r="J21" s="26" t="s">
        <v>16</v>
      </c>
    </row>
    <row r="22">
      <c r="A22" s="19">
        <v>15.0</v>
      </c>
      <c r="B22" s="20" t="s">
        <v>17</v>
      </c>
      <c r="C22" s="21" t="s">
        <v>17</v>
      </c>
      <c r="D22" s="25" t="s">
        <v>17</v>
      </c>
      <c r="E22" s="26" t="s">
        <v>17</v>
      </c>
      <c r="F22" s="26" t="s">
        <v>17</v>
      </c>
      <c r="G22" s="26" t="s">
        <v>17</v>
      </c>
      <c r="H22" s="27" t="s">
        <v>17</v>
      </c>
      <c r="I22" s="26" t="s">
        <v>17</v>
      </c>
      <c r="J22" s="26" t="s">
        <v>17</v>
      </c>
    </row>
    <row r="23">
      <c r="A23" s="19">
        <v>16.0</v>
      </c>
      <c r="B23" s="20" t="s">
        <v>17</v>
      </c>
      <c r="C23" s="21" t="s">
        <v>17</v>
      </c>
      <c r="D23" s="25" t="s">
        <v>17</v>
      </c>
      <c r="E23" s="26" t="s">
        <v>17</v>
      </c>
      <c r="F23" s="26" t="s">
        <v>17</v>
      </c>
      <c r="G23" s="26" t="s">
        <v>17</v>
      </c>
      <c r="H23" s="27" t="s">
        <v>17</v>
      </c>
      <c r="I23" s="26" t="s">
        <v>17</v>
      </c>
      <c r="J23" s="26" t="s">
        <v>17</v>
      </c>
    </row>
    <row r="24">
      <c r="A24" s="19">
        <v>17.0</v>
      </c>
      <c r="B24" s="20" t="s">
        <v>16</v>
      </c>
      <c r="C24" s="21" t="s">
        <v>16</v>
      </c>
      <c r="D24" s="25" t="s">
        <v>16</v>
      </c>
      <c r="E24" s="26" t="s">
        <v>16</v>
      </c>
      <c r="F24" s="26" t="s">
        <v>16</v>
      </c>
      <c r="G24" s="26" t="s">
        <v>17</v>
      </c>
      <c r="H24" s="27" t="s">
        <v>16</v>
      </c>
      <c r="I24" s="26" t="s">
        <v>16</v>
      </c>
      <c r="J24" s="26" t="s">
        <v>16</v>
      </c>
    </row>
    <row r="25">
      <c r="A25" s="19">
        <v>18.0</v>
      </c>
      <c r="B25" s="20" t="s">
        <v>17</v>
      </c>
      <c r="C25" s="21" t="s">
        <v>17</v>
      </c>
      <c r="D25" s="25" t="s">
        <v>17</v>
      </c>
      <c r="E25" s="26" t="s">
        <v>17</v>
      </c>
      <c r="F25" s="26" t="s">
        <v>17</v>
      </c>
      <c r="G25" s="26" t="s">
        <v>17</v>
      </c>
      <c r="H25" s="27" t="s">
        <v>17</v>
      </c>
      <c r="I25" s="26" t="s">
        <v>17</v>
      </c>
      <c r="J25" s="26" t="s">
        <v>17</v>
      </c>
    </row>
    <row r="26">
      <c r="A26" s="19">
        <v>19.0</v>
      </c>
      <c r="B26" s="20" t="s">
        <v>16</v>
      </c>
      <c r="C26" s="21" t="s">
        <v>16</v>
      </c>
      <c r="D26" s="25" t="s">
        <v>16</v>
      </c>
      <c r="E26" s="26" t="s">
        <v>16</v>
      </c>
      <c r="F26" s="26" t="s">
        <v>16</v>
      </c>
      <c r="G26" s="26" t="s">
        <v>16</v>
      </c>
      <c r="H26" s="27" t="s">
        <v>16</v>
      </c>
      <c r="I26" s="26" t="s">
        <v>16</v>
      </c>
      <c r="J26" s="26" t="s">
        <v>16</v>
      </c>
    </row>
    <row r="27">
      <c r="A27" s="19">
        <v>20.0</v>
      </c>
      <c r="B27" s="20" t="s">
        <v>16</v>
      </c>
      <c r="C27" s="21" t="s">
        <v>16</v>
      </c>
      <c r="D27" s="25" t="s">
        <v>16</v>
      </c>
      <c r="E27" s="26" t="s">
        <v>16</v>
      </c>
      <c r="F27" s="26" t="s">
        <v>16</v>
      </c>
      <c r="G27" s="26" t="s">
        <v>16</v>
      </c>
      <c r="H27" s="27" t="s">
        <v>16</v>
      </c>
      <c r="I27" s="26" t="s">
        <v>16</v>
      </c>
      <c r="J27" s="26" t="s">
        <v>16</v>
      </c>
    </row>
    <row r="28">
      <c r="A28" s="19">
        <v>21.0</v>
      </c>
      <c r="B28" s="20" t="s">
        <v>16</v>
      </c>
      <c r="C28" s="21" t="s">
        <v>16</v>
      </c>
      <c r="D28" s="25" t="s">
        <v>16</v>
      </c>
      <c r="E28" s="26" t="s">
        <v>16</v>
      </c>
      <c r="F28" s="26" t="s">
        <v>16</v>
      </c>
      <c r="G28" s="26" t="s">
        <v>16</v>
      </c>
      <c r="H28" s="27" t="s">
        <v>16</v>
      </c>
      <c r="I28" s="26" t="s">
        <v>16</v>
      </c>
      <c r="J28" s="26" t="s">
        <v>16</v>
      </c>
    </row>
    <row r="29">
      <c r="A29" s="19">
        <v>22.0</v>
      </c>
      <c r="B29" s="20" t="s">
        <v>17</v>
      </c>
      <c r="C29" s="21" t="s">
        <v>17</v>
      </c>
      <c r="D29" s="25" t="s">
        <v>17</v>
      </c>
      <c r="E29" s="26" t="s">
        <v>17</v>
      </c>
      <c r="F29" s="26" t="s">
        <v>17</v>
      </c>
      <c r="G29" s="26" t="s">
        <v>17</v>
      </c>
      <c r="H29" s="27" t="s">
        <v>17</v>
      </c>
      <c r="I29" s="26" t="s">
        <v>17</v>
      </c>
      <c r="J29" s="26" t="s">
        <v>16</v>
      </c>
    </row>
    <row r="30">
      <c r="A30" s="19">
        <v>23.0</v>
      </c>
      <c r="B30" s="20" t="s">
        <v>17</v>
      </c>
      <c r="C30" s="21" t="s">
        <v>17</v>
      </c>
      <c r="D30" s="25" t="s">
        <v>17</v>
      </c>
      <c r="E30" s="26" t="s">
        <v>17</v>
      </c>
      <c r="F30" s="26" t="s">
        <v>17</v>
      </c>
      <c r="G30" s="26" t="s">
        <v>17</v>
      </c>
      <c r="H30" s="27" t="s">
        <v>17</v>
      </c>
      <c r="I30" s="26" t="s">
        <v>17</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16</v>
      </c>
      <c r="C32" s="21" t="s">
        <v>16</v>
      </c>
      <c r="D32" s="25" t="s">
        <v>16</v>
      </c>
      <c r="E32" s="26" t="s">
        <v>16</v>
      </c>
      <c r="F32" s="26" t="s">
        <v>16</v>
      </c>
      <c r="G32" s="26" t="s">
        <v>16</v>
      </c>
      <c r="H32" s="27" t="s">
        <v>16</v>
      </c>
      <c r="I32" s="26" t="s">
        <v>16</v>
      </c>
      <c r="J32" s="26" t="s">
        <v>17</v>
      </c>
    </row>
    <row r="33">
      <c r="A33" s="19">
        <v>26.0</v>
      </c>
      <c r="B33" s="20" t="s">
        <v>16</v>
      </c>
      <c r="C33" s="21" t="s">
        <v>16</v>
      </c>
      <c r="D33" s="25" t="s">
        <v>16</v>
      </c>
      <c r="E33" s="26" t="s">
        <v>16</v>
      </c>
      <c r="F33" s="26" t="s">
        <v>16</v>
      </c>
      <c r="G33" s="26" t="s">
        <v>16</v>
      </c>
      <c r="H33" s="27" t="s">
        <v>16</v>
      </c>
      <c r="I33" s="26" t="s">
        <v>16</v>
      </c>
      <c r="J33" s="26" t="s">
        <v>16</v>
      </c>
    </row>
    <row r="34">
      <c r="A34" s="19">
        <v>27.0</v>
      </c>
      <c r="B34" s="20" t="s">
        <v>17</v>
      </c>
      <c r="C34" s="21" t="s">
        <v>17</v>
      </c>
      <c r="D34" s="25" t="s">
        <v>17</v>
      </c>
      <c r="E34" s="26" t="s">
        <v>17</v>
      </c>
      <c r="F34" s="26" t="s">
        <v>17</v>
      </c>
      <c r="G34" s="26" t="s">
        <v>17</v>
      </c>
      <c r="H34" s="27" t="s">
        <v>17</v>
      </c>
      <c r="I34" s="26" t="s">
        <v>17</v>
      </c>
      <c r="J34" s="26" t="s">
        <v>17</v>
      </c>
    </row>
    <row r="35">
      <c r="A35" s="19">
        <v>28.0</v>
      </c>
      <c r="B35" s="20" t="s">
        <v>17</v>
      </c>
      <c r="C35" s="21" t="s">
        <v>17</v>
      </c>
      <c r="D35" s="25" t="s">
        <v>17</v>
      </c>
      <c r="E35" s="26" t="s">
        <v>17</v>
      </c>
      <c r="F35" s="26" t="s">
        <v>17</v>
      </c>
      <c r="G35" s="26" t="s">
        <v>17</v>
      </c>
      <c r="H35" s="27" t="s">
        <v>17</v>
      </c>
      <c r="I35" s="26" t="s">
        <v>17</v>
      </c>
      <c r="J35" s="26" t="s">
        <v>17</v>
      </c>
    </row>
    <row r="36">
      <c r="A36" s="19">
        <v>29.0</v>
      </c>
      <c r="B36" s="20" t="s">
        <v>17</v>
      </c>
      <c r="C36" s="21" t="s">
        <v>17</v>
      </c>
      <c r="D36" s="25" t="s">
        <v>17</v>
      </c>
      <c r="E36" s="26" t="s">
        <v>17</v>
      </c>
      <c r="F36" s="26" t="s">
        <v>17</v>
      </c>
      <c r="G36" s="26" t="s">
        <v>17</v>
      </c>
      <c r="H36" s="27" t="s">
        <v>17</v>
      </c>
      <c r="I36" s="26" t="s">
        <v>17</v>
      </c>
      <c r="J36" s="26" t="s">
        <v>16</v>
      </c>
    </row>
    <row r="37">
      <c r="A37" s="19">
        <v>30.0</v>
      </c>
      <c r="B37" s="20" t="s">
        <v>16</v>
      </c>
      <c r="C37" s="21" t="s">
        <v>16</v>
      </c>
      <c r="D37" s="25" t="s">
        <v>16</v>
      </c>
      <c r="E37" s="26" t="s">
        <v>16</v>
      </c>
      <c r="F37" s="26" t="s">
        <v>16</v>
      </c>
      <c r="G37" s="26" t="s">
        <v>16</v>
      </c>
      <c r="H37" s="27" t="s">
        <v>16</v>
      </c>
      <c r="I37" s="26" t="s">
        <v>16</v>
      </c>
      <c r="J37" s="26" t="s">
        <v>16</v>
      </c>
    </row>
    <row r="38">
      <c r="A38" s="19">
        <v>31.0</v>
      </c>
      <c r="B38" s="20" t="s">
        <v>16</v>
      </c>
      <c r="C38" s="21" t="s">
        <v>16</v>
      </c>
      <c r="D38" s="25" t="s">
        <v>16</v>
      </c>
      <c r="E38" s="26" t="s">
        <v>16</v>
      </c>
      <c r="F38" s="26" t="s">
        <v>16</v>
      </c>
      <c r="G38" s="26" t="s">
        <v>16</v>
      </c>
      <c r="H38" s="27" t="s">
        <v>16</v>
      </c>
      <c r="I38" s="26" t="s">
        <v>16</v>
      </c>
      <c r="J38" s="26" t="s">
        <v>17</v>
      </c>
    </row>
    <row r="39">
      <c r="A39" s="19">
        <v>32.0</v>
      </c>
      <c r="B39" s="20" t="s">
        <v>16</v>
      </c>
      <c r="C39" s="21" t="s">
        <v>16</v>
      </c>
      <c r="D39" s="25" t="s">
        <v>16</v>
      </c>
      <c r="E39" s="26" t="s">
        <v>16</v>
      </c>
      <c r="F39" s="26" t="s">
        <v>16</v>
      </c>
      <c r="G39" s="26" t="s">
        <v>16</v>
      </c>
      <c r="H39" s="27" t="s">
        <v>16</v>
      </c>
      <c r="I39" s="26" t="s">
        <v>17</v>
      </c>
      <c r="J39" s="26" t="s">
        <v>16</v>
      </c>
    </row>
    <row r="40">
      <c r="A40" s="19">
        <v>33.0</v>
      </c>
      <c r="B40" s="20" t="s">
        <v>17</v>
      </c>
      <c r="C40" s="21" t="s">
        <v>17</v>
      </c>
      <c r="D40" s="25" t="s">
        <v>17</v>
      </c>
      <c r="E40" s="26" t="s">
        <v>17</v>
      </c>
      <c r="F40" s="26" t="s">
        <v>17</v>
      </c>
      <c r="G40" s="26" t="s">
        <v>17</v>
      </c>
      <c r="H40" s="27" t="s">
        <v>17</v>
      </c>
      <c r="I40" s="26" t="s">
        <v>17</v>
      </c>
      <c r="J40" s="26" t="s">
        <v>16</v>
      </c>
    </row>
    <row r="41">
      <c r="A41" s="19">
        <v>34.0</v>
      </c>
      <c r="B41" s="20" t="s">
        <v>17</v>
      </c>
      <c r="C41" s="21" t="s">
        <v>17</v>
      </c>
      <c r="D41" s="25" t="s">
        <v>17</v>
      </c>
      <c r="E41" s="26" t="s">
        <v>17</v>
      </c>
      <c r="F41" s="26" t="s">
        <v>17</v>
      </c>
      <c r="G41" s="26" t="s">
        <v>17</v>
      </c>
      <c r="H41" s="27" t="s">
        <v>17</v>
      </c>
      <c r="I41" s="26" t="s">
        <v>17</v>
      </c>
      <c r="J41" s="26" t="s">
        <v>17</v>
      </c>
    </row>
    <row r="42">
      <c r="A42" s="19">
        <v>35.0</v>
      </c>
      <c r="B42" s="20" t="s">
        <v>17</v>
      </c>
      <c r="C42" s="21" t="s">
        <v>17</v>
      </c>
      <c r="D42" s="25" t="s">
        <v>17</v>
      </c>
      <c r="E42" s="26" t="s">
        <v>17</v>
      </c>
      <c r="F42" s="26" t="s">
        <v>17</v>
      </c>
      <c r="G42" s="26" t="s">
        <v>17</v>
      </c>
      <c r="H42" s="27" t="s">
        <v>17</v>
      </c>
      <c r="I42" s="26" t="s">
        <v>17</v>
      </c>
      <c r="J42" s="26" t="s">
        <v>16</v>
      </c>
    </row>
    <row r="43">
      <c r="A43" s="19">
        <v>36.0</v>
      </c>
      <c r="B43" s="20" t="s">
        <v>17</v>
      </c>
      <c r="C43" s="21" t="s">
        <v>17</v>
      </c>
      <c r="D43" s="25" t="s">
        <v>17</v>
      </c>
      <c r="E43" s="26" t="s">
        <v>17</v>
      </c>
      <c r="F43" s="26" t="s">
        <v>17</v>
      </c>
      <c r="G43" s="26" t="s">
        <v>17</v>
      </c>
      <c r="H43" s="27" t="s">
        <v>17</v>
      </c>
      <c r="I43" s="26" t="s">
        <v>17</v>
      </c>
      <c r="J43" s="26" t="s">
        <v>16</v>
      </c>
    </row>
    <row r="44">
      <c r="A44" s="19">
        <v>37.0</v>
      </c>
      <c r="B44" s="20" t="s">
        <v>16</v>
      </c>
      <c r="C44" s="21" t="s">
        <v>16</v>
      </c>
      <c r="D44" s="25" t="s">
        <v>16</v>
      </c>
      <c r="E44" s="26" t="s">
        <v>16</v>
      </c>
      <c r="F44" s="26" t="s">
        <v>16</v>
      </c>
      <c r="G44" s="26" t="s">
        <v>16</v>
      </c>
      <c r="H44" s="27" t="s">
        <v>16</v>
      </c>
      <c r="I44" s="26" t="s">
        <v>16</v>
      </c>
      <c r="J44" s="26" t="s">
        <v>16</v>
      </c>
    </row>
    <row r="45">
      <c r="A45" s="19">
        <v>38.0</v>
      </c>
      <c r="B45" s="20" t="s">
        <v>17</v>
      </c>
      <c r="C45" s="21" t="s">
        <v>17</v>
      </c>
      <c r="D45" s="25" t="s">
        <v>17</v>
      </c>
      <c r="E45" s="26" t="s">
        <v>17</v>
      </c>
      <c r="F45" s="26" t="s">
        <v>17</v>
      </c>
      <c r="G45" s="26" t="s">
        <v>17</v>
      </c>
      <c r="H45" s="27" t="s">
        <v>17</v>
      </c>
      <c r="I45" s="26" t="s">
        <v>17</v>
      </c>
      <c r="J45" s="26" t="s">
        <v>16</v>
      </c>
    </row>
    <row r="46">
      <c r="A46" s="19">
        <v>39.0</v>
      </c>
      <c r="B46" s="20" t="s">
        <v>16</v>
      </c>
      <c r="C46" s="21" t="s">
        <v>16</v>
      </c>
      <c r="D46" s="25" t="s">
        <v>16</v>
      </c>
      <c r="E46" s="26" t="s">
        <v>16</v>
      </c>
      <c r="F46" s="26" t="s">
        <v>16</v>
      </c>
      <c r="G46" s="26" t="s">
        <v>16</v>
      </c>
      <c r="H46" s="27" t="s">
        <v>16</v>
      </c>
      <c r="I46" s="26" t="s">
        <v>16</v>
      </c>
      <c r="J46" s="26" t="s">
        <v>17</v>
      </c>
    </row>
    <row r="47">
      <c r="A47" s="19">
        <v>40.0</v>
      </c>
      <c r="B47" s="20" t="s">
        <v>16</v>
      </c>
      <c r="C47" s="21" t="s">
        <v>16</v>
      </c>
      <c r="D47" s="25" t="s">
        <v>16</v>
      </c>
      <c r="E47" s="26" t="s">
        <v>16</v>
      </c>
      <c r="F47" s="26" t="s">
        <v>16</v>
      </c>
      <c r="G47" s="26" t="s">
        <v>16</v>
      </c>
      <c r="H47" s="27" t="s">
        <v>16</v>
      </c>
      <c r="I47" s="26" t="s">
        <v>16</v>
      </c>
      <c r="J47" s="26" t="s">
        <v>16</v>
      </c>
    </row>
    <row r="48">
      <c r="A48" s="19">
        <v>41.0</v>
      </c>
      <c r="B48" s="20" t="s">
        <v>17</v>
      </c>
      <c r="C48" s="21" t="s">
        <v>17</v>
      </c>
      <c r="D48" s="25" t="s">
        <v>17</v>
      </c>
      <c r="E48" s="26" t="s">
        <v>17</v>
      </c>
      <c r="F48" s="26" t="s">
        <v>17</v>
      </c>
      <c r="G48" s="26" t="s">
        <v>17</v>
      </c>
      <c r="H48" s="27" t="s">
        <v>17</v>
      </c>
      <c r="I48" s="26" t="s">
        <v>17</v>
      </c>
      <c r="J48" s="26" t="s">
        <v>17</v>
      </c>
    </row>
    <row r="49">
      <c r="A49" s="19">
        <v>42.0</v>
      </c>
      <c r="B49" s="20" t="s">
        <v>16</v>
      </c>
      <c r="C49" s="21" t="s">
        <v>16</v>
      </c>
      <c r="D49" s="25" t="s">
        <v>16</v>
      </c>
      <c r="E49" s="26" t="s">
        <v>16</v>
      </c>
      <c r="F49" s="26" t="s">
        <v>16</v>
      </c>
      <c r="G49" s="26" t="s">
        <v>16</v>
      </c>
      <c r="H49" s="27" t="s">
        <v>16</v>
      </c>
      <c r="I49" s="26" t="s">
        <v>16</v>
      </c>
      <c r="J49" s="26" t="s">
        <v>16</v>
      </c>
    </row>
    <row r="50">
      <c r="A50" s="19">
        <v>43.0</v>
      </c>
      <c r="B50" s="20" t="s">
        <v>16</v>
      </c>
      <c r="C50" s="21" t="s">
        <v>16</v>
      </c>
      <c r="D50" s="25" t="s">
        <v>16</v>
      </c>
      <c r="E50" s="26" t="s">
        <v>16</v>
      </c>
      <c r="F50" s="26" t="s">
        <v>16</v>
      </c>
      <c r="G50" s="26" t="s">
        <v>16</v>
      </c>
      <c r="H50" s="27" t="s">
        <v>16</v>
      </c>
      <c r="I50" s="26" t="s">
        <v>16</v>
      </c>
      <c r="J50" s="26" t="s">
        <v>16</v>
      </c>
    </row>
    <row r="51">
      <c r="A51" s="19">
        <v>44.0</v>
      </c>
      <c r="B51" s="20" t="s">
        <v>16</v>
      </c>
      <c r="C51" s="21" t="s">
        <v>16</v>
      </c>
      <c r="D51" s="25" t="s">
        <v>16</v>
      </c>
      <c r="E51" s="26" t="s">
        <v>16</v>
      </c>
      <c r="F51" s="26" t="s">
        <v>16</v>
      </c>
      <c r="G51" s="26" t="s">
        <v>16</v>
      </c>
      <c r="H51" s="27" t="s">
        <v>16</v>
      </c>
      <c r="I51" s="26" t="s">
        <v>16</v>
      </c>
      <c r="J51" s="26" t="s">
        <v>16</v>
      </c>
    </row>
    <row r="52">
      <c r="A52" s="19">
        <v>45.0</v>
      </c>
      <c r="B52" s="20" t="s">
        <v>17</v>
      </c>
      <c r="C52" s="21" t="s">
        <v>17</v>
      </c>
      <c r="D52" s="25" t="s">
        <v>17</v>
      </c>
      <c r="E52" s="26" t="s">
        <v>17</v>
      </c>
      <c r="F52" s="26" t="s">
        <v>17</v>
      </c>
      <c r="G52" s="26" t="s">
        <v>17</v>
      </c>
      <c r="H52" s="27" t="s">
        <v>17</v>
      </c>
      <c r="I52" s="26" t="s">
        <v>17</v>
      </c>
      <c r="J52" s="26" t="s">
        <v>17</v>
      </c>
    </row>
    <row r="53">
      <c r="A53" s="19">
        <v>46.0</v>
      </c>
      <c r="B53" s="28" t="s">
        <v>17</v>
      </c>
      <c r="C53" s="21" t="s">
        <v>17</v>
      </c>
      <c r="D53" s="29" t="s">
        <v>17</v>
      </c>
      <c r="E53" s="30" t="s">
        <v>17</v>
      </c>
      <c r="F53" s="30" t="s">
        <v>17</v>
      </c>
      <c r="G53" s="30" t="s">
        <v>17</v>
      </c>
      <c r="H53" s="31" t="s">
        <v>17</v>
      </c>
      <c r="I53" s="30" t="s">
        <v>17</v>
      </c>
      <c r="J53" s="30" t="s">
        <v>17</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27195.0</v>
      </c>
    </row>
    <row r="5" ht="60.0" customHeight="1">
      <c r="A5" s="39">
        <v>2.0</v>
      </c>
      <c r="B5" s="40" t="s">
        <v>39</v>
      </c>
      <c r="C5" s="40" t="s">
        <v>40</v>
      </c>
      <c r="D5" s="40" t="s">
        <v>41</v>
      </c>
      <c r="E5" s="40" t="s">
        <v>42</v>
      </c>
      <c r="F5" s="39" t="str">
        <f t="shared" si="1"/>
        <v>CORRECT</v>
      </c>
      <c r="G5" s="39" t="s">
        <v>37</v>
      </c>
      <c r="H5" s="41" t="s">
        <v>37</v>
      </c>
      <c r="I5" s="42" t="s">
        <v>43</v>
      </c>
      <c r="J5" s="41">
        <v>31947.0</v>
      </c>
    </row>
    <row r="6" ht="60.0" customHeight="1">
      <c r="A6" s="39">
        <v>3.0</v>
      </c>
      <c r="B6" s="40" t="s">
        <v>44</v>
      </c>
      <c r="C6" s="40" t="s">
        <v>45</v>
      </c>
      <c r="D6" s="40" t="s">
        <v>46</v>
      </c>
      <c r="E6" s="40" t="s">
        <v>47</v>
      </c>
      <c r="F6" s="39" t="str">
        <f t="shared" si="1"/>
        <v>CORRECT</v>
      </c>
      <c r="G6" s="39" t="s">
        <v>48</v>
      </c>
      <c r="H6" s="41" t="s">
        <v>48</v>
      </c>
      <c r="I6" s="42" t="s">
        <v>49</v>
      </c>
      <c r="J6" s="41">
        <v>26548.0</v>
      </c>
    </row>
    <row r="7" ht="60.0" customHeight="1">
      <c r="A7" s="39">
        <v>4.0</v>
      </c>
      <c r="B7" s="40" t="s">
        <v>50</v>
      </c>
      <c r="C7" s="40" t="s">
        <v>51</v>
      </c>
      <c r="D7" s="40" t="s">
        <v>52</v>
      </c>
      <c r="E7" s="40" t="s">
        <v>53</v>
      </c>
      <c r="F7" s="39" t="str">
        <f t="shared" si="1"/>
        <v>CORRECT</v>
      </c>
      <c r="G7" s="39" t="s">
        <v>37</v>
      </c>
      <c r="H7" s="41" t="s">
        <v>37</v>
      </c>
      <c r="I7" s="42" t="s">
        <v>54</v>
      </c>
      <c r="J7" s="41">
        <v>22723.0</v>
      </c>
    </row>
    <row r="8" ht="60.0" customHeight="1">
      <c r="A8" s="39">
        <v>5.0</v>
      </c>
      <c r="B8" s="40" t="s">
        <v>55</v>
      </c>
      <c r="C8" s="40" t="s">
        <v>56</v>
      </c>
      <c r="D8" s="40" t="s">
        <v>57</v>
      </c>
      <c r="E8" s="40" t="s">
        <v>58</v>
      </c>
      <c r="F8" s="39" t="str">
        <f t="shared" si="1"/>
        <v>CORRECT</v>
      </c>
      <c r="G8" s="39" t="s">
        <v>48</v>
      </c>
      <c r="H8" s="41" t="s">
        <v>48</v>
      </c>
      <c r="I8" s="42" t="s">
        <v>59</v>
      </c>
      <c r="J8" s="41">
        <v>56855.0</v>
      </c>
    </row>
    <row r="9" ht="60.0" customHeight="1">
      <c r="A9" s="39">
        <v>6.0</v>
      </c>
      <c r="B9" s="40" t="s">
        <v>60</v>
      </c>
      <c r="C9" s="40" t="s">
        <v>61</v>
      </c>
      <c r="D9" s="40" t="s">
        <v>62</v>
      </c>
      <c r="E9" s="40" t="s">
        <v>63</v>
      </c>
      <c r="F9" s="39" t="str">
        <f t="shared" si="1"/>
        <v>CORRECT</v>
      </c>
      <c r="G9" s="39" t="s">
        <v>37</v>
      </c>
      <c r="H9" s="41" t="s">
        <v>37</v>
      </c>
      <c r="I9" s="42" t="s">
        <v>64</v>
      </c>
      <c r="J9" s="41">
        <v>21879.0</v>
      </c>
    </row>
    <row r="10" ht="60.0" customHeight="1">
      <c r="A10" s="39">
        <v>7.0</v>
      </c>
      <c r="B10" s="40" t="s">
        <v>65</v>
      </c>
      <c r="C10" s="40" t="s">
        <v>66</v>
      </c>
      <c r="D10" s="40" t="s">
        <v>67</v>
      </c>
      <c r="E10" s="40" t="s">
        <v>68</v>
      </c>
      <c r="F10" s="39" t="str">
        <f t="shared" si="1"/>
        <v>CORRECT</v>
      </c>
      <c r="G10" s="39" t="s">
        <v>37</v>
      </c>
      <c r="H10" s="41" t="s">
        <v>37</v>
      </c>
      <c r="I10" s="42" t="s">
        <v>69</v>
      </c>
      <c r="J10" s="41">
        <v>26711.0</v>
      </c>
    </row>
    <row r="11" ht="60.0" customHeight="1">
      <c r="A11" s="39">
        <v>8.0</v>
      </c>
      <c r="B11" s="40" t="s">
        <v>70</v>
      </c>
      <c r="C11" s="40" t="s">
        <v>71</v>
      </c>
      <c r="D11" s="40" t="s">
        <v>72</v>
      </c>
      <c r="E11" s="40" t="s">
        <v>73</v>
      </c>
      <c r="F11" s="39" t="str">
        <f t="shared" si="1"/>
        <v>CORRECT</v>
      </c>
      <c r="G11" s="39" t="s">
        <v>48</v>
      </c>
      <c r="H11" s="41" t="s">
        <v>48</v>
      </c>
      <c r="I11" s="42" t="s">
        <v>74</v>
      </c>
      <c r="J11" s="41">
        <v>27333.0</v>
      </c>
    </row>
    <row r="12" ht="60.0" customHeight="1">
      <c r="A12" s="39">
        <v>9.0</v>
      </c>
      <c r="B12" s="40" t="s">
        <v>75</v>
      </c>
      <c r="C12" s="40" t="s">
        <v>76</v>
      </c>
      <c r="D12" s="40" t="s">
        <v>77</v>
      </c>
      <c r="E12" s="40" t="s">
        <v>78</v>
      </c>
      <c r="F12" s="39" t="str">
        <f t="shared" si="1"/>
        <v>WRONG</v>
      </c>
      <c r="G12" s="39" t="s">
        <v>37</v>
      </c>
      <c r="H12" s="41" t="s">
        <v>48</v>
      </c>
      <c r="I12" s="42" t="s">
        <v>79</v>
      </c>
      <c r="J12" s="41">
        <v>27551.0</v>
      </c>
    </row>
    <row r="13" ht="60.0" customHeight="1">
      <c r="A13" s="39">
        <v>10.0</v>
      </c>
      <c r="B13" s="40" t="s">
        <v>80</v>
      </c>
      <c r="C13" s="40" t="s">
        <v>81</v>
      </c>
      <c r="D13" s="40" t="s">
        <v>82</v>
      </c>
      <c r="E13" s="40" t="s">
        <v>83</v>
      </c>
      <c r="F13" s="39" t="str">
        <f t="shared" si="1"/>
        <v>CORRECT</v>
      </c>
      <c r="G13" s="39" t="s">
        <v>48</v>
      </c>
      <c r="H13" s="43" t="s">
        <v>48</v>
      </c>
      <c r="I13" s="42" t="s">
        <v>84</v>
      </c>
      <c r="J13" s="41">
        <v>32590.0</v>
      </c>
    </row>
    <row r="14" ht="60.0" customHeight="1">
      <c r="A14" s="39">
        <v>11.0</v>
      </c>
      <c r="B14" s="40" t="s">
        <v>85</v>
      </c>
      <c r="C14" s="40" t="s">
        <v>86</v>
      </c>
      <c r="D14" s="40" t="s">
        <v>87</v>
      </c>
      <c r="E14" s="40" t="s">
        <v>88</v>
      </c>
      <c r="F14" s="39" t="str">
        <f t="shared" si="1"/>
        <v>WRONG</v>
      </c>
      <c r="G14" s="39" t="s">
        <v>37</v>
      </c>
      <c r="H14" s="43" t="s">
        <v>48</v>
      </c>
      <c r="I14" s="42" t="s">
        <v>89</v>
      </c>
      <c r="J14" s="41">
        <v>35695.0</v>
      </c>
    </row>
    <row r="15" ht="60.0" customHeight="1">
      <c r="A15" s="39">
        <v>12.0</v>
      </c>
      <c r="B15" s="40" t="s">
        <v>90</v>
      </c>
      <c r="C15" s="40" t="s">
        <v>91</v>
      </c>
      <c r="D15" s="40" t="s">
        <v>92</v>
      </c>
      <c r="E15" s="40" t="s">
        <v>93</v>
      </c>
      <c r="F15" s="39" t="str">
        <f t="shared" si="1"/>
        <v>CORRECT</v>
      </c>
      <c r="G15" s="39" t="s">
        <v>48</v>
      </c>
      <c r="H15" s="43" t="s">
        <v>48</v>
      </c>
      <c r="I15" s="42" t="s">
        <v>94</v>
      </c>
      <c r="J15" s="41">
        <v>34651.0</v>
      </c>
    </row>
    <row r="16" ht="60.0" customHeight="1">
      <c r="A16" s="39">
        <v>13.0</v>
      </c>
      <c r="B16" s="40" t="s">
        <v>95</v>
      </c>
      <c r="C16" s="40" t="s">
        <v>96</v>
      </c>
      <c r="D16" s="40" t="s">
        <v>97</v>
      </c>
      <c r="E16" s="40" t="s">
        <v>98</v>
      </c>
      <c r="F16" s="39" t="str">
        <f t="shared" si="1"/>
        <v>CORRECT</v>
      </c>
      <c r="G16" s="39" t="s">
        <v>36</v>
      </c>
      <c r="H16" s="41" t="s">
        <v>36</v>
      </c>
      <c r="I16" s="42" t="s">
        <v>99</v>
      </c>
      <c r="J16" s="41">
        <v>17966.0</v>
      </c>
    </row>
    <row r="17" ht="60.0" customHeight="1">
      <c r="A17" s="39">
        <v>14.0</v>
      </c>
      <c r="B17" s="40" t="s">
        <v>100</v>
      </c>
      <c r="C17" s="40" t="s">
        <v>101</v>
      </c>
      <c r="D17" s="40" t="s">
        <v>102</v>
      </c>
      <c r="E17" s="40" t="s">
        <v>103</v>
      </c>
      <c r="F17" s="39" t="str">
        <f t="shared" si="1"/>
        <v>WRONG</v>
      </c>
      <c r="G17" s="39" t="s">
        <v>36</v>
      </c>
      <c r="H17" s="41" t="s">
        <v>48</v>
      </c>
      <c r="I17" s="42" t="s">
        <v>104</v>
      </c>
      <c r="J17" s="41">
        <v>33744.0</v>
      </c>
    </row>
    <row r="18" ht="60.0" customHeight="1">
      <c r="A18" s="39">
        <v>15.0</v>
      </c>
      <c r="B18" s="40" t="s">
        <v>105</v>
      </c>
      <c r="C18" s="40" t="s">
        <v>106</v>
      </c>
      <c r="D18" s="40" t="s">
        <v>107</v>
      </c>
      <c r="E18" s="40" t="s">
        <v>108</v>
      </c>
      <c r="F18" s="39" t="str">
        <f t="shared" si="1"/>
        <v>CORRECT</v>
      </c>
      <c r="G18" s="39" t="s">
        <v>48</v>
      </c>
      <c r="H18" s="43" t="s">
        <v>48</v>
      </c>
      <c r="I18" s="42" t="s">
        <v>109</v>
      </c>
      <c r="J18" s="41">
        <v>38016.0</v>
      </c>
    </row>
    <row r="19" ht="60.0" customHeight="1">
      <c r="A19" s="39">
        <v>16.0</v>
      </c>
      <c r="B19" s="40" t="s">
        <v>110</v>
      </c>
      <c r="C19" s="40" t="s">
        <v>111</v>
      </c>
      <c r="D19" s="40" t="s">
        <v>112</v>
      </c>
      <c r="E19" s="40" t="s">
        <v>113</v>
      </c>
      <c r="F19" s="39" t="str">
        <f t="shared" si="1"/>
        <v>CORRECT</v>
      </c>
      <c r="G19" s="39" t="s">
        <v>48</v>
      </c>
      <c r="H19" s="41" t="s">
        <v>48</v>
      </c>
      <c r="I19" s="42" t="s">
        <v>114</v>
      </c>
      <c r="J19" s="41">
        <v>27833.0</v>
      </c>
    </row>
    <row r="20" ht="60.0" customHeight="1">
      <c r="A20" s="39">
        <v>17.0</v>
      </c>
      <c r="B20" s="40" t="s">
        <v>115</v>
      </c>
      <c r="C20" s="40" t="s">
        <v>116</v>
      </c>
      <c r="D20" s="40" t="s">
        <v>117</v>
      </c>
      <c r="E20" s="40" t="s">
        <v>118</v>
      </c>
      <c r="F20" s="39" t="str">
        <f t="shared" si="1"/>
        <v>WRONG</v>
      </c>
      <c r="G20" s="39" t="s">
        <v>37</v>
      </c>
      <c r="H20" s="41" t="s">
        <v>36</v>
      </c>
      <c r="I20" s="42" t="s">
        <v>119</v>
      </c>
      <c r="J20" s="41">
        <v>23665.0</v>
      </c>
    </row>
    <row r="21" ht="60.0" customHeight="1">
      <c r="A21" s="39">
        <v>18.0</v>
      </c>
      <c r="B21" s="40" t="s">
        <v>120</v>
      </c>
      <c r="C21" s="40" t="s">
        <v>121</v>
      </c>
      <c r="D21" s="40" t="s">
        <v>122</v>
      </c>
      <c r="E21" s="40" t="s">
        <v>123</v>
      </c>
      <c r="F21" s="39" t="str">
        <f t="shared" si="1"/>
        <v>CORRECT</v>
      </c>
      <c r="G21" s="39" t="s">
        <v>37</v>
      </c>
      <c r="H21" s="41" t="s">
        <v>37</v>
      </c>
      <c r="I21" s="42" t="s">
        <v>124</v>
      </c>
      <c r="J21" s="41">
        <v>23112.0</v>
      </c>
    </row>
    <row r="22" ht="60.0" customHeight="1">
      <c r="A22" s="39">
        <v>19.0</v>
      </c>
      <c r="B22" s="40" t="s">
        <v>125</v>
      </c>
      <c r="C22" s="40" t="s">
        <v>126</v>
      </c>
      <c r="D22" s="40" t="s">
        <v>127</v>
      </c>
      <c r="E22" s="40" t="s">
        <v>128</v>
      </c>
      <c r="F22" s="39" t="str">
        <f t="shared" si="1"/>
        <v>WRONG</v>
      </c>
      <c r="G22" s="39" t="s">
        <v>36</v>
      </c>
      <c r="H22" s="43" t="s">
        <v>48</v>
      </c>
      <c r="I22" s="42" t="s">
        <v>129</v>
      </c>
      <c r="J22" s="41">
        <v>23578.0</v>
      </c>
    </row>
    <row r="23" ht="60.0" customHeight="1">
      <c r="A23" s="39">
        <v>20.0</v>
      </c>
      <c r="B23" s="40" t="s">
        <v>130</v>
      </c>
      <c r="C23" s="40" t="s">
        <v>131</v>
      </c>
      <c r="D23" s="40" t="s">
        <v>132</v>
      </c>
      <c r="E23" s="40" t="s">
        <v>133</v>
      </c>
      <c r="F23" s="39" t="str">
        <f t="shared" si="1"/>
        <v>WRONG</v>
      </c>
      <c r="G23" s="39" t="s">
        <v>37</v>
      </c>
      <c r="H23" s="41" t="s">
        <v>36</v>
      </c>
      <c r="I23" s="42" t="s">
        <v>134</v>
      </c>
      <c r="J23" s="41">
        <v>22578.0</v>
      </c>
    </row>
    <row r="24" ht="60.0" customHeight="1">
      <c r="A24" s="39">
        <v>21.0</v>
      </c>
      <c r="B24" s="40" t="s">
        <v>135</v>
      </c>
      <c r="C24" s="40" t="s">
        <v>136</v>
      </c>
      <c r="D24" s="40" t="s">
        <v>137</v>
      </c>
      <c r="E24" s="40" t="s">
        <v>138</v>
      </c>
      <c r="F24" s="39" t="str">
        <f t="shared" si="1"/>
        <v>WRONG</v>
      </c>
      <c r="G24" s="39" t="s">
        <v>37</v>
      </c>
      <c r="H24" s="41" t="s">
        <v>36</v>
      </c>
      <c r="I24" s="42" t="s">
        <v>139</v>
      </c>
      <c r="J24" s="41">
        <v>21835.0</v>
      </c>
    </row>
    <row r="25" ht="60.0" customHeight="1">
      <c r="A25" s="39">
        <v>22.0</v>
      </c>
      <c r="B25" s="40" t="s">
        <v>140</v>
      </c>
      <c r="C25" s="40" t="s">
        <v>141</v>
      </c>
      <c r="D25" s="40" t="s">
        <v>142</v>
      </c>
      <c r="E25" s="40" t="s">
        <v>143</v>
      </c>
      <c r="F25" s="39" t="str">
        <f t="shared" si="1"/>
        <v>CORRECT</v>
      </c>
      <c r="G25" s="39" t="s">
        <v>37</v>
      </c>
      <c r="H25" s="41" t="s">
        <v>37</v>
      </c>
      <c r="I25" s="42" t="s">
        <v>144</v>
      </c>
      <c r="J25" s="41">
        <v>25253.0</v>
      </c>
    </row>
    <row r="26" ht="60.0" customHeight="1">
      <c r="A26" s="39">
        <v>23.0</v>
      </c>
      <c r="B26" s="40" t="s">
        <v>145</v>
      </c>
      <c r="C26" s="40" t="s">
        <v>146</v>
      </c>
      <c r="D26" s="40" t="s">
        <v>147</v>
      </c>
      <c r="E26" s="40" t="s">
        <v>148</v>
      </c>
      <c r="F26" s="39" t="str">
        <f t="shared" si="1"/>
        <v>CORRECT</v>
      </c>
      <c r="G26" s="39" t="s">
        <v>48</v>
      </c>
      <c r="H26" s="41" t="s">
        <v>48</v>
      </c>
      <c r="I26" s="42" t="s">
        <v>149</v>
      </c>
      <c r="J26" s="41">
        <v>20155.0</v>
      </c>
    </row>
    <row r="27" ht="60.0" customHeight="1">
      <c r="A27" s="39">
        <v>24.0</v>
      </c>
      <c r="B27" s="40" t="s">
        <v>150</v>
      </c>
      <c r="C27" s="40" t="s">
        <v>151</v>
      </c>
      <c r="D27" s="40" t="s">
        <v>152</v>
      </c>
      <c r="E27" s="40" t="s">
        <v>153</v>
      </c>
      <c r="F27" s="39" t="str">
        <f t="shared" si="1"/>
        <v>WRONG</v>
      </c>
      <c r="G27" s="39" t="s">
        <v>36</v>
      </c>
      <c r="H27" s="41" t="s">
        <v>48</v>
      </c>
      <c r="I27" s="42" t="s">
        <v>154</v>
      </c>
      <c r="J27" s="41">
        <v>28569.0</v>
      </c>
    </row>
    <row r="28" ht="60.0" customHeight="1">
      <c r="A28" s="39">
        <v>25.0</v>
      </c>
      <c r="B28" s="40" t="s">
        <v>155</v>
      </c>
      <c r="C28" s="40" t="s">
        <v>151</v>
      </c>
      <c r="D28" s="40" t="s">
        <v>156</v>
      </c>
      <c r="E28" s="40" t="s">
        <v>153</v>
      </c>
      <c r="F28" s="39" t="str">
        <f t="shared" si="1"/>
        <v>WRONG</v>
      </c>
      <c r="G28" s="39" t="s">
        <v>48</v>
      </c>
      <c r="H28" s="43" t="s">
        <v>36</v>
      </c>
      <c r="I28" s="42" t="s">
        <v>157</v>
      </c>
      <c r="J28" s="41">
        <v>16632.0</v>
      </c>
    </row>
    <row r="29" ht="60.0" customHeight="1">
      <c r="A29" s="39">
        <v>26.0</v>
      </c>
      <c r="B29" s="40" t="s">
        <v>158</v>
      </c>
      <c r="C29" s="40" t="s">
        <v>159</v>
      </c>
      <c r="D29" s="40" t="s">
        <v>160</v>
      </c>
      <c r="E29" s="40" t="s">
        <v>161</v>
      </c>
      <c r="F29" s="39" t="str">
        <f t="shared" si="1"/>
        <v>WRONG</v>
      </c>
      <c r="G29" s="39" t="s">
        <v>36</v>
      </c>
      <c r="H29" s="43" t="s">
        <v>37</v>
      </c>
      <c r="I29" s="42" t="s">
        <v>162</v>
      </c>
      <c r="J29" s="41">
        <v>21277.0</v>
      </c>
    </row>
    <row r="30" ht="60.0" customHeight="1">
      <c r="A30" s="39">
        <v>27.0</v>
      </c>
      <c r="B30" s="40" t="s">
        <v>163</v>
      </c>
      <c r="C30" s="40" t="s">
        <v>164</v>
      </c>
      <c r="D30" s="40" t="s">
        <v>165</v>
      </c>
      <c r="E30" s="40" t="s">
        <v>166</v>
      </c>
      <c r="F30" s="39" t="str">
        <f t="shared" si="1"/>
        <v>CORRECT</v>
      </c>
      <c r="G30" s="39" t="s">
        <v>37</v>
      </c>
      <c r="H30" s="41" t="s">
        <v>37</v>
      </c>
      <c r="I30" s="42" t="s">
        <v>167</v>
      </c>
      <c r="J30" s="41">
        <v>30931.0</v>
      </c>
    </row>
    <row r="31" ht="60.0" customHeight="1">
      <c r="A31" s="39">
        <v>28.0</v>
      </c>
      <c r="B31" s="40" t="s">
        <v>168</v>
      </c>
      <c r="C31" s="40" t="s">
        <v>169</v>
      </c>
      <c r="D31" s="40" t="s">
        <v>170</v>
      </c>
      <c r="E31" s="40" t="s">
        <v>171</v>
      </c>
      <c r="F31" s="39" t="str">
        <f t="shared" si="1"/>
        <v>CORRECT</v>
      </c>
      <c r="G31" s="39" t="s">
        <v>36</v>
      </c>
      <c r="H31" s="43" t="s">
        <v>36</v>
      </c>
      <c r="I31" s="42" t="s">
        <v>172</v>
      </c>
      <c r="J31" s="41">
        <v>22088.0</v>
      </c>
    </row>
    <row r="32" ht="60.0" customHeight="1">
      <c r="A32" s="39">
        <v>29.0</v>
      </c>
      <c r="B32" s="40" t="s">
        <v>173</v>
      </c>
      <c r="C32" s="40" t="s">
        <v>174</v>
      </c>
      <c r="D32" s="40" t="s">
        <v>175</v>
      </c>
      <c r="E32" s="40" t="s">
        <v>176</v>
      </c>
      <c r="F32" s="39" t="str">
        <f t="shared" si="1"/>
        <v>CORRECT</v>
      </c>
      <c r="G32" s="39" t="s">
        <v>37</v>
      </c>
      <c r="H32" s="41" t="s">
        <v>37</v>
      </c>
      <c r="I32" s="42" t="s">
        <v>177</v>
      </c>
      <c r="J32" s="41">
        <v>28891.0</v>
      </c>
    </row>
    <row r="33" ht="60.0" customHeight="1">
      <c r="A33" s="39">
        <v>30.0</v>
      </c>
      <c r="B33" s="40" t="s">
        <v>178</v>
      </c>
      <c r="C33" s="40" t="s">
        <v>179</v>
      </c>
      <c r="D33" s="40" t="s">
        <v>180</v>
      </c>
      <c r="E33" s="40" t="s">
        <v>181</v>
      </c>
      <c r="F33" s="39" t="str">
        <f t="shared" si="1"/>
        <v>WRONG</v>
      </c>
      <c r="G33" s="39" t="s">
        <v>48</v>
      </c>
      <c r="H33" s="41" t="s">
        <v>36</v>
      </c>
      <c r="I33" s="42" t="s">
        <v>182</v>
      </c>
      <c r="J33" s="41">
        <v>26083.0</v>
      </c>
    </row>
    <row r="34" ht="60.0" customHeight="1">
      <c r="A34" s="39">
        <v>31.0</v>
      </c>
      <c r="B34" s="40" t="s">
        <v>183</v>
      </c>
      <c r="C34" s="40" t="s">
        <v>184</v>
      </c>
      <c r="D34" s="40" t="s">
        <v>185</v>
      </c>
      <c r="E34" s="40" t="s">
        <v>186</v>
      </c>
      <c r="F34" s="39" t="str">
        <f t="shared" si="1"/>
        <v>WRONG</v>
      </c>
      <c r="G34" s="39" t="s">
        <v>37</v>
      </c>
      <c r="H34" s="41" t="s">
        <v>36</v>
      </c>
      <c r="I34" s="42" t="s">
        <v>187</v>
      </c>
      <c r="J34" s="41">
        <v>32768.0</v>
      </c>
    </row>
    <row r="35" ht="60.0" customHeight="1">
      <c r="A35" s="39">
        <v>32.0</v>
      </c>
      <c r="B35" s="40" t="s">
        <v>188</v>
      </c>
      <c r="C35" s="40" t="s">
        <v>189</v>
      </c>
      <c r="D35" s="40" t="s">
        <v>190</v>
      </c>
      <c r="E35" s="40" t="s">
        <v>191</v>
      </c>
      <c r="F35" s="39" t="str">
        <f t="shared" si="1"/>
        <v>WRONG</v>
      </c>
      <c r="G35" s="39" t="s">
        <v>36</v>
      </c>
      <c r="H35" s="43" t="s">
        <v>48</v>
      </c>
      <c r="I35" s="42" t="s">
        <v>192</v>
      </c>
      <c r="J35" s="41">
        <v>55173.0</v>
      </c>
    </row>
    <row r="36" ht="60.0" customHeight="1">
      <c r="A36" s="39">
        <v>33.0</v>
      </c>
      <c r="B36" s="40" t="s">
        <v>193</v>
      </c>
      <c r="C36" s="40" t="s">
        <v>194</v>
      </c>
      <c r="D36" s="40" t="s">
        <v>195</v>
      </c>
      <c r="E36" s="40" t="s">
        <v>196</v>
      </c>
      <c r="F36" s="39" t="str">
        <f t="shared" si="1"/>
        <v>CORRECT</v>
      </c>
      <c r="G36" s="39" t="s">
        <v>48</v>
      </c>
      <c r="H36" s="43" t="s">
        <v>48</v>
      </c>
      <c r="I36" s="42" t="s">
        <v>197</v>
      </c>
      <c r="J36" s="41">
        <v>45041.0</v>
      </c>
    </row>
    <row r="37" ht="60.0" customHeight="1">
      <c r="A37" s="39">
        <v>34.0</v>
      </c>
      <c r="B37" s="40" t="s">
        <v>198</v>
      </c>
      <c r="C37" s="40" t="s">
        <v>199</v>
      </c>
      <c r="D37" s="40" t="s">
        <v>200</v>
      </c>
      <c r="E37" s="40" t="s">
        <v>201</v>
      </c>
      <c r="F37" s="39" t="str">
        <f t="shared" si="1"/>
        <v>CORRECT</v>
      </c>
      <c r="G37" s="39" t="s">
        <v>36</v>
      </c>
      <c r="H37" s="41" t="s">
        <v>36</v>
      </c>
      <c r="I37" s="42" t="s">
        <v>202</v>
      </c>
      <c r="J37" s="41">
        <v>25009.0</v>
      </c>
    </row>
    <row r="38" ht="60.0" customHeight="1">
      <c r="A38" s="39">
        <v>35.0</v>
      </c>
      <c r="B38" s="40" t="s">
        <v>203</v>
      </c>
      <c r="C38" s="40" t="s">
        <v>204</v>
      </c>
      <c r="D38" s="40" t="s">
        <v>205</v>
      </c>
      <c r="E38" s="40" t="s">
        <v>206</v>
      </c>
      <c r="F38" s="39" t="str">
        <f t="shared" si="1"/>
        <v>CORRECT</v>
      </c>
      <c r="G38" s="39" t="s">
        <v>48</v>
      </c>
      <c r="H38" s="41" t="s">
        <v>48</v>
      </c>
      <c r="I38" s="42" t="s">
        <v>207</v>
      </c>
      <c r="J38" s="41">
        <v>27037.0</v>
      </c>
    </row>
    <row r="39" ht="60.0" customHeight="1">
      <c r="A39" s="39">
        <v>36.0</v>
      </c>
      <c r="B39" s="40" t="s">
        <v>208</v>
      </c>
      <c r="C39" s="40" t="s">
        <v>209</v>
      </c>
      <c r="D39" s="40" t="s">
        <v>210</v>
      </c>
      <c r="E39" s="40" t="s">
        <v>211</v>
      </c>
      <c r="F39" s="39" t="str">
        <f t="shared" si="1"/>
        <v>CORRECT</v>
      </c>
      <c r="G39" s="39" t="s">
        <v>36</v>
      </c>
      <c r="H39" s="41" t="s">
        <v>36</v>
      </c>
      <c r="I39" s="42" t="s">
        <v>212</v>
      </c>
      <c r="J39" s="41">
        <v>22643.0</v>
      </c>
    </row>
    <row r="40" ht="60.0" customHeight="1">
      <c r="A40" s="39">
        <v>37.0</v>
      </c>
      <c r="B40" s="40" t="s">
        <v>213</v>
      </c>
      <c r="C40" s="40" t="s">
        <v>214</v>
      </c>
      <c r="D40" s="40" t="s">
        <v>215</v>
      </c>
      <c r="E40" s="40" t="s">
        <v>216</v>
      </c>
      <c r="F40" s="39" t="str">
        <f t="shared" si="1"/>
        <v>WRONG</v>
      </c>
      <c r="G40" s="39" t="s">
        <v>36</v>
      </c>
      <c r="H40" s="41" t="s">
        <v>37</v>
      </c>
      <c r="I40" s="42" t="s">
        <v>217</v>
      </c>
      <c r="J40" s="41">
        <v>21241.0</v>
      </c>
    </row>
    <row r="41" ht="60.0" customHeight="1">
      <c r="A41" s="39">
        <v>38.0</v>
      </c>
      <c r="B41" s="40" t="s">
        <v>218</v>
      </c>
      <c r="C41" s="40" t="s">
        <v>219</v>
      </c>
      <c r="D41" s="40" t="s">
        <v>220</v>
      </c>
      <c r="E41" s="40" t="s">
        <v>221</v>
      </c>
      <c r="F41" s="39" t="str">
        <f t="shared" si="1"/>
        <v>CORRECT</v>
      </c>
      <c r="G41" s="39" t="s">
        <v>36</v>
      </c>
      <c r="H41" s="41" t="s">
        <v>36</v>
      </c>
      <c r="I41" s="42" t="s">
        <v>222</v>
      </c>
      <c r="J41" s="41">
        <v>28617.0</v>
      </c>
    </row>
    <row r="42" ht="60.0" customHeight="1">
      <c r="A42" s="39">
        <v>39.0</v>
      </c>
      <c r="B42" s="40" t="s">
        <v>223</v>
      </c>
      <c r="C42" s="40" t="s">
        <v>224</v>
      </c>
      <c r="D42" s="40" t="s">
        <v>225</v>
      </c>
      <c r="E42" s="40" t="s">
        <v>226</v>
      </c>
      <c r="F42" s="39" t="str">
        <f t="shared" si="1"/>
        <v>WRONG</v>
      </c>
      <c r="G42" s="39" t="s">
        <v>37</v>
      </c>
      <c r="H42" s="41" t="s">
        <v>36</v>
      </c>
      <c r="I42" s="42" t="s">
        <v>227</v>
      </c>
      <c r="J42" s="41">
        <v>20238.0</v>
      </c>
    </row>
    <row r="43" ht="60.0" customHeight="1">
      <c r="A43" s="39">
        <v>40.0</v>
      </c>
      <c r="B43" s="40" t="s">
        <v>228</v>
      </c>
      <c r="C43" s="40" t="s">
        <v>229</v>
      </c>
      <c r="D43" s="40" t="s">
        <v>230</v>
      </c>
      <c r="E43" s="40" t="s">
        <v>231</v>
      </c>
      <c r="F43" s="39" t="str">
        <f t="shared" si="1"/>
        <v>WRONG</v>
      </c>
      <c r="G43" s="39" t="s">
        <v>48</v>
      </c>
      <c r="H43" s="43" t="s">
        <v>37</v>
      </c>
      <c r="I43" s="42" t="s">
        <v>232</v>
      </c>
      <c r="J43" s="41">
        <v>39983.0</v>
      </c>
    </row>
    <row r="44" ht="60.0" customHeight="1">
      <c r="A44" s="39">
        <v>41.0</v>
      </c>
      <c r="B44" s="40" t="s">
        <v>233</v>
      </c>
      <c r="C44" s="40" t="s">
        <v>234</v>
      </c>
      <c r="D44" s="40" t="s">
        <v>235</v>
      </c>
      <c r="E44" s="40" t="s">
        <v>236</v>
      </c>
      <c r="F44" s="39" t="str">
        <f t="shared" si="1"/>
        <v>CORRECT</v>
      </c>
      <c r="G44" s="39" t="s">
        <v>37</v>
      </c>
      <c r="H44" s="41" t="s">
        <v>37</v>
      </c>
      <c r="I44" s="42" t="s">
        <v>237</v>
      </c>
      <c r="J44" s="41">
        <v>15552.0</v>
      </c>
    </row>
    <row r="45" ht="60.0" customHeight="1">
      <c r="A45" s="39">
        <v>42.0</v>
      </c>
      <c r="B45" s="40" t="s">
        <v>238</v>
      </c>
      <c r="C45" s="40" t="s">
        <v>239</v>
      </c>
      <c r="D45" s="40" t="s">
        <v>240</v>
      </c>
      <c r="E45" s="40" t="s">
        <v>241</v>
      </c>
      <c r="F45" s="39" t="str">
        <f t="shared" si="1"/>
        <v>WRONG</v>
      </c>
      <c r="G45" s="39" t="s">
        <v>36</v>
      </c>
      <c r="H45" s="41" t="s">
        <v>37</v>
      </c>
      <c r="I45" s="42" t="s">
        <v>242</v>
      </c>
      <c r="J45" s="41">
        <v>28578.0</v>
      </c>
    </row>
    <row r="46" ht="60.0" customHeight="1">
      <c r="A46" s="39">
        <v>43.0</v>
      </c>
      <c r="B46" s="40" t="s">
        <v>243</v>
      </c>
      <c r="C46" s="40" t="s">
        <v>244</v>
      </c>
      <c r="D46" s="40" t="s">
        <v>245</v>
      </c>
      <c r="E46" s="40" t="s">
        <v>246</v>
      </c>
      <c r="F46" s="39" t="str">
        <f t="shared" si="1"/>
        <v>WRONG</v>
      </c>
      <c r="G46" s="39" t="s">
        <v>48</v>
      </c>
      <c r="H46" s="41" t="s">
        <v>36</v>
      </c>
      <c r="I46" s="42" t="s">
        <v>247</v>
      </c>
      <c r="J46" s="41">
        <v>27315.0</v>
      </c>
    </row>
    <row r="47" ht="60.0" customHeight="1">
      <c r="A47" s="39">
        <v>44.0</v>
      </c>
      <c r="B47" s="40" t="s">
        <v>248</v>
      </c>
      <c r="C47" s="40" t="s">
        <v>249</v>
      </c>
      <c r="D47" s="40" t="s">
        <v>250</v>
      </c>
      <c r="E47" s="40" t="s">
        <v>251</v>
      </c>
      <c r="F47" s="39" t="str">
        <f t="shared" si="1"/>
        <v>WRONG</v>
      </c>
      <c r="G47" s="39" t="s">
        <v>36</v>
      </c>
      <c r="H47" s="41" t="s">
        <v>48</v>
      </c>
      <c r="I47" s="42" t="s">
        <v>252</v>
      </c>
      <c r="J47" s="41">
        <v>34081.0</v>
      </c>
    </row>
    <row r="48" ht="60.0" customHeight="1">
      <c r="A48" s="39">
        <v>45.0</v>
      </c>
      <c r="B48" s="40" t="s">
        <v>253</v>
      </c>
      <c r="C48" s="40" t="s">
        <v>254</v>
      </c>
      <c r="D48" s="40" t="s">
        <v>255</v>
      </c>
      <c r="E48" s="40" t="s">
        <v>256</v>
      </c>
      <c r="F48" s="39" t="str">
        <f t="shared" si="1"/>
        <v>CORRECT</v>
      </c>
      <c r="G48" s="39" t="s">
        <v>36</v>
      </c>
      <c r="H48" s="41" t="s">
        <v>36</v>
      </c>
      <c r="I48" s="42" t="s">
        <v>257</v>
      </c>
      <c r="J48" s="41">
        <v>35984.0</v>
      </c>
    </row>
    <row r="49" ht="60.0" customHeight="1">
      <c r="A49" s="39">
        <v>46.0</v>
      </c>
      <c r="B49" s="40" t="s">
        <v>258</v>
      </c>
      <c r="C49" s="40" t="s">
        <v>40</v>
      </c>
      <c r="D49" s="40" t="s">
        <v>259</v>
      </c>
      <c r="E49" s="40" t="s">
        <v>260</v>
      </c>
      <c r="F49" s="39" t="str">
        <f t="shared" si="1"/>
        <v>CORRECT</v>
      </c>
      <c r="G49" s="39" t="s">
        <v>36</v>
      </c>
      <c r="H49" s="41" t="s">
        <v>36</v>
      </c>
      <c r="I49" s="42" t="s">
        <v>261</v>
      </c>
      <c r="J49" s="41">
        <v>25454.0</v>
      </c>
    </row>
    <row r="50">
      <c r="A50" s="44" t="s">
        <v>262</v>
      </c>
      <c r="B50" s="2"/>
      <c r="C50" s="2"/>
      <c r="D50" s="2"/>
      <c r="E50" s="3"/>
      <c r="F50" s="45">
        <f>COUNTIFS(F4:F49,"CORRECT")</f>
        <v>26</v>
      </c>
      <c r="G50" s="46"/>
      <c r="H50" s="46"/>
      <c r="J50" s="47">
        <f>AVERAGE(J4:J49)</f>
        <v>28447.78261</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21778.0</v>
      </c>
    </row>
    <row r="5" ht="60.0" customHeight="1">
      <c r="A5" s="39">
        <v>2.0</v>
      </c>
      <c r="B5" s="40" t="s">
        <v>39</v>
      </c>
      <c r="C5" s="40" t="s">
        <v>40</v>
      </c>
      <c r="D5" s="40" t="s">
        <v>41</v>
      </c>
      <c r="E5" s="40" t="s">
        <v>42</v>
      </c>
      <c r="F5" s="39" t="str">
        <f t="shared" si="1"/>
        <v>CORRECT</v>
      </c>
      <c r="G5" s="39" t="s">
        <v>37</v>
      </c>
      <c r="H5" s="41" t="s">
        <v>37</v>
      </c>
      <c r="I5" s="42" t="s">
        <v>267</v>
      </c>
      <c r="J5" s="41">
        <v>35799.0</v>
      </c>
    </row>
    <row r="6" ht="60.0" customHeight="1">
      <c r="A6" s="39">
        <v>3.0</v>
      </c>
      <c r="B6" s="40" t="s">
        <v>44</v>
      </c>
      <c r="C6" s="40" t="s">
        <v>45</v>
      </c>
      <c r="D6" s="40" t="s">
        <v>46</v>
      </c>
      <c r="E6" s="40" t="s">
        <v>47</v>
      </c>
      <c r="F6" s="39" t="str">
        <f t="shared" si="1"/>
        <v>CORRECT</v>
      </c>
      <c r="G6" s="39" t="s">
        <v>48</v>
      </c>
      <c r="H6" s="41" t="s">
        <v>48</v>
      </c>
      <c r="I6" s="42" t="s">
        <v>268</v>
      </c>
      <c r="J6" s="41">
        <v>28237.0</v>
      </c>
    </row>
    <row r="7" ht="60.0" customHeight="1">
      <c r="A7" s="39">
        <v>4.0</v>
      </c>
      <c r="B7" s="40" t="s">
        <v>50</v>
      </c>
      <c r="C7" s="40" t="s">
        <v>51</v>
      </c>
      <c r="D7" s="40" t="s">
        <v>52</v>
      </c>
      <c r="E7" s="40" t="s">
        <v>53</v>
      </c>
      <c r="F7" s="39" t="str">
        <f t="shared" si="1"/>
        <v>WRONG</v>
      </c>
      <c r="G7" s="39" t="s">
        <v>37</v>
      </c>
      <c r="H7" s="41" t="s">
        <v>48</v>
      </c>
      <c r="I7" s="42" t="s">
        <v>269</v>
      </c>
      <c r="J7" s="41">
        <v>26597.0</v>
      </c>
    </row>
    <row r="8" ht="60.0" customHeight="1">
      <c r="A8" s="39">
        <v>5.0</v>
      </c>
      <c r="B8" s="40" t="s">
        <v>55</v>
      </c>
      <c r="C8" s="40" t="s">
        <v>56</v>
      </c>
      <c r="D8" s="40" t="s">
        <v>57</v>
      </c>
      <c r="E8" s="40" t="s">
        <v>58</v>
      </c>
      <c r="F8" s="39" t="str">
        <f t="shared" si="1"/>
        <v>CORRECT</v>
      </c>
      <c r="G8" s="39" t="s">
        <v>48</v>
      </c>
      <c r="H8" s="41" t="s">
        <v>48</v>
      </c>
      <c r="I8" s="42" t="s">
        <v>270</v>
      </c>
      <c r="J8" s="41">
        <v>70920.0</v>
      </c>
    </row>
    <row r="9" ht="60.0" customHeight="1">
      <c r="A9" s="39">
        <v>6.0</v>
      </c>
      <c r="B9" s="40" t="s">
        <v>60</v>
      </c>
      <c r="C9" s="40" t="s">
        <v>61</v>
      </c>
      <c r="D9" s="40" t="s">
        <v>62</v>
      </c>
      <c r="E9" s="40" t="s">
        <v>63</v>
      </c>
      <c r="F9" s="39" t="str">
        <f t="shared" si="1"/>
        <v>CORRECT</v>
      </c>
      <c r="G9" s="39" t="s">
        <v>37</v>
      </c>
      <c r="H9" s="41" t="s">
        <v>37</v>
      </c>
      <c r="I9" s="42" t="s">
        <v>271</v>
      </c>
      <c r="J9" s="41">
        <v>23919.0</v>
      </c>
    </row>
    <row r="10" ht="60.0" customHeight="1">
      <c r="A10" s="39">
        <v>7.0</v>
      </c>
      <c r="B10" s="40" t="s">
        <v>65</v>
      </c>
      <c r="C10" s="40" t="s">
        <v>66</v>
      </c>
      <c r="D10" s="40" t="s">
        <v>67</v>
      </c>
      <c r="E10" s="40" t="s">
        <v>68</v>
      </c>
      <c r="F10" s="39" t="str">
        <f t="shared" si="1"/>
        <v>WRONG</v>
      </c>
      <c r="G10" s="39" t="s">
        <v>37</v>
      </c>
      <c r="H10" s="41" t="s">
        <v>36</v>
      </c>
      <c r="I10" s="42" t="s">
        <v>272</v>
      </c>
      <c r="J10" s="41">
        <v>32697.0</v>
      </c>
    </row>
    <row r="11" ht="60.0" customHeight="1">
      <c r="A11" s="39">
        <v>8.0</v>
      </c>
      <c r="B11" s="40" t="s">
        <v>70</v>
      </c>
      <c r="C11" s="40" t="s">
        <v>71</v>
      </c>
      <c r="D11" s="40" t="s">
        <v>72</v>
      </c>
      <c r="E11" s="40" t="s">
        <v>73</v>
      </c>
      <c r="F11" s="39" t="str">
        <f t="shared" si="1"/>
        <v>WRONG</v>
      </c>
      <c r="G11" s="39" t="s">
        <v>48</v>
      </c>
      <c r="H11" s="41" t="s">
        <v>37</v>
      </c>
      <c r="I11" s="42" t="s">
        <v>273</v>
      </c>
      <c r="J11" s="41">
        <v>30744.0</v>
      </c>
    </row>
    <row r="12" ht="60.0" customHeight="1">
      <c r="A12" s="39">
        <v>9.0</v>
      </c>
      <c r="B12" s="40" t="s">
        <v>75</v>
      </c>
      <c r="C12" s="40" t="s">
        <v>76</v>
      </c>
      <c r="D12" s="40" t="s">
        <v>77</v>
      </c>
      <c r="E12" s="40" t="s">
        <v>78</v>
      </c>
      <c r="F12" s="39" t="str">
        <f t="shared" si="1"/>
        <v>WRONG</v>
      </c>
      <c r="G12" s="39" t="s">
        <v>37</v>
      </c>
      <c r="H12" s="41" t="s">
        <v>48</v>
      </c>
      <c r="I12" s="42" t="s">
        <v>274</v>
      </c>
      <c r="J12" s="41">
        <v>45799.0</v>
      </c>
    </row>
    <row r="13" ht="60.0" customHeight="1">
      <c r="A13" s="39">
        <v>10.0</v>
      </c>
      <c r="B13" s="40" t="s">
        <v>80</v>
      </c>
      <c r="C13" s="40" t="s">
        <v>81</v>
      </c>
      <c r="D13" s="40" t="s">
        <v>82</v>
      </c>
      <c r="E13" s="40" t="s">
        <v>83</v>
      </c>
      <c r="F13" s="39" t="str">
        <f t="shared" si="1"/>
        <v>CORRECT</v>
      </c>
      <c r="G13" s="39" t="s">
        <v>48</v>
      </c>
      <c r="H13" s="43" t="s">
        <v>48</v>
      </c>
      <c r="I13" s="42" t="s">
        <v>275</v>
      </c>
      <c r="J13" s="41">
        <v>34335.0</v>
      </c>
    </row>
    <row r="14" ht="60.0" customHeight="1">
      <c r="A14" s="39">
        <v>11.0</v>
      </c>
      <c r="B14" s="40" t="s">
        <v>85</v>
      </c>
      <c r="C14" s="40" t="s">
        <v>86</v>
      </c>
      <c r="D14" s="40" t="s">
        <v>87</v>
      </c>
      <c r="E14" s="40" t="s">
        <v>88</v>
      </c>
      <c r="F14" s="39" t="str">
        <f t="shared" si="1"/>
        <v>WRONG</v>
      </c>
      <c r="G14" s="39" t="s">
        <v>37</v>
      </c>
      <c r="H14" s="41" t="s">
        <v>48</v>
      </c>
      <c r="I14" s="42" t="s">
        <v>89</v>
      </c>
      <c r="J14" s="41">
        <v>35045.0</v>
      </c>
    </row>
    <row r="15" ht="60.0" customHeight="1">
      <c r="A15" s="39">
        <v>12.0</v>
      </c>
      <c r="B15" s="40" t="s">
        <v>90</v>
      </c>
      <c r="C15" s="40" t="s">
        <v>91</v>
      </c>
      <c r="D15" s="40" t="s">
        <v>92</v>
      </c>
      <c r="E15" s="40" t="s">
        <v>93</v>
      </c>
      <c r="F15" s="39" t="str">
        <f t="shared" si="1"/>
        <v>CORRECT</v>
      </c>
      <c r="G15" s="39" t="s">
        <v>48</v>
      </c>
      <c r="H15" s="41" t="s">
        <v>48</v>
      </c>
      <c r="I15" s="42" t="s">
        <v>94</v>
      </c>
      <c r="J15" s="41">
        <v>34523.0</v>
      </c>
    </row>
    <row r="16" ht="60.0" customHeight="1">
      <c r="A16" s="39">
        <v>13.0</v>
      </c>
      <c r="B16" s="40" t="s">
        <v>95</v>
      </c>
      <c r="C16" s="40" t="s">
        <v>96</v>
      </c>
      <c r="D16" s="40" t="s">
        <v>97</v>
      </c>
      <c r="E16" s="40" t="s">
        <v>98</v>
      </c>
      <c r="F16" s="39" t="str">
        <f t="shared" si="1"/>
        <v>CORRECT</v>
      </c>
      <c r="G16" s="39" t="s">
        <v>36</v>
      </c>
      <c r="H16" s="41" t="s">
        <v>36</v>
      </c>
      <c r="I16" s="42" t="s">
        <v>276</v>
      </c>
      <c r="J16" s="41">
        <v>19735.0</v>
      </c>
    </row>
    <row r="17" ht="60.0" customHeight="1">
      <c r="A17" s="39">
        <v>14.0</v>
      </c>
      <c r="B17" s="40" t="s">
        <v>100</v>
      </c>
      <c r="C17" s="40" t="s">
        <v>101</v>
      </c>
      <c r="D17" s="40" t="s">
        <v>102</v>
      </c>
      <c r="E17" s="40" t="s">
        <v>103</v>
      </c>
      <c r="F17" s="39" t="str">
        <f t="shared" si="1"/>
        <v>WRONG</v>
      </c>
      <c r="G17" s="39" t="s">
        <v>36</v>
      </c>
      <c r="H17" s="41" t="s">
        <v>48</v>
      </c>
      <c r="I17" s="42" t="s">
        <v>104</v>
      </c>
      <c r="J17" s="41">
        <v>34080.0</v>
      </c>
    </row>
    <row r="18" ht="60.0" customHeight="1">
      <c r="A18" s="39">
        <v>15.0</v>
      </c>
      <c r="B18" s="40" t="s">
        <v>105</v>
      </c>
      <c r="C18" s="40" t="s">
        <v>106</v>
      </c>
      <c r="D18" s="40" t="s">
        <v>107</v>
      </c>
      <c r="E18" s="40" t="s">
        <v>108</v>
      </c>
      <c r="F18" s="39" t="str">
        <f t="shared" si="1"/>
        <v>CORRECT</v>
      </c>
      <c r="G18" s="39" t="s">
        <v>48</v>
      </c>
      <c r="H18" s="43" t="s">
        <v>48</v>
      </c>
      <c r="I18" s="42" t="s">
        <v>109</v>
      </c>
      <c r="J18" s="41">
        <v>37542.0</v>
      </c>
    </row>
    <row r="19" ht="60.0" customHeight="1">
      <c r="A19" s="39">
        <v>16.0</v>
      </c>
      <c r="B19" s="40" t="s">
        <v>110</v>
      </c>
      <c r="C19" s="40" t="s">
        <v>111</v>
      </c>
      <c r="D19" s="40" t="s">
        <v>112</v>
      </c>
      <c r="E19" s="40" t="s">
        <v>113</v>
      </c>
      <c r="F19" s="39" t="str">
        <f t="shared" si="1"/>
        <v>CORRECT</v>
      </c>
      <c r="G19" s="39" t="s">
        <v>48</v>
      </c>
      <c r="H19" s="41" t="s">
        <v>48</v>
      </c>
      <c r="I19" s="42" t="s">
        <v>277</v>
      </c>
      <c r="J19" s="41">
        <v>29089.0</v>
      </c>
    </row>
    <row r="20" ht="60.0" customHeight="1">
      <c r="A20" s="39">
        <v>17.0</v>
      </c>
      <c r="B20" s="40" t="s">
        <v>115</v>
      </c>
      <c r="C20" s="40" t="s">
        <v>116</v>
      </c>
      <c r="D20" s="40" t="s">
        <v>117</v>
      </c>
      <c r="E20" s="40" t="s">
        <v>118</v>
      </c>
      <c r="F20" s="39" t="str">
        <f t="shared" si="1"/>
        <v>WRONG</v>
      </c>
      <c r="G20" s="39" t="s">
        <v>37</v>
      </c>
      <c r="H20" s="41" t="s">
        <v>36</v>
      </c>
      <c r="I20" s="42" t="s">
        <v>119</v>
      </c>
      <c r="J20" s="41">
        <v>23540.0</v>
      </c>
    </row>
    <row r="21" ht="60.0" customHeight="1">
      <c r="A21" s="39">
        <v>18.0</v>
      </c>
      <c r="B21" s="40" t="s">
        <v>120</v>
      </c>
      <c r="C21" s="40" t="s">
        <v>121</v>
      </c>
      <c r="D21" s="40" t="s">
        <v>122</v>
      </c>
      <c r="E21" s="40" t="s">
        <v>123</v>
      </c>
      <c r="F21" s="39" t="str">
        <f t="shared" si="1"/>
        <v>CORRECT</v>
      </c>
      <c r="G21" s="39" t="s">
        <v>37</v>
      </c>
      <c r="H21" s="41" t="s">
        <v>37</v>
      </c>
      <c r="I21" s="42" t="s">
        <v>124</v>
      </c>
      <c r="J21" s="41">
        <v>22148.0</v>
      </c>
    </row>
    <row r="22" ht="60.0" customHeight="1">
      <c r="A22" s="39">
        <v>19.0</v>
      </c>
      <c r="B22" s="40" t="s">
        <v>125</v>
      </c>
      <c r="C22" s="40" t="s">
        <v>126</v>
      </c>
      <c r="D22" s="40" t="s">
        <v>127</v>
      </c>
      <c r="E22" s="40" t="s">
        <v>128</v>
      </c>
      <c r="F22" s="39" t="str">
        <f t="shared" si="1"/>
        <v>WRONG</v>
      </c>
      <c r="G22" s="39" t="s">
        <v>36</v>
      </c>
      <c r="H22" s="43" t="s">
        <v>48</v>
      </c>
      <c r="I22" s="42" t="s">
        <v>129</v>
      </c>
      <c r="J22" s="41">
        <v>25596.0</v>
      </c>
    </row>
    <row r="23" ht="60.0" customHeight="1">
      <c r="A23" s="39">
        <v>20.0</v>
      </c>
      <c r="B23" s="40" t="s">
        <v>130</v>
      </c>
      <c r="C23" s="40" t="s">
        <v>131</v>
      </c>
      <c r="D23" s="40" t="s">
        <v>132</v>
      </c>
      <c r="E23" s="40" t="s">
        <v>133</v>
      </c>
      <c r="F23" s="39" t="str">
        <f t="shared" si="1"/>
        <v>WRONG</v>
      </c>
      <c r="G23" s="39" t="s">
        <v>37</v>
      </c>
      <c r="H23" s="41" t="s">
        <v>36</v>
      </c>
      <c r="I23" s="42" t="s">
        <v>134</v>
      </c>
      <c r="J23" s="41">
        <v>23408.0</v>
      </c>
    </row>
    <row r="24" ht="60.0" customHeight="1">
      <c r="A24" s="39">
        <v>21.0</v>
      </c>
      <c r="B24" s="40" t="s">
        <v>135</v>
      </c>
      <c r="C24" s="40" t="s">
        <v>136</v>
      </c>
      <c r="D24" s="40" t="s">
        <v>137</v>
      </c>
      <c r="E24" s="40" t="s">
        <v>138</v>
      </c>
      <c r="F24" s="39" t="str">
        <f t="shared" si="1"/>
        <v>WRONG</v>
      </c>
      <c r="G24" s="39" t="s">
        <v>37</v>
      </c>
      <c r="H24" s="41" t="s">
        <v>36</v>
      </c>
      <c r="I24" s="42" t="s">
        <v>139</v>
      </c>
      <c r="J24" s="41">
        <v>22831.0</v>
      </c>
    </row>
    <row r="25" ht="60.0" customHeight="1">
      <c r="A25" s="39">
        <v>22.0</v>
      </c>
      <c r="B25" s="40" t="s">
        <v>140</v>
      </c>
      <c r="C25" s="40" t="s">
        <v>141</v>
      </c>
      <c r="D25" s="40" t="s">
        <v>142</v>
      </c>
      <c r="E25" s="40" t="s">
        <v>143</v>
      </c>
      <c r="F25" s="39" t="str">
        <f t="shared" si="1"/>
        <v>CORRECT</v>
      </c>
      <c r="G25" s="39" t="s">
        <v>37</v>
      </c>
      <c r="H25" s="41" t="s">
        <v>37</v>
      </c>
      <c r="I25" s="42" t="s">
        <v>144</v>
      </c>
      <c r="J25" s="41">
        <v>25106.0</v>
      </c>
    </row>
    <row r="26" ht="60.0" customHeight="1">
      <c r="A26" s="39">
        <v>23.0</v>
      </c>
      <c r="B26" s="40" t="s">
        <v>145</v>
      </c>
      <c r="C26" s="40" t="s">
        <v>146</v>
      </c>
      <c r="D26" s="40" t="s">
        <v>147</v>
      </c>
      <c r="E26" s="40" t="s">
        <v>148</v>
      </c>
      <c r="F26" s="39" t="str">
        <f t="shared" si="1"/>
        <v>CORRECT</v>
      </c>
      <c r="G26" s="39" t="s">
        <v>48</v>
      </c>
      <c r="H26" s="41" t="s">
        <v>48</v>
      </c>
      <c r="I26" s="42" t="s">
        <v>149</v>
      </c>
      <c r="J26" s="41">
        <v>21296.0</v>
      </c>
    </row>
    <row r="27" ht="60.0" customHeight="1">
      <c r="A27" s="39">
        <v>24.0</v>
      </c>
      <c r="B27" s="40" t="s">
        <v>150</v>
      </c>
      <c r="C27" s="40" t="s">
        <v>151</v>
      </c>
      <c r="D27" s="40" t="s">
        <v>152</v>
      </c>
      <c r="E27" s="40" t="s">
        <v>153</v>
      </c>
      <c r="F27" s="39" t="str">
        <f t="shared" si="1"/>
        <v>WRONG</v>
      </c>
      <c r="G27" s="39" t="s">
        <v>36</v>
      </c>
      <c r="H27" s="41" t="s">
        <v>48</v>
      </c>
      <c r="I27" s="42" t="s">
        <v>154</v>
      </c>
      <c r="J27" s="41">
        <v>29104.0</v>
      </c>
    </row>
    <row r="28" ht="60.0" customHeight="1">
      <c r="A28" s="39">
        <v>25.0</v>
      </c>
      <c r="B28" s="40" t="s">
        <v>155</v>
      </c>
      <c r="C28" s="40" t="s">
        <v>151</v>
      </c>
      <c r="D28" s="40" t="s">
        <v>156</v>
      </c>
      <c r="E28" s="40" t="s">
        <v>153</v>
      </c>
      <c r="F28" s="39" t="str">
        <f t="shared" si="1"/>
        <v>WRONG</v>
      </c>
      <c r="G28" s="39" t="s">
        <v>48</v>
      </c>
      <c r="H28" s="43" t="s">
        <v>36</v>
      </c>
      <c r="I28" s="42" t="s">
        <v>157</v>
      </c>
      <c r="J28" s="41">
        <v>16429.0</v>
      </c>
    </row>
    <row r="29" ht="60.0" customHeight="1">
      <c r="A29" s="39">
        <v>26.0</v>
      </c>
      <c r="B29" s="40" t="s">
        <v>158</v>
      </c>
      <c r="C29" s="40" t="s">
        <v>159</v>
      </c>
      <c r="D29" s="40" t="s">
        <v>160</v>
      </c>
      <c r="E29" s="40" t="s">
        <v>161</v>
      </c>
      <c r="F29" s="39" t="str">
        <f t="shared" si="1"/>
        <v>WRONG</v>
      </c>
      <c r="G29" s="39" t="s">
        <v>36</v>
      </c>
      <c r="H29" s="43" t="s">
        <v>37</v>
      </c>
      <c r="I29" s="42" t="s">
        <v>162</v>
      </c>
      <c r="J29" s="41">
        <v>21025.0</v>
      </c>
    </row>
    <row r="30" ht="60.0" customHeight="1">
      <c r="A30" s="39">
        <v>27.0</v>
      </c>
      <c r="B30" s="40" t="s">
        <v>163</v>
      </c>
      <c r="C30" s="40" t="s">
        <v>164</v>
      </c>
      <c r="D30" s="40" t="s">
        <v>165</v>
      </c>
      <c r="E30" s="40" t="s">
        <v>166</v>
      </c>
      <c r="F30" s="39" t="str">
        <f t="shared" si="1"/>
        <v>CORRECT</v>
      </c>
      <c r="G30" s="39" t="s">
        <v>37</v>
      </c>
      <c r="H30" s="41" t="s">
        <v>37</v>
      </c>
      <c r="I30" s="42" t="s">
        <v>167</v>
      </c>
      <c r="J30" s="41">
        <v>30620.0</v>
      </c>
    </row>
    <row r="31" ht="60.0" customHeight="1">
      <c r="A31" s="39">
        <v>28.0</v>
      </c>
      <c r="B31" s="40" t="s">
        <v>168</v>
      </c>
      <c r="C31" s="40" t="s">
        <v>169</v>
      </c>
      <c r="D31" s="40" t="s">
        <v>170</v>
      </c>
      <c r="E31" s="40" t="s">
        <v>171</v>
      </c>
      <c r="F31" s="39" t="str">
        <f t="shared" si="1"/>
        <v>CORRECT</v>
      </c>
      <c r="G31" s="39" t="s">
        <v>36</v>
      </c>
      <c r="H31" s="43" t="s">
        <v>36</v>
      </c>
      <c r="I31" s="42" t="s">
        <v>172</v>
      </c>
      <c r="J31" s="41">
        <v>20715.0</v>
      </c>
    </row>
    <row r="32" ht="60.0" customHeight="1">
      <c r="A32" s="39">
        <v>29.0</v>
      </c>
      <c r="B32" s="40" t="s">
        <v>173</v>
      </c>
      <c r="C32" s="40" t="s">
        <v>174</v>
      </c>
      <c r="D32" s="40" t="s">
        <v>175</v>
      </c>
      <c r="E32" s="40" t="s">
        <v>176</v>
      </c>
      <c r="F32" s="39" t="str">
        <f t="shared" si="1"/>
        <v>CORRECT</v>
      </c>
      <c r="G32" s="39" t="s">
        <v>37</v>
      </c>
      <c r="H32" s="41" t="s">
        <v>37</v>
      </c>
      <c r="I32" s="42" t="s">
        <v>278</v>
      </c>
      <c r="J32" s="41">
        <v>29800.0</v>
      </c>
    </row>
    <row r="33" ht="60.0" customHeight="1">
      <c r="A33" s="39">
        <v>30.0</v>
      </c>
      <c r="B33" s="40" t="s">
        <v>178</v>
      </c>
      <c r="C33" s="40" t="s">
        <v>179</v>
      </c>
      <c r="D33" s="40" t="s">
        <v>180</v>
      </c>
      <c r="E33" s="40" t="s">
        <v>181</v>
      </c>
      <c r="F33" s="39" t="str">
        <f t="shared" si="1"/>
        <v>WRONG</v>
      </c>
      <c r="G33" s="39" t="s">
        <v>48</v>
      </c>
      <c r="H33" s="41" t="s">
        <v>36</v>
      </c>
      <c r="I33" s="42" t="s">
        <v>182</v>
      </c>
      <c r="J33" s="41">
        <v>26376.0</v>
      </c>
    </row>
    <row r="34" ht="60.0" customHeight="1">
      <c r="A34" s="39">
        <v>31.0</v>
      </c>
      <c r="B34" s="40" t="s">
        <v>183</v>
      </c>
      <c r="C34" s="40" t="s">
        <v>184</v>
      </c>
      <c r="D34" s="40" t="s">
        <v>185</v>
      </c>
      <c r="E34" s="40" t="s">
        <v>186</v>
      </c>
      <c r="F34" s="39" t="str">
        <f t="shared" si="1"/>
        <v>WRONG</v>
      </c>
      <c r="G34" s="39" t="s">
        <v>37</v>
      </c>
      <c r="H34" s="41" t="s">
        <v>36</v>
      </c>
      <c r="I34" s="42" t="s">
        <v>187</v>
      </c>
      <c r="J34" s="41">
        <v>32344.0</v>
      </c>
    </row>
    <row r="35" ht="60.0" customHeight="1">
      <c r="A35" s="39">
        <v>32.0</v>
      </c>
      <c r="B35" s="40" t="s">
        <v>188</v>
      </c>
      <c r="C35" s="40" t="s">
        <v>189</v>
      </c>
      <c r="D35" s="40" t="s">
        <v>190</v>
      </c>
      <c r="E35" s="40" t="s">
        <v>191</v>
      </c>
      <c r="F35" s="39" t="str">
        <f t="shared" si="1"/>
        <v>WRONG</v>
      </c>
      <c r="G35" s="39" t="s">
        <v>36</v>
      </c>
      <c r="H35" s="43" t="s">
        <v>48</v>
      </c>
      <c r="I35" s="42" t="s">
        <v>279</v>
      </c>
      <c r="J35" s="41">
        <v>54573.0</v>
      </c>
    </row>
    <row r="36" ht="60.0" customHeight="1">
      <c r="A36" s="39">
        <v>33.0</v>
      </c>
      <c r="B36" s="40" t="s">
        <v>193</v>
      </c>
      <c r="C36" s="40" t="s">
        <v>194</v>
      </c>
      <c r="D36" s="40" t="s">
        <v>195</v>
      </c>
      <c r="E36" s="40" t="s">
        <v>196</v>
      </c>
      <c r="F36" s="39" t="str">
        <f t="shared" si="1"/>
        <v>CORRECT</v>
      </c>
      <c r="G36" s="39" t="s">
        <v>48</v>
      </c>
      <c r="H36" s="43" t="s">
        <v>48</v>
      </c>
      <c r="I36" s="42" t="s">
        <v>197</v>
      </c>
      <c r="J36" s="41">
        <v>45299.0</v>
      </c>
    </row>
    <row r="37" ht="60.0" customHeight="1">
      <c r="A37" s="39">
        <v>34.0</v>
      </c>
      <c r="B37" s="40" t="s">
        <v>198</v>
      </c>
      <c r="C37" s="40" t="s">
        <v>199</v>
      </c>
      <c r="D37" s="40" t="s">
        <v>200</v>
      </c>
      <c r="E37" s="40" t="s">
        <v>201</v>
      </c>
      <c r="F37" s="39" t="str">
        <f t="shared" si="1"/>
        <v>CORRECT</v>
      </c>
      <c r="G37" s="39" t="s">
        <v>36</v>
      </c>
      <c r="H37" s="41" t="s">
        <v>36</v>
      </c>
      <c r="I37" s="42" t="s">
        <v>280</v>
      </c>
      <c r="J37" s="41">
        <v>24304.0</v>
      </c>
    </row>
    <row r="38" ht="60.0" customHeight="1">
      <c r="A38" s="39">
        <v>35.0</v>
      </c>
      <c r="B38" s="40" t="s">
        <v>203</v>
      </c>
      <c r="C38" s="40" t="s">
        <v>204</v>
      </c>
      <c r="D38" s="40" t="s">
        <v>205</v>
      </c>
      <c r="E38" s="40" t="s">
        <v>206</v>
      </c>
      <c r="F38" s="39" t="str">
        <f t="shared" si="1"/>
        <v>CORRECT</v>
      </c>
      <c r="G38" s="39" t="s">
        <v>48</v>
      </c>
      <c r="H38" s="41" t="s">
        <v>48</v>
      </c>
      <c r="I38" s="42" t="s">
        <v>207</v>
      </c>
      <c r="J38" s="41">
        <v>27749.0</v>
      </c>
    </row>
    <row r="39" ht="60.0" customHeight="1">
      <c r="A39" s="39">
        <v>36.0</v>
      </c>
      <c r="B39" s="40" t="s">
        <v>208</v>
      </c>
      <c r="C39" s="40" t="s">
        <v>209</v>
      </c>
      <c r="D39" s="40" t="s">
        <v>210</v>
      </c>
      <c r="E39" s="40" t="s">
        <v>211</v>
      </c>
      <c r="F39" s="39" t="str">
        <f t="shared" si="1"/>
        <v>CORRECT</v>
      </c>
      <c r="G39" s="39" t="s">
        <v>36</v>
      </c>
      <c r="H39" s="41" t="s">
        <v>36</v>
      </c>
      <c r="I39" s="42" t="s">
        <v>212</v>
      </c>
      <c r="J39" s="41">
        <v>22151.0</v>
      </c>
    </row>
    <row r="40" ht="60.0" customHeight="1">
      <c r="A40" s="39">
        <v>37.0</v>
      </c>
      <c r="B40" s="40" t="s">
        <v>213</v>
      </c>
      <c r="C40" s="40" t="s">
        <v>214</v>
      </c>
      <c r="D40" s="40" t="s">
        <v>215</v>
      </c>
      <c r="E40" s="40" t="s">
        <v>216</v>
      </c>
      <c r="F40" s="39" t="str">
        <f t="shared" si="1"/>
        <v>WRONG</v>
      </c>
      <c r="G40" s="39" t="s">
        <v>36</v>
      </c>
      <c r="H40" s="41" t="s">
        <v>37</v>
      </c>
      <c r="I40" s="42" t="s">
        <v>217</v>
      </c>
      <c r="J40" s="41">
        <v>21291.0</v>
      </c>
    </row>
    <row r="41" ht="60.0" customHeight="1">
      <c r="A41" s="39">
        <v>38.0</v>
      </c>
      <c r="B41" s="40" t="s">
        <v>218</v>
      </c>
      <c r="C41" s="40" t="s">
        <v>219</v>
      </c>
      <c r="D41" s="40" t="s">
        <v>220</v>
      </c>
      <c r="E41" s="40" t="s">
        <v>221</v>
      </c>
      <c r="F41" s="39" t="str">
        <f t="shared" si="1"/>
        <v>CORRECT</v>
      </c>
      <c r="G41" s="39" t="s">
        <v>36</v>
      </c>
      <c r="H41" s="41" t="s">
        <v>36</v>
      </c>
      <c r="I41" s="42" t="s">
        <v>222</v>
      </c>
      <c r="J41" s="41">
        <v>28381.0</v>
      </c>
    </row>
    <row r="42" ht="60.0" customHeight="1">
      <c r="A42" s="39">
        <v>39.0</v>
      </c>
      <c r="B42" s="40" t="s">
        <v>223</v>
      </c>
      <c r="C42" s="40" t="s">
        <v>224</v>
      </c>
      <c r="D42" s="40" t="s">
        <v>225</v>
      </c>
      <c r="E42" s="40" t="s">
        <v>226</v>
      </c>
      <c r="F42" s="39" t="str">
        <f t="shared" si="1"/>
        <v>WRONG</v>
      </c>
      <c r="G42" s="39" t="s">
        <v>37</v>
      </c>
      <c r="H42" s="41" t="s">
        <v>36</v>
      </c>
      <c r="I42" s="42" t="s">
        <v>227</v>
      </c>
      <c r="J42" s="41">
        <v>20282.0</v>
      </c>
    </row>
    <row r="43" ht="60.0" customHeight="1">
      <c r="A43" s="39">
        <v>40.0</v>
      </c>
      <c r="B43" s="40" t="s">
        <v>228</v>
      </c>
      <c r="C43" s="40" t="s">
        <v>229</v>
      </c>
      <c r="D43" s="40" t="s">
        <v>230</v>
      </c>
      <c r="E43" s="40" t="s">
        <v>231</v>
      </c>
      <c r="F43" s="39" t="str">
        <f t="shared" si="1"/>
        <v>WRONG</v>
      </c>
      <c r="G43" s="39" t="s">
        <v>48</v>
      </c>
      <c r="H43" s="43" t="s">
        <v>37</v>
      </c>
      <c r="I43" s="42" t="s">
        <v>281</v>
      </c>
      <c r="J43" s="41">
        <v>35082.0</v>
      </c>
    </row>
    <row r="44" ht="60.0" customHeight="1">
      <c r="A44" s="39">
        <v>41.0</v>
      </c>
      <c r="B44" s="40" t="s">
        <v>233</v>
      </c>
      <c r="C44" s="40" t="s">
        <v>234</v>
      </c>
      <c r="D44" s="40" t="s">
        <v>235</v>
      </c>
      <c r="E44" s="40" t="s">
        <v>236</v>
      </c>
      <c r="F44" s="39" t="str">
        <f t="shared" si="1"/>
        <v>CORRECT</v>
      </c>
      <c r="G44" s="39" t="s">
        <v>37</v>
      </c>
      <c r="H44" s="41" t="s">
        <v>37</v>
      </c>
      <c r="I44" s="42" t="s">
        <v>237</v>
      </c>
      <c r="J44" s="41">
        <v>15466.0</v>
      </c>
    </row>
    <row r="45" ht="60.0" customHeight="1">
      <c r="A45" s="39">
        <v>42.0</v>
      </c>
      <c r="B45" s="40" t="s">
        <v>238</v>
      </c>
      <c r="C45" s="40" t="s">
        <v>239</v>
      </c>
      <c r="D45" s="40" t="s">
        <v>240</v>
      </c>
      <c r="E45" s="40" t="s">
        <v>241</v>
      </c>
      <c r="F45" s="39" t="str">
        <f t="shared" si="1"/>
        <v>WRONG</v>
      </c>
      <c r="G45" s="39" t="s">
        <v>36</v>
      </c>
      <c r="H45" s="41" t="s">
        <v>37</v>
      </c>
      <c r="I45" s="42" t="s">
        <v>242</v>
      </c>
      <c r="J45" s="41">
        <v>26388.0</v>
      </c>
    </row>
    <row r="46" ht="60.0" customHeight="1">
      <c r="A46" s="39">
        <v>43.0</v>
      </c>
      <c r="B46" s="40" t="s">
        <v>243</v>
      </c>
      <c r="C46" s="40" t="s">
        <v>244</v>
      </c>
      <c r="D46" s="40" t="s">
        <v>245</v>
      </c>
      <c r="E46" s="40" t="s">
        <v>246</v>
      </c>
      <c r="F46" s="39" t="str">
        <f t="shared" si="1"/>
        <v>WRONG</v>
      </c>
      <c r="G46" s="39" t="s">
        <v>48</v>
      </c>
      <c r="H46" s="41" t="s">
        <v>36</v>
      </c>
      <c r="I46" s="42" t="s">
        <v>247</v>
      </c>
      <c r="J46" s="41">
        <v>25886.0</v>
      </c>
    </row>
    <row r="47" ht="60.0" customHeight="1">
      <c r="A47" s="39">
        <v>44.0</v>
      </c>
      <c r="B47" s="40" t="s">
        <v>248</v>
      </c>
      <c r="C47" s="40" t="s">
        <v>249</v>
      </c>
      <c r="D47" s="40" t="s">
        <v>250</v>
      </c>
      <c r="E47" s="40" t="s">
        <v>251</v>
      </c>
      <c r="F47" s="39" t="str">
        <f t="shared" si="1"/>
        <v>WRONG</v>
      </c>
      <c r="G47" s="39" t="s">
        <v>36</v>
      </c>
      <c r="H47" s="41" t="s">
        <v>48</v>
      </c>
      <c r="I47" s="42" t="s">
        <v>252</v>
      </c>
      <c r="J47" s="41">
        <v>31596.0</v>
      </c>
    </row>
    <row r="48" ht="60.0" customHeight="1">
      <c r="A48" s="39">
        <v>45.0</v>
      </c>
      <c r="B48" s="40" t="s">
        <v>253</v>
      </c>
      <c r="C48" s="40" t="s">
        <v>254</v>
      </c>
      <c r="D48" s="40" t="s">
        <v>255</v>
      </c>
      <c r="E48" s="40" t="s">
        <v>256</v>
      </c>
      <c r="F48" s="39" t="str">
        <f t="shared" si="1"/>
        <v>CORRECT</v>
      </c>
      <c r="G48" s="39" t="s">
        <v>36</v>
      </c>
      <c r="H48" s="41" t="s">
        <v>36</v>
      </c>
      <c r="I48" s="42" t="s">
        <v>257</v>
      </c>
      <c r="J48" s="41">
        <v>33747.0</v>
      </c>
    </row>
    <row r="49" ht="60.0" customHeight="1">
      <c r="A49" s="39">
        <v>46.0</v>
      </c>
      <c r="B49" s="40" t="s">
        <v>258</v>
      </c>
      <c r="C49" s="40" t="s">
        <v>40</v>
      </c>
      <c r="D49" s="40" t="s">
        <v>259</v>
      </c>
      <c r="E49" s="40" t="s">
        <v>260</v>
      </c>
      <c r="F49" s="39" t="str">
        <f t="shared" si="1"/>
        <v>CORRECT</v>
      </c>
      <c r="G49" s="39" t="s">
        <v>36</v>
      </c>
      <c r="H49" s="41" t="s">
        <v>36</v>
      </c>
      <c r="I49" s="42" t="s">
        <v>261</v>
      </c>
      <c r="J49" s="41">
        <v>23992.0</v>
      </c>
    </row>
    <row r="50">
      <c r="A50" s="44" t="s">
        <v>262</v>
      </c>
      <c r="B50" s="2"/>
      <c r="C50" s="2"/>
      <c r="D50" s="2"/>
      <c r="E50" s="3"/>
      <c r="F50" s="45">
        <f>COUNTIFS(F4:F49,"CORRECT")</f>
        <v>23</v>
      </c>
      <c r="G50" s="46"/>
      <c r="H50" s="46"/>
      <c r="J50" s="47">
        <f>AVERAGE(J4:J49)</f>
        <v>29290.52174</v>
      </c>
    </row>
    <row r="51">
      <c r="A51" s="48" t="s">
        <v>263</v>
      </c>
      <c r="B51" s="2"/>
      <c r="C51" s="2"/>
      <c r="D51" s="2"/>
      <c r="E51" s="3"/>
      <c r="F51" s="49">
        <v>46.0</v>
      </c>
      <c r="G51" s="46"/>
      <c r="H51" s="46"/>
    </row>
    <row r="52">
      <c r="A52" s="44" t="s">
        <v>264</v>
      </c>
      <c r="B52" s="2"/>
      <c r="C52" s="2"/>
      <c r="D52" s="2"/>
      <c r="E52" s="3"/>
      <c r="F52" s="50">
        <f>F50/F51</f>
        <v>0.5</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282</v>
      </c>
      <c r="C2" s="2"/>
      <c r="D2" s="2"/>
      <c r="E2" s="2"/>
      <c r="F2" s="2"/>
      <c r="G2" s="2"/>
      <c r="H2" s="3"/>
      <c r="I2" s="37" t="s">
        <v>283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20548.0</v>
      </c>
    </row>
    <row r="5" ht="60.0" customHeight="1">
      <c r="A5" s="39">
        <v>2.0</v>
      </c>
      <c r="B5" s="40" t="s">
        <v>39</v>
      </c>
      <c r="C5" s="40" t="s">
        <v>40</v>
      </c>
      <c r="D5" s="40" t="s">
        <v>41</v>
      </c>
      <c r="E5" s="40" t="s">
        <v>42</v>
      </c>
      <c r="F5" s="39" t="str">
        <f t="shared" si="1"/>
        <v>CORRECT</v>
      </c>
      <c r="G5" s="39" t="s">
        <v>37</v>
      </c>
      <c r="H5" s="41" t="s">
        <v>37</v>
      </c>
      <c r="I5" s="42" t="s">
        <v>284</v>
      </c>
      <c r="J5" s="41">
        <v>41504.0</v>
      </c>
    </row>
    <row r="6" ht="60.0" customHeight="1">
      <c r="A6" s="39">
        <v>3.0</v>
      </c>
      <c r="B6" s="40" t="s">
        <v>44</v>
      </c>
      <c r="C6" s="40" t="s">
        <v>45</v>
      </c>
      <c r="D6" s="40" t="s">
        <v>46</v>
      </c>
      <c r="E6" s="40" t="s">
        <v>47</v>
      </c>
      <c r="F6" s="39" t="str">
        <f t="shared" si="1"/>
        <v>CORRECT</v>
      </c>
      <c r="G6" s="39" t="s">
        <v>48</v>
      </c>
      <c r="H6" s="41" t="s">
        <v>48</v>
      </c>
      <c r="I6" s="42" t="s">
        <v>268</v>
      </c>
      <c r="J6" s="41">
        <v>27436.0</v>
      </c>
    </row>
    <row r="7" ht="60.0" customHeight="1">
      <c r="A7" s="39">
        <v>4.0</v>
      </c>
      <c r="B7" s="40" t="s">
        <v>50</v>
      </c>
      <c r="C7" s="40" t="s">
        <v>51</v>
      </c>
      <c r="D7" s="40" t="s">
        <v>52</v>
      </c>
      <c r="E7" s="40" t="s">
        <v>53</v>
      </c>
      <c r="F7" s="39" t="str">
        <f t="shared" si="1"/>
        <v>WRONG</v>
      </c>
      <c r="G7" s="39" t="s">
        <v>37</v>
      </c>
      <c r="H7" s="41" t="s">
        <v>48</v>
      </c>
      <c r="I7" s="42" t="s">
        <v>269</v>
      </c>
      <c r="J7" s="41">
        <v>24747.0</v>
      </c>
    </row>
    <row r="8" ht="60.0" customHeight="1">
      <c r="A8" s="39">
        <v>5.0</v>
      </c>
      <c r="B8" s="40" t="s">
        <v>55</v>
      </c>
      <c r="C8" s="40" t="s">
        <v>56</v>
      </c>
      <c r="D8" s="40" t="s">
        <v>57</v>
      </c>
      <c r="E8" s="40" t="s">
        <v>58</v>
      </c>
      <c r="F8" s="39" t="str">
        <f t="shared" si="1"/>
        <v>CORRECT</v>
      </c>
      <c r="G8" s="39" t="s">
        <v>48</v>
      </c>
      <c r="H8" s="41" t="s">
        <v>48</v>
      </c>
      <c r="I8" s="42" t="s">
        <v>285</v>
      </c>
      <c r="J8" s="41">
        <v>67495.0</v>
      </c>
    </row>
    <row r="9" ht="60.0" customHeight="1">
      <c r="A9" s="39">
        <v>6.0</v>
      </c>
      <c r="B9" s="40" t="s">
        <v>60</v>
      </c>
      <c r="C9" s="40" t="s">
        <v>61</v>
      </c>
      <c r="D9" s="40" t="s">
        <v>62</v>
      </c>
      <c r="E9" s="40" t="s">
        <v>63</v>
      </c>
      <c r="F9" s="39" t="str">
        <f t="shared" si="1"/>
        <v>CORRECT</v>
      </c>
      <c r="G9" s="39" t="s">
        <v>37</v>
      </c>
      <c r="H9" s="41" t="s">
        <v>37</v>
      </c>
      <c r="I9" s="42" t="s">
        <v>271</v>
      </c>
      <c r="J9" s="41">
        <v>22458.0</v>
      </c>
    </row>
    <row r="10" ht="60.0" customHeight="1">
      <c r="A10" s="39">
        <v>7.0</v>
      </c>
      <c r="B10" s="40" t="s">
        <v>65</v>
      </c>
      <c r="C10" s="40" t="s">
        <v>66</v>
      </c>
      <c r="D10" s="40" t="s">
        <v>67</v>
      </c>
      <c r="E10" s="40" t="s">
        <v>68</v>
      </c>
      <c r="F10" s="39" t="str">
        <f t="shared" si="1"/>
        <v>WRONG</v>
      </c>
      <c r="G10" s="39" t="s">
        <v>37</v>
      </c>
      <c r="H10" s="41" t="s">
        <v>36</v>
      </c>
      <c r="I10" s="42" t="s">
        <v>286</v>
      </c>
      <c r="J10" s="41">
        <v>28653.0</v>
      </c>
    </row>
    <row r="11" ht="60.0" customHeight="1">
      <c r="A11" s="39">
        <v>8.0</v>
      </c>
      <c r="B11" s="40" t="s">
        <v>70</v>
      </c>
      <c r="C11" s="40" t="s">
        <v>71</v>
      </c>
      <c r="D11" s="40" t="s">
        <v>72</v>
      </c>
      <c r="E11" s="40" t="s">
        <v>73</v>
      </c>
      <c r="F11" s="39" t="str">
        <f t="shared" si="1"/>
        <v>WRONG</v>
      </c>
      <c r="G11" s="39" t="s">
        <v>48</v>
      </c>
      <c r="H11" s="41" t="s">
        <v>37</v>
      </c>
      <c r="I11" s="42" t="s">
        <v>287</v>
      </c>
      <c r="J11" s="41">
        <v>31792.0</v>
      </c>
    </row>
    <row r="12" ht="60.0" customHeight="1">
      <c r="A12" s="39">
        <v>9.0</v>
      </c>
      <c r="B12" s="40" t="s">
        <v>75</v>
      </c>
      <c r="C12" s="40" t="s">
        <v>76</v>
      </c>
      <c r="D12" s="40" t="s">
        <v>77</v>
      </c>
      <c r="E12" s="40" t="s">
        <v>78</v>
      </c>
      <c r="F12" s="39" t="str">
        <f t="shared" si="1"/>
        <v>WRONG</v>
      </c>
      <c r="G12" s="39" t="s">
        <v>37</v>
      </c>
      <c r="H12" s="41" t="s">
        <v>48</v>
      </c>
      <c r="I12" s="42" t="s">
        <v>79</v>
      </c>
      <c r="J12" s="41">
        <v>28181.0</v>
      </c>
    </row>
    <row r="13" ht="60.0" customHeight="1">
      <c r="A13" s="39">
        <v>10.0</v>
      </c>
      <c r="B13" s="40" t="s">
        <v>80</v>
      </c>
      <c r="C13" s="40" t="s">
        <v>81</v>
      </c>
      <c r="D13" s="40" t="s">
        <v>82</v>
      </c>
      <c r="E13" s="40" t="s">
        <v>83</v>
      </c>
      <c r="F13" s="39" t="str">
        <f t="shared" si="1"/>
        <v>CORRECT</v>
      </c>
      <c r="G13" s="39" t="s">
        <v>48</v>
      </c>
      <c r="H13" s="43" t="s">
        <v>48</v>
      </c>
      <c r="I13" s="42" t="s">
        <v>288</v>
      </c>
      <c r="J13" s="41">
        <v>37643.0</v>
      </c>
    </row>
    <row r="14" ht="60.0" customHeight="1">
      <c r="A14" s="39">
        <v>11.0</v>
      </c>
      <c r="B14" s="40" t="s">
        <v>85</v>
      </c>
      <c r="C14" s="40" t="s">
        <v>86</v>
      </c>
      <c r="D14" s="40" t="s">
        <v>87</v>
      </c>
      <c r="E14" s="40" t="s">
        <v>88</v>
      </c>
      <c r="F14" s="39" t="str">
        <f t="shared" si="1"/>
        <v>WRONG</v>
      </c>
      <c r="G14" s="39" t="s">
        <v>37</v>
      </c>
      <c r="H14" s="41" t="s">
        <v>48</v>
      </c>
      <c r="I14" s="42" t="s">
        <v>289</v>
      </c>
      <c r="J14" s="41">
        <v>35680.0</v>
      </c>
    </row>
    <row r="15" ht="60.0" customHeight="1">
      <c r="A15" s="39">
        <v>12.0</v>
      </c>
      <c r="B15" s="40" t="s">
        <v>90</v>
      </c>
      <c r="C15" s="40" t="s">
        <v>91</v>
      </c>
      <c r="D15" s="40" t="s">
        <v>92</v>
      </c>
      <c r="E15" s="40" t="s">
        <v>93</v>
      </c>
      <c r="F15" s="39" t="str">
        <f t="shared" si="1"/>
        <v>CORRECT</v>
      </c>
      <c r="G15" s="39" t="s">
        <v>48</v>
      </c>
      <c r="H15" s="41" t="s">
        <v>48</v>
      </c>
      <c r="I15" s="42" t="s">
        <v>290</v>
      </c>
      <c r="J15" s="41">
        <v>32849.0</v>
      </c>
    </row>
    <row r="16" ht="60.0" customHeight="1">
      <c r="A16" s="39">
        <v>13.0</v>
      </c>
      <c r="B16" s="40" t="s">
        <v>95</v>
      </c>
      <c r="C16" s="40" t="s">
        <v>96</v>
      </c>
      <c r="D16" s="40" t="s">
        <v>97</v>
      </c>
      <c r="E16" s="40" t="s">
        <v>98</v>
      </c>
      <c r="F16" s="39" t="str">
        <f t="shared" si="1"/>
        <v>CORRECT</v>
      </c>
      <c r="G16" s="39" t="s">
        <v>36</v>
      </c>
      <c r="H16" s="41" t="s">
        <v>36</v>
      </c>
      <c r="I16" s="42" t="s">
        <v>99</v>
      </c>
      <c r="J16" s="41">
        <v>18590.0</v>
      </c>
    </row>
    <row r="17" ht="60.0" customHeight="1">
      <c r="A17" s="39">
        <v>14.0</v>
      </c>
      <c r="B17" s="40" t="s">
        <v>100</v>
      </c>
      <c r="C17" s="40" t="s">
        <v>101</v>
      </c>
      <c r="D17" s="40" t="s">
        <v>102</v>
      </c>
      <c r="E17" s="40" t="s">
        <v>103</v>
      </c>
      <c r="F17" s="39" t="str">
        <f t="shared" si="1"/>
        <v>WRONG</v>
      </c>
      <c r="G17" s="39" t="s">
        <v>36</v>
      </c>
      <c r="H17" s="41" t="s">
        <v>48</v>
      </c>
      <c r="I17" s="42" t="s">
        <v>104</v>
      </c>
      <c r="J17" s="41">
        <v>34146.0</v>
      </c>
    </row>
    <row r="18" ht="60.0" customHeight="1">
      <c r="A18" s="39">
        <v>15.0</v>
      </c>
      <c r="B18" s="40" t="s">
        <v>105</v>
      </c>
      <c r="C18" s="40" t="s">
        <v>106</v>
      </c>
      <c r="D18" s="40" t="s">
        <v>107</v>
      </c>
      <c r="E18" s="40" t="s">
        <v>108</v>
      </c>
      <c r="F18" s="39" t="str">
        <f t="shared" si="1"/>
        <v>CORRECT</v>
      </c>
      <c r="G18" s="39" t="s">
        <v>48</v>
      </c>
      <c r="H18" s="41" t="s">
        <v>48</v>
      </c>
      <c r="I18" s="42" t="s">
        <v>291</v>
      </c>
      <c r="J18" s="41">
        <v>39043.0</v>
      </c>
    </row>
    <row r="19" ht="60.0" customHeight="1">
      <c r="A19" s="39">
        <v>16.0</v>
      </c>
      <c r="B19" s="40" t="s">
        <v>110</v>
      </c>
      <c r="C19" s="40" t="s">
        <v>111</v>
      </c>
      <c r="D19" s="40" t="s">
        <v>112</v>
      </c>
      <c r="E19" s="40" t="s">
        <v>113</v>
      </c>
      <c r="F19" s="39" t="str">
        <f t="shared" si="1"/>
        <v>CORRECT</v>
      </c>
      <c r="G19" s="39" t="s">
        <v>48</v>
      </c>
      <c r="H19" s="41" t="s">
        <v>48</v>
      </c>
      <c r="I19" s="42" t="s">
        <v>292</v>
      </c>
      <c r="J19" s="41">
        <v>26786.0</v>
      </c>
    </row>
    <row r="20" ht="60.0" customHeight="1">
      <c r="A20" s="39">
        <v>17.0</v>
      </c>
      <c r="B20" s="40" t="s">
        <v>115</v>
      </c>
      <c r="C20" s="40" t="s">
        <v>116</v>
      </c>
      <c r="D20" s="40" t="s">
        <v>117</v>
      </c>
      <c r="E20" s="40" t="s">
        <v>118</v>
      </c>
      <c r="F20" s="39" t="str">
        <f t="shared" si="1"/>
        <v>WRONG</v>
      </c>
      <c r="G20" s="39" t="s">
        <v>37</v>
      </c>
      <c r="H20" s="41" t="s">
        <v>36</v>
      </c>
      <c r="I20" s="42" t="s">
        <v>119</v>
      </c>
      <c r="J20" s="41">
        <v>23049.0</v>
      </c>
    </row>
    <row r="21" ht="60.0" customHeight="1">
      <c r="A21" s="39">
        <v>18.0</v>
      </c>
      <c r="B21" s="40" t="s">
        <v>120</v>
      </c>
      <c r="C21" s="40" t="s">
        <v>121</v>
      </c>
      <c r="D21" s="40" t="s">
        <v>122</v>
      </c>
      <c r="E21" s="40" t="s">
        <v>123</v>
      </c>
      <c r="F21" s="39" t="str">
        <f t="shared" si="1"/>
        <v>CORRECT</v>
      </c>
      <c r="G21" s="39" t="s">
        <v>37</v>
      </c>
      <c r="H21" s="41" t="s">
        <v>37</v>
      </c>
      <c r="I21" s="42" t="s">
        <v>293</v>
      </c>
      <c r="J21" s="41">
        <v>25547.0</v>
      </c>
    </row>
    <row r="22" ht="60.0" customHeight="1">
      <c r="A22" s="39">
        <v>19.0</v>
      </c>
      <c r="B22" s="40" t="s">
        <v>125</v>
      </c>
      <c r="C22" s="40" t="s">
        <v>126</v>
      </c>
      <c r="D22" s="40" t="s">
        <v>127</v>
      </c>
      <c r="E22" s="40" t="s">
        <v>128</v>
      </c>
      <c r="F22" s="39" t="str">
        <f t="shared" si="1"/>
        <v>WRONG</v>
      </c>
      <c r="G22" s="39" t="s">
        <v>36</v>
      </c>
      <c r="H22" s="41" t="s">
        <v>48</v>
      </c>
      <c r="I22" s="42" t="s">
        <v>129</v>
      </c>
      <c r="J22" s="41">
        <v>24082.0</v>
      </c>
    </row>
    <row r="23" ht="60.0" customHeight="1">
      <c r="A23" s="39">
        <v>20.0</v>
      </c>
      <c r="B23" s="40" t="s">
        <v>130</v>
      </c>
      <c r="C23" s="40" t="s">
        <v>131</v>
      </c>
      <c r="D23" s="40" t="s">
        <v>132</v>
      </c>
      <c r="E23" s="40" t="s">
        <v>133</v>
      </c>
      <c r="F23" s="39" t="str">
        <f t="shared" si="1"/>
        <v>WRONG</v>
      </c>
      <c r="G23" s="39" t="s">
        <v>37</v>
      </c>
      <c r="H23" s="41" t="s">
        <v>36</v>
      </c>
      <c r="I23" s="42" t="s">
        <v>134</v>
      </c>
      <c r="J23" s="41">
        <v>22173.0</v>
      </c>
    </row>
    <row r="24" ht="60.0" customHeight="1">
      <c r="A24" s="39">
        <v>21.0</v>
      </c>
      <c r="B24" s="40" t="s">
        <v>135</v>
      </c>
      <c r="C24" s="40" t="s">
        <v>136</v>
      </c>
      <c r="D24" s="40" t="s">
        <v>137</v>
      </c>
      <c r="E24" s="40" t="s">
        <v>138</v>
      </c>
      <c r="F24" s="39" t="str">
        <f t="shared" si="1"/>
        <v>WRONG</v>
      </c>
      <c r="G24" s="39" t="s">
        <v>37</v>
      </c>
      <c r="H24" s="41" t="s">
        <v>36</v>
      </c>
      <c r="I24" s="42" t="s">
        <v>139</v>
      </c>
      <c r="J24" s="41">
        <v>21931.0</v>
      </c>
    </row>
    <row r="25" ht="60.0" customHeight="1">
      <c r="A25" s="39">
        <v>22.0</v>
      </c>
      <c r="B25" s="40" t="s">
        <v>140</v>
      </c>
      <c r="C25" s="40" t="s">
        <v>141</v>
      </c>
      <c r="D25" s="40" t="s">
        <v>142</v>
      </c>
      <c r="E25" s="40" t="s">
        <v>143</v>
      </c>
      <c r="F25" s="39" t="str">
        <f t="shared" si="1"/>
        <v>CORRECT</v>
      </c>
      <c r="G25" s="39" t="s">
        <v>37</v>
      </c>
      <c r="H25" s="41" t="s">
        <v>37</v>
      </c>
      <c r="I25" s="42" t="s">
        <v>294</v>
      </c>
      <c r="J25" s="41">
        <v>21959.0</v>
      </c>
    </row>
    <row r="26" ht="60.0" customHeight="1">
      <c r="A26" s="39">
        <v>23.0</v>
      </c>
      <c r="B26" s="40" t="s">
        <v>145</v>
      </c>
      <c r="C26" s="40" t="s">
        <v>146</v>
      </c>
      <c r="D26" s="40" t="s">
        <v>147</v>
      </c>
      <c r="E26" s="40" t="s">
        <v>148</v>
      </c>
      <c r="F26" s="39" t="str">
        <f t="shared" si="1"/>
        <v>CORRECT</v>
      </c>
      <c r="G26" s="39" t="s">
        <v>48</v>
      </c>
      <c r="H26" s="41" t="s">
        <v>48</v>
      </c>
      <c r="I26" s="42" t="s">
        <v>295</v>
      </c>
      <c r="J26" s="41">
        <v>21577.0</v>
      </c>
    </row>
    <row r="27" ht="60.0" customHeight="1">
      <c r="A27" s="39">
        <v>24.0</v>
      </c>
      <c r="B27" s="40" t="s">
        <v>150</v>
      </c>
      <c r="C27" s="40" t="s">
        <v>151</v>
      </c>
      <c r="D27" s="40" t="s">
        <v>152</v>
      </c>
      <c r="E27" s="40" t="s">
        <v>153</v>
      </c>
      <c r="F27" s="39" t="str">
        <f t="shared" si="1"/>
        <v>WRONG</v>
      </c>
      <c r="G27" s="39" t="s">
        <v>36</v>
      </c>
      <c r="H27" s="41" t="s">
        <v>48</v>
      </c>
      <c r="I27" s="42" t="s">
        <v>154</v>
      </c>
      <c r="J27" s="41">
        <v>28632.0</v>
      </c>
    </row>
    <row r="28" ht="60.0" customHeight="1">
      <c r="A28" s="39">
        <v>25.0</v>
      </c>
      <c r="B28" s="40" t="s">
        <v>155</v>
      </c>
      <c r="C28" s="40" t="s">
        <v>151</v>
      </c>
      <c r="D28" s="40" t="s">
        <v>156</v>
      </c>
      <c r="E28" s="40" t="s">
        <v>153</v>
      </c>
      <c r="F28" s="39" t="str">
        <f t="shared" si="1"/>
        <v>WRONG</v>
      </c>
      <c r="G28" s="39" t="s">
        <v>48</v>
      </c>
      <c r="H28" s="41" t="s">
        <v>36</v>
      </c>
      <c r="I28" s="42" t="s">
        <v>296</v>
      </c>
      <c r="J28" s="41">
        <v>20534.0</v>
      </c>
    </row>
    <row r="29" ht="60.0" customHeight="1">
      <c r="A29" s="39">
        <v>26.0</v>
      </c>
      <c r="B29" s="40" t="s">
        <v>158</v>
      </c>
      <c r="C29" s="40" t="s">
        <v>159</v>
      </c>
      <c r="D29" s="40" t="s">
        <v>160</v>
      </c>
      <c r="E29" s="40" t="s">
        <v>161</v>
      </c>
      <c r="F29" s="39" t="str">
        <f t="shared" si="1"/>
        <v>WRONG</v>
      </c>
      <c r="G29" s="39" t="s">
        <v>36</v>
      </c>
      <c r="H29" s="43" t="s">
        <v>37</v>
      </c>
      <c r="I29" s="42" t="s">
        <v>162</v>
      </c>
      <c r="J29" s="41">
        <v>20704.0</v>
      </c>
    </row>
    <row r="30" ht="60.0" customHeight="1">
      <c r="A30" s="39">
        <v>27.0</v>
      </c>
      <c r="B30" s="40" t="s">
        <v>163</v>
      </c>
      <c r="C30" s="40" t="s">
        <v>164</v>
      </c>
      <c r="D30" s="40" t="s">
        <v>165</v>
      </c>
      <c r="E30" s="40" t="s">
        <v>166</v>
      </c>
      <c r="F30" s="39" t="str">
        <f t="shared" si="1"/>
        <v>CORRECT</v>
      </c>
      <c r="G30" s="39" t="s">
        <v>37</v>
      </c>
      <c r="H30" s="41" t="s">
        <v>37</v>
      </c>
      <c r="I30" s="42" t="s">
        <v>167</v>
      </c>
      <c r="J30" s="41">
        <v>30998.0</v>
      </c>
    </row>
    <row r="31" ht="60.0" customHeight="1">
      <c r="A31" s="39">
        <v>28.0</v>
      </c>
      <c r="B31" s="40" t="s">
        <v>168</v>
      </c>
      <c r="C31" s="40" t="s">
        <v>169</v>
      </c>
      <c r="D31" s="40" t="s">
        <v>170</v>
      </c>
      <c r="E31" s="40" t="s">
        <v>171</v>
      </c>
      <c r="F31" s="39" t="str">
        <f t="shared" si="1"/>
        <v>CORRECT</v>
      </c>
      <c r="G31" s="39" t="s">
        <v>36</v>
      </c>
      <c r="H31" s="41" t="s">
        <v>36</v>
      </c>
      <c r="I31" s="42" t="s">
        <v>172</v>
      </c>
      <c r="J31" s="41">
        <v>21484.0</v>
      </c>
    </row>
    <row r="32" ht="60.0" customHeight="1">
      <c r="A32" s="39">
        <v>29.0</v>
      </c>
      <c r="B32" s="40" t="s">
        <v>173</v>
      </c>
      <c r="C32" s="40" t="s">
        <v>174</v>
      </c>
      <c r="D32" s="40" t="s">
        <v>175</v>
      </c>
      <c r="E32" s="40" t="s">
        <v>176</v>
      </c>
      <c r="F32" s="39" t="str">
        <f t="shared" si="1"/>
        <v>CORRECT</v>
      </c>
      <c r="G32" s="39" t="s">
        <v>37</v>
      </c>
      <c r="H32" s="41" t="s">
        <v>37</v>
      </c>
      <c r="I32" s="42" t="s">
        <v>177</v>
      </c>
      <c r="J32" s="41">
        <v>28883.0</v>
      </c>
    </row>
    <row r="33" ht="60.0" customHeight="1">
      <c r="A33" s="39">
        <v>30.0</v>
      </c>
      <c r="B33" s="40" t="s">
        <v>178</v>
      </c>
      <c r="C33" s="40" t="s">
        <v>179</v>
      </c>
      <c r="D33" s="40" t="s">
        <v>180</v>
      </c>
      <c r="E33" s="40" t="s">
        <v>181</v>
      </c>
      <c r="F33" s="39" t="str">
        <f t="shared" si="1"/>
        <v>WRONG</v>
      </c>
      <c r="G33" s="39" t="s">
        <v>48</v>
      </c>
      <c r="H33" s="41" t="s">
        <v>36</v>
      </c>
      <c r="I33" s="42" t="s">
        <v>182</v>
      </c>
      <c r="J33" s="41">
        <v>26071.0</v>
      </c>
    </row>
    <row r="34" ht="60.0" customHeight="1">
      <c r="A34" s="39">
        <v>31.0</v>
      </c>
      <c r="B34" s="40" t="s">
        <v>183</v>
      </c>
      <c r="C34" s="40" t="s">
        <v>184</v>
      </c>
      <c r="D34" s="40" t="s">
        <v>185</v>
      </c>
      <c r="E34" s="40" t="s">
        <v>186</v>
      </c>
      <c r="F34" s="39" t="str">
        <f t="shared" si="1"/>
        <v>WRONG</v>
      </c>
      <c r="G34" s="39" t="s">
        <v>37</v>
      </c>
      <c r="H34" s="41" t="s">
        <v>36</v>
      </c>
      <c r="I34" s="42" t="s">
        <v>297</v>
      </c>
      <c r="J34" s="41">
        <v>34059.0</v>
      </c>
    </row>
    <row r="35" ht="60.0" customHeight="1">
      <c r="A35" s="39">
        <v>32.0</v>
      </c>
      <c r="B35" s="40" t="s">
        <v>188</v>
      </c>
      <c r="C35" s="40" t="s">
        <v>189</v>
      </c>
      <c r="D35" s="40" t="s">
        <v>190</v>
      </c>
      <c r="E35" s="40" t="s">
        <v>191</v>
      </c>
      <c r="F35" s="39" t="str">
        <f t="shared" si="1"/>
        <v>WRONG</v>
      </c>
      <c r="G35" s="39" t="s">
        <v>36</v>
      </c>
      <c r="H35" s="43" t="s">
        <v>48</v>
      </c>
      <c r="I35" s="42" t="s">
        <v>298</v>
      </c>
      <c r="J35" s="41">
        <v>56484.0</v>
      </c>
    </row>
    <row r="36" ht="60.0" customHeight="1">
      <c r="A36" s="39">
        <v>33.0</v>
      </c>
      <c r="B36" s="40" t="s">
        <v>193</v>
      </c>
      <c r="C36" s="40" t="s">
        <v>194</v>
      </c>
      <c r="D36" s="40" t="s">
        <v>195</v>
      </c>
      <c r="E36" s="40" t="s">
        <v>196</v>
      </c>
      <c r="F36" s="39" t="str">
        <f t="shared" si="1"/>
        <v>CORRECT</v>
      </c>
      <c r="G36" s="39" t="s">
        <v>48</v>
      </c>
      <c r="H36" s="43" t="s">
        <v>48</v>
      </c>
      <c r="I36" s="42" t="s">
        <v>299</v>
      </c>
      <c r="J36" s="41">
        <v>45081.0</v>
      </c>
    </row>
    <row r="37" ht="60.0" customHeight="1">
      <c r="A37" s="39">
        <v>34.0</v>
      </c>
      <c r="B37" s="40" t="s">
        <v>198</v>
      </c>
      <c r="C37" s="40" t="s">
        <v>199</v>
      </c>
      <c r="D37" s="40" t="s">
        <v>200</v>
      </c>
      <c r="E37" s="40" t="s">
        <v>201</v>
      </c>
      <c r="F37" s="39" t="str">
        <f t="shared" si="1"/>
        <v>CORRECT</v>
      </c>
      <c r="G37" s="39" t="s">
        <v>36</v>
      </c>
      <c r="H37" s="41" t="s">
        <v>36</v>
      </c>
      <c r="I37" s="42" t="s">
        <v>300</v>
      </c>
      <c r="J37" s="41">
        <v>24142.0</v>
      </c>
    </row>
    <row r="38" ht="60.0" customHeight="1">
      <c r="A38" s="39">
        <v>35.0</v>
      </c>
      <c r="B38" s="40" t="s">
        <v>203</v>
      </c>
      <c r="C38" s="40" t="s">
        <v>204</v>
      </c>
      <c r="D38" s="40" t="s">
        <v>205</v>
      </c>
      <c r="E38" s="40" t="s">
        <v>206</v>
      </c>
      <c r="F38" s="39" t="str">
        <f t="shared" si="1"/>
        <v>CORRECT</v>
      </c>
      <c r="G38" s="39" t="s">
        <v>48</v>
      </c>
      <c r="H38" s="41" t="s">
        <v>48</v>
      </c>
      <c r="I38" s="42" t="s">
        <v>301</v>
      </c>
      <c r="J38" s="41">
        <v>28671.0</v>
      </c>
    </row>
    <row r="39" ht="60.0" customHeight="1">
      <c r="A39" s="39">
        <v>36.0</v>
      </c>
      <c r="B39" s="40" t="s">
        <v>208</v>
      </c>
      <c r="C39" s="40" t="s">
        <v>209</v>
      </c>
      <c r="D39" s="40" t="s">
        <v>210</v>
      </c>
      <c r="E39" s="40" t="s">
        <v>211</v>
      </c>
      <c r="F39" s="39" t="str">
        <f t="shared" si="1"/>
        <v>CORRECT</v>
      </c>
      <c r="G39" s="39" t="s">
        <v>36</v>
      </c>
      <c r="H39" s="41" t="s">
        <v>36</v>
      </c>
      <c r="I39" s="42" t="s">
        <v>302</v>
      </c>
      <c r="J39" s="41">
        <v>25487.0</v>
      </c>
    </row>
    <row r="40" ht="60.0" customHeight="1">
      <c r="A40" s="39">
        <v>37.0</v>
      </c>
      <c r="B40" s="40" t="s">
        <v>213</v>
      </c>
      <c r="C40" s="40" t="s">
        <v>214</v>
      </c>
      <c r="D40" s="40" t="s">
        <v>215</v>
      </c>
      <c r="E40" s="40" t="s">
        <v>216</v>
      </c>
      <c r="F40" s="39" t="str">
        <f t="shared" si="1"/>
        <v>WRONG</v>
      </c>
      <c r="G40" s="39" t="s">
        <v>36</v>
      </c>
      <c r="H40" s="41" t="s">
        <v>37</v>
      </c>
      <c r="I40" s="42" t="s">
        <v>217</v>
      </c>
      <c r="J40" s="41">
        <v>21238.0</v>
      </c>
    </row>
    <row r="41" ht="60.0" customHeight="1">
      <c r="A41" s="39">
        <v>38.0</v>
      </c>
      <c r="B41" s="40" t="s">
        <v>218</v>
      </c>
      <c r="C41" s="40" t="s">
        <v>219</v>
      </c>
      <c r="D41" s="40" t="s">
        <v>220</v>
      </c>
      <c r="E41" s="40" t="s">
        <v>221</v>
      </c>
      <c r="F41" s="39" t="str">
        <f t="shared" si="1"/>
        <v>CORRECT</v>
      </c>
      <c r="G41" s="39" t="s">
        <v>36</v>
      </c>
      <c r="H41" s="41" t="s">
        <v>36</v>
      </c>
      <c r="I41" s="42" t="s">
        <v>222</v>
      </c>
      <c r="J41" s="41">
        <v>28403.0</v>
      </c>
    </row>
    <row r="42" ht="60.0" customHeight="1">
      <c r="A42" s="39">
        <v>39.0</v>
      </c>
      <c r="B42" s="40" t="s">
        <v>223</v>
      </c>
      <c r="C42" s="40" t="s">
        <v>224</v>
      </c>
      <c r="D42" s="40" t="s">
        <v>225</v>
      </c>
      <c r="E42" s="40" t="s">
        <v>226</v>
      </c>
      <c r="F42" s="39" t="str">
        <f t="shared" si="1"/>
        <v>WRONG</v>
      </c>
      <c r="G42" s="39" t="s">
        <v>37</v>
      </c>
      <c r="H42" s="41" t="s">
        <v>36</v>
      </c>
      <c r="I42" s="42" t="s">
        <v>227</v>
      </c>
      <c r="J42" s="41">
        <v>20214.0</v>
      </c>
    </row>
    <row r="43" ht="60.0" customHeight="1">
      <c r="A43" s="39">
        <v>40.0</v>
      </c>
      <c r="B43" s="40" t="s">
        <v>228</v>
      </c>
      <c r="C43" s="40" t="s">
        <v>229</v>
      </c>
      <c r="D43" s="40" t="s">
        <v>230</v>
      </c>
      <c r="E43" s="40" t="s">
        <v>231</v>
      </c>
      <c r="F43" s="39" t="str">
        <f t="shared" si="1"/>
        <v>WRONG</v>
      </c>
      <c r="G43" s="39" t="s">
        <v>48</v>
      </c>
      <c r="H43" s="43" t="s">
        <v>37</v>
      </c>
      <c r="I43" s="42" t="s">
        <v>281</v>
      </c>
      <c r="J43" s="41">
        <v>35604.0</v>
      </c>
    </row>
    <row r="44" ht="60.0" customHeight="1">
      <c r="A44" s="39">
        <v>41.0</v>
      </c>
      <c r="B44" s="40" t="s">
        <v>233</v>
      </c>
      <c r="C44" s="40" t="s">
        <v>234</v>
      </c>
      <c r="D44" s="40" t="s">
        <v>235</v>
      </c>
      <c r="E44" s="40" t="s">
        <v>236</v>
      </c>
      <c r="F44" s="39" t="str">
        <f t="shared" si="1"/>
        <v>CORRECT</v>
      </c>
      <c r="G44" s="39" t="s">
        <v>37</v>
      </c>
      <c r="H44" s="41" t="s">
        <v>37</v>
      </c>
      <c r="I44" s="42" t="s">
        <v>303</v>
      </c>
      <c r="J44" s="41">
        <v>17885.0</v>
      </c>
    </row>
    <row r="45" ht="60.0" customHeight="1">
      <c r="A45" s="39">
        <v>42.0</v>
      </c>
      <c r="B45" s="40" t="s">
        <v>238</v>
      </c>
      <c r="C45" s="40" t="s">
        <v>239</v>
      </c>
      <c r="D45" s="40" t="s">
        <v>240</v>
      </c>
      <c r="E45" s="40" t="s">
        <v>241</v>
      </c>
      <c r="F45" s="39" t="str">
        <f t="shared" si="1"/>
        <v>WRONG</v>
      </c>
      <c r="G45" s="39" t="s">
        <v>36</v>
      </c>
      <c r="H45" s="41" t="s">
        <v>37</v>
      </c>
      <c r="I45" s="42" t="s">
        <v>304</v>
      </c>
      <c r="J45" s="41">
        <v>27019.0</v>
      </c>
    </row>
    <row r="46" ht="60.0" customHeight="1">
      <c r="A46" s="39">
        <v>43.0</v>
      </c>
      <c r="B46" s="40" t="s">
        <v>243</v>
      </c>
      <c r="C46" s="40" t="s">
        <v>244</v>
      </c>
      <c r="D46" s="40" t="s">
        <v>245</v>
      </c>
      <c r="E46" s="40" t="s">
        <v>246</v>
      </c>
      <c r="F46" s="39" t="str">
        <f t="shared" si="1"/>
        <v>WRONG</v>
      </c>
      <c r="G46" s="39" t="s">
        <v>48</v>
      </c>
      <c r="H46" s="41" t="s">
        <v>36</v>
      </c>
      <c r="I46" s="42" t="s">
        <v>247</v>
      </c>
      <c r="J46" s="41">
        <v>25782.0</v>
      </c>
    </row>
    <row r="47" ht="60.0" customHeight="1">
      <c r="A47" s="39">
        <v>44.0</v>
      </c>
      <c r="B47" s="40" t="s">
        <v>248</v>
      </c>
      <c r="C47" s="40" t="s">
        <v>249</v>
      </c>
      <c r="D47" s="40" t="s">
        <v>250</v>
      </c>
      <c r="E47" s="40" t="s">
        <v>251</v>
      </c>
      <c r="F47" s="39" t="str">
        <f t="shared" si="1"/>
        <v>WRONG</v>
      </c>
      <c r="G47" s="39" t="s">
        <v>36</v>
      </c>
      <c r="H47" s="41" t="s">
        <v>48</v>
      </c>
      <c r="I47" s="42" t="s">
        <v>305</v>
      </c>
      <c r="J47" s="41">
        <v>33270.0</v>
      </c>
    </row>
    <row r="48" ht="60.0" customHeight="1">
      <c r="A48" s="39">
        <v>45.0</v>
      </c>
      <c r="B48" s="40" t="s">
        <v>253</v>
      </c>
      <c r="C48" s="40" t="s">
        <v>254</v>
      </c>
      <c r="D48" s="40" t="s">
        <v>255</v>
      </c>
      <c r="E48" s="40" t="s">
        <v>256</v>
      </c>
      <c r="F48" s="39" t="str">
        <f t="shared" si="1"/>
        <v>CORRECT</v>
      </c>
      <c r="G48" s="39" t="s">
        <v>36</v>
      </c>
      <c r="H48" s="41" t="s">
        <v>36</v>
      </c>
      <c r="I48" s="42" t="s">
        <v>306</v>
      </c>
      <c r="J48" s="41">
        <v>34441.0</v>
      </c>
    </row>
    <row r="49" ht="60.0" customHeight="1">
      <c r="A49" s="39">
        <v>46.0</v>
      </c>
      <c r="B49" s="40" t="s">
        <v>258</v>
      </c>
      <c r="C49" s="40" t="s">
        <v>40</v>
      </c>
      <c r="D49" s="40" t="s">
        <v>259</v>
      </c>
      <c r="E49" s="40" t="s">
        <v>260</v>
      </c>
      <c r="F49" s="39" t="str">
        <f t="shared" si="1"/>
        <v>CORRECT</v>
      </c>
      <c r="G49" s="39" t="s">
        <v>36</v>
      </c>
      <c r="H49" s="41" t="s">
        <v>36</v>
      </c>
      <c r="I49" s="42" t="s">
        <v>307</v>
      </c>
      <c r="J49" s="41">
        <v>19861.0</v>
      </c>
    </row>
    <row r="50">
      <c r="A50" s="44" t="s">
        <v>262</v>
      </c>
      <c r="B50" s="2"/>
      <c r="C50" s="2"/>
      <c r="D50" s="2"/>
      <c r="E50" s="3"/>
      <c r="F50" s="45">
        <f>COUNTIFS(F4:F49,"CORRECT")</f>
        <v>23</v>
      </c>
      <c r="G50" s="46"/>
      <c r="H50" s="46"/>
      <c r="J50" s="47">
        <f>AVERAGE(J4:J49)</f>
        <v>28974.26087</v>
      </c>
    </row>
    <row r="51">
      <c r="A51" s="48" t="s">
        <v>263</v>
      </c>
      <c r="B51" s="2"/>
      <c r="C51" s="2"/>
      <c r="D51" s="2"/>
      <c r="E51" s="3"/>
      <c r="F51" s="49">
        <v>46.0</v>
      </c>
      <c r="G51" s="46"/>
      <c r="H51" s="46"/>
    </row>
    <row r="52">
      <c r="A52" s="44" t="s">
        <v>264</v>
      </c>
      <c r="B52" s="2"/>
      <c r="C52" s="2"/>
      <c r="D52" s="2"/>
      <c r="E52" s="3"/>
      <c r="F52" s="50">
        <f>F50/F51</f>
        <v>0.5</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308</v>
      </c>
      <c r="C2" s="2"/>
      <c r="D2" s="2"/>
      <c r="E2" s="2"/>
      <c r="F2" s="2"/>
      <c r="G2" s="2"/>
      <c r="H2" s="3"/>
      <c r="I2" s="37" t="s">
        <v>309</v>
      </c>
      <c r="J2" s="3"/>
      <c r="K2" s="34"/>
      <c r="L2" s="34"/>
      <c r="M2" s="34"/>
      <c r="N2" s="52" t="s">
        <v>310</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20524.0</v>
      </c>
    </row>
    <row r="5" ht="60.0" customHeight="1">
      <c r="A5" s="39">
        <v>2.0</v>
      </c>
      <c r="B5" s="40" t="s">
        <v>39</v>
      </c>
      <c r="C5" s="40" t="s">
        <v>40</v>
      </c>
      <c r="D5" s="40" t="s">
        <v>41</v>
      </c>
      <c r="E5" s="40" t="s">
        <v>42</v>
      </c>
      <c r="F5" s="39" t="str">
        <f t="shared" si="1"/>
        <v>CORRECT</v>
      </c>
      <c r="G5" s="39" t="s">
        <v>37</v>
      </c>
      <c r="H5" s="41" t="s">
        <v>37</v>
      </c>
      <c r="I5" s="42" t="s">
        <v>267</v>
      </c>
      <c r="J5" s="41">
        <v>33678.0</v>
      </c>
    </row>
    <row r="6" ht="60.0" customHeight="1">
      <c r="A6" s="39">
        <v>3.0</v>
      </c>
      <c r="B6" s="40" t="s">
        <v>44</v>
      </c>
      <c r="C6" s="40" t="s">
        <v>45</v>
      </c>
      <c r="D6" s="40" t="s">
        <v>46</v>
      </c>
      <c r="E6" s="40" t="s">
        <v>47</v>
      </c>
      <c r="F6" s="39" t="str">
        <f t="shared" si="1"/>
        <v>CORRECT</v>
      </c>
      <c r="G6" s="39" t="s">
        <v>48</v>
      </c>
      <c r="H6" s="41" t="s">
        <v>48</v>
      </c>
      <c r="I6" s="42" t="s">
        <v>268</v>
      </c>
      <c r="J6" s="41">
        <v>28379.0</v>
      </c>
    </row>
    <row r="7" ht="60.0" customHeight="1">
      <c r="A7" s="39">
        <v>4.0</v>
      </c>
      <c r="B7" s="40" t="s">
        <v>50</v>
      </c>
      <c r="C7" s="40" t="s">
        <v>51</v>
      </c>
      <c r="D7" s="40" t="s">
        <v>52</v>
      </c>
      <c r="E7" s="40" t="s">
        <v>53</v>
      </c>
      <c r="F7" s="39" t="str">
        <f t="shared" si="1"/>
        <v>WRONG</v>
      </c>
      <c r="G7" s="39" t="s">
        <v>37</v>
      </c>
      <c r="H7" s="41" t="s">
        <v>48</v>
      </c>
      <c r="I7" s="42" t="s">
        <v>269</v>
      </c>
      <c r="J7" s="41">
        <v>25379.0</v>
      </c>
    </row>
    <row r="8" ht="60.0" customHeight="1">
      <c r="A8" s="39">
        <v>5.0</v>
      </c>
      <c r="B8" s="40" t="s">
        <v>55</v>
      </c>
      <c r="C8" s="40" t="s">
        <v>56</v>
      </c>
      <c r="D8" s="40" t="s">
        <v>57</v>
      </c>
      <c r="E8" s="40" t="s">
        <v>58</v>
      </c>
      <c r="F8" s="39" t="str">
        <f t="shared" si="1"/>
        <v>CORRECT</v>
      </c>
      <c r="G8" s="39" t="s">
        <v>48</v>
      </c>
      <c r="H8" s="41" t="s">
        <v>48</v>
      </c>
      <c r="I8" s="42" t="s">
        <v>270</v>
      </c>
      <c r="J8" s="41">
        <v>71564.0</v>
      </c>
    </row>
    <row r="9" ht="60.0" customHeight="1">
      <c r="A9" s="39">
        <v>6.0</v>
      </c>
      <c r="B9" s="40" t="s">
        <v>60</v>
      </c>
      <c r="C9" s="40" t="s">
        <v>61</v>
      </c>
      <c r="D9" s="40" t="s">
        <v>62</v>
      </c>
      <c r="E9" s="40" t="s">
        <v>63</v>
      </c>
      <c r="F9" s="39" t="str">
        <f t="shared" si="1"/>
        <v>CORRECT</v>
      </c>
      <c r="G9" s="39" t="s">
        <v>37</v>
      </c>
      <c r="H9" s="41" t="s">
        <v>37</v>
      </c>
      <c r="I9" s="42" t="s">
        <v>271</v>
      </c>
      <c r="J9" s="41">
        <v>23330.0</v>
      </c>
    </row>
    <row r="10" ht="60.0" customHeight="1">
      <c r="A10" s="39">
        <v>7.0</v>
      </c>
      <c r="B10" s="40" t="s">
        <v>65</v>
      </c>
      <c r="C10" s="40" t="s">
        <v>66</v>
      </c>
      <c r="D10" s="40" t="s">
        <v>67</v>
      </c>
      <c r="E10" s="40" t="s">
        <v>68</v>
      </c>
      <c r="F10" s="39" t="str">
        <f t="shared" si="1"/>
        <v>WRONG</v>
      </c>
      <c r="G10" s="39" t="s">
        <v>37</v>
      </c>
      <c r="H10" s="41" t="s">
        <v>36</v>
      </c>
      <c r="I10" s="42" t="s">
        <v>272</v>
      </c>
      <c r="J10" s="41">
        <v>33266.0</v>
      </c>
    </row>
    <row r="11" ht="60.0" customHeight="1">
      <c r="A11" s="39">
        <v>8.0</v>
      </c>
      <c r="B11" s="40" t="s">
        <v>70</v>
      </c>
      <c r="C11" s="40" t="s">
        <v>71</v>
      </c>
      <c r="D11" s="40" t="s">
        <v>72</v>
      </c>
      <c r="E11" s="40" t="s">
        <v>73</v>
      </c>
      <c r="F11" s="39" t="str">
        <f t="shared" si="1"/>
        <v>WRONG</v>
      </c>
      <c r="G11" s="39" t="s">
        <v>48</v>
      </c>
      <c r="H11" s="41" t="s">
        <v>37</v>
      </c>
      <c r="I11" s="42" t="s">
        <v>273</v>
      </c>
      <c r="J11" s="41">
        <v>30833.0</v>
      </c>
    </row>
    <row r="12" ht="60.0" customHeight="1">
      <c r="A12" s="39">
        <v>9.0</v>
      </c>
      <c r="B12" s="40" t="s">
        <v>75</v>
      </c>
      <c r="C12" s="40" t="s">
        <v>76</v>
      </c>
      <c r="D12" s="40" t="s">
        <v>77</v>
      </c>
      <c r="E12" s="40" t="s">
        <v>78</v>
      </c>
      <c r="F12" s="39" t="str">
        <f t="shared" si="1"/>
        <v>WRONG</v>
      </c>
      <c r="G12" s="39" t="s">
        <v>37</v>
      </c>
      <c r="H12" s="41" t="s">
        <v>48</v>
      </c>
      <c r="I12" s="42" t="s">
        <v>274</v>
      </c>
      <c r="J12" s="41">
        <v>45860.0</v>
      </c>
    </row>
    <row r="13" ht="60.0" customHeight="1">
      <c r="A13" s="39">
        <v>10.0</v>
      </c>
      <c r="B13" s="40" t="s">
        <v>80</v>
      </c>
      <c r="C13" s="40" t="s">
        <v>81</v>
      </c>
      <c r="D13" s="40" t="s">
        <v>82</v>
      </c>
      <c r="E13" s="40" t="s">
        <v>83</v>
      </c>
      <c r="F13" s="39" t="str">
        <f t="shared" si="1"/>
        <v>CORRECT</v>
      </c>
      <c r="G13" s="39" t="s">
        <v>48</v>
      </c>
      <c r="H13" s="43" t="s">
        <v>48</v>
      </c>
      <c r="I13" s="42" t="s">
        <v>275</v>
      </c>
      <c r="J13" s="41">
        <v>34983.0</v>
      </c>
    </row>
    <row r="14" ht="60.0" customHeight="1">
      <c r="A14" s="39">
        <v>11.0</v>
      </c>
      <c r="B14" s="40" t="s">
        <v>85</v>
      </c>
      <c r="C14" s="40" t="s">
        <v>86</v>
      </c>
      <c r="D14" s="40" t="s">
        <v>87</v>
      </c>
      <c r="E14" s="40" t="s">
        <v>88</v>
      </c>
      <c r="F14" s="39" t="str">
        <f t="shared" si="1"/>
        <v>WRONG</v>
      </c>
      <c r="G14" s="39" t="s">
        <v>37</v>
      </c>
      <c r="H14" s="41" t="s">
        <v>48</v>
      </c>
      <c r="I14" s="42" t="s">
        <v>311</v>
      </c>
      <c r="J14" s="41">
        <v>35616.0</v>
      </c>
    </row>
    <row r="15" ht="60.0" customHeight="1">
      <c r="A15" s="39">
        <v>12.0</v>
      </c>
      <c r="B15" s="40" t="s">
        <v>90</v>
      </c>
      <c r="C15" s="40" t="s">
        <v>91</v>
      </c>
      <c r="D15" s="40" t="s">
        <v>92</v>
      </c>
      <c r="E15" s="40" t="s">
        <v>93</v>
      </c>
      <c r="F15" s="39" t="str">
        <f t="shared" si="1"/>
        <v>CORRECT</v>
      </c>
      <c r="G15" s="39" t="s">
        <v>48</v>
      </c>
      <c r="H15" s="41" t="s">
        <v>48</v>
      </c>
      <c r="I15" s="42" t="s">
        <v>94</v>
      </c>
      <c r="J15" s="41">
        <v>34908.0</v>
      </c>
    </row>
    <row r="16" ht="60.0" customHeight="1">
      <c r="A16" s="39">
        <v>13.0</v>
      </c>
      <c r="B16" s="40" t="s">
        <v>95</v>
      </c>
      <c r="C16" s="40" t="s">
        <v>96</v>
      </c>
      <c r="D16" s="40" t="s">
        <v>97</v>
      </c>
      <c r="E16" s="40" t="s">
        <v>98</v>
      </c>
      <c r="F16" s="39" t="str">
        <f t="shared" si="1"/>
        <v>CORRECT</v>
      </c>
      <c r="G16" s="39" t="s">
        <v>36</v>
      </c>
      <c r="H16" s="41" t="s">
        <v>36</v>
      </c>
      <c r="I16" s="42" t="s">
        <v>276</v>
      </c>
      <c r="J16" s="41">
        <v>18001.0</v>
      </c>
    </row>
    <row r="17" ht="60.0" customHeight="1">
      <c r="A17" s="39">
        <v>14.0</v>
      </c>
      <c r="B17" s="40" t="s">
        <v>100</v>
      </c>
      <c r="C17" s="40" t="s">
        <v>101</v>
      </c>
      <c r="D17" s="40" t="s">
        <v>102</v>
      </c>
      <c r="E17" s="40" t="s">
        <v>103</v>
      </c>
      <c r="F17" s="39" t="str">
        <f t="shared" si="1"/>
        <v>WRONG</v>
      </c>
      <c r="G17" s="39" t="s">
        <v>36</v>
      </c>
      <c r="H17" s="41" t="s">
        <v>48</v>
      </c>
      <c r="I17" s="42" t="s">
        <v>104</v>
      </c>
      <c r="J17" s="41">
        <v>32102.0</v>
      </c>
    </row>
    <row r="18" ht="60.0" customHeight="1">
      <c r="A18" s="39">
        <v>15.0</v>
      </c>
      <c r="B18" s="40" t="s">
        <v>105</v>
      </c>
      <c r="C18" s="40" t="s">
        <v>106</v>
      </c>
      <c r="D18" s="40" t="s">
        <v>107</v>
      </c>
      <c r="E18" s="40" t="s">
        <v>108</v>
      </c>
      <c r="F18" s="39" t="str">
        <f t="shared" si="1"/>
        <v>CORRECT</v>
      </c>
      <c r="G18" s="39" t="s">
        <v>48</v>
      </c>
      <c r="H18" s="41" t="s">
        <v>48</v>
      </c>
      <c r="I18" s="42" t="s">
        <v>109</v>
      </c>
      <c r="J18" s="41">
        <v>38248.0</v>
      </c>
    </row>
    <row r="19" ht="60.0" customHeight="1">
      <c r="A19" s="39">
        <v>16.0</v>
      </c>
      <c r="B19" s="40" t="s">
        <v>110</v>
      </c>
      <c r="C19" s="40" t="s">
        <v>111</v>
      </c>
      <c r="D19" s="40" t="s">
        <v>112</v>
      </c>
      <c r="E19" s="40" t="s">
        <v>113</v>
      </c>
      <c r="F19" s="39" t="str">
        <f t="shared" si="1"/>
        <v>CORRECT</v>
      </c>
      <c r="G19" s="39" t="s">
        <v>48</v>
      </c>
      <c r="H19" s="41" t="s">
        <v>48</v>
      </c>
      <c r="I19" s="42" t="s">
        <v>277</v>
      </c>
      <c r="J19" s="41">
        <v>29371.0</v>
      </c>
    </row>
    <row r="20" ht="60.0" customHeight="1">
      <c r="A20" s="39">
        <v>17.0</v>
      </c>
      <c r="B20" s="40" t="s">
        <v>115</v>
      </c>
      <c r="C20" s="40" t="s">
        <v>116</v>
      </c>
      <c r="D20" s="40" t="s">
        <v>117</v>
      </c>
      <c r="E20" s="40" t="s">
        <v>118</v>
      </c>
      <c r="F20" s="39" t="str">
        <f t="shared" si="1"/>
        <v>WRONG</v>
      </c>
      <c r="G20" s="39" t="s">
        <v>37</v>
      </c>
      <c r="H20" s="41" t="s">
        <v>36</v>
      </c>
      <c r="I20" s="42" t="s">
        <v>119</v>
      </c>
      <c r="J20" s="41">
        <v>23099.0</v>
      </c>
    </row>
    <row r="21" ht="60.0" customHeight="1">
      <c r="A21" s="39">
        <v>18.0</v>
      </c>
      <c r="B21" s="40" t="s">
        <v>120</v>
      </c>
      <c r="C21" s="40" t="s">
        <v>121</v>
      </c>
      <c r="D21" s="40" t="s">
        <v>122</v>
      </c>
      <c r="E21" s="40" t="s">
        <v>123</v>
      </c>
      <c r="F21" s="39" t="str">
        <f t="shared" si="1"/>
        <v>CORRECT</v>
      </c>
      <c r="G21" s="39" t="s">
        <v>37</v>
      </c>
      <c r="H21" s="41" t="s">
        <v>37</v>
      </c>
      <c r="I21" s="42" t="s">
        <v>124</v>
      </c>
      <c r="J21" s="41">
        <v>21714.0</v>
      </c>
    </row>
    <row r="22" ht="60.0" customHeight="1">
      <c r="A22" s="39">
        <v>19.0</v>
      </c>
      <c r="B22" s="40" t="s">
        <v>125</v>
      </c>
      <c r="C22" s="40" t="s">
        <v>126</v>
      </c>
      <c r="D22" s="40" t="s">
        <v>127</v>
      </c>
      <c r="E22" s="40" t="s">
        <v>128</v>
      </c>
      <c r="F22" s="39" t="str">
        <f t="shared" si="1"/>
        <v>WRONG</v>
      </c>
      <c r="G22" s="39" t="s">
        <v>36</v>
      </c>
      <c r="H22" s="43" t="s">
        <v>48</v>
      </c>
      <c r="I22" s="42" t="s">
        <v>129</v>
      </c>
      <c r="J22" s="41">
        <v>23524.0</v>
      </c>
    </row>
    <row r="23" ht="60.0" customHeight="1">
      <c r="A23" s="39">
        <v>20.0</v>
      </c>
      <c r="B23" s="40" t="s">
        <v>130</v>
      </c>
      <c r="C23" s="40" t="s">
        <v>131</v>
      </c>
      <c r="D23" s="40" t="s">
        <v>132</v>
      </c>
      <c r="E23" s="40" t="s">
        <v>133</v>
      </c>
      <c r="F23" s="39" t="str">
        <f t="shared" si="1"/>
        <v>WRONG</v>
      </c>
      <c r="G23" s="39" t="s">
        <v>37</v>
      </c>
      <c r="H23" s="41" t="s">
        <v>36</v>
      </c>
      <c r="I23" s="42" t="s">
        <v>134</v>
      </c>
      <c r="J23" s="41">
        <v>22850.0</v>
      </c>
    </row>
    <row r="24" ht="60.0" customHeight="1">
      <c r="A24" s="39">
        <v>21.0</v>
      </c>
      <c r="B24" s="40" t="s">
        <v>135</v>
      </c>
      <c r="C24" s="40" t="s">
        <v>136</v>
      </c>
      <c r="D24" s="40" t="s">
        <v>137</v>
      </c>
      <c r="E24" s="40" t="s">
        <v>138</v>
      </c>
      <c r="F24" s="39" t="str">
        <f t="shared" si="1"/>
        <v>WRONG</v>
      </c>
      <c r="G24" s="39" t="s">
        <v>37</v>
      </c>
      <c r="H24" s="41" t="s">
        <v>36</v>
      </c>
      <c r="I24" s="42" t="s">
        <v>139</v>
      </c>
      <c r="J24" s="41">
        <v>21961.0</v>
      </c>
    </row>
    <row r="25" ht="60.0" customHeight="1">
      <c r="A25" s="39">
        <v>22.0</v>
      </c>
      <c r="B25" s="40" t="s">
        <v>140</v>
      </c>
      <c r="C25" s="40" t="s">
        <v>141</v>
      </c>
      <c r="D25" s="40" t="s">
        <v>142</v>
      </c>
      <c r="E25" s="40" t="s">
        <v>143</v>
      </c>
      <c r="F25" s="39" t="str">
        <f t="shared" si="1"/>
        <v>CORRECT</v>
      </c>
      <c r="G25" s="39" t="s">
        <v>37</v>
      </c>
      <c r="H25" s="41" t="s">
        <v>37</v>
      </c>
      <c r="I25" s="42" t="s">
        <v>144</v>
      </c>
      <c r="J25" s="41">
        <v>24684.0</v>
      </c>
    </row>
    <row r="26" ht="60.0" customHeight="1">
      <c r="A26" s="39">
        <v>23.0</v>
      </c>
      <c r="B26" s="40" t="s">
        <v>145</v>
      </c>
      <c r="C26" s="40" t="s">
        <v>146</v>
      </c>
      <c r="D26" s="40" t="s">
        <v>147</v>
      </c>
      <c r="E26" s="40" t="s">
        <v>148</v>
      </c>
      <c r="F26" s="39" t="str">
        <f t="shared" si="1"/>
        <v>CORRECT</v>
      </c>
      <c r="G26" s="39" t="s">
        <v>48</v>
      </c>
      <c r="H26" s="41" t="s">
        <v>48</v>
      </c>
      <c r="I26" s="42" t="s">
        <v>149</v>
      </c>
      <c r="J26" s="41">
        <v>20173.0</v>
      </c>
    </row>
    <row r="27" ht="60.0" customHeight="1">
      <c r="A27" s="39">
        <v>24.0</v>
      </c>
      <c r="B27" s="40" t="s">
        <v>150</v>
      </c>
      <c r="C27" s="40" t="s">
        <v>151</v>
      </c>
      <c r="D27" s="40" t="s">
        <v>152</v>
      </c>
      <c r="E27" s="40" t="s">
        <v>153</v>
      </c>
      <c r="F27" s="39" t="str">
        <f t="shared" si="1"/>
        <v>WRONG</v>
      </c>
      <c r="G27" s="39" t="s">
        <v>36</v>
      </c>
      <c r="H27" s="41" t="s">
        <v>48</v>
      </c>
      <c r="I27" s="42" t="s">
        <v>154</v>
      </c>
      <c r="J27" s="41">
        <v>28564.0</v>
      </c>
    </row>
    <row r="28" ht="60.0" customHeight="1">
      <c r="A28" s="39">
        <v>25.0</v>
      </c>
      <c r="B28" s="40" t="s">
        <v>155</v>
      </c>
      <c r="C28" s="40" t="s">
        <v>151</v>
      </c>
      <c r="D28" s="40" t="s">
        <v>156</v>
      </c>
      <c r="E28" s="40" t="s">
        <v>153</v>
      </c>
      <c r="F28" s="39" t="str">
        <f t="shared" si="1"/>
        <v>WRONG</v>
      </c>
      <c r="G28" s="39" t="s">
        <v>48</v>
      </c>
      <c r="H28" s="43" t="s">
        <v>36</v>
      </c>
      <c r="I28" s="42" t="s">
        <v>157</v>
      </c>
      <c r="J28" s="41">
        <v>16066.0</v>
      </c>
    </row>
    <row r="29" ht="60.0" customHeight="1">
      <c r="A29" s="39">
        <v>26.0</v>
      </c>
      <c r="B29" s="40" t="s">
        <v>158</v>
      </c>
      <c r="C29" s="40" t="s">
        <v>159</v>
      </c>
      <c r="D29" s="40" t="s">
        <v>160</v>
      </c>
      <c r="E29" s="40" t="s">
        <v>161</v>
      </c>
      <c r="F29" s="39" t="str">
        <f t="shared" si="1"/>
        <v>WRONG</v>
      </c>
      <c r="G29" s="39" t="s">
        <v>36</v>
      </c>
      <c r="H29" s="43" t="s">
        <v>37</v>
      </c>
      <c r="I29" s="42" t="s">
        <v>162</v>
      </c>
      <c r="J29" s="41">
        <v>21346.0</v>
      </c>
    </row>
    <row r="30" ht="60.0" customHeight="1">
      <c r="A30" s="39">
        <v>27.0</v>
      </c>
      <c r="B30" s="40" t="s">
        <v>163</v>
      </c>
      <c r="C30" s="40" t="s">
        <v>164</v>
      </c>
      <c r="D30" s="40" t="s">
        <v>165</v>
      </c>
      <c r="E30" s="40" t="s">
        <v>166</v>
      </c>
      <c r="F30" s="39" t="str">
        <f t="shared" si="1"/>
        <v>CORRECT</v>
      </c>
      <c r="G30" s="39" t="s">
        <v>37</v>
      </c>
      <c r="H30" s="41" t="s">
        <v>37</v>
      </c>
      <c r="I30" s="42" t="s">
        <v>167</v>
      </c>
      <c r="J30" s="41">
        <v>31028.0</v>
      </c>
    </row>
    <row r="31" ht="60.0" customHeight="1">
      <c r="A31" s="39">
        <v>28.0</v>
      </c>
      <c r="B31" s="40" t="s">
        <v>168</v>
      </c>
      <c r="C31" s="40" t="s">
        <v>169</v>
      </c>
      <c r="D31" s="40" t="s">
        <v>170</v>
      </c>
      <c r="E31" s="40" t="s">
        <v>171</v>
      </c>
      <c r="F31" s="39" t="str">
        <f t="shared" si="1"/>
        <v>CORRECT</v>
      </c>
      <c r="G31" s="39" t="s">
        <v>36</v>
      </c>
      <c r="H31" s="43" t="s">
        <v>36</v>
      </c>
      <c r="I31" s="42" t="s">
        <v>172</v>
      </c>
      <c r="J31" s="41">
        <v>20997.0</v>
      </c>
    </row>
    <row r="32" ht="60.0" customHeight="1">
      <c r="A32" s="39">
        <v>29.0</v>
      </c>
      <c r="B32" s="40" t="s">
        <v>173</v>
      </c>
      <c r="C32" s="40" t="s">
        <v>174</v>
      </c>
      <c r="D32" s="40" t="s">
        <v>175</v>
      </c>
      <c r="E32" s="40" t="s">
        <v>176</v>
      </c>
      <c r="F32" s="39" t="str">
        <f t="shared" si="1"/>
        <v>CORRECT</v>
      </c>
      <c r="G32" s="39" t="s">
        <v>37</v>
      </c>
      <c r="H32" s="41" t="s">
        <v>37</v>
      </c>
      <c r="I32" s="42" t="s">
        <v>177</v>
      </c>
      <c r="J32" s="41">
        <v>28904.0</v>
      </c>
    </row>
    <row r="33" ht="60.0" customHeight="1">
      <c r="A33" s="39">
        <v>30.0</v>
      </c>
      <c r="B33" s="40" t="s">
        <v>178</v>
      </c>
      <c r="C33" s="40" t="s">
        <v>179</v>
      </c>
      <c r="D33" s="40" t="s">
        <v>180</v>
      </c>
      <c r="E33" s="40" t="s">
        <v>181</v>
      </c>
      <c r="F33" s="39" t="str">
        <f t="shared" si="1"/>
        <v>WRONG</v>
      </c>
      <c r="G33" s="39" t="s">
        <v>48</v>
      </c>
      <c r="H33" s="41" t="s">
        <v>36</v>
      </c>
      <c r="I33" s="42" t="s">
        <v>182</v>
      </c>
      <c r="J33" s="41">
        <v>27436.0</v>
      </c>
    </row>
    <row r="34" ht="60.0" customHeight="1">
      <c r="A34" s="39">
        <v>31.0</v>
      </c>
      <c r="B34" s="40" t="s">
        <v>183</v>
      </c>
      <c r="C34" s="40" t="s">
        <v>184</v>
      </c>
      <c r="D34" s="40" t="s">
        <v>185</v>
      </c>
      <c r="E34" s="40" t="s">
        <v>186</v>
      </c>
      <c r="F34" s="39" t="str">
        <f t="shared" si="1"/>
        <v>WRONG</v>
      </c>
      <c r="G34" s="39" t="s">
        <v>37</v>
      </c>
      <c r="H34" s="41" t="s">
        <v>36</v>
      </c>
      <c r="I34" s="42" t="s">
        <v>187</v>
      </c>
      <c r="J34" s="41">
        <v>34668.0</v>
      </c>
    </row>
    <row r="35" ht="60.0" customHeight="1">
      <c r="A35" s="39">
        <v>32.0</v>
      </c>
      <c r="B35" s="40" t="s">
        <v>188</v>
      </c>
      <c r="C35" s="40" t="s">
        <v>189</v>
      </c>
      <c r="D35" s="40" t="s">
        <v>190</v>
      </c>
      <c r="E35" s="40" t="s">
        <v>191</v>
      </c>
      <c r="F35" s="39" t="str">
        <f t="shared" si="1"/>
        <v>WRONG</v>
      </c>
      <c r="G35" s="39" t="s">
        <v>36</v>
      </c>
      <c r="H35" s="43" t="s">
        <v>48</v>
      </c>
      <c r="I35" s="42" t="s">
        <v>192</v>
      </c>
      <c r="J35" s="41">
        <v>60061.0</v>
      </c>
    </row>
    <row r="36" ht="60.0" customHeight="1">
      <c r="A36" s="39">
        <v>33.0</v>
      </c>
      <c r="B36" s="40" t="s">
        <v>193</v>
      </c>
      <c r="C36" s="40" t="s">
        <v>194</v>
      </c>
      <c r="D36" s="40" t="s">
        <v>195</v>
      </c>
      <c r="E36" s="40" t="s">
        <v>196</v>
      </c>
      <c r="F36" s="39" t="str">
        <f t="shared" si="1"/>
        <v>CORRECT</v>
      </c>
      <c r="G36" s="39" t="s">
        <v>48</v>
      </c>
      <c r="H36" s="43" t="s">
        <v>48</v>
      </c>
      <c r="I36" s="42" t="s">
        <v>197</v>
      </c>
      <c r="J36" s="41">
        <v>48163.0</v>
      </c>
    </row>
    <row r="37" ht="60.0" customHeight="1">
      <c r="A37" s="39">
        <v>34.0</v>
      </c>
      <c r="B37" s="40" t="s">
        <v>198</v>
      </c>
      <c r="C37" s="40" t="s">
        <v>199</v>
      </c>
      <c r="D37" s="40" t="s">
        <v>200</v>
      </c>
      <c r="E37" s="40" t="s">
        <v>201</v>
      </c>
      <c r="F37" s="39" t="str">
        <f t="shared" si="1"/>
        <v>CORRECT</v>
      </c>
      <c r="G37" s="39" t="s">
        <v>36</v>
      </c>
      <c r="H37" s="41" t="s">
        <v>36</v>
      </c>
      <c r="I37" s="42" t="s">
        <v>280</v>
      </c>
      <c r="J37" s="41">
        <v>25720.0</v>
      </c>
    </row>
    <row r="38" ht="60.0" customHeight="1">
      <c r="A38" s="39">
        <v>35.0</v>
      </c>
      <c r="B38" s="40" t="s">
        <v>203</v>
      </c>
      <c r="C38" s="40" t="s">
        <v>204</v>
      </c>
      <c r="D38" s="40" t="s">
        <v>205</v>
      </c>
      <c r="E38" s="40" t="s">
        <v>206</v>
      </c>
      <c r="F38" s="39" t="str">
        <f t="shared" si="1"/>
        <v>CORRECT</v>
      </c>
      <c r="G38" s="39" t="s">
        <v>48</v>
      </c>
      <c r="H38" s="41" t="s">
        <v>48</v>
      </c>
      <c r="I38" s="42" t="s">
        <v>207</v>
      </c>
      <c r="J38" s="41">
        <v>29501.0</v>
      </c>
    </row>
    <row r="39" ht="60.0" customHeight="1">
      <c r="A39" s="39">
        <v>36.0</v>
      </c>
      <c r="B39" s="40" t="s">
        <v>208</v>
      </c>
      <c r="C39" s="40" t="s">
        <v>209</v>
      </c>
      <c r="D39" s="40" t="s">
        <v>210</v>
      </c>
      <c r="E39" s="40" t="s">
        <v>211</v>
      </c>
      <c r="F39" s="39" t="str">
        <f t="shared" si="1"/>
        <v>CORRECT</v>
      </c>
      <c r="G39" s="39" t="s">
        <v>36</v>
      </c>
      <c r="H39" s="41" t="s">
        <v>36</v>
      </c>
      <c r="I39" s="42" t="s">
        <v>212</v>
      </c>
      <c r="J39" s="41">
        <v>24053.0</v>
      </c>
    </row>
    <row r="40" ht="60.0" customHeight="1">
      <c r="A40" s="39">
        <v>37.0</v>
      </c>
      <c r="B40" s="40" t="s">
        <v>213</v>
      </c>
      <c r="C40" s="40" t="s">
        <v>214</v>
      </c>
      <c r="D40" s="40" t="s">
        <v>215</v>
      </c>
      <c r="E40" s="40" t="s">
        <v>216</v>
      </c>
      <c r="F40" s="39" t="str">
        <f t="shared" si="1"/>
        <v>WRONG</v>
      </c>
      <c r="G40" s="39" t="s">
        <v>36</v>
      </c>
      <c r="H40" s="41" t="s">
        <v>37</v>
      </c>
      <c r="I40" s="42" t="s">
        <v>217</v>
      </c>
      <c r="J40" s="41">
        <v>22581.0</v>
      </c>
    </row>
    <row r="41" ht="60.0" customHeight="1">
      <c r="A41" s="39">
        <v>38.0</v>
      </c>
      <c r="B41" s="40" t="s">
        <v>218</v>
      </c>
      <c r="C41" s="40" t="s">
        <v>219</v>
      </c>
      <c r="D41" s="40" t="s">
        <v>220</v>
      </c>
      <c r="E41" s="40" t="s">
        <v>221</v>
      </c>
      <c r="F41" s="39" t="str">
        <f t="shared" si="1"/>
        <v>CORRECT</v>
      </c>
      <c r="G41" s="39" t="s">
        <v>36</v>
      </c>
      <c r="H41" s="41" t="s">
        <v>36</v>
      </c>
      <c r="I41" s="42" t="s">
        <v>222</v>
      </c>
      <c r="J41" s="41">
        <v>30040.0</v>
      </c>
    </row>
    <row r="42" ht="60.0" customHeight="1">
      <c r="A42" s="39">
        <v>39.0</v>
      </c>
      <c r="B42" s="40" t="s">
        <v>223</v>
      </c>
      <c r="C42" s="40" t="s">
        <v>224</v>
      </c>
      <c r="D42" s="40" t="s">
        <v>225</v>
      </c>
      <c r="E42" s="40" t="s">
        <v>226</v>
      </c>
      <c r="F42" s="39" t="str">
        <f t="shared" si="1"/>
        <v>WRONG</v>
      </c>
      <c r="G42" s="39" t="s">
        <v>37</v>
      </c>
      <c r="H42" s="41" t="s">
        <v>36</v>
      </c>
      <c r="I42" s="42" t="s">
        <v>227</v>
      </c>
      <c r="J42" s="41">
        <v>21532.0</v>
      </c>
    </row>
    <row r="43" ht="60.0" customHeight="1">
      <c r="A43" s="39">
        <v>40.0</v>
      </c>
      <c r="B43" s="40" t="s">
        <v>228</v>
      </c>
      <c r="C43" s="40" t="s">
        <v>229</v>
      </c>
      <c r="D43" s="40" t="s">
        <v>230</v>
      </c>
      <c r="E43" s="40" t="s">
        <v>231</v>
      </c>
      <c r="F43" s="39" t="str">
        <f t="shared" si="1"/>
        <v>WRONG</v>
      </c>
      <c r="G43" s="39" t="s">
        <v>48</v>
      </c>
      <c r="H43" s="43" t="s">
        <v>37</v>
      </c>
      <c r="I43" s="42" t="s">
        <v>232</v>
      </c>
      <c r="J43" s="41">
        <v>40974.0</v>
      </c>
    </row>
    <row r="44" ht="60.0" customHeight="1">
      <c r="A44" s="39">
        <v>41.0</v>
      </c>
      <c r="B44" s="40" t="s">
        <v>233</v>
      </c>
      <c r="C44" s="40" t="s">
        <v>234</v>
      </c>
      <c r="D44" s="40" t="s">
        <v>235</v>
      </c>
      <c r="E44" s="40" t="s">
        <v>236</v>
      </c>
      <c r="F44" s="39" t="str">
        <f t="shared" si="1"/>
        <v>CORRECT</v>
      </c>
      <c r="G44" s="39" t="s">
        <v>37</v>
      </c>
      <c r="H44" s="41" t="s">
        <v>37</v>
      </c>
      <c r="I44" s="42" t="s">
        <v>237</v>
      </c>
      <c r="J44" s="41">
        <v>14853.0</v>
      </c>
    </row>
    <row r="45" ht="60.0" customHeight="1">
      <c r="A45" s="39">
        <v>42.0</v>
      </c>
      <c r="B45" s="40" t="s">
        <v>238</v>
      </c>
      <c r="C45" s="40" t="s">
        <v>239</v>
      </c>
      <c r="D45" s="40" t="s">
        <v>240</v>
      </c>
      <c r="E45" s="40" t="s">
        <v>241</v>
      </c>
      <c r="F45" s="39" t="str">
        <f t="shared" si="1"/>
        <v>WRONG</v>
      </c>
      <c r="G45" s="39" t="s">
        <v>36</v>
      </c>
      <c r="H45" s="41" t="s">
        <v>37</v>
      </c>
      <c r="I45" s="42" t="s">
        <v>242</v>
      </c>
      <c r="J45" s="41">
        <v>27567.0</v>
      </c>
    </row>
    <row r="46" ht="60.0" customHeight="1">
      <c r="A46" s="39">
        <v>43.0</v>
      </c>
      <c r="B46" s="40" t="s">
        <v>243</v>
      </c>
      <c r="C46" s="40" t="s">
        <v>244</v>
      </c>
      <c r="D46" s="40" t="s">
        <v>245</v>
      </c>
      <c r="E46" s="40" t="s">
        <v>246</v>
      </c>
      <c r="F46" s="39" t="str">
        <f t="shared" si="1"/>
        <v>WRONG</v>
      </c>
      <c r="G46" s="39" t="s">
        <v>48</v>
      </c>
      <c r="H46" s="41" t="s">
        <v>36</v>
      </c>
      <c r="I46" s="42" t="s">
        <v>247</v>
      </c>
      <c r="J46" s="41">
        <v>25032.0</v>
      </c>
    </row>
    <row r="47" ht="60.0" customHeight="1">
      <c r="A47" s="39">
        <v>44.0</v>
      </c>
      <c r="B47" s="40" t="s">
        <v>248</v>
      </c>
      <c r="C47" s="40" t="s">
        <v>249</v>
      </c>
      <c r="D47" s="40" t="s">
        <v>250</v>
      </c>
      <c r="E47" s="40" t="s">
        <v>251</v>
      </c>
      <c r="F47" s="39" t="str">
        <f t="shared" si="1"/>
        <v>WRONG</v>
      </c>
      <c r="G47" s="39" t="s">
        <v>36</v>
      </c>
      <c r="H47" s="41" t="s">
        <v>48</v>
      </c>
      <c r="I47" s="42" t="s">
        <v>252</v>
      </c>
      <c r="J47" s="41">
        <v>32019.0</v>
      </c>
    </row>
    <row r="48" ht="60.0" customHeight="1">
      <c r="A48" s="39">
        <v>45.0</v>
      </c>
      <c r="B48" s="40" t="s">
        <v>253</v>
      </c>
      <c r="C48" s="40" t="s">
        <v>254</v>
      </c>
      <c r="D48" s="40" t="s">
        <v>255</v>
      </c>
      <c r="E48" s="40" t="s">
        <v>256</v>
      </c>
      <c r="F48" s="39" t="str">
        <f t="shared" si="1"/>
        <v>CORRECT</v>
      </c>
      <c r="G48" s="39" t="s">
        <v>36</v>
      </c>
      <c r="H48" s="41" t="s">
        <v>36</v>
      </c>
      <c r="I48" s="42" t="s">
        <v>257</v>
      </c>
      <c r="J48" s="41">
        <v>34180.0</v>
      </c>
    </row>
    <row r="49" ht="60.0" customHeight="1">
      <c r="A49" s="39">
        <v>46.0</v>
      </c>
      <c r="B49" s="40" t="s">
        <v>258</v>
      </c>
      <c r="C49" s="40" t="s">
        <v>40</v>
      </c>
      <c r="D49" s="40" t="s">
        <v>259</v>
      </c>
      <c r="E49" s="40" t="s">
        <v>260</v>
      </c>
      <c r="F49" s="39" t="str">
        <f t="shared" si="1"/>
        <v>CORRECT</v>
      </c>
      <c r="G49" s="39" t="s">
        <v>36</v>
      </c>
      <c r="H49" s="41" t="s">
        <v>36</v>
      </c>
      <c r="I49" s="42" t="s">
        <v>261</v>
      </c>
      <c r="J49" s="41">
        <v>23272.0</v>
      </c>
    </row>
    <row r="50">
      <c r="A50" s="44" t="s">
        <v>262</v>
      </c>
      <c r="B50" s="2"/>
      <c r="C50" s="2"/>
      <c r="D50" s="2"/>
      <c r="E50" s="3"/>
      <c r="F50" s="45">
        <f>COUNTIFS(F4:F49,"CORRECT")</f>
        <v>23</v>
      </c>
      <c r="G50" s="46"/>
      <c r="H50" s="46"/>
      <c r="J50" s="47">
        <f>AVERAGE(J4:J49)</f>
        <v>29621.82609</v>
      </c>
    </row>
    <row r="51">
      <c r="A51" s="48" t="s">
        <v>263</v>
      </c>
      <c r="B51" s="2"/>
      <c r="C51" s="2"/>
      <c r="D51" s="2"/>
      <c r="E51" s="3"/>
      <c r="F51" s="49">
        <v>46.0</v>
      </c>
      <c r="G51" s="46"/>
      <c r="H51" s="46"/>
    </row>
    <row r="52">
      <c r="A52" s="44" t="s">
        <v>264</v>
      </c>
      <c r="B52" s="2"/>
      <c r="C52" s="2"/>
      <c r="D52" s="2"/>
      <c r="E52" s="3"/>
      <c r="F52" s="50">
        <f>F50/F51</f>
        <v>0.5</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312</v>
      </c>
      <c r="C2" s="2"/>
      <c r="D2" s="2"/>
      <c r="E2" s="2"/>
      <c r="F2" s="2"/>
      <c r="G2" s="2"/>
      <c r="H2" s="3"/>
      <c r="I2" s="37" t="s">
        <v>313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314</v>
      </c>
      <c r="J4" s="41">
        <v>23190.0</v>
      </c>
    </row>
    <row r="5" ht="60.0" customHeight="1">
      <c r="A5" s="39">
        <v>2.0</v>
      </c>
      <c r="B5" s="40" t="s">
        <v>39</v>
      </c>
      <c r="C5" s="40" t="s">
        <v>40</v>
      </c>
      <c r="D5" s="40" t="s">
        <v>41</v>
      </c>
      <c r="E5" s="40" t="s">
        <v>42</v>
      </c>
      <c r="F5" s="39" t="str">
        <f t="shared" si="1"/>
        <v>CORRECT</v>
      </c>
      <c r="G5" s="39" t="s">
        <v>37</v>
      </c>
      <c r="H5" s="41" t="s">
        <v>37</v>
      </c>
      <c r="I5" s="42" t="s">
        <v>315</v>
      </c>
      <c r="J5" s="41">
        <v>31939.0</v>
      </c>
    </row>
    <row r="6" ht="60.0" customHeight="1">
      <c r="A6" s="39">
        <v>3.0</v>
      </c>
      <c r="B6" s="40" t="s">
        <v>44</v>
      </c>
      <c r="C6" s="40" t="s">
        <v>45</v>
      </c>
      <c r="D6" s="40" t="s">
        <v>46</v>
      </c>
      <c r="E6" s="40" t="s">
        <v>47</v>
      </c>
      <c r="F6" s="39" t="str">
        <f t="shared" si="1"/>
        <v>CORRECT</v>
      </c>
      <c r="G6" s="39" t="s">
        <v>48</v>
      </c>
      <c r="H6" s="41" t="s">
        <v>48</v>
      </c>
      <c r="I6" s="42" t="s">
        <v>316</v>
      </c>
      <c r="J6" s="41">
        <v>26722.0</v>
      </c>
    </row>
    <row r="7" ht="60.0" customHeight="1">
      <c r="A7" s="39">
        <v>4.0</v>
      </c>
      <c r="B7" s="40" t="s">
        <v>50</v>
      </c>
      <c r="C7" s="40" t="s">
        <v>51</v>
      </c>
      <c r="D7" s="40" t="s">
        <v>52</v>
      </c>
      <c r="E7" s="40" t="s">
        <v>53</v>
      </c>
      <c r="F7" s="39" t="str">
        <f t="shared" si="1"/>
        <v>WRONG</v>
      </c>
      <c r="G7" s="39" t="s">
        <v>37</v>
      </c>
      <c r="H7" s="41" t="s">
        <v>48</v>
      </c>
      <c r="I7" s="42" t="s">
        <v>317</v>
      </c>
      <c r="J7" s="41">
        <v>26295.0</v>
      </c>
    </row>
    <row r="8" ht="60.0" customHeight="1">
      <c r="A8" s="39">
        <v>5.0</v>
      </c>
      <c r="B8" s="40" t="s">
        <v>55</v>
      </c>
      <c r="C8" s="40" t="s">
        <v>56</v>
      </c>
      <c r="D8" s="40" t="s">
        <v>57</v>
      </c>
      <c r="E8" s="40" t="s">
        <v>58</v>
      </c>
      <c r="F8" s="39" t="str">
        <f t="shared" si="1"/>
        <v>CORRECT</v>
      </c>
      <c r="G8" s="39" t="s">
        <v>48</v>
      </c>
      <c r="H8" s="41" t="s">
        <v>48</v>
      </c>
      <c r="I8" s="42" t="s">
        <v>318</v>
      </c>
      <c r="J8" s="41">
        <v>74510.0</v>
      </c>
    </row>
    <row r="9" ht="60.0" customHeight="1">
      <c r="A9" s="39">
        <v>6.0</v>
      </c>
      <c r="B9" s="40" t="s">
        <v>60</v>
      </c>
      <c r="C9" s="40" t="s">
        <v>61</v>
      </c>
      <c r="D9" s="40" t="s">
        <v>62</v>
      </c>
      <c r="E9" s="40" t="s">
        <v>63</v>
      </c>
      <c r="F9" s="39" t="str">
        <f t="shared" si="1"/>
        <v>CORRECT</v>
      </c>
      <c r="G9" s="39" t="s">
        <v>37</v>
      </c>
      <c r="H9" s="41" t="s">
        <v>37</v>
      </c>
      <c r="I9" s="42" t="s">
        <v>319</v>
      </c>
      <c r="J9" s="41">
        <v>22584.0</v>
      </c>
    </row>
    <row r="10" ht="60.0" customHeight="1">
      <c r="A10" s="39">
        <v>7.0</v>
      </c>
      <c r="B10" s="40" t="s">
        <v>65</v>
      </c>
      <c r="C10" s="40" t="s">
        <v>66</v>
      </c>
      <c r="D10" s="40" t="s">
        <v>67</v>
      </c>
      <c r="E10" s="40" t="s">
        <v>68</v>
      </c>
      <c r="F10" s="39" t="str">
        <f t="shared" si="1"/>
        <v>WRONG</v>
      </c>
      <c r="G10" s="39" t="s">
        <v>37</v>
      </c>
      <c r="H10" s="41" t="s">
        <v>36</v>
      </c>
      <c r="I10" s="42" t="s">
        <v>320</v>
      </c>
      <c r="J10" s="41">
        <v>32423.0</v>
      </c>
    </row>
    <row r="11" ht="60.0" customHeight="1">
      <c r="A11" s="39">
        <v>8.0</v>
      </c>
      <c r="B11" s="40" t="s">
        <v>70</v>
      </c>
      <c r="C11" s="40" t="s">
        <v>71</v>
      </c>
      <c r="D11" s="40" t="s">
        <v>72</v>
      </c>
      <c r="E11" s="40" t="s">
        <v>73</v>
      </c>
      <c r="F11" s="39" t="str">
        <f t="shared" si="1"/>
        <v>WRONG</v>
      </c>
      <c r="G11" s="39" t="s">
        <v>48</v>
      </c>
      <c r="H11" s="41" t="s">
        <v>37</v>
      </c>
      <c r="I11" s="42" t="s">
        <v>287</v>
      </c>
      <c r="J11" s="41">
        <v>28791.0</v>
      </c>
    </row>
    <row r="12" ht="60.0" customHeight="1">
      <c r="A12" s="39">
        <v>9.0</v>
      </c>
      <c r="B12" s="40" t="s">
        <v>75</v>
      </c>
      <c r="C12" s="40" t="s">
        <v>76</v>
      </c>
      <c r="D12" s="40" t="s">
        <v>77</v>
      </c>
      <c r="E12" s="40" t="s">
        <v>78</v>
      </c>
      <c r="F12" s="39" t="str">
        <f t="shared" si="1"/>
        <v>WRONG</v>
      </c>
      <c r="G12" s="39" t="s">
        <v>37</v>
      </c>
      <c r="H12" s="41" t="s">
        <v>48</v>
      </c>
      <c r="I12" s="42" t="s">
        <v>321</v>
      </c>
      <c r="J12" s="41">
        <v>40778.0</v>
      </c>
    </row>
    <row r="13" ht="60.0" customHeight="1">
      <c r="A13" s="39">
        <v>10.0</v>
      </c>
      <c r="B13" s="40" t="s">
        <v>80</v>
      </c>
      <c r="C13" s="40" t="s">
        <v>81</v>
      </c>
      <c r="D13" s="40" t="s">
        <v>82</v>
      </c>
      <c r="E13" s="40" t="s">
        <v>83</v>
      </c>
      <c r="F13" s="39" t="str">
        <f t="shared" si="1"/>
        <v>CORRECT</v>
      </c>
      <c r="G13" s="39" t="s">
        <v>48</v>
      </c>
      <c r="H13" s="41" t="s">
        <v>48</v>
      </c>
      <c r="I13" s="42" t="s">
        <v>322</v>
      </c>
      <c r="J13" s="41">
        <v>37157.0</v>
      </c>
    </row>
    <row r="14" ht="60.0" customHeight="1">
      <c r="A14" s="39">
        <v>11.0</v>
      </c>
      <c r="B14" s="40" t="s">
        <v>85</v>
      </c>
      <c r="C14" s="40" t="s">
        <v>86</v>
      </c>
      <c r="D14" s="40" t="s">
        <v>87</v>
      </c>
      <c r="E14" s="40" t="s">
        <v>88</v>
      </c>
      <c r="F14" s="39" t="str">
        <f t="shared" si="1"/>
        <v>WRONG</v>
      </c>
      <c r="G14" s="39" t="s">
        <v>37</v>
      </c>
      <c r="H14" s="41" t="s">
        <v>48</v>
      </c>
      <c r="I14" s="42" t="s">
        <v>323</v>
      </c>
      <c r="J14" s="41">
        <v>39680.0</v>
      </c>
    </row>
    <row r="15" ht="60.0" customHeight="1">
      <c r="A15" s="39">
        <v>12.0</v>
      </c>
      <c r="B15" s="40" t="s">
        <v>90</v>
      </c>
      <c r="C15" s="40" t="s">
        <v>91</v>
      </c>
      <c r="D15" s="40" t="s">
        <v>92</v>
      </c>
      <c r="E15" s="40" t="s">
        <v>93</v>
      </c>
      <c r="F15" s="39" t="str">
        <f t="shared" si="1"/>
        <v>CORRECT</v>
      </c>
      <c r="G15" s="39" t="s">
        <v>48</v>
      </c>
      <c r="H15" s="41" t="s">
        <v>48</v>
      </c>
      <c r="I15" s="42" t="s">
        <v>324</v>
      </c>
      <c r="J15" s="41">
        <v>35979.0</v>
      </c>
    </row>
    <row r="16" ht="60.0" customHeight="1">
      <c r="A16" s="39">
        <v>13.0</v>
      </c>
      <c r="B16" s="40" t="s">
        <v>95</v>
      </c>
      <c r="C16" s="40" t="s">
        <v>96</v>
      </c>
      <c r="D16" s="40" t="s">
        <v>97</v>
      </c>
      <c r="E16" s="40" t="s">
        <v>98</v>
      </c>
      <c r="F16" s="39" t="str">
        <f t="shared" si="1"/>
        <v>CORRECT</v>
      </c>
      <c r="G16" s="39" t="s">
        <v>36</v>
      </c>
      <c r="H16" s="41" t="s">
        <v>36</v>
      </c>
      <c r="I16" s="42" t="s">
        <v>325</v>
      </c>
      <c r="J16" s="41">
        <v>21381.0</v>
      </c>
    </row>
    <row r="17" ht="60.0" customHeight="1">
      <c r="A17" s="39">
        <v>14.0</v>
      </c>
      <c r="B17" s="40" t="s">
        <v>100</v>
      </c>
      <c r="C17" s="40" t="s">
        <v>101</v>
      </c>
      <c r="D17" s="40" t="s">
        <v>102</v>
      </c>
      <c r="E17" s="40" t="s">
        <v>103</v>
      </c>
      <c r="F17" s="39" t="str">
        <f t="shared" si="1"/>
        <v>WRONG</v>
      </c>
      <c r="G17" s="39" t="s">
        <v>36</v>
      </c>
      <c r="H17" s="41" t="s">
        <v>48</v>
      </c>
      <c r="I17" s="42" t="s">
        <v>326</v>
      </c>
      <c r="J17" s="41">
        <v>40337.0</v>
      </c>
    </row>
    <row r="18" ht="60.0" customHeight="1">
      <c r="A18" s="39">
        <v>15.0</v>
      </c>
      <c r="B18" s="40" t="s">
        <v>105</v>
      </c>
      <c r="C18" s="40" t="s">
        <v>106</v>
      </c>
      <c r="D18" s="40" t="s">
        <v>107</v>
      </c>
      <c r="E18" s="40" t="s">
        <v>108</v>
      </c>
      <c r="F18" s="39" t="str">
        <f t="shared" si="1"/>
        <v>CORRECT</v>
      </c>
      <c r="G18" s="39" t="s">
        <v>48</v>
      </c>
      <c r="H18" s="41" t="s">
        <v>48</v>
      </c>
      <c r="I18" s="42" t="s">
        <v>327</v>
      </c>
      <c r="J18" s="41">
        <v>34028.0</v>
      </c>
    </row>
    <row r="19" ht="60.0" customHeight="1">
      <c r="A19" s="39">
        <v>16.0</v>
      </c>
      <c r="B19" s="40" t="s">
        <v>110</v>
      </c>
      <c r="C19" s="40" t="s">
        <v>111</v>
      </c>
      <c r="D19" s="40" t="s">
        <v>112</v>
      </c>
      <c r="E19" s="40" t="s">
        <v>113</v>
      </c>
      <c r="F19" s="39" t="str">
        <f t="shared" si="1"/>
        <v>CORRECT</v>
      </c>
      <c r="G19" s="39" t="s">
        <v>48</v>
      </c>
      <c r="H19" s="41" t="s">
        <v>48</v>
      </c>
      <c r="I19" s="42" t="s">
        <v>328</v>
      </c>
      <c r="J19" s="41">
        <v>28657.0</v>
      </c>
    </row>
    <row r="20" ht="60.0" customHeight="1">
      <c r="A20" s="39">
        <v>17.0</v>
      </c>
      <c r="B20" s="40" t="s">
        <v>115</v>
      </c>
      <c r="C20" s="40" t="s">
        <v>116</v>
      </c>
      <c r="D20" s="40" t="s">
        <v>117</v>
      </c>
      <c r="E20" s="40" t="s">
        <v>118</v>
      </c>
      <c r="F20" s="39" t="str">
        <f t="shared" si="1"/>
        <v>WRONG</v>
      </c>
      <c r="G20" s="39" t="s">
        <v>37</v>
      </c>
      <c r="H20" s="41" t="s">
        <v>36</v>
      </c>
      <c r="I20" s="42" t="s">
        <v>119</v>
      </c>
      <c r="J20" s="41">
        <v>23651.0</v>
      </c>
    </row>
    <row r="21" ht="60.0" customHeight="1">
      <c r="A21" s="39">
        <v>18.0</v>
      </c>
      <c r="B21" s="40" t="s">
        <v>120</v>
      </c>
      <c r="C21" s="40" t="s">
        <v>121</v>
      </c>
      <c r="D21" s="40" t="s">
        <v>122</v>
      </c>
      <c r="E21" s="40" t="s">
        <v>123</v>
      </c>
      <c r="F21" s="39" t="str">
        <f t="shared" si="1"/>
        <v>CORRECT</v>
      </c>
      <c r="G21" s="39" t="s">
        <v>37</v>
      </c>
      <c r="H21" s="41" t="s">
        <v>37</v>
      </c>
      <c r="I21" s="42" t="s">
        <v>329</v>
      </c>
      <c r="J21" s="41">
        <v>21321.0</v>
      </c>
    </row>
    <row r="22" ht="60.0" customHeight="1">
      <c r="A22" s="39">
        <v>19.0</v>
      </c>
      <c r="B22" s="40" t="s">
        <v>125</v>
      </c>
      <c r="C22" s="40" t="s">
        <v>126</v>
      </c>
      <c r="D22" s="40" t="s">
        <v>127</v>
      </c>
      <c r="E22" s="40" t="s">
        <v>128</v>
      </c>
      <c r="F22" s="39" t="str">
        <f t="shared" si="1"/>
        <v>WRONG</v>
      </c>
      <c r="G22" s="39" t="s">
        <v>36</v>
      </c>
      <c r="H22" s="43" t="s">
        <v>48</v>
      </c>
      <c r="I22" s="42" t="s">
        <v>330</v>
      </c>
      <c r="J22" s="41">
        <v>27492.0</v>
      </c>
    </row>
    <row r="23" ht="60.0" customHeight="1">
      <c r="A23" s="39">
        <v>20.0</v>
      </c>
      <c r="B23" s="40" t="s">
        <v>130</v>
      </c>
      <c r="C23" s="40" t="s">
        <v>131</v>
      </c>
      <c r="D23" s="40" t="s">
        <v>132</v>
      </c>
      <c r="E23" s="40" t="s">
        <v>133</v>
      </c>
      <c r="F23" s="39" t="str">
        <f t="shared" si="1"/>
        <v>WRONG</v>
      </c>
      <c r="G23" s="39" t="s">
        <v>37</v>
      </c>
      <c r="H23" s="41" t="s">
        <v>36</v>
      </c>
      <c r="I23" s="42" t="s">
        <v>331</v>
      </c>
      <c r="J23" s="41">
        <v>23710.0</v>
      </c>
    </row>
    <row r="24" ht="60.0" customHeight="1">
      <c r="A24" s="39">
        <v>21.0</v>
      </c>
      <c r="B24" s="40" t="s">
        <v>135</v>
      </c>
      <c r="C24" s="40" t="s">
        <v>136</v>
      </c>
      <c r="D24" s="40" t="s">
        <v>137</v>
      </c>
      <c r="E24" s="40" t="s">
        <v>138</v>
      </c>
      <c r="F24" s="39" t="str">
        <f t="shared" si="1"/>
        <v>WRONG</v>
      </c>
      <c r="G24" s="39" t="s">
        <v>37</v>
      </c>
      <c r="H24" s="41" t="s">
        <v>36</v>
      </c>
      <c r="I24" s="42" t="s">
        <v>139</v>
      </c>
      <c r="J24" s="41">
        <v>22076.0</v>
      </c>
    </row>
    <row r="25" ht="60.0" customHeight="1">
      <c r="A25" s="39">
        <v>22.0</v>
      </c>
      <c r="B25" s="40" t="s">
        <v>140</v>
      </c>
      <c r="C25" s="40" t="s">
        <v>141</v>
      </c>
      <c r="D25" s="40" t="s">
        <v>142</v>
      </c>
      <c r="E25" s="40" t="s">
        <v>143</v>
      </c>
      <c r="F25" s="39" t="str">
        <f t="shared" si="1"/>
        <v>CORRECT</v>
      </c>
      <c r="G25" s="39" t="s">
        <v>37</v>
      </c>
      <c r="H25" s="41" t="s">
        <v>37</v>
      </c>
      <c r="I25" s="42" t="s">
        <v>294</v>
      </c>
      <c r="J25" s="41">
        <v>22727.0</v>
      </c>
    </row>
    <row r="26" ht="60.0" customHeight="1">
      <c r="A26" s="39">
        <v>23.0</v>
      </c>
      <c r="B26" s="40" t="s">
        <v>145</v>
      </c>
      <c r="C26" s="40" t="s">
        <v>146</v>
      </c>
      <c r="D26" s="40" t="s">
        <v>147</v>
      </c>
      <c r="E26" s="40" t="s">
        <v>148</v>
      </c>
      <c r="F26" s="39" t="str">
        <f t="shared" si="1"/>
        <v>CORRECT</v>
      </c>
      <c r="G26" s="39" t="s">
        <v>48</v>
      </c>
      <c r="H26" s="41" t="s">
        <v>48</v>
      </c>
      <c r="I26" s="42" t="s">
        <v>332</v>
      </c>
      <c r="J26" s="41">
        <v>16641.0</v>
      </c>
    </row>
    <row r="27" ht="60.0" customHeight="1">
      <c r="A27" s="39">
        <v>24.0</v>
      </c>
      <c r="B27" s="40" t="s">
        <v>150</v>
      </c>
      <c r="C27" s="40" t="s">
        <v>151</v>
      </c>
      <c r="D27" s="40" t="s">
        <v>152</v>
      </c>
      <c r="E27" s="40" t="s">
        <v>153</v>
      </c>
      <c r="F27" s="39" t="str">
        <f t="shared" si="1"/>
        <v>WRONG</v>
      </c>
      <c r="G27" s="39" t="s">
        <v>36</v>
      </c>
      <c r="H27" s="41" t="s">
        <v>48</v>
      </c>
      <c r="I27" s="42" t="s">
        <v>333</v>
      </c>
      <c r="J27" s="41">
        <v>26419.0</v>
      </c>
    </row>
    <row r="28" ht="60.0" customHeight="1">
      <c r="A28" s="39">
        <v>25.0</v>
      </c>
      <c r="B28" s="40" t="s">
        <v>155</v>
      </c>
      <c r="C28" s="40" t="s">
        <v>151</v>
      </c>
      <c r="D28" s="40" t="s">
        <v>156</v>
      </c>
      <c r="E28" s="40" t="s">
        <v>153</v>
      </c>
      <c r="F28" s="39" t="str">
        <f t="shared" si="1"/>
        <v>WRONG</v>
      </c>
      <c r="G28" s="39" t="s">
        <v>48</v>
      </c>
      <c r="H28" s="43" t="s">
        <v>36</v>
      </c>
      <c r="I28" s="42" t="s">
        <v>157</v>
      </c>
      <c r="J28" s="41">
        <v>16549.0</v>
      </c>
    </row>
    <row r="29" ht="60.0" customHeight="1">
      <c r="A29" s="39">
        <v>26.0</v>
      </c>
      <c r="B29" s="40" t="s">
        <v>158</v>
      </c>
      <c r="C29" s="40" t="s">
        <v>159</v>
      </c>
      <c r="D29" s="40" t="s">
        <v>160</v>
      </c>
      <c r="E29" s="40" t="s">
        <v>161</v>
      </c>
      <c r="F29" s="39" t="str">
        <f t="shared" si="1"/>
        <v>WRONG</v>
      </c>
      <c r="G29" s="39" t="s">
        <v>36</v>
      </c>
      <c r="H29" s="41" t="s">
        <v>48</v>
      </c>
      <c r="I29" s="42" t="s">
        <v>334</v>
      </c>
      <c r="J29" s="41">
        <v>19186.0</v>
      </c>
    </row>
    <row r="30" ht="60.0" customHeight="1">
      <c r="A30" s="39">
        <v>27.0</v>
      </c>
      <c r="B30" s="40" t="s">
        <v>163</v>
      </c>
      <c r="C30" s="40" t="s">
        <v>164</v>
      </c>
      <c r="D30" s="40" t="s">
        <v>165</v>
      </c>
      <c r="E30" s="40" t="s">
        <v>166</v>
      </c>
      <c r="F30" s="39" t="str">
        <f t="shared" si="1"/>
        <v>CORRECT</v>
      </c>
      <c r="G30" s="39" t="s">
        <v>37</v>
      </c>
      <c r="H30" s="41" t="s">
        <v>37</v>
      </c>
      <c r="I30" s="42" t="s">
        <v>335</v>
      </c>
      <c r="J30" s="41">
        <v>24875.0</v>
      </c>
    </row>
    <row r="31" ht="60.0" customHeight="1">
      <c r="A31" s="39">
        <v>28.0</v>
      </c>
      <c r="B31" s="40" t="s">
        <v>168</v>
      </c>
      <c r="C31" s="40" t="s">
        <v>169</v>
      </c>
      <c r="D31" s="40" t="s">
        <v>170</v>
      </c>
      <c r="E31" s="40" t="s">
        <v>171</v>
      </c>
      <c r="F31" s="39" t="str">
        <f t="shared" si="1"/>
        <v>CORRECT</v>
      </c>
      <c r="G31" s="39" t="s">
        <v>36</v>
      </c>
      <c r="H31" s="41" t="s">
        <v>36</v>
      </c>
      <c r="I31" s="42" t="s">
        <v>336</v>
      </c>
      <c r="J31" s="41">
        <v>34084.0</v>
      </c>
    </row>
    <row r="32" ht="60.0" customHeight="1">
      <c r="A32" s="39">
        <v>29.0</v>
      </c>
      <c r="B32" s="40" t="s">
        <v>173</v>
      </c>
      <c r="C32" s="40" t="s">
        <v>174</v>
      </c>
      <c r="D32" s="40" t="s">
        <v>175</v>
      </c>
      <c r="E32" s="40" t="s">
        <v>176</v>
      </c>
      <c r="F32" s="39" t="str">
        <f t="shared" si="1"/>
        <v>CORRECT</v>
      </c>
      <c r="G32" s="39" t="s">
        <v>37</v>
      </c>
      <c r="H32" s="41" t="s">
        <v>37</v>
      </c>
      <c r="I32" s="42" t="s">
        <v>337</v>
      </c>
      <c r="J32" s="41">
        <v>27646.0</v>
      </c>
    </row>
    <row r="33" ht="60.0" customHeight="1">
      <c r="A33" s="39">
        <v>30.0</v>
      </c>
      <c r="B33" s="40" t="s">
        <v>178</v>
      </c>
      <c r="C33" s="40" t="s">
        <v>179</v>
      </c>
      <c r="D33" s="40" t="s">
        <v>180</v>
      </c>
      <c r="E33" s="40" t="s">
        <v>181</v>
      </c>
      <c r="F33" s="39" t="str">
        <f t="shared" si="1"/>
        <v>WRONG</v>
      </c>
      <c r="G33" s="39" t="s">
        <v>48</v>
      </c>
      <c r="H33" s="41" t="s">
        <v>36</v>
      </c>
      <c r="I33" s="42" t="s">
        <v>338</v>
      </c>
      <c r="J33" s="41">
        <v>24552.0</v>
      </c>
    </row>
    <row r="34" ht="60.0" customHeight="1">
      <c r="A34" s="39">
        <v>31.0</v>
      </c>
      <c r="B34" s="40" t="s">
        <v>183</v>
      </c>
      <c r="C34" s="40" t="s">
        <v>184</v>
      </c>
      <c r="D34" s="40" t="s">
        <v>185</v>
      </c>
      <c r="E34" s="40" t="s">
        <v>186</v>
      </c>
      <c r="F34" s="39" t="str">
        <f t="shared" si="1"/>
        <v>WRONG</v>
      </c>
      <c r="G34" s="39" t="s">
        <v>37</v>
      </c>
      <c r="H34" s="41" t="s">
        <v>36</v>
      </c>
      <c r="I34" s="42" t="s">
        <v>339</v>
      </c>
      <c r="J34" s="41">
        <v>34120.0</v>
      </c>
    </row>
    <row r="35" ht="60.0" customHeight="1">
      <c r="A35" s="39">
        <v>32.0</v>
      </c>
      <c r="B35" s="40" t="s">
        <v>188</v>
      </c>
      <c r="C35" s="40" t="s">
        <v>189</v>
      </c>
      <c r="D35" s="40" t="s">
        <v>190</v>
      </c>
      <c r="E35" s="40" t="s">
        <v>191</v>
      </c>
      <c r="F35" s="39" t="str">
        <f t="shared" si="1"/>
        <v>WRONG</v>
      </c>
      <c r="G35" s="39" t="s">
        <v>36</v>
      </c>
      <c r="H35" s="41" t="s">
        <v>48</v>
      </c>
      <c r="I35" s="42" t="s">
        <v>340</v>
      </c>
      <c r="J35" s="41">
        <v>30949.0</v>
      </c>
    </row>
    <row r="36" ht="60.0" customHeight="1">
      <c r="A36" s="39">
        <v>33.0</v>
      </c>
      <c r="B36" s="40" t="s">
        <v>193</v>
      </c>
      <c r="C36" s="40" t="s">
        <v>194</v>
      </c>
      <c r="D36" s="40" t="s">
        <v>195</v>
      </c>
      <c r="E36" s="40" t="s">
        <v>196</v>
      </c>
      <c r="F36" s="39" t="str">
        <f t="shared" si="1"/>
        <v>CORRECT</v>
      </c>
      <c r="G36" s="39" t="s">
        <v>48</v>
      </c>
      <c r="H36" s="43" t="s">
        <v>48</v>
      </c>
      <c r="I36" s="42" t="s">
        <v>341</v>
      </c>
      <c r="J36" s="41">
        <v>38687.0</v>
      </c>
    </row>
    <row r="37" ht="60.0" customHeight="1">
      <c r="A37" s="39">
        <v>34.0</v>
      </c>
      <c r="B37" s="40" t="s">
        <v>198</v>
      </c>
      <c r="C37" s="40" t="s">
        <v>199</v>
      </c>
      <c r="D37" s="40" t="s">
        <v>200</v>
      </c>
      <c r="E37" s="40" t="s">
        <v>201</v>
      </c>
      <c r="F37" s="39" t="str">
        <f t="shared" si="1"/>
        <v>CORRECT</v>
      </c>
      <c r="G37" s="39" t="s">
        <v>36</v>
      </c>
      <c r="H37" s="41" t="s">
        <v>36</v>
      </c>
      <c r="I37" s="42" t="s">
        <v>342</v>
      </c>
      <c r="J37" s="41">
        <v>31089.0</v>
      </c>
    </row>
    <row r="38" ht="60.0" customHeight="1">
      <c r="A38" s="39">
        <v>35.0</v>
      </c>
      <c r="B38" s="40" t="s">
        <v>203</v>
      </c>
      <c r="C38" s="40" t="s">
        <v>204</v>
      </c>
      <c r="D38" s="40" t="s">
        <v>205</v>
      </c>
      <c r="E38" s="40" t="s">
        <v>206</v>
      </c>
      <c r="F38" s="39" t="str">
        <f t="shared" si="1"/>
        <v>CORRECT</v>
      </c>
      <c r="G38" s="39" t="s">
        <v>48</v>
      </c>
      <c r="H38" s="41" t="s">
        <v>48</v>
      </c>
      <c r="I38" s="42" t="s">
        <v>343</v>
      </c>
      <c r="J38" s="41">
        <v>41904.0</v>
      </c>
    </row>
    <row r="39" ht="60.0" customHeight="1">
      <c r="A39" s="39">
        <v>36.0</v>
      </c>
      <c r="B39" s="40" t="s">
        <v>208</v>
      </c>
      <c r="C39" s="40" t="s">
        <v>209</v>
      </c>
      <c r="D39" s="40" t="s">
        <v>210</v>
      </c>
      <c r="E39" s="40" t="s">
        <v>211</v>
      </c>
      <c r="F39" s="39" t="str">
        <f t="shared" si="1"/>
        <v>CORRECT</v>
      </c>
      <c r="G39" s="39" t="s">
        <v>36</v>
      </c>
      <c r="H39" s="41" t="s">
        <v>36</v>
      </c>
      <c r="I39" s="42" t="s">
        <v>344</v>
      </c>
      <c r="J39" s="41">
        <v>15785.0</v>
      </c>
    </row>
    <row r="40" ht="60.0" customHeight="1">
      <c r="A40" s="39">
        <v>37.0</v>
      </c>
      <c r="B40" s="40" t="s">
        <v>213</v>
      </c>
      <c r="C40" s="40" t="s">
        <v>214</v>
      </c>
      <c r="D40" s="40" t="s">
        <v>215</v>
      </c>
      <c r="E40" s="40" t="s">
        <v>216</v>
      </c>
      <c r="F40" s="39" t="str">
        <f t="shared" si="1"/>
        <v>WRONG</v>
      </c>
      <c r="G40" s="39" t="s">
        <v>36</v>
      </c>
      <c r="H40" s="41" t="s">
        <v>37</v>
      </c>
      <c r="I40" s="42" t="s">
        <v>217</v>
      </c>
      <c r="J40" s="41">
        <v>20404.0</v>
      </c>
    </row>
    <row r="41" ht="60.0" customHeight="1">
      <c r="A41" s="39">
        <v>38.0</v>
      </c>
      <c r="B41" s="40" t="s">
        <v>218</v>
      </c>
      <c r="C41" s="40" t="s">
        <v>219</v>
      </c>
      <c r="D41" s="40" t="s">
        <v>220</v>
      </c>
      <c r="E41" s="40" t="s">
        <v>221</v>
      </c>
      <c r="F41" s="39" t="str">
        <f t="shared" si="1"/>
        <v>CORRECT</v>
      </c>
      <c r="G41" s="39" t="s">
        <v>36</v>
      </c>
      <c r="H41" s="41" t="s">
        <v>36</v>
      </c>
      <c r="I41" s="42" t="s">
        <v>345</v>
      </c>
      <c r="J41" s="41">
        <v>22939.0</v>
      </c>
    </row>
    <row r="42" ht="60.0" customHeight="1">
      <c r="A42" s="39">
        <v>39.0</v>
      </c>
      <c r="B42" s="40" t="s">
        <v>223</v>
      </c>
      <c r="C42" s="40" t="s">
        <v>224</v>
      </c>
      <c r="D42" s="40" t="s">
        <v>225</v>
      </c>
      <c r="E42" s="40" t="s">
        <v>226</v>
      </c>
      <c r="F42" s="39" t="str">
        <f t="shared" si="1"/>
        <v>WRONG</v>
      </c>
      <c r="G42" s="39" t="s">
        <v>37</v>
      </c>
      <c r="H42" s="41" t="s">
        <v>48</v>
      </c>
      <c r="I42" s="42" t="s">
        <v>346</v>
      </c>
      <c r="J42" s="41">
        <v>24909.0</v>
      </c>
    </row>
    <row r="43" ht="60.0" customHeight="1">
      <c r="A43" s="39">
        <v>40.0</v>
      </c>
      <c r="B43" s="40" t="s">
        <v>228</v>
      </c>
      <c r="C43" s="40" t="s">
        <v>229</v>
      </c>
      <c r="D43" s="40" t="s">
        <v>230</v>
      </c>
      <c r="E43" s="40" t="s">
        <v>231</v>
      </c>
      <c r="F43" s="39" t="str">
        <f t="shared" si="1"/>
        <v>WRONG</v>
      </c>
      <c r="G43" s="39" t="s">
        <v>48</v>
      </c>
      <c r="H43" s="43" t="s">
        <v>37</v>
      </c>
      <c r="I43" s="42" t="s">
        <v>347</v>
      </c>
      <c r="J43" s="41">
        <v>35148.0</v>
      </c>
    </row>
    <row r="44" ht="60.0" customHeight="1">
      <c r="A44" s="39">
        <v>41.0</v>
      </c>
      <c r="B44" s="40" t="s">
        <v>233</v>
      </c>
      <c r="C44" s="40" t="s">
        <v>234</v>
      </c>
      <c r="D44" s="40" t="s">
        <v>235</v>
      </c>
      <c r="E44" s="40" t="s">
        <v>236</v>
      </c>
      <c r="F44" s="39" t="str">
        <f t="shared" si="1"/>
        <v>CORRECT</v>
      </c>
      <c r="G44" s="39" t="s">
        <v>37</v>
      </c>
      <c r="H44" s="41" t="s">
        <v>37</v>
      </c>
      <c r="I44" s="42" t="s">
        <v>237</v>
      </c>
      <c r="J44" s="41">
        <v>14715.0</v>
      </c>
    </row>
    <row r="45" ht="60.0" customHeight="1">
      <c r="A45" s="39">
        <v>42.0</v>
      </c>
      <c r="B45" s="40" t="s">
        <v>238</v>
      </c>
      <c r="C45" s="40" t="s">
        <v>239</v>
      </c>
      <c r="D45" s="40" t="s">
        <v>240</v>
      </c>
      <c r="E45" s="40" t="s">
        <v>241</v>
      </c>
      <c r="F45" s="39" t="str">
        <f t="shared" si="1"/>
        <v>WRONG</v>
      </c>
      <c r="G45" s="39" t="s">
        <v>36</v>
      </c>
      <c r="H45" s="41" t="s">
        <v>37</v>
      </c>
      <c r="I45" s="42" t="s">
        <v>242</v>
      </c>
      <c r="J45" s="41">
        <v>26693.0</v>
      </c>
    </row>
    <row r="46" ht="60.0" customHeight="1">
      <c r="A46" s="39">
        <v>43.0</v>
      </c>
      <c r="B46" s="40" t="s">
        <v>243</v>
      </c>
      <c r="C46" s="40" t="s">
        <v>244</v>
      </c>
      <c r="D46" s="40" t="s">
        <v>245</v>
      </c>
      <c r="E46" s="40" t="s">
        <v>246</v>
      </c>
      <c r="F46" s="39" t="str">
        <f t="shared" si="1"/>
        <v>WRONG</v>
      </c>
      <c r="G46" s="39" t="s">
        <v>48</v>
      </c>
      <c r="H46" s="41" t="s">
        <v>36</v>
      </c>
      <c r="I46" s="42" t="s">
        <v>348</v>
      </c>
      <c r="J46" s="41">
        <v>24080.0</v>
      </c>
    </row>
    <row r="47" ht="60.0" customHeight="1">
      <c r="A47" s="39">
        <v>44.0</v>
      </c>
      <c r="B47" s="40" t="s">
        <v>248</v>
      </c>
      <c r="C47" s="40" t="s">
        <v>249</v>
      </c>
      <c r="D47" s="40" t="s">
        <v>250</v>
      </c>
      <c r="E47" s="40" t="s">
        <v>251</v>
      </c>
      <c r="F47" s="39" t="str">
        <f t="shared" si="1"/>
        <v>WRONG</v>
      </c>
      <c r="G47" s="39" t="s">
        <v>36</v>
      </c>
      <c r="H47" s="41" t="s">
        <v>48</v>
      </c>
      <c r="I47" s="42" t="s">
        <v>349</v>
      </c>
      <c r="J47" s="41">
        <v>32547.0</v>
      </c>
    </row>
    <row r="48" ht="60.0" customHeight="1">
      <c r="A48" s="39">
        <v>45.0</v>
      </c>
      <c r="B48" s="40" t="s">
        <v>253</v>
      </c>
      <c r="C48" s="40" t="s">
        <v>254</v>
      </c>
      <c r="D48" s="40" t="s">
        <v>255</v>
      </c>
      <c r="E48" s="40" t="s">
        <v>256</v>
      </c>
      <c r="F48" s="39" t="str">
        <f t="shared" si="1"/>
        <v>CORRECT</v>
      </c>
      <c r="G48" s="39" t="s">
        <v>36</v>
      </c>
      <c r="H48" s="41" t="s">
        <v>36</v>
      </c>
      <c r="I48" s="42" t="s">
        <v>350</v>
      </c>
      <c r="J48" s="41">
        <v>27628.0</v>
      </c>
    </row>
    <row r="49" ht="60.0" customHeight="1">
      <c r="A49" s="39">
        <v>46.0</v>
      </c>
      <c r="B49" s="40" t="s">
        <v>258</v>
      </c>
      <c r="C49" s="40" t="s">
        <v>40</v>
      </c>
      <c r="D49" s="40" t="s">
        <v>259</v>
      </c>
      <c r="E49" s="40" t="s">
        <v>260</v>
      </c>
      <c r="F49" s="39" t="str">
        <f t="shared" si="1"/>
        <v>CORRECT</v>
      </c>
      <c r="G49" s="39" t="s">
        <v>36</v>
      </c>
      <c r="H49" s="41" t="s">
        <v>36</v>
      </c>
      <c r="I49" s="42" t="s">
        <v>351</v>
      </c>
      <c r="J49" s="41">
        <v>20263.0</v>
      </c>
    </row>
    <row r="50">
      <c r="A50" s="44" t="s">
        <v>262</v>
      </c>
      <c r="B50" s="2"/>
      <c r="C50" s="2"/>
      <c r="D50" s="2"/>
      <c r="E50" s="3"/>
      <c r="F50" s="45">
        <f>COUNTIFS(F4:F49,"CORRECT")</f>
        <v>23</v>
      </c>
      <c r="G50" s="46"/>
      <c r="H50" s="46"/>
      <c r="J50" s="47">
        <f>AVERAGE(J4:J49)</f>
        <v>28635.65217</v>
      </c>
    </row>
    <row r="51">
      <c r="A51" s="48" t="s">
        <v>263</v>
      </c>
      <c r="B51" s="2"/>
      <c r="C51" s="2"/>
      <c r="D51" s="2"/>
      <c r="E51" s="3"/>
      <c r="F51" s="49">
        <v>46.0</v>
      </c>
      <c r="G51" s="46"/>
      <c r="H51" s="46"/>
    </row>
    <row r="52">
      <c r="A52" s="44" t="s">
        <v>264</v>
      </c>
      <c r="B52" s="2"/>
      <c r="C52" s="2"/>
      <c r="D52" s="2"/>
      <c r="E52" s="3"/>
      <c r="F52" s="50">
        <f>F50/F51</f>
        <v>0.5</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352</v>
      </c>
      <c r="C2" s="2"/>
      <c r="D2" s="2"/>
      <c r="E2" s="2"/>
      <c r="F2" s="2"/>
      <c r="G2" s="2"/>
      <c r="H2" s="3"/>
      <c r="I2" s="37" t="s">
        <v>353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3" t="s">
        <v>37</v>
      </c>
      <c r="I4" s="42" t="s">
        <v>354</v>
      </c>
      <c r="J4" s="53">
        <v>20955.0</v>
      </c>
    </row>
    <row r="5" ht="60.0" customHeight="1">
      <c r="A5" s="39">
        <v>2.0</v>
      </c>
      <c r="B5" s="40" t="s">
        <v>39</v>
      </c>
      <c r="C5" s="40" t="s">
        <v>40</v>
      </c>
      <c r="D5" s="40" t="s">
        <v>41</v>
      </c>
      <c r="E5" s="40" t="s">
        <v>42</v>
      </c>
      <c r="F5" s="39" t="str">
        <f t="shared" si="1"/>
        <v>WRONG</v>
      </c>
      <c r="G5" s="39" t="s">
        <v>37</v>
      </c>
      <c r="H5" s="54" t="s">
        <v>48</v>
      </c>
      <c r="I5" s="42" t="s">
        <v>355</v>
      </c>
      <c r="J5" s="53">
        <v>39693.0</v>
      </c>
    </row>
    <row r="6" ht="60.0" customHeight="1">
      <c r="A6" s="39">
        <v>3.0</v>
      </c>
      <c r="B6" s="40" t="s">
        <v>44</v>
      </c>
      <c r="C6" s="40" t="s">
        <v>45</v>
      </c>
      <c r="D6" s="40" t="s">
        <v>46</v>
      </c>
      <c r="E6" s="40" t="s">
        <v>47</v>
      </c>
      <c r="F6" s="39" t="str">
        <f t="shared" si="1"/>
        <v>CORRECT</v>
      </c>
      <c r="G6" s="39" t="s">
        <v>48</v>
      </c>
      <c r="H6" s="53" t="s">
        <v>48</v>
      </c>
      <c r="I6" s="42" t="s">
        <v>356</v>
      </c>
      <c r="J6" s="53">
        <v>23866.0</v>
      </c>
    </row>
    <row r="7" ht="60.0" customHeight="1">
      <c r="A7" s="39">
        <v>4.0</v>
      </c>
      <c r="B7" s="40" t="s">
        <v>50</v>
      </c>
      <c r="C7" s="40" t="s">
        <v>51</v>
      </c>
      <c r="D7" s="40" t="s">
        <v>52</v>
      </c>
      <c r="E7" s="40" t="s">
        <v>53</v>
      </c>
      <c r="F7" s="39" t="str">
        <f t="shared" si="1"/>
        <v>WRONG</v>
      </c>
      <c r="G7" s="39" t="s">
        <v>37</v>
      </c>
      <c r="H7" s="53" t="s">
        <v>48</v>
      </c>
      <c r="I7" s="42" t="s">
        <v>357</v>
      </c>
      <c r="J7" s="53">
        <v>28179.0</v>
      </c>
    </row>
    <row r="8" ht="60.0" customHeight="1">
      <c r="A8" s="39">
        <v>5.0</v>
      </c>
      <c r="B8" s="40" t="s">
        <v>55</v>
      </c>
      <c r="C8" s="40" t="s">
        <v>56</v>
      </c>
      <c r="D8" s="40" t="s">
        <v>57</v>
      </c>
      <c r="E8" s="40" t="s">
        <v>58</v>
      </c>
      <c r="F8" s="39" t="str">
        <f t="shared" si="1"/>
        <v>WRONG</v>
      </c>
      <c r="G8" s="39" t="s">
        <v>48</v>
      </c>
      <c r="H8" s="54" t="s">
        <v>36</v>
      </c>
      <c r="I8" s="42" t="s">
        <v>358</v>
      </c>
      <c r="J8" s="53">
        <v>61241.0</v>
      </c>
    </row>
    <row r="9" ht="60.0" customHeight="1">
      <c r="A9" s="39">
        <v>6.0</v>
      </c>
      <c r="B9" s="40" t="s">
        <v>60</v>
      </c>
      <c r="C9" s="40" t="s">
        <v>61</v>
      </c>
      <c r="D9" s="40" t="s">
        <v>62</v>
      </c>
      <c r="E9" s="40" t="s">
        <v>63</v>
      </c>
      <c r="F9" s="39" t="str">
        <f t="shared" si="1"/>
        <v>CORRECT</v>
      </c>
      <c r="G9" s="39" t="s">
        <v>37</v>
      </c>
      <c r="H9" s="53" t="s">
        <v>37</v>
      </c>
      <c r="I9" s="42" t="s">
        <v>359</v>
      </c>
      <c r="J9" s="53">
        <v>27708.0</v>
      </c>
    </row>
    <row r="10" ht="60.0" customHeight="1">
      <c r="A10" s="39">
        <v>7.0</v>
      </c>
      <c r="B10" s="40" t="s">
        <v>65</v>
      </c>
      <c r="C10" s="40" t="s">
        <v>66</v>
      </c>
      <c r="D10" s="40" t="s">
        <v>67</v>
      </c>
      <c r="E10" s="40" t="s">
        <v>68</v>
      </c>
      <c r="F10" s="39" t="str">
        <f t="shared" si="1"/>
        <v>WRONG</v>
      </c>
      <c r="G10" s="39" t="s">
        <v>37</v>
      </c>
      <c r="H10" s="54" t="s">
        <v>36</v>
      </c>
      <c r="I10" s="42" t="s">
        <v>360</v>
      </c>
      <c r="J10" s="53">
        <v>34727.0</v>
      </c>
    </row>
    <row r="11" ht="60.0" customHeight="1">
      <c r="A11" s="39">
        <v>8.0</v>
      </c>
      <c r="B11" s="40" t="s">
        <v>70</v>
      </c>
      <c r="C11" s="40" t="s">
        <v>71</v>
      </c>
      <c r="D11" s="40" t="s">
        <v>72</v>
      </c>
      <c r="E11" s="40" t="s">
        <v>73</v>
      </c>
      <c r="F11" s="39" t="str">
        <f t="shared" si="1"/>
        <v>WRONG</v>
      </c>
      <c r="G11" s="39" t="s">
        <v>48</v>
      </c>
      <c r="H11" s="53" t="s">
        <v>37</v>
      </c>
      <c r="I11" s="42" t="s">
        <v>361</v>
      </c>
      <c r="J11" s="53">
        <v>34098.0</v>
      </c>
    </row>
    <row r="12" ht="60.0" customHeight="1">
      <c r="A12" s="39">
        <v>9.0</v>
      </c>
      <c r="B12" s="40" t="s">
        <v>75</v>
      </c>
      <c r="C12" s="40" t="s">
        <v>76</v>
      </c>
      <c r="D12" s="40" t="s">
        <v>77</v>
      </c>
      <c r="E12" s="40" t="s">
        <v>78</v>
      </c>
      <c r="F12" s="39" t="str">
        <f t="shared" si="1"/>
        <v>WRONG</v>
      </c>
      <c r="G12" s="39" t="s">
        <v>37</v>
      </c>
      <c r="H12" s="53" t="s">
        <v>48</v>
      </c>
      <c r="I12" s="42" t="s">
        <v>362</v>
      </c>
      <c r="J12" s="53">
        <v>25838.0</v>
      </c>
    </row>
    <row r="13" ht="60.0" customHeight="1">
      <c r="A13" s="39">
        <v>10.0</v>
      </c>
      <c r="B13" s="40" t="s">
        <v>80</v>
      </c>
      <c r="C13" s="40" t="s">
        <v>81</v>
      </c>
      <c r="D13" s="40" t="s">
        <v>82</v>
      </c>
      <c r="E13" s="40" t="s">
        <v>83</v>
      </c>
      <c r="F13" s="39" t="str">
        <f t="shared" si="1"/>
        <v>CORRECT</v>
      </c>
      <c r="G13" s="39" t="s">
        <v>48</v>
      </c>
      <c r="H13" s="53" t="s">
        <v>48</v>
      </c>
      <c r="I13" s="42" t="s">
        <v>363</v>
      </c>
      <c r="J13" s="53">
        <v>23495.0</v>
      </c>
    </row>
    <row r="14" ht="60.0" customHeight="1">
      <c r="A14" s="39">
        <v>11.0</v>
      </c>
      <c r="B14" s="40" t="s">
        <v>85</v>
      </c>
      <c r="C14" s="40" t="s">
        <v>86</v>
      </c>
      <c r="D14" s="40" t="s">
        <v>87</v>
      </c>
      <c r="E14" s="40" t="s">
        <v>88</v>
      </c>
      <c r="F14" s="39" t="str">
        <f t="shared" si="1"/>
        <v>WRONG</v>
      </c>
      <c r="G14" s="39" t="s">
        <v>37</v>
      </c>
      <c r="H14" s="53" t="s">
        <v>36</v>
      </c>
      <c r="I14" s="42" t="s">
        <v>364</v>
      </c>
      <c r="J14" s="53">
        <v>35349.0</v>
      </c>
    </row>
    <row r="15" ht="60.0" customHeight="1">
      <c r="A15" s="39">
        <v>12.0</v>
      </c>
      <c r="B15" s="40" t="s">
        <v>90</v>
      </c>
      <c r="C15" s="40" t="s">
        <v>91</v>
      </c>
      <c r="D15" s="40" t="s">
        <v>92</v>
      </c>
      <c r="E15" s="40" t="s">
        <v>93</v>
      </c>
      <c r="F15" s="39" t="str">
        <f t="shared" si="1"/>
        <v>CORRECT</v>
      </c>
      <c r="G15" s="39" t="s">
        <v>48</v>
      </c>
      <c r="H15" s="53" t="s">
        <v>48</v>
      </c>
      <c r="I15" s="42" t="s">
        <v>365</v>
      </c>
      <c r="J15" s="53">
        <v>40624.0</v>
      </c>
    </row>
    <row r="16" ht="60.0" customHeight="1">
      <c r="A16" s="39">
        <v>13.0</v>
      </c>
      <c r="B16" s="40" t="s">
        <v>95</v>
      </c>
      <c r="C16" s="40" t="s">
        <v>96</v>
      </c>
      <c r="D16" s="40" t="s">
        <v>97</v>
      </c>
      <c r="E16" s="40" t="s">
        <v>98</v>
      </c>
      <c r="F16" s="39" t="str">
        <f t="shared" si="1"/>
        <v>WRONG</v>
      </c>
      <c r="G16" s="39" t="s">
        <v>36</v>
      </c>
      <c r="H16" s="54" t="s">
        <v>48</v>
      </c>
      <c r="I16" s="42" t="s">
        <v>366</v>
      </c>
      <c r="J16" s="53">
        <v>16155.0</v>
      </c>
    </row>
    <row r="17" ht="60.0" customHeight="1">
      <c r="A17" s="39">
        <v>14.0</v>
      </c>
      <c r="B17" s="40" t="s">
        <v>100</v>
      </c>
      <c r="C17" s="40" t="s">
        <v>101</v>
      </c>
      <c r="D17" s="40" t="s">
        <v>102</v>
      </c>
      <c r="E17" s="40" t="s">
        <v>103</v>
      </c>
      <c r="F17" s="39" t="str">
        <f t="shared" si="1"/>
        <v>WRONG</v>
      </c>
      <c r="G17" s="39" t="s">
        <v>36</v>
      </c>
      <c r="H17" s="53" t="s">
        <v>48</v>
      </c>
      <c r="I17" s="42" t="s">
        <v>367</v>
      </c>
      <c r="J17" s="53">
        <v>27443.0</v>
      </c>
    </row>
    <row r="18" ht="60.0" customHeight="1">
      <c r="A18" s="39">
        <v>15.0</v>
      </c>
      <c r="B18" s="40" t="s">
        <v>105</v>
      </c>
      <c r="C18" s="40" t="s">
        <v>106</v>
      </c>
      <c r="D18" s="40" t="s">
        <v>107</v>
      </c>
      <c r="E18" s="40" t="s">
        <v>108</v>
      </c>
      <c r="F18" s="39" t="str">
        <f t="shared" si="1"/>
        <v>CORRECT</v>
      </c>
      <c r="G18" s="39" t="s">
        <v>48</v>
      </c>
      <c r="H18" s="53" t="s">
        <v>48</v>
      </c>
      <c r="I18" s="42" t="s">
        <v>368</v>
      </c>
      <c r="J18" s="53">
        <v>21967.0</v>
      </c>
    </row>
    <row r="19" ht="60.0" customHeight="1">
      <c r="A19" s="39">
        <v>16.0</v>
      </c>
      <c r="B19" s="40" t="s">
        <v>110</v>
      </c>
      <c r="C19" s="40" t="s">
        <v>111</v>
      </c>
      <c r="D19" s="40" t="s">
        <v>112</v>
      </c>
      <c r="E19" s="40" t="s">
        <v>113</v>
      </c>
      <c r="F19" s="39" t="str">
        <f t="shared" si="1"/>
        <v>CORRECT</v>
      </c>
      <c r="G19" s="39" t="s">
        <v>48</v>
      </c>
      <c r="H19" s="54" t="s">
        <v>48</v>
      </c>
      <c r="I19" s="42" t="s">
        <v>369</v>
      </c>
      <c r="J19" s="53">
        <v>20105.0</v>
      </c>
    </row>
    <row r="20" ht="60.0" customHeight="1">
      <c r="A20" s="39">
        <v>17.0</v>
      </c>
      <c r="B20" s="40" t="s">
        <v>115</v>
      </c>
      <c r="C20" s="40" t="s">
        <v>116</v>
      </c>
      <c r="D20" s="40" t="s">
        <v>117</v>
      </c>
      <c r="E20" s="40" t="s">
        <v>118</v>
      </c>
      <c r="F20" s="39" t="str">
        <f t="shared" si="1"/>
        <v>CORRECT</v>
      </c>
      <c r="G20" s="39" t="s">
        <v>37</v>
      </c>
      <c r="H20" s="53" t="s">
        <v>37</v>
      </c>
      <c r="I20" s="42" t="s">
        <v>370</v>
      </c>
      <c r="J20" s="53">
        <v>28386.0</v>
      </c>
    </row>
    <row r="21" ht="60.0" customHeight="1">
      <c r="A21" s="39">
        <v>18.0</v>
      </c>
      <c r="B21" s="40" t="s">
        <v>120</v>
      </c>
      <c r="C21" s="40" t="s">
        <v>121</v>
      </c>
      <c r="D21" s="40" t="s">
        <v>122</v>
      </c>
      <c r="E21" s="40" t="s">
        <v>123</v>
      </c>
      <c r="F21" s="39" t="str">
        <f t="shared" si="1"/>
        <v>CORRECT</v>
      </c>
      <c r="G21" s="39" t="s">
        <v>37</v>
      </c>
      <c r="H21" s="53" t="s">
        <v>37</v>
      </c>
      <c r="I21" s="42" t="s">
        <v>371</v>
      </c>
      <c r="J21" s="53">
        <v>26381.0</v>
      </c>
    </row>
    <row r="22" ht="60.0" customHeight="1">
      <c r="A22" s="39">
        <v>19.0</v>
      </c>
      <c r="B22" s="40" t="s">
        <v>125</v>
      </c>
      <c r="C22" s="40" t="s">
        <v>126</v>
      </c>
      <c r="D22" s="40" t="s">
        <v>127</v>
      </c>
      <c r="E22" s="40" t="s">
        <v>128</v>
      </c>
      <c r="F22" s="39" t="str">
        <f t="shared" si="1"/>
        <v>WRONG</v>
      </c>
      <c r="G22" s="39" t="s">
        <v>36</v>
      </c>
      <c r="H22" s="53" t="s">
        <v>48</v>
      </c>
      <c r="I22" s="42" t="s">
        <v>372</v>
      </c>
      <c r="J22" s="53">
        <v>27699.0</v>
      </c>
    </row>
    <row r="23" ht="60.0" customHeight="1">
      <c r="A23" s="39">
        <v>20.0</v>
      </c>
      <c r="B23" s="40" t="s">
        <v>130</v>
      </c>
      <c r="C23" s="40" t="s">
        <v>131</v>
      </c>
      <c r="D23" s="40" t="s">
        <v>132</v>
      </c>
      <c r="E23" s="40" t="s">
        <v>133</v>
      </c>
      <c r="F23" s="39" t="str">
        <f t="shared" si="1"/>
        <v>WRONG</v>
      </c>
      <c r="G23" s="39" t="s">
        <v>37</v>
      </c>
      <c r="H23" s="54" t="s">
        <v>48</v>
      </c>
      <c r="I23" s="42" t="s">
        <v>373</v>
      </c>
      <c r="J23" s="53">
        <v>13481.0</v>
      </c>
    </row>
    <row r="24" ht="60.0" customHeight="1">
      <c r="A24" s="39">
        <v>21.0</v>
      </c>
      <c r="B24" s="40" t="s">
        <v>135</v>
      </c>
      <c r="C24" s="40" t="s">
        <v>136</v>
      </c>
      <c r="D24" s="40" t="s">
        <v>137</v>
      </c>
      <c r="E24" s="40" t="s">
        <v>138</v>
      </c>
      <c r="F24" s="39" t="str">
        <f t="shared" si="1"/>
        <v>WRONG</v>
      </c>
      <c r="G24" s="39" t="s">
        <v>37</v>
      </c>
      <c r="H24" s="53" t="s">
        <v>36</v>
      </c>
      <c r="I24" s="42" t="s">
        <v>374</v>
      </c>
      <c r="J24" s="53">
        <v>28222.0</v>
      </c>
    </row>
    <row r="25" ht="60.0" customHeight="1">
      <c r="A25" s="39">
        <v>22.0</v>
      </c>
      <c r="B25" s="40" t="s">
        <v>140</v>
      </c>
      <c r="C25" s="40" t="s">
        <v>141</v>
      </c>
      <c r="D25" s="40" t="s">
        <v>142</v>
      </c>
      <c r="E25" s="40" t="s">
        <v>143</v>
      </c>
      <c r="F25" s="39" t="str">
        <f t="shared" si="1"/>
        <v>CORRECT</v>
      </c>
      <c r="G25" s="39" t="s">
        <v>37</v>
      </c>
      <c r="H25" s="53" t="s">
        <v>37</v>
      </c>
      <c r="I25" s="42" t="s">
        <v>375</v>
      </c>
      <c r="J25" s="53">
        <v>18461.0</v>
      </c>
    </row>
    <row r="26" ht="60.0" customHeight="1">
      <c r="A26" s="39">
        <v>23.0</v>
      </c>
      <c r="B26" s="40" t="s">
        <v>145</v>
      </c>
      <c r="C26" s="40" t="s">
        <v>146</v>
      </c>
      <c r="D26" s="40" t="s">
        <v>147</v>
      </c>
      <c r="E26" s="40" t="s">
        <v>148</v>
      </c>
      <c r="F26" s="39" t="str">
        <f t="shared" si="1"/>
        <v>CORRECT</v>
      </c>
      <c r="G26" s="39" t="s">
        <v>48</v>
      </c>
      <c r="H26" s="54" t="s">
        <v>48</v>
      </c>
      <c r="I26" s="42" t="s">
        <v>376</v>
      </c>
      <c r="J26" s="53">
        <v>25094.0</v>
      </c>
    </row>
    <row r="27" ht="60.0" customHeight="1">
      <c r="A27" s="39">
        <v>24.0</v>
      </c>
      <c r="B27" s="40" t="s">
        <v>150</v>
      </c>
      <c r="C27" s="40" t="s">
        <v>151</v>
      </c>
      <c r="D27" s="40" t="s">
        <v>152</v>
      </c>
      <c r="E27" s="40" t="s">
        <v>153</v>
      </c>
      <c r="F27" s="39" t="str">
        <f t="shared" si="1"/>
        <v>WRONG</v>
      </c>
      <c r="G27" s="39" t="s">
        <v>36</v>
      </c>
      <c r="H27" s="54" t="s">
        <v>48</v>
      </c>
      <c r="I27" s="42" t="s">
        <v>377</v>
      </c>
      <c r="J27" s="53">
        <v>29826.0</v>
      </c>
    </row>
    <row r="28" ht="60.0" customHeight="1">
      <c r="A28" s="39">
        <v>25.0</v>
      </c>
      <c r="B28" s="40" t="s">
        <v>155</v>
      </c>
      <c r="C28" s="40" t="s">
        <v>151</v>
      </c>
      <c r="D28" s="40" t="s">
        <v>156</v>
      </c>
      <c r="E28" s="40" t="s">
        <v>153</v>
      </c>
      <c r="F28" s="39" t="str">
        <f t="shared" si="1"/>
        <v>WRONG</v>
      </c>
      <c r="G28" s="39" t="s">
        <v>48</v>
      </c>
      <c r="H28" s="53" t="s">
        <v>36</v>
      </c>
      <c r="I28" s="42" t="s">
        <v>378</v>
      </c>
      <c r="J28" s="53">
        <v>17407.0</v>
      </c>
    </row>
    <row r="29" ht="60.0" customHeight="1">
      <c r="A29" s="39">
        <v>26.0</v>
      </c>
      <c r="B29" s="40" t="s">
        <v>158</v>
      </c>
      <c r="C29" s="40" t="s">
        <v>159</v>
      </c>
      <c r="D29" s="40" t="s">
        <v>160</v>
      </c>
      <c r="E29" s="40" t="s">
        <v>161</v>
      </c>
      <c r="F29" s="39" t="str">
        <f t="shared" si="1"/>
        <v>WRONG</v>
      </c>
      <c r="G29" s="39" t="s">
        <v>36</v>
      </c>
      <c r="H29" s="54" t="s">
        <v>37</v>
      </c>
      <c r="I29" s="42" t="s">
        <v>379</v>
      </c>
      <c r="J29" s="53">
        <v>26581.0</v>
      </c>
    </row>
    <row r="30" ht="60.0" customHeight="1">
      <c r="A30" s="39">
        <v>27.0</v>
      </c>
      <c r="B30" s="40" t="s">
        <v>163</v>
      </c>
      <c r="C30" s="40" t="s">
        <v>164</v>
      </c>
      <c r="D30" s="40" t="s">
        <v>165</v>
      </c>
      <c r="E30" s="40" t="s">
        <v>166</v>
      </c>
      <c r="F30" s="39" t="str">
        <f t="shared" si="1"/>
        <v>CORRECT</v>
      </c>
      <c r="G30" s="39" t="s">
        <v>37</v>
      </c>
      <c r="H30" s="53" t="s">
        <v>37</v>
      </c>
      <c r="I30" s="42" t="s">
        <v>380</v>
      </c>
      <c r="J30" s="53">
        <v>33605.0</v>
      </c>
    </row>
    <row r="31" ht="60.0" customHeight="1">
      <c r="A31" s="39">
        <v>28.0</v>
      </c>
      <c r="B31" s="40" t="s">
        <v>168</v>
      </c>
      <c r="C31" s="40" t="s">
        <v>169</v>
      </c>
      <c r="D31" s="40" t="s">
        <v>170</v>
      </c>
      <c r="E31" s="40" t="s">
        <v>171</v>
      </c>
      <c r="F31" s="39" t="str">
        <f t="shared" si="1"/>
        <v>CORRECT</v>
      </c>
      <c r="G31" s="39" t="s">
        <v>36</v>
      </c>
      <c r="H31" s="53" t="s">
        <v>36</v>
      </c>
      <c r="I31" s="42" t="s">
        <v>381</v>
      </c>
      <c r="J31" s="53">
        <v>19232.0</v>
      </c>
    </row>
    <row r="32" ht="60.0" customHeight="1">
      <c r="A32" s="39">
        <v>29.0</v>
      </c>
      <c r="B32" s="40" t="s">
        <v>173</v>
      </c>
      <c r="C32" s="40" t="s">
        <v>174</v>
      </c>
      <c r="D32" s="40" t="s">
        <v>175</v>
      </c>
      <c r="E32" s="40" t="s">
        <v>176</v>
      </c>
      <c r="F32" s="39" t="str">
        <f t="shared" si="1"/>
        <v>CORRECT</v>
      </c>
      <c r="G32" s="39" t="s">
        <v>37</v>
      </c>
      <c r="H32" s="53" t="s">
        <v>37</v>
      </c>
      <c r="I32" s="42" t="s">
        <v>382</v>
      </c>
      <c r="J32" s="53">
        <v>30721.0</v>
      </c>
    </row>
    <row r="33" ht="60.0" customHeight="1">
      <c r="A33" s="39">
        <v>30.0</v>
      </c>
      <c r="B33" s="40" t="s">
        <v>178</v>
      </c>
      <c r="C33" s="40" t="s">
        <v>179</v>
      </c>
      <c r="D33" s="40" t="s">
        <v>180</v>
      </c>
      <c r="E33" s="40" t="s">
        <v>181</v>
      </c>
      <c r="F33" s="39" t="str">
        <f t="shared" si="1"/>
        <v>WRONG</v>
      </c>
      <c r="G33" s="39" t="s">
        <v>48</v>
      </c>
      <c r="H33" s="53" t="s">
        <v>36</v>
      </c>
      <c r="I33" s="42" t="s">
        <v>383</v>
      </c>
      <c r="J33" s="53">
        <v>27844.0</v>
      </c>
    </row>
    <row r="34" ht="60.0" customHeight="1">
      <c r="A34" s="39">
        <v>31.0</v>
      </c>
      <c r="B34" s="40" t="s">
        <v>183</v>
      </c>
      <c r="C34" s="40" t="s">
        <v>184</v>
      </c>
      <c r="D34" s="40" t="s">
        <v>185</v>
      </c>
      <c r="E34" s="40" t="s">
        <v>186</v>
      </c>
      <c r="F34" s="39" t="str">
        <f t="shared" si="1"/>
        <v>WRONG</v>
      </c>
      <c r="G34" s="39" t="s">
        <v>37</v>
      </c>
      <c r="H34" s="53" t="s">
        <v>36</v>
      </c>
      <c r="I34" s="42" t="s">
        <v>384</v>
      </c>
      <c r="J34" s="53">
        <v>36751.0</v>
      </c>
    </row>
    <row r="35" ht="60.0" customHeight="1">
      <c r="A35" s="39">
        <v>32.0</v>
      </c>
      <c r="B35" s="40" t="s">
        <v>188</v>
      </c>
      <c r="C35" s="40" t="s">
        <v>189</v>
      </c>
      <c r="D35" s="40" t="s">
        <v>190</v>
      </c>
      <c r="E35" s="40" t="s">
        <v>191</v>
      </c>
      <c r="F35" s="39" t="str">
        <f t="shared" si="1"/>
        <v>WRONG</v>
      </c>
      <c r="G35" s="39" t="s">
        <v>36</v>
      </c>
      <c r="H35" s="53" t="s">
        <v>48</v>
      </c>
      <c r="I35" s="42" t="s">
        <v>385</v>
      </c>
      <c r="J35" s="53">
        <v>37795.0</v>
      </c>
    </row>
    <row r="36" ht="60.0" customHeight="1">
      <c r="A36" s="39">
        <v>33.0</v>
      </c>
      <c r="B36" s="40" t="s">
        <v>193</v>
      </c>
      <c r="C36" s="40" t="s">
        <v>194</v>
      </c>
      <c r="D36" s="40" t="s">
        <v>195</v>
      </c>
      <c r="E36" s="40" t="s">
        <v>196</v>
      </c>
      <c r="F36" s="39" t="str">
        <f t="shared" si="1"/>
        <v>CORRECT</v>
      </c>
      <c r="G36" s="39" t="s">
        <v>48</v>
      </c>
      <c r="H36" s="54" t="s">
        <v>48</v>
      </c>
      <c r="I36" s="42" t="s">
        <v>386</v>
      </c>
      <c r="J36" s="53">
        <v>42901.0</v>
      </c>
    </row>
    <row r="37" ht="60.0" customHeight="1">
      <c r="A37" s="39">
        <v>34.0</v>
      </c>
      <c r="B37" s="40" t="s">
        <v>198</v>
      </c>
      <c r="C37" s="40" t="s">
        <v>199</v>
      </c>
      <c r="D37" s="40" t="s">
        <v>200</v>
      </c>
      <c r="E37" s="40" t="s">
        <v>201</v>
      </c>
      <c r="F37" s="39" t="str">
        <f t="shared" si="1"/>
        <v>CORRECT</v>
      </c>
      <c r="G37" s="39" t="s">
        <v>36</v>
      </c>
      <c r="H37" s="53" t="s">
        <v>36</v>
      </c>
      <c r="I37" s="42" t="s">
        <v>387</v>
      </c>
      <c r="J37" s="53">
        <v>28532.0</v>
      </c>
    </row>
    <row r="38" ht="60.0" customHeight="1">
      <c r="A38" s="39">
        <v>35.0</v>
      </c>
      <c r="B38" s="40" t="s">
        <v>203</v>
      </c>
      <c r="C38" s="40" t="s">
        <v>204</v>
      </c>
      <c r="D38" s="40" t="s">
        <v>205</v>
      </c>
      <c r="E38" s="40" t="s">
        <v>206</v>
      </c>
      <c r="F38" s="39" t="str">
        <f t="shared" si="1"/>
        <v>CORRECT</v>
      </c>
      <c r="G38" s="39" t="s">
        <v>48</v>
      </c>
      <c r="H38" s="54" t="s">
        <v>48</v>
      </c>
      <c r="I38" s="42" t="s">
        <v>388</v>
      </c>
      <c r="J38" s="53">
        <v>50609.0</v>
      </c>
    </row>
    <row r="39" ht="60.0" customHeight="1">
      <c r="A39" s="39">
        <v>36.0</v>
      </c>
      <c r="B39" s="40" t="s">
        <v>208</v>
      </c>
      <c r="C39" s="40" t="s">
        <v>209</v>
      </c>
      <c r="D39" s="40" t="s">
        <v>210</v>
      </c>
      <c r="E39" s="40" t="s">
        <v>211</v>
      </c>
      <c r="F39" s="39" t="str">
        <f t="shared" si="1"/>
        <v>CORRECT</v>
      </c>
      <c r="G39" s="39" t="s">
        <v>36</v>
      </c>
      <c r="H39" s="53" t="s">
        <v>36</v>
      </c>
      <c r="I39" s="42" t="s">
        <v>389</v>
      </c>
      <c r="J39" s="53">
        <v>18821.0</v>
      </c>
    </row>
    <row r="40" ht="60.0" customHeight="1">
      <c r="A40" s="39">
        <v>37.0</v>
      </c>
      <c r="B40" s="40" t="s">
        <v>213</v>
      </c>
      <c r="C40" s="40" t="s">
        <v>214</v>
      </c>
      <c r="D40" s="40" t="s">
        <v>215</v>
      </c>
      <c r="E40" s="40" t="s">
        <v>216</v>
      </c>
      <c r="F40" s="39" t="str">
        <f t="shared" si="1"/>
        <v>WRONG</v>
      </c>
      <c r="G40" s="39" t="s">
        <v>36</v>
      </c>
      <c r="H40" s="53" t="s">
        <v>37</v>
      </c>
      <c r="I40" s="42" t="s">
        <v>390</v>
      </c>
      <c r="J40" s="53">
        <v>18968.0</v>
      </c>
    </row>
    <row r="41" ht="60.0" customHeight="1">
      <c r="A41" s="39">
        <v>38.0</v>
      </c>
      <c r="B41" s="40" t="s">
        <v>218</v>
      </c>
      <c r="C41" s="40" t="s">
        <v>219</v>
      </c>
      <c r="D41" s="40" t="s">
        <v>220</v>
      </c>
      <c r="E41" s="40" t="s">
        <v>221</v>
      </c>
      <c r="F41" s="39" t="str">
        <f t="shared" si="1"/>
        <v>CORRECT</v>
      </c>
      <c r="G41" s="39" t="s">
        <v>36</v>
      </c>
      <c r="H41" s="53" t="s">
        <v>36</v>
      </c>
      <c r="I41" s="42" t="s">
        <v>391</v>
      </c>
      <c r="J41" s="53">
        <v>18179.0</v>
      </c>
    </row>
    <row r="42" ht="60.0" customHeight="1">
      <c r="A42" s="39">
        <v>39.0</v>
      </c>
      <c r="B42" s="40" t="s">
        <v>223</v>
      </c>
      <c r="C42" s="40" t="s">
        <v>224</v>
      </c>
      <c r="D42" s="40" t="s">
        <v>225</v>
      </c>
      <c r="E42" s="40" t="s">
        <v>226</v>
      </c>
      <c r="F42" s="39" t="str">
        <f t="shared" si="1"/>
        <v>WRONG</v>
      </c>
      <c r="G42" s="39" t="s">
        <v>37</v>
      </c>
      <c r="H42" s="54" t="s">
        <v>36</v>
      </c>
      <c r="I42" s="42" t="s">
        <v>392</v>
      </c>
      <c r="J42" s="53">
        <v>26535.0</v>
      </c>
    </row>
    <row r="43" ht="60.0" customHeight="1">
      <c r="A43" s="39">
        <v>40.0</v>
      </c>
      <c r="B43" s="40" t="s">
        <v>228</v>
      </c>
      <c r="C43" s="40" t="s">
        <v>229</v>
      </c>
      <c r="D43" s="40" t="s">
        <v>230</v>
      </c>
      <c r="E43" s="40" t="s">
        <v>231</v>
      </c>
      <c r="F43" s="39" t="str">
        <f t="shared" si="1"/>
        <v>WRONG</v>
      </c>
      <c r="G43" s="39" t="s">
        <v>48</v>
      </c>
      <c r="H43" s="54" t="s">
        <v>37</v>
      </c>
      <c r="I43" s="42" t="s">
        <v>393</v>
      </c>
      <c r="J43" s="53">
        <v>25769.0</v>
      </c>
    </row>
    <row r="44" ht="60.0" customHeight="1">
      <c r="A44" s="39">
        <v>41.0</v>
      </c>
      <c r="B44" s="40" t="s">
        <v>233</v>
      </c>
      <c r="C44" s="40" t="s">
        <v>234</v>
      </c>
      <c r="D44" s="40" t="s">
        <v>235</v>
      </c>
      <c r="E44" s="40" t="s">
        <v>236</v>
      </c>
      <c r="F44" s="39" t="str">
        <f t="shared" si="1"/>
        <v>CORRECT</v>
      </c>
      <c r="G44" s="39" t="s">
        <v>37</v>
      </c>
      <c r="H44" s="53" t="s">
        <v>37</v>
      </c>
      <c r="I44" s="42" t="s">
        <v>394</v>
      </c>
      <c r="J44" s="53">
        <v>13882.0</v>
      </c>
    </row>
    <row r="45" ht="60.0" customHeight="1">
      <c r="A45" s="39">
        <v>42.0</v>
      </c>
      <c r="B45" s="40" t="s">
        <v>238</v>
      </c>
      <c r="C45" s="40" t="s">
        <v>239</v>
      </c>
      <c r="D45" s="40" t="s">
        <v>240</v>
      </c>
      <c r="E45" s="40" t="s">
        <v>241</v>
      </c>
      <c r="F45" s="39" t="str">
        <f t="shared" si="1"/>
        <v>WRONG</v>
      </c>
      <c r="G45" s="39" t="s">
        <v>36</v>
      </c>
      <c r="H45" s="53" t="s">
        <v>37</v>
      </c>
      <c r="I45" s="42" t="s">
        <v>395</v>
      </c>
      <c r="J45" s="53">
        <v>30906.0</v>
      </c>
    </row>
    <row r="46" ht="60.0" customHeight="1">
      <c r="A46" s="39">
        <v>43.0</v>
      </c>
      <c r="B46" s="40" t="s">
        <v>243</v>
      </c>
      <c r="C46" s="40" t="s">
        <v>244</v>
      </c>
      <c r="D46" s="40" t="s">
        <v>245</v>
      </c>
      <c r="E46" s="40" t="s">
        <v>246</v>
      </c>
      <c r="F46" s="39" t="str">
        <f t="shared" si="1"/>
        <v>WRONG</v>
      </c>
      <c r="G46" s="39" t="s">
        <v>48</v>
      </c>
      <c r="H46" s="53" t="s">
        <v>36</v>
      </c>
      <c r="I46" s="42" t="s">
        <v>396</v>
      </c>
      <c r="J46" s="53">
        <v>31206.0</v>
      </c>
    </row>
    <row r="47" ht="60.0" customHeight="1">
      <c r="A47" s="39">
        <v>44.0</v>
      </c>
      <c r="B47" s="40" t="s">
        <v>248</v>
      </c>
      <c r="C47" s="40" t="s">
        <v>249</v>
      </c>
      <c r="D47" s="40" t="s">
        <v>250</v>
      </c>
      <c r="E47" s="40" t="s">
        <v>251</v>
      </c>
      <c r="F47" s="39" t="str">
        <f t="shared" si="1"/>
        <v>WRONG</v>
      </c>
      <c r="G47" s="39" t="s">
        <v>36</v>
      </c>
      <c r="H47" s="53" t="s">
        <v>48</v>
      </c>
      <c r="I47" s="42" t="s">
        <v>397</v>
      </c>
      <c r="J47" s="53">
        <v>28140.0</v>
      </c>
    </row>
    <row r="48" ht="60.0" customHeight="1">
      <c r="A48" s="39">
        <v>45.0</v>
      </c>
      <c r="B48" s="40" t="s">
        <v>253</v>
      </c>
      <c r="C48" s="40" t="s">
        <v>254</v>
      </c>
      <c r="D48" s="40" t="s">
        <v>255</v>
      </c>
      <c r="E48" s="40" t="s">
        <v>256</v>
      </c>
      <c r="F48" s="39" t="str">
        <f t="shared" si="1"/>
        <v>CORRECT</v>
      </c>
      <c r="G48" s="39" t="s">
        <v>36</v>
      </c>
      <c r="H48" s="53" t="s">
        <v>36</v>
      </c>
      <c r="I48" s="42" t="s">
        <v>398</v>
      </c>
      <c r="J48" s="53">
        <v>33224.0</v>
      </c>
    </row>
    <row r="49" ht="60.0" customHeight="1">
      <c r="A49" s="39">
        <v>46.0</v>
      </c>
      <c r="B49" s="40" t="s">
        <v>258</v>
      </c>
      <c r="C49" s="40" t="s">
        <v>40</v>
      </c>
      <c r="D49" s="40" t="s">
        <v>259</v>
      </c>
      <c r="E49" s="40" t="s">
        <v>260</v>
      </c>
      <c r="F49" s="39" t="str">
        <f t="shared" si="1"/>
        <v>CORRECT</v>
      </c>
      <c r="G49" s="39" t="s">
        <v>36</v>
      </c>
      <c r="H49" s="53" t="s">
        <v>36</v>
      </c>
      <c r="I49" s="42" t="s">
        <v>399</v>
      </c>
      <c r="J49" s="53">
        <v>26797.0</v>
      </c>
    </row>
    <row r="50">
      <c r="A50" s="44" t="s">
        <v>262</v>
      </c>
      <c r="B50" s="2"/>
      <c r="C50" s="2"/>
      <c r="D50" s="2"/>
      <c r="E50" s="3"/>
      <c r="F50" s="45">
        <f>COUNTIFS(F4:F49,"CORRECT")</f>
        <v>21</v>
      </c>
      <c r="G50" s="46"/>
      <c r="H50" s="46"/>
      <c r="J50" s="47">
        <f>AVERAGE(J4:J49)</f>
        <v>28334.73913</v>
      </c>
    </row>
    <row r="51">
      <c r="A51" s="48" t="s">
        <v>263</v>
      </c>
      <c r="B51" s="2"/>
      <c r="C51" s="2"/>
      <c r="D51" s="2"/>
      <c r="E51" s="3"/>
      <c r="F51" s="49">
        <v>46.0</v>
      </c>
      <c r="G51" s="46"/>
      <c r="H51" s="46"/>
    </row>
    <row r="52">
      <c r="A52" s="44" t="s">
        <v>264</v>
      </c>
      <c r="B52" s="2"/>
      <c r="C52" s="2"/>
      <c r="D52" s="2"/>
      <c r="E52" s="3"/>
      <c r="F52" s="50">
        <f>F50/F51</f>
        <v>0.4565217391</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400</v>
      </c>
      <c r="C2" s="2"/>
      <c r="D2" s="2"/>
      <c r="E2" s="2"/>
      <c r="F2" s="2"/>
      <c r="G2" s="2"/>
      <c r="H2" s="3"/>
      <c r="I2" s="37" t="s">
        <v>401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3" t="s">
        <v>37</v>
      </c>
      <c r="I4" s="42" t="s">
        <v>38</v>
      </c>
      <c r="J4" s="53">
        <v>19892.0</v>
      </c>
    </row>
    <row r="5" ht="60.0" customHeight="1">
      <c r="A5" s="39">
        <v>2.0</v>
      </c>
      <c r="B5" s="40" t="s">
        <v>39</v>
      </c>
      <c r="C5" s="40" t="s">
        <v>40</v>
      </c>
      <c r="D5" s="40" t="s">
        <v>41</v>
      </c>
      <c r="E5" s="40" t="s">
        <v>42</v>
      </c>
      <c r="F5" s="39" t="str">
        <f t="shared" si="1"/>
        <v>CORRECT</v>
      </c>
      <c r="G5" s="39" t="s">
        <v>37</v>
      </c>
      <c r="H5" s="54" t="s">
        <v>37</v>
      </c>
      <c r="I5" s="42" t="s">
        <v>267</v>
      </c>
      <c r="J5" s="53">
        <v>32750.0</v>
      </c>
    </row>
    <row r="6" ht="60.0" customHeight="1">
      <c r="A6" s="39">
        <v>3.0</v>
      </c>
      <c r="B6" s="40" t="s">
        <v>44</v>
      </c>
      <c r="C6" s="40" t="s">
        <v>45</v>
      </c>
      <c r="D6" s="40" t="s">
        <v>46</v>
      </c>
      <c r="E6" s="40" t="s">
        <v>47</v>
      </c>
      <c r="F6" s="39" t="str">
        <f t="shared" si="1"/>
        <v>CORRECT</v>
      </c>
      <c r="G6" s="39" t="s">
        <v>48</v>
      </c>
      <c r="H6" s="53" t="s">
        <v>48</v>
      </c>
      <c r="I6" s="42" t="s">
        <v>402</v>
      </c>
      <c r="J6" s="53">
        <v>27770.0</v>
      </c>
    </row>
    <row r="7" ht="60.0" customHeight="1">
      <c r="A7" s="39">
        <v>4.0</v>
      </c>
      <c r="B7" s="40" t="s">
        <v>50</v>
      </c>
      <c r="C7" s="40" t="s">
        <v>51</v>
      </c>
      <c r="D7" s="40" t="s">
        <v>52</v>
      </c>
      <c r="E7" s="40" t="s">
        <v>53</v>
      </c>
      <c r="F7" s="39" t="str">
        <f t="shared" si="1"/>
        <v>WRONG</v>
      </c>
      <c r="G7" s="39" t="s">
        <v>37</v>
      </c>
      <c r="H7" s="53" t="s">
        <v>48</v>
      </c>
      <c r="I7" s="42" t="s">
        <v>269</v>
      </c>
      <c r="J7" s="53">
        <v>23860.0</v>
      </c>
    </row>
    <row r="8" ht="60.0" customHeight="1">
      <c r="A8" s="39">
        <v>5.0</v>
      </c>
      <c r="B8" s="40" t="s">
        <v>55</v>
      </c>
      <c r="C8" s="40" t="s">
        <v>56</v>
      </c>
      <c r="D8" s="40" t="s">
        <v>57</v>
      </c>
      <c r="E8" s="40" t="s">
        <v>58</v>
      </c>
      <c r="F8" s="39" t="str">
        <f t="shared" si="1"/>
        <v>CORRECT</v>
      </c>
      <c r="G8" s="39" t="s">
        <v>48</v>
      </c>
      <c r="H8" s="54" t="s">
        <v>48</v>
      </c>
      <c r="I8" s="42" t="s">
        <v>270</v>
      </c>
      <c r="J8" s="53">
        <v>67919.0</v>
      </c>
    </row>
    <row r="9" ht="60.0" customHeight="1">
      <c r="A9" s="39">
        <v>6.0</v>
      </c>
      <c r="B9" s="40" t="s">
        <v>60</v>
      </c>
      <c r="C9" s="40" t="s">
        <v>61</v>
      </c>
      <c r="D9" s="40" t="s">
        <v>62</v>
      </c>
      <c r="E9" s="40" t="s">
        <v>63</v>
      </c>
      <c r="F9" s="39" t="str">
        <f t="shared" si="1"/>
        <v>CORRECT</v>
      </c>
      <c r="G9" s="39" t="s">
        <v>37</v>
      </c>
      <c r="H9" s="53" t="s">
        <v>37</v>
      </c>
      <c r="I9" s="42" t="s">
        <v>271</v>
      </c>
      <c r="J9" s="53">
        <v>22408.0</v>
      </c>
    </row>
    <row r="10" ht="60.0" customHeight="1">
      <c r="A10" s="39">
        <v>7.0</v>
      </c>
      <c r="B10" s="40" t="s">
        <v>65</v>
      </c>
      <c r="C10" s="40" t="s">
        <v>66</v>
      </c>
      <c r="D10" s="40" t="s">
        <v>67</v>
      </c>
      <c r="E10" s="40" t="s">
        <v>68</v>
      </c>
      <c r="F10" s="39" t="str">
        <f t="shared" si="1"/>
        <v>WRONG</v>
      </c>
      <c r="G10" s="39" t="s">
        <v>37</v>
      </c>
      <c r="H10" s="53" t="s">
        <v>36</v>
      </c>
      <c r="I10" s="42" t="s">
        <v>272</v>
      </c>
      <c r="J10" s="53">
        <v>30455.0</v>
      </c>
    </row>
    <row r="11" ht="60.0" customHeight="1">
      <c r="A11" s="39">
        <v>8.0</v>
      </c>
      <c r="B11" s="40" t="s">
        <v>70</v>
      </c>
      <c r="C11" s="40" t="s">
        <v>71</v>
      </c>
      <c r="D11" s="40" t="s">
        <v>72</v>
      </c>
      <c r="E11" s="40" t="s">
        <v>73</v>
      </c>
      <c r="F11" s="39" t="str">
        <f t="shared" si="1"/>
        <v>WRONG</v>
      </c>
      <c r="G11" s="39" t="s">
        <v>48</v>
      </c>
      <c r="H11" s="53" t="s">
        <v>37</v>
      </c>
      <c r="I11" s="42" t="s">
        <v>273</v>
      </c>
      <c r="J11" s="53">
        <v>28763.0</v>
      </c>
    </row>
    <row r="12" ht="60.0" customHeight="1">
      <c r="A12" s="39">
        <v>9.0</v>
      </c>
      <c r="B12" s="40" t="s">
        <v>75</v>
      </c>
      <c r="C12" s="40" t="s">
        <v>76</v>
      </c>
      <c r="D12" s="40" t="s">
        <v>77</v>
      </c>
      <c r="E12" s="40" t="s">
        <v>78</v>
      </c>
      <c r="F12" s="39" t="str">
        <f t="shared" si="1"/>
        <v>WRONG</v>
      </c>
      <c r="G12" s="39" t="s">
        <v>37</v>
      </c>
      <c r="H12" s="54" t="s">
        <v>48</v>
      </c>
      <c r="I12" s="42" t="s">
        <v>274</v>
      </c>
      <c r="J12" s="53">
        <v>42764.0</v>
      </c>
    </row>
    <row r="13" ht="60.0" customHeight="1">
      <c r="A13" s="39">
        <v>10.0</v>
      </c>
      <c r="B13" s="40" t="s">
        <v>80</v>
      </c>
      <c r="C13" s="40" t="s">
        <v>81</v>
      </c>
      <c r="D13" s="40" t="s">
        <v>82</v>
      </c>
      <c r="E13" s="40" t="s">
        <v>83</v>
      </c>
      <c r="F13" s="39" t="str">
        <f t="shared" si="1"/>
        <v>CORRECT</v>
      </c>
      <c r="G13" s="39" t="s">
        <v>48</v>
      </c>
      <c r="H13" s="53" t="s">
        <v>48</v>
      </c>
      <c r="I13" s="42" t="s">
        <v>275</v>
      </c>
      <c r="J13" s="53">
        <v>33319.0</v>
      </c>
    </row>
    <row r="14" ht="60.0" customHeight="1">
      <c r="A14" s="39">
        <v>11.0</v>
      </c>
      <c r="B14" s="40" t="s">
        <v>85</v>
      </c>
      <c r="C14" s="40" t="s">
        <v>86</v>
      </c>
      <c r="D14" s="40" t="s">
        <v>87</v>
      </c>
      <c r="E14" s="40" t="s">
        <v>88</v>
      </c>
      <c r="F14" s="39" t="str">
        <f t="shared" si="1"/>
        <v>WRONG</v>
      </c>
      <c r="G14" s="39" t="s">
        <v>37</v>
      </c>
      <c r="H14" s="54" t="s">
        <v>48</v>
      </c>
      <c r="I14" s="42" t="s">
        <v>311</v>
      </c>
      <c r="J14" s="53">
        <v>33145.0</v>
      </c>
    </row>
    <row r="15" ht="60.0" customHeight="1">
      <c r="A15" s="39">
        <v>12.0</v>
      </c>
      <c r="B15" s="40" t="s">
        <v>90</v>
      </c>
      <c r="C15" s="40" t="s">
        <v>91</v>
      </c>
      <c r="D15" s="40" t="s">
        <v>92</v>
      </c>
      <c r="E15" s="40" t="s">
        <v>93</v>
      </c>
      <c r="F15" s="39" t="str">
        <f t="shared" si="1"/>
        <v>CORRECT</v>
      </c>
      <c r="G15" s="39" t="s">
        <v>48</v>
      </c>
      <c r="H15" s="54" t="s">
        <v>48</v>
      </c>
      <c r="I15" s="42" t="s">
        <v>94</v>
      </c>
      <c r="J15" s="53">
        <v>32332.0</v>
      </c>
    </row>
    <row r="16" ht="60.0" customHeight="1">
      <c r="A16" s="39">
        <v>13.0</v>
      </c>
      <c r="B16" s="40" t="s">
        <v>95</v>
      </c>
      <c r="C16" s="40" t="s">
        <v>96</v>
      </c>
      <c r="D16" s="40" t="s">
        <v>97</v>
      </c>
      <c r="E16" s="40" t="s">
        <v>98</v>
      </c>
      <c r="F16" s="39" t="str">
        <f t="shared" si="1"/>
        <v>CORRECT</v>
      </c>
      <c r="G16" s="39" t="s">
        <v>36</v>
      </c>
      <c r="H16" s="53" t="s">
        <v>36</v>
      </c>
      <c r="I16" s="42" t="s">
        <v>276</v>
      </c>
      <c r="J16" s="53">
        <v>18027.0</v>
      </c>
    </row>
    <row r="17" ht="60.0" customHeight="1">
      <c r="A17" s="39">
        <v>14.0</v>
      </c>
      <c r="B17" s="40" t="s">
        <v>100</v>
      </c>
      <c r="C17" s="40" t="s">
        <v>101</v>
      </c>
      <c r="D17" s="40" t="s">
        <v>102</v>
      </c>
      <c r="E17" s="40" t="s">
        <v>103</v>
      </c>
      <c r="F17" s="39" t="str">
        <f t="shared" si="1"/>
        <v>WRONG</v>
      </c>
      <c r="G17" s="39" t="s">
        <v>36</v>
      </c>
      <c r="H17" s="53" t="s">
        <v>48</v>
      </c>
      <c r="I17" s="42" t="s">
        <v>104</v>
      </c>
      <c r="J17" s="53">
        <v>33944.0</v>
      </c>
    </row>
    <row r="18" ht="60.0" customHeight="1">
      <c r="A18" s="39">
        <v>15.0</v>
      </c>
      <c r="B18" s="40" t="s">
        <v>105</v>
      </c>
      <c r="C18" s="40" t="s">
        <v>106</v>
      </c>
      <c r="D18" s="40" t="s">
        <v>107</v>
      </c>
      <c r="E18" s="40" t="s">
        <v>108</v>
      </c>
      <c r="F18" s="39" t="str">
        <f t="shared" si="1"/>
        <v>CORRECT</v>
      </c>
      <c r="G18" s="39" t="s">
        <v>48</v>
      </c>
      <c r="H18" s="53" t="s">
        <v>48</v>
      </c>
      <c r="I18" s="42" t="s">
        <v>109</v>
      </c>
      <c r="J18" s="53">
        <v>39170.0</v>
      </c>
    </row>
    <row r="19" ht="60.0" customHeight="1">
      <c r="A19" s="39">
        <v>16.0</v>
      </c>
      <c r="B19" s="40" t="s">
        <v>110</v>
      </c>
      <c r="C19" s="40" t="s">
        <v>111</v>
      </c>
      <c r="D19" s="40" t="s">
        <v>112</v>
      </c>
      <c r="E19" s="40" t="s">
        <v>113</v>
      </c>
      <c r="F19" s="39" t="str">
        <f t="shared" si="1"/>
        <v>CORRECT</v>
      </c>
      <c r="G19" s="39" t="s">
        <v>48</v>
      </c>
      <c r="H19" s="53" t="s">
        <v>48</v>
      </c>
      <c r="I19" s="42" t="s">
        <v>277</v>
      </c>
      <c r="J19" s="53">
        <v>30107.0</v>
      </c>
    </row>
    <row r="20" ht="60.0" customHeight="1">
      <c r="A20" s="39">
        <v>17.0</v>
      </c>
      <c r="B20" s="40" t="s">
        <v>115</v>
      </c>
      <c r="C20" s="40" t="s">
        <v>116</v>
      </c>
      <c r="D20" s="40" t="s">
        <v>117</v>
      </c>
      <c r="E20" s="40" t="s">
        <v>118</v>
      </c>
      <c r="F20" s="39" t="str">
        <f t="shared" si="1"/>
        <v>WRONG</v>
      </c>
      <c r="G20" s="39" t="s">
        <v>37</v>
      </c>
      <c r="H20" s="53" t="s">
        <v>36</v>
      </c>
      <c r="I20" s="42" t="s">
        <v>119</v>
      </c>
      <c r="J20" s="53">
        <v>23537.0</v>
      </c>
    </row>
    <row r="21" ht="60.0" customHeight="1">
      <c r="A21" s="39">
        <v>18.0</v>
      </c>
      <c r="B21" s="40" t="s">
        <v>120</v>
      </c>
      <c r="C21" s="40" t="s">
        <v>121</v>
      </c>
      <c r="D21" s="40" t="s">
        <v>122</v>
      </c>
      <c r="E21" s="40" t="s">
        <v>123</v>
      </c>
      <c r="F21" s="39" t="str">
        <f t="shared" si="1"/>
        <v>CORRECT</v>
      </c>
      <c r="G21" s="39" t="s">
        <v>37</v>
      </c>
      <c r="H21" s="53" t="s">
        <v>37</v>
      </c>
      <c r="I21" s="42" t="s">
        <v>403</v>
      </c>
      <c r="J21" s="53">
        <v>21828.0</v>
      </c>
    </row>
    <row r="22" ht="60.0" customHeight="1">
      <c r="A22" s="39">
        <v>19.0</v>
      </c>
      <c r="B22" s="40" t="s">
        <v>125</v>
      </c>
      <c r="C22" s="40" t="s">
        <v>126</v>
      </c>
      <c r="D22" s="40" t="s">
        <v>127</v>
      </c>
      <c r="E22" s="40" t="s">
        <v>128</v>
      </c>
      <c r="F22" s="39" t="str">
        <f t="shared" si="1"/>
        <v>WRONG</v>
      </c>
      <c r="G22" s="39" t="s">
        <v>36</v>
      </c>
      <c r="H22" s="54" t="s">
        <v>48</v>
      </c>
      <c r="I22" s="42" t="s">
        <v>129</v>
      </c>
      <c r="J22" s="53">
        <v>23317.0</v>
      </c>
    </row>
    <row r="23" ht="60.0" customHeight="1">
      <c r="A23" s="39">
        <v>20.0</v>
      </c>
      <c r="B23" s="40" t="s">
        <v>130</v>
      </c>
      <c r="C23" s="40" t="s">
        <v>131</v>
      </c>
      <c r="D23" s="40" t="s">
        <v>132</v>
      </c>
      <c r="E23" s="40" t="s">
        <v>133</v>
      </c>
      <c r="F23" s="39" t="str">
        <f t="shared" si="1"/>
        <v>WRONG</v>
      </c>
      <c r="G23" s="39" t="s">
        <v>37</v>
      </c>
      <c r="H23" s="53" t="s">
        <v>36</v>
      </c>
      <c r="I23" s="42" t="s">
        <v>134</v>
      </c>
      <c r="J23" s="53">
        <v>22378.0</v>
      </c>
    </row>
    <row r="24" ht="60.0" customHeight="1">
      <c r="A24" s="39">
        <v>21.0</v>
      </c>
      <c r="B24" s="40" t="s">
        <v>135</v>
      </c>
      <c r="C24" s="40" t="s">
        <v>136</v>
      </c>
      <c r="D24" s="40" t="s">
        <v>137</v>
      </c>
      <c r="E24" s="40" t="s">
        <v>138</v>
      </c>
      <c r="F24" s="39" t="str">
        <f t="shared" si="1"/>
        <v>WRONG</v>
      </c>
      <c r="G24" s="39" t="s">
        <v>37</v>
      </c>
      <c r="H24" s="53" t="s">
        <v>36</v>
      </c>
      <c r="I24" s="42" t="s">
        <v>139</v>
      </c>
      <c r="J24" s="53">
        <v>21112.0</v>
      </c>
    </row>
    <row r="25" ht="60.0" customHeight="1">
      <c r="A25" s="39">
        <v>22.0</v>
      </c>
      <c r="B25" s="40" t="s">
        <v>140</v>
      </c>
      <c r="C25" s="40" t="s">
        <v>141</v>
      </c>
      <c r="D25" s="40" t="s">
        <v>142</v>
      </c>
      <c r="E25" s="40" t="s">
        <v>143</v>
      </c>
      <c r="F25" s="39" t="str">
        <f t="shared" si="1"/>
        <v>CORRECT</v>
      </c>
      <c r="G25" s="39" t="s">
        <v>37</v>
      </c>
      <c r="H25" s="53" t="s">
        <v>37</v>
      </c>
      <c r="I25" s="42" t="s">
        <v>144</v>
      </c>
      <c r="J25" s="53">
        <v>25168.0</v>
      </c>
    </row>
    <row r="26" ht="60.0" customHeight="1">
      <c r="A26" s="39">
        <v>23.0</v>
      </c>
      <c r="B26" s="40" t="s">
        <v>145</v>
      </c>
      <c r="C26" s="40" t="s">
        <v>146</v>
      </c>
      <c r="D26" s="40" t="s">
        <v>147</v>
      </c>
      <c r="E26" s="40" t="s">
        <v>148</v>
      </c>
      <c r="F26" s="39" t="str">
        <f t="shared" si="1"/>
        <v>CORRECT</v>
      </c>
      <c r="G26" s="39" t="s">
        <v>48</v>
      </c>
      <c r="H26" s="53" t="s">
        <v>48</v>
      </c>
      <c r="I26" s="42" t="s">
        <v>404</v>
      </c>
      <c r="J26" s="53">
        <v>32546.0</v>
      </c>
    </row>
    <row r="27" ht="60.0" customHeight="1">
      <c r="A27" s="39">
        <v>24.0</v>
      </c>
      <c r="B27" s="40" t="s">
        <v>150</v>
      </c>
      <c r="C27" s="40" t="s">
        <v>151</v>
      </c>
      <c r="D27" s="40" t="s">
        <v>152</v>
      </c>
      <c r="E27" s="40" t="s">
        <v>153</v>
      </c>
      <c r="F27" s="39" t="str">
        <f t="shared" si="1"/>
        <v>WRONG</v>
      </c>
      <c r="G27" s="39" t="s">
        <v>36</v>
      </c>
      <c r="H27" s="53" t="s">
        <v>48</v>
      </c>
      <c r="I27" s="42" t="s">
        <v>154</v>
      </c>
      <c r="J27" s="53">
        <v>28434.0</v>
      </c>
    </row>
    <row r="28" ht="60.0" customHeight="1">
      <c r="A28" s="39">
        <v>25.0</v>
      </c>
      <c r="B28" s="40" t="s">
        <v>155</v>
      </c>
      <c r="C28" s="40" t="s">
        <v>151</v>
      </c>
      <c r="D28" s="40" t="s">
        <v>156</v>
      </c>
      <c r="E28" s="40" t="s">
        <v>153</v>
      </c>
      <c r="F28" s="39" t="str">
        <f t="shared" si="1"/>
        <v>WRONG</v>
      </c>
      <c r="G28" s="39" t="s">
        <v>48</v>
      </c>
      <c r="H28" s="54" t="s">
        <v>36</v>
      </c>
      <c r="I28" s="42" t="s">
        <v>157</v>
      </c>
      <c r="J28" s="53">
        <v>15821.0</v>
      </c>
    </row>
    <row r="29" ht="60.0" customHeight="1">
      <c r="A29" s="39">
        <v>26.0</v>
      </c>
      <c r="B29" s="40" t="s">
        <v>158</v>
      </c>
      <c r="C29" s="40" t="s">
        <v>159</v>
      </c>
      <c r="D29" s="40" t="s">
        <v>160</v>
      </c>
      <c r="E29" s="40" t="s">
        <v>161</v>
      </c>
      <c r="F29" s="39" t="str">
        <f t="shared" si="1"/>
        <v>WRONG</v>
      </c>
      <c r="G29" s="39" t="s">
        <v>36</v>
      </c>
      <c r="H29" s="54" t="s">
        <v>37</v>
      </c>
      <c r="I29" s="42" t="s">
        <v>162</v>
      </c>
      <c r="J29" s="53">
        <v>21037.0</v>
      </c>
    </row>
    <row r="30" ht="60.0" customHeight="1">
      <c r="A30" s="39">
        <v>27.0</v>
      </c>
      <c r="B30" s="40" t="s">
        <v>163</v>
      </c>
      <c r="C30" s="40" t="s">
        <v>164</v>
      </c>
      <c r="D30" s="40" t="s">
        <v>165</v>
      </c>
      <c r="E30" s="40" t="s">
        <v>166</v>
      </c>
      <c r="F30" s="39" t="str">
        <f t="shared" si="1"/>
        <v>CORRECT</v>
      </c>
      <c r="G30" s="39" t="s">
        <v>37</v>
      </c>
      <c r="H30" s="54" t="s">
        <v>37</v>
      </c>
      <c r="I30" s="42" t="s">
        <v>167</v>
      </c>
      <c r="J30" s="53">
        <v>30785.0</v>
      </c>
    </row>
    <row r="31" ht="60.0" customHeight="1">
      <c r="A31" s="39">
        <v>28.0</v>
      </c>
      <c r="B31" s="40" t="s">
        <v>168</v>
      </c>
      <c r="C31" s="40" t="s">
        <v>169</v>
      </c>
      <c r="D31" s="40" t="s">
        <v>170</v>
      </c>
      <c r="E31" s="40" t="s">
        <v>171</v>
      </c>
      <c r="F31" s="39" t="str">
        <f t="shared" si="1"/>
        <v>CORRECT</v>
      </c>
      <c r="G31" s="39" t="s">
        <v>36</v>
      </c>
      <c r="H31" s="54" t="s">
        <v>36</v>
      </c>
      <c r="I31" s="42" t="s">
        <v>172</v>
      </c>
      <c r="J31" s="53">
        <v>21202.0</v>
      </c>
    </row>
    <row r="32" ht="60.0" customHeight="1">
      <c r="A32" s="39">
        <v>29.0</v>
      </c>
      <c r="B32" s="40" t="s">
        <v>173</v>
      </c>
      <c r="C32" s="40" t="s">
        <v>174</v>
      </c>
      <c r="D32" s="40" t="s">
        <v>175</v>
      </c>
      <c r="E32" s="40" t="s">
        <v>176</v>
      </c>
      <c r="F32" s="39" t="str">
        <f t="shared" si="1"/>
        <v>CORRECT</v>
      </c>
      <c r="G32" s="39" t="s">
        <v>37</v>
      </c>
      <c r="H32" s="53" t="s">
        <v>37</v>
      </c>
      <c r="I32" s="42" t="s">
        <v>177</v>
      </c>
      <c r="J32" s="53">
        <v>30691.0</v>
      </c>
    </row>
    <row r="33" ht="60.0" customHeight="1">
      <c r="A33" s="39">
        <v>30.0</v>
      </c>
      <c r="B33" s="40" t="s">
        <v>178</v>
      </c>
      <c r="C33" s="40" t="s">
        <v>179</v>
      </c>
      <c r="D33" s="40" t="s">
        <v>180</v>
      </c>
      <c r="E33" s="40" t="s">
        <v>181</v>
      </c>
      <c r="F33" s="39" t="str">
        <f t="shared" si="1"/>
        <v>WRONG</v>
      </c>
      <c r="G33" s="39" t="s">
        <v>48</v>
      </c>
      <c r="H33" s="53" t="s">
        <v>36</v>
      </c>
      <c r="I33" s="42" t="s">
        <v>182</v>
      </c>
      <c r="J33" s="53">
        <v>28976.0</v>
      </c>
    </row>
    <row r="34" ht="60.0" customHeight="1">
      <c r="A34" s="39">
        <v>31.0</v>
      </c>
      <c r="B34" s="40" t="s">
        <v>183</v>
      </c>
      <c r="C34" s="40" t="s">
        <v>184</v>
      </c>
      <c r="D34" s="40" t="s">
        <v>185</v>
      </c>
      <c r="E34" s="40" t="s">
        <v>186</v>
      </c>
      <c r="F34" s="39" t="str">
        <f t="shared" si="1"/>
        <v>WRONG</v>
      </c>
      <c r="G34" s="39" t="s">
        <v>37</v>
      </c>
      <c r="H34" s="53" t="s">
        <v>36</v>
      </c>
      <c r="I34" s="42" t="s">
        <v>187</v>
      </c>
      <c r="J34" s="53">
        <v>35164.0</v>
      </c>
    </row>
    <row r="35" ht="60.0" customHeight="1">
      <c r="A35" s="39">
        <v>32.0</v>
      </c>
      <c r="B35" s="40" t="s">
        <v>188</v>
      </c>
      <c r="C35" s="40" t="s">
        <v>189</v>
      </c>
      <c r="D35" s="40" t="s">
        <v>190</v>
      </c>
      <c r="E35" s="40" t="s">
        <v>191</v>
      </c>
      <c r="F35" s="39" t="str">
        <f t="shared" si="1"/>
        <v>WRONG</v>
      </c>
      <c r="G35" s="39" t="s">
        <v>36</v>
      </c>
      <c r="H35" s="54" t="s">
        <v>48</v>
      </c>
      <c r="I35" s="42" t="s">
        <v>405</v>
      </c>
      <c r="J35" s="53">
        <v>54890.0</v>
      </c>
    </row>
    <row r="36" ht="60.0" customHeight="1">
      <c r="A36" s="39">
        <v>33.0</v>
      </c>
      <c r="B36" s="40" t="s">
        <v>193</v>
      </c>
      <c r="C36" s="40" t="s">
        <v>194</v>
      </c>
      <c r="D36" s="40" t="s">
        <v>195</v>
      </c>
      <c r="E36" s="40" t="s">
        <v>196</v>
      </c>
      <c r="F36" s="39" t="str">
        <f t="shared" si="1"/>
        <v>CORRECT</v>
      </c>
      <c r="G36" s="39" t="s">
        <v>48</v>
      </c>
      <c r="H36" s="54" t="s">
        <v>48</v>
      </c>
      <c r="I36" s="42" t="s">
        <v>197</v>
      </c>
      <c r="J36" s="53">
        <v>48631.0</v>
      </c>
    </row>
    <row r="37" ht="60.0" customHeight="1">
      <c r="A37" s="39">
        <v>34.0</v>
      </c>
      <c r="B37" s="40" t="s">
        <v>198</v>
      </c>
      <c r="C37" s="40" t="s">
        <v>199</v>
      </c>
      <c r="D37" s="40" t="s">
        <v>200</v>
      </c>
      <c r="E37" s="40" t="s">
        <v>201</v>
      </c>
      <c r="F37" s="39" t="str">
        <f t="shared" si="1"/>
        <v>CORRECT</v>
      </c>
      <c r="G37" s="39" t="s">
        <v>36</v>
      </c>
      <c r="H37" s="53" t="s">
        <v>36</v>
      </c>
      <c r="I37" s="42" t="s">
        <v>280</v>
      </c>
      <c r="J37" s="53">
        <v>25712.0</v>
      </c>
    </row>
    <row r="38" ht="60.0" customHeight="1">
      <c r="A38" s="39">
        <v>35.0</v>
      </c>
      <c r="B38" s="40" t="s">
        <v>203</v>
      </c>
      <c r="C38" s="40" t="s">
        <v>204</v>
      </c>
      <c r="D38" s="40" t="s">
        <v>205</v>
      </c>
      <c r="E38" s="40" t="s">
        <v>206</v>
      </c>
      <c r="F38" s="39" t="str">
        <f t="shared" si="1"/>
        <v>CORRECT</v>
      </c>
      <c r="G38" s="39" t="s">
        <v>48</v>
      </c>
      <c r="H38" s="53" t="s">
        <v>48</v>
      </c>
      <c r="I38" s="42" t="s">
        <v>207</v>
      </c>
      <c r="J38" s="53">
        <v>29432.0</v>
      </c>
    </row>
    <row r="39" ht="60.0" customHeight="1">
      <c r="A39" s="39">
        <v>36.0</v>
      </c>
      <c r="B39" s="40" t="s">
        <v>208</v>
      </c>
      <c r="C39" s="40" t="s">
        <v>209</v>
      </c>
      <c r="D39" s="40" t="s">
        <v>210</v>
      </c>
      <c r="E39" s="40" t="s">
        <v>211</v>
      </c>
      <c r="F39" s="39" t="str">
        <f t="shared" si="1"/>
        <v>CORRECT</v>
      </c>
      <c r="G39" s="39" t="s">
        <v>36</v>
      </c>
      <c r="H39" s="53" t="s">
        <v>36</v>
      </c>
      <c r="I39" s="42" t="s">
        <v>212</v>
      </c>
      <c r="J39" s="53">
        <v>24052.0</v>
      </c>
    </row>
    <row r="40" ht="60.0" customHeight="1">
      <c r="A40" s="39">
        <v>37.0</v>
      </c>
      <c r="B40" s="40" t="s">
        <v>213</v>
      </c>
      <c r="C40" s="40" t="s">
        <v>214</v>
      </c>
      <c r="D40" s="40" t="s">
        <v>215</v>
      </c>
      <c r="E40" s="40" t="s">
        <v>216</v>
      </c>
      <c r="F40" s="39" t="str">
        <f t="shared" si="1"/>
        <v>WRONG</v>
      </c>
      <c r="G40" s="39" t="s">
        <v>36</v>
      </c>
      <c r="H40" s="53" t="s">
        <v>37</v>
      </c>
      <c r="I40" s="42" t="s">
        <v>217</v>
      </c>
      <c r="J40" s="53">
        <v>22521.0</v>
      </c>
    </row>
    <row r="41" ht="60.0" customHeight="1">
      <c r="A41" s="39">
        <v>38.0</v>
      </c>
      <c r="B41" s="40" t="s">
        <v>218</v>
      </c>
      <c r="C41" s="40" t="s">
        <v>219</v>
      </c>
      <c r="D41" s="40" t="s">
        <v>220</v>
      </c>
      <c r="E41" s="40" t="s">
        <v>221</v>
      </c>
      <c r="F41" s="39" t="str">
        <f t="shared" si="1"/>
        <v>CORRECT</v>
      </c>
      <c r="G41" s="39" t="s">
        <v>36</v>
      </c>
      <c r="H41" s="53" t="s">
        <v>36</v>
      </c>
      <c r="I41" s="42" t="s">
        <v>406</v>
      </c>
      <c r="J41" s="53">
        <v>31933.0</v>
      </c>
    </row>
    <row r="42" ht="60.0" customHeight="1">
      <c r="A42" s="39">
        <v>39.0</v>
      </c>
      <c r="B42" s="40" t="s">
        <v>223</v>
      </c>
      <c r="C42" s="40" t="s">
        <v>224</v>
      </c>
      <c r="D42" s="40" t="s">
        <v>225</v>
      </c>
      <c r="E42" s="40" t="s">
        <v>226</v>
      </c>
      <c r="F42" s="39" t="str">
        <f t="shared" si="1"/>
        <v>WRONG</v>
      </c>
      <c r="G42" s="39" t="s">
        <v>37</v>
      </c>
      <c r="H42" s="53" t="s">
        <v>36</v>
      </c>
      <c r="I42" s="42" t="s">
        <v>227</v>
      </c>
      <c r="J42" s="53">
        <v>21396.0</v>
      </c>
    </row>
    <row r="43" ht="60.0" customHeight="1">
      <c r="A43" s="39">
        <v>40.0</v>
      </c>
      <c r="B43" s="40" t="s">
        <v>228</v>
      </c>
      <c r="C43" s="40" t="s">
        <v>229</v>
      </c>
      <c r="D43" s="40" t="s">
        <v>230</v>
      </c>
      <c r="E43" s="40" t="s">
        <v>231</v>
      </c>
      <c r="F43" s="39" t="str">
        <f t="shared" si="1"/>
        <v>WRONG</v>
      </c>
      <c r="G43" s="39" t="s">
        <v>48</v>
      </c>
      <c r="H43" s="53" t="s">
        <v>37</v>
      </c>
      <c r="I43" s="42" t="s">
        <v>407</v>
      </c>
      <c r="J43" s="53">
        <v>45955.0</v>
      </c>
    </row>
    <row r="44" ht="60.0" customHeight="1">
      <c r="A44" s="39">
        <v>41.0</v>
      </c>
      <c r="B44" s="40" t="s">
        <v>233</v>
      </c>
      <c r="C44" s="40" t="s">
        <v>234</v>
      </c>
      <c r="D44" s="40" t="s">
        <v>235</v>
      </c>
      <c r="E44" s="40" t="s">
        <v>236</v>
      </c>
      <c r="F44" s="39" t="str">
        <f t="shared" si="1"/>
        <v>CORRECT</v>
      </c>
      <c r="G44" s="39" t="s">
        <v>37</v>
      </c>
      <c r="H44" s="53" t="s">
        <v>37</v>
      </c>
      <c r="I44" s="42" t="s">
        <v>237</v>
      </c>
      <c r="J44" s="53">
        <v>15121.0</v>
      </c>
    </row>
    <row r="45" ht="60.0" customHeight="1">
      <c r="A45" s="39">
        <v>42.0</v>
      </c>
      <c r="B45" s="40" t="s">
        <v>238</v>
      </c>
      <c r="C45" s="40" t="s">
        <v>239</v>
      </c>
      <c r="D45" s="40" t="s">
        <v>240</v>
      </c>
      <c r="E45" s="40" t="s">
        <v>241</v>
      </c>
      <c r="F45" s="39" t="str">
        <f t="shared" si="1"/>
        <v>WRONG</v>
      </c>
      <c r="G45" s="39" t="s">
        <v>36</v>
      </c>
      <c r="H45" s="53" t="s">
        <v>37</v>
      </c>
      <c r="I45" s="42" t="s">
        <v>242</v>
      </c>
      <c r="J45" s="53">
        <v>26867.0</v>
      </c>
    </row>
    <row r="46" ht="60.0" customHeight="1">
      <c r="A46" s="39">
        <v>43.0</v>
      </c>
      <c r="B46" s="40" t="s">
        <v>243</v>
      </c>
      <c r="C46" s="40" t="s">
        <v>244</v>
      </c>
      <c r="D46" s="40" t="s">
        <v>245</v>
      </c>
      <c r="E46" s="40" t="s">
        <v>246</v>
      </c>
      <c r="F46" s="39" t="str">
        <f t="shared" si="1"/>
        <v>WRONG</v>
      </c>
      <c r="G46" s="39" t="s">
        <v>48</v>
      </c>
      <c r="H46" s="53" t="s">
        <v>36</v>
      </c>
      <c r="I46" s="42" t="s">
        <v>247</v>
      </c>
      <c r="J46" s="53">
        <v>25072.0</v>
      </c>
    </row>
    <row r="47" ht="60.0" customHeight="1">
      <c r="A47" s="39">
        <v>44.0</v>
      </c>
      <c r="B47" s="40" t="s">
        <v>248</v>
      </c>
      <c r="C47" s="40" t="s">
        <v>249</v>
      </c>
      <c r="D47" s="40" t="s">
        <v>250</v>
      </c>
      <c r="E47" s="40" t="s">
        <v>251</v>
      </c>
      <c r="F47" s="39" t="str">
        <f t="shared" si="1"/>
        <v>WRONG</v>
      </c>
      <c r="G47" s="39" t="s">
        <v>36</v>
      </c>
      <c r="H47" s="54" t="s">
        <v>48</v>
      </c>
      <c r="I47" s="42" t="s">
        <v>252</v>
      </c>
      <c r="J47" s="53">
        <v>31690.0</v>
      </c>
    </row>
    <row r="48" ht="60.0" customHeight="1">
      <c r="A48" s="39">
        <v>45.0</v>
      </c>
      <c r="B48" s="40" t="s">
        <v>253</v>
      </c>
      <c r="C48" s="40" t="s">
        <v>254</v>
      </c>
      <c r="D48" s="40" t="s">
        <v>255</v>
      </c>
      <c r="E48" s="40" t="s">
        <v>256</v>
      </c>
      <c r="F48" s="39" t="str">
        <f t="shared" si="1"/>
        <v>CORRECT</v>
      </c>
      <c r="G48" s="39" t="s">
        <v>36</v>
      </c>
      <c r="H48" s="53" t="s">
        <v>36</v>
      </c>
      <c r="I48" s="42" t="s">
        <v>408</v>
      </c>
      <c r="J48" s="53">
        <v>32458.0</v>
      </c>
    </row>
    <row r="49" ht="60.0" customHeight="1">
      <c r="A49" s="39">
        <v>46.0</v>
      </c>
      <c r="B49" s="40" t="s">
        <v>258</v>
      </c>
      <c r="C49" s="40" t="s">
        <v>40</v>
      </c>
      <c r="D49" s="40" t="s">
        <v>259</v>
      </c>
      <c r="E49" s="40" t="s">
        <v>260</v>
      </c>
      <c r="F49" s="39" t="str">
        <f t="shared" si="1"/>
        <v>CORRECT</v>
      </c>
      <c r="G49" s="39" t="s">
        <v>36</v>
      </c>
      <c r="H49" s="53" t="s">
        <v>36</v>
      </c>
      <c r="I49" s="42" t="s">
        <v>261</v>
      </c>
      <c r="J49" s="53">
        <v>23992.0</v>
      </c>
    </row>
    <row r="50">
      <c r="A50" s="44" t="s">
        <v>262</v>
      </c>
      <c r="B50" s="2"/>
      <c r="C50" s="2"/>
      <c r="D50" s="2"/>
      <c r="E50" s="3"/>
      <c r="F50" s="45">
        <f>COUNTIFS(F4:F49,"CORRECT")</f>
        <v>23</v>
      </c>
      <c r="G50" s="46"/>
      <c r="H50" s="46"/>
      <c r="J50" s="47">
        <f>AVERAGE(J4:J49)</f>
        <v>29529.19565</v>
      </c>
    </row>
    <row r="51">
      <c r="A51" s="48" t="s">
        <v>263</v>
      </c>
      <c r="B51" s="2"/>
      <c r="C51" s="2"/>
      <c r="D51" s="2"/>
      <c r="E51" s="3"/>
      <c r="F51" s="49">
        <v>46.0</v>
      </c>
      <c r="G51" s="46"/>
      <c r="H51" s="46"/>
    </row>
    <row r="52">
      <c r="A52" s="44" t="s">
        <v>264</v>
      </c>
      <c r="B52" s="2"/>
      <c r="C52" s="2"/>
      <c r="D52" s="2"/>
      <c r="E52" s="3"/>
      <c r="F52" s="50">
        <f>F50/F51</f>
        <v>0.5</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409</v>
      </c>
      <c r="C2" s="2"/>
      <c r="D2" s="2"/>
      <c r="E2" s="2"/>
      <c r="F2" s="2"/>
      <c r="G2" s="2"/>
      <c r="H2" s="3"/>
      <c r="I2" s="37" t="s">
        <v>410</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3" t="s">
        <v>37</v>
      </c>
      <c r="I4" s="42" t="s">
        <v>411</v>
      </c>
      <c r="J4" s="53">
        <v>17766.0</v>
      </c>
    </row>
    <row r="5" ht="60.0" customHeight="1">
      <c r="A5" s="39">
        <v>2.0</v>
      </c>
      <c r="B5" s="40" t="s">
        <v>39</v>
      </c>
      <c r="C5" s="40" t="s">
        <v>40</v>
      </c>
      <c r="D5" s="40" t="s">
        <v>41</v>
      </c>
      <c r="E5" s="40" t="s">
        <v>42</v>
      </c>
      <c r="F5" s="39" t="str">
        <f t="shared" si="1"/>
        <v>CORRECT</v>
      </c>
      <c r="G5" s="39" t="s">
        <v>37</v>
      </c>
      <c r="H5" s="54" t="s">
        <v>37</v>
      </c>
      <c r="I5" s="42" t="s">
        <v>412</v>
      </c>
      <c r="J5" s="53">
        <v>29753.0</v>
      </c>
    </row>
    <row r="6" ht="60.0" customHeight="1">
      <c r="A6" s="39">
        <v>3.0</v>
      </c>
      <c r="B6" s="40" t="s">
        <v>44</v>
      </c>
      <c r="C6" s="40" t="s">
        <v>45</v>
      </c>
      <c r="D6" s="40" t="s">
        <v>46</v>
      </c>
      <c r="E6" s="40" t="s">
        <v>47</v>
      </c>
      <c r="F6" s="39" t="str">
        <f t="shared" si="1"/>
        <v>CORRECT</v>
      </c>
      <c r="G6" s="39" t="s">
        <v>48</v>
      </c>
      <c r="H6" s="53" t="s">
        <v>48</v>
      </c>
      <c r="I6" s="42" t="s">
        <v>413</v>
      </c>
      <c r="J6" s="53">
        <v>28316.0</v>
      </c>
    </row>
    <row r="7" ht="60.0" customHeight="1">
      <c r="A7" s="39">
        <v>4.0</v>
      </c>
      <c r="B7" s="40" t="s">
        <v>50</v>
      </c>
      <c r="C7" s="40" t="s">
        <v>51</v>
      </c>
      <c r="D7" s="40" t="s">
        <v>52</v>
      </c>
      <c r="E7" s="40" t="s">
        <v>53</v>
      </c>
      <c r="F7" s="39" t="str">
        <f t="shared" si="1"/>
        <v>WRONG</v>
      </c>
      <c r="G7" s="39" t="s">
        <v>37</v>
      </c>
      <c r="H7" s="53" t="s">
        <v>48</v>
      </c>
      <c r="I7" s="42" t="s">
        <v>414</v>
      </c>
      <c r="J7" s="53">
        <v>33516.0</v>
      </c>
    </row>
    <row r="8" ht="60.0" customHeight="1">
      <c r="A8" s="39">
        <v>5.0</v>
      </c>
      <c r="B8" s="40" t="s">
        <v>55</v>
      </c>
      <c r="C8" s="40" t="s">
        <v>56</v>
      </c>
      <c r="D8" s="40" t="s">
        <v>57</v>
      </c>
      <c r="E8" s="40" t="s">
        <v>58</v>
      </c>
      <c r="F8" s="39" t="str">
        <f t="shared" si="1"/>
        <v>WRONG</v>
      </c>
      <c r="G8" s="39" t="s">
        <v>48</v>
      </c>
      <c r="H8" s="54" t="s">
        <v>36</v>
      </c>
      <c r="I8" s="42" t="s">
        <v>415</v>
      </c>
      <c r="J8" s="53">
        <v>71111.0</v>
      </c>
    </row>
    <row r="9" ht="60.0" customHeight="1">
      <c r="A9" s="39">
        <v>6.0</v>
      </c>
      <c r="B9" s="40" t="s">
        <v>60</v>
      </c>
      <c r="C9" s="40" t="s">
        <v>61</v>
      </c>
      <c r="D9" s="40" t="s">
        <v>62</v>
      </c>
      <c r="E9" s="40" t="s">
        <v>63</v>
      </c>
      <c r="F9" s="39" t="str">
        <f t="shared" si="1"/>
        <v>CORRECT</v>
      </c>
      <c r="G9" s="39" t="s">
        <v>37</v>
      </c>
      <c r="H9" s="53" t="s">
        <v>37</v>
      </c>
      <c r="I9" s="42" t="s">
        <v>416</v>
      </c>
      <c r="J9" s="53">
        <v>31662.0</v>
      </c>
    </row>
    <row r="10" ht="60.0" customHeight="1">
      <c r="A10" s="39">
        <v>7.0</v>
      </c>
      <c r="B10" s="40" t="s">
        <v>65</v>
      </c>
      <c r="C10" s="40" t="s">
        <v>66</v>
      </c>
      <c r="D10" s="40" t="s">
        <v>67</v>
      </c>
      <c r="E10" s="40" t="s">
        <v>68</v>
      </c>
      <c r="F10" s="39" t="str">
        <f t="shared" si="1"/>
        <v>WRONG</v>
      </c>
      <c r="G10" s="39" t="s">
        <v>37</v>
      </c>
      <c r="H10" s="53" t="s">
        <v>36</v>
      </c>
      <c r="I10" s="42" t="s">
        <v>417</v>
      </c>
      <c r="J10" s="53">
        <v>23165.0</v>
      </c>
    </row>
    <row r="11" ht="60.0" customHeight="1">
      <c r="A11" s="39">
        <v>8.0</v>
      </c>
      <c r="B11" s="40" t="s">
        <v>70</v>
      </c>
      <c r="C11" s="40" t="s">
        <v>71</v>
      </c>
      <c r="D11" s="40" t="s">
        <v>72</v>
      </c>
      <c r="E11" s="40" t="s">
        <v>73</v>
      </c>
      <c r="F11" s="39" t="str">
        <f t="shared" si="1"/>
        <v>WRONG</v>
      </c>
      <c r="G11" s="39" t="s">
        <v>48</v>
      </c>
      <c r="H11" s="53" t="s">
        <v>37</v>
      </c>
      <c r="I11" s="42" t="s">
        <v>418</v>
      </c>
      <c r="J11" s="53">
        <v>31346.0</v>
      </c>
    </row>
    <row r="12" ht="60.0" customHeight="1">
      <c r="A12" s="39">
        <v>9.0</v>
      </c>
      <c r="B12" s="40" t="s">
        <v>75</v>
      </c>
      <c r="C12" s="40" t="s">
        <v>76</v>
      </c>
      <c r="D12" s="40" t="s">
        <v>77</v>
      </c>
      <c r="E12" s="40" t="s">
        <v>78</v>
      </c>
      <c r="F12" s="39" t="str">
        <f t="shared" si="1"/>
        <v>WRONG</v>
      </c>
      <c r="G12" s="39" t="s">
        <v>37</v>
      </c>
      <c r="H12" s="54" t="s">
        <v>48</v>
      </c>
      <c r="I12" s="42" t="s">
        <v>419</v>
      </c>
      <c r="J12" s="53">
        <v>23448.0</v>
      </c>
    </row>
    <row r="13" ht="60.0" customHeight="1">
      <c r="A13" s="39">
        <v>10.0</v>
      </c>
      <c r="B13" s="40" t="s">
        <v>80</v>
      </c>
      <c r="C13" s="40" t="s">
        <v>81</v>
      </c>
      <c r="D13" s="40" t="s">
        <v>82</v>
      </c>
      <c r="E13" s="40" t="s">
        <v>83</v>
      </c>
      <c r="F13" s="39" t="str">
        <f t="shared" si="1"/>
        <v>CORRECT</v>
      </c>
      <c r="G13" s="39" t="s">
        <v>48</v>
      </c>
      <c r="H13" s="53" t="s">
        <v>48</v>
      </c>
      <c r="I13" s="42" t="s">
        <v>420</v>
      </c>
      <c r="J13" s="53">
        <v>25894.0</v>
      </c>
    </row>
    <row r="14" ht="60.0" customHeight="1">
      <c r="A14" s="39">
        <v>11.0</v>
      </c>
      <c r="B14" s="40" t="s">
        <v>85</v>
      </c>
      <c r="C14" s="40" t="s">
        <v>86</v>
      </c>
      <c r="D14" s="40" t="s">
        <v>87</v>
      </c>
      <c r="E14" s="40" t="s">
        <v>88</v>
      </c>
      <c r="F14" s="39" t="str">
        <f t="shared" si="1"/>
        <v>WRONG</v>
      </c>
      <c r="G14" s="39" t="s">
        <v>37</v>
      </c>
      <c r="H14" s="54" t="s">
        <v>48</v>
      </c>
      <c r="I14" s="42" t="s">
        <v>421</v>
      </c>
      <c r="J14" s="53">
        <v>26338.0</v>
      </c>
    </row>
    <row r="15" ht="60.0" customHeight="1">
      <c r="A15" s="39">
        <v>12.0</v>
      </c>
      <c r="B15" s="40" t="s">
        <v>90</v>
      </c>
      <c r="C15" s="40" t="s">
        <v>91</v>
      </c>
      <c r="D15" s="40" t="s">
        <v>92</v>
      </c>
      <c r="E15" s="40" t="s">
        <v>93</v>
      </c>
      <c r="F15" s="39" t="str">
        <f t="shared" si="1"/>
        <v>CORRECT</v>
      </c>
      <c r="G15" s="39" t="s">
        <v>48</v>
      </c>
      <c r="H15" s="54" t="s">
        <v>48</v>
      </c>
      <c r="I15" s="42" t="s">
        <v>422</v>
      </c>
      <c r="J15" s="53">
        <v>23237.0</v>
      </c>
    </row>
    <row r="16" ht="60.0" customHeight="1">
      <c r="A16" s="39">
        <v>13.0</v>
      </c>
      <c r="B16" s="40" t="s">
        <v>95</v>
      </c>
      <c r="C16" s="40" t="s">
        <v>96</v>
      </c>
      <c r="D16" s="40" t="s">
        <v>97</v>
      </c>
      <c r="E16" s="40" t="s">
        <v>98</v>
      </c>
      <c r="F16" s="39" t="str">
        <f t="shared" si="1"/>
        <v>CORRECT</v>
      </c>
      <c r="G16" s="39" t="s">
        <v>36</v>
      </c>
      <c r="H16" s="53" t="s">
        <v>36</v>
      </c>
      <c r="I16" s="42" t="s">
        <v>423</v>
      </c>
      <c r="J16" s="53">
        <v>27768.0</v>
      </c>
    </row>
    <row r="17" ht="60.0" customHeight="1">
      <c r="A17" s="39">
        <v>14.0</v>
      </c>
      <c r="B17" s="40" t="s">
        <v>100</v>
      </c>
      <c r="C17" s="40" t="s">
        <v>101</v>
      </c>
      <c r="D17" s="40" t="s">
        <v>102</v>
      </c>
      <c r="E17" s="40" t="s">
        <v>103</v>
      </c>
      <c r="F17" s="39" t="str">
        <f t="shared" si="1"/>
        <v>WRONG</v>
      </c>
      <c r="G17" s="39" t="s">
        <v>36</v>
      </c>
      <c r="H17" s="53" t="s">
        <v>48</v>
      </c>
      <c r="I17" s="42" t="s">
        <v>424</v>
      </c>
      <c r="J17" s="53">
        <v>29446.0</v>
      </c>
    </row>
    <row r="18" ht="60.0" customHeight="1">
      <c r="A18" s="39">
        <v>15.0</v>
      </c>
      <c r="B18" s="40" t="s">
        <v>105</v>
      </c>
      <c r="C18" s="40" t="s">
        <v>106</v>
      </c>
      <c r="D18" s="40" t="s">
        <v>107</v>
      </c>
      <c r="E18" s="40" t="s">
        <v>108</v>
      </c>
      <c r="F18" s="39" t="str">
        <f t="shared" si="1"/>
        <v>CORRECT</v>
      </c>
      <c r="G18" s="39" t="s">
        <v>48</v>
      </c>
      <c r="H18" s="53" t="s">
        <v>48</v>
      </c>
      <c r="I18" s="42" t="s">
        <v>425</v>
      </c>
      <c r="J18" s="53">
        <v>37326.0</v>
      </c>
    </row>
    <row r="19" ht="60.0" customHeight="1">
      <c r="A19" s="39">
        <v>16.0</v>
      </c>
      <c r="B19" s="40" t="s">
        <v>110</v>
      </c>
      <c r="C19" s="40" t="s">
        <v>111</v>
      </c>
      <c r="D19" s="40" t="s">
        <v>112</v>
      </c>
      <c r="E19" s="40" t="s">
        <v>113</v>
      </c>
      <c r="F19" s="39" t="str">
        <f t="shared" si="1"/>
        <v>CORRECT</v>
      </c>
      <c r="G19" s="39" t="s">
        <v>48</v>
      </c>
      <c r="H19" s="53" t="s">
        <v>48</v>
      </c>
      <c r="I19" s="42" t="s">
        <v>426</v>
      </c>
      <c r="J19" s="53">
        <v>29143.0</v>
      </c>
    </row>
    <row r="20" ht="60.0" customHeight="1">
      <c r="A20" s="39">
        <v>17.0</v>
      </c>
      <c r="B20" s="40" t="s">
        <v>115</v>
      </c>
      <c r="C20" s="40" t="s">
        <v>116</v>
      </c>
      <c r="D20" s="40" t="s">
        <v>117</v>
      </c>
      <c r="E20" s="40" t="s">
        <v>118</v>
      </c>
      <c r="F20" s="39" t="str">
        <f t="shared" si="1"/>
        <v>WRONG</v>
      </c>
      <c r="G20" s="39" t="s">
        <v>37</v>
      </c>
      <c r="H20" s="53" t="s">
        <v>36</v>
      </c>
      <c r="I20" s="42" t="s">
        <v>427</v>
      </c>
      <c r="J20" s="53">
        <v>28377.0</v>
      </c>
    </row>
    <row r="21" ht="60.0" customHeight="1">
      <c r="A21" s="39">
        <v>18.0</v>
      </c>
      <c r="B21" s="40" t="s">
        <v>120</v>
      </c>
      <c r="C21" s="40" t="s">
        <v>121</v>
      </c>
      <c r="D21" s="40" t="s">
        <v>122</v>
      </c>
      <c r="E21" s="40" t="s">
        <v>123</v>
      </c>
      <c r="F21" s="39" t="str">
        <f t="shared" si="1"/>
        <v>CORRECT</v>
      </c>
      <c r="G21" s="39" t="s">
        <v>37</v>
      </c>
      <c r="H21" s="53" t="s">
        <v>37</v>
      </c>
      <c r="I21" s="42" t="s">
        <v>428</v>
      </c>
      <c r="J21" s="53">
        <v>29978.0</v>
      </c>
    </row>
    <row r="22" ht="60.0" customHeight="1">
      <c r="A22" s="39">
        <v>19.0</v>
      </c>
      <c r="B22" s="40" t="s">
        <v>125</v>
      </c>
      <c r="C22" s="40" t="s">
        <v>126</v>
      </c>
      <c r="D22" s="40" t="s">
        <v>127</v>
      </c>
      <c r="E22" s="40" t="s">
        <v>128</v>
      </c>
      <c r="F22" s="39" t="str">
        <f t="shared" si="1"/>
        <v>WRONG</v>
      </c>
      <c r="G22" s="39" t="s">
        <v>36</v>
      </c>
      <c r="H22" s="54" t="s">
        <v>48</v>
      </c>
      <c r="I22" s="42" t="s">
        <v>429</v>
      </c>
      <c r="J22" s="53">
        <v>31152.0</v>
      </c>
    </row>
    <row r="23" ht="60.0" customHeight="1">
      <c r="A23" s="39">
        <v>20.0</v>
      </c>
      <c r="B23" s="40" t="s">
        <v>130</v>
      </c>
      <c r="C23" s="40" t="s">
        <v>131</v>
      </c>
      <c r="D23" s="40" t="s">
        <v>132</v>
      </c>
      <c r="E23" s="40" t="s">
        <v>133</v>
      </c>
      <c r="F23" s="39" t="str">
        <f t="shared" si="1"/>
        <v>WRONG</v>
      </c>
      <c r="G23" s="39" t="s">
        <v>37</v>
      </c>
      <c r="H23" s="53" t="s">
        <v>36</v>
      </c>
      <c r="I23" s="42" t="s">
        <v>430</v>
      </c>
      <c r="J23" s="53">
        <v>23671.0</v>
      </c>
    </row>
    <row r="24" ht="60.0" customHeight="1">
      <c r="A24" s="39">
        <v>21.0</v>
      </c>
      <c r="B24" s="40" t="s">
        <v>135</v>
      </c>
      <c r="C24" s="40" t="s">
        <v>136</v>
      </c>
      <c r="D24" s="40" t="s">
        <v>137</v>
      </c>
      <c r="E24" s="40" t="s">
        <v>138</v>
      </c>
      <c r="F24" s="39" t="str">
        <f t="shared" si="1"/>
        <v>WRONG</v>
      </c>
      <c r="G24" s="39" t="s">
        <v>37</v>
      </c>
      <c r="H24" s="53" t="s">
        <v>36</v>
      </c>
      <c r="I24" s="42" t="s">
        <v>431</v>
      </c>
      <c r="J24" s="53">
        <v>21996.0</v>
      </c>
    </row>
    <row r="25" ht="60.0" customHeight="1">
      <c r="A25" s="39">
        <v>22.0</v>
      </c>
      <c r="B25" s="40" t="s">
        <v>140</v>
      </c>
      <c r="C25" s="40" t="s">
        <v>141</v>
      </c>
      <c r="D25" s="40" t="s">
        <v>142</v>
      </c>
      <c r="E25" s="40" t="s">
        <v>143</v>
      </c>
      <c r="F25" s="39" t="str">
        <f t="shared" si="1"/>
        <v>CORRECT</v>
      </c>
      <c r="G25" s="39" t="s">
        <v>37</v>
      </c>
      <c r="H25" s="53" t="s">
        <v>37</v>
      </c>
      <c r="I25" s="42" t="s">
        <v>432</v>
      </c>
      <c r="J25" s="53">
        <v>22782.0</v>
      </c>
    </row>
    <row r="26" ht="60.0" customHeight="1">
      <c r="A26" s="39">
        <v>23.0</v>
      </c>
      <c r="B26" s="40" t="s">
        <v>145</v>
      </c>
      <c r="C26" s="40" t="s">
        <v>146</v>
      </c>
      <c r="D26" s="40" t="s">
        <v>147</v>
      </c>
      <c r="E26" s="40" t="s">
        <v>148</v>
      </c>
      <c r="F26" s="39" t="str">
        <f t="shared" si="1"/>
        <v>CORRECT</v>
      </c>
      <c r="G26" s="39" t="s">
        <v>48</v>
      </c>
      <c r="H26" s="53" t="s">
        <v>48</v>
      </c>
      <c r="I26" s="42" t="s">
        <v>433</v>
      </c>
      <c r="J26" s="53">
        <v>16160.0</v>
      </c>
    </row>
    <row r="27" ht="60.0" customHeight="1">
      <c r="A27" s="39">
        <v>24.0</v>
      </c>
      <c r="B27" s="40" t="s">
        <v>150</v>
      </c>
      <c r="C27" s="40" t="s">
        <v>151</v>
      </c>
      <c r="D27" s="40" t="s">
        <v>152</v>
      </c>
      <c r="E27" s="40" t="s">
        <v>153</v>
      </c>
      <c r="F27" s="39" t="str">
        <f t="shared" si="1"/>
        <v>WRONG</v>
      </c>
      <c r="G27" s="39" t="s">
        <v>36</v>
      </c>
      <c r="H27" s="53" t="s">
        <v>48</v>
      </c>
      <c r="I27" s="42" t="s">
        <v>434</v>
      </c>
      <c r="J27" s="53">
        <v>25611.0</v>
      </c>
    </row>
    <row r="28" ht="60.0" customHeight="1">
      <c r="A28" s="39">
        <v>25.0</v>
      </c>
      <c r="B28" s="40" t="s">
        <v>155</v>
      </c>
      <c r="C28" s="40" t="s">
        <v>151</v>
      </c>
      <c r="D28" s="40" t="s">
        <v>156</v>
      </c>
      <c r="E28" s="40" t="s">
        <v>153</v>
      </c>
      <c r="F28" s="39" t="str">
        <f t="shared" si="1"/>
        <v>WRONG</v>
      </c>
      <c r="G28" s="39" t="s">
        <v>48</v>
      </c>
      <c r="H28" s="54" t="s">
        <v>36</v>
      </c>
      <c r="I28" s="42" t="s">
        <v>435</v>
      </c>
      <c r="J28" s="53">
        <v>22043.0</v>
      </c>
    </row>
    <row r="29" ht="60.0" customHeight="1">
      <c r="A29" s="39">
        <v>26.0</v>
      </c>
      <c r="B29" s="40" t="s">
        <v>158</v>
      </c>
      <c r="C29" s="40" t="s">
        <v>159</v>
      </c>
      <c r="D29" s="40" t="s">
        <v>160</v>
      </c>
      <c r="E29" s="40" t="s">
        <v>161</v>
      </c>
      <c r="F29" s="39" t="str">
        <f t="shared" si="1"/>
        <v>WRONG</v>
      </c>
      <c r="G29" s="39" t="s">
        <v>36</v>
      </c>
      <c r="H29" s="54" t="s">
        <v>37</v>
      </c>
      <c r="I29" s="42" t="s">
        <v>436</v>
      </c>
      <c r="J29" s="53">
        <v>38037.0</v>
      </c>
    </row>
    <row r="30" ht="60.0" customHeight="1">
      <c r="A30" s="39">
        <v>27.0</v>
      </c>
      <c r="B30" s="40" t="s">
        <v>163</v>
      </c>
      <c r="C30" s="40" t="s">
        <v>164</v>
      </c>
      <c r="D30" s="40" t="s">
        <v>165</v>
      </c>
      <c r="E30" s="40" t="s">
        <v>166</v>
      </c>
      <c r="F30" s="39" t="str">
        <f t="shared" si="1"/>
        <v>CORRECT</v>
      </c>
      <c r="G30" s="39" t="s">
        <v>37</v>
      </c>
      <c r="H30" s="54" t="s">
        <v>37</v>
      </c>
      <c r="I30" s="42" t="s">
        <v>437</v>
      </c>
      <c r="J30" s="53">
        <v>33259.0</v>
      </c>
    </row>
    <row r="31" ht="60.0" customHeight="1">
      <c r="A31" s="39">
        <v>28.0</v>
      </c>
      <c r="B31" s="40" t="s">
        <v>168</v>
      </c>
      <c r="C31" s="40" t="s">
        <v>169</v>
      </c>
      <c r="D31" s="40" t="s">
        <v>170</v>
      </c>
      <c r="E31" s="40" t="s">
        <v>171</v>
      </c>
      <c r="F31" s="39" t="str">
        <f t="shared" si="1"/>
        <v>CORRECT</v>
      </c>
      <c r="G31" s="39" t="s">
        <v>36</v>
      </c>
      <c r="H31" s="53" t="s">
        <v>36</v>
      </c>
      <c r="I31" s="42" t="s">
        <v>438</v>
      </c>
      <c r="J31" s="53">
        <v>39066.0</v>
      </c>
    </row>
    <row r="32" ht="60.0" customHeight="1">
      <c r="A32" s="39">
        <v>29.0</v>
      </c>
      <c r="B32" s="40" t="s">
        <v>173</v>
      </c>
      <c r="C32" s="40" t="s">
        <v>174</v>
      </c>
      <c r="D32" s="40" t="s">
        <v>175</v>
      </c>
      <c r="E32" s="40" t="s">
        <v>176</v>
      </c>
      <c r="F32" s="39" t="str">
        <f t="shared" si="1"/>
        <v>CORRECT</v>
      </c>
      <c r="G32" s="39" t="s">
        <v>37</v>
      </c>
      <c r="H32" s="53" t="s">
        <v>37</v>
      </c>
      <c r="I32" s="42" t="s">
        <v>439</v>
      </c>
      <c r="J32" s="53">
        <v>24870.0</v>
      </c>
    </row>
    <row r="33" ht="60.0" customHeight="1">
      <c r="A33" s="39">
        <v>30.0</v>
      </c>
      <c r="B33" s="40" t="s">
        <v>178</v>
      </c>
      <c r="C33" s="40" t="s">
        <v>179</v>
      </c>
      <c r="D33" s="40" t="s">
        <v>180</v>
      </c>
      <c r="E33" s="40" t="s">
        <v>181</v>
      </c>
      <c r="F33" s="39" t="str">
        <f t="shared" si="1"/>
        <v>WRONG</v>
      </c>
      <c r="G33" s="39" t="s">
        <v>48</v>
      </c>
      <c r="H33" s="53" t="s">
        <v>36</v>
      </c>
      <c r="I33" s="42" t="s">
        <v>440</v>
      </c>
      <c r="J33" s="53">
        <v>25918.0</v>
      </c>
    </row>
    <row r="34" ht="60.0" customHeight="1">
      <c r="A34" s="39">
        <v>31.0</v>
      </c>
      <c r="B34" s="40" t="s">
        <v>183</v>
      </c>
      <c r="C34" s="40" t="s">
        <v>184</v>
      </c>
      <c r="D34" s="40" t="s">
        <v>185</v>
      </c>
      <c r="E34" s="40" t="s">
        <v>186</v>
      </c>
      <c r="F34" s="39" t="str">
        <f t="shared" si="1"/>
        <v>WRONG</v>
      </c>
      <c r="G34" s="39" t="s">
        <v>37</v>
      </c>
      <c r="H34" s="53" t="s">
        <v>36</v>
      </c>
      <c r="I34" s="42" t="s">
        <v>441</v>
      </c>
      <c r="J34" s="53">
        <v>33145.0</v>
      </c>
    </row>
    <row r="35" ht="60.0" customHeight="1">
      <c r="A35" s="39">
        <v>32.0</v>
      </c>
      <c r="B35" s="40" t="s">
        <v>188</v>
      </c>
      <c r="C35" s="40" t="s">
        <v>189</v>
      </c>
      <c r="D35" s="40" t="s">
        <v>190</v>
      </c>
      <c r="E35" s="40" t="s">
        <v>191</v>
      </c>
      <c r="F35" s="39" t="str">
        <f t="shared" si="1"/>
        <v>CORRECT</v>
      </c>
      <c r="G35" s="39" t="s">
        <v>36</v>
      </c>
      <c r="H35" s="54" t="s">
        <v>36</v>
      </c>
      <c r="I35" s="42" t="s">
        <v>442</v>
      </c>
      <c r="J35" s="53">
        <v>26747.0</v>
      </c>
    </row>
    <row r="36" ht="60.0" customHeight="1">
      <c r="A36" s="39">
        <v>33.0</v>
      </c>
      <c r="B36" s="40" t="s">
        <v>193</v>
      </c>
      <c r="C36" s="40" t="s">
        <v>194</v>
      </c>
      <c r="D36" s="40" t="s">
        <v>195</v>
      </c>
      <c r="E36" s="40" t="s">
        <v>196</v>
      </c>
      <c r="F36" s="39" t="str">
        <f t="shared" si="1"/>
        <v>CORRECT</v>
      </c>
      <c r="G36" s="39" t="s">
        <v>48</v>
      </c>
      <c r="H36" s="53" t="s">
        <v>48</v>
      </c>
      <c r="I36" s="42" t="s">
        <v>443</v>
      </c>
      <c r="J36" s="53">
        <v>32134.0</v>
      </c>
    </row>
    <row r="37" ht="60.0" customHeight="1">
      <c r="A37" s="39">
        <v>34.0</v>
      </c>
      <c r="B37" s="40" t="s">
        <v>198</v>
      </c>
      <c r="C37" s="40" t="s">
        <v>199</v>
      </c>
      <c r="D37" s="40" t="s">
        <v>200</v>
      </c>
      <c r="E37" s="40" t="s">
        <v>201</v>
      </c>
      <c r="F37" s="39" t="str">
        <f t="shared" si="1"/>
        <v>CORRECT</v>
      </c>
      <c r="G37" s="39" t="s">
        <v>36</v>
      </c>
      <c r="H37" s="53" t="s">
        <v>36</v>
      </c>
      <c r="I37" s="42" t="s">
        <v>444</v>
      </c>
      <c r="J37" s="53">
        <v>31944.0</v>
      </c>
    </row>
    <row r="38" ht="60.0" customHeight="1">
      <c r="A38" s="39">
        <v>35.0</v>
      </c>
      <c r="B38" s="40" t="s">
        <v>203</v>
      </c>
      <c r="C38" s="40" t="s">
        <v>204</v>
      </c>
      <c r="D38" s="40" t="s">
        <v>205</v>
      </c>
      <c r="E38" s="40" t="s">
        <v>206</v>
      </c>
      <c r="F38" s="39" t="str">
        <f t="shared" si="1"/>
        <v>CORRECT</v>
      </c>
      <c r="G38" s="39" t="s">
        <v>48</v>
      </c>
      <c r="H38" s="53" t="s">
        <v>48</v>
      </c>
      <c r="I38" s="42" t="s">
        <v>445</v>
      </c>
      <c r="J38" s="53">
        <v>48420.0</v>
      </c>
    </row>
    <row r="39" ht="60.0" customHeight="1">
      <c r="A39" s="39">
        <v>36.0</v>
      </c>
      <c r="B39" s="40" t="s">
        <v>208</v>
      </c>
      <c r="C39" s="40" t="s">
        <v>209</v>
      </c>
      <c r="D39" s="40" t="s">
        <v>210</v>
      </c>
      <c r="E39" s="40" t="s">
        <v>211</v>
      </c>
      <c r="F39" s="39" t="str">
        <f t="shared" si="1"/>
        <v>CORRECT</v>
      </c>
      <c r="G39" s="39" t="s">
        <v>36</v>
      </c>
      <c r="H39" s="53" t="s">
        <v>36</v>
      </c>
      <c r="I39" s="42" t="s">
        <v>446</v>
      </c>
      <c r="J39" s="53">
        <v>17348.0</v>
      </c>
    </row>
    <row r="40" ht="60.0" customHeight="1">
      <c r="A40" s="39">
        <v>37.0</v>
      </c>
      <c r="B40" s="40" t="s">
        <v>213</v>
      </c>
      <c r="C40" s="40" t="s">
        <v>214</v>
      </c>
      <c r="D40" s="40" t="s">
        <v>215</v>
      </c>
      <c r="E40" s="40" t="s">
        <v>216</v>
      </c>
      <c r="F40" s="39" t="str">
        <f t="shared" si="1"/>
        <v>WRONG</v>
      </c>
      <c r="G40" s="39" t="s">
        <v>36</v>
      </c>
      <c r="H40" s="53" t="s">
        <v>37</v>
      </c>
      <c r="I40" s="42" t="s">
        <v>447</v>
      </c>
      <c r="J40" s="53">
        <v>36000.0</v>
      </c>
    </row>
    <row r="41" ht="60.0" customHeight="1">
      <c r="A41" s="39">
        <v>38.0</v>
      </c>
      <c r="B41" s="40" t="s">
        <v>218</v>
      </c>
      <c r="C41" s="40" t="s">
        <v>219</v>
      </c>
      <c r="D41" s="40" t="s">
        <v>220</v>
      </c>
      <c r="E41" s="40" t="s">
        <v>221</v>
      </c>
      <c r="F41" s="39" t="str">
        <f t="shared" si="1"/>
        <v>CORRECT</v>
      </c>
      <c r="G41" s="39" t="s">
        <v>36</v>
      </c>
      <c r="H41" s="53" t="s">
        <v>36</v>
      </c>
      <c r="I41" s="42" t="s">
        <v>448</v>
      </c>
      <c r="J41" s="53">
        <v>19766.0</v>
      </c>
    </row>
    <row r="42" ht="60.0" customHeight="1">
      <c r="A42" s="39">
        <v>39.0</v>
      </c>
      <c r="B42" s="40" t="s">
        <v>223</v>
      </c>
      <c r="C42" s="40" t="s">
        <v>224</v>
      </c>
      <c r="D42" s="40" t="s">
        <v>225</v>
      </c>
      <c r="E42" s="40" t="s">
        <v>226</v>
      </c>
      <c r="F42" s="39" t="str">
        <f t="shared" si="1"/>
        <v>WRONG</v>
      </c>
      <c r="G42" s="39" t="s">
        <v>37</v>
      </c>
      <c r="H42" s="53" t="s">
        <v>48</v>
      </c>
      <c r="I42" s="42" t="s">
        <v>449</v>
      </c>
      <c r="J42" s="53">
        <v>20190.0</v>
      </c>
    </row>
    <row r="43" ht="60.0" customHeight="1">
      <c r="A43" s="39">
        <v>40.0</v>
      </c>
      <c r="B43" s="40" t="s">
        <v>228</v>
      </c>
      <c r="C43" s="40" t="s">
        <v>229</v>
      </c>
      <c r="D43" s="40" t="s">
        <v>230</v>
      </c>
      <c r="E43" s="40" t="s">
        <v>231</v>
      </c>
      <c r="F43" s="39" t="str">
        <f t="shared" si="1"/>
        <v>WRONG</v>
      </c>
      <c r="G43" s="39" t="s">
        <v>48</v>
      </c>
      <c r="H43" s="53" t="s">
        <v>37</v>
      </c>
      <c r="I43" s="42" t="s">
        <v>450</v>
      </c>
      <c r="J43" s="53">
        <v>47513.0</v>
      </c>
    </row>
    <row r="44" ht="60.0" customHeight="1">
      <c r="A44" s="39">
        <v>41.0</v>
      </c>
      <c r="B44" s="40" t="s">
        <v>233</v>
      </c>
      <c r="C44" s="40" t="s">
        <v>234</v>
      </c>
      <c r="D44" s="40" t="s">
        <v>235</v>
      </c>
      <c r="E44" s="40" t="s">
        <v>236</v>
      </c>
      <c r="F44" s="39" t="str">
        <f t="shared" si="1"/>
        <v>CORRECT</v>
      </c>
      <c r="G44" s="39" t="s">
        <v>37</v>
      </c>
      <c r="H44" s="53" t="s">
        <v>37</v>
      </c>
      <c r="I44" s="42" t="s">
        <v>451</v>
      </c>
      <c r="J44" s="53">
        <v>18425.0</v>
      </c>
    </row>
    <row r="45" ht="60.0" customHeight="1">
      <c r="A45" s="39">
        <v>42.0</v>
      </c>
      <c r="B45" s="40" t="s">
        <v>238</v>
      </c>
      <c r="C45" s="40" t="s">
        <v>239</v>
      </c>
      <c r="D45" s="40" t="s">
        <v>240</v>
      </c>
      <c r="E45" s="40" t="s">
        <v>241</v>
      </c>
      <c r="F45" s="39" t="str">
        <f t="shared" si="1"/>
        <v>WRONG</v>
      </c>
      <c r="G45" s="39" t="s">
        <v>36</v>
      </c>
      <c r="H45" s="53" t="s">
        <v>37</v>
      </c>
      <c r="I45" s="42" t="s">
        <v>452</v>
      </c>
      <c r="J45" s="53">
        <v>32827.0</v>
      </c>
    </row>
    <row r="46" ht="60.0" customHeight="1">
      <c r="A46" s="39">
        <v>43.0</v>
      </c>
      <c r="B46" s="40" t="s">
        <v>243</v>
      </c>
      <c r="C46" s="40" t="s">
        <v>244</v>
      </c>
      <c r="D46" s="40" t="s">
        <v>245</v>
      </c>
      <c r="E46" s="40" t="s">
        <v>246</v>
      </c>
      <c r="F46" s="39" t="str">
        <f t="shared" si="1"/>
        <v>WRONG</v>
      </c>
      <c r="G46" s="39" t="s">
        <v>48</v>
      </c>
      <c r="H46" s="53" t="s">
        <v>36</v>
      </c>
      <c r="I46" s="42" t="s">
        <v>453</v>
      </c>
      <c r="J46" s="53">
        <v>29392.0</v>
      </c>
    </row>
    <row r="47" ht="60.0" customHeight="1">
      <c r="A47" s="39">
        <v>44.0</v>
      </c>
      <c r="B47" s="40" t="s">
        <v>248</v>
      </c>
      <c r="C47" s="40" t="s">
        <v>249</v>
      </c>
      <c r="D47" s="40" t="s">
        <v>250</v>
      </c>
      <c r="E47" s="40" t="s">
        <v>251</v>
      </c>
      <c r="F47" s="39" t="str">
        <f t="shared" si="1"/>
        <v>WRONG</v>
      </c>
      <c r="G47" s="39" t="s">
        <v>36</v>
      </c>
      <c r="H47" s="54" t="s">
        <v>48</v>
      </c>
      <c r="I47" s="42" t="s">
        <v>454</v>
      </c>
      <c r="J47" s="53">
        <v>30036.0</v>
      </c>
    </row>
    <row r="48" ht="60.0" customHeight="1">
      <c r="A48" s="39">
        <v>45.0</v>
      </c>
      <c r="B48" s="40" t="s">
        <v>253</v>
      </c>
      <c r="C48" s="40" t="s">
        <v>254</v>
      </c>
      <c r="D48" s="40" t="s">
        <v>255</v>
      </c>
      <c r="E48" s="40" t="s">
        <v>256</v>
      </c>
      <c r="F48" s="39" t="str">
        <f t="shared" si="1"/>
        <v>CORRECT</v>
      </c>
      <c r="G48" s="39" t="s">
        <v>36</v>
      </c>
      <c r="H48" s="53" t="s">
        <v>36</v>
      </c>
      <c r="I48" s="42" t="s">
        <v>455</v>
      </c>
      <c r="J48" s="53">
        <v>27435.0</v>
      </c>
    </row>
    <row r="49" ht="60.0" customHeight="1">
      <c r="A49" s="39">
        <v>46.0</v>
      </c>
      <c r="B49" s="40" t="s">
        <v>258</v>
      </c>
      <c r="C49" s="40" t="s">
        <v>40</v>
      </c>
      <c r="D49" s="40" t="s">
        <v>259</v>
      </c>
      <c r="E49" s="40" t="s">
        <v>260</v>
      </c>
      <c r="F49" s="39" t="str">
        <f t="shared" si="1"/>
        <v>CORRECT</v>
      </c>
      <c r="G49" s="39" t="s">
        <v>36</v>
      </c>
      <c r="H49" s="53" t="s">
        <v>36</v>
      </c>
      <c r="I49" s="42" t="s">
        <v>456</v>
      </c>
      <c r="J49" s="53">
        <v>23692.0</v>
      </c>
    </row>
    <row r="50">
      <c r="A50" s="44" t="s">
        <v>262</v>
      </c>
      <c r="B50" s="2"/>
      <c r="C50" s="2"/>
      <c r="D50" s="2"/>
      <c r="E50" s="3"/>
      <c r="F50" s="45">
        <f>COUNTIFS(F4:F49,"CORRECT")</f>
        <v>23</v>
      </c>
      <c r="G50" s="46"/>
      <c r="H50" s="46"/>
      <c r="J50" s="47">
        <f>AVERAGE(J4:J49)</f>
        <v>29286.28261</v>
      </c>
    </row>
    <row r="51">
      <c r="A51" s="48" t="s">
        <v>263</v>
      </c>
      <c r="B51" s="2"/>
      <c r="C51" s="2"/>
      <c r="D51" s="2"/>
      <c r="E51" s="3"/>
      <c r="F51" s="49">
        <v>46.0</v>
      </c>
      <c r="G51" s="46"/>
      <c r="H51" s="46"/>
    </row>
    <row r="52">
      <c r="A52" s="44" t="s">
        <v>264</v>
      </c>
      <c r="B52" s="2"/>
      <c r="C52" s="2"/>
      <c r="D52" s="2"/>
      <c r="E52" s="3"/>
      <c r="F52" s="50">
        <f>F50/F51</f>
        <v>0.5</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457</v>
      </c>
      <c r="C2" s="2"/>
      <c r="D2" s="2"/>
      <c r="E2" s="2"/>
      <c r="F2" s="2"/>
      <c r="G2" s="2"/>
      <c r="H2" s="3"/>
      <c r="I2" s="37" t="s">
        <v>458</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4" t="s">
        <v>48</v>
      </c>
      <c r="I4" s="55" t="s">
        <v>459</v>
      </c>
      <c r="J4" s="53">
        <v>18905.0</v>
      </c>
    </row>
    <row r="5" ht="60.0" customHeight="1">
      <c r="A5" s="39">
        <v>2.0</v>
      </c>
      <c r="B5" s="40" t="s">
        <v>39</v>
      </c>
      <c r="C5" s="40" t="s">
        <v>40</v>
      </c>
      <c r="D5" s="40" t="s">
        <v>41</v>
      </c>
      <c r="E5" s="40" t="s">
        <v>42</v>
      </c>
      <c r="F5" s="39" t="str">
        <f t="shared" si="1"/>
        <v>CORRECT</v>
      </c>
      <c r="G5" s="39" t="s">
        <v>37</v>
      </c>
      <c r="H5" s="54" t="s">
        <v>37</v>
      </c>
      <c r="I5" s="42" t="s">
        <v>460</v>
      </c>
      <c r="J5" s="53">
        <v>24714.0</v>
      </c>
    </row>
    <row r="6" ht="60.0" customHeight="1">
      <c r="A6" s="39">
        <v>3.0</v>
      </c>
      <c r="B6" s="40" t="s">
        <v>44</v>
      </c>
      <c r="C6" s="40" t="s">
        <v>45</v>
      </c>
      <c r="D6" s="40" t="s">
        <v>46</v>
      </c>
      <c r="E6" s="40" t="s">
        <v>47</v>
      </c>
      <c r="F6" s="39" t="str">
        <f t="shared" si="1"/>
        <v>WRONG</v>
      </c>
      <c r="G6" s="39" t="s">
        <v>48</v>
      </c>
      <c r="H6" s="54" t="s">
        <v>461</v>
      </c>
      <c r="I6" s="55" t="s">
        <v>462</v>
      </c>
      <c r="J6" s="53">
        <v>4760.0</v>
      </c>
    </row>
    <row r="7" ht="60.0" customHeight="1">
      <c r="A7" s="39">
        <v>4.0</v>
      </c>
      <c r="B7" s="40" t="s">
        <v>50</v>
      </c>
      <c r="C7" s="40" t="s">
        <v>51</v>
      </c>
      <c r="D7" s="40" t="s">
        <v>52</v>
      </c>
      <c r="E7" s="40" t="s">
        <v>53</v>
      </c>
      <c r="F7" s="39" t="str">
        <f t="shared" si="1"/>
        <v>CORRECT</v>
      </c>
      <c r="G7" s="39" t="s">
        <v>37</v>
      </c>
      <c r="H7" s="54" t="s">
        <v>37</v>
      </c>
      <c r="I7" s="42" t="s">
        <v>463</v>
      </c>
      <c r="J7" s="53">
        <v>47910.0</v>
      </c>
    </row>
    <row r="8" ht="60.0" customHeight="1">
      <c r="A8" s="39">
        <v>5.0</v>
      </c>
      <c r="B8" s="40" t="s">
        <v>55</v>
      </c>
      <c r="C8" s="40" t="s">
        <v>56</v>
      </c>
      <c r="D8" s="40" t="s">
        <v>57</v>
      </c>
      <c r="E8" s="40" t="s">
        <v>58</v>
      </c>
      <c r="F8" s="39" t="str">
        <f t="shared" si="1"/>
        <v>CORRECT</v>
      </c>
      <c r="G8" s="39" t="s">
        <v>48</v>
      </c>
      <c r="H8" s="54" t="s">
        <v>48</v>
      </c>
      <c r="I8" s="42" t="s">
        <v>464</v>
      </c>
      <c r="J8" s="53">
        <v>42809.0</v>
      </c>
    </row>
    <row r="9" ht="60.0" customHeight="1">
      <c r="A9" s="39">
        <v>6.0</v>
      </c>
      <c r="B9" s="40" t="s">
        <v>60</v>
      </c>
      <c r="C9" s="40" t="s">
        <v>61</v>
      </c>
      <c r="D9" s="40" t="s">
        <v>62</v>
      </c>
      <c r="E9" s="40" t="s">
        <v>63</v>
      </c>
      <c r="F9" s="39" t="str">
        <f t="shared" si="1"/>
        <v>CORRECT</v>
      </c>
      <c r="G9" s="39" t="s">
        <v>37</v>
      </c>
      <c r="H9" s="54" t="s">
        <v>37</v>
      </c>
      <c r="I9" s="42" t="s">
        <v>465</v>
      </c>
      <c r="J9" s="53">
        <v>17672.0</v>
      </c>
    </row>
    <row r="10" ht="60.0" customHeight="1">
      <c r="A10" s="39">
        <v>7.0</v>
      </c>
      <c r="B10" s="40" t="s">
        <v>65</v>
      </c>
      <c r="C10" s="40" t="s">
        <v>66</v>
      </c>
      <c r="D10" s="40" t="s">
        <v>67</v>
      </c>
      <c r="E10" s="40" t="s">
        <v>68</v>
      </c>
      <c r="F10" s="39" t="str">
        <f t="shared" si="1"/>
        <v>WRONG</v>
      </c>
      <c r="G10" s="39" t="s">
        <v>37</v>
      </c>
      <c r="H10" s="53" t="s">
        <v>36</v>
      </c>
      <c r="I10" s="42" t="s">
        <v>466</v>
      </c>
      <c r="J10" s="53">
        <v>20709.0</v>
      </c>
    </row>
    <row r="11" ht="60.0" customHeight="1">
      <c r="A11" s="39">
        <v>8.0</v>
      </c>
      <c r="B11" s="40" t="s">
        <v>70</v>
      </c>
      <c r="C11" s="40" t="s">
        <v>71</v>
      </c>
      <c r="D11" s="40" t="s">
        <v>72</v>
      </c>
      <c r="E11" s="40" t="s">
        <v>73</v>
      </c>
      <c r="F11" s="39" t="str">
        <f t="shared" si="1"/>
        <v>WRONG</v>
      </c>
      <c r="G11" s="39" t="s">
        <v>48</v>
      </c>
      <c r="H11" s="54" t="s">
        <v>36</v>
      </c>
      <c r="I11" s="42" t="s">
        <v>467</v>
      </c>
      <c r="J11" s="53">
        <v>28797.0</v>
      </c>
    </row>
    <row r="12" ht="60.0" customHeight="1">
      <c r="A12" s="39">
        <v>9.0</v>
      </c>
      <c r="B12" s="40" t="s">
        <v>75</v>
      </c>
      <c r="C12" s="40" t="s">
        <v>76</v>
      </c>
      <c r="D12" s="40" t="s">
        <v>77</v>
      </c>
      <c r="E12" s="40" t="s">
        <v>78</v>
      </c>
      <c r="F12" s="39" t="str">
        <f t="shared" si="1"/>
        <v>WRONG</v>
      </c>
      <c r="G12" s="39" t="s">
        <v>37</v>
      </c>
      <c r="H12" s="54" t="s">
        <v>48</v>
      </c>
      <c r="I12" s="55" t="s">
        <v>468</v>
      </c>
      <c r="J12" s="53">
        <v>44266.0</v>
      </c>
    </row>
    <row r="13" ht="60.0" customHeight="1">
      <c r="A13" s="39">
        <v>10.0</v>
      </c>
      <c r="B13" s="40" t="s">
        <v>80</v>
      </c>
      <c r="C13" s="40" t="s">
        <v>81</v>
      </c>
      <c r="D13" s="40" t="s">
        <v>82</v>
      </c>
      <c r="E13" s="40" t="s">
        <v>83</v>
      </c>
      <c r="F13" s="39" t="str">
        <f t="shared" si="1"/>
        <v>WRONG</v>
      </c>
      <c r="G13" s="39" t="s">
        <v>48</v>
      </c>
      <c r="H13" s="54" t="s">
        <v>36</v>
      </c>
      <c r="I13" s="42" t="s">
        <v>469</v>
      </c>
      <c r="J13" s="53">
        <v>43232.0</v>
      </c>
    </row>
    <row r="14" ht="60.0" customHeight="1">
      <c r="A14" s="39">
        <v>11.0</v>
      </c>
      <c r="B14" s="40" t="s">
        <v>85</v>
      </c>
      <c r="C14" s="40" t="s">
        <v>86</v>
      </c>
      <c r="D14" s="40" t="s">
        <v>87</v>
      </c>
      <c r="E14" s="40" t="s">
        <v>88</v>
      </c>
      <c r="F14" s="39" t="str">
        <f t="shared" si="1"/>
        <v>WRONG</v>
      </c>
      <c r="G14" s="39" t="s">
        <v>37</v>
      </c>
      <c r="H14" s="54" t="s">
        <v>36</v>
      </c>
      <c r="I14" s="42" t="s">
        <v>470</v>
      </c>
      <c r="J14" s="53">
        <v>20441.0</v>
      </c>
    </row>
    <row r="15" ht="60.0" customHeight="1">
      <c r="A15" s="39">
        <v>12.0</v>
      </c>
      <c r="B15" s="40" t="s">
        <v>90</v>
      </c>
      <c r="C15" s="40" t="s">
        <v>91</v>
      </c>
      <c r="D15" s="40" t="s">
        <v>92</v>
      </c>
      <c r="E15" s="40" t="s">
        <v>93</v>
      </c>
      <c r="F15" s="39" t="str">
        <f t="shared" si="1"/>
        <v>CORRECT</v>
      </c>
      <c r="G15" s="39" t="s">
        <v>48</v>
      </c>
      <c r="H15" s="54" t="s">
        <v>48</v>
      </c>
      <c r="I15" s="42" t="s">
        <v>471</v>
      </c>
      <c r="J15" s="53">
        <v>22017.0</v>
      </c>
    </row>
    <row r="16" ht="60.0" customHeight="1">
      <c r="A16" s="39">
        <v>13.0</v>
      </c>
      <c r="B16" s="40" t="s">
        <v>95</v>
      </c>
      <c r="C16" s="40" t="s">
        <v>96</v>
      </c>
      <c r="D16" s="40" t="s">
        <v>97</v>
      </c>
      <c r="E16" s="40" t="s">
        <v>98</v>
      </c>
      <c r="F16" s="39" t="str">
        <f t="shared" si="1"/>
        <v>WRONG</v>
      </c>
      <c r="G16" s="39" t="s">
        <v>36</v>
      </c>
      <c r="H16" s="54" t="s">
        <v>37</v>
      </c>
      <c r="I16" s="42" t="s">
        <v>472</v>
      </c>
      <c r="J16" s="53">
        <v>27086.0</v>
      </c>
    </row>
    <row r="17" ht="60.0" customHeight="1">
      <c r="A17" s="39">
        <v>14.0</v>
      </c>
      <c r="B17" s="40" t="s">
        <v>100</v>
      </c>
      <c r="C17" s="40" t="s">
        <v>101</v>
      </c>
      <c r="D17" s="40" t="s">
        <v>102</v>
      </c>
      <c r="E17" s="40" t="s">
        <v>103</v>
      </c>
      <c r="F17" s="39" t="str">
        <f t="shared" si="1"/>
        <v>WRONG</v>
      </c>
      <c r="G17" s="39" t="s">
        <v>36</v>
      </c>
      <c r="H17" s="54" t="s">
        <v>48</v>
      </c>
      <c r="I17" s="55" t="s">
        <v>473</v>
      </c>
      <c r="J17" s="53">
        <v>21611.0</v>
      </c>
    </row>
    <row r="18" ht="60.0" customHeight="1">
      <c r="A18" s="39">
        <v>15.0</v>
      </c>
      <c r="B18" s="40" t="s">
        <v>105</v>
      </c>
      <c r="C18" s="40" t="s">
        <v>106</v>
      </c>
      <c r="D18" s="40" t="s">
        <v>107</v>
      </c>
      <c r="E18" s="40" t="s">
        <v>108</v>
      </c>
      <c r="F18" s="39" t="str">
        <f t="shared" si="1"/>
        <v>CORRECT</v>
      </c>
      <c r="G18" s="39" t="s">
        <v>48</v>
      </c>
      <c r="H18" s="53" t="s">
        <v>48</v>
      </c>
      <c r="I18" s="42" t="s">
        <v>474</v>
      </c>
      <c r="J18" s="53">
        <v>27316.0</v>
      </c>
    </row>
    <row r="19" ht="60.0" customHeight="1">
      <c r="A19" s="39">
        <v>16.0</v>
      </c>
      <c r="B19" s="40" t="s">
        <v>110</v>
      </c>
      <c r="C19" s="40" t="s">
        <v>111</v>
      </c>
      <c r="D19" s="40" t="s">
        <v>112</v>
      </c>
      <c r="E19" s="40" t="s">
        <v>113</v>
      </c>
      <c r="F19" s="39" t="str">
        <f t="shared" si="1"/>
        <v>CORRECT</v>
      </c>
      <c r="G19" s="39" t="s">
        <v>48</v>
      </c>
      <c r="H19" s="54" t="s">
        <v>48</v>
      </c>
      <c r="I19" s="42" t="s">
        <v>475</v>
      </c>
      <c r="J19" s="53">
        <v>29053.0</v>
      </c>
    </row>
    <row r="20" ht="60.0" customHeight="1">
      <c r="A20" s="39">
        <v>17.0</v>
      </c>
      <c r="B20" s="40" t="s">
        <v>115</v>
      </c>
      <c r="C20" s="40" t="s">
        <v>116</v>
      </c>
      <c r="D20" s="40" t="s">
        <v>117</v>
      </c>
      <c r="E20" s="40" t="s">
        <v>118</v>
      </c>
      <c r="F20" s="39" t="str">
        <f t="shared" si="1"/>
        <v>WRONG</v>
      </c>
      <c r="G20" s="39" t="s">
        <v>37</v>
      </c>
      <c r="H20" s="53" t="s">
        <v>36</v>
      </c>
      <c r="I20" s="42" t="s">
        <v>476</v>
      </c>
      <c r="J20" s="53">
        <v>19443.0</v>
      </c>
    </row>
    <row r="21" ht="60.0" customHeight="1">
      <c r="A21" s="39">
        <v>18.0</v>
      </c>
      <c r="B21" s="40" t="s">
        <v>120</v>
      </c>
      <c r="C21" s="40" t="s">
        <v>121</v>
      </c>
      <c r="D21" s="40" t="s">
        <v>122</v>
      </c>
      <c r="E21" s="40" t="s">
        <v>123</v>
      </c>
      <c r="F21" s="39" t="str">
        <f t="shared" si="1"/>
        <v>CORRECT</v>
      </c>
      <c r="G21" s="39" t="s">
        <v>37</v>
      </c>
      <c r="H21" s="53" t="s">
        <v>37</v>
      </c>
      <c r="I21" s="42" t="s">
        <v>477</v>
      </c>
      <c r="J21" s="53">
        <v>27644.0</v>
      </c>
    </row>
    <row r="22" ht="60.0" customHeight="1">
      <c r="A22" s="39">
        <v>19.0</v>
      </c>
      <c r="B22" s="40" t="s">
        <v>125</v>
      </c>
      <c r="C22" s="40" t="s">
        <v>126</v>
      </c>
      <c r="D22" s="40" t="s">
        <v>127</v>
      </c>
      <c r="E22" s="40" t="s">
        <v>128</v>
      </c>
      <c r="F22" s="39" t="str">
        <f t="shared" si="1"/>
        <v>WRONG</v>
      </c>
      <c r="G22" s="39" t="s">
        <v>36</v>
      </c>
      <c r="H22" s="54" t="s">
        <v>48</v>
      </c>
      <c r="I22" s="42" t="s">
        <v>478</v>
      </c>
      <c r="J22" s="53">
        <v>22069.0</v>
      </c>
    </row>
    <row r="23" ht="60.0" customHeight="1">
      <c r="A23" s="39">
        <v>20.0</v>
      </c>
      <c r="B23" s="40" t="s">
        <v>130</v>
      </c>
      <c r="C23" s="40" t="s">
        <v>131</v>
      </c>
      <c r="D23" s="40" t="s">
        <v>132</v>
      </c>
      <c r="E23" s="40" t="s">
        <v>133</v>
      </c>
      <c r="F23" s="39" t="str">
        <f t="shared" si="1"/>
        <v>WRONG</v>
      </c>
      <c r="G23" s="39" t="s">
        <v>37</v>
      </c>
      <c r="H23" s="54" t="s">
        <v>36</v>
      </c>
      <c r="I23" s="42" t="s">
        <v>479</v>
      </c>
      <c r="J23" s="53">
        <v>19150.0</v>
      </c>
    </row>
    <row r="24" ht="60.0" customHeight="1">
      <c r="A24" s="39">
        <v>21.0</v>
      </c>
      <c r="B24" s="40" t="s">
        <v>135</v>
      </c>
      <c r="C24" s="40" t="s">
        <v>136</v>
      </c>
      <c r="D24" s="40" t="s">
        <v>137</v>
      </c>
      <c r="E24" s="40" t="s">
        <v>138</v>
      </c>
      <c r="F24" s="39" t="str">
        <f t="shared" si="1"/>
        <v>WRONG</v>
      </c>
      <c r="G24" s="39" t="s">
        <v>37</v>
      </c>
      <c r="H24" s="54" t="s">
        <v>36</v>
      </c>
      <c r="I24" s="42" t="s">
        <v>480</v>
      </c>
      <c r="J24" s="53">
        <v>18850.0</v>
      </c>
    </row>
    <row r="25" ht="60.0" customHeight="1">
      <c r="A25" s="39">
        <v>22.0</v>
      </c>
      <c r="B25" s="40" t="s">
        <v>140</v>
      </c>
      <c r="C25" s="40" t="s">
        <v>141</v>
      </c>
      <c r="D25" s="40" t="s">
        <v>142</v>
      </c>
      <c r="E25" s="40" t="s">
        <v>143</v>
      </c>
      <c r="F25" s="39" t="str">
        <f t="shared" si="1"/>
        <v>WRONG</v>
      </c>
      <c r="G25" s="39" t="s">
        <v>37</v>
      </c>
      <c r="H25" s="54" t="s">
        <v>48</v>
      </c>
      <c r="I25" s="42" t="s">
        <v>481</v>
      </c>
      <c r="J25" s="53">
        <v>28963.0</v>
      </c>
    </row>
    <row r="26" ht="60.0" customHeight="1">
      <c r="A26" s="39">
        <v>23.0</v>
      </c>
      <c r="B26" s="40" t="s">
        <v>145</v>
      </c>
      <c r="C26" s="40" t="s">
        <v>146</v>
      </c>
      <c r="D26" s="40" t="s">
        <v>147</v>
      </c>
      <c r="E26" s="40" t="s">
        <v>148</v>
      </c>
      <c r="F26" s="39" t="str">
        <f t="shared" si="1"/>
        <v>WRONG</v>
      </c>
      <c r="G26" s="39" t="s">
        <v>48</v>
      </c>
      <c r="H26" s="54" t="s">
        <v>37</v>
      </c>
      <c r="I26" s="42" t="s">
        <v>482</v>
      </c>
      <c r="J26" s="53">
        <v>26525.0</v>
      </c>
    </row>
    <row r="27" ht="60.0" customHeight="1">
      <c r="A27" s="39">
        <v>24.0</v>
      </c>
      <c r="B27" s="40" t="s">
        <v>150</v>
      </c>
      <c r="C27" s="40" t="s">
        <v>151</v>
      </c>
      <c r="D27" s="40" t="s">
        <v>152</v>
      </c>
      <c r="E27" s="40" t="s">
        <v>153</v>
      </c>
      <c r="F27" s="39" t="str">
        <f t="shared" si="1"/>
        <v>WRONG</v>
      </c>
      <c r="G27" s="39" t="s">
        <v>36</v>
      </c>
      <c r="H27" s="54" t="s">
        <v>48</v>
      </c>
      <c r="I27" s="42" t="s">
        <v>483</v>
      </c>
      <c r="J27" s="53">
        <v>16193.0</v>
      </c>
    </row>
    <row r="28" ht="60.0" customHeight="1">
      <c r="A28" s="39">
        <v>25.0</v>
      </c>
      <c r="B28" s="40" t="s">
        <v>155</v>
      </c>
      <c r="C28" s="40" t="s">
        <v>151</v>
      </c>
      <c r="D28" s="40" t="s">
        <v>156</v>
      </c>
      <c r="E28" s="40" t="s">
        <v>153</v>
      </c>
      <c r="F28" s="39" t="str">
        <f t="shared" si="1"/>
        <v>CORRECT</v>
      </c>
      <c r="G28" s="39" t="s">
        <v>48</v>
      </c>
      <c r="H28" s="54" t="s">
        <v>48</v>
      </c>
      <c r="I28" s="42" t="s">
        <v>484</v>
      </c>
      <c r="J28" s="53">
        <v>26215.0</v>
      </c>
    </row>
    <row r="29" ht="60.0" customHeight="1">
      <c r="A29" s="39">
        <v>26.0</v>
      </c>
      <c r="B29" s="40" t="s">
        <v>158</v>
      </c>
      <c r="C29" s="40" t="s">
        <v>159</v>
      </c>
      <c r="D29" s="40" t="s">
        <v>160</v>
      </c>
      <c r="E29" s="40" t="s">
        <v>161</v>
      </c>
      <c r="F29" s="39" t="str">
        <f t="shared" si="1"/>
        <v>WRONG</v>
      </c>
      <c r="G29" s="39" t="s">
        <v>36</v>
      </c>
      <c r="H29" s="54" t="s">
        <v>37</v>
      </c>
      <c r="I29" s="42" t="s">
        <v>485</v>
      </c>
      <c r="J29" s="53">
        <v>68878.0</v>
      </c>
    </row>
    <row r="30" ht="60.0" customHeight="1">
      <c r="A30" s="39">
        <v>27.0</v>
      </c>
      <c r="B30" s="40" t="s">
        <v>163</v>
      </c>
      <c r="C30" s="40" t="s">
        <v>164</v>
      </c>
      <c r="D30" s="40" t="s">
        <v>165</v>
      </c>
      <c r="E30" s="40" t="s">
        <v>166</v>
      </c>
      <c r="F30" s="39" t="str">
        <f t="shared" si="1"/>
        <v>CORRECT</v>
      </c>
      <c r="G30" s="39" t="s">
        <v>37</v>
      </c>
      <c r="H30" s="54" t="s">
        <v>37</v>
      </c>
      <c r="I30" s="42" t="s">
        <v>486</v>
      </c>
      <c r="J30" s="53">
        <v>24690.0</v>
      </c>
    </row>
    <row r="31" ht="60.0" customHeight="1">
      <c r="A31" s="39">
        <v>28.0</v>
      </c>
      <c r="B31" s="40" t="s">
        <v>168</v>
      </c>
      <c r="C31" s="40" t="s">
        <v>169</v>
      </c>
      <c r="D31" s="40" t="s">
        <v>170</v>
      </c>
      <c r="E31" s="40" t="s">
        <v>171</v>
      </c>
      <c r="F31" s="39" t="str">
        <f t="shared" si="1"/>
        <v>CORRECT</v>
      </c>
      <c r="G31" s="39" t="s">
        <v>36</v>
      </c>
      <c r="H31" s="54" t="s">
        <v>36</v>
      </c>
      <c r="I31" s="42" t="s">
        <v>487</v>
      </c>
      <c r="J31" s="53">
        <v>22558.0</v>
      </c>
    </row>
    <row r="32" ht="60.0" customHeight="1">
      <c r="A32" s="39">
        <v>29.0</v>
      </c>
      <c r="B32" s="40" t="s">
        <v>173</v>
      </c>
      <c r="C32" s="40" t="s">
        <v>174</v>
      </c>
      <c r="D32" s="40" t="s">
        <v>175</v>
      </c>
      <c r="E32" s="40" t="s">
        <v>176</v>
      </c>
      <c r="F32" s="39" t="str">
        <f t="shared" si="1"/>
        <v>WRONG</v>
      </c>
      <c r="G32" s="39" t="s">
        <v>37</v>
      </c>
      <c r="H32" s="54" t="s">
        <v>461</v>
      </c>
      <c r="I32" s="42" t="s">
        <v>488</v>
      </c>
      <c r="J32" s="53">
        <v>11176.0</v>
      </c>
    </row>
    <row r="33" ht="60.0" customHeight="1">
      <c r="A33" s="39">
        <v>30.0</v>
      </c>
      <c r="B33" s="40" t="s">
        <v>178</v>
      </c>
      <c r="C33" s="40" t="s">
        <v>179</v>
      </c>
      <c r="D33" s="40" t="s">
        <v>180</v>
      </c>
      <c r="E33" s="40" t="s">
        <v>181</v>
      </c>
      <c r="F33" s="39" t="str">
        <f t="shared" si="1"/>
        <v>WRONG</v>
      </c>
      <c r="G33" s="39" t="s">
        <v>48</v>
      </c>
      <c r="H33" s="54" t="s">
        <v>36</v>
      </c>
      <c r="I33" s="42" t="s">
        <v>489</v>
      </c>
      <c r="J33" s="53">
        <v>27078.0</v>
      </c>
    </row>
    <row r="34" ht="60.0" customHeight="1">
      <c r="A34" s="39">
        <v>31.0</v>
      </c>
      <c r="B34" s="40" t="s">
        <v>183</v>
      </c>
      <c r="C34" s="40" t="s">
        <v>184</v>
      </c>
      <c r="D34" s="40" t="s">
        <v>185</v>
      </c>
      <c r="E34" s="40" t="s">
        <v>186</v>
      </c>
      <c r="F34" s="39" t="str">
        <f t="shared" si="1"/>
        <v>CORRECT</v>
      </c>
      <c r="G34" s="39" t="s">
        <v>37</v>
      </c>
      <c r="H34" s="54" t="s">
        <v>37</v>
      </c>
      <c r="I34" s="42" t="s">
        <v>490</v>
      </c>
      <c r="J34" s="53">
        <v>31723.0</v>
      </c>
    </row>
    <row r="35" ht="60.0" customHeight="1">
      <c r="A35" s="39">
        <v>32.0</v>
      </c>
      <c r="B35" s="40" t="s">
        <v>188</v>
      </c>
      <c r="C35" s="40" t="s">
        <v>189</v>
      </c>
      <c r="D35" s="40" t="s">
        <v>190</v>
      </c>
      <c r="E35" s="40" t="s">
        <v>191</v>
      </c>
      <c r="F35" s="39" t="str">
        <f t="shared" si="1"/>
        <v>WRONG</v>
      </c>
      <c r="G35" s="39" t="s">
        <v>36</v>
      </c>
      <c r="H35" s="54" t="s">
        <v>48</v>
      </c>
      <c r="I35" s="42" t="s">
        <v>491</v>
      </c>
      <c r="J35" s="53">
        <v>42467.0</v>
      </c>
    </row>
    <row r="36" ht="60.0" customHeight="1">
      <c r="A36" s="39">
        <v>33.0</v>
      </c>
      <c r="B36" s="40" t="s">
        <v>193</v>
      </c>
      <c r="C36" s="40" t="s">
        <v>194</v>
      </c>
      <c r="D36" s="40" t="s">
        <v>195</v>
      </c>
      <c r="E36" s="40" t="s">
        <v>196</v>
      </c>
      <c r="F36" s="39" t="str">
        <f t="shared" si="1"/>
        <v>WRONG</v>
      </c>
      <c r="G36" s="39" t="s">
        <v>48</v>
      </c>
      <c r="H36" s="54" t="s">
        <v>36</v>
      </c>
      <c r="I36" s="42" t="s">
        <v>492</v>
      </c>
      <c r="J36" s="53">
        <v>30305.0</v>
      </c>
    </row>
    <row r="37" ht="60.0" customHeight="1">
      <c r="A37" s="39">
        <v>34.0</v>
      </c>
      <c r="B37" s="40" t="s">
        <v>198</v>
      </c>
      <c r="C37" s="40" t="s">
        <v>199</v>
      </c>
      <c r="D37" s="40" t="s">
        <v>200</v>
      </c>
      <c r="E37" s="40" t="s">
        <v>201</v>
      </c>
      <c r="F37" s="39" t="str">
        <f t="shared" si="1"/>
        <v>CORRECT</v>
      </c>
      <c r="G37" s="39" t="s">
        <v>36</v>
      </c>
      <c r="H37" s="54" t="s">
        <v>36</v>
      </c>
      <c r="I37" s="42" t="s">
        <v>493</v>
      </c>
      <c r="J37" s="53">
        <v>22695.0</v>
      </c>
    </row>
    <row r="38" ht="60.0" customHeight="1">
      <c r="A38" s="39">
        <v>35.0</v>
      </c>
      <c r="B38" s="40" t="s">
        <v>203</v>
      </c>
      <c r="C38" s="40" t="s">
        <v>204</v>
      </c>
      <c r="D38" s="40" t="s">
        <v>205</v>
      </c>
      <c r="E38" s="40" t="s">
        <v>206</v>
      </c>
      <c r="F38" s="39" t="str">
        <f t="shared" si="1"/>
        <v>WRONG</v>
      </c>
      <c r="G38" s="39" t="s">
        <v>48</v>
      </c>
      <c r="H38" s="54" t="s">
        <v>36</v>
      </c>
      <c r="I38" s="42" t="s">
        <v>494</v>
      </c>
      <c r="J38" s="53">
        <v>37213.0</v>
      </c>
    </row>
    <row r="39" ht="60.0" customHeight="1">
      <c r="A39" s="39">
        <v>36.0</v>
      </c>
      <c r="B39" s="40" t="s">
        <v>208</v>
      </c>
      <c r="C39" s="40" t="s">
        <v>209</v>
      </c>
      <c r="D39" s="40" t="s">
        <v>210</v>
      </c>
      <c r="E39" s="40" t="s">
        <v>211</v>
      </c>
      <c r="F39" s="39" t="str">
        <f t="shared" si="1"/>
        <v>WRONG</v>
      </c>
      <c r="G39" s="39" t="s">
        <v>36</v>
      </c>
      <c r="H39" s="54" t="s">
        <v>461</v>
      </c>
      <c r="I39" s="42" t="s">
        <v>495</v>
      </c>
      <c r="J39" s="53">
        <v>8930.0</v>
      </c>
    </row>
    <row r="40" ht="60.0" customHeight="1">
      <c r="A40" s="39">
        <v>37.0</v>
      </c>
      <c r="B40" s="40" t="s">
        <v>213</v>
      </c>
      <c r="C40" s="40" t="s">
        <v>214</v>
      </c>
      <c r="D40" s="40" t="s">
        <v>215</v>
      </c>
      <c r="E40" s="40" t="s">
        <v>216</v>
      </c>
      <c r="F40" s="39" t="str">
        <f t="shared" si="1"/>
        <v>WRONG</v>
      </c>
      <c r="G40" s="39" t="s">
        <v>36</v>
      </c>
      <c r="H40" s="54" t="s">
        <v>37</v>
      </c>
      <c r="I40" s="42" t="s">
        <v>496</v>
      </c>
      <c r="J40" s="53">
        <v>21901.0</v>
      </c>
    </row>
    <row r="41" ht="60.0" customHeight="1">
      <c r="A41" s="39">
        <v>38.0</v>
      </c>
      <c r="B41" s="40" t="s">
        <v>218</v>
      </c>
      <c r="C41" s="40" t="s">
        <v>219</v>
      </c>
      <c r="D41" s="40" t="s">
        <v>220</v>
      </c>
      <c r="E41" s="40" t="s">
        <v>221</v>
      </c>
      <c r="F41" s="39" t="str">
        <f t="shared" si="1"/>
        <v>WRONG</v>
      </c>
      <c r="G41" s="39" t="s">
        <v>36</v>
      </c>
      <c r="H41" s="54" t="s">
        <v>48</v>
      </c>
      <c r="I41" s="42" t="s">
        <v>497</v>
      </c>
      <c r="J41" s="53">
        <v>27307.0</v>
      </c>
    </row>
    <row r="42" ht="60.0" customHeight="1">
      <c r="A42" s="39">
        <v>39.0</v>
      </c>
      <c r="B42" s="40" t="s">
        <v>223</v>
      </c>
      <c r="C42" s="40" t="s">
        <v>224</v>
      </c>
      <c r="D42" s="40" t="s">
        <v>225</v>
      </c>
      <c r="E42" s="40" t="s">
        <v>226</v>
      </c>
      <c r="F42" s="39" t="str">
        <f t="shared" si="1"/>
        <v>CORRECT</v>
      </c>
      <c r="G42" s="39" t="s">
        <v>37</v>
      </c>
      <c r="H42" s="54" t="s">
        <v>37</v>
      </c>
      <c r="I42" s="42" t="s">
        <v>498</v>
      </c>
      <c r="J42" s="53">
        <v>26920.0</v>
      </c>
    </row>
    <row r="43" ht="60.0" customHeight="1">
      <c r="A43" s="39">
        <v>40.0</v>
      </c>
      <c r="B43" s="40" t="s">
        <v>228</v>
      </c>
      <c r="C43" s="40" t="s">
        <v>229</v>
      </c>
      <c r="D43" s="40" t="s">
        <v>230</v>
      </c>
      <c r="E43" s="40" t="s">
        <v>231</v>
      </c>
      <c r="F43" s="39" t="str">
        <f t="shared" si="1"/>
        <v>WRONG</v>
      </c>
      <c r="G43" s="39" t="s">
        <v>48</v>
      </c>
      <c r="H43" s="54" t="s">
        <v>37</v>
      </c>
      <c r="I43" s="42" t="s">
        <v>499</v>
      </c>
      <c r="J43" s="53">
        <v>49720.0</v>
      </c>
    </row>
    <row r="44" ht="60.0" customHeight="1">
      <c r="A44" s="39">
        <v>41.0</v>
      </c>
      <c r="B44" s="40" t="s">
        <v>233</v>
      </c>
      <c r="C44" s="40" t="s">
        <v>234</v>
      </c>
      <c r="D44" s="40" t="s">
        <v>235</v>
      </c>
      <c r="E44" s="40" t="s">
        <v>236</v>
      </c>
      <c r="F44" s="39" t="str">
        <f t="shared" si="1"/>
        <v>CORRECT</v>
      </c>
      <c r="G44" s="39" t="s">
        <v>37</v>
      </c>
      <c r="H44" s="53" t="s">
        <v>37</v>
      </c>
      <c r="I44" s="42" t="s">
        <v>500</v>
      </c>
      <c r="J44" s="53">
        <v>21611.0</v>
      </c>
    </row>
    <row r="45" ht="60.0" customHeight="1">
      <c r="A45" s="39">
        <v>42.0</v>
      </c>
      <c r="B45" s="40" t="s">
        <v>238</v>
      </c>
      <c r="C45" s="40" t="s">
        <v>239</v>
      </c>
      <c r="D45" s="40" t="s">
        <v>240</v>
      </c>
      <c r="E45" s="40" t="s">
        <v>241</v>
      </c>
      <c r="F45" s="39" t="str">
        <f t="shared" si="1"/>
        <v>WRONG</v>
      </c>
      <c r="G45" s="39" t="s">
        <v>36</v>
      </c>
      <c r="H45" s="54" t="s">
        <v>37</v>
      </c>
      <c r="I45" s="42" t="s">
        <v>501</v>
      </c>
      <c r="J45" s="53">
        <v>41039.0</v>
      </c>
    </row>
    <row r="46" ht="60.0" customHeight="1">
      <c r="A46" s="39">
        <v>43.0</v>
      </c>
      <c r="B46" s="40" t="s">
        <v>243</v>
      </c>
      <c r="C46" s="40" t="s">
        <v>244</v>
      </c>
      <c r="D46" s="40" t="s">
        <v>245</v>
      </c>
      <c r="E46" s="40" t="s">
        <v>246</v>
      </c>
      <c r="F46" s="39" t="str">
        <f t="shared" si="1"/>
        <v>WRONG</v>
      </c>
      <c r="G46" s="39" t="s">
        <v>48</v>
      </c>
      <c r="H46" s="54" t="s">
        <v>36</v>
      </c>
      <c r="I46" s="42" t="s">
        <v>502</v>
      </c>
      <c r="J46" s="53">
        <v>32602.0</v>
      </c>
    </row>
    <row r="47" ht="60.0" customHeight="1">
      <c r="A47" s="39">
        <v>44.0</v>
      </c>
      <c r="B47" s="40" t="s">
        <v>248</v>
      </c>
      <c r="C47" s="40" t="s">
        <v>249</v>
      </c>
      <c r="D47" s="40" t="s">
        <v>250</v>
      </c>
      <c r="E47" s="40" t="s">
        <v>251</v>
      </c>
      <c r="F47" s="39" t="str">
        <f t="shared" si="1"/>
        <v>WRONG</v>
      </c>
      <c r="G47" s="39" t="s">
        <v>36</v>
      </c>
      <c r="H47" s="54" t="s">
        <v>48</v>
      </c>
      <c r="I47" s="42" t="s">
        <v>503</v>
      </c>
      <c r="J47" s="53">
        <v>31294.0</v>
      </c>
    </row>
    <row r="48" ht="60.0" customHeight="1">
      <c r="A48" s="39">
        <v>45.0</v>
      </c>
      <c r="B48" s="40" t="s">
        <v>253</v>
      </c>
      <c r="C48" s="40" t="s">
        <v>254</v>
      </c>
      <c r="D48" s="40" t="s">
        <v>255</v>
      </c>
      <c r="E48" s="40" t="s">
        <v>256</v>
      </c>
      <c r="F48" s="39" t="str">
        <f t="shared" si="1"/>
        <v>CORRECT</v>
      </c>
      <c r="G48" s="39" t="s">
        <v>36</v>
      </c>
      <c r="H48" s="53" t="s">
        <v>36</v>
      </c>
      <c r="I48" s="42" t="s">
        <v>504</v>
      </c>
      <c r="J48" s="53">
        <v>28457.0</v>
      </c>
    </row>
    <row r="49" ht="60.0" customHeight="1">
      <c r="A49" s="39">
        <v>46.0</v>
      </c>
      <c r="B49" s="40" t="s">
        <v>258</v>
      </c>
      <c r="C49" s="40" t="s">
        <v>40</v>
      </c>
      <c r="D49" s="40" t="s">
        <v>259</v>
      </c>
      <c r="E49" s="40" t="s">
        <v>260</v>
      </c>
      <c r="F49" s="39" t="str">
        <f t="shared" si="1"/>
        <v>CORRECT</v>
      </c>
      <c r="G49" s="39" t="s">
        <v>36</v>
      </c>
      <c r="H49" s="54" t="s">
        <v>36</v>
      </c>
      <c r="I49" s="55" t="s">
        <v>505</v>
      </c>
      <c r="J49" s="53">
        <v>55639.0</v>
      </c>
    </row>
    <row r="50">
      <c r="A50" s="44" t="s">
        <v>262</v>
      </c>
      <c r="B50" s="2"/>
      <c r="C50" s="2"/>
      <c r="D50" s="2"/>
      <c r="E50" s="3"/>
      <c r="F50" s="45">
        <f>COUNTIFS(F4:F49,"CORRECT")</f>
        <v>17</v>
      </c>
      <c r="G50" s="46"/>
      <c r="H50" s="46"/>
      <c r="J50" s="47">
        <f>AVERAGE(J4:J49)</f>
        <v>28490.28261</v>
      </c>
    </row>
    <row r="51">
      <c r="A51" s="48" t="s">
        <v>263</v>
      </c>
      <c r="B51" s="2"/>
      <c r="C51" s="2"/>
      <c r="D51" s="2"/>
      <c r="E51" s="3"/>
      <c r="F51" s="49">
        <v>46.0</v>
      </c>
      <c r="G51" s="46"/>
      <c r="H51" s="46"/>
    </row>
    <row r="52">
      <c r="A52" s="44" t="s">
        <v>264</v>
      </c>
      <c r="B52" s="2"/>
      <c r="C52" s="2"/>
      <c r="D52" s="2"/>
      <c r="E52" s="3"/>
      <c r="F52" s="50">
        <f>F50/F51</f>
        <v>0.3695652174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