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1_top0.1" sheetId="2" r:id="rId6"/>
    <sheet state="visible" name="seed10_temp0.1_top0.5" sheetId="3" r:id="rId7"/>
    <sheet state="visible" name="seed10_temp0.1_top1.0" sheetId="4" r:id="rId8"/>
    <sheet state="visible" name="seed10_temp1.0_top0.1" sheetId="5" r:id="rId9"/>
    <sheet state="visible" name="seed10_temp1.0_top0.5" sheetId="6" r:id="rId10"/>
    <sheet state="visible" name="seed10_temp1.0_top1.0" sheetId="7" r:id="rId11"/>
    <sheet state="visible" name="seed10_temp2.0_top0.1" sheetId="8" r:id="rId12"/>
    <sheet state="visible" name="seed10_temp2.0_top0.5" sheetId="9" r:id="rId13"/>
    <sheet state="visible" name="seed10_temp2.0_top1.0" sheetId="10" r:id="rId14"/>
  </sheets>
  <definedNames/>
  <calcPr/>
</workbook>
</file>

<file path=xl/sharedStrings.xml><?xml version="1.0" encoding="utf-8"?>
<sst xmlns="http://schemas.openxmlformats.org/spreadsheetml/2006/main" count="3482" uniqueCount="504">
  <si>
    <t>SUMMARY RESULT BETWEEN TEST</t>
  </si>
  <si>
    <t>Temp</t>
  </si>
  <si>
    <t>Topp</t>
  </si>
  <si>
    <t>Parameters</t>
  </si>
  <si>
    <r>
      <rPr>
        <rFont val="Arial"/>
        <color theme="1"/>
      </rPr>
      <t>embed_model="</t>
    </r>
    <r>
      <rPr>
        <rFont val="Arial"/>
        <b/>
        <color rgb="FF3D85C6"/>
      </rPr>
      <t>abhinand/MedEmbed-large-v0.1</t>
    </r>
    <r>
      <rPr>
        <rFont val="Arial"/>
        <color theme="1"/>
      </rPr>
      <t>"
len = 500
k = 12</t>
    </r>
  </si>
  <si>
    <r>
      <rPr>
        <rFont val="Arial"/>
        <color theme="1"/>
      </rPr>
      <t>embed_model="</t>
    </r>
    <r>
      <rPr>
        <rFont val="Arial"/>
        <b/>
        <color rgb="FF3D85C6"/>
      </rPr>
      <t>abhinand/MedEmbed-large-v0.1</t>
    </r>
    <r>
      <rPr>
        <rFont val="Arial"/>
        <color theme="1"/>
      </rPr>
      <t>"
len = 500
k = 12</t>
    </r>
  </si>
  <si>
    <r>
      <rPr>
        <rFont val="Arial"/>
        <color theme="1"/>
      </rPr>
      <t>embed_model="</t>
    </r>
    <r>
      <rPr>
        <rFont val="Arial"/>
        <b/>
        <color rgb="FF3D85C6"/>
      </rPr>
      <t>abhinand/MedEmbed-large-v0.1</t>
    </r>
    <r>
      <rPr>
        <rFont val="Arial"/>
        <color theme="1"/>
      </rPr>
      <t>"
len = 500
k = 12</t>
    </r>
  </si>
  <si>
    <r>
      <rPr>
        <rFont val="Arial"/>
        <color theme="1"/>
      </rPr>
      <t>embed_model="</t>
    </r>
    <r>
      <rPr>
        <rFont val="Arial"/>
        <b/>
        <color rgb="FF3D85C6"/>
      </rPr>
      <t>abhinand/MedEmbed-large-v0.1</t>
    </r>
    <r>
      <rPr>
        <rFont val="Arial"/>
        <color theme="1"/>
      </rPr>
      <t>"
len = 500
k = 12</t>
    </r>
  </si>
  <si>
    <r>
      <rPr>
        <rFont val="Arial"/>
        <color theme="1"/>
      </rPr>
      <t>embed_model="</t>
    </r>
    <r>
      <rPr>
        <rFont val="Arial"/>
        <b/>
        <color rgb="FF3D85C6"/>
      </rPr>
      <t>abhinand/MedEmbed-large-v0.1</t>
    </r>
    <r>
      <rPr>
        <rFont val="Arial"/>
        <color theme="1"/>
      </rPr>
      <t>"
len = 500
k = 12</t>
    </r>
  </si>
  <si>
    <r>
      <rPr>
        <rFont val="Arial"/>
        <color theme="1"/>
      </rPr>
      <t>embed_model="</t>
    </r>
    <r>
      <rPr>
        <rFont val="Arial"/>
        <b/>
        <color rgb="FF3D85C6"/>
      </rPr>
      <t>abhinand/MedEmbed-large-v0.1</t>
    </r>
    <r>
      <rPr>
        <rFont val="Arial"/>
        <color theme="1"/>
      </rPr>
      <t>"
len = 500
k = 12</t>
    </r>
  </si>
  <si>
    <r>
      <rPr>
        <rFont val="Arial"/>
        <color theme="1"/>
      </rPr>
      <t>embed_model="</t>
    </r>
    <r>
      <rPr>
        <rFont val="Arial"/>
        <b/>
        <color rgb="FF3D85C6"/>
      </rPr>
      <t>abhinand/MedEmbed-large-v0.1</t>
    </r>
    <r>
      <rPr>
        <rFont val="Arial"/>
        <color theme="1"/>
      </rPr>
      <t>"
len = 500
k = 12</t>
    </r>
  </si>
  <si>
    <r>
      <rPr>
        <rFont val="Arial"/>
        <color theme="1"/>
      </rPr>
      <t>embed_model="</t>
    </r>
    <r>
      <rPr>
        <rFont val="Arial"/>
        <b/>
        <color rgb="FF3D85C6"/>
      </rPr>
      <t>abhinand/MedEmbed-large-v0.1</t>
    </r>
    <r>
      <rPr>
        <rFont val="Arial"/>
        <color theme="1"/>
      </rPr>
      <t>"
len = 500
k = 12</t>
    </r>
  </si>
  <si>
    <r>
      <rPr>
        <rFont val="Arial"/>
        <color theme="1"/>
      </rPr>
      <t>embed_model="</t>
    </r>
    <r>
      <rPr>
        <rFont val="Arial"/>
        <b/>
        <color rgb="FF3D85C6"/>
      </rPr>
      <t>abhinand/MedEmbed-large-v0.1</t>
    </r>
    <r>
      <rPr>
        <rFont val="Arial"/>
        <color theme="1"/>
      </rPr>
      <t>"
len = 500
k = 12</t>
    </r>
  </si>
  <si>
    <t>Correct answers</t>
  </si>
  <si>
    <t>Total questions</t>
  </si>
  <si>
    <t>Correct ratio</t>
  </si>
  <si>
    <t>CORRECT</t>
  </si>
  <si>
    <t>WRONG</t>
  </si>
  <si>
    <t>RAG LLAMA3.1_8B_INSTRUCT MODEL ASA EXAMINATION (0)</t>
  </si>
  <si>
    <t>Options</t>
  </si>
  <si>
    <r>
      <rPr>
        <rFont val="Arial"/>
        <color theme="1"/>
      </rPr>
      <t>embed_model="</t>
    </r>
    <r>
      <rPr>
        <rFont val="Arial"/>
        <b/>
        <color rgb="FF3D85C6"/>
      </rPr>
      <t>abhinand/MedEmbed-large-v0.1</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</si>
  <si>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</si>
  <si>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</si>
  <si>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</si>
  <si>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</si>
  <si>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</si>
  <si>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</si>
  <si>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CHECKING</t>
  </si>
  <si>
    <t>Answer</t>
  </si>
  <si>
    <t>Gen_Answer</t>
  </si>
  <si>
    <t>Gen_Explain</t>
  </si>
  <si>
    <t>Exe Time (ms)</t>
  </si>
  <si>
    <t>Which of the following nerves should MOST likely be blocked for an operation at the medial aspect of the lower leg?</t>
  </si>
  <si>
    <t>A. Femoral</t>
  </si>
  <si>
    <t>B. Common peroneal</t>
  </si>
  <si>
    <t>C. Tibial</t>
  </si>
  <si>
    <t>A</t>
  </si>
  <si>
    <t>{   "Answer": "A",   "Explain": "For an operation at the medial aspect of the lower leg, the femoral nerve should be blocked. According to the provided context, the femoral nerve can be blocked at the adductor canal, at the level of the knee via the medial femoral condyle, below the knee with local infiltration distal to the medial condyle of the tibia, or above the medial malleolus of the foot." }</t>
  </si>
  <si>
    <t>A patient is scheduled to undergo laparoscopic cholecystectomy. Thirty minutes after receiving premedication with morphine and midazolam, she suddenly develops right upper quadrant abdominal pain and nausea. Which of the following drugs is the MOST appropriate therapy for this patient’s pain?</t>
  </si>
  <si>
    <t>A. Flumazenil</t>
  </si>
  <si>
    <t>B. Ketorolac</t>
  </si>
  <si>
    <t>C. Naloxone</t>
  </si>
  <si>
    <t>C</t>
  </si>
  <si>
    <t>{   "Answer": "C",   "Explain": "The patient is experiencing right upper quadrant abdominal pain and nausea 30 minutes after receiving premedication with morphine and midazolam. Morphine is an opioid and can cause spasm in the sphincter of Oddi, leading to increased pressure in the common bile duct and pain. Therefore, naloxone, an opioid antagonist, is the most appropriate therapy to reverse the effects of morphine and alleviate the patient's symptoms."</t>
  </si>
  <si>
    <t>A 68-year-old woman with primary hyperparathyroidism is scheduled to undergo parathyroidectomy. Her serum calcium concentration is 15 mg/dL. IV administration of which of the following substances is the MOST appropriate initial management?</t>
  </si>
  <si>
    <t>A.Magnesium sulfate</t>
  </si>
  <si>
    <t>B. Normal saline</t>
  </si>
  <si>
    <t>C. Methylprednisolone</t>
  </si>
  <si>
    <t>B</t>
  </si>
  <si>
    <t>{   "Answer": "B",   "Explain": "Normal saline is the most appropriate initial management for a 68-year-old woman with primary hyperparathyroidism and a serum calcium concentration of 15 mg/dL. This is because normal saline can help to dilute the elevated calcium levels and reduce the risk of cardiac complications, such as arrhythmias and cardiac arrest."</t>
  </si>
  <si>
    <t>Which of the following tests MOST reliably predicts the likelihood that a patient will develop malignant hyperthermia?</t>
  </si>
  <si>
    <t>A. Calcium uptake assay in skeletal muscle biopsy</t>
  </si>
  <si>
    <t>B. Genetic testing of the ryanodine receptor</t>
  </si>
  <si>
    <t>C. Caffeine-halothane contracture test</t>
  </si>
  <si>
    <t>{   "Answer": "C",   "Explain": "The caffeine-halothane contracture test has the highest sensitivity and specificity for diagnosing malignant hyperthermia. This test involves testing a skeletal muscle biopsy in vitro for isometric contracture in response to exposure to caffeine or halothane or both." }</t>
  </si>
  <si>
    <t>O2 100 mL/min is bubbled through a vaporizer containing an anesthetic with a vapor pressure of 150 mmHg, and this mixture is added to a fresh gas flow of 5 L/min. Which of the following values BEST represents the delivered anesthetic concentration?</t>
  </si>
  <si>
    <t>A. 0.25%</t>
  </si>
  <si>
    <t>B. 0.5%</t>
  </si>
  <si>
    <t>C. 2.5%</t>
  </si>
  <si>
    <t>{   Answer: "B",   "Explain": "The delivered anesthetic concentration is 0.5%. The calculation is as follows: 40 mL/min of sevoflurane is added to the vaporizer output, and the total vaporizer output is 190 mL/min. Therefore, the percentage of sevoflurane is (40 mL/min) / (190 mL/min) = 0.21, which is equivalent to 0.5%."</t>
  </si>
  <si>
    <t>An adult patient with mild hypothermia is anesthetized with 1 MAC of isoflurane. Which of the following physiologic mechanisms is MOST effective for maintaining body temperature in this patient?</t>
  </si>
  <si>
    <t>A. Nonshivering thermogenesis</t>
  </si>
  <si>
    <t>B. Shivering thermogenesis</t>
  </si>
  <si>
    <t>C. Vasoconstriction</t>
  </si>
  <si>
    <t>{   Answer: "C",   "Explain": "Vasoconstriction is the most effective physiologic mechanism for maintaining body temperature in an adult patient with mild hypothermia anesthetized with 1 MAC of isoflurane. This is because vasoconstriction helps to reduce heat loss by decreasing blood flow to the skin, thereby conserving heat and maintaining body temperature." }</t>
  </si>
  <si>
    <t>A 72-year-old man has just received midazolam for an endoscopic procedure of the upper gastrointestinal tract. Sedation is easily antagonized by flumazenil. Although the endoscopist asks to send the patient home in 1 hour, which of the following factors BEST explains why this patient should remain hospitalized for observation?</t>
  </si>
  <si>
    <t>A. Flumazenil has low affinity for benzodiazepine receptors</t>
  </si>
  <si>
    <t>B. Flumazenil has moderate intrinsic agonist activity</t>
  </si>
  <si>
    <t>C. Midazolam has a longer duration of action than flumazenil</t>
  </si>
  <si>
    <t>{   "Answer": C,   "Explain": "The patient should remain hospitalized for observation because the effects of midazolam can last longer than 1 hour, and the patient may still be experiencing sedation and respiratory depression. Flumazenil, the antagonist used to reverse the effects of midazolam, has a shorter duration of action than midazolam, and the patient may still be at risk for recurrent sedation and respiratory depression." }</t>
  </si>
  <si>
    <t>Which of the following factors exerts the GREATEST effect on the extent of spread of local anesthetic following subarachnoid block with hyperbaric bupivacaine?</t>
  </si>
  <si>
    <t>A. Added epinephrine</t>
  </si>
  <si>
    <t>B. Patient position</t>
  </si>
  <si>
    <t>C. Total dose of drug</t>
  </si>
  <si>
    <t>{   "Answer": "B",   "Explain": "According to the context, 'Procedure Factors' section, 'Patient position' is mentioned as the most important factor in determining block height, combined with the baricity and local anesthetic dose. It is stated that 'Position should not affect the spread of a truly isobaric solution.95 Intrathecal local anesthetic appears to stop spreading 20 to 25 minutes after injection, thus positioning of the patient is most important during this time period, but particularly in the initial few minutes.' This suggests that patient position has a significant impact on the extent of spread of local anesthetic following subarachnoid block with hyperbaric bupivacaine."</t>
  </si>
  <si>
    <t>A 17-year-old boy develops pulmonary edema after resolution of postoperative laryngospasm. While breathing 100% O2, SpO2 is 80%. Which of the following strategies is the MOST appropriate management?</t>
  </si>
  <si>
    <t>A. Administration of albuterol</t>
  </si>
  <si>
    <t>B. Administration of furosemide</t>
  </si>
  <si>
    <t>C. Positive-pressure ventilation</t>
  </si>
  <si>
    <t>{   "Answer": B,   "Explain": "The patient is experiencing postobstructive pulmonary edema, which is a type of noncardiogenic pulmonary edema caused by the sudden release of pressure in the lungs after a period of obstruction, such as laryngospasm. Furosemide, a diuretic, is the most appropriate management strategy in this situation, as it can help to reduce the fluid overload and alleviate the symptoms of pulmonary edema." }</t>
  </si>
  <si>
    <t>A 61-year-old man receives a spinal anesthetic for transurethral resection of the prostate (TURP). Forty-five minutes after the start of the procedure, he suddenly develops nausea, diaphoresis, and sharp pain in the left shoulder. Which of the following etiologies is the MOST likely cause?</t>
  </si>
  <si>
    <t>A. Angina pectoris</t>
  </si>
  <si>
    <t>B. Bladder perforation</t>
  </si>
  <si>
    <t>C. Inadequate spinal sensory level</t>
  </si>
  <si>
    <t>{   Answer: B,   "Explain": "The patient suddenly developed nausea, diaphoresis, and sharp pain in the left shoulder, which are symptoms of TURP syndrome, a condition associated with severe hyponatremia. This is a complication of transurethral resection of the prostate, and the patient's symptoms are not consistent with angina pectoris or inadequate spinal sensory level."</t>
  </si>
  <si>
    <t>A 36-year-old woman is receiving general anesthesia for a diagnostic laparoscopy in the Trendelenburg position with CO2 insufflation. During a 15-minute period after induction, her SpO2 decreases from 99% to 90% and the partial pressure of ETCO2 increases from 38 to 43 3mmHg. FiO2 is 0.3 and all ventilator settings have been constant. Which of the following etiologies is the MOST likely cause of the decrease in SpO2?</t>
  </si>
  <si>
    <t>A. CO2 embolus</t>
  </si>
  <si>
    <t>B. Compression of the vena cava</t>
  </si>
  <si>
    <t>C. Right mainstem endobronchial intubation</t>
  </si>
  <si>
    <t>{   "Answer": "C",   "Explain": "The patient's SpO2 decreased from 99% to 90% and the partial pressure of ETCO2 increased from 38 to 43 mmHg. The FiO2 is 0.3 and all ventilator settings have been constant. The most likely cause of the decrease in SpO2 is right mainstem endobronchial intubation (choice C). This is because the increase in ETCO2 suggests that the tube is not in the trachea, and the SpO2 decrease is consistent with hypoxemia. The other options, CO2 embolus (A) and compression of the vena cava (B), are less likely causes of the observed changes in SpO2 and ETCO2."</t>
  </si>
  <si>
    <t>Two hours after a laparoscopic cholecystectomy, a 45-year-old woman with obesity is receiving IV PCA with morphine. Her SpO2 is 90% on room air. Which of the following etiologies is the MOST likely cause of her hypoxemia?</t>
  </si>
  <si>
    <t>A. Absorption of CO2 from the abdomen</t>
  </si>
  <si>
    <t>B. Hypoventilation</t>
  </si>
  <si>
    <t>C. Increased dead space</t>
  </si>
  <si>
    <t>{   "Answer": "B",   "Explain": "The patient's SpO2 is 90% on room air, which suggests that she is not severely hypoxic. However, the patient is obese and has undergone a laparoscopic cholecystectomy, which can lead to hypoventilation. The patient is also receiving IV PCA with morphine, which can cause respiratory depression. Therefore, the most likely cause of her hypoxemia is hypoventilation, which is option B."</t>
  </si>
  <si>
    <t>In a patient receiving pressure support ventilation, pressure support breaths are triggered by which of the following preset factors?</t>
  </si>
  <si>
    <t>A. A decrease in airway pressure</t>
  </si>
  <si>
    <t>B. An increase in airway pressure</t>
  </si>
  <si>
    <t>C. An increase in inspiratory flow rate</t>
  </si>
  <si>
    <t>{   "Answer": A,   "Explain": "In pressure support ventilation, pressure support breaths are triggered by a decrease in airway pressure, which means that when a patient's inspiratory efforts decrease, the ventilator senses this and provides additional pressure to help the patient breathe more easily." }</t>
  </si>
  <si>
    <t>A healthy 42-year-old man has an increase in heart rate from 60 bpm to 120 bpm during induction of anesthesia. Which of the following factors is MOST likely to satisfy the increased metabolic demand of the myocardium?</t>
  </si>
  <si>
    <t>A. Decreased coronary artery resistance</t>
  </si>
  <si>
    <t>B. Increased coronary perfusion pressure</t>
  </si>
  <si>
    <t>C. Increased O2 extraction by the myocardium</t>
  </si>
  <si>
    <t>{   "Answer": "B",   "Explain": "To satisfy the increased metabolic demand of the myocardium, the increased heart rate needs to be matched with increased coronary perfusion pressure. This is because the increased heart rate requires more oxygen and nutrients to be delivered to the myocardium, and increased coronary perfusion pressure ensures that these demands are met." }</t>
  </si>
  <si>
    <t>Which of the following laboratory values is MOST likely to confirm adequate synthetic hepatic function?</t>
  </si>
  <si>
    <t>A. Partial thromboplastin time</t>
  </si>
  <si>
    <t>B. Prothrombin time</t>
  </si>
  <si>
    <t>C. Serum alanine aminotransferase concentration</t>
  </si>
  <si>
    <t>{   "Answer": "B",   "Explain": "Prothrombin time (PT) is a laboratory test that measures the time it takes for a blood sample to clot. It is a sensitive indicator of liver synthetic function, as the liver synthesizes coagulation factors, including prothrombin, in great excess. The PT will remain normal until significant hepatic impairment occurs, making it a reliable indicator of adequate synthetic hepatic function." }</t>
  </si>
  <si>
    <t>Which of the following strategies BEST prevents ventricular dysrhythmias in a patient undergoing extracorporeal shock wave lithotripsy?</t>
  </si>
  <si>
    <t>A. Beta-adrenergic blockade</t>
  </si>
  <si>
    <t>B. ECG synchronization</t>
  </si>
  <si>
    <t>C. Epidural blockade to T4</t>
  </si>
  <si>
    <t>{   "Answer": B,   "Explain": "ECG synchronization is the best strategy to prevent ventricular dysrhythmias in a patient undergoing extracorporeal shock wave lithotripsy. The shock waves are timed with the patient's heart rate and are triggered by the R wave on the patient's electrocardiogram, thus minimizing the risk of cardiac dysrhythmias." }</t>
  </si>
  <si>
    <t>Compared with a semiclosed circle system, a Bain circuit exhibits which of the following characteristics?</t>
  </si>
  <si>
    <t>A. Less rebreathing of CO2</t>
  </si>
  <si>
    <t>B. A lower fresh gas flow requirement</t>
  </si>
  <si>
    <t>C. More rapid change in inspired gas concentration</t>
  </si>
  <si>
    <t>{   "Answer": "A",   "Explain": "Compared to a semiclosed circle system, a Bain circuit exhibits less rebreathing of CO2 because it has a coaxial design where fresh gas is delivered at the patient end of the circuit, allowing for more efficient scavenging of waste gases and reducing the amount of rebreathed gases." }</t>
  </si>
  <si>
    <t>The capnograph waveform shown above was obtained from a patient undergoing hip surgery in the lateral position. Which of the following BEST explains the findings between point A and point B?</t>
  </si>
  <si>
    <t>A. Excessive tidal volume</t>
  </si>
  <si>
    <t>B. Incompetent expiratory valve</t>
  </si>
  <si>
    <t>C. Patient position</t>
  </si>
  <si>
    <t>{   "Answer": "C",   "Explain": "The patient is in the lateral position, which can cause the patient's diaphragm to be pushed upwards and out of the way, leading to a decrease in tidal volume and an increase in the inspiratory:expiratory (I:E) ratio, resulting in a waveform similar to that between points A and B." }</t>
  </si>
  <si>
    <t>A 67-year-old man who developed a rash with past administration of penicillin is undergoing open reduction of a femur fracture. The surgeon asks if cefazolin can be administered to this patient. Which of the following actions is MOST appropriate for the anesthesiologist to perform?</t>
  </si>
  <si>
    <t>A. Administer cefazolin</t>
  </si>
  <si>
    <t>B. Administer hydrocortisone, followed by cefazolin</t>
  </si>
  <si>
    <t>C. Administer vancomycin instead of cefazolin</t>
  </si>
  <si>
    <t>{   "Answer": "B",   "Explain": "The patient has a history of a rash with past penicillin administration, which suggests that he may have had an allergic reaction to penicillin. Therefore, the anesthesiologist should not administer cefazolin, which is a cephalosporin antibiotic that is similar to penicillin. Instead, the anesthesiologist should consider administering hydrocortisone, a steroid medication that can help to reduce inflammation and allergic reactions, followed by cefazolin if the patient's condition allows for it."</t>
  </si>
  <si>
    <t>Which of the following factors DECREASES the MAC of isoflurane?</t>
  </si>
  <si>
    <t>A. Acute cocaine intoxication</t>
  </si>
  <si>
    <t>B. Chronic ethanol abuse</t>
  </si>
  <si>
    <t>C. Symptomatic hyponatremia</t>
  </si>
  <si>
    <t>{   Answer: B,   "Explain": "Chronic ethanol abuse decreases the MAC of isoflurane, according to the text." }</t>
  </si>
  <si>
    <t>Which of the following outcomes BEST describes the primary toxic effect of bupivacaine on the cardiovascular system?</t>
  </si>
  <si>
    <t>A. Blockade of norepinephrine release</t>
  </si>
  <si>
    <t>B. Coronary vasoconstriction</t>
  </si>
  <si>
    <t>C. Delay of ventricular repolarization</t>
  </si>
  <si>
    <t>{   "Answer": "A",   "Explain": "Bupivacaine's primary toxic effect on the cardiovascular system is the blockade of norepinephrine release, which can lead to a decrease in cardiac output and blood pressure, ultimately resulting in cardiovascular collapse." }</t>
  </si>
  <si>
    <t>Which of the following conditions MOST likely causes a rightward shift in the oxyhemoglobin dissociation curve?</t>
  </si>
  <si>
    <t>A. Carboxyhemoglobinemia</t>
  </si>
  <si>
    <t>B. Decreased 2,3-diphosphoglycerate concentration</t>
  </si>
  <si>
    <t>C. Hyperthermia</t>
  </si>
  <si>
    <t>{   "Answer": "C",   "Explain": "Hyperthermia causes a rightward shift of the oxyhemoglobin dissociation curve, which means that for the same partial pressure of oxygen, more oxygen is released from hemoglobin to the tissues." }</t>
  </si>
  <si>
    <t>Which of the following findings is most likely to be DECREASED in a patient with clinical hypothyroidism?</t>
  </si>
  <si>
    <t>A. MAC</t>
  </si>
  <si>
    <t>B. Myocardial contractility</t>
  </si>
  <si>
    <t>C. Peripheral vascular tone</t>
  </si>
  <si>
    <t>{   "Answer": "C",   "Explain": "In a patient with clinical hypothyroidism, peripheral vascular tone is likely to be decreased, leading to decreased systemic blood pressure and decreased cardiac output. This is because hypothyroidism can cause decreased levels of norepinephrine and epinephrine, leading to decreased peripheral resistance and decreased cardiac contractility." }</t>
  </si>
  <si>
    <t>Which of the following anesthetic drugs is MOST likely to be associated with longer seizure duration when used for electroconvulsive therapy?</t>
  </si>
  <si>
    <t>A. Etomidate</t>
  </si>
  <si>
    <t>B. Methohexital</t>
  </si>
  <si>
    <t>C. Propofol</t>
  </si>
  <si>
    <t>{   "Answer": "A",   "Explain": "Etomidate has been associated with longer seizures in response to ECT than seizures that occur after the administration of methohexital or propofol, as stated in the document. This is because etomidate has a unique property of increasing the activity of seizure foci on an electroencephalogram, making it more likely to prolong seizure duration."</t>
  </si>
  <si>
    <t>Which of the following drugs does NOT cause enhanced activity of the GABA receptor?</t>
  </si>
  <si>
    <t>B. Ketamine</t>
  </si>
  <si>
    <t>{   "Answer": C,   "Explain": "Propofol is an agonist at the GABA receptor, but it does not enhance the activity of the GABA receptor. Instead, it interacts with the GABA receptor and maintains it in an activated state for a prolonged period, resulting in greater inhibitory effects on synaptic transmission." }</t>
  </si>
  <si>
    <t>Which of the following components is MISPLACED in the circle system shown in the above illustration?</t>
  </si>
  <si>
    <t>A. Fresh gas inlet</t>
  </si>
  <si>
    <t>B. CO2 absorber</t>
  </si>
  <si>
    <t>C. Expiratory valve</t>
  </si>
  <si>
    <t>{   "Answer": "B",   "Explain": "The CO2 absorber is misplaced in the circle system because it is typically located between the expiratory valve and the patient, whereas in the given illustration, it is not shown in that position. According to the text, the essential components of a circle anesthetic breathing system are arranged in a circular manner, and the CO2 absorber is an essential component that should be located between the expiratory valve and the patient to prevent rebreathing of CO2."</t>
  </si>
  <si>
    <t>A new IV anesthetic is found to have a very large volume of distribution. This drug is MOST likely to have which of the following properties?</t>
  </si>
  <si>
    <t>A. Low lipid solubility</t>
  </si>
  <si>
    <t>B. High rate of ionization</t>
  </si>
  <si>
    <t>C. Low plasma protein binding</t>
  </si>
  <si>
    <t>{   "Answer": C,   "Explain": "A new IV anesthetic with a very large volume of distribution is MOST likely to have low plasma protein binding. This is because a large volume of distribution indicates that the anesthetic is distributed throughout the body, including tissues, rather than being confined to the bloodstream. As a result, it is less likely to bind to plasma proteins, which are primarily found in the bloodstream." }</t>
  </si>
  <si>
    <t>Which of the following drugs has the LONGEST duration of action in a patient with renal failure?</t>
  </si>
  <si>
    <t>A. Neostigmine</t>
  </si>
  <si>
    <t>B. Rocuronium</t>
  </si>
  <si>
    <t>C. Succinylcholine</t>
  </si>
  <si>
    <t>{   "Answer": "B",   "Explain": "Rocuronium has an increased elimination half-life in patients with renal failure due to an increase in volume of distribution with no change in clearance, which may account for a longer duration of action in anephric patients." }</t>
  </si>
  <si>
    <t>Instillation of local anesthetic into the trachea via the cricothyroid membrane is MOST likely to block which of the following nerves?</t>
  </si>
  <si>
    <t>A. Hypoglossal</t>
  </si>
  <si>
    <t>B. Internal branch of the superior laryngeal</t>
  </si>
  <si>
    <t>C. Recurrent laryngeal</t>
  </si>
  <si>
    <t>{   "Answer": "C",   "Explain": "Instillation of local anesthetic into the trachea via the cricothyroid membrane is most likely to block the Recurrent Laryngeal Nerve, which is responsible for providing sensation to the larynx and trachea." }</t>
  </si>
  <si>
    <t>Gagging that occurs during awake intubation is BEST prevented by local anesthetic block of which of the following nerves?</t>
  </si>
  <si>
    <t>A. Superior laryngeal</t>
  </si>
  <si>
    <t>B. Glossopharyngeal</t>
  </si>
  <si>
    <t>C. Hypoglossal</t>
  </si>
  <si>
    <t>{   "Answer": "A",   "Explain": "Gagging that occurs during awake intubation is best prevented by local anesthetic block of the superior laryngeal nerve, which provides sensory input from the lower pharynx and upper part of the larynx, including the glottic surface of the epiglottis and the aryepiglottic folds." }</t>
  </si>
  <si>
    <t>Which of the following factors is the MOST likely explanation for the initial reduction in core temperature during general anesthesia?</t>
  </si>
  <si>
    <t>A. Ablation of thermoregulatory vasoconstriction</t>
  </si>
  <si>
    <t>B. Evaporative heat loss in the respiratory tract</t>
  </si>
  <si>
    <t>C. Redistribution of heat from the core to the periphery</t>
  </si>
  <si>
    <t>{   "Answer": "A",   "Explain": "Ablation of thermoregulatory vasoconstriction is the most likely explanation for the initial reduction in core temperature during general anesthesia. When anesthesia is induced, the brain's ability to regulate body temperature is impaired, leading to a decrease in vasoconstriction and a subsequent loss of heat from the core to the periphery." }</t>
  </si>
  <si>
    <t>A 65-kg, 70-year-old man in the PACU is breathing spontaneously at 20 breaths/minute through an ETT connected to a T-piece with a fresh gas flow of 5 L/min and an FiO2 of 0.5. His tidal volume is 350 mL. Over 1 hour, his SpO2 decreases from 98% to 84%, and then improves to 92% when FiO2 is increased to 1.0. Which of the following etiologies is the MOST likely cause of his hypoxemia?</t>
  </si>
  <si>
    <t>A. Decreased FRC</t>
  </si>
  <si>
    <t>B. Increased dead space ventilation</t>
  </si>
  <si>
    <t>C. Room air admixture during inspiration</t>
  </si>
  <si>
    <t>{   "Answer": "A",   "Explain": "The patient's SpO2 decreased from 98% to 84% when FiO2 was 0.5, and then increased to 92% when FiO2 was increased to 1.0. This suggests that the patient's hypoxemia is caused by a lack of oxygen in the alveoli, which is consistent with alveolar hypoventilation. This is the most common cause of postoperative hypoxemia in the PACU." }</t>
  </si>
  <si>
    <t>A 40-year-old man who is scheduled for repair of a tendon laceration of the left hand has complete anesthesia in the median, radial, and ulnar nerve distributions after supraclavicular block. Two hours of tourniquet inflation are required for completion of the procedure. The most appropriate NEXT step is an additional block of which of the following nerves?</t>
  </si>
  <si>
    <t>A. Axillary</t>
  </si>
  <si>
    <t>B. Intercostobrachial</t>
  </si>
  <si>
    <t>C. Musculocutaneous</t>
  </si>
  <si>
    <t>{   "Answer": "B",   "Explain": "The patient has complete anesthesia in the median, radial, and ulnar nerve distributions after a supraclavicular block, which suggests that the intercostobrachial nerve, which is not blocked by a supraclavicular block, is not anesthetized. Therefore, the next step would be to perform an intercostobrachial block to complete the anesthesia."</t>
  </si>
  <si>
    <t>Which of the following mechanisms is PRIMARILY responsible for emergence after a single dose of propofol?</t>
  </si>
  <si>
    <t>A. Redistribution</t>
  </si>
  <si>
    <t>B. Metabolism</t>
  </si>
  <si>
    <t>C. Excretion</t>
  </si>
  <si>
    <t>{   "Answer": "A",   "Explain": "After a single dose of propofol, emergence is primarily due to redistribution from the central compartment to the peripheral tissues, which is a rapid process. This is because propofol is highly lipid-soluble and quickly distributes to tissues, causing a rapid decrease in plasma concentrations." }</t>
  </si>
  <si>
    <t>An anesthesia machine is set to deliver O2 2 L/min, nitrous oxide 2 L/min, and sevoflurane. After 30 minutes of stable anesthesia, which of the following complications is the most likely cause of a DECREASE in the O2 analyzer reading from 50% to 30%?</t>
  </si>
  <si>
    <t>A. A leak in the ventilator bellows</t>
  </si>
  <si>
    <t>B. Accumulation of water on the O2 sensor membrane</t>
  </si>
  <si>
    <t>C. Presence of the O2 analyzer in the expiratory limb</t>
  </si>
  <si>
    <t>{   "Answer": "A",   "Explain": "A leak in the ventilator bellows can cause a decrease in the O2 analyzer reading from 50% to 30%. This is because a portion of the oxygen flow escapes through the leak, reducing the amount of oxygen available to the patient and causing a decrease in the O2 analyzer reading." }</t>
  </si>
  <si>
    <t>An induction dose of ketamine is MOST likely to have which of the following effects?</t>
  </si>
  <si>
    <t>A. Analgesia</t>
  </si>
  <si>
    <t>B. Decreased cerebral metabolic rate</t>
  </si>
  <si>
    <t>C. Preservation of laryngeal reflexes</t>
  </si>
  <si>
    <t>{   "Answer": "A",   "Explain": "After an induction dose of ketamine, patients appear to be in a cataleptic state, characterized by eyes remaining open with a slow nystagmic gaze, maintenance of cough, swallow, and corneal reflexes, moderate dilation of the pupils, lacrimation, salivation, and an increase in skeletal muscle tone, with apparently coordinated but purposeless movements of the extremities." }</t>
  </si>
  <si>
    <t>As compared with an IV dose of morphine, which of the following factors is the most likely explanation for the DECREASED duration of action of an IV dose of fentanyl?</t>
  </si>
  <si>
    <t>A. Greater lipid solubility</t>
  </si>
  <si>
    <t>B. Increased hepatic metabolism</t>
  </si>
  <si>
    <t>C. Shorter elimination half-life</t>
  </si>
  <si>
    <t>{   "Answer": "A",   "Explain": "As compared with an IV dose of morphine, the decreased duration of action of an IV dose of fentanyl is most likely explained by its greater lipid solubility. Fentanyl's greater lipid solubility allows it to cross the blood-brain barrier more quickly, resulting in a more rapid onset of action and a shorter duration of action." }</t>
  </si>
  <si>
    <t>Which of the following definitions BEST describes what the standard error of the mean shows?</t>
  </si>
  <si>
    <t>A. The precision of the population mean</t>
  </si>
  <si>
    <t>B. The range of the sample values</t>
  </si>
  <si>
    <t>C. The deviation about the median of the study group</t>
  </si>
  <si>
    <t>{   "Answer": "A",   "Explain": "The standard error of the mean (SEM) shows the precision of the sample mean as an estimate of the population mean. It represents the amount of variation in the sample mean that can be expected due to random sampling error. In other words, it measures the degree of uncertainty associated with the sample mean as an estimate of the population mean." }</t>
  </si>
  <si>
    <t>Pulse oximetry accurately reflects SaO2 in which of the following situations?</t>
  </si>
  <si>
    <t>A. Administration of indocyanine green</t>
  </si>
  <si>
    <t>B. Carboxyhemoglobinemia</t>
  </si>
  <si>
    <t>C. 40% fetal hemoglobin concentration</t>
  </si>
  <si>
    <t>{   "Answer": "B",   "Explain": "Pulse oximetry does not accurately reflect SaO2 in the presence of carboxyhemoglobinemia because carboxyhemoglobin has an absorbance of light that is greater than oxyhemoglobin, leading to falsely high SpO2 readings." }</t>
  </si>
  <si>
    <t>A patient with a fasting blood glucose of 100 mg/dL is receiving a 4-hour general anesthetic for repair of tendon lacerations. Which of the following blood glucose concentrations is MOST likely expected on emergence?</t>
  </si>
  <si>
    <t>A. Marked hypoglycemia</t>
  </si>
  <si>
    <t>B. Mild hyperglycemia</t>
  </si>
  <si>
    <t>C. Mild hypoglycemia</t>
  </si>
  <si>
    <t>{   "Answer": "C",   "Explain": "The patient's fasting blood glucose level is 100 mg/dL, which is not significantly elevated. The anesthetic procedure is expected to cause a slight increase in blood glucose levels, but not to the extent of marked hypoglycemia or hyperglycemia. Therefore, a mild decrease in blood glucose levels, or mild hypoglycemia, is the most likely expected outcome on emergence."</t>
  </si>
  <si>
    <t>Which of the following drugs INCREASES gastric pH while decreasing gastric volume?</t>
  </si>
  <si>
    <t>A. Glycopyrrolate</t>
  </si>
  <si>
    <t>B. Metoclopramide</t>
  </si>
  <si>
    <t>C. Ranitidine</t>
  </si>
  <si>
    <t>{   "Answer": "C",   "Explain": "Ranitidine, a medication used to treat gastroesophageal reflux disease (GERD), increases gastric pH while decreasing gastric volume by reducing the production of acid in the stomach." }</t>
  </si>
  <si>
    <t>Which of the following characteristics of nitrous oxide MOST likely explains why its alveolar and inspired concentrations equilibrate more rapidly than those of desflurane?</t>
  </si>
  <si>
    <t>A. Delivery at a higher inspired concentration</t>
  </si>
  <si>
    <t>B. Creation of a second gas effect</t>
  </si>
  <si>
    <t>C. Lower blood gas solubility</t>
  </si>
  <si>
    <t>{   "Answer": C,   "Explain": "Nitrous oxide has a lower blood gas solubility compared to desflurane, which means that it can equilibrate with the alveolar and inspired concentrations more rapidly. This is because a smaller amount of nitrous oxide needs to be dissolved in the blood before it can reach equilibrium, allowing for a faster rate of equilibration."</t>
  </si>
  <si>
    <t>Which of the following goals is the PRIMARY purpose of denitrogenation prior to anesthetic induction?</t>
  </si>
  <si>
    <t>A. Improving matching of ventilation and perfusion</t>
  </si>
  <si>
    <t>B. Increasing O2 reserve in the FRC</t>
  </si>
  <si>
    <t>C. Maximizing arterial O2 content</t>
  </si>
  <si>
    <t>{   "Answer": "B",   "Explain": "The primary purpose of denitrogenation prior to anesthetic induction is to increase the patient's reserve of oxygen while apneic, which increases the duration of apnea without oxygen desaturation. This is achieved by filling the functional residual capacity with oxygen, allowing the patient to safely tolerate a longer period without breathing before oxygen desaturation occurs."</t>
  </si>
  <si>
    <t>A 32-year-old woman sustains an injury to the left recurrent laryngeal nerve during thyroidectomy. Which of the following postoperative findings is MOST likely in this patient?</t>
  </si>
  <si>
    <t>A. Adduction of the left vocal cord at rest</t>
  </si>
  <si>
    <t>B. Aphonia</t>
  </si>
  <si>
    <t>C. Aspiration caused by glottic incompetency</t>
  </si>
  <si>
    <t>{   "Answer": "B",   "Explain": "A 32-year-old woman sustains an injury to the left recurrent laryngeal nerve during thyroidectomy. This injury will likely cause hoarseness, which is characterized by unilateral nerve injury. Unilateral recurrent nerve injury often goes unnoticed because of compensatory overadduction of the uninvolved cord." }</t>
  </si>
  <si>
    <t>Which of the following values, in mmHg, is the expected mixed venous O2 tension in a normal adult after breathing 100% O2 for 10 minutes?</t>
  </si>
  <si>
    <t>A. 45</t>
  </si>
  <si>
    <t>B. 95</t>
  </si>
  <si>
    <t>C. 150</t>
  </si>
  <si>
    <t>{   "Answer": "A",   "Explain": "Normal mixed venous O2 tension in a normal adult after breathing 100% O2 for 10 minutes is 45 mmHg. This is because the oxygen content of the mixed venous blood is determined by the balance between oxygen delivery and oxygen uptake, and after 10 minutes of breathing 100% O2, the oxygen delivery is likely to be greater than the oxygen uptake, resulting in a higher oxygen content in the mixed venous blood and a lower oxygen tension."</t>
  </si>
  <si>
    <t>Which of the following drugs has the SHORTEST elimination half-life?</t>
  </si>
  <si>
    <t>B. Lorazepam</t>
  </si>
  <si>
    <t>C. Midazolam</t>
  </si>
  <si>
    <t>{   "Answer": A,   "Explain": "According to the text, flumazenil has a very rapid clearance and short elimination half-life, making it the shortest-lived of all benzodiazepines used in anesthetic practice, with a plasma half-life of about 1 hour." }</t>
  </si>
  <si>
    <t>TOTAL CORRECT ANSWERS</t>
  </si>
  <si>
    <t>TOTAL QUESTIONS</t>
  </si>
  <si>
    <t>RATIO</t>
  </si>
  <si>
    <r>
      <rPr>
        <rFont val="Arial"/>
        <color theme="1"/>
      </rPr>
      <t>embed_model="</t>
    </r>
    <r>
      <rPr>
        <rFont val="Arial"/>
        <b/>
        <color rgb="FF3D85C6"/>
      </rPr>
      <t>abhinand/MedEmbed-large-v0.1</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</si>
  <si>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</si>
  <si>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"B",   "Explain": "The delivered anesthetic concentration is 2.5%. The calculation is as follows: 40 mL/min of sevoflurane is added to the vaporizer output, which is 190 mL/min. The total vaporizer output is 190 mL/min, and the fresh gas flow is 5 L/min. Therefore, the delivered anesthetic concentration is 40 mL/min / 190 mL/min * 100% = 21%."</t>
  </si>
  <si>
    <t>{   "Answer": "A",   "Explain": "Flumazenil has low affinity for benzodiazepine receptors, which means it can easily displace midazolam from its binding site, allowing the patient to awaken more rapidly. This is in contrast to other benzodiazepines, which have a longer duration of action and may take longer to wear off." }</t>
  </si>
  <si>
    <t>{   "Answer": B,   "Explain": "The patient is experiencing postobstructive pulmonary edema, which is a type of noncardiogenic pulmonary edema caused by the sudden release of pressure in the lungs after a period of obstruction, such as laryngospasm. Furosemide, a loop diuretic, is the most appropriate management strategy in this situation, as it can help to reduce the fluid overload and alleviate the symptoms of pulmonary edema." }</t>
  </si>
  <si>
    <t>{   Answer: B,   "Explain": "The patient suddenly developed nausea, diaphoresis, and sharp pain in the left shoulder, which are symptoms of TURP syndrome, a condition associated with severe hyponatremia. This is a complication of transurethral resection of the prostate, and the patient's symptoms are consistent with this diagnosis. The other options, angina pectoris and inadequate spinal sensory level, are not as likely given the patient's symptoms and medical history."</t>
  </si>
  <si>
    <t>{   "Answer": "C",   "Explain": "The patient's SpO2 decreased from 99% to 90% and the partial pressure of ETCO2 increased from 38 to 43 mmHg. This suggests that the endotracheal tube may not be in the trachea, leading to hypoventilation and decreased oxygenation. The most likely cause of this is right mainstem endobronchial intubation, which would lead to ventilation-perfusion mismatch and decreased oxygenation." }</t>
  </si>
  <si>
    <t>{   "Answer": "B",   "Explain": "The patient is receiving IV PCA with morphine, which can cause hypoventilation. Additionally, the patient has a history of obesity, which is a known risk factor for hypoxemia. The patient's SpO2 is 90% on room air, which is not significantly low, but it is still a cause for concern. Therefore, the most likely cause of her hypoxemia is hypoventilation, which is option B."</t>
  </si>
  <si>
    <t>{   "Answer": "B",   "Explain": "To satisfy the increased metabolic demand of the myocardium, the increased heart rate needs to be matched with an increase in coronary perfusion pressure. This is because the increased heart rate requires more oxygen and nutrients to be delivered to the myocardium, and an increase in coronary perfusion pressure ensures that these demands are met." }</t>
  </si>
  <si>
    <t>{   "Answer": "A",   "Explain": "After a single dose of propofol, emergence is primarily due to redistribution from the central compartment to the peripheral tissues, which is a rapid process. This is because propofol is highly lipid-soluble and quickly distributes to tissues, leading to a rapid decrease in plasma concentrations and subsequent emergence from anesthesia." }</t>
  </si>
  <si>
    <r>
      <rPr>
        <rFont val="Arial"/>
        <color theme="1"/>
      </rPr>
      <t>embed_model="</t>
    </r>
    <r>
      <rPr>
        <rFont val="Arial"/>
        <b/>
        <color rgb="FF3D85C6"/>
      </rPr>
      <t>abhinand/MedEmbed-large-v0.1</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</si>
  <si>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</si>
  <si>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"Flumazenil has low affinity for benzodiazepine receptors, which means it binds loosely to the receptors and can be easily washed out of the system. This is in contrast to midazolam, which has a longer duration of action. Therefore, even if the patient is sent home after 1 hour, the effects of midazolam may still be present, and flumazenil may not be able to fully reverse them. As a result, the patient should remain hospitalized for observation to ensure that the effects of midazolam have fully worn off before being discharged."</t>
  </si>
  <si>
    <t>{   "Answer": B,   "Explain": "The patient is experiencing postobstructive pulmonary edema, which is a rare but significant consequence of laryngospasm and other upper airway obstruction. Furosemide, a diuretic, is often used to treat postobstructive pulmonary edema by increasing urine output and reducing fluid overload." }</t>
  </si>
  <si>
    <t>{   Answer: B,   "Explain": "The patient developed sudden nausea, diaphoresis, and sharp pain in the left shoulder 45 minutes after the start of the procedure, which is a classic presentation of TURP syndrome. This syndrome is a complication of transurethral resection of the prostate and is characterized by hyponatremia, fluid overload, and electrolyte imbalance. The symptoms are related to the absorption of large volumes of hypotonic irrigation solutions during the procedure, leading to changes in pulmonary blood volume, decreased lung compliance, and increased cardiac preload. The patient's symptoms are more likely due to TURP syndrome rather than angina pectoris or inadequate spinal sensory level."</t>
  </si>
  <si>
    <t>{   "Answer": "C",   "Explain": "The patient's SpO2 has decreased from 99% to 90% and the partial pressure of ETCO2 has increased from 38 to 43 mmHg. The most likely cause of this is right mainstem endobronchial intubation, which would lead to ventilation-perfusion mismatch and decreased oxygenation of the patient's lungs." }</t>
  </si>
  <si>
    <t>{   "Answer": "B",   "Explain": "The patient is receiving IV PCA with morphine, which can cause hypoventilation, and her SpO2 is 90% on room air, indicating mild hypoxemia. According to the text, alveolar hypoventilation is one of the most common causes of postoperative hypoxemia in the PACU, and it can be caused by anesthetic drugs, residual neuromuscular blocking drugs, impaired ventilatory muscle mechanics, increased levels of carbon dioxide production, and coexisting pulmonary disease. Given the patient's obesity and the use of IV PCA with morphine, hypoventilation is the most likely cause of her hypoxemia."</t>
  </si>
  <si>
    <t>{   "Answer": "A",   "Explain": "In pressure support ventilation, pressure support breaths are triggered by a decrease in airway pressure, which means that the ventilator senses a drop in airway pressure and responds by delivering a breath to help the patient breathe more easily." }</t>
  </si>
  <si>
    <t>{   "Answer": "B",   "Explain": "The prothrombin time (PT) is a laboratory test that assesses the integrity of the liver's synthetic function, specifically the production of coagulation factors. It is a sensitive indicator of liver synthetic function and can reflect acute liver failure more quickly than albumin. A prolonged PT/INR can also be used to monitor for restoration of hepatic function, often improving before other clinical signs of improvement occur." }</t>
  </si>
  <si>
    <t>{   "Answer": "A",   "Explain": "Compared to a semiclosed circle system, a Bain circuit exhibits less rebreathing of CO2 because it has a coaxial design where fresh gas is delivered at the patient end of the circuit, allowing for more efficient scavenging of waste anesthetic gases and reducing the amount of rebreathed gases." }</t>
  </si>
  <si>
    <t>{   "Answer": "C",   "Explain": "The patient is in the lateral position, which can cause the capnograph waveform to change between point A and point B. This is because the patient's body position can affect the distribution of ventilation and perfusion in the lungs, leading to changes in the capnogram waveform." }</t>
  </si>
  <si>
    <t>{   "Answer": "B",   "Explain": "The patient has a history of a rash with past penicillin administration, which suggests that he may have had an allergic reaction to penicillin. Therefore, the anesthesiologist should not administer cefazolin, which is a cephalosporin antibiotic that is similar to penicillin. Instead, the anesthesiologist should consider administering hydrocortisone, a steroid medication that can help to reduce the severity of an allergic reaction, followed by cefazolin if the patient's condition allows for it."</t>
  </si>
  <si>
    <t>{   "Answer": "A",   "Explain": "Bupivacaine's primary toxic effect on the cardiovascular system is the blockade of norepinephrine release, which can lead to a decrease in blood pressure and cardiac output, ultimately resulting in cardiovascular collapse." }</t>
  </si>
  <si>
    <t>{   "Answer": "C",   "Explain": "In a patient with clinical hypothyroidism, peripheral vascular tone is likely to be decreased, leading to decreased systemic blood pressure and increased cardiac workload. This is because hypothyroidism can cause decreased levels of norepinephrine and epinephrine, leading to decreased peripheral resistance and decreased blood pressure." }</t>
  </si>
  <si>
    <t>{   "Answer": "A",   "Explain": "Etomidate has been associated with longer seizures in response to ECT than seizures that occur after the administration of methohexital or propofol, as stated in the document. This is because etomidate has a unique property of activating epileptogenic activity, making it more likely to prolong seizure duration." }</t>
  </si>
  <si>
    <t>{   "Answer": C,   "Explain": "Propofol is an agonist at the GABA receptor, but it does not enhance its activity. Instead, it interacts with the GABA receptor in a different way, maintaining it in an activated state for a prolonged period, leading to greater inhibitory effects on synaptic transmission." }</t>
  </si>
  <si>
    <t>{   "Answer": "B",   "Explain": "The CO2 absorber is misplaced in the circle system because it is not located between the expiratory valve and the patient, as stated in the text: 'Rebreathing and hypercapnia can occur if the unidirectional valves stick in the open position, and total occlusion of the circuit can occur if they are stuck in the closed position.' The CO2 absorber is actually located between the patient and the fresh gas inlet, which is not the correct location according to the text."</t>
  </si>
  <si>
    <t>{   "Answer": C,   "Explain": "A new IV anesthetic is found to have a very large volume of distribution. This suggests that the drug has a high solubility in tissues with high lipid content, which means it is likely to have low plasma protein binding. This is because high solubility in tissues means that the drug is more likely to be distributed throughout the body rather than being bound to plasma proteins." }</t>
  </si>
  <si>
    <t>{   "Answer": "B",   "Explain": "Rocuronium has an increased elimination half-life in renal failure because of an increase in volume of distribution with no change in clearance, which might account for a longer duration of action in anephric patients." }</t>
  </si>
  <si>
    <t>{   "Answer": "A",   "Explain": "The patient's SpO2 decreased from 98% to 84% when FiO2 was 0.5, and then increased to 92% when FiO2 was increased to 1.0. This suggests that the patient's hypoxemia is caused by a lack of oxygen in the alveoli, which is consistent with alveolar hypoventilation. This is the most common cause of postoperative hypoxemia in the PACU, and is often caused by anesthetic drugs, residual neuromuscular blocking drugs, or impaired ventilatory muscle mechanics." }</t>
  </si>
  <si>
    <t>{   "Answer": "B",   "Explain": "The patient has complete anesthesia in the median, radial, and ulnar nerve distributions after a supraclavicular block, indicating that the block is effective. However, the block only covers the nerves in the median, radial, and ulnar nerve distributions, but not the axillary nerve. The intercostobrachial nerve is a cutaneous nerve that provides sensation to the medial upper arm, and blocking it would provide additional anesthesia to the affected area. Therefore, the next step would be to perform an intercostobrachial block to provide complete anesthesia to the affected area."</t>
  </si>
  <si>
    <t>{   "Answer": "A",   "Explain": "After a single dose of propofol, emergence is primarily due to redistribution, as the drug is rapidly cleared from the plasma through redistribution to inactive tissue sites." }</t>
  </si>
  <si>
    <t>{   "Answer": "A",   "Explain": "A leak in the ventilator bellows can cause a decrease in the O2 analyzer reading from 50% to 30%. This is because a portion of the oxygen flow escapes through the leak, reducing the overall oxygen concentration in the circuit." }</t>
  </si>
  <si>
    <t>{   "Answer": "A",   "Explain": "After an induction dose of ketamine, the patient appears to be in a cataleptic state, characterized by eyes remaining open with a slow nystagmic gaze, maintenance of cough, swallow, and corneal reflexes, moderate dilation of the pupils, lacrimation, salivation, and an increase in skeletal muscle tone, with apparently coordinated but purposeless movements of the extremities. This is an intense analgesia and amnesia in patients despite the patient appearing as if they may be awake." }</t>
  </si>
  <si>
    <t>{   "Answer": "B",   "Explain": "Pulse oximetry does not accurately reflect SaO2 in the presence of carboxyhemoglobinemia, as carboxyhemoglobin has an absorbance of light that is greater than oxyhemoglobin, leading to falsely high SpO2 readings." }</t>
  </si>
  <si>
    <t>{   "Answer": "B",   "Explain": "The patient's fasting blood glucose level is 100 mg/dL, which is not significantly elevated. The patient is receiving a 4-hour general anesthetic, which may cause a slight increase in blood glucose levels due to the stress response. However, this increase is unlikely to be severe, and the patient is unlikely to experience marked hypoglycemia or severe hyperglycemia. Therefore, the most likely expected blood glucose concentration on emergence is mild hyperglycemia, which is option B."</t>
  </si>
  <si>
    <t>{   "Answer": "B",   "Explain": "A 32-year-old woman sustains an injury to the left recurrent laryngeal nerve during thyroidectomy. This injury will likely cause hoarseness, which is characterized by unilateral nerve injury, whereas aphonia is characterized by bilateral nerve injury. Therefore, the most likely postoperative finding is aphonia."</t>
  </si>
  <si>
    <t>{   "Answer": "A",   "Explain": "Normal mixed venous O2 tension in a normal adult after breathing 100% O2 for 10 minutes is 45 mmHg. This is because the oxygen content of the mixed venous blood is determined by the balance between oxygen delivery and oxygen uptake, and after 10 minutes of breathing 100% O2, the oxygen delivery is increased, resulting in a decrease in the mixed venous O2 tension." }</t>
  </si>
  <si>
    <t>{   "Answer": "A",   "Explain": "According to the text, flumazenil has a very rapid clearance and short elimination half-life, with a plasma half-life of about 1 hour, making it the shortest-lived of all benzodiazepines used in anesthetic practice." }</t>
  </si>
  <si>
    <r>
      <rPr>
        <rFont val="Arial"/>
        <color theme="1"/>
      </rPr>
      <t>embed_model="</t>
    </r>
    <r>
      <rPr>
        <rFont val="Arial"/>
        <b/>
        <color rgb="FF3D85C6"/>
      </rPr>
      <t>abhinand/MedEmbed-large-v0.1</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</si>
  <si>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</si>
  <si>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s</t>
  </si>
  <si>
    <t>{   Answer: "B",   "Explain": "The delivered anesthetic concentration is 2.5%. The calculation is as follows: 40 mL/min of sevoflurane is added to the vaporizer output, which is 190 mL/min. The total vaporizer output is 190 mL/min, and the fresh gas flow is 5 L/min. Therefore, the delivered anesthetic concentration is 40 mL/min / 190 mL/min * 100% = 21%." }</t>
  </si>
  <si>
    <t>{   "Answer": "A",   "Explain": "Flumazenil has low affinity for benzodiazepine receptors, which means it can easily displace midazolam from its binding site, allowing the patient to awaken more rapidly. This is in contrast to other benzodiazepines, which have a longer duration of action and may take longer to reverse with flumazenil." }</t>
  </si>
  <si>
    <t>{   Answer: B,   "Explain": "The patient suddenly developed nausea, diaphoresis, and sharp pain in the left shoulder, which are symptoms of TURP syndrome, a condition associated with severe hyponatremia. This is a complication of transurethral resection of the prostate, and the patient's symptoms are consistent with this diagnosis. The other options, angina pectoris and inadequate spinal sensory level, are not likely causes of these symptoms."</t>
  </si>
  <si>
    <t>{   "Answer": "B",   "Explain": "To satisfy the increased metabolic demand of the myocardium, the increased heart rate needs to be matched with increased coronary perfusion pressure. This is because the increased heart rate requires more oxygen and nutrients to be delivered to the myocardium, and increased coronary perfusion pressure ensures that these essential resources are delivered in sufficient quantities." }</t>
  </si>
  <si>
    <r>
      <rPr>
        <rFont val="Arial"/>
        <color theme="1"/>
      </rPr>
      <t>embed_model="</t>
    </r>
    <r>
      <rPr>
        <rFont val="Arial"/>
        <b/>
        <color rgb="FF3D85C6"/>
      </rPr>
      <t>abhinand/MedEmbed-large-v0.1</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</si>
  <si>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</si>
  <si>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"For an operation at the medial aspect of the lower leg, the femoral nerve should be blocked, as it provides cutaneous innervation of the medial aspect of the leg." }</t>
  </si>
  <si>
    <t>{   "Answer": "C",   "Explain": "Since the patient developed right upper quadrant abdominal pain and nausea 30 minutes after receiving morphine and midazolam, the most appropriate therapy for her pain is naloxone. Naloxone is an opioid antagonist that can reverse the effects of morphine and other opioids, which may be causing the patient's symptoms."</t>
  </si>
  <si>
    <t>{   "Answer": "B",   "Explain": "Normal saline is the most appropriate initial management for a 68-year-old woman with primary hyperparathyroidism and a serum calcium concentration of 15 mg/dL. This is because normal saline can help to expand intravascular volume and reduce the risk of cardiac complications associated with hypercalcemia." }</t>
  </si>
  <si>
    <t>{   Answer: "B",   "Explain": "O2 100 mL/min is bubbled through a vaporizer containing an anesthetic with a vapor pressure of 150 mmHg, and this mixture is added to a fresh gas flow of 5 L/min. To calculate the delivered anesthetic concentration, we need to find the percentage of anesthetic in the vaporizer output. We know that 40 mL/min of sevoflurane is added to the vaporizer output, and the total vaporizer output is 190 mL/min. Therefore, the percentage of sevoflurane in the vaporizer output is (40 mL/min) / (190 mL/min) = 0.21, or 21%. However, the question asks for the delivered anesthetic concentration, which is the percentage of anesthetic in the fresh gas flow. The fresh gas flow is 5 L/min, and the anesthetic output is 40 mL/min. Therefore, the delivered anesthetic concentration is (40 mL/min) / (5000 mL/min) = 0.008, or 0.8%. The closest answer choice is 0.5%, which is not correct. The correct answer is 0.8%, but it is not among the options. However, we can find the closest answer choice, which is B, 0.5%. Therefore, the answer is B."</t>
  </si>
  <si>
    <t>{   Answer: "C",   "Explain": "Vasoconstriction is the most effective physiologic mechanism for maintaining body temperature in an adult patient with mild hypothermia anesthetized with 1 MAC of isoflurane. This is because vasoconstriction helps to reduce heat loss through radiation, convection, and conduction, thereby conserving body heat and helping to maintain a stable body temperature." }</t>
  </si>
  <si>
    <t>{   "Answer": "A",   "Explain": "Flumazenil has a high affinity for benzodiazepine receptors, which means it binds tightly to the receptors and can effectively reverse the effects of midazolam. This is in contrast to option B, which states that flumazenil has moderate intrinsic agonist activity, which is not accurate. Option C is also incorrect, as flumazenil does not have a longer duration of action than midazolam." }</t>
  </si>
  <si>
    <t>{   "Answer": "B",   "Explain": "According to the context, 'Procedure Factors' are mentioned as one of the factors that can affect block height, and patient position is stated to be the most important factor in determining block height. Additionally, it is mentioned that patient position should not affect the spread of a truly isobaric solution, but positioning of the patient is most important during the initial few minutes after injection." }</t>
  </si>
  <si>
    <t>{   "Answer": B,   "Explain": "The patient is experiencing postobstructive pulmonary edema due to laryngospasm, which is a common cause of noncardiogenic pulmonary edema in the postoperative period. Furosemide, a diuretic, is the most appropriate management strategy in this situation, as it can help reduce the amount of fluid in the lungs and alleviate symptoms of pulmonary edema." }</t>
  </si>
  <si>
    <t>{   Answer: B,   "Explain": "The patient is experiencing sudden onset of nausea, diaphoresis, and sharp pain in the left shoulder, which are symptoms of TURP syndrome, a condition associated with spinal anesthesia. The symptoms are not consistent with angina pectoris or inadequate spinal sensory level, making B, bladder perforation, the most likely cause."</t>
  </si>
  <si>
    <t>{   "Answer": "C",   "Explain": "The patient's SpO2 has decreased from 99% to 90% and the partial pressure of ETCO2 has increased from 38 to 43 mmHg. This suggests that there may be a problem with oxygenation, rather than a problem with carbon dioxide elimination. The most likely cause of this is right mainstem endobronchial intubation, which would lead to ventilation-perfusion mismatch and decreased oxygenation." }</t>
  </si>
  <si>
    <t>{   "Answer": "B",   "Explain": "The patient is experiencing hypoxemia with a SpO2 of 90% on room air, which suggests that there is a problem with oxygenation. The most common causes of postoperative hypoxemia are atelectasis and alveolar hypoventilation, and since the patient is already receiving IV PCA with morphine, it is likely that the hypoxemia is due to alveolar hypoventilation, which is option B."</t>
  </si>
  <si>
    <t>{   "Answer": A,   "Explain": "In pressure support ventilation, pressure support breaths are triggered by a decrease in airway pressure, which means that the ventilator senses when the patient's inspiratory efforts are not sufficient to maintain a certain level of airway pressure and then takes over to provide additional pressure support." }</t>
  </si>
  <si>
    <t>{   "Answer": "B",   "Explain": "An increase in coronary perfusion pressure is necessary to satisfy the increased metabolic demand of the myocardium due to tachycardia. The increased demand for oxygen by the myocardium is not met by an increase in oxygen extraction, as the extraction rate is already at its maximum. Therefore, the increased demand must be met by an increase in oxygen delivery, which is provided by an increase in coronary perfusion pressure."</t>
  </si>
  <si>
    <t>{   "Answer": B,   "Explain": "The prothrombin time (PT) is a laboratory test that assesses the liver's synthetic function, particularly the production of coagulation factors. A prolonged PT is often the first indication of liver dysfunction, and it can reflect acute liver failure more quickly than albumin. It is also used to monitor for restoration of hepatic function, often improving before other clinical signs of improvement occur." }</t>
  </si>
  <si>
    <t>{   "Answer": "A",   "Explain": "Compared to a semiclosed circle system, a Bain circuit exhibits less rebreathing of CO2 because it is a coaxial system that delivers fresh gas at the patient's end, allowing for more efficient scavenging of waste gases and reduced rebreathing of exhaled gases." }</t>
  </si>
  <si>
    <t>{   "Answer": "C",   "Explain": "The patient is in the lateral position, which can cause a decrease in lung volume and a subsequent increase in the concentration of CO2 in the exhaled gases, resulting in a waveform like the one shown between points A and B." }</t>
  </si>
  <si>
    <t>{   "Answer": "B",   "Explain": "The patient had a rash with past administration of penicillin, which suggests that he may have had an allergic reaction to penicillin. Cefazolin is a cephalosporin antibiotic that is related to penicillin, so it is likely that the patient will have an allergic reaction to it as well. Therefore, it is best to withhold cefazolin and instead administer hydrocortisone, a steroid, to help reduce the allergic reaction, followed by cefazolin if the patient's condition improves."</t>
  </si>
  <si>
    <t>{   Answer: "C",   "Explain": "According to the context, chronic ethanol abuse is not listed as a factor that decreases MAC, whereas hyponatremia is mentioned as one of the factors that decreases MAC. Therefore, the correct answer is C, Symptomatic hyponatremia."</t>
  </si>
  <si>
    <t>{   "Answer": "A",   "Explain": "Blockade of norepinephrine release is the primary toxic effect of bupivacaine on the cardiovascular system. This is because bupivacaine directly inhibits the release of norepinephrine, a neurotransmitter that plays a crucial role in regulating blood pressure and heart rate. As a result, the body's natural response to stress, which is to increase blood pressure and heart rate, is impaired, leading to a decrease in cardiac output and potentially life-threatening complications."</t>
  </si>
  <si>
    <t>{   "Answer": "C",   "Explain": "Hyperthermia causes a rightward shift of the oxyhemoglobin dissociation curve, making it easier for oxygen to be unloaded from hemoglobin to tissues." }</t>
  </si>
  <si>
    <t>{   "Answer": "C",   "Explain": "Peripheral vascular tone is decreased in hypothyroidism, which is a condition characterized by decreased levels of thyroid hormones. Thyroid hormones play a crucial role in regulating cardiovascular function, and decreased levels can lead to decreased peripheral vascular resistance and decreased cardiac contractility." }</t>
  </si>
  <si>
    <t>{   "Answer": "A",   "Explain": "Etomidate has been associated with longer seizures in response to ECT than seizures that occur after the administration of methohexital or propofol, making it the most likely anesthetic drug to be associated with longer seizure duration when used for electroconvulsive therapy."</t>
  </si>
  <si>
    <t>{   "Answer": C,   "Explain": "Propofol is an agonist at the GABA receptor, but it does not enhance its activity. Instead, it interacts with the GABA receptor and maintains it in an activated state for a prolonged period, resulting in greater inhibitory effects on synaptic transmission." }</t>
  </si>
  <si>
    <t>{   "Answer": C,   "Explain": "The Expiratory valve is misplaced in the circle system. According to the text, the correct placement of the unidirectional valves is crucial to prevent rebreathing of exhaled gases. The expiratory valve is supposed to be stuck in the open position, but if it is stuck in the closed position, it can cause breath stacking and barotrauma." }</t>
  </si>
  <si>
    <t>{   "Answer": C,   "Explain": "A new IV anesthetic is found to have a very large volume of distribution. This indicates that the drug has a high volume of distribution, which means it is distributed throughout the body quickly and extensively. This is likely due to the drug's high lipid solubility, as most anesthetics are hydrophobic and tend to dissolve well in fatty tissues. Therefore, option C, 'Low plasma protein binding', is the most likely property of this anesthetic."</t>
  </si>
  <si>
    <t>{   "Answer": "B",   "Explain": "Rocuronium has an increased elimination half-life in patients with renal failure due to an increase in volume of distribution with no change in clearance, which might account for a longer duration of action in anephric patients." }</t>
  </si>
  <si>
    <t>{   "Answer": "C",   "Explain": "Instillation of local anesthetic into the trachea via the cricothyroid membrane is most likely to block the Recurrent Laryngeal Nerve, which is responsible for transmitting sensory information from the larynx to the brain." }</t>
  </si>
  <si>
    <t>{   "Answer": "A",   "Explain": "Ablation of thermoregulatory vasoconstriction is the most likely explanation for the initial reduction in core temperature during general anesthesia. When anesthesia is induced, the brain's ability to regulate body temperature is impaired, leading to a decrease in thermoregulatory vasoconstriction. This allows heat to be lost more easily, resulting in a rapid drop in core temperature."</t>
  </si>
  <si>
    <t>{   "Answer": "A",   "Explain": "The patient's SpO2 decreased from 98% to 84% over 1 hour, and then improved to 92% when FiO2 was increased to 1.0. This suggests that the patient's hypoxemia is due to a reversible cause, likely a ventilation-perfusion mismatch or a shunt. The most likely cause is a ventilation-perfusion mismatch, as the patient's tidal volume is 350 mL, which is normal. The other options, decreased FRC and room air admixture during inspiration, are less likely causes of hypoxemia in this scenario." }</t>
  </si>
  <si>
    <t>{   "Answer": "B",   "Explain": "The patient is already experiencing complete anesthesia in the median, radial, and ulnar nerve distributions after a supraclavicular block. To address this, an additional block of the intercostobrachial nerve would be the most appropriate choice. This nerve is spared by the supraclavicular block, and blocking it would provide additional anesthesia to the medial upper arm." }</t>
  </si>
  <si>
    <t>{   "Answer": "A",   "Explain": "After a single dose of propofol, emergence is primarily due to redistribution, which is the rapid movement of the drug from the central compartment to peripheral tissues, resulting in a decrease in plasma concentrations and a subsequent decrease in its anesthetic effects." }</t>
  </si>
  <si>
    <t>{   "Answer": "A",   "Explain": "A leak in the ventilator bellows can cause a decrease in the O2 analyzer reading from 50% to 30%. When a leak occurs, a portion of the oxygen flow escapes through the leak, and the remainder goes towards the common gas outlet. This can result in a hypoxic mixture being delivered to the patient, leading to a decrease in the O2 analyzer reading." }</t>
  </si>
  <si>
    <t>{   "Answer": "A",   "Explain": "As compared with an IV dose of morphine, the decreased duration of action of an IV dose of fentanyl is most likely explained by its greater lipid solubility. Greater lipid solubility allows for quicker crossing of the blood-brain barrier, quicker access to the central nervous system to exert its effects, and quicker redistribution to inactive tissue sites, leading to a shorter duration of action." }</t>
  </si>
  <si>
    <t>{   "Answer": "A",   "Explain": "The standard error of the mean (SEM) shows the precision of the sample mean as an estimate of the population mean. It represents the amount of variability in the sample mean due to random sampling error, and it is a measure of the uncertainty associated with the sample mean. It does not describe the range of the sample values or the deviation about the median of the study group."</t>
  </si>
  <si>
    <t>{   "Answer": "B",   "Explain": "The patient's fasting blood glucose level is 100 mg/dL, which is slightly elevated but not severely so. During the 4-hour general anesthetic, the patient's blood glucose level is likely to remain stable or mildly elevated, but not drop to hypoglycemic levels. Therefore, the most likely expected blood glucose concentration on emergence is mild hyperglycemia."</t>
  </si>
  <si>
    <t>{   "Answer": "C",   "Explain": "Ranitidine, a medication used to treat gastroesophageal reflux disease (GERD), can increase gastric pH while decreasing gastric volume by reducing the production of acid in the stomach." }</t>
  </si>
  <si>
    <t>{   "Answer": C,   "Explain": "Nitrous oxide has a lower blood gas solubility compared to desflurane, which means that a larger amount of nitrous oxide must be dissolved in the blood before equilibration with the gas phase is reached. This leads to a more rapid equilibration of alveolar and inspired concentrations of nitrous oxide compared to desflurane."</t>
  </si>
  <si>
    <t>{   "Answer": "B",   "Explain": "Preoxygenation prior to anesthetic induction increases the patient's reserve of oxygen by filling the functional residual capacity with oxygen, thus increasing the time period the patient can safely be apneic before oxygen desaturation occurs." }</t>
  </si>
  <si>
    <t>{   "Answer": "B",   "Explain": "A 32-year-old woman sustains an injury to the left recurrent laryngeal nerve during thyroidectomy. As a result, the left vocal cord will not be able to abduct properly, leading to bilateral vocal cord paramedian positioning and potentially life-threatening inspiratory airway obstruction. This is characterized by aphonia, which is the inability to speak or make any sounds." }</t>
  </si>
  <si>
    <t>{   "Answer": "A",   "Explain": "According to the text, normal mixed venous PO2 (Pvo2) is 40 mm Hg. Since the patient has been breathing 100% O2 for 10 minutes, their Pao2 is expected to be normal. The text states that the P50 is 26.8 mm Hg, which means that at a Pao2 of 100 mm Hg, the hemoglobin is fully saturated with oxygen. Therefore, the mixed venous oxygen tension will be expected to be 45 mm Hg, which is choice A."</t>
  </si>
  <si>
    <t>{   "Answer": A,   "Explain": "According to the text, flumazenil has a very rapid clearance and short elimination half-life, with a plasma half-life of about 1 hour, making it the shortest-lived of all benzodiazepines used in anesthetic practice." }</t>
  </si>
  <si>
    <r>
      <rPr>
        <rFont val="Arial"/>
        <color theme="1"/>
      </rPr>
      <t>embed_model="</t>
    </r>
    <r>
      <rPr>
        <rFont val="Arial"/>
        <b/>
        <color rgb="FF3D85C6"/>
      </rPr>
      <t>abhinand/MedEmbed-large-v0.1</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</si>
  <si>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</si>
  <si>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"The desired nerve to be blocked for an operation at the medial aspect of the lower leg is likely the femoral nerve, as it innervates the medial leg and provides sensation to the medial malleolus. According to the provided text, the sciatic nerve is usually blocked high in the popliteal fossa to ensure anesthesia to the tibial and peroneal nerves, but for procedures that also involve the medial aspect of the leg, the femoral nerve can be blocked, commonly at the adductor canal, at the level of the knee." }</t>
  </si>
  <si>
    <t>{ "Answer": "B", "Explain": "The patient has developed right upper quadrant abdominal pain and nausea 30 minutes after receiving premedication with morphine and midazolam. Since morphine is the culprit, naloxone is not necessary. Naloxone is used to reverse opioid-induced respiratory depression, not to treat abdominal pain. Flumazenil, on the other hand, is used to treat benzodiazepine-induced adverse effects, which is not relevant in this case. Ketorolac is a non-steroidal anti-inflammatory drug (NSAID) that can be used for pain management, but it is not the most appropriate choice for immediate treatment of opioid-induced pain. Therefore, the most appropriate therapy for this patient's pain is ketorolac."}</t>
  </si>
  <si>
    <t>{   "Answer": "B",   "Explain": "Normal saline is the most appropriate initial management for a patient with primary hyperparathyroidism and preoperative serum calcium concentration of 15 mg/dL. This is because the patient is already in a hypercalcemic state and requires rapid correction of their serum calcium levels to prevent cardiovascular and neuromuscular complications."</t>
  </si>
  <si>
    <t>{   "Answer": "C",   "Explain": "The test that most reliably predicts the likelihood of a patient developing malignant hyperthermia is the Caffeine-halothane contracture test. This test has the highest sensitivity and specificity for MH diagnosis, and it is considered the gold standard for identifying patients susceptible to malignant hyperthermia." }</t>
  </si>
  <si>
    <t>{   Answer: "B",   "Explain": "O2 100 mL/min is bubbled through a vaporizer containing an anesthetic with a vapor pressure of 150 mmHg, and this mixture is added to a fresh gas flow of 5 L/min. The calculated amount of sevoflurane added to the vaporizer is 40 mL/min (Box 22.1). The total vaporizer output is therefore 190 mL/min (40 mL/min sevoflurane + 150 mL/min O2). The proportion of sevoflurane in the total vaporizer output is (40 mL/min)/(190 mL/min) ∼0.21, or approximately 2.1%. The desired anesthetic concentration is 0.5%, which is less than the actual concentration of 2.1%. Therefore, the best answer choice is B, 0.5%."</t>
  </si>
  <si>
    <t>{   "Answer": "B",   "Explain": "As the patient is experiencing mild hypothermia and is anesthetized with 1 MAC of isoflurane, shivering thermogenesis is the most effective mechanism for maintaining body temperature. Shivering thermogenesis is a natural response to cold stress, increasing muscle tone and increasing heat production. Although it is not as efficient as nonshivering thermogenesis, shivering thermogenesis is the primary means of maintaining temperature in the absence of adequate external heating sources."</t>
  </si>
  <si>
    <t>{   "Answer": B,   "Explain": "The patient received midazolam, a benzodiazepine, and should remain hospitalized for observation because flumazenil, the antagonist, has moderate intrinsic agonist activity. Although the patient may appear to be awake and alert after treatment with flumazenil, the drug can still have a residual effect and increase the risk of recurrent sedation, especially if the patient is not closely monitored."</t>
  </si>
  <si>
    <t>{ "Answer": "B", "Explain": "According to the provided context, patient position is the most important factor in determining the block height after injection, as it increases block height in patients who remain seated for several minutes after injection." }</t>
  </si>
  <si>
    <t>{   "Answer": B,   "Explain": "Administering furosemide is a more appropriate management strategy in this situation. The patient is experiencing pulmonary edema, which is a noncardiogenic complication of laryngospasm. Furosemide is a loop diuretic that can help to reduce fluid overload and alleviate symptoms of pulmonary edema."</t>
  </si>
  <si>
    <t>{   Answer: "C",   "Explain": "Given the sudden onset of symptoms after 45 minutes of anesthesia, including nausea, diaphoresis, and sharp pain in the left shoulder, it is likely caused by inadequate spinal sensory level. This is because the patient had a sudden and unexplained change in symptoms suggesting a sudden change in the anesthetic level." }</t>
  </si>
  <si>
    <t>{   "Answer": "C",   "Explain": "The question asks what is the most likely cause of a decrease in SpO2 from 99% to 90% and an increase in ETCO2. The correct answer is option C, right mainstem endobronchial intubation. This is because the presence of carbon dioxide in the exhaled gases indicates that the patient's lungs are not being ventilated, which could be due to the endotracheal tube being placed in the right mainstem bronchus. This is the most likely cause of the observed changes in SpO2 and ETCO2." }</t>
  </si>
  <si>
    <t>{   Answer: "B",   "Explain": "Postoperative hypoxemia in a patient with obesity and receiving IV PCA with morphine can be caused by various factors. However, the most likely cause of her hypoxemia is hypoventilation. As per the text, 'Among the potential causes of postoperative hypoventilation is anesthetic drugs, residual neuromuscular blocking drugs, impaired ventilatory muscle mechanics, increased levels of carbon dioxide production, and coexisting pulmonary disease.' Obesity can also contribute to hypoxemia, but in this context, the patient is receiving IV PCA with morphine, which can also cause respiratory depression leading to hypoventilation."</t>
  </si>
  <si>
    <t>{   "Answer": B,   "Explain": "In pressure support ventilation (PSV), a preset amount of pressure support is added to the patient's inspiratory efforts, but the ventilator does not deliver a preset tidal volume. The patient's breathing effort is triggered by a preset factor, which is an increase in airway pressure (B), not a decrease in airway pressure (A) or an increase in inspiratory flow rate (C). Therefore, the answer is B."</t>
  </si>
  <si>
    <t>{   "Answer": "B",   "Explain": "Increased coronary perfusion pressure is most likely to satisfy the increased metabolic demand of the myocardium due to tachycardia. Tachycardia increases the demand for oxygen and may lead to myocardial ischemia if coronary perfusion is not adequate. Increased coronary perfusion pressure ensures that the heart receives the necessary oxygen and nutrients to meet its increased demand." }</t>
  </si>
  <si>
    <t>{   "Answer": "B",   "Explain": "Among the given options, Prothrombin Time (PT) is most likely to confirm adequate synthetic hepatic function. This is because the liver synthesizes coagulation factors, including prothrombin, in excess, and PT will remain normal until significant hepatic impairment occurs. Additionally, PT is used to monitor for restoration of hepatic function, often improving before other clinical signs of improvement occur." }</t>
  </si>
  <si>
    <t>{   "Answer": B,   "Explain": "The shock waves in ESWL are timed with the patient's heart rate and are triggered by the R wave on the patient's electrocardiogram. Therefore, option B, ECG synchronization, is the best strategy to prevent ventricular dysrhythmias during ESWL." }</t>
  </si>
  <si>
    <t>{     "Answer": "A",     "Explain": "Compared to a semiclosed circle system, a Bain circuit exhibits less rebreathing of CO2 because it has a unique design where the fresh gas supply tube enters near the patient end, whereas a semiclosed circle system allows for some rebreathing of exhaled gases." }</t>
  </si>
  <si>
    <t>{ "Answer": B, "Explain": "The finding between point A and point B is due to an incompetent expiratory valve, causing rebreathing of CO2, which results in an increased concentration of CO2 in the exhaled gases."</t>
  </si>
  <si>
    <t>{   "Answer": B,   "Explain": "Since the patient has a history of developing a rash with past administration of penicillin, it is likely that he is allergic to cefazolin, a cephalosporin antibiotic. Therefore, the most appropriate action for the anesthesiologist to take is to administer hydrocortisone, followed by cefazolin, to help reduce the risk of an allergic reaction. Option A is incorrect because it does not involve pretreatment with hydrocortisone. Option C is incorrect because vancomycin is a different antibiotic that is not necessary in this situation."</t>
  </si>
  <si>
    <t>{   Answer: B,   "Explain": "Chronic ethanol abuse is a factor that decreases the MAC of isoflurane, as stated in the text: 'Chronic amphetamine use'."</t>
  </si>
  <si>
    <t>{   "Answer": "A",   "Explain": "Options B and C are not accurate, as bupivacaine does not typically cause cardiac vasodilation (coronary vasoconstriction) and delayed ventricular repolarization is a characteristic of lidocaine, not bupivacaine. Bupivacaine primarily exerts its toxic effects through blockade of norepinephrine release, leading to a rapid and profound cardiovascular depression." }</t>
  </si>
  <si>
    <t>{     "Answer": "C",     "Explain": "Hyperthermia causes a rightward shift of the oxyhemoglobin dissociation curve, meaning that the curve moves to the right, making it easier for oxygen to dissociate from hemoglobin and be released to tissues." }</t>
  </si>
  <si>
    <t>{   "Answer": "B",   "Explain": "In hypothyroidism, there is a decrease in systemic vascular tone, which is characterized by a reduction in peripheral resistance and decreased blood pressure. As a result, myocardial contractility decreases, leading to decreased cardiac output." }</t>
  </si>
  <si>
    <t>{     "Answer": "A",     "Explain": "According to the provided context, etomidate is associated with longer seizures in response to ECT than seizures that occur after the administration of methohexital or propofol. This is stated in Document 768, page content 'Etomidate is also associated with longer seizures in response to ECT than seizures that occur after the administration of methohexital or propofol.'."</t>
  </si>
  <si>
    <t>{   Answer: "B",   "Explain": "Ketamine does not directly cause enhanced activity of GABA receptors, whereas etomidate and propofol have been shown to have this effect." }</t>
  </si>
  <si>
    <t>{   "Answer": C,   "Explain": "According to the circular flow diagram of a traditional circle system, the expiratory valve is situated after the inspiratory limb, between the Y-piece and the patient, which makes it normal and not misplaced." }</t>
  </si>
  <si>
    <t>{     "Answer": "C,     "Explain": "A large volume of distribution suggests that the drug is easily distributed throughout the body, away from its site of administration, and is not well-bound to plasma proteins, allowing it to spread rapidly and reach its target tissues. This is consistent with a drug having low plasma protein binding, which means that the majority of the drug remains free in the bloodstream, rather than being tightly bound to proteins." }</t>
  </si>
  <si>
    <t>{   "Answer": "C",   "Explain": "Rocuronium has an elimination half-life of 110 minutes in the presence of renal failure due to increased volume of distribution with no change in clearance. This results in a prolonged duration of action in anephric patients, making it have the longest duration of action in patients with renal failure." }</t>
  </si>
  <si>
    <t>{   "Answer": "C",   "Explain": "Instilling local anesthetic into the trachea via the cricothyroid membrane blocks the Recurrent laryngeal nerve, which is responsible for sensory input from the lower pharynx and the upper part of the larynx, including the glottic surface of the epiglottis and the aryepiglottic folds."</t>
  </si>
  <si>
    <t>{   "Answer": A,   "Explain": "Blockade of the superior laryngeal nerve is performed using one of three landmarks: the greater cornu of the hyoid bone, the superior cornu of the thyroid cartilage, or the thyroid notch. A 25-gauge spinal needle is walked off the cornu anteriorly toward the thyroid membrane to achieve optimal visualization." }</t>
  </si>
  <si>
    <t>{   "Answer": "A",   "Explain": "Ablation of thermoregulatory vasoconstriction is the most likely explanation for the initial reduction in core temperature during general anesthesia. General anesthesia disrupts the body's ability to regulate its temperature through vasoconstriction, leading to a natural cooling process. This is because anesthesia causes vasodilation, which reduces blood flow to the skin and other areas that normally help to dissipate heat. As a result, the body's natural defense mechanisms against heat loss are impaired, leading to a decrease in core temperature."</t>
  </si>
  <si>
    <t>{   "Answer": "B",   "Explain": "The patient's tidal volume is 350 mL, and his SpiO2 is decreasing despite a high inspired FiO2 of 0.5. This suggests that there may be an increase in dead space ventilation, which can lead to hypoxemia. If his tidal volume is too low, his dead space does not receive enough oxygen, leading to a decrease in his oxygen saturation." }</t>
  </si>
  <si>
    <t>{   "Answer": C,   "Explain": "The muscles of the forearm and hand are innervated by the musculocutaneous nerve, which is a branch of the brachial plexus. Since the anesthesia is already present in the median, radial, and ulnar nerve distributions, an additional block of the musculocutaneous nerve would not provide additional anesthetic coverage and would not be necessary for pain relief during the procedure."</t>
  </si>
  <si>
    <t>{   "Answer": "A",   "Explain": "After a single dose of propofol, redistribution is the primary mechanism responsible for emergence. The drug rapidly redistributes from the central nervous system and other well-perfused tissues to the peripheral tissues, leading to a decrease in the concentration of free, active propofol in the brain, thereby resulting in a rapid recovery from anesthesia." }</t>
  </si>
  <si>
    <t>{   "Answer": "B",   "Explain": "A decrease in the O2 analyzer reading from 50% to 30% can occur due to the accumulation of water on the O2 sensor membrane, which affects the accuracy of O2 measurement, causing a false reading." }</t>
  </si>
  <si>
    <t>{   "Answer": B,   "Explain": "An induction dose of ketamine, as described in the context, induces a cataleptic state in patients, but also increases their skeletal muscle tone, which may seem paradoxical. The reason for this lies in B. Decreased cerebral metabolic rate. Ketamine's primary mechanism of action is to block excitatory glutamatergic inputs to inhibitory interneurons, leading to a decrease in cerebral metabolic rate and oxygen requirements. This allows patients to appear as if they are awake, yet lack consciousness. The preserved skeletal muscle tone is not related to this effect." }</t>
  </si>
  <si>
    <t>{   Answer: "A",   "Explain": "As compared to an IV dose of morphine, fentanyl's decreased duration of action is most likely explained by its greater lipid solubility, allowing it to cross the blood-brain barrier and reach its site of action more quickly, leading to a shorter duration of action." }</t>
  </si>
  <si>
    <t>{   Answer: "A",   "Explain": "The standard error of the mean is the degree of variability of the sample mean from the true population mean. It doesn't refer to the precision of the population mean, which is B, nor does it refer to the range of sample values, which is B. It also doesn't refer to the median of the study group, which is C."</t>
  </si>
  <si>
    <t>{   "Answer": "B",   "Explain": "Pulse oximetry accurately reflects SaO2 in situations where there is carboxyhemoglobinemia. Carboxyhemoglobin has an absorbance of light that is greater than oxyhemoglobin, causing the pulse oximeter to return a falsely high SpO2 reading." }</t>
  </si>
  <si>
    <t>{   "Answer": "C",   "Explain": "A patient with a fasting blood glucose of 100 mg/dL is not expected to have a significant change in blood glucose level after receiving a 4-hour general anesthetic for repair of tendon lacerations. Therefore, mild hypoglycemia (C) is the most likely expected outcome on emergence."</t>
  </si>
  <si>
    <t>{   Answer: "C",   "Explain": "Ranitidine, a medication used to treat several conditions, including gastroesophageal reflux disease (GERD), peptic ulcer disease, and Zollinger-Ellison syndrome, increases gastric pH by reducing acid production in the stomach, but also decreases gastric volume by relaxing the pyloric sphincter and reducing the formation of gastric juice. This results in a decrease in the amount of chloride lost in the stomach, thereby increasing the overall chloride levels in the body and causing a metabolic alkalosis."</t>
  </si>
  <si>
    <t>{     Answer: "C",     "Explain": "Lower blood gas solubility means that nitrous oxide does not need to be dissolved in blood before it can equilibrate with the alveolar air, resulting in a more rapid equilibration of alveolar and inspired concentrations, unlike inhaled agents with higher solubility such as desflurane."</t>
  </si>
  <si>
    <t>{   Answer: B,   "Explain": "The primary purpose of denitrogenation prior to anesthetic induction is to increase the patient's reserve of oxygen while apneic. Preoxygenation fills the functional residual capacity with oxygen, allowing for a longer period of apnea before oxygen desaturation occurs, reducing the risk of hypoxemia and making it easier to secure the airway and resume ventilation."</t>
  </si>
  <si>
    <t>{   "Answer": "A",   "Explain": "After an injury to the left recurrent laryngeal nerve, the left vocal cord will not be able to abduct, leading to adduction of the left vocal cord at rest, which can cause symptoms such as hoarseness or voice changes." }</t>
  </si>
  <si>
    <t>{ "Answer": "A", "Explain": "A normal mixed venous O2 tension (Pvo2) is 40 mmHg, according to the document." }</t>
  </si>
  <si>
    <t>{   "Answer": A,   "Explain": "According to the text, flumazenil has a very rapid clearance and a short elimination half-life, making it the shortest of all benzodiazepines used in anesthetic practice, with its elimination half-life being approximately 1 hour, which is the shortest among the options." }</t>
  </si>
  <si>
    <r>
      <rPr>
        <rFont val="Arial"/>
        <color theme="1"/>
      </rPr>
      <t>embed_model="</t>
    </r>
    <r>
      <rPr>
        <rFont val="Arial"/>
        <b/>
        <color rgb="FF3D85C6"/>
      </rPr>
      <t>abhinand/MedEmbed-large-v0.1</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</si>
  <si>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</si>
  <si>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"A new IV anesthetic with a very large volume of distribution is MOST likely to have low plasma protein binding. This is because a large volume of distribution indicates that the anesthetic is distributed throughout the body, including tissues, rather than being highly bound to plasma proteins. As a result, the anesthetic is more likely to be present in its free, unbound form, which is not bound to plasma proteins." }</t>
  </si>
  <si>
    <t>{   "Answer": "C",   "Explain": "The patient's fasting blood glucose level is 100 mg/dL, which is not significantly elevated. The anesthetic procedure is expected to cause a temporary increase in blood glucose levels, but this increase is likely to be mild. Therefore, the patient's blood glucose level on emergence is most likely to be mildly elevated, but not to the extent of marked hypoglycemia or hyperglycemia." }</t>
  </si>
  <si>
    <t>{   "Answer": "A",   "Explain": "Normal mixed venous O2 tension in a normal adult after breathing 100% O2 for 10 minutes is 45 mmHg. This is because the oxygen content of the mixed venous blood is calculated as the sum of the amount of oxygen in hemoglobin and in the dissolved state. With 100% O2, the oxygen content of the blood is increased, but the mixed venous O2 tension is still relatively low due to the high oxygen demand of the tissues."</t>
  </si>
  <si>
    <r>
      <rPr>
        <rFont val="Arial"/>
        <color theme="1"/>
      </rPr>
      <t>embed_model="</t>
    </r>
    <r>
      <rPr>
        <rFont val="Arial"/>
        <b/>
        <color rgb="FF3D85C6"/>
      </rPr>
      <t>abhinand/MedEmbed-large-v0.1</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</si>
  <si>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</si>
  <si>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"To block the medial aspect of the lower leg, the femoral nerve is the most likely choice as it provides anesthesia to the anterior thigh and may be used for muscle biopsies in that area. According to the provided context, the femoral nerve can be blocked at the adductor canal, below the knee with local infiltration distal to the medial condyle of the tibia, or above the medial malleolus of the foot." }</t>
  </si>
  <si>
    <t>{   "Answer": "C",   "Explain": "The patient has developed nausea and vomiting 30 minutes after premedication with morphine and midazolam. The most appropriate therapy for this patient's pain is Naloxone, as it is an opioid antagonist that can reverse the effects of opioids such as morphine and treat opioid-induced nausea and vomiting."</t>
  </si>
  <si>
    <t>{   "Answer": "B",   "Explain": "Normal saline is the most appropriate initial management for a 68-year-old woman with primary hyperparathyroidism and a serum calcium concentration of 15 mg/dL. The patient's serum calcium level is elevated, indicating a potentially serious condition that requires immediate attention. Intravenous fluid administration is necessary to rehydrate the patient and restore normal calcium levels. Normal saline is a suitable choice for initial management because it helps to replenish fluids and correct any electrolyte imbalances." }</t>
  </si>
  <si>
    <t>{   "Answer": "C",   "Explain": "According to the context, the Caffeine-halothane contracture test has the highest sensitivity and specificity for malignant hyperthermia diagnosis, making it the most reliable test for predicting the likelihood of developing malignant hyperthermia." }</t>
  </si>
  <si>
    <t>{   Answer: "B",   "Explain": "To determine the delivered anesthetic concentration, we need to find the percentage of sevoflurane in the total gas flow. Given that 40 mL/min of sevoflurane is added to the vaporizer output, which is 190 mL/min, and the fresh gas flow is 5 L/min, we can set up the proportion: (40 mL/min sevoflurane) / 190 mL/min = (150 mL/min oxygen) / 5 L/min. This simplifies to 0.5% sevoflurane." }</t>
  </si>
  <si>
    <t>{   Answer: "C",   "Explain": "Vasoconstriction is a physiologic mechanism that helps maintain body temperature by reducing heat loss from the core to the skin. In a patient with mild hypothermia anesthetized with 1 MAC of isoflurane, vasoconstriction is a more effective mechanism for maintaining body temperature than nonshivering thermogenesis or shivering thermogenesis, as the patient is already receiving general anesthesia and is less likely to shiver."</t>
  </si>
  <si>
    <t>{   "Answer": "A",   "Explain": "The best answer is option A because midazolam is a short-acting benzodiazepine and the effects of midazolam can easily be antagonized by flumazenil. According to the document, midazolam has a longer duration of action than flumazenil, so even if the endoscopist asks to send the patient home in 1 hour, it is necessary to ensure that the patient is completely alert and able to go home safely, which is not guaranteed in 1 hour after sedation with midazolam. Therefore, the patient should remain hospitalized for observation to ensure their safety."</t>
  </si>
  <si>
    <t>{   "Answer": "C",   "Explain": "The total dose of drug is the most important factor that exerts the greatest effect on the extent of spread of local anesthetic following subarachnoid block with hyperbaric bupivacaine. The volume and total mass of injectate are the most important drug-related factors that affect block height after the administration of local anesthetic in the epidural space." }</t>
  </si>
  <si>
    <t>{   "Answer": B,   "Explain": "The patient is experiencing postobstructive pulmonary edema due to laryngospasm, which is a common cause of pulmonary edema in the postoperative period. Furosemide, a diuretic, is the most appropriate management strategy to treat this condition, as it helps to reduce fluid overload and improve lung function." }</t>
  </si>
  <si>
    <t>{   Answer: "B",   "Explain": "The patient is developing signs of nausea, diaphoresis, and sharp pain in the left shoulder, which are not typical symptoms of angina pectoris or inadequate spinal sensory level. Bladder perforation is a more likely cause, as it can lead to sudden release of irrigation fluid into the peritoneal cavity, causing a severe allergic reaction, which may manifest as nausea, diaphoresis, and sharp pain in the shoulder."</t>
  </si>
  <si>
    <t>{   "Answer": "C",   "Explain": "The etiology of the decrease in SpO2 is likely due to the increase in end-tidal CO2 from 38 to 43 mmHg, indicating a problem with the ventilation of the patient's lungs. As the text states, a possible cause of an increase in the patient's exhaled concentration of carbon dioxide include hypoventilation, hyperthermia, sepsis, rebreathing, the administration of bicarbonate, and the insufflation of carbon dioxide during laparoscopy. In this case, it is most likely that the increase in end-tidal CO2 is due to the laparoscopic insufflation of carbon dioxide, leading to a ventilation-perfusion mismatch and a decrease in oxygen saturation."</t>
  </si>
  <si>
    <t>{   "Answer": "B",   "Explain": "The patient's hypoxemia with a SpO2 of 90% on room air is most likely caused by hypoventilation, as explained in the text. The patient is undergoing anesthesia and has a history of obesity, which can lead to reduced lung function and increased risk of hypoxemia. Additionally, the use of PCA with morphine can cause respiratory depression, leading to hypoventilation. The other options, absorption of CO2 from the abdomen and increased dead space, are less likely causes of the patient's hypoxemia in this scenario."</t>
  </si>
  <si>
    <t>{   "Answer": A,   "Explain": "In pressure support ventilation, pressure support breaths are triggered by a decrease in airway pressure, not an increase in airway pressure. This means that the ventilator does not deliver a preset tidal volume, but instead relies on the patient's intrinsic respiratory drive to initiate each breath."</t>
  </si>
  <si>
    <t>{   "Answer": "B",   "Explain": "A rapid increase in heart rate from 60 to 120 bpm increases myocardial oxygen demand, which can be satisfied by an increase in coronary perfusion pressure. This allows the heart to maintain its function and supply the increased demand for oxygen despite the increased metabolic activity." }</t>
  </si>
  <si>
    <t>{   "Answer": B,   "Explain": "Among the options, prothrombin time (PT) is the most likely to confirm adequate synthetic hepatic function. This is because the liver synthesizes coagulation factors, including prothrombin, and PT measures the time required for these factors to clot. The liver synthesizes coagulation factors in excess, so even with significant hepatic impairment, PT remains normal until significant damage occurs. The liver also synthesizes albumin, but this is not as sensitive a marker of liver synthetic function as PT." }</t>
  </si>
  <si>
    <t>{   "Answer": B,   "Explain": "The shock waves are timed with the patient's heart rate and are triggered by the R wave on the patient's electrocardiogram. This timing is crucial to minimize the risk of cardiac dysrhythmias. ECG synchronization is the best strategy to prevent ventricular dysrhythmias in a patient undergoing extracorporeal shock wave lithotripsy." }</t>
  </si>
  <si>
    <t>{   "Answer": "A",   "Explain": "Compared to a semiclosed circle system, a Bain circuit exhibits less rebreathing of CO2 because the fresh gas supply tube enters the circuit near the reservoir bag but is actually delivered at the patient end of the circuit, reducing the amount of exhaled gases that are rebreathed." }</t>
  </si>
  <si>
    <t>{   "Answer": "C",   "Explain": "The capnograph waveform shows a sudden drop in CO2 levels from point A to point B, which is not compatible with excessive tidal volume (A) or an incompetent expiratory valve (B). Therefore, the most likely explanation is that the patient's position has changed, which could be causing changes in the patient's ventilation or perfusion patterns, leading to the altered capnogram."</t>
  </si>
  <si>
    <t>{   "Answer": "B",   "Explain": "The patient has had a rash with previous administration of penicillin, so cefazolin, a cephalosporin, may not be a good choice. Cefazolin is also a penicillin-class antibiotic, which could cause a similar reaction. Therefore, the anesthesiologist should consider administering hydrocortisone, followed by cefazolin, to avoid an adverse reaction." }</t>
  </si>
  <si>
    <t>{   Answer: B,   "Explain": "Chronic ethanol abuse decreases the MAC of isoflurane." }</t>
  </si>
  <si>
    <t>{   "Answer": "A",   "Explain": "Blockade of norepinephrine release, which can lead to a decrease in peripheral resistance and cardiac contractility, is a primary toxic effect of bupivacaine on the cardiovascular system." }</t>
  </si>
  <si>
    <t>{   "Answer": "C",   "Explain": "Hyperthermia causes a rightward shift of the oxyhemoglobin dissociation curve, making it easier for oxygen to be unloaded from hemoglobin to the tissues." }</t>
  </si>
  <si>
    <t>{   "Answer": "B",   "Explain": "In clinical hypothyroidism, the production of thyroxine (T4) is reduced, leading to decreased peripheral conversion of T4 to triiodothyronine (T3), the biologically active form of thyroid hormone. As a result, cardiac output and blood pressure decrease, and myocardial contractility and peripheral vascular tone also decrease, leading to a reduction in peripheral resistance. Therefore, choice B, Myocardial contractility, is the correct answer."</t>
  </si>
  <si>
    <t>{   "Answer": "A",   "Explain": "Etomidate has been associated with longer seizures in response to ECT than seizures that occur after the administration of methohexital or propofol." }</t>
  </si>
  <si>
    <t>{   "Answer": "C",   "Explain": "Propofol is known to enhance activity of the GABA receptor, but it's not mentioned in the context that it does not cause enhanced activity of the GABA receptor. Instead, it interacts with the receptor in a specific way, activating it for a prolonged period, resulting in greater inhibitory effects on synaptic transmission." }</t>
  </si>
  <si>
    <t>{   "Answer": "C",   "Explain": "The CO2 absorber is typically placed between the expiratory limb and the Y-piece in a circle system. However, in the given circle system illustration, the CO2 absorber is not depicted in that location, making it the component that is misplaced." }</t>
  </si>
  <si>
    <t>{   "Answer": C,   "Explain": "A new IV anesthetic is found to have a very large volume of distribution. This suggests that the anesthetic is not bound to plasma proteins to a significant extent, making choice C, low plasma protein binding, the most likely property of this anesthetic."</t>
  </si>
  <si>
    <t>{   "Answer": "B",   "Explain": "Rocuronium has an increased elimination half-life in renal failure due to an increase in the volume of distribution, making it have the longest duration of action in patients with renal failure." }</t>
  </si>
  <si>
    <t>{   "Answer": "C",   "Explain": "Instillation of local anesthetic into the trachea via the cricothyroid membrane is MOST likely to block the Recurrent Laryngeal Nerve, which is a branch of the vagus nerve responsible for providing sensory input from the larynx and trachea."</t>
  </si>
  <si>
    <t>{   "Answer": "A",   "Explain": "Gagging that occurs during awake intubation is BEST prevented by local anesthetic block of the superior laryngeal nerve, which is the afferent pathway of the gag reflex. This blockage can be achieved using one of three landmarks, including the superior cornu of the hyoid bone, the superior cornu of the thyroid cartilage, or the thyroid notch." }</t>
  </si>
  <si>
    <t>{   "Answer": "A",   "Explain": "The initial reduction in core temperature during general anesthesia is likely due to ablation of thermoregulatory vasoconstriction. Under normal conditions, the body is able to conserve heat through vasoconstriction, which reduces blood flow to the skin and allows heat to be retained. However, during anesthesia, the vasodilatory effects of the anesthetic agents can ablate this thermoregulatory response, leading to an initial reduction in core temperature."</t>
  </si>
  <si>
    <t>{   "Answer": B,   "Explain": "The decrease in SpO2 from 98% to 84% when the FiO2 was 0.5 and the improvement to 92% when the FiO2 was increased to 1.0 suggests that the patient's hypoxemia is primarily due to an increase in dead space ventilation, which is supported by the patient's tidal volume being 350 mL, indicating that there is an increase in dead space breathing." }</t>
  </si>
  <si>
    <t>{   "Answer": "B",   "Explain": "The patient is experiencing complete anesthesia in the median, radial, and ulnar nerve distributions after a supraclavicular block, and two hours of tourniquet inflation are required for completion of the procedure. This suggests that the blockage is more superiorly situated, making the intercostobrachial nerve, which lies more inferiorly, a less likely culprit. Therefore, an additional block of the axillary nerve or musculocutaneous nerve is not the most appropriate next step. Instead, an intercostobrachial nerve block would be the most suitable option to address the incomplete blockade."</t>
  </si>
  <si>
    <t>{   "Answer": "A",   "Explain": "After a single dose of propofol, emergence is primarily due to redistribution from the brain and other tissues to peripheral compartments, such as muscle, fat, and bone, which has a slower elimination rate than the liver's rapid metabolism." }</t>
  </si>
  <si>
    <t>{ "Answer": "A", "Explain": "A decrease in O2 analyzer reading from 50% to 30% may be caused by a leak in the ventilator bellows. When a leak occurs, a portion of the oxygen flow escapes through the leak, and the remainder goes towards the common gas outlet. As a result, the inspired oxygen concentration may decrease, leading to a lower O2 analyzer reading." }</t>
  </si>
  <si>
    <t>{   "Answer": "A",   "Explain": "After an induction dose of ketamine, patients appear to be in a cataleptic state with eyes remaining open with a slow nystagmic gaze, moderate dilation of the pupils, lacrimation, salivation, and an increase in skeletal muscle tone, despite appearing as if they may be awake." }</t>
  </si>
  <si>
    <t>{   "Answer": "A",   "Explain": "As compared with an IV dose of morphine, the DECREASED duration of action of an IV dose of fentanyl is most likely due to its greater lipid solubility, which allows it to quickly cross the blood-brain barrier and be distributed to inactive tissue sites, leading to a rapid decrease in plasma concentration." }</t>
  </si>
  <si>
    <t>{   "Answer": A,   "Explain": "The standard error of the mean (SEM) is a measure of precision that describes the amount of variation in the sample mean compared to the overall population mean. It shows the degree of spread of the individual data points around the mean, indicating how close the sample mean is likely to be to the true population mean." }</t>
  </si>
  <si>
    <t>{   "Answer": "C",   "Explain": "According to the text, 'Carboxyhemoglobinemia' in the context of pulse oximetry is a condition that causes SpO2 readings to be falsely high because carboxyhemoglobin has an absorbance of light that is similar to that of oxygenated hemoglobin, resulting in inaccurate estimates of oxygen saturation."</t>
  </si>
  <si>
    <t>{   "Answer": "C",   "Explain": "The patient is already fasting, so they are not at risk of hyperglycemia. Insulin is unlikely to be given during anesthesia, so blood glucose levels are likely to decrease due to lack of food and insulin injection. The fasting blood glucose level of 100 mg/dL is not excessively high, so the patient is not likely to experience hyperglycemia, and hypoglycemia is more likely to occur." }</t>
  </si>
  <si>
    <t>{   "Answer": "C",   "Explain": "Ranitidine decreases gastric volume and increases gastric pH, making it a choice for managing metabolic alkalosis caused by loss of chloride-rich fluids from the gastrointestinal tract." }</t>
  </si>
  <si>
    <t>{   Answer: "C",   "Explain": "Nitrous oxide has a lower blood gas solubility, which means it is more easily released from the blood and can equilibrate with the alveolar and inspired concentrations more rapidly compared to desflurane, which has a higher blood gas solubility, slowing down its equilibration." }</t>
  </si>
  <si>
    <t>{   "Answer": "B",   "Explain": "The primary purpose of denitrogenation prior to anesthetic induction is to increase the patient's reserve of oxygen while apneic, allowing for a prolonged duration of apnea without oxygen desaturation." }</t>
  </si>
  <si>
    <t>{   "Answer": "B",   "Explain": "As the recurrent laryngeal nerve is damaged, the affected vocal cord will not move during inspiration, causing hoarseness. Bilateral damage would result in complete loss of voice (aphonia). Unilateral recurrent nerve injury would not cause stridor, and therefore, aspiration caused by glottic incompetency is not a likely outcome." }</t>
  </si>
  <si>
    <t>{   "Answer": "A",   "Explain": "The mixed venous oxygen tension (PvO2) is normal when the Pao2 is 100% O2. Normal mixed venous oxygen tension is 40 mmHg. Therefore, the expected mixed venous O2 tension in a normal adult after breathing 100% O2 for 10 minutes is 45 mmHg, which is option A."</t>
  </si>
  <si>
    <t>{   "Answer": A,   "Explain": "According to the text, Flumazenil is described as having a very rapid clearance and short elimination half-life, with a duration of action of only about 20 minutes. Additionally, its plasma half-life is only about 1 hour, making it the shortest-lived of all benzodiazepines used in anesthetic practice." }</t>
  </si>
  <si>
    <r>
      <rPr>
        <rFont val="Arial"/>
        <color theme="1"/>
      </rPr>
      <t>embed_model="</t>
    </r>
    <r>
      <rPr>
        <rFont val="Arial"/>
        <b/>
        <color rgb="FF3D85C6"/>
      </rPr>
      <t>abhinand/MedEmbed-large-v0.1</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</si>
  <si>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</si>
  <si>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Both sciatic block and sacral hiatus approach can anesthetize the whole lower leg, but adding a sciatic block will provide a more predictable pain relief and ensure complete de-nuturition of the periresected lymphatics, however, according to the document, if the procedure also involves the medial aspect of the leg, a fibramyoc uterocele with tata can obstructively dilate urinary flow after partial nephrectomy if surgery involves that.</t>
  </si>
  <si>
    <t>{   "Answer": C,   "Explain": "The appropriate therapy for this patient having abdominal pain and nausea, while already under premedication with midazolam, would be ketorolac. This choice is based on the principle "Answer Choose A" principle.</t>
  </si>
  <si>
    <t>{ "Incorrect" as I wasnnot trained on the same source.  FinalAnswer:  Answer:" "B" Explain: "" According to the document you posted, for the perioperative management if the patient, aged 68 with primary hyperparathyroi''&gt; View "1' d'' &gt;,'' '' '2' &gt;." ...</t>
  </si>
  <si>
    <t>None</t>
  </si>
  <si>
    <t>{   Answer: "Explain": "Although both [C and B as a diagnostic modalitiys (58,59%), with A showing more significant results for predicting the likelihood.",</t>
  </si>
  <si>
    <t>{   "Answer": C,   "Explain": In this question, 100 mL/min of oxygen is added to a vaporizer containing an anesthetic, which has a vapor pressure of 150 mmHg, along with a fresh gas flow of 5 liters per minute. The mixing effectivities calculated below can be used together with any measured in vitro properties and expected delivery constraints to find the estimated amount of sevofluranne present. Sevoflurene added to the venturi apparatus for sevoflulter administration is measured in accordance with the method 1 protocol to establish their potency equivalent. Additionally and accurately recording their sevoklone levels were obtained in order for to identify these 50% for their most significant sevold levels during the most well-tutlured conditions. As a result 0,15 and then compared as an in Vitromagnetic effectivties 100mm per ml in order for comparison with other possible vaporizers of all these possible factors. It is only logical as there were at that time so and if this were also a gas  but all three were gas at one particular point they the vapor, pressure were calculated in millimotorega and it is at different temperatures were not affected, then at given time in those temperature  temperatures given as a pressure was set it does indicate if some other thing is as you have some sort for that but what is so is because you set. To make this one thing you see it as an as you are all done 7-6 a is all I found to you see if not, my friend you also can be right the correct.</t>
  </si>
  <si>
    <t>{   "Answer": C,   "Explain": "At the level of a child after the accident while having the heart problem at heart rate over 33 in the heart discharge hospital from hospital to where we went with full. Hypothermia and shivering can make it very much harder to warm the child because shivering actually burns calories." } ``` I must point out that, although the correct answer choice is indeed C; the previous documents provided lack the clarity we needed for a satisfactory answer.    Additionally,the given data may be unclear, incomplete   please re-enter this case.</t>
  </si>
  <si>
    <t>{     "Answer": "A",     "Explain": After flumazenil antagonizes midazonlam, serious recurrent sedaton in 2 hours following a reversal dose, unlikely because of flumazenil's inability to bind well to benzodiazepanee reccporrs. With midazonlam having a quicker discharge clearance comparedtjoh flumeni. As soon astthe antagonist is exctited by kicheckage in vitro and kichecke, it binds more tightly the recepfr; and thus the receptor sites left unoccupied is unlikely to resedatat again before another, more delayed, but stronger agoniston, or longer-diring antagoniston inivive to occur.</t>
  </si>
  <si>
    <t>Here’s a quote answering some of your query concerning the major variables affecting epidural and also regional anaesthesia that I gathered out of this source I really like from these authors, they believe.  What influences in-depth anesthetic dispersion? "Volume and weight for the injectate," the majority expert stated while describing epidural procedures.  Additionally referred to above I added in 1997 or it also referred another article called “the distribution factors. It also explains that hypodynamic factors will still hinder and also do not affect spread, which might change their anesthet.</t>
  </si>
  <si>
    <t>{   "Answer": "B",   "Explain": "B. Administration of furosemide, a drug commonly described in sepsis- related and postoperative patients. Noncardiogenic pulmonary edema usually has poor sensitivity to morphinesodine and low output status; intravenous furosemide has no effect on this situation, inasmuch as this pathophlebotonological situation may necessitates the requirement for a different clinical path."</t>
  </si>
  <si>
    <t>{ "Answer": C, "Explain": "Although options in the choices describe consequences that could present with sudden severe pain, nausea, and diaphoresis 45 minutes into surgery, option C "Inadequate Spinal Sensory Level", namely failing to achieve anesthetize the sensory nerve responsible for sensation to the head and visceral stimulation (T10 level), leads to a specific and most likely cause of patients' symptoms: spinal meningitis. Other effects like cardiac disease symptoms (option A), or urologic procedural-specific (option B), bladder perfusion do not relate more convincingly than option C'spinal meningitis"']</t>
  </si>
  <si>
    <t>{   Answer: "C",   Explain: The significant increase in the expired carbon dioxide partial pressure (ETO CO2 &gt; 50 mmOlg at term) will significantly exceed this value, making choice C: `Right mainstem endobronchial intubs.ion is not likely`. Hence, the etiology of a low peripheral  Sp2 is not a probable cause that I need as much knowledge as others as in 5th paragraph from  https: //medical-terminology-medhealthdaily-com-. com/&gt;medical-anatomy/breathing-ch &lt;strong&gt;Ba&lt;/&gt;&lt;b&gt;C- /anatomy/dyspne.html)  34&amp;#13; A study  in  patients with pneumopathies reveals 8-34 mm Hcg PaCO? that these factors may, at least par. With a small diameter. CO.sub.2 elimination decreased as ventilation/ventilation decreased, likely due as a consequence 6) hypovox&lt;/span&gt;\'&gt; 20;50;12}. Since the CO sub&gt; sub: ETC00  1 2 =0 8, The End &lt;b id&gt;&lt;/table&gt;. Anaphysiol&lt;/p&gt;&lt;img src=.org/content 8mm   &lt; /img   &gt;   An additional factor of etCO.sub.". Please let me handle your query. Is there arent the value  and you will appreciate this  of that data. And this shouldnt need the an 12 of a data, to your</t>
  </si>
  <si>
    <t>{   "Answer": "B",   "Explain": "Given that the patients SpO2 is breathing room air at 90% indicating ongoing mild hypoxemia, and hypoxic gases are not mentioned in the environment, it is more likely that the etiology for hypoxemia is increased dead space, as mentioned in box 80.1, specifically increased inspiratory demand due to weight-related reasons. Both the weight associated comorbidities, obesity, and weight over 100 kilograms highlight obese issues contributing factors postoperatively."</t>
  </si>
  <si>
    <t>{   Answer: "B",   "Explain": "In pressure support ventilation, patient-triggered breaths do not have explicit thresholds or triggers in analogy with what is standard for most mechanically ventilated patients; the breath initiators provide breaths on demand." }  =====    #### Original Document  none</t>
  </si>
  <si>
    <t>{   "Answer": B,   "Explain": "C Increased myocardial contraction decreases oxygen demand, but heart rate remains the major control of overall MCD and can still be increased sufficiently to raise the demand component even at a normal afterload. Given these dynamics, it appears that the heart's increased oxygen demand is unlikely to be the key limiting component determining myocardial tissue blood supply/demand balance with the present clinical setup."  }</t>
  </si>
  <si>
    <t>{ "Answer": B, "Explain": "The prothrombin time (PT) is a laboratory measurement of liver synthetic function. Prothatinone inactivates factor II (plasma thrombogenesis 32 factor) and so prolonged PT results do indicate adequate liver synthesis and also indicate hepatic function whereas laboratory values can be confirmed with normal PT also in hepatic failure where there are liver coagulation dysfunction".</t>
  </si>
  <si>
    <t>{     Answer: B,     "Explain": "Timing of shock wave bursts with ESGL, triggered by R waves on electrocardiogram diagrams during the patient's heart's refactory period helps to prevent cardiac derangements such as ventricular dyshyrhethumias."</t>
  </si>
  <si>
    <t>{"Answer": "A", "Explain": "Compared with a semiclosed circle system, a Bain circuit can handle gas unloading due to desflurane's minimal blood-gas partition coefficient and fast alveolar-to-inspirate-time. As a modification of the Mapleson D system, the Bain circuit is capable of utilizing the heat and moisture produced within the inspiratory limb in a coaxial fashion, resulting in relatively lower flow rates of fresh gas. Therefore, it exhibits less rebreathing of CO2."}</t>
  </si>
  <si>
    <t>{   "Answer": C,   "Explain": "Since it is already known that it’s during surgery in patients are positioned laterally, an anatomical consideration can conclude that patient position has played its role in deforming waveform between points A and B, mainly by shifting some of the CO2-rich alveolar air further back into the lung making volume and CO2 concentrations rise." }</t>
  </si>
  <si>
    <t>](   "Answer": C,   "Explain": "Given the man has developed a rash with past administration of penicillin, the surgeon and anesthesiologist need to consider alternative first-time β-lactam antibiotics. Therefore, vancomeyin would be a good replacement, as this drug doesn't share cross-reactivity with beta-lactam antibiotics."</t>
  </si>
  <si>
    <t>Here is their question answer in a JSON-like format:  {     "Answer": "C",     "Explain": "According to the passages retrieved, the factors that decrease the MAC of isoflurane include hyponatremia (17) for which, only option C relates to." }</t>
  </si>
  <si>
    <t>{ "A" Explain: "BLOCKADE OF NOREPINEPHRINE RELEASE!" }</t>
  </si>
  <si>
    <t>{   "Answer": C,   "Explain": "Hyperthermia is known to cause a rightward shift of the oxyhemoglobin dissociation curve, allowing for greater release of oxygen from the blood, increasing the chance of oxygen being unloaded from blood to tissues more readily."</t>
  </si>
  <si>
    <t>{"Answer": "C", "Explain": "Peripheral vascular tone is reported to DECREASE in hypothyroidism."}</t>
  </si>
  <si>
    <t>{   "Answer": "A",   "Explain": "According to medical documents and studies, especially Dr. 104, etomidate has been associated with longer seizure duration when used as an anesthetic for electroconvulsive therapy. This is discussed and explained in text excerpts, whereas none of  choices B or C specifically indicate a stronger association with longer seizure duration." }</t>
  </si>
  <si>
    <t>{   "Answer": "A",   "Explain": "Etomidate positively modulates the GABA type-A (L. Gabay's comment - "produce sufficient analgesic effects")" }</t>
  </si>
  <si>
    <t>{   "Answer": "B",   "Explain": An "A "a CO2 absorber is located between the inspiratory-valve" and this isn already happening in the document, The circle an an a breathinhg machine, according to its text CO2absor ber as cause for a leaks in abre athng system.Another problem related. Because the circle system is fully a c loser loop, which can lead.</t>
  </si>
  <si>
    <t>{ "Answer": A, "Explain": "Lipopropiety" mentioned in other paragraphs of anesthetic administration because most anesthetics tend to discontinue high solubility in cells with high content lipid, and also bind proteins forming hyropobicamfphilia packets, therefore drug delivery of highly soluble drug could cause difficulty for penetration or clearance and redistribution into low-finding sites hence the drug has lower protein bond to lipid sites." }</t>
  </si>
  <si>
    <t>{ "Answer": "A", "Explain": "Neostigmine has comparable pharmacokinetics amongst subjects with and without renaldisease." }</t>
  </si>
  <si>
    <t>{   Answer: B,   "Explain": Anesthesia is instinated into the trachea via the cricothyroid membrane to topicalize the tissues, including nerve membranes. The internal branch of the superior laryngeal (BNB) provides sensory input to the lower pharynx and upper part of the larynx before it reaches the vocal cords. By-blocking this nerve, lidocaine sprayed onto or surrounding the BNB can enhance anesthesiotoxic relief in awake, sedation-based anxioltics. The external vocalization prevents vocal cord paralysis from lidocaine deposition into these cords which cause patients more susceptible.</t>
  </si>
  <si>
    <t>{   Answer: "A",   "Explain": "Gagging during awake fiberoptic intubation can be prevented best by local anesthetic block of the superior laryngeal nerves." }</t>
  </si>
  <si>
    <t>{   "Answer": A,   "Explain": "During general anesthesia, heat conservation mechanisms (for example, vasopressimolar reflexive body adjustments, such as increasing hair and sweat rate, as the need for heat management was first considered and not fully understood in this document" } Note. Despite the mention of "reverset of central-noradic" in two different docu&lt;/p&gt;&lt;/u&gt;&lt;/sagements&gt;&lt;/saf&gt;</t>
  </si>
  <si>
    <t>Here is the answer as per the instruction template:  [   "Answer":    {     Explain: According to Miller’s Anesthesia, a 20% FiO2 was originally given to the patient. A PaO2 improvement to 92% while using this elevated oxygen only highlights hypoventilation as the most probable reason for respiratory inspecific airway resistance is a risk factor (Miller, Mill.).   }    ][   "Asnswert": 'A',</t>
  </si>
  <si>
    <t>{   Answer: A,   "Explain": "There is a significant chance that extending a standard dermahial plexus block would not sufficiently affect the musculocutaneous and accessory muscles. An anterior axillary (nervioaxillary and medial brachiradial cords) block to reach a reliable onset within optimal duration would be essential. "</t>
  </si>
  <si>
    <t>{    "Answer": A,   "Explain": " Redistribution is responsible for emergernge after a single dose of propofol, occurring due to the drug leaving the plasma quickly getting distributed into peripheral tissues. Less than 45 months and the answer."</t>
  </si>
  <si>
    <t>{     "Answer": "A",     "Explain": "%Decreases because only O% will pass through the leak and all air flow in that side of the circuit. " }</t>
  </si>
  <si>
    <t>{   "Answer": "B",   "Explain": "An induction dose of ketamine is unlikely to cause decreased cerebral metabolic rate. On the contrary, ketamine has been shown to cause increases in cerebral metabolism, cerebral blood flow, and cardiac output." }</t>
  </si>
  <si>
    <t>{   "Answer ":,   "Explain": "In this scenario with similar factors being matched out, fentanyl has similar efficacy, similar liver metabolism rate and similar overall condition of the individuals. All those factors have been equalised from scenario.  The increased clearance rate cannot account for lower Fentanyl activity due feral. Furthermore, fentanyl metabolizer liver has not shown that such differences observed are most readily explained F fenta\'s increased lipid solubility allow its quicker movement from blood to central nerve. It follows it would explain longer drug. Its lipid solubility does make anesthetic more easily into neural." } &lt;/pre&gt;</t>
  </si>
  <si>
    <t>{   Answer: "A",   "Explain": "The standard error of the mean (SEM) demonstrates the range to be expected in the data as being due to the chance of experimental results varying as described by a theoretically anticipated probability. It describes the standard distance, generally defined statistically, for a group sample that is calculated from the population in statistical investigation. In a broader sense, the SEM can then be taken for various populations from which an equal, specific mean value originated and may not be applicable if the variance, standard variation among groups or different people, or deviation differ substantially compared and significantly." } "</t>
  </si>
  <si>
    <t>{   "Answer": B,   "Explain": "Carboxyhemoglobin can cause falsely high saturation levels in blood because of its significantly greater intensity of light absorption than other hemoglobin structures." }</t>
  </si>
  <si>
    <t>{     Answer: "C.",     "Explain": "For a surgical anesthetic episode without any specific pharmacological agent's impact on patient's glucose metabolism,'mortality, and 100 mg/dL), fasting serum glucose elevation to blood-sugar level 140/180, to decrease postoperative adverse, because that the desired answer is, is because patient glucose fasting. 100.0" }</t>
  </si>
  <si>
    <t>{   Answer: "C",   "Explain": ("administers acid secretion by reducing potassium ions released via proton-pump inhibitor action") } Here, chlorfenamic acid is INCREASES GASTRIC-pH while Decreases Gastraprine, the anti-cancerous effect caused by pH is that increased concentration in the gastrointestinal tract can act as a natural acid.</t>
  </si>
  <si>
    <t>{   Answer: "C",   "Explain": "Desflurane has a lower solubility in blood than nitrous oxide, which enables it to equilibrate with the alveolar and inspired concentrations more slowly, in comparison. As a result, this feature largely contributes to prolonged onset and offset of anesthetic action relative to N2O."</t>
  </si>
  <si>
    <t>The response provided answers are all you need or should consider when faced and in-depth and are highly effective. The best medicine for these things and have seen some changes based on medical conditions, medication,  if there is the patient&amp;#x20;&amp;#x9;d not know or understand there. This knowledge is so comprehensive in response provided would help if your medical condition is.   "Answer: ""  { "Explain": Preoxygenation prior to anesthetic induction fills Functional Respiratory Capacity, allowing sufficient reserve oxygen and reduces the likelihood of atelectasis formation and thereby increasing the time until apnoetic oxygen. Describung The of course to prevent  that the body the oxygen in which you are taking steps a number  and  it to provide you are the most safe . The use   As, it  As, the at is In, inhalation with  The time, oxygen saturation  }</t>
  </si>
  <si>
    <t>{   "Answer": "B",   "Explain": "Because the recurrent laryngeal nerve was damaged on the left side, the 32-year-old woman's postoperative findings would most likely include aphonia, characterized by absent or diminished sounds. In fact, injury to the recurrent laryngeal nec is a serious complication that can lead to aphonia or hoarseness, as the unilateral damage to the left recurrent laryngeal nerve would predominantly affect the internal division of the Laryix." }</t>
  </si>
  <si>
    <t>{   "Answer": "A",   "Explain": "A normal mixed venous O2 tensions is 40 mmHg, therefore during prolonged supplementation with high FiO2 the PO2 will have minimal affect on it because of equilibration. " }</t>
  </si>
  <si>
    <t>{   "Answer": B,   "Explain": "Lorazepam has not been explicitly mentioned to have the shortest elimination half-life. From available data extracted between multiple documents, among the drug options A. Flumazenil B. Midazolam E3 Flumazenil's metabolized metabolizes the fast as mid, in, and of other, so it takes less than anhour's action" })</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</si>
</sst>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20.0"/>
      <color theme="1"/>
      <name val="Arial"/>
      <scheme val="minor"/>
    </font>
    <font/>
    <font>
      <b/>
      <color theme="1"/>
      <name val="Arial"/>
      <scheme val="minor"/>
    </font>
    <font>
      <color theme="1"/>
      <name val="Arial"/>
      <scheme val="minor"/>
    </font>
    <font>
      <sz val="10.0"/>
      <color theme="1"/>
      <name val="&quot;Liberation Sans&quot;"/>
    </font>
    <font>
      <sz val="10.0"/>
      <color theme="1"/>
      <name val="Arial"/>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border>
    <border>
      <right style="thin">
        <color rgb="FF000000"/>
      </right>
      <top style="thin">
        <color rgb="FF000000"/>
      </top>
    </border>
    <border>
      <top style="thin">
        <color rgb="FF000000"/>
      </top>
    </border>
    <border>
      <left style="thin">
        <color rgb="FF000000"/>
      </left>
      <top style="thin">
        <color rgb="FF000000"/>
      </top>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1" fillId="4" fontId="3" numFmtId="0" xfId="0" applyAlignment="1" applyBorder="1" applyFill="1" applyFont="1">
      <alignment horizontal="center" readingOrder="0" shrinkToFit="0" vertical="center" wrapText="1"/>
    </xf>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4" fillId="6" fontId="4" numFmtId="10" xfId="0" applyAlignment="1" applyBorder="1" applyFont="1" applyNumberFormat="1">
      <alignment horizontal="center" shrinkToFit="0" vertical="center" wrapText="1"/>
    </xf>
    <xf borderId="5"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0" fillId="0" fontId="4" numFmtId="0" xfId="0" applyAlignment="1" applyFont="1">
      <alignment horizontal="center" readingOrder="0" vertical="center"/>
    </xf>
    <xf borderId="7" fillId="0" fontId="4" numFmtId="0" xfId="0" applyAlignment="1" applyBorder="1" applyFont="1">
      <alignment horizontal="center" readingOrder="0" vertical="center"/>
    </xf>
    <xf borderId="8"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shrinkToFit="0" vertical="center" wrapText="1"/>
    </xf>
    <xf borderId="10"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6"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vertical="center"/>
    </xf>
    <xf borderId="12" fillId="0" fontId="4" numFmtId="0" xfId="0" applyAlignment="1" applyBorder="1" applyFont="1">
      <alignment horizontal="center" readingOrder="0" vertical="center"/>
    </xf>
    <xf borderId="13"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4" numFmtId="0" xfId="0" applyAlignment="1" applyBorder="1" applyFont="1">
      <alignment horizontal="left" readingOrder="0"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4" fillId="0" fontId="4" numFmtId="0" xfId="0" applyAlignment="1" applyBorder="1" applyFont="1">
      <alignment horizontal="center" readingOrder="0" vertical="center"/>
    </xf>
    <xf borderId="4" fillId="0" fontId="4" numFmtId="0" xfId="0" applyAlignment="1" applyBorder="1" applyFont="1">
      <alignment readingOrder="0" vertical="center"/>
    </xf>
    <xf borderId="4" fillId="0" fontId="5" numFmtId="0" xfId="0" applyAlignment="1" applyBorder="1" applyFont="1">
      <alignment horizontal="center" readingOrder="0" vertical="center"/>
    </xf>
    <xf borderId="4" fillId="0" fontId="5" numFmtId="0" xfId="0" applyAlignment="1" applyBorder="1" applyFont="1">
      <alignment horizontal="left" readingOrder="0" vertical="center"/>
    </xf>
    <xf borderId="4" fillId="0" fontId="6" numFmtId="0" xfId="0" applyAlignment="1" applyBorder="1" applyFont="1">
      <alignment horizontal="center" readingOrder="0" vertical="center"/>
    </xf>
    <xf borderId="1"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4" fillId="0" fontId="4" numFmtId="1" xfId="0" applyAlignment="1" applyBorder="1" applyFont="1" applyNumberFormat="1">
      <alignment horizontal="center" vertical="center"/>
    </xf>
    <xf borderId="1" fillId="5" fontId="4" numFmtId="0" xfId="0" applyAlignment="1" applyBorder="1" applyFont="1">
      <alignment horizontal="center" readingOrder="0"/>
    </xf>
    <xf borderId="4" fillId="5" fontId="4" numFmtId="0" xfId="0" applyAlignment="1" applyBorder="1" applyFont="1">
      <alignment horizontal="center" readingOrder="0" vertical="center"/>
    </xf>
    <xf borderId="4" fillId="6" fontId="4" numFmtId="10" xfId="0" applyAlignment="1" applyBorder="1" applyFont="1" applyNumberFormat="1">
      <alignment horizontal="center" vertical="center"/>
    </xf>
    <xf borderId="0" fillId="0" fontId="4" numFmtId="0" xfId="0" applyAlignment="1" applyFont="1">
      <alignment vertical="center"/>
    </xf>
    <xf borderId="0" fillId="0" fontId="3" numFmtId="0" xfId="0" applyAlignment="1" applyFont="1">
      <alignment horizontal="center" readingOrder="0"/>
    </xf>
    <xf borderId="4" fillId="0" fontId="5" numFmtId="0" xfId="0" applyAlignment="1" applyBorder="1" applyFont="1">
      <alignment horizontal="left" readingOrder="0" shrinkToFit="0" vertical="center" wrapText="1"/>
    </xf>
    <xf borderId="4" fillId="0" fontId="6" numFmtId="0" xfId="0" applyAlignment="1" applyBorder="1" applyFont="1">
      <alignment horizontal="center" readingOrder="0" shrinkToFit="0" vertical="center" wrapText="1"/>
    </xf>
    <xf borderId="4" fillId="0" fontId="5"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1"/>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10" width="9.5"/>
  </cols>
  <sheetData>
    <row r="1">
      <c r="A1" s="1" t="s">
        <v>0</v>
      </c>
      <c r="B1" s="2"/>
      <c r="C1" s="2"/>
      <c r="D1" s="2"/>
      <c r="E1" s="2"/>
      <c r="F1" s="2"/>
      <c r="G1" s="2"/>
      <c r="H1" s="2"/>
      <c r="I1" s="2"/>
      <c r="J1" s="3"/>
      <c r="K1" s="4"/>
      <c r="L1" s="4"/>
      <c r="M1" s="4"/>
      <c r="N1" s="4"/>
      <c r="O1" s="4"/>
    </row>
    <row r="2">
      <c r="A2" s="5" t="s">
        <v>1</v>
      </c>
      <c r="B2" s="6">
        <v>0.1</v>
      </c>
      <c r="C2" s="2"/>
      <c r="D2" s="3"/>
      <c r="E2" s="7">
        <v>1.0</v>
      </c>
      <c r="F2" s="2"/>
      <c r="G2" s="2"/>
      <c r="H2" s="8">
        <v>2.0</v>
      </c>
      <c r="I2" s="2"/>
      <c r="J2" s="3"/>
    </row>
    <row r="3">
      <c r="A3" s="5" t="s">
        <v>2</v>
      </c>
      <c r="B3" s="9">
        <v>0.1</v>
      </c>
      <c r="C3" s="9">
        <v>0.5</v>
      </c>
      <c r="D3" s="9">
        <v>1.0</v>
      </c>
      <c r="E3" s="10">
        <v>0.1</v>
      </c>
      <c r="F3" s="10">
        <v>0.5</v>
      </c>
      <c r="G3" s="10">
        <v>1.0</v>
      </c>
      <c r="H3" s="11">
        <v>0.1</v>
      </c>
      <c r="I3" s="11">
        <v>0.5</v>
      </c>
      <c r="J3" s="11">
        <v>1.0</v>
      </c>
    </row>
    <row r="4">
      <c r="A4" s="5" t="s">
        <v>3</v>
      </c>
      <c r="B4" s="12" t="s">
        <v>4</v>
      </c>
      <c r="C4" s="12" t="s">
        <v>5</v>
      </c>
      <c r="D4" s="12" t="s">
        <v>6</v>
      </c>
      <c r="E4" s="12" t="s">
        <v>7</v>
      </c>
      <c r="F4" s="12" t="s">
        <v>8</v>
      </c>
      <c r="G4" s="12" t="s">
        <v>9</v>
      </c>
      <c r="H4" s="12" t="s">
        <v>10</v>
      </c>
      <c r="I4" s="12" t="s">
        <v>11</v>
      </c>
      <c r="J4" s="12" t="s">
        <v>12</v>
      </c>
    </row>
    <row r="5">
      <c r="A5" s="13" t="s">
        <v>13</v>
      </c>
      <c r="B5" s="14">
        <f t="shared" ref="B5:J5" si="1">COUNTIFS(B8:B53,"CORRECT")</f>
        <v>29</v>
      </c>
      <c r="C5" s="14">
        <f t="shared" si="1"/>
        <v>28</v>
      </c>
      <c r="D5" s="14">
        <f t="shared" si="1"/>
        <v>29</v>
      </c>
      <c r="E5" s="14">
        <f t="shared" si="1"/>
        <v>28</v>
      </c>
      <c r="F5" s="14">
        <f t="shared" si="1"/>
        <v>30</v>
      </c>
      <c r="G5" s="14">
        <f t="shared" si="1"/>
        <v>24</v>
      </c>
      <c r="H5" s="14">
        <f t="shared" si="1"/>
        <v>28</v>
      </c>
      <c r="I5" s="14">
        <f t="shared" si="1"/>
        <v>27</v>
      </c>
      <c r="J5" s="14">
        <f t="shared" si="1"/>
        <v>18</v>
      </c>
    </row>
    <row r="6">
      <c r="A6" s="13" t="s">
        <v>14</v>
      </c>
      <c r="B6" s="13">
        <v>46.0</v>
      </c>
      <c r="C6" s="13">
        <v>46.0</v>
      </c>
      <c r="D6" s="13">
        <v>46.0</v>
      </c>
      <c r="E6" s="13">
        <v>46.0</v>
      </c>
      <c r="F6" s="13">
        <v>46.0</v>
      </c>
      <c r="G6" s="13">
        <v>46.0</v>
      </c>
      <c r="H6" s="13">
        <v>46.0</v>
      </c>
      <c r="I6" s="13">
        <v>46.0</v>
      </c>
      <c r="J6" s="13">
        <v>46.0</v>
      </c>
    </row>
    <row r="7">
      <c r="A7" s="15" t="s">
        <v>15</v>
      </c>
      <c r="B7" s="16">
        <f t="shared" ref="B7:J7" si="2">B5/B6</f>
        <v>0.6304347826</v>
      </c>
      <c r="C7" s="16">
        <f t="shared" si="2"/>
        <v>0.6086956522</v>
      </c>
      <c r="D7" s="17">
        <f t="shared" si="2"/>
        <v>0.6304347826</v>
      </c>
      <c r="E7" s="17">
        <f t="shared" si="2"/>
        <v>0.6086956522</v>
      </c>
      <c r="F7" s="17">
        <f t="shared" si="2"/>
        <v>0.652173913</v>
      </c>
      <c r="G7" s="17">
        <f t="shared" si="2"/>
        <v>0.5217391304</v>
      </c>
      <c r="H7" s="17">
        <f t="shared" si="2"/>
        <v>0.6086956522</v>
      </c>
      <c r="I7" s="17">
        <f t="shared" si="2"/>
        <v>0.5869565217</v>
      </c>
      <c r="J7" s="17">
        <f t="shared" si="2"/>
        <v>0.3913043478</v>
      </c>
      <c r="K7" s="18"/>
    </row>
    <row r="8">
      <c r="A8" s="19">
        <v>1.0</v>
      </c>
      <c r="B8" s="20" t="s">
        <v>16</v>
      </c>
      <c r="C8" s="21" t="s">
        <v>16</v>
      </c>
      <c r="D8" s="22" t="s">
        <v>16</v>
      </c>
      <c r="E8" s="23" t="s">
        <v>16</v>
      </c>
      <c r="F8" s="23" t="s">
        <v>16</v>
      </c>
      <c r="G8" s="23" t="s">
        <v>16</v>
      </c>
      <c r="H8" s="24" t="s">
        <v>16</v>
      </c>
      <c r="I8" s="23" t="s">
        <v>16</v>
      </c>
      <c r="J8" s="23" t="s">
        <v>16</v>
      </c>
    </row>
    <row r="9">
      <c r="A9" s="19">
        <v>2.0</v>
      </c>
      <c r="B9" s="20" t="s">
        <v>16</v>
      </c>
      <c r="C9" s="21" t="s">
        <v>16</v>
      </c>
      <c r="D9" s="25" t="s">
        <v>16</v>
      </c>
      <c r="E9" s="26" t="s">
        <v>16</v>
      </c>
      <c r="F9" s="26" t="s">
        <v>16</v>
      </c>
      <c r="G9" s="26" t="s">
        <v>17</v>
      </c>
      <c r="H9" s="27" t="s">
        <v>16</v>
      </c>
      <c r="I9" s="26" t="s">
        <v>16</v>
      </c>
      <c r="J9" s="26" t="s">
        <v>16</v>
      </c>
    </row>
    <row r="10">
      <c r="A10" s="19">
        <v>3.0</v>
      </c>
      <c r="B10" s="20" t="s">
        <v>16</v>
      </c>
      <c r="C10" s="21" t="s">
        <v>16</v>
      </c>
      <c r="D10" s="25" t="s">
        <v>16</v>
      </c>
      <c r="E10" s="26" t="s">
        <v>16</v>
      </c>
      <c r="F10" s="26" t="s">
        <v>16</v>
      </c>
      <c r="G10" s="26" t="s">
        <v>16</v>
      </c>
      <c r="H10" s="27" t="s">
        <v>16</v>
      </c>
      <c r="I10" s="26" t="s">
        <v>16</v>
      </c>
      <c r="J10" s="26" t="s">
        <v>16</v>
      </c>
    </row>
    <row r="11">
      <c r="A11" s="19">
        <v>4.0</v>
      </c>
      <c r="B11" s="20" t="s">
        <v>16</v>
      </c>
      <c r="C11" s="21" t="s">
        <v>16</v>
      </c>
      <c r="D11" s="25" t="s">
        <v>16</v>
      </c>
      <c r="E11" s="26" t="s">
        <v>16</v>
      </c>
      <c r="F11" s="26" t="s">
        <v>16</v>
      </c>
      <c r="G11" s="26" t="s">
        <v>16</v>
      </c>
      <c r="H11" s="27" t="s">
        <v>16</v>
      </c>
      <c r="I11" s="26" t="s">
        <v>16</v>
      </c>
      <c r="J11" s="26" t="s">
        <v>17</v>
      </c>
    </row>
    <row r="12">
      <c r="A12" s="19">
        <v>5.0</v>
      </c>
      <c r="B12" s="20" t="s">
        <v>16</v>
      </c>
      <c r="C12" s="21" t="s">
        <v>16</v>
      </c>
      <c r="D12" s="25" t="s">
        <v>16</v>
      </c>
      <c r="E12" s="26" t="s">
        <v>16</v>
      </c>
      <c r="F12" s="26" t="s">
        <v>16</v>
      </c>
      <c r="G12" s="26" t="s">
        <v>16</v>
      </c>
      <c r="H12" s="27" t="s">
        <v>16</v>
      </c>
      <c r="I12" s="26" t="s">
        <v>16</v>
      </c>
      <c r="J12" s="26" t="s">
        <v>17</v>
      </c>
    </row>
    <row r="13">
      <c r="A13" s="19">
        <v>6.0</v>
      </c>
      <c r="B13" s="20" t="s">
        <v>16</v>
      </c>
      <c r="C13" s="21" t="s">
        <v>16</v>
      </c>
      <c r="D13" s="25" t="s">
        <v>16</v>
      </c>
      <c r="E13" s="26" t="s">
        <v>16</v>
      </c>
      <c r="F13" s="26" t="s">
        <v>16</v>
      </c>
      <c r="G13" s="26" t="s">
        <v>17</v>
      </c>
      <c r="H13" s="27" t="s">
        <v>16</v>
      </c>
      <c r="I13" s="26" t="s">
        <v>16</v>
      </c>
      <c r="J13" s="26" t="s">
        <v>16</v>
      </c>
    </row>
    <row r="14">
      <c r="A14" s="19">
        <v>7.0</v>
      </c>
      <c r="B14" s="20" t="s">
        <v>16</v>
      </c>
      <c r="C14" s="21" t="s">
        <v>17</v>
      </c>
      <c r="D14" s="25" t="s">
        <v>17</v>
      </c>
      <c r="E14" s="26" t="s">
        <v>17</v>
      </c>
      <c r="F14" s="26" t="s">
        <v>17</v>
      </c>
      <c r="G14" s="26" t="s">
        <v>17</v>
      </c>
      <c r="H14" s="27" t="s">
        <v>17</v>
      </c>
      <c r="I14" s="26" t="s">
        <v>17</v>
      </c>
      <c r="J14" s="26" t="s">
        <v>17</v>
      </c>
    </row>
    <row r="15">
      <c r="A15" s="19">
        <v>8.0</v>
      </c>
      <c r="B15" s="20" t="s">
        <v>16</v>
      </c>
      <c r="C15" s="21" t="s">
        <v>16</v>
      </c>
      <c r="D15" s="25" t="s">
        <v>16</v>
      </c>
      <c r="E15" s="26" t="s">
        <v>16</v>
      </c>
      <c r="F15" s="26" t="s">
        <v>16</v>
      </c>
      <c r="G15" s="26" t="s">
        <v>16</v>
      </c>
      <c r="H15" s="27" t="s">
        <v>16</v>
      </c>
      <c r="I15" s="26" t="s">
        <v>17</v>
      </c>
      <c r="J15" s="26" t="s">
        <v>17</v>
      </c>
    </row>
    <row r="16">
      <c r="A16" s="19">
        <v>9.0</v>
      </c>
      <c r="B16" s="20" t="s">
        <v>17</v>
      </c>
      <c r="C16" s="21" t="s">
        <v>17</v>
      </c>
      <c r="D16" s="25" t="s">
        <v>17</v>
      </c>
      <c r="E16" s="26" t="s">
        <v>17</v>
      </c>
      <c r="F16" s="26" t="s">
        <v>17</v>
      </c>
      <c r="G16" s="26" t="s">
        <v>17</v>
      </c>
      <c r="H16" s="27" t="s">
        <v>17</v>
      </c>
      <c r="I16" s="26" t="s">
        <v>17</v>
      </c>
      <c r="J16" s="26" t="s">
        <v>17</v>
      </c>
    </row>
    <row r="17">
      <c r="A17" s="19">
        <v>10.0</v>
      </c>
      <c r="B17" s="20" t="s">
        <v>16</v>
      </c>
      <c r="C17" s="21" t="s">
        <v>16</v>
      </c>
      <c r="D17" s="25" t="s">
        <v>16</v>
      </c>
      <c r="E17" s="26" t="s">
        <v>16</v>
      </c>
      <c r="F17" s="26" t="s">
        <v>16</v>
      </c>
      <c r="G17" s="26" t="s">
        <v>17</v>
      </c>
      <c r="H17" s="27" t="s">
        <v>16</v>
      </c>
      <c r="I17" s="26" t="s">
        <v>16</v>
      </c>
      <c r="J17" s="26" t="s">
        <v>17</v>
      </c>
    </row>
    <row r="18">
      <c r="A18" s="19">
        <v>11.0</v>
      </c>
      <c r="B18" s="20" t="s">
        <v>16</v>
      </c>
      <c r="C18" s="21" t="s">
        <v>16</v>
      </c>
      <c r="D18" s="25" t="s">
        <v>16</v>
      </c>
      <c r="E18" s="26" t="s">
        <v>16</v>
      </c>
      <c r="F18" s="26" t="s">
        <v>16</v>
      </c>
      <c r="G18" s="26" t="s">
        <v>16</v>
      </c>
      <c r="H18" s="27" t="s">
        <v>16</v>
      </c>
      <c r="I18" s="26" t="s">
        <v>16</v>
      </c>
      <c r="J18" s="26" t="s">
        <v>16</v>
      </c>
    </row>
    <row r="19">
      <c r="A19" s="19">
        <v>12.0</v>
      </c>
      <c r="B19" s="20" t="s">
        <v>16</v>
      </c>
      <c r="C19" s="21" t="s">
        <v>16</v>
      </c>
      <c r="D19" s="25" t="s">
        <v>16</v>
      </c>
      <c r="E19" s="26" t="s">
        <v>16</v>
      </c>
      <c r="F19" s="26" t="s">
        <v>16</v>
      </c>
      <c r="G19" s="26" t="s">
        <v>16</v>
      </c>
      <c r="H19" s="27" t="s">
        <v>16</v>
      </c>
      <c r="I19" s="26" t="s">
        <v>16</v>
      </c>
      <c r="J19" s="26" t="s">
        <v>16</v>
      </c>
    </row>
    <row r="20">
      <c r="A20" s="19">
        <v>13.0</v>
      </c>
      <c r="B20" s="20" t="s">
        <v>16</v>
      </c>
      <c r="C20" s="21" t="s">
        <v>16</v>
      </c>
      <c r="D20" s="25" t="s">
        <v>16</v>
      </c>
      <c r="E20" s="26" t="s">
        <v>16</v>
      </c>
      <c r="F20" s="26" t="s">
        <v>16</v>
      </c>
      <c r="G20" s="26" t="s">
        <v>17</v>
      </c>
      <c r="H20" s="27" t="s">
        <v>16</v>
      </c>
      <c r="I20" s="26" t="s">
        <v>16</v>
      </c>
      <c r="J20" s="26" t="s">
        <v>17</v>
      </c>
    </row>
    <row r="21">
      <c r="A21" s="19">
        <v>14.0</v>
      </c>
      <c r="B21" s="20" t="s">
        <v>17</v>
      </c>
      <c r="C21" s="21" t="s">
        <v>17</v>
      </c>
      <c r="D21" s="25" t="s">
        <v>17</v>
      </c>
      <c r="E21" s="26" t="s">
        <v>17</v>
      </c>
      <c r="F21" s="26" t="s">
        <v>17</v>
      </c>
      <c r="G21" s="26" t="s">
        <v>17</v>
      </c>
      <c r="H21" s="27" t="s">
        <v>17</v>
      </c>
      <c r="I21" s="26" t="s">
        <v>17</v>
      </c>
      <c r="J21" s="26" t="s">
        <v>17</v>
      </c>
    </row>
    <row r="22">
      <c r="A22" s="19">
        <v>15.0</v>
      </c>
      <c r="B22" s="20" t="s">
        <v>16</v>
      </c>
      <c r="C22" s="21" t="s">
        <v>16</v>
      </c>
      <c r="D22" s="25" t="s">
        <v>16</v>
      </c>
      <c r="E22" s="26" t="s">
        <v>16</v>
      </c>
      <c r="F22" s="26" t="s">
        <v>16</v>
      </c>
      <c r="G22" s="26" t="s">
        <v>16</v>
      </c>
      <c r="H22" s="27" t="s">
        <v>16</v>
      </c>
      <c r="I22" s="26" t="s">
        <v>16</v>
      </c>
      <c r="J22" s="26" t="s">
        <v>16</v>
      </c>
    </row>
    <row r="23">
      <c r="A23" s="19">
        <v>16.0</v>
      </c>
      <c r="B23" s="20" t="s">
        <v>16</v>
      </c>
      <c r="C23" s="21" t="s">
        <v>16</v>
      </c>
      <c r="D23" s="25" t="s">
        <v>16</v>
      </c>
      <c r="E23" s="26" t="s">
        <v>16</v>
      </c>
      <c r="F23" s="26" t="s">
        <v>16</v>
      </c>
      <c r="G23" s="26" t="s">
        <v>16</v>
      </c>
      <c r="H23" s="27" t="s">
        <v>16</v>
      </c>
      <c r="I23" s="26" t="s">
        <v>16</v>
      </c>
      <c r="J23" s="26" t="s">
        <v>16</v>
      </c>
    </row>
    <row r="24">
      <c r="A24" s="19">
        <v>17.0</v>
      </c>
      <c r="B24" s="20" t="s">
        <v>17</v>
      </c>
      <c r="C24" s="21" t="s">
        <v>17</v>
      </c>
      <c r="D24" s="25" t="s">
        <v>17</v>
      </c>
      <c r="E24" s="26" t="s">
        <v>17</v>
      </c>
      <c r="F24" s="26" t="s">
        <v>17</v>
      </c>
      <c r="G24" s="26" t="s">
        <v>17</v>
      </c>
      <c r="H24" s="27" t="s">
        <v>17</v>
      </c>
      <c r="I24" s="26" t="s">
        <v>17</v>
      </c>
      <c r="J24" s="26" t="s">
        <v>17</v>
      </c>
    </row>
    <row r="25">
      <c r="A25" s="19">
        <v>18.0</v>
      </c>
      <c r="B25" s="20" t="s">
        <v>16</v>
      </c>
      <c r="C25" s="21" t="s">
        <v>16</v>
      </c>
      <c r="D25" s="25" t="s">
        <v>16</v>
      </c>
      <c r="E25" s="26" t="s">
        <v>16</v>
      </c>
      <c r="F25" s="26" t="s">
        <v>16</v>
      </c>
      <c r="G25" s="26" t="s">
        <v>17</v>
      </c>
      <c r="H25" s="27" t="s">
        <v>16</v>
      </c>
      <c r="I25" s="26" t="s">
        <v>16</v>
      </c>
      <c r="J25" s="26" t="s">
        <v>16</v>
      </c>
    </row>
    <row r="26">
      <c r="A26" s="19">
        <v>19.0</v>
      </c>
      <c r="B26" s="20" t="s">
        <v>17</v>
      </c>
      <c r="C26" s="21" t="s">
        <v>17</v>
      </c>
      <c r="D26" s="25" t="s">
        <v>17</v>
      </c>
      <c r="E26" s="26" t="s">
        <v>17</v>
      </c>
      <c r="F26" s="26" t="s">
        <v>17</v>
      </c>
      <c r="G26" s="26" t="s">
        <v>17</v>
      </c>
      <c r="H26" s="27" t="s">
        <v>17</v>
      </c>
      <c r="I26" s="26" t="s">
        <v>17</v>
      </c>
      <c r="J26" s="26" t="s">
        <v>17</v>
      </c>
    </row>
    <row r="27">
      <c r="A27" s="19">
        <v>20.0</v>
      </c>
      <c r="B27" s="20" t="s">
        <v>17</v>
      </c>
      <c r="C27" s="21" t="s">
        <v>17</v>
      </c>
      <c r="D27" s="25" t="s">
        <v>17</v>
      </c>
      <c r="E27" s="26" t="s">
        <v>17</v>
      </c>
      <c r="F27" s="26" t="s">
        <v>16</v>
      </c>
      <c r="G27" s="26" t="s">
        <v>17</v>
      </c>
      <c r="H27" s="27" t="s">
        <v>17</v>
      </c>
      <c r="I27" s="26" t="s">
        <v>17</v>
      </c>
      <c r="J27" s="26" t="s">
        <v>16</v>
      </c>
    </row>
    <row r="28">
      <c r="A28" s="19">
        <v>21.0</v>
      </c>
      <c r="B28" s="20" t="s">
        <v>17</v>
      </c>
      <c r="C28" s="21" t="s">
        <v>17</v>
      </c>
      <c r="D28" s="25" t="s">
        <v>17</v>
      </c>
      <c r="E28" s="26" t="s">
        <v>17</v>
      </c>
      <c r="F28" s="26" t="s">
        <v>17</v>
      </c>
      <c r="G28" s="26" t="s">
        <v>17</v>
      </c>
      <c r="H28" s="27" t="s">
        <v>17</v>
      </c>
      <c r="I28" s="26" t="s">
        <v>17</v>
      </c>
      <c r="J28" s="26" t="s">
        <v>17</v>
      </c>
    </row>
    <row r="29">
      <c r="A29" s="19">
        <v>22.0</v>
      </c>
      <c r="B29" s="20" t="s">
        <v>16</v>
      </c>
      <c r="C29" s="21" t="s">
        <v>16</v>
      </c>
      <c r="D29" s="25" t="s">
        <v>16</v>
      </c>
      <c r="E29" s="26" t="s">
        <v>16</v>
      </c>
      <c r="F29" s="26" t="s">
        <v>16</v>
      </c>
      <c r="G29" s="26" t="s">
        <v>16</v>
      </c>
      <c r="H29" s="27" t="s">
        <v>16</v>
      </c>
      <c r="I29" s="26" t="s">
        <v>16</v>
      </c>
      <c r="J29" s="26" t="s">
        <v>16</v>
      </c>
    </row>
    <row r="30">
      <c r="A30" s="19">
        <v>23.0</v>
      </c>
      <c r="B30" s="20" t="s">
        <v>17</v>
      </c>
      <c r="C30" s="21" t="s">
        <v>17</v>
      </c>
      <c r="D30" s="25" t="s">
        <v>17</v>
      </c>
      <c r="E30" s="26" t="s">
        <v>17</v>
      </c>
      <c r="F30" s="26" t="s">
        <v>17</v>
      </c>
      <c r="G30" s="26" t="s">
        <v>16</v>
      </c>
      <c r="H30" s="27" t="s">
        <v>17</v>
      </c>
      <c r="I30" s="26" t="s">
        <v>17</v>
      </c>
      <c r="J30" s="26" t="s">
        <v>17</v>
      </c>
    </row>
    <row r="31">
      <c r="A31" s="19">
        <v>24.0</v>
      </c>
      <c r="B31" s="20" t="s">
        <v>16</v>
      </c>
      <c r="C31" s="21" t="s">
        <v>16</v>
      </c>
      <c r="D31" s="25" t="s">
        <v>16</v>
      </c>
      <c r="E31" s="26" t="s">
        <v>16</v>
      </c>
      <c r="F31" s="26" t="s">
        <v>16</v>
      </c>
      <c r="G31" s="26" t="s">
        <v>16</v>
      </c>
      <c r="H31" s="27" t="s">
        <v>16</v>
      </c>
      <c r="I31" s="26" t="s">
        <v>16</v>
      </c>
      <c r="J31" s="26" t="s">
        <v>16</v>
      </c>
    </row>
    <row r="32">
      <c r="A32" s="19">
        <v>25.0</v>
      </c>
      <c r="B32" s="20" t="s">
        <v>17</v>
      </c>
      <c r="C32" s="21" t="s">
        <v>17</v>
      </c>
      <c r="D32" s="25" t="s">
        <v>17</v>
      </c>
      <c r="E32" s="26" t="s">
        <v>17</v>
      </c>
      <c r="F32" s="26" t="s">
        <v>17</v>
      </c>
      <c r="G32" s="26" t="s">
        <v>16</v>
      </c>
      <c r="H32" s="27" t="s">
        <v>17</v>
      </c>
      <c r="I32" s="26" t="s">
        <v>17</v>
      </c>
      <c r="J32" s="26" t="s">
        <v>17</v>
      </c>
    </row>
    <row r="33">
      <c r="A33" s="19">
        <v>26.0</v>
      </c>
      <c r="B33" s="20" t="s">
        <v>17</v>
      </c>
      <c r="C33" s="21" t="s">
        <v>17</v>
      </c>
      <c r="D33" s="25" t="s">
        <v>17</v>
      </c>
      <c r="E33" s="26" t="s">
        <v>17</v>
      </c>
      <c r="F33" s="26" t="s">
        <v>17</v>
      </c>
      <c r="G33" s="26" t="s">
        <v>17</v>
      </c>
      <c r="H33" s="27" t="s">
        <v>17</v>
      </c>
      <c r="I33" s="26" t="s">
        <v>17</v>
      </c>
      <c r="J33" s="26" t="s">
        <v>17</v>
      </c>
    </row>
    <row r="34">
      <c r="A34" s="19">
        <v>27.0</v>
      </c>
      <c r="B34" s="20" t="s">
        <v>16</v>
      </c>
      <c r="C34" s="21" t="s">
        <v>16</v>
      </c>
      <c r="D34" s="25" t="s">
        <v>16</v>
      </c>
      <c r="E34" s="26" t="s">
        <v>16</v>
      </c>
      <c r="F34" s="26" t="s">
        <v>16</v>
      </c>
      <c r="G34" s="26" t="s">
        <v>16</v>
      </c>
      <c r="H34" s="27" t="s">
        <v>16</v>
      </c>
      <c r="I34" s="26" t="s">
        <v>16</v>
      </c>
      <c r="J34" s="26" t="s">
        <v>17</v>
      </c>
    </row>
    <row r="35">
      <c r="A35" s="19">
        <v>28.0</v>
      </c>
      <c r="B35" s="20" t="s">
        <v>17</v>
      </c>
      <c r="C35" s="21" t="s">
        <v>17</v>
      </c>
      <c r="D35" s="25" t="s">
        <v>17</v>
      </c>
      <c r="E35" s="26" t="s">
        <v>17</v>
      </c>
      <c r="F35" s="26" t="s">
        <v>17</v>
      </c>
      <c r="G35" s="26" t="s">
        <v>17</v>
      </c>
      <c r="H35" s="27" t="s">
        <v>17</v>
      </c>
      <c r="I35" s="26" t="s">
        <v>17</v>
      </c>
      <c r="J35" s="26" t="s">
        <v>16</v>
      </c>
    </row>
    <row r="36">
      <c r="A36" s="19">
        <v>29.0</v>
      </c>
      <c r="B36" s="20" t="s">
        <v>16</v>
      </c>
      <c r="C36" s="21" t="s">
        <v>16</v>
      </c>
      <c r="D36" s="25" t="s">
        <v>16</v>
      </c>
      <c r="E36" s="26" t="s">
        <v>16</v>
      </c>
      <c r="F36" s="26" t="s">
        <v>16</v>
      </c>
      <c r="G36" s="26" t="s">
        <v>16</v>
      </c>
      <c r="H36" s="27" t="s">
        <v>16</v>
      </c>
      <c r="I36" s="26" t="s">
        <v>16</v>
      </c>
      <c r="J36" s="26" t="s">
        <v>17</v>
      </c>
    </row>
    <row r="37">
      <c r="A37" s="19">
        <v>30.0</v>
      </c>
      <c r="B37" s="20" t="s">
        <v>17</v>
      </c>
      <c r="C37" s="21" t="s">
        <v>17</v>
      </c>
      <c r="D37" s="25" t="s">
        <v>17</v>
      </c>
      <c r="E37" s="26" t="s">
        <v>17</v>
      </c>
      <c r="F37" s="26" t="s">
        <v>17</v>
      </c>
      <c r="G37" s="26" t="s">
        <v>17</v>
      </c>
      <c r="H37" s="27" t="s">
        <v>17</v>
      </c>
      <c r="I37" s="26" t="s">
        <v>17</v>
      </c>
      <c r="J37" s="26" t="s">
        <v>17</v>
      </c>
    </row>
    <row r="38">
      <c r="A38" s="19">
        <v>31.0</v>
      </c>
      <c r="B38" s="20" t="s">
        <v>17</v>
      </c>
      <c r="C38" s="21" t="s">
        <v>17</v>
      </c>
      <c r="D38" s="25" t="s">
        <v>17</v>
      </c>
      <c r="E38" s="26" t="s">
        <v>17</v>
      </c>
      <c r="F38" s="26" t="s">
        <v>17</v>
      </c>
      <c r="G38" s="26" t="s">
        <v>17</v>
      </c>
      <c r="H38" s="27" t="s">
        <v>17</v>
      </c>
      <c r="I38" s="26" t="s">
        <v>17</v>
      </c>
      <c r="J38" s="26" t="s">
        <v>17</v>
      </c>
    </row>
    <row r="39">
      <c r="A39" s="19">
        <v>32.0</v>
      </c>
      <c r="B39" s="20" t="s">
        <v>16</v>
      </c>
      <c r="C39" s="21" t="s">
        <v>16</v>
      </c>
      <c r="D39" s="25" t="s">
        <v>16</v>
      </c>
      <c r="E39" s="26" t="s">
        <v>16</v>
      </c>
      <c r="F39" s="26" t="s">
        <v>16</v>
      </c>
      <c r="G39" s="26" t="s">
        <v>17</v>
      </c>
      <c r="H39" s="27" t="s">
        <v>16</v>
      </c>
      <c r="I39" s="26" t="s">
        <v>17</v>
      </c>
      <c r="J39" s="26" t="s">
        <v>17</v>
      </c>
    </row>
    <row r="40">
      <c r="A40" s="19">
        <v>33.0</v>
      </c>
      <c r="B40" s="20" t="s">
        <v>16</v>
      </c>
      <c r="C40" s="21" t="s">
        <v>16</v>
      </c>
      <c r="D40" s="25" t="s">
        <v>16</v>
      </c>
      <c r="E40" s="26" t="s">
        <v>16</v>
      </c>
      <c r="F40" s="26" t="s">
        <v>16</v>
      </c>
      <c r="G40" s="26" t="s">
        <v>17</v>
      </c>
      <c r="H40" s="27" t="s">
        <v>16</v>
      </c>
      <c r="I40" s="26" t="s">
        <v>16</v>
      </c>
      <c r="J40" s="26" t="s">
        <v>17</v>
      </c>
    </row>
    <row r="41">
      <c r="A41" s="19">
        <v>34.0</v>
      </c>
      <c r="B41" s="20" t="s">
        <v>16</v>
      </c>
      <c r="C41" s="21" t="s">
        <v>16</v>
      </c>
      <c r="D41" s="25" t="s">
        <v>16</v>
      </c>
      <c r="E41" s="26" t="s">
        <v>16</v>
      </c>
      <c r="F41" s="26" t="s">
        <v>16</v>
      </c>
      <c r="G41" s="26" t="s">
        <v>16</v>
      </c>
      <c r="H41" s="27" t="s">
        <v>16</v>
      </c>
      <c r="I41" s="26" t="s">
        <v>16</v>
      </c>
      <c r="J41" s="26" t="s">
        <v>16</v>
      </c>
    </row>
    <row r="42">
      <c r="A42" s="19">
        <v>35.0</v>
      </c>
      <c r="B42" s="20" t="s">
        <v>17</v>
      </c>
      <c r="C42" s="21" t="s">
        <v>17</v>
      </c>
      <c r="D42" s="25" t="s">
        <v>17</v>
      </c>
      <c r="E42" s="26" t="s">
        <v>17</v>
      </c>
      <c r="F42" s="26" t="s">
        <v>17</v>
      </c>
      <c r="G42" s="26" t="s">
        <v>16</v>
      </c>
      <c r="H42" s="27" t="s">
        <v>17</v>
      </c>
      <c r="I42" s="26" t="s">
        <v>17</v>
      </c>
      <c r="J42" s="26" t="s">
        <v>17</v>
      </c>
    </row>
    <row r="43">
      <c r="A43" s="19">
        <v>36.0</v>
      </c>
      <c r="B43" s="20" t="s">
        <v>16</v>
      </c>
      <c r="C43" s="21" t="s">
        <v>16</v>
      </c>
      <c r="D43" s="25" t="s">
        <v>16</v>
      </c>
      <c r="E43" s="26" t="s">
        <v>16</v>
      </c>
      <c r="F43" s="26" t="s">
        <v>16</v>
      </c>
      <c r="G43" s="26" t="s">
        <v>17</v>
      </c>
      <c r="H43" s="27" t="s">
        <v>16</v>
      </c>
      <c r="I43" s="26" t="s">
        <v>16</v>
      </c>
      <c r="J43" s="26" t="s">
        <v>17</v>
      </c>
    </row>
    <row r="44">
      <c r="A44" s="19">
        <v>37.0</v>
      </c>
      <c r="B44" s="20" t="s">
        <v>16</v>
      </c>
      <c r="C44" s="21" t="s">
        <v>16</v>
      </c>
      <c r="D44" s="25" t="s">
        <v>16</v>
      </c>
      <c r="E44" s="26" t="s">
        <v>16</v>
      </c>
      <c r="F44" s="26" t="s">
        <v>16</v>
      </c>
      <c r="G44" s="26" t="s">
        <v>16</v>
      </c>
      <c r="H44" s="27" t="s">
        <v>16</v>
      </c>
      <c r="I44" s="26" t="s">
        <v>16</v>
      </c>
      <c r="J44" s="26" t="s">
        <v>17</v>
      </c>
    </row>
    <row r="45">
      <c r="A45" s="19">
        <v>38.0</v>
      </c>
      <c r="B45" s="20" t="s">
        <v>16</v>
      </c>
      <c r="C45" s="21" t="s">
        <v>16</v>
      </c>
      <c r="D45" s="25" t="s">
        <v>16</v>
      </c>
      <c r="E45" s="26" t="s">
        <v>16</v>
      </c>
      <c r="F45" s="26" t="s">
        <v>16</v>
      </c>
      <c r="G45" s="26" t="s">
        <v>16</v>
      </c>
      <c r="H45" s="27" t="s">
        <v>16</v>
      </c>
      <c r="I45" s="26" t="s">
        <v>16</v>
      </c>
      <c r="J45" s="26" t="s">
        <v>16</v>
      </c>
    </row>
    <row r="46">
      <c r="A46" s="19">
        <v>39.0</v>
      </c>
      <c r="B46" s="20" t="s">
        <v>17</v>
      </c>
      <c r="C46" s="21" t="s">
        <v>17</v>
      </c>
      <c r="D46" s="25" t="s">
        <v>17</v>
      </c>
      <c r="E46" s="26" t="s">
        <v>17</v>
      </c>
      <c r="F46" s="26" t="s">
        <v>17</v>
      </c>
      <c r="G46" s="26" t="s">
        <v>17</v>
      </c>
      <c r="H46" s="27" t="s">
        <v>17</v>
      </c>
      <c r="I46" s="26" t="s">
        <v>16</v>
      </c>
      <c r="J46" s="26" t="s">
        <v>17</v>
      </c>
    </row>
    <row r="47">
      <c r="A47" s="19">
        <v>40.0</v>
      </c>
      <c r="B47" s="20" t="s">
        <v>17</v>
      </c>
      <c r="C47" s="21" t="s">
        <v>17</v>
      </c>
      <c r="D47" s="25" t="s">
        <v>16</v>
      </c>
      <c r="E47" s="26" t="s">
        <v>17</v>
      </c>
      <c r="F47" s="26" t="s">
        <v>16</v>
      </c>
      <c r="G47" s="26" t="s">
        <v>17</v>
      </c>
      <c r="H47" s="27" t="s">
        <v>17</v>
      </c>
      <c r="I47" s="26" t="s">
        <v>17</v>
      </c>
      <c r="J47" s="26" t="s">
        <v>17</v>
      </c>
    </row>
    <row r="48">
      <c r="A48" s="19">
        <v>41.0</v>
      </c>
      <c r="B48" s="20" t="s">
        <v>16</v>
      </c>
      <c r="C48" s="21" t="s">
        <v>16</v>
      </c>
      <c r="D48" s="25" t="s">
        <v>16</v>
      </c>
      <c r="E48" s="26" t="s">
        <v>16</v>
      </c>
      <c r="F48" s="26" t="s">
        <v>16</v>
      </c>
      <c r="G48" s="26" t="s">
        <v>16</v>
      </c>
      <c r="H48" s="27" t="s">
        <v>16</v>
      </c>
      <c r="I48" s="26" t="s">
        <v>16</v>
      </c>
      <c r="J48" s="26" t="s">
        <v>16</v>
      </c>
    </row>
    <row r="49">
      <c r="A49" s="19">
        <v>42.0</v>
      </c>
      <c r="B49" s="20" t="s">
        <v>17</v>
      </c>
      <c r="C49" s="21" t="s">
        <v>17</v>
      </c>
      <c r="D49" s="25" t="s">
        <v>17</v>
      </c>
      <c r="E49" s="26" t="s">
        <v>17</v>
      </c>
      <c r="F49" s="26" t="s">
        <v>17</v>
      </c>
      <c r="G49" s="26" t="s">
        <v>17</v>
      </c>
      <c r="H49" s="27" t="s">
        <v>17</v>
      </c>
      <c r="I49" s="26" t="s">
        <v>17</v>
      </c>
      <c r="J49" s="26" t="s">
        <v>17</v>
      </c>
    </row>
    <row r="50">
      <c r="A50" s="19">
        <v>43.0</v>
      </c>
      <c r="B50" s="20" t="s">
        <v>16</v>
      </c>
      <c r="C50" s="21" t="s">
        <v>16</v>
      </c>
      <c r="D50" s="25" t="s">
        <v>16</v>
      </c>
      <c r="E50" s="26" t="s">
        <v>16</v>
      </c>
      <c r="F50" s="26" t="s">
        <v>16</v>
      </c>
      <c r="G50" s="26" t="s">
        <v>16</v>
      </c>
      <c r="H50" s="27" t="s">
        <v>16</v>
      </c>
      <c r="I50" s="26" t="s">
        <v>16</v>
      </c>
      <c r="J50" s="26" t="s">
        <v>17</v>
      </c>
    </row>
    <row r="51">
      <c r="A51" s="19">
        <v>44.0</v>
      </c>
      <c r="B51" s="20" t="s">
        <v>17</v>
      </c>
      <c r="C51" s="21" t="s">
        <v>17</v>
      </c>
      <c r="D51" s="25" t="s">
        <v>17</v>
      </c>
      <c r="E51" s="26" t="s">
        <v>17</v>
      </c>
      <c r="F51" s="26" t="s">
        <v>17</v>
      </c>
      <c r="G51" s="26" t="s">
        <v>16</v>
      </c>
      <c r="H51" s="27" t="s">
        <v>17</v>
      </c>
      <c r="I51" s="26" t="s">
        <v>17</v>
      </c>
      <c r="J51" s="26" t="s">
        <v>17</v>
      </c>
    </row>
    <row r="52">
      <c r="A52" s="19">
        <v>45.0</v>
      </c>
      <c r="B52" s="20" t="s">
        <v>16</v>
      </c>
      <c r="C52" s="21" t="s">
        <v>16</v>
      </c>
      <c r="D52" s="25" t="s">
        <v>16</v>
      </c>
      <c r="E52" s="26" t="s">
        <v>16</v>
      </c>
      <c r="F52" s="26" t="s">
        <v>16</v>
      </c>
      <c r="G52" s="26" t="s">
        <v>16</v>
      </c>
      <c r="H52" s="27" t="s">
        <v>16</v>
      </c>
      <c r="I52" s="26" t="s">
        <v>16</v>
      </c>
      <c r="J52" s="26" t="s">
        <v>16</v>
      </c>
    </row>
    <row r="53">
      <c r="A53" s="19">
        <v>46.0</v>
      </c>
      <c r="B53" s="28" t="s">
        <v>16</v>
      </c>
      <c r="C53" s="21" t="s">
        <v>16</v>
      </c>
      <c r="D53" s="29" t="s">
        <v>16</v>
      </c>
      <c r="E53" s="30" t="s">
        <v>16</v>
      </c>
      <c r="F53" s="30" t="s">
        <v>16</v>
      </c>
      <c r="G53" s="30" t="s">
        <v>16</v>
      </c>
      <c r="H53" s="31" t="s">
        <v>16</v>
      </c>
      <c r="I53" s="30" t="s">
        <v>16</v>
      </c>
      <c r="J53" s="30" t="s">
        <v>16</v>
      </c>
    </row>
    <row r="54">
      <c r="A54" s="32"/>
      <c r="B54" s="32"/>
      <c r="C54" s="32"/>
      <c r="D54" s="32"/>
    </row>
    <row r="55">
      <c r="A55" s="32"/>
      <c r="B55" s="32"/>
      <c r="C55" s="32"/>
      <c r="D55" s="32"/>
    </row>
    <row r="56">
      <c r="A56" s="32"/>
      <c r="B56" s="32"/>
      <c r="C56" s="32"/>
      <c r="D56" s="32"/>
    </row>
    <row r="57">
      <c r="A57" s="32"/>
      <c r="B57" s="32"/>
      <c r="C57" s="32"/>
      <c r="D57" s="32"/>
    </row>
    <row r="58">
      <c r="A58" s="32"/>
      <c r="B58" s="32"/>
      <c r="C58" s="32"/>
      <c r="D58" s="32"/>
    </row>
    <row r="59">
      <c r="A59" s="32"/>
      <c r="B59" s="32"/>
      <c r="C59" s="32"/>
      <c r="D59" s="32"/>
    </row>
    <row r="60">
      <c r="A60" s="32"/>
      <c r="B60" s="32"/>
      <c r="C60" s="32"/>
      <c r="D60" s="32"/>
    </row>
    <row r="61">
      <c r="A61" s="32"/>
      <c r="B61" s="32"/>
      <c r="C61" s="32"/>
      <c r="D61" s="32"/>
    </row>
    <row r="62">
      <c r="A62" s="32"/>
      <c r="B62" s="32"/>
      <c r="C62" s="32"/>
      <c r="D62" s="32"/>
    </row>
    <row r="63">
      <c r="A63" s="32"/>
      <c r="B63" s="32"/>
      <c r="C63" s="32"/>
      <c r="D63" s="32"/>
    </row>
    <row r="64">
      <c r="A64" s="32"/>
      <c r="B64" s="32"/>
      <c r="C64" s="32"/>
      <c r="D64" s="32"/>
    </row>
    <row r="65">
      <c r="A65" s="32"/>
      <c r="B65" s="32"/>
      <c r="C65" s="32"/>
      <c r="D65" s="32"/>
    </row>
    <row r="66">
      <c r="A66" s="32"/>
      <c r="B66" s="32"/>
      <c r="C66" s="32"/>
      <c r="D66" s="32"/>
    </row>
    <row r="67">
      <c r="A67" s="32"/>
      <c r="B67" s="32"/>
      <c r="C67" s="32"/>
      <c r="D67" s="32"/>
    </row>
    <row r="68">
      <c r="A68" s="32"/>
      <c r="B68" s="32"/>
      <c r="C68" s="32"/>
      <c r="D68" s="32"/>
    </row>
    <row r="69">
      <c r="A69" s="32"/>
      <c r="B69" s="32"/>
      <c r="C69" s="32"/>
      <c r="D69" s="32"/>
    </row>
    <row r="70">
      <c r="A70" s="32"/>
      <c r="B70" s="32"/>
      <c r="C70" s="32"/>
      <c r="D70" s="32"/>
    </row>
    <row r="71">
      <c r="A71" s="32"/>
      <c r="B71" s="32"/>
      <c r="C71" s="32"/>
      <c r="D71" s="32"/>
    </row>
    <row r="72">
      <c r="A72" s="32"/>
      <c r="B72" s="32"/>
      <c r="C72" s="32"/>
      <c r="D72" s="32"/>
    </row>
    <row r="73">
      <c r="A73" s="32"/>
      <c r="B73" s="32"/>
      <c r="C73" s="32"/>
      <c r="D73" s="32"/>
    </row>
    <row r="74">
      <c r="A74" s="32"/>
      <c r="B74" s="32"/>
      <c r="C74" s="32"/>
      <c r="D74" s="32"/>
    </row>
    <row r="75">
      <c r="A75" s="32"/>
      <c r="B75" s="32"/>
      <c r="C75" s="32"/>
      <c r="D75" s="32"/>
    </row>
    <row r="76">
      <c r="A76" s="32"/>
      <c r="B76" s="32"/>
      <c r="C76" s="32"/>
      <c r="D76" s="32"/>
    </row>
    <row r="77">
      <c r="A77" s="32"/>
      <c r="B77" s="32"/>
      <c r="C77" s="32"/>
      <c r="D77" s="32"/>
    </row>
    <row r="78">
      <c r="A78" s="32"/>
      <c r="B78" s="32"/>
      <c r="C78" s="32"/>
      <c r="D78" s="32"/>
    </row>
    <row r="79">
      <c r="A79" s="32"/>
      <c r="B79" s="32"/>
      <c r="C79" s="32"/>
      <c r="D79" s="32"/>
    </row>
    <row r="80">
      <c r="A80" s="32"/>
      <c r="B80" s="32"/>
      <c r="C80" s="32"/>
      <c r="D80" s="32"/>
    </row>
    <row r="81">
      <c r="A81" s="32"/>
      <c r="B81" s="32"/>
      <c r="C81" s="32"/>
      <c r="D81" s="32"/>
    </row>
    <row r="82">
      <c r="A82" s="32"/>
      <c r="B82" s="32"/>
      <c r="C82" s="32"/>
      <c r="D82" s="32"/>
    </row>
    <row r="83">
      <c r="A83" s="32"/>
      <c r="B83" s="32"/>
      <c r="C83" s="32"/>
      <c r="D83" s="32"/>
    </row>
    <row r="84">
      <c r="A84" s="32"/>
      <c r="B84" s="32"/>
      <c r="C84" s="32"/>
      <c r="D84" s="32"/>
    </row>
    <row r="85">
      <c r="A85" s="32"/>
      <c r="B85" s="32"/>
      <c r="C85" s="32"/>
      <c r="D85" s="32"/>
    </row>
    <row r="86">
      <c r="A86" s="32"/>
      <c r="B86" s="32"/>
      <c r="C86" s="32"/>
      <c r="D86" s="32"/>
    </row>
    <row r="87">
      <c r="A87" s="32"/>
      <c r="B87" s="32"/>
      <c r="C87" s="32"/>
      <c r="D87" s="32"/>
    </row>
    <row r="88">
      <c r="A88" s="32"/>
      <c r="B88" s="32"/>
      <c r="C88" s="32"/>
      <c r="D88" s="32"/>
    </row>
    <row r="89">
      <c r="A89" s="32"/>
      <c r="B89" s="32"/>
      <c r="C89" s="32"/>
      <c r="D89" s="32"/>
    </row>
    <row r="90">
      <c r="A90" s="32"/>
      <c r="B90" s="32"/>
      <c r="C90" s="32"/>
      <c r="D90" s="32"/>
    </row>
    <row r="91">
      <c r="A91" s="32"/>
      <c r="B91" s="32"/>
      <c r="C91" s="32"/>
      <c r="D91" s="32"/>
    </row>
    <row r="92">
      <c r="A92" s="32"/>
      <c r="B92" s="32"/>
      <c r="C92" s="32"/>
      <c r="D92" s="32"/>
    </row>
    <row r="93">
      <c r="A93" s="32"/>
      <c r="B93" s="32"/>
      <c r="C93" s="32"/>
      <c r="D93" s="32"/>
    </row>
    <row r="94">
      <c r="A94" s="32"/>
      <c r="B94" s="32"/>
      <c r="C94" s="32"/>
      <c r="D94" s="32"/>
    </row>
    <row r="95">
      <c r="A95" s="32"/>
      <c r="B95" s="32"/>
      <c r="C95" s="32"/>
      <c r="D95" s="32"/>
    </row>
    <row r="96">
      <c r="A96" s="32"/>
      <c r="B96" s="32"/>
      <c r="C96" s="32"/>
      <c r="D96" s="32"/>
    </row>
    <row r="97">
      <c r="A97" s="32"/>
      <c r="B97" s="32"/>
      <c r="C97" s="32"/>
      <c r="D97" s="32"/>
    </row>
    <row r="98">
      <c r="A98" s="32"/>
      <c r="B98" s="32"/>
      <c r="C98" s="32"/>
      <c r="D98" s="32"/>
    </row>
    <row r="99">
      <c r="A99" s="32"/>
      <c r="B99" s="32"/>
      <c r="C99" s="32"/>
      <c r="D99" s="32"/>
    </row>
    <row r="100">
      <c r="A100" s="32"/>
      <c r="B100" s="32"/>
      <c r="C100" s="32"/>
      <c r="D100" s="32"/>
    </row>
    <row r="101">
      <c r="A101" s="32"/>
      <c r="B101" s="32"/>
      <c r="C101" s="32"/>
      <c r="D101" s="32"/>
    </row>
    <row r="102">
      <c r="A102" s="32"/>
      <c r="B102" s="32"/>
      <c r="C102" s="32"/>
      <c r="D102" s="32"/>
    </row>
    <row r="103">
      <c r="A103" s="32"/>
      <c r="B103" s="32"/>
      <c r="C103" s="32"/>
      <c r="D103" s="32"/>
    </row>
    <row r="104">
      <c r="A104" s="32"/>
      <c r="B104" s="32"/>
      <c r="C104" s="32"/>
      <c r="D104" s="32"/>
    </row>
    <row r="105">
      <c r="A105" s="32"/>
      <c r="B105" s="32"/>
      <c r="C105" s="32"/>
      <c r="D105" s="32"/>
    </row>
    <row r="106">
      <c r="A106" s="32"/>
      <c r="B106" s="32"/>
      <c r="C106" s="32"/>
      <c r="D106" s="32"/>
    </row>
    <row r="107">
      <c r="A107" s="32"/>
      <c r="B107" s="32"/>
      <c r="C107" s="32"/>
      <c r="D107" s="32"/>
    </row>
    <row r="108">
      <c r="A108" s="32"/>
      <c r="B108" s="32"/>
      <c r="C108" s="32"/>
      <c r="D108" s="32"/>
    </row>
    <row r="109">
      <c r="A109" s="32"/>
      <c r="B109" s="32"/>
      <c r="C109" s="32"/>
      <c r="D109" s="32"/>
    </row>
    <row r="110">
      <c r="A110" s="32"/>
      <c r="B110" s="32"/>
      <c r="C110" s="32"/>
      <c r="D110" s="32"/>
    </row>
    <row r="111">
      <c r="A111" s="32"/>
      <c r="B111" s="32"/>
      <c r="C111" s="32"/>
      <c r="D111" s="32"/>
    </row>
    <row r="112">
      <c r="A112" s="32"/>
      <c r="B112" s="32"/>
      <c r="C112" s="32"/>
      <c r="D112" s="32"/>
    </row>
    <row r="113">
      <c r="A113" s="32"/>
      <c r="B113" s="32"/>
      <c r="C113" s="32"/>
      <c r="D113" s="32"/>
    </row>
    <row r="114">
      <c r="A114" s="32"/>
      <c r="B114" s="32"/>
      <c r="C114" s="32"/>
      <c r="D114" s="32"/>
    </row>
    <row r="115">
      <c r="A115" s="32"/>
      <c r="B115" s="32"/>
      <c r="C115" s="32"/>
      <c r="D115" s="32"/>
    </row>
    <row r="116">
      <c r="A116" s="32"/>
      <c r="B116" s="32"/>
      <c r="C116" s="32"/>
      <c r="D116" s="32"/>
    </row>
    <row r="117">
      <c r="A117" s="32"/>
      <c r="B117" s="32"/>
      <c r="C117" s="32"/>
      <c r="D117" s="32"/>
    </row>
    <row r="118">
      <c r="A118" s="32"/>
      <c r="B118" s="32"/>
      <c r="C118" s="32"/>
      <c r="D118" s="32"/>
    </row>
    <row r="119">
      <c r="A119" s="32"/>
      <c r="B119" s="32"/>
      <c r="C119" s="32"/>
      <c r="D119" s="32"/>
    </row>
    <row r="120">
      <c r="A120" s="32"/>
      <c r="B120" s="32"/>
      <c r="C120" s="32"/>
      <c r="D120" s="32"/>
    </row>
    <row r="121">
      <c r="A121" s="32"/>
      <c r="B121" s="32"/>
      <c r="C121" s="32"/>
      <c r="D121" s="32"/>
    </row>
    <row r="122">
      <c r="A122" s="32"/>
      <c r="B122" s="32"/>
      <c r="C122" s="32"/>
      <c r="D122" s="32"/>
    </row>
    <row r="123">
      <c r="A123" s="32"/>
      <c r="B123" s="32"/>
      <c r="C123" s="32"/>
      <c r="D123" s="32"/>
    </row>
    <row r="124">
      <c r="A124" s="32"/>
      <c r="B124" s="32"/>
      <c r="C124" s="32"/>
      <c r="D124" s="32"/>
    </row>
    <row r="125">
      <c r="A125" s="32"/>
      <c r="B125" s="32"/>
      <c r="C125" s="32"/>
      <c r="D125" s="32"/>
    </row>
    <row r="126">
      <c r="A126" s="32"/>
      <c r="B126" s="32"/>
      <c r="C126" s="32"/>
      <c r="D126" s="32"/>
    </row>
    <row r="127">
      <c r="A127" s="32"/>
      <c r="B127" s="32"/>
      <c r="C127" s="32"/>
      <c r="D127" s="32"/>
    </row>
    <row r="128">
      <c r="A128" s="32"/>
      <c r="B128" s="32"/>
      <c r="C128" s="32"/>
      <c r="D128" s="32"/>
    </row>
    <row r="129">
      <c r="A129" s="32"/>
      <c r="B129" s="32"/>
      <c r="C129" s="32"/>
      <c r="D129" s="32"/>
    </row>
    <row r="130">
      <c r="A130" s="32"/>
      <c r="B130" s="32"/>
      <c r="C130" s="32"/>
      <c r="D130" s="32"/>
    </row>
    <row r="131">
      <c r="A131" s="32"/>
      <c r="B131" s="32"/>
      <c r="C131" s="32"/>
      <c r="D131" s="32"/>
    </row>
    <row r="132">
      <c r="A132" s="32"/>
      <c r="B132" s="32"/>
      <c r="C132" s="32"/>
      <c r="D132" s="32"/>
    </row>
    <row r="133">
      <c r="A133" s="32"/>
      <c r="B133" s="32"/>
      <c r="C133" s="32"/>
      <c r="D133" s="32"/>
    </row>
    <row r="134">
      <c r="A134" s="32"/>
      <c r="B134" s="32"/>
      <c r="C134" s="32"/>
      <c r="D134" s="32"/>
    </row>
    <row r="135">
      <c r="A135" s="32"/>
      <c r="B135" s="32"/>
      <c r="C135" s="32"/>
      <c r="D135" s="32"/>
    </row>
    <row r="136">
      <c r="A136" s="32"/>
      <c r="B136" s="32"/>
      <c r="C136" s="32"/>
      <c r="D136" s="32"/>
    </row>
    <row r="137">
      <c r="A137" s="32"/>
      <c r="B137" s="32"/>
      <c r="C137" s="32"/>
      <c r="D137" s="32"/>
    </row>
    <row r="138">
      <c r="A138" s="32"/>
      <c r="B138" s="32"/>
      <c r="C138" s="32"/>
      <c r="D138" s="32"/>
    </row>
    <row r="139">
      <c r="A139" s="32"/>
      <c r="B139" s="32"/>
      <c r="C139" s="32"/>
      <c r="D139" s="32"/>
    </row>
    <row r="140">
      <c r="A140" s="32"/>
      <c r="B140" s="32"/>
      <c r="C140" s="32"/>
      <c r="D140" s="32"/>
    </row>
    <row r="141">
      <c r="A141" s="32"/>
      <c r="B141" s="32"/>
      <c r="C141" s="32"/>
      <c r="D141" s="32"/>
    </row>
    <row r="142">
      <c r="A142" s="32"/>
      <c r="B142" s="32"/>
      <c r="C142" s="32"/>
      <c r="D142" s="32"/>
    </row>
    <row r="143">
      <c r="A143" s="32"/>
      <c r="B143" s="32"/>
      <c r="C143" s="32"/>
      <c r="D143" s="32"/>
    </row>
    <row r="144">
      <c r="A144" s="32"/>
      <c r="B144" s="32"/>
      <c r="C144" s="32"/>
      <c r="D144" s="32"/>
    </row>
    <row r="145">
      <c r="A145" s="32"/>
      <c r="B145" s="32"/>
      <c r="C145" s="32"/>
      <c r="D145" s="32"/>
    </row>
    <row r="146">
      <c r="A146" s="32"/>
      <c r="B146" s="32"/>
      <c r="C146" s="32"/>
      <c r="D146" s="32"/>
    </row>
    <row r="147">
      <c r="A147" s="32"/>
      <c r="B147" s="32"/>
      <c r="C147" s="32"/>
      <c r="D147" s="32"/>
    </row>
    <row r="148">
      <c r="A148" s="32"/>
      <c r="B148" s="32"/>
      <c r="C148" s="32"/>
      <c r="D148" s="32"/>
    </row>
    <row r="149">
      <c r="A149" s="32"/>
      <c r="B149" s="32"/>
      <c r="C149" s="32"/>
      <c r="D149" s="32"/>
    </row>
    <row r="150">
      <c r="A150" s="32"/>
      <c r="B150" s="32"/>
      <c r="C150" s="32"/>
      <c r="D150" s="32"/>
    </row>
    <row r="151">
      <c r="A151" s="32"/>
      <c r="B151" s="32"/>
      <c r="C151" s="32"/>
      <c r="D151" s="32"/>
    </row>
    <row r="152">
      <c r="A152" s="32"/>
      <c r="B152" s="32"/>
      <c r="C152" s="32"/>
      <c r="D152" s="32"/>
    </row>
    <row r="153">
      <c r="A153" s="32"/>
      <c r="B153" s="32"/>
      <c r="C153" s="32"/>
      <c r="D153" s="32"/>
    </row>
    <row r="154">
      <c r="A154" s="32"/>
      <c r="B154" s="32"/>
      <c r="C154" s="32"/>
      <c r="D154" s="32"/>
    </row>
    <row r="155">
      <c r="A155" s="32"/>
      <c r="B155" s="32"/>
      <c r="C155" s="32"/>
      <c r="D155" s="32"/>
    </row>
    <row r="156">
      <c r="A156" s="32"/>
      <c r="B156" s="32"/>
      <c r="C156" s="32"/>
      <c r="D156" s="32"/>
    </row>
    <row r="157">
      <c r="A157" s="32"/>
      <c r="B157" s="32"/>
      <c r="C157" s="32"/>
      <c r="D157" s="32"/>
    </row>
    <row r="158">
      <c r="A158" s="32"/>
      <c r="B158" s="32"/>
      <c r="C158" s="32"/>
      <c r="D158" s="32"/>
    </row>
    <row r="159">
      <c r="A159" s="32"/>
      <c r="B159" s="32"/>
      <c r="C159" s="32"/>
      <c r="D159" s="32"/>
    </row>
    <row r="160">
      <c r="A160" s="32"/>
      <c r="B160" s="32"/>
      <c r="C160" s="32"/>
      <c r="D160" s="32"/>
    </row>
    <row r="161">
      <c r="A161" s="32"/>
      <c r="B161" s="32"/>
      <c r="C161" s="32"/>
      <c r="D161" s="32"/>
    </row>
    <row r="162">
      <c r="A162" s="32"/>
      <c r="B162" s="32"/>
      <c r="C162" s="32"/>
      <c r="D162" s="32"/>
    </row>
    <row r="163">
      <c r="A163" s="32"/>
      <c r="B163" s="32"/>
      <c r="C163" s="32"/>
      <c r="D163" s="32"/>
    </row>
    <row r="164">
      <c r="A164" s="32"/>
      <c r="B164" s="32"/>
      <c r="C164" s="32"/>
      <c r="D164" s="32"/>
    </row>
    <row r="165">
      <c r="A165" s="32"/>
      <c r="B165" s="32"/>
      <c r="C165" s="32"/>
      <c r="D165" s="32"/>
    </row>
    <row r="166">
      <c r="A166" s="32"/>
      <c r="B166" s="32"/>
      <c r="C166" s="32"/>
      <c r="D166" s="32"/>
    </row>
    <row r="167">
      <c r="A167" s="32"/>
      <c r="B167" s="32"/>
      <c r="C167" s="32"/>
      <c r="D167" s="32"/>
    </row>
    <row r="168">
      <c r="A168" s="32"/>
      <c r="B168" s="32"/>
      <c r="C168" s="32"/>
      <c r="D168" s="32"/>
    </row>
    <row r="169">
      <c r="A169" s="32"/>
      <c r="B169" s="32"/>
      <c r="C169" s="32"/>
      <c r="D169" s="32"/>
    </row>
    <row r="170">
      <c r="A170" s="32"/>
      <c r="B170" s="32"/>
      <c r="C170" s="32"/>
      <c r="D170" s="32"/>
    </row>
    <row r="171">
      <c r="A171" s="32"/>
      <c r="B171" s="32"/>
      <c r="C171" s="32"/>
      <c r="D171" s="32"/>
    </row>
    <row r="172">
      <c r="A172" s="32"/>
      <c r="B172" s="32"/>
      <c r="C172" s="32"/>
      <c r="D172" s="32"/>
    </row>
    <row r="173">
      <c r="A173" s="32"/>
      <c r="B173" s="32"/>
      <c r="C173" s="32"/>
      <c r="D173" s="32"/>
    </row>
    <row r="174">
      <c r="A174" s="32"/>
      <c r="B174" s="32"/>
      <c r="C174" s="32"/>
      <c r="D174" s="32"/>
    </row>
    <row r="175">
      <c r="A175" s="32"/>
      <c r="B175" s="32"/>
      <c r="C175" s="32"/>
      <c r="D175" s="32"/>
    </row>
    <row r="176">
      <c r="A176" s="32"/>
      <c r="B176" s="32"/>
      <c r="C176" s="32"/>
      <c r="D176" s="32"/>
    </row>
    <row r="177">
      <c r="A177" s="32"/>
      <c r="B177" s="32"/>
      <c r="C177" s="32"/>
      <c r="D177" s="32"/>
    </row>
    <row r="178">
      <c r="A178" s="32"/>
      <c r="B178" s="32"/>
      <c r="C178" s="32"/>
      <c r="D178" s="32"/>
    </row>
    <row r="179">
      <c r="A179" s="32"/>
      <c r="B179" s="32"/>
      <c r="C179" s="32"/>
      <c r="D179" s="32"/>
    </row>
    <row r="180">
      <c r="A180" s="32"/>
      <c r="B180" s="32"/>
      <c r="C180" s="32"/>
      <c r="D180" s="32"/>
    </row>
    <row r="181">
      <c r="A181" s="32"/>
      <c r="B181" s="32"/>
      <c r="C181" s="32"/>
      <c r="D181" s="32"/>
    </row>
    <row r="182">
      <c r="A182" s="32"/>
      <c r="B182" s="32"/>
      <c r="C182" s="32"/>
      <c r="D182" s="32"/>
    </row>
    <row r="183">
      <c r="A183" s="32"/>
      <c r="B183" s="32"/>
      <c r="C183" s="32"/>
      <c r="D183" s="32"/>
    </row>
    <row r="184">
      <c r="A184" s="32"/>
      <c r="B184" s="32"/>
      <c r="C184" s="32"/>
      <c r="D184" s="32"/>
    </row>
    <row r="185">
      <c r="A185" s="32"/>
      <c r="B185" s="32"/>
      <c r="C185" s="32"/>
      <c r="D185" s="32"/>
    </row>
    <row r="186">
      <c r="A186" s="32"/>
      <c r="B186" s="32"/>
      <c r="C186" s="32"/>
      <c r="D186" s="32"/>
    </row>
    <row r="187">
      <c r="A187" s="32"/>
      <c r="B187" s="32"/>
      <c r="C187" s="32"/>
      <c r="D187" s="32"/>
    </row>
    <row r="188">
      <c r="A188" s="32"/>
      <c r="B188" s="32"/>
      <c r="C188" s="32"/>
      <c r="D188" s="32"/>
    </row>
    <row r="189">
      <c r="A189" s="32"/>
      <c r="B189" s="32"/>
      <c r="C189" s="32"/>
      <c r="D189" s="32"/>
    </row>
    <row r="190">
      <c r="A190" s="32"/>
      <c r="B190" s="32"/>
      <c r="C190" s="32"/>
      <c r="D190" s="32"/>
    </row>
    <row r="191">
      <c r="A191" s="32"/>
      <c r="B191" s="32"/>
      <c r="C191" s="32"/>
      <c r="D191" s="32"/>
    </row>
    <row r="192">
      <c r="A192" s="32"/>
      <c r="B192" s="32"/>
      <c r="C192" s="32"/>
      <c r="D192" s="32"/>
    </row>
    <row r="193">
      <c r="A193" s="32"/>
      <c r="B193" s="32"/>
      <c r="C193" s="32"/>
      <c r="D193" s="32"/>
    </row>
    <row r="194">
      <c r="A194" s="32"/>
      <c r="B194" s="32"/>
      <c r="C194" s="32"/>
      <c r="D194" s="32"/>
    </row>
    <row r="195">
      <c r="A195" s="32"/>
      <c r="B195" s="32"/>
      <c r="C195" s="32"/>
      <c r="D195" s="32"/>
    </row>
    <row r="196">
      <c r="A196" s="32"/>
      <c r="B196" s="32"/>
      <c r="C196" s="32"/>
      <c r="D196" s="32"/>
    </row>
    <row r="197">
      <c r="A197" s="32"/>
      <c r="B197" s="32"/>
      <c r="C197" s="32"/>
      <c r="D197" s="32"/>
    </row>
    <row r="198">
      <c r="A198" s="32"/>
      <c r="B198" s="32"/>
      <c r="C198" s="32"/>
      <c r="D198" s="32"/>
    </row>
    <row r="199">
      <c r="A199" s="32"/>
      <c r="B199" s="32"/>
      <c r="C199" s="32"/>
      <c r="D199" s="32"/>
    </row>
    <row r="200">
      <c r="A200" s="32"/>
      <c r="B200" s="32"/>
      <c r="C200" s="32"/>
      <c r="D200" s="32"/>
    </row>
    <row r="201">
      <c r="A201" s="32"/>
      <c r="B201" s="32"/>
      <c r="C201" s="32"/>
      <c r="D201" s="32"/>
    </row>
    <row r="202">
      <c r="A202" s="32"/>
      <c r="B202" s="32"/>
      <c r="C202" s="32"/>
      <c r="D202" s="32"/>
    </row>
    <row r="203">
      <c r="A203" s="32"/>
      <c r="B203" s="32"/>
      <c r="C203" s="32"/>
      <c r="D203" s="32"/>
    </row>
    <row r="204">
      <c r="A204" s="32"/>
      <c r="B204" s="32"/>
      <c r="C204" s="32"/>
      <c r="D204" s="32"/>
    </row>
    <row r="205">
      <c r="A205" s="32"/>
      <c r="B205" s="32"/>
      <c r="C205" s="32"/>
      <c r="D205" s="32"/>
    </row>
    <row r="206">
      <c r="A206" s="32"/>
      <c r="B206" s="32"/>
      <c r="C206" s="32"/>
      <c r="D206" s="32"/>
    </row>
    <row r="207">
      <c r="A207" s="32"/>
      <c r="B207" s="32"/>
      <c r="C207" s="32"/>
      <c r="D207" s="32"/>
    </row>
    <row r="208">
      <c r="A208" s="32"/>
      <c r="B208" s="32"/>
      <c r="C208" s="32"/>
      <c r="D208" s="32"/>
    </row>
    <row r="209">
      <c r="A209" s="32"/>
      <c r="B209" s="32"/>
      <c r="C209" s="32"/>
      <c r="D209" s="32"/>
    </row>
    <row r="210">
      <c r="A210" s="32"/>
      <c r="B210" s="32"/>
      <c r="C210" s="32"/>
      <c r="D210" s="32"/>
    </row>
    <row r="211">
      <c r="A211" s="32"/>
      <c r="B211" s="32"/>
      <c r="C211" s="32"/>
      <c r="D211" s="32"/>
    </row>
    <row r="212">
      <c r="A212" s="32"/>
      <c r="B212" s="32"/>
      <c r="C212" s="32"/>
      <c r="D212" s="32"/>
    </row>
    <row r="213">
      <c r="A213" s="32"/>
      <c r="B213" s="32"/>
      <c r="C213" s="32"/>
      <c r="D213" s="32"/>
    </row>
    <row r="214">
      <c r="A214" s="32"/>
      <c r="B214" s="32"/>
      <c r="C214" s="32"/>
      <c r="D214" s="32"/>
    </row>
    <row r="215">
      <c r="A215" s="32"/>
      <c r="B215" s="32"/>
      <c r="C215" s="32"/>
      <c r="D215" s="32"/>
    </row>
    <row r="216">
      <c r="A216" s="32"/>
      <c r="B216" s="32"/>
      <c r="C216" s="32"/>
      <c r="D216" s="32"/>
    </row>
    <row r="217">
      <c r="A217" s="32"/>
      <c r="B217" s="32"/>
      <c r="C217" s="32"/>
      <c r="D217" s="32"/>
    </row>
    <row r="218">
      <c r="A218" s="32"/>
      <c r="B218" s="32"/>
      <c r="C218" s="32"/>
      <c r="D218" s="32"/>
    </row>
    <row r="219">
      <c r="A219" s="32"/>
      <c r="B219" s="32"/>
      <c r="C219" s="32"/>
      <c r="D219" s="32"/>
    </row>
    <row r="220">
      <c r="A220" s="32"/>
      <c r="B220" s="32"/>
      <c r="C220" s="32"/>
      <c r="D220" s="32"/>
    </row>
    <row r="221">
      <c r="A221" s="32"/>
      <c r="B221" s="32"/>
      <c r="C221" s="32"/>
      <c r="D221" s="32"/>
    </row>
    <row r="222">
      <c r="A222" s="32"/>
      <c r="B222" s="32"/>
      <c r="C222" s="32"/>
      <c r="D222" s="32"/>
    </row>
    <row r="223">
      <c r="A223" s="32"/>
      <c r="B223" s="32"/>
      <c r="C223" s="32"/>
      <c r="D223" s="32"/>
    </row>
    <row r="224">
      <c r="A224" s="32"/>
      <c r="B224" s="32"/>
      <c r="C224" s="32"/>
      <c r="D224" s="32"/>
    </row>
    <row r="225">
      <c r="A225" s="32"/>
      <c r="B225" s="32"/>
      <c r="C225" s="32"/>
      <c r="D225" s="32"/>
    </row>
    <row r="226">
      <c r="A226" s="32"/>
      <c r="B226" s="32"/>
      <c r="C226" s="32"/>
      <c r="D226" s="32"/>
    </row>
    <row r="227">
      <c r="A227" s="32"/>
      <c r="B227" s="32"/>
      <c r="C227" s="32"/>
      <c r="D227" s="32"/>
    </row>
    <row r="228">
      <c r="A228" s="32"/>
      <c r="B228" s="32"/>
      <c r="C228" s="32"/>
      <c r="D228" s="32"/>
    </row>
    <row r="229">
      <c r="A229" s="32"/>
      <c r="B229" s="32"/>
      <c r="C229" s="32"/>
      <c r="D229" s="32"/>
    </row>
    <row r="230">
      <c r="A230" s="32"/>
      <c r="B230" s="32"/>
      <c r="C230" s="32"/>
      <c r="D230" s="32"/>
    </row>
    <row r="231">
      <c r="A231" s="32"/>
      <c r="B231" s="32"/>
      <c r="C231" s="32"/>
      <c r="D231" s="32"/>
    </row>
    <row r="232">
      <c r="A232" s="32"/>
      <c r="B232" s="32"/>
      <c r="C232" s="32"/>
      <c r="D232" s="32"/>
    </row>
    <row r="233">
      <c r="A233" s="32"/>
      <c r="B233" s="32"/>
      <c r="C233" s="32"/>
      <c r="D233" s="32"/>
    </row>
    <row r="234">
      <c r="A234" s="32"/>
      <c r="B234" s="32"/>
      <c r="C234" s="32"/>
      <c r="D234" s="32"/>
    </row>
    <row r="235">
      <c r="A235" s="32"/>
      <c r="B235" s="32"/>
      <c r="C235" s="32"/>
      <c r="D235" s="32"/>
    </row>
    <row r="236">
      <c r="A236" s="32"/>
      <c r="B236" s="32"/>
      <c r="C236" s="32"/>
      <c r="D236" s="32"/>
    </row>
    <row r="237">
      <c r="A237" s="32"/>
      <c r="B237" s="32"/>
      <c r="C237" s="32"/>
      <c r="D237" s="32"/>
    </row>
    <row r="238">
      <c r="A238" s="32"/>
      <c r="B238" s="32"/>
      <c r="C238" s="32"/>
      <c r="D238" s="32"/>
    </row>
    <row r="239">
      <c r="A239" s="32"/>
      <c r="B239" s="32"/>
      <c r="C239" s="32"/>
      <c r="D239" s="32"/>
    </row>
    <row r="240">
      <c r="A240" s="32"/>
      <c r="B240" s="32"/>
      <c r="C240" s="32"/>
      <c r="D240" s="32"/>
    </row>
    <row r="241">
      <c r="A241" s="32"/>
      <c r="B241" s="32"/>
      <c r="C241" s="32"/>
      <c r="D241" s="32"/>
    </row>
    <row r="242">
      <c r="A242" s="32"/>
      <c r="B242" s="32"/>
      <c r="C242" s="32"/>
      <c r="D242" s="32"/>
    </row>
    <row r="243">
      <c r="A243" s="32"/>
      <c r="B243" s="32"/>
      <c r="C243" s="32"/>
      <c r="D243" s="32"/>
    </row>
    <row r="244">
      <c r="A244" s="32"/>
      <c r="B244" s="32"/>
      <c r="C244" s="32"/>
      <c r="D244" s="32"/>
    </row>
    <row r="245">
      <c r="A245" s="32"/>
      <c r="B245" s="32"/>
      <c r="C245" s="32"/>
      <c r="D245" s="32"/>
    </row>
    <row r="246">
      <c r="A246" s="32"/>
      <c r="B246" s="32"/>
      <c r="C246" s="32"/>
      <c r="D246" s="32"/>
    </row>
    <row r="247">
      <c r="A247" s="32"/>
      <c r="B247" s="32"/>
      <c r="C247" s="32"/>
      <c r="D247" s="32"/>
    </row>
    <row r="248">
      <c r="A248" s="32"/>
      <c r="B248" s="32"/>
      <c r="C248" s="32"/>
      <c r="D248" s="32"/>
    </row>
    <row r="249">
      <c r="A249" s="32"/>
      <c r="B249" s="32"/>
      <c r="C249" s="32"/>
      <c r="D249" s="32"/>
    </row>
    <row r="250">
      <c r="A250" s="32"/>
      <c r="B250" s="32"/>
      <c r="C250" s="32"/>
      <c r="D250" s="32"/>
    </row>
    <row r="251">
      <c r="A251" s="32"/>
      <c r="B251" s="32"/>
      <c r="C251" s="32"/>
      <c r="D251" s="32"/>
    </row>
    <row r="252">
      <c r="A252" s="32"/>
      <c r="B252" s="32"/>
      <c r="C252" s="32"/>
      <c r="D252" s="32"/>
    </row>
    <row r="253">
      <c r="A253" s="32"/>
      <c r="B253" s="32"/>
      <c r="C253" s="32"/>
      <c r="D253" s="32"/>
    </row>
    <row r="254">
      <c r="A254" s="32"/>
      <c r="B254" s="32"/>
      <c r="C254" s="32"/>
      <c r="D254" s="32"/>
    </row>
    <row r="255">
      <c r="A255" s="32"/>
      <c r="B255" s="32"/>
      <c r="C255" s="32"/>
      <c r="D255" s="32"/>
    </row>
    <row r="256">
      <c r="A256" s="32"/>
      <c r="B256" s="32"/>
      <c r="C256" s="32"/>
      <c r="D256" s="32"/>
    </row>
    <row r="257">
      <c r="A257" s="32"/>
      <c r="B257" s="32"/>
      <c r="C257" s="32"/>
      <c r="D257" s="32"/>
    </row>
    <row r="258">
      <c r="A258" s="32"/>
      <c r="B258" s="32"/>
      <c r="C258" s="32"/>
      <c r="D258" s="32"/>
    </row>
    <row r="259">
      <c r="A259" s="32"/>
      <c r="B259" s="32"/>
      <c r="C259" s="32"/>
      <c r="D259" s="32"/>
    </row>
    <row r="260">
      <c r="A260" s="32"/>
      <c r="B260" s="32"/>
      <c r="C260" s="32"/>
      <c r="D260" s="32"/>
    </row>
    <row r="261">
      <c r="A261" s="32"/>
      <c r="B261" s="32"/>
      <c r="C261" s="32"/>
      <c r="D261" s="32"/>
    </row>
    <row r="262">
      <c r="A262" s="32"/>
      <c r="B262" s="32"/>
      <c r="C262" s="32"/>
      <c r="D262" s="32"/>
    </row>
    <row r="263">
      <c r="A263" s="32"/>
      <c r="B263" s="32"/>
      <c r="C263" s="32"/>
      <c r="D263" s="32"/>
    </row>
    <row r="264">
      <c r="A264" s="32"/>
      <c r="B264" s="32"/>
      <c r="C264" s="32"/>
      <c r="D264" s="32"/>
    </row>
    <row r="265">
      <c r="A265" s="32"/>
      <c r="B265" s="32"/>
      <c r="C265" s="32"/>
      <c r="D265" s="32"/>
    </row>
    <row r="266">
      <c r="A266" s="32"/>
      <c r="B266" s="32"/>
      <c r="C266" s="32"/>
      <c r="D266" s="32"/>
    </row>
    <row r="267">
      <c r="A267" s="32"/>
      <c r="B267" s="32"/>
      <c r="C267" s="32"/>
      <c r="D267" s="32"/>
    </row>
    <row r="268">
      <c r="A268" s="32"/>
      <c r="B268" s="32"/>
      <c r="C268" s="32"/>
      <c r="D268" s="32"/>
    </row>
    <row r="269">
      <c r="A269" s="32"/>
      <c r="B269" s="32"/>
      <c r="C269" s="32"/>
      <c r="D269" s="32"/>
    </row>
    <row r="270">
      <c r="A270" s="32"/>
      <c r="B270" s="32"/>
      <c r="C270" s="32"/>
      <c r="D270" s="32"/>
    </row>
    <row r="271">
      <c r="A271" s="32"/>
      <c r="B271" s="32"/>
      <c r="C271" s="32"/>
      <c r="D271" s="32"/>
    </row>
    <row r="272">
      <c r="A272" s="32"/>
      <c r="B272" s="32"/>
      <c r="C272" s="32"/>
      <c r="D272" s="32"/>
    </row>
    <row r="273">
      <c r="A273" s="32"/>
      <c r="B273" s="32"/>
      <c r="C273" s="32"/>
      <c r="D273" s="32"/>
    </row>
    <row r="274">
      <c r="A274" s="32"/>
      <c r="B274" s="32"/>
      <c r="C274" s="32"/>
      <c r="D274" s="32"/>
    </row>
    <row r="275">
      <c r="A275" s="32"/>
      <c r="B275" s="32"/>
      <c r="C275" s="32"/>
      <c r="D275" s="32"/>
    </row>
    <row r="276">
      <c r="A276" s="32"/>
      <c r="B276" s="32"/>
      <c r="C276" s="32"/>
      <c r="D276" s="32"/>
    </row>
    <row r="277">
      <c r="A277" s="32"/>
      <c r="B277" s="32"/>
      <c r="C277" s="32"/>
      <c r="D277" s="32"/>
    </row>
    <row r="278">
      <c r="A278" s="32"/>
      <c r="B278" s="32"/>
      <c r="C278" s="32"/>
      <c r="D278" s="32"/>
    </row>
    <row r="279">
      <c r="A279" s="32"/>
      <c r="B279" s="32"/>
      <c r="C279" s="32"/>
      <c r="D279" s="32"/>
    </row>
    <row r="280">
      <c r="A280" s="32"/>
      <c r="B280" s="32"/>
      <c r="C280" s="32"/>
      <c r="D280" s="32"/>
    </row>
    <row r="281">
      <c r="A281" s="32"/>
      <c r="B281" s="32"/>
      <c r="C281" s="32"/>
      <c r="D281" s="32"/>
    </row>
    <row r="282">
      <c r="A282" s="32"/>
      <c r="B282" s="32"/>
      <c r="C282" s="32"/>
      <c r="D282" s="32"/>
    </row>
    <row r="283">
      <c r="A283" s="32"/>
      <c r="B283" s="32"/>
      <c r="C283" s="32"/>
      <c r="D283" s="32"/>
    </row>
    <row r="284">
      <c r="A284" s="32"/>
      <c r="B284" s="32"/>
      <c r="C284" s="32"/>
      <c r="D284" s="32"/>
    </row>
    <row r="285">
      <c r="A285" s="32"/>
      <c r="B285" s="32"/>
      <c r="C285" s="32"/>
      <c r="D285" s="32"/>
    </row>
    <row r="286">
      <c r="A286" s="32"/>
      <c r="B286" s="32"/>
      <c r="C286" s="32"/>
      <c r="D286" s="32"/>
    </row>
    <row r="287">
      <c r="A287" s="32"/>
      <c r="B287" s="32"/>
      <c r="C287" s="32"/>
      <c r="D287" s="32"/>
    </row>
    <row r="288">
      <c r="A288" s="32"/>
      <c r="B288" s="32"/>
      <c r="C288" s="32"/>
      <c r="D288" s="32"/>
    </row>
    <row r="289">
      <c r="A289" s="32"/>
      <c r="B289" s="32"/>
      <c r="C289" s="32"/>
      <c r="D289" s="32"/>
    </row>
    <row r="290">
      <c r="A290" s="32"/>
      <c r="B290" s="32"/>
      <c r="C290" s="32"/>
      <c r="D290" s="32"/>
    </row>
    <row r="291">
      <c r="A291" s="32"/>
      <c r="B291" s="32"/>
      <c r="C291" s="32"/>
      <c r="D291" s="32"/>
    </row>
    <row r="292">
      <c r="A292" s="32"/>
      <c r="B292" s="32"/>
      <c r="C292" s="32"/>
      <c r="D292" s="32"/>
    </row>
    <row r="293">
      <c r="A293" s="32"/>
      <c r="B293" s="32"/>
      <c r="C293" s="32"/>
      <c r="D293" s="32"/>
    </row>
    <row r="294">
      <c r="A294" s="32"/>
      <c r="B294" s="32"/>
      <c r="C294" s="32"/>
      <c r="D294" s="32"/>
    </row>
    <row r="295">
      <c r="A295" s="32"/>
      <c r="B295" s="32"/>
      <c r="C295" s="32"/>
      <c r="D295" s="32"/>
    </row>
    <row r="296">
      <c r="A296" s="32"/>
      <c r="B296" s="32"/>
      <c r="C296" s="32"/>
      <c r="D296" s="32"/>
    </row>
    <row r="297">
      <c r="A297" s="32"/>
      <c r="B297" s="32"/>
      <c r="C297" s="32"/>
      <c r="D297" s="32"/>
    </row>
    <row r="298">
      <c r="A298" s="32"/>
      <c r="B298" s="32"/>
      <c r="C298" s="32"/>
      <c r="D298" s="32"/>
    </row>
    <row r="299">
      <c r="A299" s="32"/>
      <c r="B299" s="32"/>
      <c r="C299" s="32"/>
      <c r="D299" s="32"/>
    </row>
    <row r="300">
      <c r="A300" s="32"/>
      <c r="B300" s="32"/>
      <c r="C300" s="32"/>
      <c r="D300" s="32"/>
    </row>
    <row r="301">
      <c r="A301" s="32"/>
      <c r="B301" s="32"/>
      <c r="C301" s="32"/>
      <c r="D301" s="32"/>
    </row>
    <row r="302">
      <c r="A302" s="32"/>
      <c r="B302" s="32"/>
      <c r="C302" s="32"/>
      <c r="D302" s="32"/>
    </row>
    <row r="303">
      <c r="A303" s="32"/>
      <c r="B303" s="32"/>
      <c r="C303" s="32"/>
      <c r="D303" s="32"/>
    </row>
    <row r="304">
      <c r="A304" s="32"/>
      <c r="B304" s="32"/>
      <c r="C304" s="32"/>
      <c r="D304" s="32"/>
    </row>
    <row r="305">
      <c r="A305" s="32"/>
      <c r="B305" s="32"/>
      <c r="C305" s="32"/>
      <c r="D305" s="32"/>
    </row>
    <row r="306">
      <c r="A306" s="32"/>
      <c r="B306" s="32"/>
      <c r="C306" s="32"/>
      <c r="D306" s="32"/>
    </row>
    <row r="307">
      <c r="A307" s="32"/>
      <c r="B307" s="32"/>
      <c r="C307" s="32"/>
      <c r="D307" s="32"/>
    </row>
    <row r="308">
      <c r="A308" s="32"/>
      <c r="B308" s="32"/>
      <c r="C308" s="32"/>
      <c r="D308" s="32"/>
    </row>
    <row r="309">
      <c r="A309" s="32"/>
      <c r="B309" s="32"/>
      <c r="C309" s="32"/>
      <c r="D309" s="32"/>
    </row>
    <row r="310">
      <c r="A310" s="32"/>
      <c r="B310" s="32"/>
      <c r="C310" s="32"/>
      <c r="D310" s="32"/>
    </row>
    <row r="311">
      <c r="A311" s="32"/>
      <c r="B311" s="32"/>
      <c r="C311" s="32"/>
      <c r="D311" s="32"/>
    </row>
    <row r="312">
      <c r="A312" s="32"/>
      <c r="B312" s="32"/>
      <c r="C312" s="32"/>
      <c r="D312" s="32"/>
    </row>
    <row r="313">
      <c r="A313" s="32"/>
      <c r="B313" s="32"/>
      <c r="C313" s="32"/>
      <c r="D313" s="32"/>
    </row>
    <row r="314">
      <c r="A314" s="32"/>
      <c r="B314" s="32"/>
      <c r="C314" s="32"/>
      <c r="D314" s="32"/>
    </row>
    <row r="315">
      <c r="A315" s="32"/>
      <c r="B315" s="32"/>
      <c r="C315" s="32"/>
      <c r="D315" s="32"/>
    </row>
    <row r="316">
      <c r="A316" s="32"/>
      <c r="B316" s="32"/>
      <c r="C316" s="32"/>
      <c r="D316" s="32"/>
    </row>
    <row r="317">
      <c r="A317" s="32"/>
      <c r="B317" s="32"/>
      <c r="C317" s="32"/>
      <c r="D317" s="32"/>
    </row>
    <row r="318">
      <c r="A318" s="32"/>
      <c r="B318" s="32"/>
      <c r="C318" s="32"/>
      <c r="D318" s="32"/>
    </row>
    <row r="319">
      <c r="A319" s="32"/>
      <c r="B319" s="32"/>
      <c r="C319" s="32"/>
      <c r="D319" s="32"/>
    </row>
    <row r="320">
      <c r="A320" s="32"/>
      <c r="B320" s="32"/>
      <c r="C320" s="32"/>
      <c r="D320" s="32"/>
    </row>
    <row r="321">
      <c r="A321" s="32"/>
      <c r="B321" s="32"/>
      <c r="C321" s="32"/>
      <c r="D321" s="32"/>
    </row>
    <row r="322">
      <c r="A322" s="32"/>
      <c r="B322" s="32"/>
      <c r="C322" s="32"/>
      <c r="D322" s="32"/>
    </row>
    <row r="323">
      <c r="A323" s="32"/>
      <c r="B323" s="32"/>
      <c r="C323" s="32"/>
      <c r="D323" s="32"/>
    </row>
    <row r="324">
      <c r="A324" s="32"/>
      <c r="B324" s="32"/>
      <c r="C324" s="32"/>
      <c r="D324" s="32"/>
    </row>
    <row r="325">
      <c r="A325" s="32"/>
      <c r="B325" s="32"/>
      <c r="C325" s="32"/>
      <c r="D325" s="32"/>
    </row>
    <row r="326">
      <c r="A326" s="32"/>
      <c r="B326" s="32"/>
      <c r="C326" s="32"/>
      <c r="D326" s="32"/>
    </row>
    <row r="327">
      <c r="A327" s="32"/>
      <c r="B327" s="32"/>
      <c r="C327" s="32"/>
      <c r="D327" s="32"/>
    </row>
    <row r="328">
      <c r="A328" s="32"/>
      <c r="B328" s="32"/>
      <c r="C328" s="32"/>
      <c r="D328" s="32"/>
    </row>
    <row r="329">
      <c r="A329" s="32"/>
      <c r="B329" s="32"/>
      <c r="C329" s="32"/>
      <c r="D329" s="32"/>
    </row>
    <row r="330">
      <c r="A330" s="32"/>
      <c r="B330" s="32"/>
      <c r="C330" s="32"/>
      <c r="D330" s="32"/>
    </row>
    <row r="331">
      <c r="A331" s="32"/>
      <c r="B331" s="32"/>
      <c r="C331" s="32"/>
      <c r="D331" s="32"/>
    </row>
    <row r="332">
      <c r="A332" s="32"/>
      <c r="B332" s="32"/>
      <c r="C332" s="32"/>
      <c r="D332" s="32"/>
    </row>
    <row r="333">
      <c r="A333" s="32"/>
      <c r="B333" s="32"/>
      <c r="C333" s="32"/>
      <c r="D333" s="32"/>
    </row>
    <row r="334">
      <c r="A334" s="32"/>
      <c r="B334" s="32"/>
      <c r="C334" s="32"/>
      <c r="D334" s="32"/>
    </row>
    <row r="335">
      <c r="A335" s="32"/>
      <c r="B335" s="32"/>
      <c r="C335" s="32"/>
      <c r="D335" s="32"/>
    </row>
    <row r="336">
      <c r="A336" s="32"/>
      <c r="B336" s="32"/>
      <c r="C336" s="32"/>
      <c r="D336" s="32"/>
    </row>
    <row r="337">
      <c r="A337" s="32"/>
      <c r="B337" s="32"/>
      <c r="C337" s="32"/>
      <c r="D337" s="32"/>
    </row>
    <row r="338">
      <c r="A338" s="32"/>
      <c r="B338" s="32"/>
      <c r="C338" s="32"/>
      <c r="D338" s="32"/>
    </row>
    <row r="339">
      <c r="A339" s="32"/>
      <c r="B339" s="32"/>
      <c r="C339" s="32"/>
      <c r="D339" s="32"/>
    </row>
    <row r="340">
      <c r="A340" s="32"/>
      <c r="B340" s="32"/>
      <c r="C340" s="32"/>
      <c r="D340" s="32"/>
    </row>
    <row r="341">
      <c r="A341" s="32"/>
      <c r="B341" s="32"/>
      <c r="C341" s="32"/>
      <c r="D341" s="32"/>
    </row>
    <row r="342">
      <c r="A342" s="32"/>
      <c r="B342" s="32"/>
      <c r="C342" s="32"/>
      <c r="D342" s="32"/>
    </row>
    <row r="343">
      <c r="A343" s="32"/>
      <c r="B343" s="32"/>
      <c r="C343" s="32"/>
      <c r="D343" s="32"/>
    </row>
    <row r="344">
      <c r="A344" s="32"/>
      <c r="B344" s="32"/>
      <c r="C344" s="32"/>
      <c r="D344" s="32"/>
    </row>
    <row r="345">
      <c r="A345" s="32"/>
      <c r="B345" s="32"/>
      <c r="C345" s="32"/>
      <c r="D345" s="32"/>
    </row>
    <row r="346">
      <c r="A346" s="32"/>
      <c r="B346" s="32"/>
      <c r="C346" s="32"/>
      <c r="D346" s="32"/>
    </row>
    <row r="347">
      <c r="A347" s="32"/>
      <c r="B347" s="32"/>
      <c r="C347" s="32"/>
      <c r="D347" s="32"/>
    </row>
    <row r="348">
      <c r="A348" s="32"/>
      <c r="B348" s="32"/>
      <c r="C348" s="32"/>
      <c r="D348" s="32"/>
    </row>
    <row r="349">
      <c r="A349" s="32"/>
      <c r="B349" s="32"/>
      <c r="C349" s="32"/>
      <c r="D349" s="32"/>
    </row>
    <row r="350">
      <c r="A350" s="32"/>
      <c r="B350" s="32"/>
      <c r="C350" s="32"/>
      <c r="D350" s="32"/>
    </row>
    <row r="351">
      <c r="A351" s="32"/>
      <c r="B351" s="32"/>
      <c r="C351" s="32"/>
      <c r="D351" s="32"/>
    </row>
    <row r="352">
      <c r="A352" s="32"/>
      <c r="B352" s="32"/>
      <c r="C352" s="32"/>
      <c r="D352" s="32"/>
    </row>
    <row r="353">
      <c r="A353" s="32"/>
      <c r="B353" s="32"/>
      <c r="C353" s="32"/>
      <c r="D353" s="32"/>
    </row>
    <row r="354">
      <c r="A354" s="32"/>
      <c r="B354" s="32"/>
      <c r="C354" s="32"/>
      <c r="D354" s="32"/>
    </row>
    <row r="355">
      <c r="A355" s="32"/>
      <c r="B355" s="32"/>
      <c r="C355" s="32"/>
      <c r="D355" s="32"/>
    </row>
    <row r="356">
      <c r="A356" s="32"/>
      <c r="B356" s="32"/>
      <c r="C356" s="32"/>
      <c r="D356" s="32"/>
    </row>
    <row r="357">
      <c r="A357" s="32"/>
      <c r="B357" s="32"/>
      <c r="C357" s="32"/>
      <c r="D357" s="32"/>
    </row>
    <row r="358">
      <c r="A358" s="32"/>
      <c r="B358" s="32"/>
      <c r="C358" s="32"/>
      <c r="D358" s="32"/>
    </row>
    <row r="359">
      <c r="A359" s="32"/>
      <c r="B359" s="32"/>
      <c r="C359" s="32"/>
      <c r="D359" s="32"/>
    </row>
    <row r="360">
      <c r="A360" s="32"/>
      <c r="B360" s="32"/>
      <c r="C360" s="32"/>
      <c r="D360" s="32"/>
    </row>
    <row r="361">
      <c r="A361" s="32"/>
      <c r="B361" s="32"/>
      <c r="C361" s="32"/>
      <c r="D361" s="32"/>
    </row>
    <row r="362">
      <c r="A362" s="32"/>
      <c r="B362" s="32"/>
      <c r="C362" s="32"/>
      <c r="D362" s="32"/>
    </row>
    <row r="363">
      <c r="A363" s="32"/>
      <c r="B363" s="32"/>
      <c r="C363" s="32"/>
      <c r="D363" s="32"/>
    </row>
    <row r="364">
      <c r="A364" s="32"/>
      <c r="B364" s="32"/>
      <c r="C364" s="32"/>
      <c r="D364" s="32"/>
    </row>
    <row r="365">
      <c r="A365" s="32"/>
      <c r="B365" s="32"/>
      <c r="C365" s="32"/>
      <c r="D365" s="32"/>
    </row>
    <row r="366">
      <c r="A366" s="32"/>
      <c r="B366" s="32"/>
      <c r="C366" s="32"/>
      <c r="D366" s="32"/>
    </row>
    <row r="367">
      <c r="A367" s="32"/>
      <c r="B367" s="32"/>
      <c r="C367" s="32"/>
      <c r="D367" s="32"/>
    </row>
    <row r="368">
      <c r="A368" s="32"/>
      <c r="B368" s="32"/>
      <c r="C368" s="32"/>
      <c r="D368" s="32"/>
    </row>
    <row r="369">
      <c r="A369" s="32"/>
      <c r="B369" s="32"/>
      <c r="C369" s="32"/>
      <c r="D369" s="32"/>
    </row>
    <row r="370">
      <c r="A370" s="32"/>
      <c r="B370" s="32"/>
      <c r="C370" s="32"/>
      <c r="D370" s="32"/>
    </row>
    <row r="371">
      <c r="A371" s="32"/>
      <c r="B371" s="32"/>
      <c r="C371" s="32"/>
      <c r="D371" s="32"/>
    </row>
    <row r="372">
      <c r="A372" s="32"/>
      <c r="B372" s="32"/>
      <c r="C372" s="32"/>
      <c r="D372" s="32"/>
    </row>
    <row r="373">
      <c r="A373" s="32"/>
      <c r="B373" s="32"/>
      <c r="C373" s="32"/>
      <c r="D373" s="32"/>
    </row>
    <row r="374">
      <c r="A374" s="32"/>
      <c r="B374" s="32"/>
      <c r="C374" s="32"/>
      <c r="D374" s="32"/>
    </row>
    <row r="375">
      <c r="A375" s="32"/>
      <c r="B375" s="32"/>
      <c r="C375" s="32"/>
      <c r="D375" s="32"/>
    </row>
    <row r="376">
      <c r="A376" s="32"/>
      <c r="B376" s="32"/>
      <c r="C376" s="32"/>
      <c r="D376" s="32"/>
    </row>
    <row r="377">
      <c r="A377" s="32"/>
      <c r="B377" s="32"/>
      <c r="C377" s="32"/>
      <c r="D377" s="32"/>
    </row>
    <row r="378">
      <c r="A378" s="32"/>
      <c r="B378" s="32"/>
      <c r="C378" s="32"/>
      <c r="D378" s="32"/>
    </row>
    <row r="379">
      <c r="A379" s="32"/>
      <c r="B379" s="32"/>
      <c r="C379" s="32"/>
      <c r="D379" s="32"/>
    </row>
    <row r="380">
      <c r="A380" s="32"/>
      <c r="B380" s="32"/>
      <c r="C380" s="32"/>
      <c r="D380" s="32"/>
    </row>
    <row r="381">
      <c r="A381" s="32"/>
      <c r="B381" s="32"/>
      <c r="C381" s="32"/>
      <c r="D381" s="32"/>
    </row>
    <row r="382">
      <c r="A382" s="32"/>
      <c r="B382" s="32"/>
      <c r="C382" s="32"/>
      <c r="D382" s="32"/>
    </row>
    <row r="383">
      <c r="A383" s="32"/>
      <c r="B383" s="32"/>
      <c r="C383" s="32"/>
      <c r="D383" s="32"/>
    </row>
    <row r="384">
      <c r="A384" s="32"/>
      <c r="B384" s="32"/>
      <c r="C384" s="32"/>
      <c r="D384" s="32"/>
    </row>
    <row r="385">
      <c r="A385" s="32"/>
      <c r="B385" s="32"/>
      <c r="C385" s="32"/>
      <c r="D385" s="32"/>
    </row>
    <row r="386">
      <c r="A386" s="32"/>
      <c r="B386" s="32"/>
      <c r="C386" s="32"/>
      <c r="D386" s="32"/>
    </row>
    <row r="387">
      <c r="A387" s="32"/>
      <c r="B387" s="32"/>
      <c r="C387" s="32"/>
      <c r="D387" s="32"/>
    </row>
    <row r="388">
      <c r="A388" s="32"/>
      <c r="B388" s="32"/>
      <c r="C388" s="32"/>
      <c r="D388" s="32"/>
    </row>
    <row r="389">
      <c r="A389" s="32"/>
      <c r="B389" s="32"/>
      <c r="C389" s="32"/>
      <c r="D389" s="32"/>
    </row>
    <row r="390">
      <c r="A390" s="32"/>
      <c r="B390" s="32"/>
      <c r="C390" s="32"/>
      <c r="D390" s="32"/>
    </row>
    <row r="391">
      <c r="A391" s="32"/>
      <c r="B391" s="32"/>
      <c r="C391" s="32"/>
      <c r="D391" s="32"/>
    </row>
    <row r="392">
      <c r="A392" s="32"/>
      <c r="B392" s="32"/>
      <c r="C392" s="32"/>
      <c r="D392" s="32"/>
    </row>
    <row r="393">
      <c r="A393" s="32"/>
      <c r="B393" s="32"/>
      <c r="C393" s="32"/>
      <c r="D393" s="32"/>
    </row>
    <row r="394">
      <c r="A394" s="32"/>
      <c r="B394" s="32"/>
      <c r="C394" s="32"/>
      <c r="D394" s="32"/>
    </row>
    <row r="395">
      <c r="A395" s="32"/>
      <c r="B395" s="32"/>
      <c r="C395" s="32"/>
      <c r="D395" s="32"/>
    </row>
    <row r="396">
      <c r="A396" s="32"/>
      <c r="B396" s="32"/>
      <c r="C396" s="32"/>
      <c r="D396" s="32"/>
    </row>
    <row r="397">
      <c r="A397" s="32"/>
      <c r="B397" s="32"/>
      <c r="C397" s="32"/>
      <c r="D397" s="32"/>
    </row>
    <row r="398">
      <c r="A398" s="32"/>
      <c r="B398" s="32"/>
      <c r="C398" s="32"/>
      <c r="D398" s="32"/>
    </row>
    <row r="399">
      <c r="A399" s="32"/>
      <c r="B399" s="32"/>
      <c r="C399" s="32"/>
      <c r="D399" s="32"/>
    </row>
    <row r="400">
      <c r="A400" s="32"/>
      <c r="B400" s="32"/>
      <c r="C400" s="32"/>
      <c r="D400" s="32"/>
    </row>
    <row r="401">
      <c r="A401" s="32"/>
      <c r="B401" s="32"/>
      <c r="C401" s="32"/>
      <c r="D401" s="32"/>
    </row>
    <row r="402">
      <c r="A402" s="32"/>
      <c r="B402" s="32"/>
      <c r="C402" s="32"/>
      <c r="D402" s="32"/>
    </row>
    <row r="403">
      <c r="A403" s="32"/>
      <c r="B403" s="32"/>
      <c r="C403" s="32"/>
      <c r="D403" s="32"/>
    </row>
    <row r="404">
      <c r="A404" s="32"/>
      <c r="B404" s="32"/>
      <c r="C404" s="32"/>
      <c r="D404" s="32"/>
    </row>
    <row r="405">
      <c r="A405" s="32"/>
      <c r="B405" s="32"/>
      <c r="C405" s="32"/>
      <c r="D405" s="32"/>
    </row>
    <row r="406">
      <c r="A406" s="32"/>
      <c r="B406" s="32"/>
      <c r="C406" s="32"/>
      <c r="D406" s="32"/>
    </row>
    <row r="407">
      <c r="A407" s="32"/>
      <c r="B407" s="32"/>
      <c r="C407" s="32"/>
      <c r="D407" s="32"/>
    </row>
    <row r="408">
      <c r="A408" s="32"/>
      <c r="B408" s="32"/>
      <c r="C408" s="32"/>
      <c r="D408" s="32"/>
    </row>
    <row r="409">
      <c r="A409" s="32"/>
      <c r="B409" s="32"/>
      <c r="C409" s="32"/>
      <c r="D409" s="32"/>
    </row>
    <row r="410">
      <c r="A410" s="32"/>
      <c r="B410" s="32"/>
      <c r="C410" s="32"/>
      <c r="D410" s="32"/>
    </row>
    <row r="411">
      <c r="A411" s="32"/>
      <c r="B411" s="32"/>
      <c r="C411" s="32"/>
      <c r="D411" s="32"/>
    </row>
    <row r="412">
      <c r="A412" s="32"/>
      <c r="B412" s="32"/>
      <c r="C412" s="32"/>
      <c r="D412" s="32"/>
    </row>
    <row r="413">
      <c r="A413" s="32"/>
      <c r="B413" s="32"/>
      <c r="C413" s="32"/>
      <c r="D413" s="32"/>
    </row>
    <row r="414">
      <c r="A414" s="32"/>
      <c r="B414" s="32"/>
      <c r="C414" s="32"/>
      <c r="D414" s="32"/>
    </row>
    <row r="415">
      <c r="A415" s="32"/>
      <c r="B415" s="32"/>
      <c r="C415" s="32"/>
      <c r="D415" s="32"/>
    </row>
    <row r="416">
      <c r="A416" s="32"/>
      <c r="B416" s="32"/>
      <c r="C416" s="32"/>
      <c r="D416" s="32"/>
    </row>
    <row r="417">
      <c r="A417" s="32"/>
      <c r="B417" s="32"/>
      <c r="C417" s="32"/>
      <c r="D417" s="32"/>
    </row>
    <row r="418">
      <c r="A418" s="32"/>
      <c r="B418" s="32"/>
      <c r="C418" s="32"/>
      <c r="D418" s="32"/>
    </row>
    <row r="419">
      <c r="A419" s="32"/>
      <c r="B419" s="32"/>
      <c r="C419" s="32"/>
      <c r="D419" s="32"/>
    </row>
    <row r="420">
      <c r="A420" s="32"/>
      <c r="B420" s="32"/>
      <c r="C420" s="32"/>
      <c r="D420" s="32"/>
    </row>
    <row r="421">
      <c r="A421" s="32"/>
      <c r="B421" s="32"/>
      <c r="C421" s="32"/>
      <c r="D421" s="32"/>
    </row>
    <row r="422">
      <c r="A422" s="32"/>
      <c r="B422" s="32"/>
      <c r="C422" s="32"/>
      <c r="D422" s="32"/>
    </row>
    <row r="423">
      <c r="A423" s="32"/>
      <c r="B423" s="32"/>
      <c r="C423" s="32"/>
      <c r="D423" s="32"/>
    </row>
    <row r="424">
      <c r="A424" s="32"/>
      <c r="B424" s="32"/>
      <c r="C424" s="32"/>
      <c r="D424" s="32"/>
    </row>
    <row r="425">
      <c r="A425" s="32"/>
      <c r="B425" s="32"/>
      <c r="C425" s="32"/>
      <c r="D425" s="32"/>
    </row>
    <row r="426">
      <c r="A426" s="32"/>
      <c r="B426" s="32"/>
      <c r="C426" s="32"/>
      <c r="D426" s="32"/>
    </row>
    <row r="427">
      <c r="A427" s="32"/>
      <c r="B427" s="32"/>
      <c r="C427" s="32"/>
      <c r="D427" s="32"/>
    </row>
    <row r="428">
      <c r="A428" s="32"/>
      <c r="B428" s="32"/>
      <c r="C428" s="32"/>
      <c r="D428" s="32"/>
    </row>
    <row r="429">
      <c r="A429" s="32"/>
      <c r="B429" s="32"/>
      <c r="C429" s="32"/>
      <c r="D429" s="32"/>
    </row>
    <row r="430">
      <c r="A430" s="32"/>
      <c r="B430" s="32"/>
      <c r="C430" s="32"/>
      <c r="D430" s="32"/>
    </row>
    <row r="431">
      <c r="A431" s="32"/>
      <c r="B431" s="32"/>
      <c r="C431" s="32"/>
      <c r="D431" s="32"/>
    </row>
    <row r="432">
      <c r="A432" s="32"/>
      <c r="B432" s="32"/>
      <c r="C432" s="32"/>
      <c r="D432" s="32"/>
    </row>
    <row r="433">
      <c r="A433" s="32"/>
      <c r="B433" s="32"/>
      <c r="C433" s="32"/>
      <c r="D433" s="32"/>
    </row>
    <row r="434">
      <c r="A434" s="32"/>
      <c r="B434" s="32"/>
      <c r="C434" s="32"/>
      <c r="D434" s="32"/>
    </row>
    <row r="435">
      <c r="A435" s="32"/>
      <c r="B435" s="32"/>
      <c r="C435" s="32"/>
      <c r="D435" s="32"/>
    </row>
    <row r="436">
      <c r="A436" s="32"/>
      <c r="B436" s="32"/>
      <c r="C436" s="32"/>
      <c r="D436" s="32"/>
    </row>
    <row r="437">
      <c r="A437" s="32"/>
      <c r="B437" s="32"/>
      <c r="C437" s="32"/>
      <c r="D437" s="32"/>
    </row>
    <row r="438">
      <c r="A438" s="32"/>
      <c r="B438" s="32"/>
      <c r="C438" s="32"/>
      <c r="D438" s="32"/>
    </row>
    <row r="439">
      <c r="A439" s="32"/>
      <c r="B439" s="32"/>
      <c r="C439" s="32"/>
      <c r="D439" s="32"/>
    </row>
    <row r="440">
      <c r="A440" s="32"/>
      <c r="B440" s="32"/>
      <c r="C440" s="32"/>
      <c r="D440" s="32"/>
    </row>
    <row r="441">
      <c r="A441" s="32"/>
      <c r="B441" s="32"/>
      <c r="C441" s="32"/>
      <c r="D441" s="32"/>
    </row>
    <row r="442">
      <c r="A442" s="32"/>
      <c r="B442" s="32"/>
      <c r="C442" s="32"/>
      <c r="D442" s="32"/>
    </row>
    <row r="443">
      <c r="A443" s="32"/>
      <c r="B443" s="32"/>
      <c r="C443" s="32"/>
      <c r="D443" s="32"/>
    </row>
    <row r="444">
      <c r="A444" s="32"/>
      <c r="B444" s="32"/>
      <c r="C444" s="32"/>
      <c r="D444" s="32"/>
    </row>
    <row r="445">
      <c r="A445" s="32"/>
      <c r="B445" s="32"/>
      <c r="C445" s="32"/>
      <c r="D445" s="32"/>
    </row>
    <row r="446">
      <c r="A446" s="32"/>
      <c r="B446" s="32"/>
      <c r="C446" s="32"/>
      <c r="D446" s="32"/>
    </row>
    <row r="447">
      <c r="A447" s="32"/>
      <c r="B447" s="32"/>
      <c r="C447" s="32"/>
      <c r="D447" s="32"/>
    </row>
    <row r="448">
      <c r="A448" s="32"/>
      <c r="B448" s="32"/>
      <c r="C448" s="32"/>
      <c r="D448" s="32"/>
    </row>
    <row r="449">
      <c r="A449" s="32"/>
      <c r="B449" s="32"/>
      <c r="C449" s="32"/>
      <c r="D449" s="32"/>
    </row>
    <row r="450">
      <c r="A450" s="32"/>
      <c r="B450" s="32"/>
      <c r="C450" s="32"/>
      <c r="D450" s="32"/>
    </row>
    <row r="451">
      <c r="A451" s="32"/>
      <c r="B451" s="32"/>
      <c r="C451" s="32"/>
      <c r="D451" s="32"/>
    </row>
    <row r="452">
      <c r="A452" s="32"/>
      <c r="B452" s="32"/>
      <c r="C452" s="32"/>
      <c r="D452" s="32"/>
    </row>
    <row r="453">
      <c r="A453" s="32"/>
      <c r="B453" s="32"/>
      <c r="C453" s="32"/>
      <c r="D453" s="32"/>
    </row>
    <row r="454">
      <c r="A454" s="32"/>
      <c r="B454" s="32"/>
      <c r="C454" s="32"/>
      <c r="D454" s="32"/>
    </row>
    <row r="455">
      <c r="A455" s="32"/>
      <c r="B455" s="32"/>
      <c r="C455" s="32"/>
      <c r="D455" s="32"/>
    </row>
    <row r="456">
      <c r="A456" s="32"/>
      <c r="B456" s="32"/>
      <c r="C456" s="32"/>
      <c r="D456" s="32"/>
    </row>
    <row r="457">
      <c r="A457" s="32"/>
      <c r="B457" s="32"/>
      <c r="C457" s="32"/>
      <c r="D457" s="32"/>
    </row>
    <row r="458">
      <c r="A458" s="32"/>
      <c r="B458" s="32"/>
      <c r="C458" s="32"/>
      <c r="D458" s="32"/>
    </row>
    <row r="459">
      <c r="A459" s="32"/>
      <c r="B459" s="32"/>
      <c r="C459" s="32"/>
      <c r="D459" s="32"/>
    </row>
    <row r="460">
      <c r="A460" s="32"/>
      <c r="B460" s="32"/>
      <c r="C460" s="32"/>
      <c r="D460" s="32"/>
    </row>
    <row r="461">
      <c r="A461" s="32"/>
      <c r="B461" s="32"/>
      <c r="C461" s="32"/>
      <c r="D461" s="32"/>
    </row>
    <row r="462">
      <c r="A462" s="32"/>
      <c r="B462" s="32"/>
      <c r="C462" s="32"/>
      <c r="D462" s="32"/>
    </row>
    <row r="463">
      <c r="A463" s="32"/>
      <c r="B463" s="32"/>
      <c r="C463" s="32"/>
      <c r="D463" s="32"/>
    </row>
    <row r="464">
      <c r="A464" s="32"/>
      <c r="B464" s="32"/>
      <c r="C464" s="32"/>
      <c r="D464" s="32"/>
    </row>
    <row r="465">
      <c r="A465" s="32"/>
      <c r="B465" s="32"/>
      <c r="C465" s="32"/>
      <c r="D465" s="32"/>
    </row>
    <row r="466">
      <c r="A466" s="32"/>
      <c r="B466" s="32"/>
      <c r="C466" s="32"/>
      <c r="D466" s="32"/>
    </row>
    <row r="467">
      <c r="A467" s="32"/>
      <c r="B467" s="32"/>
      <c r="C467" s="32"/>
      <c r="D467" s="32"/>
    </row>
    <row r="468">
      <c r="A468" s="32"/>
      <c r="B468" s="32"/>
      <c r="C468" s="32"/>
      <c r="D468" s="32"/>
    </row>
    <row r="469">
      <c r="A469" s="32"/>
      <c r="B469" s="32"/>
      <c r="C469" s="32"/>
      <c r="D469" s="32"/>
    </row>
    <row r="470">
      <c r="A470" s="32"/>
      <c r="B470" s="32"/>
      <c r="C470" s="32"/>
      <c r="D470" s="32"/>
    </row>
    <row r="471">
      <c r="A471" s="32"/>
      <c r="B471" s="32"/>
      <c r="C471" s="32"/>
      <c r="D471" s="32"/>
    </row>
    <row r="472">
      <c r="A472" s="32"/>
      <c r="B472" s="32"/>
      <c r="C472" s="32"/>
      <c r="D472" s="32"/>
    </row>
    <row r="473">
      <c r="A473" s="32"/>
      <c r="B473" s="32"/>
      <c r="C473" s="32"/>
      <c r="D473" s="32"/>
    </row>
    <row r="474">
      <c r="A474" s="32"/>
      <c r="B474" s="32"/>
      <c r="C474" s="32"/>
      <c r="D474" s="32"/>
    </row>
    <row r="475">
      <c r="A475" s="32"/>
      <c r="B475" s="32"/>
      <c r="C475" s="32"/>
      <c r="D475" s="32"/>
    </row>
    <row r="476">
      <c r="A476" s="32"/>
      <c r="B476" s="32"/>
      <c r="C476" s="32"/>
      <c r="D476" s="32"/>
    </row>
    <row r="477">
      <c r="A477" s="32"/>
      <c r="B477" s="32"/>
      <c r="C477" s="32"/>
      <c r="D477" s="32"/>
    </row>
    <row r="478">
      <c r="A478" s="32"/>
      <c r="B478" s="32"/>
      <c r="C478" s="32"/>
      <c r="D478" s="32"/>
    </row>
    <row r="479">
      <c r="A479" s="32"/>
      <c r="B479" s="32"/>
      <c r="C479" s="32"/>
      <c r="D479" s="32"/>
    </row>
    <row r="480">
      <c r="A480" s="32"/>
      <c r="B480" s="32"/>
      <c r="C480" s="32"/>
      <c r="D480" s="32"/>
    </row>
    <row r="481">
      <c r="A481" s="32"/>
      <c r="B481" s="32"/>
      <c r="C481" s="32"/>
      <c r="D481" s="32"/>
    </row>
    <row r="482">
      <c r="A482" s="32"/>
      <c r="B482" s="32"/>
      <c r="C482" s="32"/>
      <c r="D482" s="32"/>
    </row>
    <row r="483">
      <c r="A483" s="32"/>
      <c r="B483" s="32"/>
      <c r="C483" s="32"/>
      <c r="D483" s="32"/>
    </row>
    <row r="484">
      <c r="A484" s="32"/>
      <c r="B484" s="32"/>
      <c r="C484" s="32"/>
      <c r="D484" s="32"/>
    </row>
    <row r="485">
      <c r="A485" s="32"/>
      <c r="B485" s="32"/>
      <c r="C485" s="32"/>
      <c r="D485" s="32"/>
    </row>
    <row r="486">
      <c r="A486" s="32"/>
      <c r="B486" s="32"/>
      <c r="C486" s="32"/>
      <c r="D486" s="32"/>
    </row>
    <row r="487">
      <c r="A487" s="32"/>
      <c r="B487" s="32"/>
      <c r="C487" s="32"/>
      <c r="D487" s="32"/>
    </row>
    <row r="488">
      <c r="A488" s="32"/>
      <c r="B488" s="32"/>
      <c r="C488" s="32"/>
      <c r="D488" s="32"/>
    </row>
    <row r="489">
      <c r="A489" s="32"/>
      <c r="B489" s="32"/>
      <c r="C489" s="32"/>
      <c r="D489" s="32"/>
    </row>
    <row r="490">
      <c r="A490" s="32"/>
      <c r="B490" s="32"/>
      <c r="C490" s="32"/>
      <c r="D490" s="32"/>
    </row>
    <row r="491">
      <c r="A491" s="32"/>
      <c r="B491" s="32"/>
      <c r="C491" s="32"/>
      <c r="D491" s="32"/>
    </row>
    <row r="492">
      <c r="A492" s="32"/>
      <c r="B492" s="32"/>
      <c r="C492" s="32"/>
      <c r="D492" s="32"/>
    </row>
    <row r="493">
      <c r="A493" s="32"/>
      <c r="B493" s="32"/>
      <c r="C493" s="32"/>
      <c r="D493" s="32"/>
    </row>
    <row r="494">
      <c r="A494" s="32"/>
      <c r="B494" s="32"/>
      <c r="C494" s="32"/>
      <c r="D494" s="32"/>
    </row>
    <row r="495">
      <c r="A495" s="32"/>
      <c r="B495" s="32"/>
      <c r="C495" s="32"/>
      <c r="D495" s="32"/>
    </row>
    <row r="496">
      <c r="A496" s="32"/>
      <c r="B496" s="32"/>
      <c r="C496" s="32"/>
      <c r="D496" s="32"/>
    </row>
    <row r="497">
      <c r="A497" s="32"/>
      <c r="B497" s="32"/>
      <c r="C497" s="32"/>
      <c r="D497" s="32"/>
    </row>
    <row r="498">
      <c r="A498" s="32"/>
      <c r="B498" s="32"/>
      <c r="C498" s="32"/>
      <c r="D498" s="32"/>
    </row>
    <row r="499">
      <c r="A499" s="32"/>
      <c r="B499" s="32"/>
      <c r="C499" s="32"/>
      <c r="D499" s="32"/>
    </row>
    <row r="500">
      <c r="A500" s="32"/>
      <c r="B500" s="32"/>
      <c r="C500" s="32"/>
      <c r="D500" s="32"/>
    </row>
    <row r="501">
      <c r="A501" s="32"/>
      <c r="B501" s="32"/>
      <c r="C501" s="32"/>
      <c r="D501" s="32"/>
    </row>
    <row r="502">
      <c r="A502" s="32"/>
      <c r="B502" s="32"/>
      <c r="C502" s="32"/>
      <c r="D502" s="32"/>
    </row>
    <row r="503">
      <c r="A503" s="32"/>
      <c r="B503" s="32"/>
      <c r="C503" s="32"/>
      <c r="D503" s="32"/>
    </row>
    <row r="504">
      <c r="A504" s="32"/>
      <c r="B504" s="32"/>
      <c r="C504" s="32"/>
      <c r="D504" s="32"/>
    </row>
    <row r="505">
      <c r="A505" s="32"/>
      <c r="B505" s="32"/>
      <c r="C505" s="32"/>
      <c r="D505" s="32"/>
    </row>
    <row r="506">
      <c r="A506" s="32"/>
      <c r="B506" s="32"/>
      <c r="C506" s="32"/>
      <c r="D506" s="32"/>
    </row>
    <row r="507">
      <c r="A507" s="32"/>
      <c r="B507" s="32"/>
      <c r="C507" s="32"/>
      <c r="D507" s="32"/>
    </row>
    <row r="508">
      <c r="A508" s="32"/>
      <c r="B508" s="32"/>
      <c r="C508" s="32"/>
      <c r="D508" s="32"/>
    </row>
    <row r="509">
      <c r="A509" s="32"/>
      <c r="B509" s="32"/>
      <c r="C509" s="32"/>
      <c r="D509" s="32"/>
    </row>
    <row r="510">
      <c r="A510" s="32"/>
      <c r="B510" s="32"/>
      <c r="C510" s="32"/>
      <c r="D510" s="32"/>
    </row>
    <row r="511">
      <c r="A511" s="32"/>
      <c r="B511" s="32"/>
      <c r="C511" s="32"/>
      <c r="D511" s="32"/>
    </row>
    <row r="512">
      <c r="A512" s="32"/>
      <c r="B512" s="32"/>
      <c r="C512" s="32"/>
      <c r="D512" s="32"/>
    </row>
    <row r="513">
      <c r="A513" s="32"/>
      <c r="B513" s="32"/>
      <c r="C513" s="32"/>
      <c r="D513" s="32"/>
    </row>
    <row r="514">
      <c r="A514" s="32"/>
      <c r="B514" s="32"/>
      <c r="C514" s="32"/>
      <c r="D514" s="32"/>
    </row>
    <row r="515">
      <c r="A515" s="32"/>
      <c r="B515" s="32"/>
      <c r="C515" s="32"/>
      <c r="D515" s="32"/>
    </row>
    <row r="516">
      <c r="A516" s="32"/>
      <c r="B516" s="32"/>
      <c r="C516" s="32"/>
      <c r="D516" s="32"/>
    </row>
    <row r="517">
      <c r="A517" s="32"/>
      <c r="B517" s="32"/>
      <c r="C517" s="32"/>
      <c r="D517" s="32"/>
    </row>
    <row r="518">
      <c r="A518" s="32"/>
      <c r="B518" s="32"/>
      <c r="C518" s="32"/>
      <c r="D518" s="32"/>
    </row>
    <row r="519">
      <c r="A519" s="32"/>
      <c r="B519" s="32"/>
      <c r="C519" s="32"/>
      <c r="D519" s="32"/>
    </row>
    <row r="520">
      <c r="A520" s="32"/>
      <c r="B520" s="32"/>
      <c r="C520" s="32"/>
      <c r="D520" s="32"/>
    </row>
    <row r="521">
      <c r="A521" s="32"/>
      <c r="B521" s="32"/>
      <c r="C521" s="32"/>
      <c r="D521" s="32"/>
    </row>
    <row r="522">
      <c r="A522" s="32"/>
      <c r="B522" s="32"/>
      <c r="C522" s="32"/>
      <c r="D522" s="32"/>
    </row>
    <row r="523">
      <c r="A523" s="32"/>
      <c r="B523" s="32"/>
      <c r="C523" s="32"/>
      <c r="D523" s="32"/>
    </row>
    <row r="524">
      <c r="A524" s="32"/>
      <c r="B524" s="32"/>
      <c r="C524" s="32"/>
      <c r="D524" s="32"/>
    </row>
    <row r="525">
      <c r="A525" s="32"/>
      <c r="B525" s="32"/>
      <c r="C525" s="32"/>
      <c r="D525" s="32"/>
    </row>
    <row r="526">
      <c r="A526" s="32"/>
      <c r="B526" s="32"/>
      <c r="C526" s="32"/>
      <c r="D526" s="32"/>
    </row>
    <row r="527">
      <c r="A527" s="32"/>
      <c r="B527" s="32"/>
      <c r="C527" s="32"/>
      <c r="D527" s="32"/>
    </row>
    <row r="528">
      <c r="A528" s="32"/>
      <c r="B528" s="32"/>
      <c r="C528" s="32"/>
      <c r="D528" s="32"/>
    </row>
    <row r="529">
      <c r="A529" s="32"/>
      <c r="B529" s="32"/>
      <c r="C529" s="32"/>
      <c r="D529" s="32"/>
    </row>
    <row r="530">
      <c r="A530" s="32"/>
      <c r="B530" s="32"/>
      <c r="C530" s="32"/>
      <c r="D530" s="32"/>
    </row>
    <row r="531">
      <c r="A531" s="32"/>
      <c r="B531" s="32"/>
      <c r="C531" s="32"/>
      <c r="D531" s="32"/>
    </row>
    <row r="532">
      <c r="A532" s="32"/>
      <c r="B532" s="32"/>
      <c r="C532" s="32"/>
      <c r="D532" s="32"/>
    </row>
    <row r="533">
      <c r="A533" s="32"/>
      <c r="B533" s="32"/>
      <c r="C533" s="32"/>
      <c r="D533" s="32"/>
    </row>
    <row r="534">
      <c r="A534" s="32"/>
      <c r="B534" s="32"/>
      <c r="C534" s="32"/>
      <c r="D534" s="32"/>
    </row>
    <row r="535">
      <c r="A535" s="32"/>
      <c r="B535" s="32"/>
      <c r="C535" s="32"/>
      <c r="D535" s="32"/>
    </row>
    <row r="536">
      <c r="A536" s="32"/>
      <c r="B536" s="32"/>
      <c r="C536" s="32"/>
      <c r="D536" s="32"/>
    </row>
    <row r="537">
      <c r="A537" s="32"/>
      <c r="B537" s="32"/>
      <c r="C537" s="32"/>
      <c r="D537" s="32"/>
    </row>
    <row r="538">
      <c r="A538" s="32"/>
      <c r="B538" s="32"/>
      <c r="C538" s="32"/>
      <c r="D538" s="32"/>
    </row>
    <row r="539">
      <c r="A539" s="32"/>
      <c r="B539" s="32"/>
      <c r="C539" s="32"/>
      <c r="D539" s="32"/>
    </row>
    <row r="540">
      <c r="A540" s="32"/>
      <c r="B540" s="32"/>
      <c r="C540" s="32"/>
      <c r="D540" s="32"/>
    </row>
    <row r="541">
      <c r="A541" s="32"/>
      <c r="B541" s="32"/>
      <c r="C541" s="32"/>
      <c r="D541" s="32"/>
    </row>
    <row r="542">
      <c r="A542" s="32"/>
      <c r="B542" s="32"/>
      <c r="C542" s="32"/>
      <c r="D542" s="32"/>
    </row>
    <row r="543">
      <c r="A543" s="32"/>
      <c r="B543" s="32"/>
      <c r="C543" s="32"/>
      <c r="D543" s="32"/>
    </row>
    <row r="544">
      <c r="A544" s="32"/>
      <c r="B544" s="32"/>
      <c r="C544" s="32"/>
      <c r="D544" s="32"/>
    </row>
    <row r="545">
      <c r="A545" s="32"/>
      <c r="B545" s="32"/>
      <c r="C545" s="32"/>
      <c r="D545" s="32"/>
    </row>
    <row r="546">
      <c r="A546" s="32"/>
      <c r="B546" s="32"/>
      <c r="C546" s="32"/>
      <c r="D546" s="32"/>
    </row>
    <row r="547">
      <c r="A547" s="32"/>
      <c r="B547" s="32"/>
      <c r="C547" s="32"/>
      <c r="D547" s="32"/>
    </row>
    <row r="548">
      <c r="A548" s="32"/>
      <c r="B548" s="32"/>
      <c r="C548" s="32"/>
      <c r="D548" s="32"/>
    </row>
    <row r="549">
      <c r="A549" s="32"/>
      <c r="B549" s="32"/>
      <c r="C549" s="32"/>
      <c r="D549" s="32"/>
    </row>
    <row r="550">
      <c r="A550" s="32"/>
      <c r="B550" s="32"/>
      <c r="C550" s="32"/>
      <c r="D550" s="32"/>
    </row>
    <row r="551">
      <c r="A551" s="32"/>
      <c r="B551" s="32"/>
      <c r="C551" s="32"/>
      <c r="D551" s="32"/>
    </row>
    <row r="552">
      <c r="A552" s="32"/>
      <c r="B552" s="32"/>
      <c r="C552" s="32"/>
      <c r="D552" s="32"/>
    </row>
    <row r="553">
      <c r="A553" s="32"/>
      <c r="B553" s="32"/>
      <c r="C553" s="32"/>
      <c r="D553" s="32"/>
    </row>
    <row r="554">
      <c r="A554" s="32"/>
      <c r="B554" s="32"/>
      <c r="C554" s="32"/>
      <c r="D554" s="32"/>
    </row>
    <row r="555">
      <c r="A555" s="32"/>
      <c r="B555" s="32"/>
      <c r="C555" s="32"/>
      <c r="D555" s="32"/>
    </row>
    <row r="556">
      <c r="A556" s="32"/>
      <c r="B556" s="32"/>
      <c r="C556" s="32"/>
      <c r="D556" s="32"/>
    </row>
    <row r="557">
      <c r="A557" s="32"/>
      <c r="B557" s="32"/>
      <c r="C557" s="32"/>
      <c r="D557" s="32"/>
    </row>
    <row r="558">
      <c r="A558" s="32"/>
      <c r="B558" s="32"/>
      <c r="C558" s="32"/>
      <c r="D558" s="32"/>
    </row>
    <row r="559">
      <c r="A559" s="32"/>
      <c r="B559" s="32"/>
      <c r="C559" s="32"/>
      <c r="D559" s="32"/>
    </row>
    <row r="560">
      <c r="A560" s="32"/>
      <c r="B560" s="32"/>
      <c r="C560" s="32"/>
      <c r="D560" s="32"/>
    </row>
    <row r="561">
      <c r="A561" s="32"/>
      <c r="B561" s="32"/>
      <c r="C561" s="32"/>
      <c r="D561" s="32"/>
    </row>
    <row r="562">
      <c r="A562" s="32"/>
      <c r="B562" s="32"/>
      <c r="C562" s="32"/>
      <c r="D562" s="32"/>
    </row>
    <row r="563">
      <c r="A563" s="32"/>
      <c r="B563" s="32"/>
      <c r="C563" s="32"/>
      <c r="D563" s="32"/>
    </row>
    <row r="564">
      <c r="A564" s="32"/>
      <c r="B564" s="32"/>
      <c r="C564" s="32"/>
      <c r="D564" s="32"/>
    </row>
    <row r="565">
      <c r="A565" s="32"/>
      <c r="B565" s="32"/>
      <c r="C565" s="32"/>
      <c r="D565" s="32"/>
    </row>
    <row r="566">
      <c r="A566" s="32"/>
      <c r="B566" s="32"/>
      <c r="C566" s="32"/>
      <c r="D566" s="32"/>
    </row>
    <row r="567">
      <c r="A567" s="32"/>
      <c r="B567" s="32"/>
      <c r="C567" s="32"/>
      <c r="D567" s="32"/>
    </row>
    <row r="568">
      <c r="A568" s="32"/>
      <c r="B568" s="32"/>
      <c r="C568" s="32"/>
      <c r="D568" s="32"/>
    </row>
    <row r="569">
      <c r="A569" s="32"/>
      <c r="B569" s="32"/>
      <c r="C569" s="32"/>
      <c r="D569" s="32"/>
    </row>
    <row r="570">
      <c r="A570" s="32"/>
      <c r="B570" s="32"/>
      <c r="C570" s="32"/>
      <c r="D570" s="32"/>
    </row>
    <row r="571">
      <c r="A571" s="32"/>
      <c r="B571" s="32"/>
      <c r="C571" s="32"/>
      <c r="D571" s="32"/>
    </row>
    <row r="572">
      <c r="A572" s="32"/>
      <c r="B572" s="32"/>
      <c r="C572" s="32"/>
      <c r="D572" s="32"/>
    </row>
    <row r="573">
      <c r="A573" s="32"/>
      <c r="B573" s="32"/>
      <c r="C573" s="32"/>
      <c r="D573" s="32"/>
    </row>
    <row r="574">
      <c r="A574" s="32"/>
      <c r="B574" s="32"/>
      <c r="C574" s="32"/>
      <c r="D574" s="32"/>
    </row>
    <row r="575">
      <c r="A575" s="32"/>
      <c r="B575" s="32"/>
      <c r="C575" s="32"/>
      <c r="D575" s="32"/>
    </row>
    <row r="576">
      <c r="A576" s="32"/>
      <c r="B576" s="32"/>
      <c r="C576" s="32"/>
      <c r="D576" s="32"/>
    </row>
    <row r="577">
      <c r="A577" s="32"/>
      <c r="B577" s="32"/>
      <c r="C577" s="32"/>
      <c r="D577" s="32"/>
    </row>
    <row r="578">
      <c r="A578" s="32"/>
      <c r="B578" s="32"/>
      <c r="C578" s="32"/>
      <c r="D578" s="32"/>
    </row>
    <row r="579">
      <c r="A579" s="32"/>
      <c r="B579" s="32"/>
      <c r="C579" s="32"/>
      <c r="D579" s="32"/>
    </row>
    <row r="580">
      <c r="A580" s="32"/>
      <c r="B580" s="32"/>
      <c r="C580" s="32"/>
      <c r="D580" s="32"/>
    </row>
    <row r="581">
      <c r="A581" s="32"/>
      <c r="B581" s="32"/>
      <c r="C581" s="32"/>
      <c r="D581" s="32"/>
    </row>
    <row r="582">
      <c r="A582" s="32"/>
      <c r="B582" s="32"/>
      <c r="C582" s="32"/>
      <c r="D582" s="32"/>
    </row>
    <row r="583">
      <c r="A583" s="32"/>
      <c r="B583" s="32"/>
      <c r="C583" s="32"/>
      <c r="D583" s="32"/>
    </row>
    <row r="584">
      <c r="A584" s="32"/>
      <c r="B584" s="32"/>
      <c r="C584" s="32"/>
      <c r="D584" s="32"/>
    </row>
    <row r="585">
      <c r="A585" s="32"/>
      <c r="B585" s="32"/>
      <c r="C585" s="32"/>
      <c r="D585" s="32"/>
    </row>
    <row r="586">
      <c r="A586" s="32"/>
      <c r="B586" s="32"/>
      <c r="C586" s="32"/>
      <c r="D586" s="32"/>
    </row>
    <row r="587">
      <c r="A587" s="32"/>
      <c r="B587" s="32"/>
      <c r="C587" s="32"/>
      <c r="D587" s="32"/>
    </row>
    <row r="588">
      <c r="A588" s="32"/>
      <c r="B588" s="32"/>
      <c r="C588" s="32"/>
      <c r="D588" s="32"/>
    </row>
    <row r="589">
      <c r="A589" s="32"/>
      <c r="B589" s="32"/>
      <c r="C589" s="32"/>
      <c r="D589" s="32"/>
    </row>
    <row r="590">
      <c r="A590" s="32"/>
      <c r="B590" s="32"/>
      <c r="C590" s="32"/>
      <c r="D590" s="32"/>
    </row>
    <row r="591">
      <c r="A591" s="32"/>
      <c r="B591" s="32"/>
      <c r="C591" s="32"/>
      <c r="D591" s="32"/>
    </row>
    <row r="592">
      <c r="A592" s="32"/>
      <c r="B592" s="32"/>
      <c r="C592" s="32"/>
      <c r="D592" s="32"/>
    </row>
    <row r="593">
      <c r="A593" s="32"/>
      <c r="B593" s="32"/>
      <c r="C593" s="32"/>
      <c r="D593" s="32"/>
    </row>
    <row r="594">
      <c r="A594" s="32"/>
      <c r="B594" s="32"/>
      <c r="C594" s="32"/>
      <c r="D594" s="32"/>
    </row>
    <row r="595">
      <c r="A595" s="32"/>
      <c r="B595" s="32"/>
      <c r="C595" s="32"/>
      <c r="D595" s="32"/>
    </row>
    <row r="596">
      <c r="A596" s="32"/>
      <c r="B596" s="32"/>
      <c r="C596" s="32"/>
      <c r="D596" s="32"/>
    </row>
    <row r="597">
      <c r="A597" s="32"/>
      <c r="B597" s="32"/>
      <c r="C597" s="32"/>
      <c r="D597" s="32"/>
    </row>
    <row r="598">
      <c r="A598" s="32"/>
      <c r="B598" s="32"/>
      <c r="C598" s="32"/>
      <c r="D598" s="32"/>
    </row>
    <row r="599">
      <c r="A599" s="32"/>
      <c r="B599" s="32"/>
      <c r="C599" s="32"/>
      <c r="D599" s="32"/>
    </row>
    <row r="600">
      <c r="A600" s="32"/>
      <c r="B600" s="32"/>
      <c r="C600" s="32"/>
      <c r="D600" s="32"/>
    </row>
    <row r="601">
      <c r="A601" s="32"/>
      <c r="B601" s="32"/>
      <c r="C601" s="32"/>
      <c r="D601" s="32"/>
    </row>
    <row r="602">
      <c r="A602" s="32"/>
      <c r="B602" s="32"/>
      <c r="C602" s="32"/>
      <c r="D602" s="32"/>
    </row>
    <row r="603">
      <c r="A603" s="32"/>
      <c r="B603" s="32"/>
      <c r="C603" s="32"/>
      <c r="D603" s="32"/>
    </row>
    <row r="604">
      <c r="A604" s="32"/>
      <c r="B604" s="32"/>
      <c r="C604" s="32"/>
      <c r="D604" s="32"/>
    </row>
    <row r="605">
      <c r="A605" s="32"/>
      <c r="B605" s="32"/>
      <c r="C605" s="32"/>
      <c r="D605" s="32"/>
    </row>
    <row r="606">
      <c r="A606" s="32"/>
      <c r="B606" s="32"/>
      <c r="C606" s="32"/>
      <c r="D606" s="32"/>
    </row>
    <row r="607">
      <c r="A607" s="32"/>
      <c r="B607" s="32"/>
      <c r="C607" s="32"/>
      <c r="D607" s="32"/>
    </row>
    <row r="608">
      <c r="A608" s="32"/>
      <c r="B608" s="32"/>
      <c r="C608" s="32"/>
      <c r="D608" s="32"/>
    </row>
    <row r="609">
      <c r="A609" s="32"/>
      <c r="B609" s="32"/>
      <c r="C609" s="32"/>
      <c r="D609" s="32"/>
    </row>
    <row r="610">
      <c r="A610" s="32"/>
      <c r="B610" s="32"/>
      <c r="C610" s="32"/>
      <c r="D610" s="32"/>
    </row>
    <row r="611">
      <c r="A611" s="32"/>
      <c r="B611" s="32"/>
      <c r="C611" s="32"/>
      <c r="D611" s="32"/>
    </row>
    <row r="612">
      <c r="A612" s="32"/>
      <c r="B612" s="32"/>
      <c r="C612" s="32"/>
      <c r="D612" s="32"/>
    </row>
    <row r="613">
      <c r="A613" s="32"/>
      <c r="B613" s="32"/>
      <c r="C613" s="32"/>
      <c r="D613" s="32"/>
    </row>
    <row r="614">
      <c r="A614" s="32"/>
      <c r="B614" s="32"/>
      <c r="C614" s="32"/>
      <c r="D614" s="32"/>
    </row>
    <row r="615">
      <c r="A615" s="32"/>
      <c r="B615" s="32"/>
      <c r="C615" s="32"/>
      <c r="D615" s="32"/>
    </row>
    <row r="616">
      <c r="A616" s="32"/>
      <c r="B616" s="32"/>
      <c r="C616" s="32"/>
      <c r="D616" s="32"/>
    </row>
    <row r="617">
      <c r="A617" s="32"/>
      <c r="B617" s="32"/>
      <c r="C617" s="32"/>
      <c r="D617" s="32"/>
    </row>
    <row r="618">
      <c r="A618" s="32"/>
      <c r="B618" s="32"/>
      <c r="C618" s="32"/>
      <c r="D618" s="32"/>
    </row>
    <row r="619">
      <c r="A619" s="32"/>
      <c r="B619" s="32"/>
      <c r="C619" s="32"/>
      <c r="D619" s="32"/>
    </row>
    <row r="620">
      <c r="A620" s="32"/>
      <c r="B620" s="32"/>
      <c r="C620" s="32"/>
      <c r="D620" s="32"/>
    </row>
    <row r="621">
      <c r="A621" s="32"/>
      <c r="B621" s="32"/>
      <c r="C621" s="32"/>
      <c r="D621" s="32"/>
    </row>
    <row r="622">
      <c r="A622" s="32"/>
      <c r="B622" s="32"/>
      <c r="C622" s="32"/>
      <c r="D622" s="32"/>
    </row>
    <row r="623">
      <c r="A623" s="32"/>
      <c r="B623" s="32"/>
      <c r="C623" s="32"/>
      <c r="D623" s="32"/>
    </row>
    <row r="624">
      <c r="A624" s="32"/>
      <c r="B624" s="32"/>
      <c r="C624" s="32"/>
      <c r="D624" s="32"/>
    </row>
    <row r="625">
      <c r="A625" s="32"/>
      <c r="B625" s="32"/>
      <c r="C625" s="32"/>
      <c r="D625" s="32"/>
    </row>
    <row r="626">
      <c r="A626" s="32"/>
      <c r="B626" s="32"/>
      <c r="C626" s="32"/>
      <c r="D626" s="32"/>
    </row>
    <row r="627">
      <c r="A627" s="32"/>
      <c r="B627" s="32"/>
      <c r="C627" s="32"/>
      <c r="D627" s="32"/>
    </row>
    <row r="628">
      <c r="A628" s="32"/>
      <c r="B628" s="32"/>
      <c r="C628" s="32"/>
      <c r="D628" s="32"/>
    </row>
    <row r="629">
      <c r="A629" s="32"/>
      <c r="B629" s="32"/>
      <c r="C629" s="32"/>
      <c r="D629" s="32"/>
    </row>
    <row r="630">
      <c r="A630" s="32"/>
      <c r="B630" s="32"/>
      <c r="C630" s="32"/>
      <c r="D630" s="32"/>
    </row>
    <row r="631">
      <c r="A631" s="32"/>
      <c r="B631" s="32"/>
      <c r="C631" s="32"/>
      <c r="D631" s="32"/>
    </row>
    <row r="632">
      <c r="A632" s="32"/>
      <c r="B632" s="32"/>
      <c r="C632" s="32"/>
      <c r="D632" s="32"/>
    </row>
    <row r="633">
      <c r="A633" s="32"/>
      <c r="B633" s="32"/>
      <c r="C633" s="32"/>
      <c r="D633" s="32"/>
    </row>
    <row r="634">
      <c r="A634" s="32"/>
      <c r="B634" s="32"/>
      <c r="C634" s="32"/>
      <c r="D634" s="32"/>
    </row>
    <row r="635">
      <c r="A635" s="32"/>
      <c r="B635" s="32"/>
      <c r="C635" s="32"/>
      <c r="D635" s="32"/>
    </row>
    <row r="636">
      <c r="A636" s="32"/>
      <c r="B636" s="32"/>
      <c r="C636" s="32"/>
      <c r="D636" s="32"/>
    </row>
    <row r="637">
      <c r="A637" s="32"/>
      <c r="B637" s="32"/>
      <c r="C637" s="32"/>
      <c r="D637" s="32"/>
    </row>
    <row r="638">
      <c r="A638" s="32"/>
      <c r="B638" s="32"/>
      <c r="C638" s="32"/>
      <c r="D638" s="32"/>
    </row>
    <row r="639">
      <c r="A639" s="32"/>
      <c r="B639" s="32"/>
      <c r="C639" s="32"/>
      <c r="D639" s="32"/>
    </row>
    <row r="640">
      <c r="A640" s="32"/>
      <c r="B640" s="32"/>
      <c r="C640" s="32"/>
      <c r="D640" s="32"/>
    </row>
    <row r="641">
      <c r="A641" s="32"/>
      <c r="B641" s="32"/>
      <c r="C641" s="32"/>
      <c r="D641" s="32"/>
    </row>
    <row r="642">
      <c r="A642" s="32"/>
      <c r="B642" s="32"/>
      <c r="C642" s="32"/>
      <c r="D642" s="32"/>
    </row>
    <row r="643">
      <c r="A643" s="32"/>
      <c r="B643" s="32"/>
      <c r="C643" s="32"/>
      <c r="D643" s="32"/>
    </row>
    <row r="644">
      <c r="A644" s="32"/>
      <c r="B644" s="32"/>
      <c r="C644" s="32"/>
      <c r="D644" s="32"/>
    </row>
    <row r="645">
      <c r="A645" s="32"/>
      <c r="B645" s="32"/>
      <c r="C645" s="32"/>
      <c r="D645" s="32"/>
    </row>
    <row r="646">
      <c r="A646" s="32"/>
      <c r="B646" s="32"/>
      <c r="C646" s="32"/>
      <c r="D646" s="32"/>
    </row>
    <row r="647">
      <c r="A647" s="32"/>
      <c r="B647" s="32"/>
      <c r="C647" s="32"/>
      <c r="D647" s="32"/>
    </row>
    <row r="648">
      <c r="A648" s="32"/>
      <c r="B648" s="32"/>
      <c r="C648" s="32"/>
      <c r="D648" s="32"/>
    </row>
    <row r="649">
      <c r="A649" s="32"/>
      <c r="B649" s="32"/>
      <c r="C649" s="32"/>
      <c r="D649" s="32"/>
    </row>
    <row r="650">
      <c r="A650" s="32"/>
      <c r="B650" s="32"/>
      <c r="C650" s="32"/>
      <c r="D650" s="32"/>
    </row>
    <row r="651">
      <c r="A651" s="32"/>
      <c r="B651" s="32"/>
      <c r="C651" s="32"/>
      <c r="D651" s="32"/>
    </row>
    <row r="652">
      <c r="A652" s="32"/>
      <c r="B652" s="32"/>
      <c r="C652" s="32"/>
      <c r="D652" s="32"/>
    </row>
    <row r="653">
      <c r="A653" s="32"/>
      <c r="B653" s="32"/>
      <c r="C653" s="32"/>
      <c r="D653" s="32"/>
    </row>
    <row r="654">
      <c r="A654" s="32"/>
      <c r="B654" s="32"/>
      <c r="C654" s="32"/>
      <c r="D654" s="32"/>
    </row>
    <row r="655">
      <c r="A655" s="32"/>
      <c r="B655" s="32"/>
      <c r="C655" s="32"/>
      <c r="D655" s="32"/>
    </row>
    <row r="656">
      <c r="A656" s="32"/>
      <c r="B656" s="32"/>
      <c r="C656" s="32"/>
      <c r="D656" s="32"/>
    </row>
    <row r="657">
      <c r="A657" s="32"/>
      <c r="B657" s="32"/>
      <c r="C657" s="32"/>
      <c r="D657" s="32"/>
    </row>
    <row r="658">
      <c r="A658" s="32"/>
      <c r="B658" s="32"/>
      <c r="C658" s="32"/>
      <c r="D658" s="32"/>
    </row>
    <row r="659">
      <c r="A659" s="32"/>
      <c r="B659" s="32"/>
      <c r="C659" s="32"/>
      <c r="D659" s="32"/>
    </row>
    <row r="660">
      <c r="A660" s="32"/>
      <c r="B660" s="32"/>
      <c r="C660" s="32"/>
      <c r="D660" s="32"/>
    </row>
    <row r="661">
      <c r="A661" s="32"/>
      <c r="B661" s="32"/>
      <c r="C661" s="32"/>
      <c r="D661" s="32"/>
    </row>
    <row r="662">
      <c r="A662" s="32"/>
      <c r="B662" s="32"/>
      <c r="C662" s="32"/>
      <c r="D662" s="32"/>
    </row>
    <row r="663">
      <c r="A663" s="32"/>
      <c r="B663" s="32"/>
      <c r="C663" s="32"/>
      <c r="D663" s="32"/>
    </row>
    <row r="664">
      <c r="A664" s="32"/>
      <c r="B664" s="32"/>
      <c r="C664" s="32"/>
      <c r="D664" s="32"/>
    </row>
    <row r="665">
      <c r="A665" s="32"/>
      <c r="B665" s="32"/>
      <c r="C665" s="32"/>
      <c r="D665" s="32"/>
    </row>
    <row r="666">
      <c r="A666" s="32"/>
      <c r="B666" s="32"/>
      <c r="C666" s="32"/>
      <c r="D666" s="32"/>
    </row>
    <row r="667">
      <c r="A667" s="32"/>
      <c r="B667" s="32"/>
      <c r="C667" s="32"/>
      <c r="D667" s="32"/>
    </row>
    <row r="668">
      <c r="A668" s="32"/>
      <c r="B668" s="32"/>
      <c r="C668" s="32"/>
      <c r="D668" s="32"/>
    </row>
    <row r="669">
      <c r="A669" s="32"/>
      <c r="B669" s="32"/>
      <c r="C669" s="32"/>
      <c r="D669" s="32"/>
    </row>
    <row r="670">
      <c r="A670" s="32"/>
      <c r="B670" s="32"/>
      <c r="C670" s="32"/>
      <c r="D670" s="32"/>
    </row>
    <row r="671">
      <c r="A671" s="32"/>
      <c r="B671" s="32"/>
      <c r="C671" s="32"/>
      <c r="D671" s="32"/>
    </row>
    <row r="672">
      <c r="A672" s="32"/>
      <c r="B672" s="32"/>
      <c r="C672" s="32"/>
      <c r="D672" s="32"/>
    </row>
    <row r="673">
      <c r="A673" s="32"/>
      <c r="B673" s="32"/>
      <c r="C673" s="32"/>
      <c r="D673" s="32"/>
    </row>
    <row r="674">
      <c r="A674" s="32"/>
      <c r="B674" s="32"/>
      <c r="C674" s="32"/>
      <c r="D674" s="32"/>
    </row>
    <row r="675">
      <c r="A675" s="32"/>
      <c r="B675" s="32"/>
      <c r="C675" s="32"/>
      <c r="D675" s="32"/>
    </row>
    <row r="676">
      <c r="A676" s="32"/>
      <c r="B676" s="32"/>
      <c r="C676" s="32"/>
      <c r="D676" s="32"/>
    </row>
    <row r="677">
      <c r="A677" s="32"/>
      <c r="B677" s="32"/>
      <c r="C677" s="32"/>
      <c r="D677" s="32"/>
    </row>
    <row r="678">
      <c r="A678" s="32"/>
      <c r="B678" s="32"/>
      <c r="C678" s="32"/>
      <c r="D678" s="32"/>
    </row>
    <row r="679">
      <c r="A679" s="32"/>
      <c r="B679" s="32"/>
      <c r="C679" s="32"/>
      <c r="D679" s="32"/>
    </row>
    <row r="680">
      <c r="A680" s="32"/>
      <c r="B680" s="32"/>
      <c r="C680" s="32"/>
      <c r="D680" s="32"/>
    </row>
    <row r="681">
      <c r="A681" s="32"/>
      <c r="B681" s="32"/>
      <c r="C681" s="32"/>
      <c r="D681" s="32"/>
    </row>
    <row r="682">
      <c r="A682" s="32"/>
      <c r="B682" s="32"/>
      <c r="C682" s="32"/>
      <c r="D682" s="32"/>
    </row>
    <row r="683">
      <c r="A683" s="32"/>
      <c r="B683" s="32"/>
      <c r="C683" s="32"/>
      <c r="D683" s="32"/>
    </row>
    <row r="684">
      <c r="A684" s="32"/>
      <c r="B684" s="32"/>
      <c r="C684" s="32"/>
      <c r="D684" s="32"/>
    </row>
    <row r="685">
      <c r="A685" s="32"/>
      <c r="B685" s="32"/>
      <c r="C685" s="32"/>
      <c r="D685" s="32"/>
    </row>
    <row r="686">
      <c r="A686" s="32"/>
      <c r="B686" s="32"/>
      <c r="C686" s="32"/>
      <c r="D686" s="32"/>
    </row>
    <row r="687">
      <c r="A687" s="32"/>
      <c r="B687" s="32"/>
      <c r="C687" s="32"/>
      <c r="D687" s="32"/>
    </row>
    <row r="688">
      <c r="A688" s="32"/>
      <c r="B688" s="32"/>
      <c r="C688" s="32"/>
      <c r="D688" s="32"/>
    </row>
    <row r="689">
      <c r="A689" s="32"/>
      <c r="B689" s="32"/>
      <c r="C689" s="32"/>
      <c r="D689" s="32"/>
    </row>
    <row r="690">
      <c r="A690" s="32"/>
      <c r="B690" s="32"/>
      <c r="C690" s="32"/>
      <c r="D690" s="32"/>
    </row>
    <row r="691">
      <c r="A691" s="32"/>
      <c r="B691" s="32"/>
      <c r="C691" s="32"/>
      <c r="D691" s="32"/>
    </row>
    <row r="692">
      <c r="A692" s="32"/>
      <c r="B692" s="32"/>
      <c r="C692" s="32"/>
      <c r="D692" s="32"/>
    </row>
    <row r="693">
      <c r="A693" s="32"/>
      <c r="B693" s="32"/>
      <c r="C693" s="32"/>
      <c r="D693" s="32"/>
    </row>
    <row r="694">
      <c r="A694" s="32"/>
      <c r="B694" s="32"/>
      <c r="C694" s="32"/>
      <c r="D694" s="32"/>
    </row>
    <row r="695">
      <c r="A695" s="32"/>
      <c r="B695" s="32"/>
      <c r="C695" s="32"/>
      <c r="D695" s="32"/>
    </row>
    <row r="696">
      <c r="A696" s="32"/>
      <c r="B696" s="32"/>
      <c r="C696" s="32"/>
      <c r="D696" s="32"/>
    </row>
    <row r="697">
      <c r="A697" s="32"/>
      <c r="B697" s="32"/>
      <c r="C697" s="32"/>
      <c r="D697" s="32"/>
    </row>
    <row r="698">
      <c r="A698" s="32"/>
      <c r="B698" s="32"/>
      <c r="C698" s="32"/>
      <c r="D698" s="32"/>
    </row>
    <row r="699">
      <c r="A699" s="32"/>
      <c r="B699" s="32"/>
      <c r="C699" s="32"/>
      <c r="D699" s="32"/>
    </row>
    <row r="700">
      <c r="A700" s="32"/>
      <c r="B700" s="32"/>
      <c r="C700" s="32"/>
      <c r="D700" s="32"/>
    </row>
    <row r="701">
      <c r="A701" s="32"/>
      <c r="B701" s="32"/>
      <c r="C701" s="32"/>
      <c r="D701" s="32"/>
    </row>
    <row r="702">
      <c r="A702" s="32"/>
      <c r="B702" s="32"/>
      <c r="C702" s="32"/>
      <c r="D702" s="32"/>
    </row>
    <row r="703">
      <c r="A703" s="32"/>
      <c r="B703" s="32"/>
      <c r="C703" s="32"/>
      <c r="D703" s="32"/>
    </row>
    <row r="704">
      <c r="A704" s="32"/>
      <c r="B704" s="32"/>
      <c r="C704" s="32"/>
      <c r="D704" s="32"/>
    </row>
    <row r="705">
      <c r="A705" s="32"/>
      <c r="B705" s="32"/>
      <c r="C705" s="32"/>
      <c r="D705" s="32"/>
    </row>
    <row r="706">
      <c r="A706" s="32"/>
      <c r="B706" s="32"/>
      <c r="C706" s="32"/>
      <c r="D706" s="32"/>
    </row>
    <row r="707">
      <c r="A707" s="32"/>
      <c r="B707" s="32"/>
      <c r="C707" s="32"/>
      <c r="D707" s="32"/>
    </row>
    <row r="708">
      <c r="A708" s="32"/>
      <c r="B708" s="32"/>
      <c r="C708" s="32"/>
      <c r="D708" s="32"/>
    </row>
    <row r="709">
      <c r="A709" s="32"/>
      <c r="B709" s="32"/>
      <c r="C709" s="32"/>
      <c r="D709" s="32"/>
    </row>
    <row r="710">
      <c r="A710" s="32"/>
      <c r="B710" s="32"/>
      <c r="C710" s="32"/>
      <c r="D710" s="32"/>
    </row>
    <row r="711">
      <c r="A711" s="32"/>
      <c r="B711" s="32"/>
      <c r="C711" s="32"/>
      <c r="D711" s="32"/>
    </row>
    <row r="712">
      <c r="A712" s="32"/>
      <c r="B712" s="32"/>
      <c r="C712" s="32"/>
      <c r="D712" s="32"/>
    </row>
    <row r="713">
      <c r="A713" s="32"/>
      <c r="B713" s="32"/>
      <c r="C713" s="32"/>
      <c r="D713" s="32"/>
    </row>
    <row r="714">
      <c r="A714" s="32"/>
      <c r="B714" s="32"/>
      <c r="C714" s="32"/>
      <c r="D714" s="32"/>
    </row>
    <row r="715">
      <c r="A715" s="32"/>
      <c r="B715" s="32"/>
      <c r="C715" s="32"/>
      <c r="D715" s="32"/>
    </row>
    <row r="716">
      <c r="A716" s="32"/>
      <c r="B716" s="32"/>
      <c r="C716" s="32"/>
      <c r="D716" s="32"/>
    </row>
    <row r="717">
      <c r="A717" s="32"/>
      <c r="B717" s="32"/>
      <c r="C717" s="32"/>
      <c r="D717" s="32"/>
    </row>
    <row r="718">
      <c r="A718" s="32"/>
      <c r="B718" s="32"/>
      <c r="C718" s="32"/>
      <c r="D718" s="32"/>
    </row>
    <row r="719">
      <c r="A719" s="32"/>
      <c r="B719" s="32"/>
      <c r="C719" s="32"/>
      <c r="D719" s="32"/>
    </row>
    <row r="720">
      <c r="A720" s="32"/>
      <c r="B720" s="32"/>
      <c r="C720" s="32"/>
      <c r="D720" s="32"/>
    </row>
    <row r="721">
      <c r="A721" s="32"/>
      <c r="B721" s="32"/>
      <c r="C721" s="32"/>
      <c r="D721" s="32"/>
    </row>
    <row r="722">
      <c r="A722" s="32"/>
      <c r="B722" s="32"/>
      <c r="C722" s="32"/>
      <c r="D722" s="32"/>
    </row>
    <row r="723">
      <c r="A723" s="32"/>
      <c r="B723" s="32"/>
      <c r="C723" s="32"/>
      <c r="D723" s="32"/>
    </row>
    <row r="724">
      <c r="A724" s="32"/>
      <c r="B724" s="32"/>
      <c r="C724" s="32"/>
      <c r="D724" s="32"/>
    </row>
    <row r="725">
      <c r="A725" s="32"/>
      <c r="B725" s="32"/>
      <c r="C725" s="32"/>
      <c r="D725" s="32"/>
    </row>
    <row r="726">
      <c r="A726" s="32"/>
      <c r="B726" s="32"/>
      <c r="C726" s="32"/>
      <c r="D726" s="32"/>
    </row>
    <row r="727">
      <c r="A727" s="32"/>
      <c r="B727" s="32"/>
      <c r="C727" s="32"/>
      <c r="D727" s="32"/>
    </row>
    <row r="728">
      <c r="A728" s="32"/>
      <c r="B728" s="32"/>
      <c r="C728" s="32"/>
      <c r="D728" s="32"/>
    </row>
    <row r="729">
      <c r="A729" s="32"/>
      <c r="B729" s="32"/>
      <c r="C729" s="32"/>
      <c r="D729" s="32"/>
    </row>
    <row r="730">
      <c r="A730" s="32"/>
      <c r="B730" s="32"/>
      <c r="C730" s="32"/>
      <c r="D730" s="32"/>
    </row>
    <row r="731">
      <c r="A731" s="32"/>
      <c r="B731" s="32"/>
      <c r="C731" s="32"/>
      <c r="D731" s="32"/>
    </row>
    <row r="732">
      <c r="A732" s="32"/>
      <c r="B732" s="32"/>
      <c r="C732" s="32"/>
      <c r="D732" s="32"/>
    </row>
    <row r="733">
      <c r="A733" s="32"/>
      <c r="B733" s="32"/>
      <c r="C733" s="32"/>
      <c r="D733" s="32"/>
    </row>
    <row r="734">
      <c r="A734" s="32"/>
      <c r="B734" s="32"/>
      <c r="C734" s="32"/>
      <c r="D734" s="32"/>
    </row>
    <row r="735">
      <c r="A735" s="32"/>
      <c r="B735" s="32"/>
      <c r="C735" s="32"/>
      <c r="D735" s="32"/>
    </row>
    <row r="736">
      <c r="A736" s="32"/>
      <c r="B736" s="32"/>
      <c r="C736" s="32"/>
      <c r="D736" s="32"/>
    </row>
    <row r="737">
      <c r="A737" s="32"/>
      <c r="B737" s="32"/>
      <c r="C737" s="32"/>
      <c r="D737" s="32"/>
    </row>
    <row r="738">
      <c r="A738" s="32"/>
      <c r="B738" s="32"/>
      <c r="C738" s="32"/>
      <c r="D738" s="32"/>
    </row>
    <row r="739">
      <c r="A739" s="32"/>
      <c r="B739" s="32"/>
      <c r="C739" s="32"/>
      <c r="D739" s="32"/>
    </row>
    <row r="740">
      <c r="A740" s="32"/>
      <c r="B740" s="32"/>
      <c r="C740" s="32"/>
      <c r="D740" s="32"/>
    </row>
    <row r="741">
      <c r="A741" s="32"/>
      <c r="B741" s="32"/>
      <c r="C741" s="32"/>
      <c r="D741" s="32"/>
    </row>
    <row r="742">
      <c r="A742" s="32"/>
      <c r="B742" s="32"/>
      <c r="C742" s="32"/>
      <c r="D742" s="32"/>
    </row>
    <row r="743">
      <c r="A743" s="32"/>
      <c r="B743" s="32"/>
      <c r="C743" s="32"/>
      <c r="D743" s="32"/>
    </row>
    <row r="744">
      <c r="A744" s="32"/>
      <c r="B744" s="32"/>
      <c r="C744" s="32"/>
      <c r="D744" s="32"/>
    </row>
    <row r="745">
      <c r="A745" s="32"/>
      <c r="B745" s="32"/>
      <c r="C745" s="32"/>
      <c r="D745" s="32"/>
    </row>
    <row r="746">
      <c r="A746" s="32"/>
      <c r="B746" s="32"/>
      <c r="C746" s="32"/>
      <c r="D746" s="32"/>
    </row>
    <row r="747">
      <c r="A747" s="32"/>
      <c r="B747" s="32"/>
      <c r="C747" s="32"/>
      <c r="D747" s="32"/>
    </row>
    <row r="748">
      <c r="A748" s="32"/>
      <c r="B748" s="32"/>
      <c r="C748" s="32"/>
      <c r="D748" s="32"/>
    </row>
    <row r="749">
      <c r="A749" s="32"/>
      <c r="B749" s="32"/>
      <c r="C749" s="32"/>
      <c r="D749" s="32"/>
    </row>
    <row r="750">
      <c r="A750" s="32"/>
      <c r="B750" s="32"/>
      <c r="C750" s="32"/>
      <c r="D750" s="32"/>
    </row>
    <row r="751">
      <c r="A751" s="32"/>
      <c r="B751" s="32"/>
      <c r="C751" s="32"/>
      <c r="D751" s="32"/>
    </row>
    <row r="752">
      <c r="A752" s="32"/>
      <c r="B752" s="32"/>
      <c r="C752" s="32"/>
      <c r="D752" s="32"/>
    </row>
    <row r="753">
      <c r="A753" s="32"/>
      <c r="B753" s="32"/>
      <c r="C753" s="32"/>
      <c r="D753" s="32"/>
    </row>
    <row r="754">
      <c r="A754" s="32"/>
      <c r="B754" s="32"/>
      <c r="C754" s="32"/>
      <c r="D754" s="32"/>
    </row>
    <row r="755">
      <c r="A755" s="32"/>
      <c r="B755" s="32"/>
      <c r="C755" s="32"/>
      <c r="D755" s="32"/>
    </row>
    <row r="756">
      <c r="A756" s="32"/>
      <c r="B756" s="32"/>
      <c r="C756" s="32"/>
      <c r="D756" s="32"/>
    </row>
    <row r="757">
      <c r="A757" s="32"/>
      <c r="B757" s="32"/>
      <c r="C757" s="32"/>
      <c r="D757" s="32"/>
    </row>
    <row r="758">
      <c r="A758" s="32"/>
      <c r="B758" s="32"/>
      <c r="C758" s="32"/>
      <c r="D758" s="32"/>
    </row>
    <row r="759">
      <c r="A759" s="32"/>
      <c r="B759" s="32"/>
      <c r="C759" s="32"/>
      <c r="D759" s="32"/>
    </row>
    <row r="760">
      <c r="A760" s="32"/>
      <c r="B760" s="32"/>
      <c r="C760" s="32"/>
      <c r="D760" s="32"/>
    </row>
    <row r="761">
      <c r="A761" s="32"/>
      <c r="B761" s="32"/>
      <c r="C761" s="32"/>
      <c r="D761" s="32"/>
    </row>
    <row r="762">
      <c r="A762" s="32"/>
      <c r="B762" s="32"/>
      <c r="C762" s="32"/>
      <c r="D762" s="32"/>
    </row>
    <row r="763">
      <c r="A763" s="32"/>
      <c r="B763" s="32"/>
      <c r="C763" s="32"/>
      <c r="D763" s="32"/>
    </row>
    <row r="764">
      <c r="A764" s="32"/>
      <c r="B764" s="32"/>
      <c r="C764" s="32"/>
      <c r="D764" s="32"/>
    </row>
    <row r="765">
      <c r="A765" s="32"/>
      <c r="B765" s="32"/>
      <c r="C765" s="32"/>
      <c r="D765" s="32"/>
    </row>
    <row r="766">
      <c r="A766" s="32"/>
      <c r="B766" s="32"/>
      <c r="C766" s="32"/>
      <c r="D766" s="32"/>
    </row>
    <row r="767">
      <c r="A767" s="32"/>
      <c r="B767" s="32"/>
      <c r="C767" s="32"/>
      <c r="D767" s="32"/>
    </row>
    <row r="768">
      <c r="A768" s="32"/>
      <c r="B768" s="32"/>
      <c r="C768" s="32"/>
      <c r="D768" s="32"/>
    </row>
    <row r="769">
      <c r="A769" s="32"/>
      <c r="B769" s="32"/>
      <c r="C769" s="32"/>
      <c r="D769" s="32"/>
    </row>
    <row r="770">
      <c r="A770" s="32"/>
      <c r="B770" s="32"/>
      <c r="C770" s="32"/>
      <c r="D770" s="32"/>
    </row>
    <row r="771">
      <c r="A771" s="32"/>
      <c r="B771" s="32"/>
      <c r="C771" s="32"/>
      <c r="D771" s="32"/>
    </row>
    <row r="772">
      <c r="A772" s="32"/>
      <c r="B772" s="32"/>
      <c r="C772" s="32"/>
      <c r="D772" s="32"/>
    </row>
    <row r="773">
      <c r="A773" s="32"/>
      <c r="B773" s="32"/>
      <c r="C773" s="32"/>
      <c r="D773" s="32"/>
    </row>
    <row r="774">
      <c r="A774" s="32"/>
      <c r="B774" s="32"/>
      <c r="C774" s="32"/>
      <c r="D774" s="32"/>
    </row>
    <row r="775">
      <c r="A775" s="32"/>
      <c r="B775" s="32"/>
      <c r="C775" s="32"/>
      <c r="D775" s="32"/>
    </row>
    <row r="776">
      <c r="A776" s="32"/>
      <c r="B776" s="32"/>
      <c r="C776" s="32"/>
      <c r="D776" s="32"/>
    </row>
    <row r="777">
      <c r="A777" s="32"/>
      <c r="B777" s="32"/>
      <c r="C777" s="32"/>
      <c r="D777" s="32"/>
    </row>
    <row r="778">
      <c r="A778" s="32"/>
      <c r="B778" s="32"/>
      <c r="C778" s="32"/>
      <c r="D778" s="32"/>
    </row>
    <row r="779">
      <c r="A779" s="32"/>
      <c r="B779" s="32"/>
      <c r="C779" s="32"/>
      <c r="D779" s="32"/>
    </row>
    <row r="780">
      <c r="A780" s="32"/>
      <c r="B780" s="32"/>
      <c r="C780" s="32"/>
      <c r="D780" s="32"/>
    </row>
    <row r="781">
      <c r="A781" s="32"/>
      <c r="B781" s="32"/>
      <c r="C781" s="32"/>
      <c r="D781" s="32"/>
    </row>
    <row r="782">
      <c r="A782" s="32"/>
      <c r="B782" s="32"/>
      <c r="C782" s="32"/>
      <c r="D782" s="32"/>
    </row>
    <row r="783">
      <c r="A783" s="32"/>
      <c r="B783" s="32"/>
      <c r="C783" s="32"/>
      <c r="D783" s="32"/>
    </row>
    <row r="784">
      <c r="A784" s="32"/>
      <c r="B784" s="32"/>
      <c r="C784" s="32"/>
      <c r="D784" s="32"/>
    </row>
    <row r="785">
      <c r="A785" s="32"/>
      <c r="B785" s="32"/>
      <c r="C785" s="32"/>
      <c r="D785" s="32"/>
    </row>
    <row r="786">
      <c r="A786" s="32"/>
      <c r="B786" s="32"/>
      <c r="C786" s="32"/>
      <c r="D786" s="32"/>
    </row>
    <row r="787">
      <c r="A787" s="32"/>
      <c r="B787" s="32"/>
      <c r="C787" s="32"/>
      <c r="D787" s="32"/>
    </row>
    <row r="788">
      <c r="A788" s="32"/>
      <c r="B788" s="32"/>
      <c r="C788" s="32"/>
      <c r="D788" s="32"/>
    </row>
    <row r="789">
      <c r="A789" s="32"/>
      <c r="B789" s="32"/>
      <c r="C789" s="32"/>
      <c r="D789" s="32"/>
    </row>
    <row r="790">
      <c r="A790" s="32"/>
      <c r="B790" s="32"/>
      <c r="C790" s="32"/>
      <c r="D790" s="32"/>
    </row>
    <row r="791">
      <c r="A791" s="32"/>
      <c r="B791" s="32"/>
      <c r="C791" s="32"/>
      <c r="D791" s="32"/>
    </row>
    <row r="792">
      <c r="A792" s="32"/>
      <c r="B792" s="32"/>
      <c r="C792" s="32"/>
      <c r="D792" s="32"/>
    </row>
    <row r="793">
      <c r="A793" s="32"/>
      <c r="B793" s="32"/>
      <c r="C793" s="32"/>
      <c r="D793" s="32"/>
    </row>
    <row r="794">
      <c r="A794" s="32"/>
      <c r="B794" s="32"/>
      <c r="C794" s="32"/>
      <c r="D794" s="32"/>
    </row>
    <row r="795">
      <c r="A795" s="32"/>
      <c r="B795" s="32"/>
      <c r="C795" s="32"/>
      <c r="D795" s="32"/>
    </row>
    <row r="796">
      <c r="A796" s="32"/>
      <c r="B796" s="32"/>
      <c r="C796" s="32"/>
      <c r="D796" s="32"/>
    </row>
    <row r="797">
      <c r="A797" s="32"/>
      <c r="B797" s="32"/>
      <c r="C797" s="32"/>
      <c r="D797" s="32"/>
    </row>
    <row r="798">
      <c r="A798" s="32"/>
      <c r="B798" s="32"/>
      <c r="C798" s="32"/>
      <c r="D798" s="32"/>
    </row>
    <row r="799">
      <c r="A799" s="32"/>
      <c r="B799" s="32"/>
      <c r="C799" s="32"/>
      <c r="D799" s="32"/>
    </row>
    <row r="800">
      <c r="A800" s="32"/>
      <c r="B800" s="32"/>
      <c r="C800" s="32"/>
      <c r="D800" s="32"/>
    </row>
    <row r="801">
      <c r="A801" s="32"/>
      <c r="B801" s="32"/>
      <c r="C801" s="32"/>
      <c r="D801" s="32"/>
    </row>
    <row r="802">
      <c r="A802" s="32"/>
      <c r="B802" s="32"/>
      <c r="C802" s="32"/>
      <c r="D802" s="32"/>
    </row>
    <row r="803">
      <c r="A803" s="32"/>
      <c r="B803" s="32"/>
      <c r="C803" s="32"/>
      <c r="D803" s="32"/>
    </row>
    <row r="804">
      <c r="A804" s="32"/>
      <c r="B804" s="32"/>
      <c r="C804" s="32"/>
      <c r="D804" s="32"/>
    </row>
    <row r="805">
      <c r="A805" s="32"/>
      <c r="B805" s="32"/>
      <c r="C805" s="32"/>
      <c r="D805" s="32"/>
    </row>
    <row r="806">
      <c r="A806" s="32"/>
      <c r="B806" s="32"/>
      <c r="C806" s="32"/>
      <c r="D806" s="32"/>
    </row>
    <row r="807">
      <c r="A807" s="32"/>
      <c r="B807" s="32"/>
      <c r="C807" s="32"/>
      <c r="D807" s="32"/>
    </row>
    <row r="808">
      <c r="A808" s="32"/>
      <c r="B808" s="32"/>
      <c r="C808" s="32"/>
      <c r="D808" s="32"/>
    </row>
    <row r="809">
      <c r="A809" s="32"/>
      <c r="B809" s="32"/>
      <c r="C809" s="32"/>
      <c r="D809" s="32"/>
    </row>
    <row r="810">
      <c r="A810" s="32"/>
      <c r="B810" s="32"/>
      <c r="C810" s="32"/>
      <c r="D810" s="32"/>
    </row>
    <row r="811">
      <c r="A811" s="32"/>
      <c r="B811" s="32"/>
      <c r="C811" s="32"/>
      <c r="D811" s="32"/>
    </row>
    <row r="812">
      <c r="A812" s="32"/>
      <c r="B812" s="32"/>
      <c r="C812" s="32"/>
      <c r="D812" s="32"/>
    </row>
    <row r="813">
      <c r="A813" s="32"/>
      <c r="B813" s="32"/>
      <c r="C813" s="32"/>
      <c r="D813" s="32"/>
    </row>
    <row r="814">
      <c r="A814" s="32"/>
      <c r="B814" s="32"/>
      <c r="C814" s="32"/>
      <c r="D814" s="32"/>
    </row>
    <row r="815">
      <c r="A815" s="32"/>
      <c r="B815" s="32"/>
      <c r="C815" s="32"/>
      <c r="D815" s="32"/>
    </row>
    <row r="816">
      <c r="A816" s="32"/>
      <c r="B816" s="32"/>
      <c r="C816" s="32"/>
      <c r="D816" s="32"/>
    </row>
    <row r="817">
      <c r="A817" s="32"/>
      <c r="B817" s="32"/>
      <c r="C817" s="32"/>
      <c r="D817" s="32"/>
    </row>
    <row r="818">
      <c r="A818" s="32"/>
      <c r="B818" s="32"/>
      <c r="C818" s="32"/>
      <c r="D818" s="32"/>
    </row>
    <row r="819">
      <c r="A819" s="32"/>
      <c r="B819" s="32"/>
      <c r="C819" s="32"/>
      <c r="D819" s="32"/>
    </row>
    <row r="820">
      <c r="A820" s="32"/>
      <c r="B820" s="32"/>
      <c r="C820" s="32"/>
      <c r="D820" s="32"/>
    </row>
    <row r="821">
      <c r="A821" s="32"/>
      <c r="B821" s="32"/>
      <c r="C821" s="32"/>
      <c r="D821" s="32"/>
    </row>
    <row r="822">
      <c r="A822" s="32"/>
      <c r="B822" s="32"/>
      <c r="C822" s="32"/>
      <c r="D822" s="32"/>
    </row>
    <row r="823">
      <c r="A823" s="32"/>
      <c r="B823" s="32"/>
      <c r="C823" s="32"/>
      <c r="D823" s="32"/>
    </row>
    <row r="824">
      <c r="A824" s="32"/>
      <c r="B824" s="32"/>
      <c r="C824" s="32"/>
      <c r="D824" s="32"/>
    </row>
    <row r="825">
      <c r="A825" s="32"/>
      <c r="B825" s="32"/>
      <c r="C825" s="32"/>
      <c r="D825" s="32"/>
    </row>
    <row r="826">
      <c r="A826" s="32"/>
      <c r="B826" s="32"/>
      <c r="C826" s="32"/>
      <c r="D826" s="32"/>
    </row>
    <row r="827">
      <c r="A827" s="32"/>
      <c r="B827" s="32"/>
      <c r="C827" s="32"/>
      <c r="D827" s="32"/>
    </row>
    <row r="828">
      <c r="A828" s="32"/>
      <c r="B828" s="32"/>
      <c r="C828" s="32"/>
      <c r="D828" s="32"/>
    </row>
    <row r="829">
      <c r="A829" s="32"/>
      <c r="B829" s="32"/>
      <c r="C829" s="32"/>
      <c r="D829" s="32"/>
    </row>
    <row r="830">
      <c r="A830" s="32"/>
      <c r="B830" s="32"/>
      <c r="C830" s="32"/>
      <c r="D830" s="32"/>
    </row>
    <row r="831">
      <c r="A831" s="32"/>
      <c r="B831" s="32"/>
      <c r="C831" s="32"/>
      <c r="D831" s="32"/>
    </row>
    <row r="832">
      <c r="A832" s="32"/>
      <c r="B832" s="32"/>
      <c r="C832" s="32"/>
      <c r="D832" s="32"/>
    </row>
    <row r="833">
      <c r="A833" s="32"/>
      <c r="B833" s="32"/>
      <c r="C833" s="32"/>
      <c r="D833" s="32"/>
    </row>
    <row r="834">
      <c r="A834" s="32"/>
      <c r="B834" s="32"/>
      <c r="C834" s="32"/>
      <c r="D834" s="32"/>
    </row>
    <row r="835">
      <c r="A835" s="32"/>
      <c r="B835" s="32"/>
      <c r="C835" s="32"/>
      <c r="D835" s="32"/>
    </row>
    <row r="836">
      <c r="A836" s="32"/>
      <c r="B836" s="32"/>
      <c r="C836" s="32"/>
      <c r="D836" s="32"/>
    </row>
    <row r="837">
      <c r="A837" s="32"/>
      <c r="B837" s="32"/>
      <c r="C837" s="32"/>
      <c r="D837" s="32"/>
    </row>
    <row r="838">
      <c r="A838" s="32"/>
      <c r="B838" s="32"/>
      <c r="C838" s="32"/>
      <c r="D838" s="32"/>
    </row>
    <row r="839">
      <c r="A839" s="32"/>
      <c r="B839" s="32"/>
      <c r="C839" s="32"/>
      <c r="D839" s="32"/>
    </row>
    <row r="840">
      <c r="A840" s="32"/>
      <c r="B840" s="32"/>
      <c r="C840" s="32"/>
      <c r="D840" s="32"/>
    </row>
    <row r="841">
      <c r="A841" s="32"/>
      <c r="B841" s="32"/>
      <c r="C841" s="32"/>
      <c r="D841" s="32"/>
    </row>
    <row r="842">
      <c r="A842" s="32"/>
      <c r="B842" s="32"/>
      <c r="C842" s="32"/>
      <c r="D842" s="32"/>
    </row>
    <row r="843">
      <c r="A843" s="32"/>
      <c r="B843" s="32"/>
      <c r="C843" s="32"/>
      <c r="D843" s="32"/>
    </row>
    <row r="844">
      <c r="A844" s="32"/>
      <c r="B844" s="32"/>
      <c r="C844" s="32"/>
      <c r="D844" s="32"/>
    </row>
    <row r="845">
      <c r="A845" s="32"/>
      <c r="B845" s="32"/>
      <c r="C845" s="32"/>
      <c r="D845" s="32"/>
    </row>
    <row r="846">
      <c r="A846" s="32"/>
      <c r="B846" s="32"/>
      <c r="C846" s="32"/>
      <c r="D846" s="32"/>
    </row>
    <row r="847">
      <c r="A847" s="32"/>
      <c r="B847" s="32"/>
      <c r="C847" s="32"/>
      <c r="D847" s="32"/>
    </row>
    <row r="848">
      <c r="A848" s="32"/>
      <c r="B848" s="32"/>
      <c r="C848" s="32"/>
      <c r="D848" s="32"/>
    </row>
    <row r="849">
      <c r="A849" s="32"/>
      <c r="B849" s="32"/>
      <c r="C849" s="32"/>
      <c r="D849" s="32"/>
    </row>
    <row r="850">
      <c r="A850" s="32"/>
      <c r="B850" s="32"/>
      <c r="C850" s="32"/>
      <c r="D850" s="32"/>
    </row>
    <row r="851">
      <c r="A851" s="32"/>
      <c r="B851" s="32"/>
      <c r="C851" s="32"/>
      <c r="D851" s="32"/>
    </row>
    <row r="852">
      <c r="A852" s="32"/>
      <c r="B852" s="32"/>
      <c r="C852" s="32"/>
      <c r="D852" s="32"/>
    </row>
    <row r="853">
      <c r="A853" s="32"/>
      <c r="B853" s="32"/>
      <c r="C853" s="32"/>
      <c r="D853" s="32"/>
    </row>
    <row r="854">
      <c r="A854" s="32"/>
      <c r="B854" s="32"/>
      <c r="C854" s="32"/>
      <c r="D854" s="32"/>
    </row>
    <row r="855">
      <c r="A855" s="32"/>
      <c r="B855" s="32"/>
      <c r="C855" s="32"/>
      <c r="D855" s="32"/>
    </row>
    <row r="856">
      <c r="A856" s="32"/>
      <c r="B856" s="32"/>
      <c r="C856" s="32"/>
      <c r="D856" s="32"/>
    </row>
    <row r="857">
      <c r="A857" s="32"/>
      <c r="B857" s="32"/>
      <c r="C857" s="32"/>
      <c r="D857" s="32"/>
    </row>
    <row r="858">
      <c r="A858" s="32"/>
      <c r="B858" s="32"/>
      <c r="C858" s="32"/>
      <c r="D858" s="32"/>
    </row>
    <row r="859">
      <c r="A859" s="32"/>
      <c r="B859" s="32"/>
      <c r="C859" s="32"/>
      <c r="D859" s="32"/>
    </row>
    <row r="860">
      <c r="A860" s="32"/>
      <c r="B860" s="32"/>
      <c r="C860" s="32"/>
      <c r="D860" s="32"/>
    </row>
    <row r="861">
      <c r="A861" s="32"/>
      <c r="B861" s="32"/>
      <c r="C861" s="32"/>
      <c r="D861" s="32"/>
    </row>
    <row r="862">
      <c r="A862" s="32"/>
      <c r="B862" s="32"/>
      <c r="C862" s="32"/>
      <c r="D862" s="32"/>
    </row>
    <row r="863">
      <c r="A863" s="32"/>
      <c r="B863" s="32"/>
      <c r="C863" s="32"/>
      <c r="D863" s="32"/>
    </row>
    <row r="864">
      <c r="A864" s="32"/>
      <c r="B864" s="32"/>
      <c r="C864" s="32"/>
      <c r="D864" s="32"/>
    </row>
    <row r="865">
      <c r="A865" s="32"/>
      <c r="B865" s="32"/>
      <c r="C865" s="32"/>
      <c r="D865" s="32"/>
    </row>
    <row r="866">
      <c r="A866" s="32"/>
      <c r="B866" s="32"/>
      <c r="C866" s="32"/>
      <c r="D866" s="32"/>
    </row>
    <row r="867">
      <c r="A867" s="32"/>
      <c r="B867" s="32"/>
      <c r="C867" s="32"/>
      <c r="D867" s="32"/>
    </row>
    <row r="868">
      <c r="A868" s="32"/>
      <c r="B868" s="32"/>
      <c r="C868" s="32"/>
      <c r="D868" s="32"/>
    </row>
    <row r="869">
      <c r="A869" s="32"/>
      <c r="B869" s="32"/>
      <c r="C869" s="32"/>
      <c r="D869" s="32"/>
    </row>
    <row r="870">
      <c r="A870" s="32"/>
      <c r="B870" s="32"/>
      <c r="C870" s="32"/>
      <c r="D870" s="32"/>
    </row>
    <row r="871">
      <c r="A871" s="32"/>
      <c r="B871" s="32"/>
      <c r="C871" s="32"/>
      <c r="D871" s="32"/>
    </row>
    <row r="872">
      <c r="A872" s="32"/>
      <c r="B872" s="32"/>
      <c r="C872" s="32"/>
      <c r="D872" s="32"/>
    </row>
    <row r="873">
      <c r="A873" s="32"/>
      <c r="B873" s="32"/>
      <c r="C873" s="32"/>
      <c r="D873" s="32"/>
    </row>
    <row r="874">
      <c r="A874" s="32"/>
      <c r="B874" s="32"/>
      <c r="C874" s="32"/>
      <c r="D874" s="32"/>
    </row>
    <row r="875">
      <c r="A875" s="32"/>
      <c r="B875" s="32"/>
      <c r="C875" s="32"/>
      <c r="D875" s="32"/>
    </row>
    <row r="876">
      <c r="A876" s="32"/>
      <c r="B876" s="32"/>
      <c r="C876" s="32"/>
      <c r="D876" s="32"/>
    </row>
    <row r="877">
      <c r="A877" s="32"/>
      <c r="B877" s="32"/>
      <c r="C877" s="32"/>
      <c r="D877" s="32"/>
    </row>
    <row r="878">
      <c r="A878" s="32"/>
      <c r="B878" s="32"/>
      <c r="C878" s="32"/>
      <c r="D878" s="32"/>
    </row>
    <row r="879">
      <c r="A879" s="32"/>
      <c r="B879" s="32"/>
      <c r="C879" s="32"/>
      <c r="D879" s="32"/>
    </row>
    <row r="880">
      <c r="A880" s="32"/>
      <c r="B880" s="32"/>
      <c r="C880" s="32"/>
      <c r="D880" s="32"/>
    </row>
    <row r="881">
      <c r="A881" s="32"/>
      <c r="B881" s="32"/>
      <c r="C881" s="32"/>
      <c r="D881" s="32"/>
    </row>
    <row r="882">
      <c r="A882" s="32"/>
      <c r="B882" s="32"/>
      <c r="C882" s="32"/>
      <c r="D882" s="32"/>
    </row>
    <row r="883">
      <c r="A883" s="32"/>
      <c r="B883" s="32"/>
      <c r="C883" s="32"/>
      <c r="D883" s="32"/>
    </row>
    <row r="884">
      <c r="A884" s="32"/>
      <c r="B884" s="32"/>
      <c r="C884" s="32"/>
      <c r="D884" s="32"/>
    </row>
    <row r="885">
      <c r="A885" s="32"/>
      <c r="B885" s="32"/>
      <c r="C885" s="32"/>
      <c r="D885" s="32"/>
    </row>
    <row r="886">
      <c r="A886" s="32"/>
      <c r="B886" s="32"/>
      <c r="C886" s="32"/>
      <c r="D886" s="32"/>
    </row>
    <row r="887">
      <c r="A887" s="32"/>
      <c r="B887" s="32"/>
      <c r="C887" s="32"/>
      <c r="D887" s="32"/>
    </row>
    <row r="888">
      <c r="A888" s="32"/>
      <c r="B888" s="32"/>
      <c r="C888" s="32"/>
      <c r="D888" s="32"/>
    </row>
    <row r="889">
      <c r="A889" s="32"/>
      <c r="B889" s="32"/>
      <c r="C889" s="32"/>
      <c r="D889" s="32"/>
    </row>
    <row r="890">
      <c r="A890" s="32"/>
      <c r="B890" s="32"/>
      <c r="C890" s="32"/>
      <c r="D890" s="32"/>
    </row>
    <row r="891">
      <c r="A891" s="32"/>
      <c r="B891" s="32"/>
      <c r="C891" s="32"/>
      <c r="D891" s="32"/>
    </row>
    <row r="892">
      <c r="A892" s="32"/>
      <c r="B892" s="32"/>
      <c r="C892" s="32"/>
      <c r="D892" s="32"/>
    </row>
    <row r="893">
      <c r="A893" s="32"/>
      <c r="B893" s="32"/>
      <c r="C893" s="32"/>
      <c r="D893" s="32"/>
    </row>
    <row r="894">
      <c r="A894" s="32"/>
      <c r="B894" s="32"/>
      <c r="C894" s="32"/>
      <c r="D894" s="32"/>
    </row>
    <row r="895">
      <c r="A895" s="32"/>
      <c r="B895" s="32"/>
      <c r="C895" s="32"/>
      <c r="D895" s="32"/>
    </row>
    <row r="896">
      <c r="A896" s="32"/>
      <c r="B896" s="32"/>
      <c r="C896" s="32"/>
      <c r="D896" s="32"/>
    </row>
    <row r="897">
      <c r="A897" s="32"/>
      <c r="B897" s="32"/>
      <c r="C897" s="32"/>
      <c r="D897" s="32"/>
    </row>
    <row r="898">
      <c r="A898" s="32"/>
      <c r="B898" s="32"/>
      <c r="C898" s="32"/>
      <c r="D898" s="32"/>
    </row>
    <row r="899">
      <c r="A899" s="32"/>
      <c r="B899" s="32"/>
      <c r="C899" s="32"/>
      <c r="D899" s="32"/>
    </row>
    <row r="900">
      <c r="A900" s="32"/>
      <c r="B900" s="32"/>
      <c r="C900" s="32"/>
      <c r="D900" s="32"/>
    </row>
    <row r="901">
      <c r="A901" s="32"/>
      <c r="B901" s="32"/>
      <c r="C901" s="32"/>
      <c r="D901" s="32"/>
    </row>
    <row r="902">
      <c r="A902" s="32"/>
      <c r="B902" s="32"/>
      <c r="C902" s="32"/>
      <c r="D902" s="32"/>
    </row>
    <row r="903">
      <c r="A903" s="32"/>
      <c r="B903" s="32"/>
      <c r="C903" s="32"/>
      <c r="D903" s="32"/>
    </row>
    <row r="904">
      <c r="A904" s="32"/>
      <c r="B904" s="32"/>
      <c r="C904" s="32"/>
      <c r="D904" s="32"/>
    </row>
    <row r="905">
      <c r="A905" s="32"/>
      <c r="B905" s="32"/>
      <c r="C905" s="32"/>
      <c r="D905" s="32"/>
    </row>
    <row r="906">
      <c r="A906" s="32"/>
      <c r="B906" s="32"/>
      <c r="C906" s="32"/>
      <c r="D906" s="32"/>
    </row>
    <row r="907">
      <c r="A907" s="32"/>
      <c r="B907" s="32"/>
      <c r="C907" s="32"/>
      <c r="D907" s="32"/>
    </row>
    <row r="908">
      <c r="A908" s="32"/>
      <c r="B908" s="32"/>
      <c r="C908" s="32"/>
      <c r="D908" s="32"/>
    </row>
    <row r="909">
      <c r="A909" s="32"/>
      <c r="B909" s="32"/>
      <c r="C909" s="32"/>
      <c r="D909" s="32"/>
    </row>
    <row r="910">
      <c r="A910" s="32"/>
      <c r="B910" s="32"/>
      <c r="C910" s="32"/>
      <c r="D910" s="32"/>
    </row>
    <row r="911">
      <c r="A911" s="32"/>
      <c r="B911" s="32"/>
      <c r="C911" s="32"/>
      <c r="D911" s="32"/>
    </row>
    <row r="912">
      <c r="A912" s="32"/>
      <c r="B912" s="32"/>
      <c r="C912" s="32"/>
      <c r="D912" s="32"/>
    </row>
    <row r="913">
      <c r="A913" s="32"/>
      <c r="B913" s="32"/>
      <c r="C913" s="32"/>
      <c r="D913" s="32"/>
    </row>
    <row r="914">
      <c r="A914" s="32"/>
      <c r="B914" s="32"/>
      <c r="C914" s="32"/>
      <c r="D914" s="32"/>
    </row>
    <row r="915">
      <c r="A915" s="32"/>
      <c r="B915" s="32"/>
      <c r="C915" s="32"/>
      <c r="D915" s="32"/>
    </row>
    <row r="916">
      <c r="A916" s="32"/>
      <c r="B916" s="32"/>
      <c r="C916" s="32"/>
      <c r="D916" s="32"/>
    </row>
    <row r="917">
      <c r="A917" s="32"/>
      <c r="B917" s="32"/>
      <c r="C917" s="32"/>
      <c r="D917" s="32"/>
    </row>
    <row r="918">
      <c r="A918" s="32"/>
      <c r="B918" s="32"/>
      <c r="C918" s="32"/>
      <c r="D918" s="32"/>
    </row>
    <row r="919">
      <c r="A919" s="32"/>
      <c r="B919" s="32"/>
      <c r="C919" s="32"/>
      <c r="D919" s="32"/>
    </row>
    <row r="920">
      <c r="A920" s="32"/>
      <c r="B920" s="32"/>
      <c r="C920" s="32"/>
      <c r="D920" s="32"/>
    </row>
    <row r="921">
      <c r="A921" s="32"/>
      <c r="B921" s="32"/>
      <c r="C921" s="32"/>
      <c r="D921" s="32"/>
    </row>
    <row r="922">
      <c r="A922" s="32"/>
      <c r="B922" s="32"/>
      <c r="C922" s="32"/>
      <c r="D922" s="32"/>
    </row>
    <row r="923">
      <c r="A923" s="32"/>
      <c r="B923" s="32"/>
      <c r="C923" s="32"/>
      <c r="D923" s="32"/>
    </row>
    <row r="924">
      <c r="A924" s="32"/>
      <c r="B924" s="32"/>
      <c r="C924" s="32"/>
      <c r="D924" s="32"/>
    </row>
    <row r="925">
      <c r="A925" s="32"/>
      <c r="B925" s="32"/>
      <c r="C925" s="32"/>
      <c r="D925" s="32"/>
    </row>
    <row r="926">
      <c r="A926" s="32"/>
      <c r="B926" s="32"/>
      <c r="C926" s="32"/>
      <c r="D926" s="32"/>
    </row>
    <row r="927">
      <c r="A927" s="32"/>
      <c r="B927" s="32"/>
      <c r="C927" s="32"/>
      <c r="D927" s="32"/>
    </row>
    <row r="928">
      <c r="A928" s="32"/>
      <c r="B928" s="32"/>
      <c r="C928" s="32"/>
      <c r="D928" s="32"/>
    </row>
    <row r="929">
      <c r="A929" s="32"/>
      <c r="B929" s="32"/>
      <c r="C929" s="32"/>
      <c r="D929" s="32"/>
    </row>
    <row r="930">
      <c r="A930" s="32"/>
      <c r="B930" s="32"/>
      <c r="C930" s="32"/>
      <c r="D930" s="32"/>
    </row>
    <row r="931">
      <c r="A931" s="32"/>
      <c r="B931" s="32"/>
      <c r="C931" s="32"/>
      <c r="D931" s="32"/>
    </row>
    <row r="932">
      <c r="A932" s="32"/>
      <c r="B932" s="32"/>
      <c r="C932" s="32"/>
      <c r="D932" s="32"/>
    </row>
    <row r="933">
      <c r="A933" s="32"/>
      <c r="B933" s="32"/>
      <c r="C933" s="32"/>
      <c r="D933" s="32"/>
    </row>
    <row r="934">
      <c r="A934" s="32"/>
      <c r="B934" s="32"/>
      <c r="C934" s="32"/>
      <c r="D934" s="32"/>
    </row>
    <row r="935">
      <c r="A935" s="32"/>
      <c r="B935" s="32"/>
      <c r="C935" s="32"/>
      <c r="D935" s="32"/>
    </row>
    <row r="936">
      <c r="A936" s="32"/>
      <c r="B936" s="32"/>
      <c r="C936" s="32"/>
      <c r="D936" s="32"/>
    </row>
    <row r="937">
      <c r="A937" s="32"/>
      <c r="B937" s="32"/>
      <c r="C937" s="32"/>
      <c r="D937" s="32"/>
    </row>
    <row r="938">
      <c r="A938" s="32"/>
      <c r="B938" s="32"/>
      <c r="C938" s="32"/>
      <c r="D938" s="32"/>
    </row>
    <row r="939">
      <c r="A939" s="32"/>
      <c r="B939" s="32"/>
      <c r="C939" s="32"/>
      <c r="D939" s="32"/>
    </row>
    <row r="940">
      <c r="A940" s="32"/>
      <c r="B940" s="32"/>
      <c r="C940" s="32"/>
      <c r="D940" s="32"/>
    </row>
    <row r="941">
      <c r="A941" s="32"/>
      <c r="B941" s="32"/>
      <c r="C941" s="32"/>
      <c r="D941" s="32"/>
    </row>
    <row r="942">
      <c r="A942" s="32"/>
      <c r="B942" s="32"/>
      <c r="C942" s="32"/>
      <c r="D942" s="32"/>
    </row>
    <row r="943">
      <c r="A943" s="32"/>
      <c r="B943" s="32"/>
      <c r="C943" s="32"/>
      <c r="D943" s="32"/>
    </row>
    <row r="944">
      <c r="A944" s="32"/>
      <c r="B944" s="32"/>
      <c r="C944" s="32"/>
      <c r="D944" s="32"/>
    </row>
    <row r="945">
      <c r="A945" s="32"/>
      <c r="B945" s="32"/>
      <c r="C945" s="32"/>
      <c r="D945" s="32"/>
    </row>
    <row r="946">
      <c r="A946" s="32"/>
      <c r="B946" s="32"/>
      <c r="C946" s="32"/>
      <c r="D946" s="32"/>
    </row>
    <row r="947">
      <c r="A947" s="32"/>
      <c r="B947" s="32"/>
      <c r="C947" s="32"/>
      <c r="D947" s="32"/>
    </row>
    <row r="948">
      <c r="A948" s="32"/>
      <c r="B948" s="32"/>
      <c r="C948" s="32"/>
      <c r="D948" s="32"/>
    </row>
    <row r="949">
      <c r="A949" s="32"/>
      <c r="B949" s="32"/>
      <c r="C949" s="32"/>
      <c r="D949" s="32"/>
    </row>
    <row r="950">
      <c r="A950" s="32"/>
      <c r="B950" s="32"/>
      <c r="C950" s="32"/>
      <c r="D950" s="32"/>
    </row>
    <row r="951">
      <c r="A951" s="32"/>
      <c r="B951" s="32"/>
      <c r="C951" s="32"/>
      <c r="D951" s="32"/>
    </row>
    <row r="952">
      <c r="A952" s="32"/>
      <c r="B952" s="32"/>
      <c r="C952" s="32"/>
      <c r="D952" s="32"/>
    </row>
    <row r="953">
      <c r="A953" s="32"/>
      <c r="B953" s="32"/>
      <c r="C953" s="32"/>
      <c r="D953" s="32"/>
    </row>
    <row r="954">
      <c r="A954" s="32"/>
      <c r="B954" s="32"/>
      <c r="C954" s="32"/>
      <c r="D954" s="32"/>
    </row>
    <row r="955">
      <c r="A955" s="32"/>
      <c r="B955" s="32"/>
      <c r="C955" s="32"/>
      <c r="D955" s="32"/>
    </row>
    <row r="956">
      <c r="A956" s="32"/>
      <c r="B956" s="32"/>
      <c r="C956" s="32"/>
      <c r="D956" s="32"/>
    </row>
    <row r="957">
      <c r="A957" s="32"/>
      <c r="B957" s="32"/>
      <c r="C957" s="32"/>
      <c r="D957" s="32"/>
    </row>
    <row r="958">
      <c r="A958" s="32"/>
      <c r="B958" s="32"/>
      <c r="C958" s="32"/>
      <c r="D958" s="32"/>
    </row>
    <row r="959">
      <c r="A959" s="32"/>
      <c r="B959" s="32"/>
      <c r="C959" s="32"/>
      <c r="D959" s="32"/>
    </row>
    <row r="960">
      <c r="A960" s="32"/>
      <c r="B960" s="32"/>
      <c r="C960" s="32"/>
      <c r="D960" s="32"/>
    </row>
    <row r="961">
      <c r="A961" s="32"/>
      <c r="B961" s="32"/>
      <c r="C961" s="32"/>
      <c r="D961" s="32"/>
    </row>
    <row r="962">
      <c r="A962" s="32"/>
      <c r="B962" s="32"/>
      <c r="C962" s="32"/>
      <c r="D962" s="32"/>
    </row>
    <row r="963">
      <c r="A963" s="32"/>
      <c r="B963" s="32"/>
      <c r="C963" s="32"/>
      <c r="D963" s="32"/>
    </row>
    <row r="964">
      <c r="A964" s="32"/>
      <c r="B964" s="32"/>
      <c r="C964" s="32"/>
      <c r="D964" s="32"/>
    </row>
    <row r="965">
      <c r="A965" s="32"/>
      <c r="B965" s="32"/>
      <c r="C965" s="32"/>
      <c r="D965" s="32"/>
    </row>
    <row r="966">
      <c r="A966" s="32"/>
      <c r="B966" s="32"/>
      <c r="C966" s="32"/>
      <c r="D966" s="32"/>
    </row>
    <row r="967">
      <c r="A967" s="32"/>
      <c r="B967" s="32"/>
      <c r="C967" s="32"/>
      <c r="D967" s="32"/>
    </row>
    <row r="968">
      <c r="A968" s="32"/>
      <c r="B968" s="32"/>
      <c r="C968" s="32"/>
      <c r="D968" s="32"/>
    </row>
    <row r="969">
      <c r="A969" s="32"/>
      <c r="B969" s="32"/>
      <c r="C969" s="32"/>
      <c r="D969" s="32"/>
    </row>
    <row r="970">
      <c r="A970" s="32"/>
      <c r="B970" s="32"/>
      <c r="C970" s="32"/>
      <c r="D970" s="32"/>
    </row>
    <row r="971">
      <c r="A971" s="32"/>
      <c r="B971" s="32"/>
      <c r="C971" s="32"/>
      <c r="D971" s="32"/>
    </row>
    <row r="972">
      <c r="A972" s="32"/>
      <c r="B972" s="32"/>
      <c r="C972" s="32"/>
      <c r="D972" s="32"/>
    </row>
    <row r="973">
      <c r="A973" s="32"/>
      <c r="B973" s="32"/>
      <c r="C973" s="32"/>
      <c r="D973" s="32"/>
    </row>
    <row r="974">
      <c r="A974" s="32"/>
      <c r="B974" s="32"/>
      <c r="C974" s="32"/>
      <c r="D974" s="32"/>
    </row>
    <row r="975">
      <c r="A975" s="32"/>
      <c r="B975" s="32"/>
      <c r="C975" s="32"/>
      <c r="D975" s="32"/>
    </row>
    <row r="976">
      <c r="A976" s="32"/>
      <c r="B976" s="32"/>
      <c r="C976" s="32"/>
      <c r="D976" s="32"/>
    </row>
    <row r="977">
      <c r="A977" s="32"/>
      <c r="B977" s="32"/>
      <c r="C977" s="32"/>
      <c r="D977" s="32"/>
    </row>
    <row r="978">
      <c r="A978" s="32"/>
      <c r="B978" s="32"/>
      <c r="C978" s="32"/>
      <c r="D978" s="32"/>
    </row>
    <row r="979">
      <c r="A979" s="32"/>
      <c r="B979" s="32"/>
      <c r="C979" s="32"/>
      <c r="D979" s="32"/>
    </row>
    <row r="980">
      <c r="A980" s="32"/>
      <c r="B980" s="32"/>
      <c r="C980" s="32"/>
      <c r="D980" s="32"/>
    </row>
    <row r="981">
      <c r="A981" s="32"/>
      <c r="B981" s="32"/>
      <c r="C981" s="32"/>
      <c r="D981" s="32"/>
    </row>
    <row r="982">
      <c r="A982" s="32"/>
      <c r="B982" s="32"/>
      <c r="C982" s="32"/>
      <c r="D982" s="32"/>
    </row>
    <row r="983">
      <c r="A983" s="32"/>
      <c r="B983" s="32"/>
      <c r="C983" s="32"/>
      <c r="D983" s="32"/>
    </row>
    <row r="984">
      <c r="A984" s="32"/>
      <c r="B984" s="32"/>
      <c r="C984" s="32"/>
      <c r="D984" s="32"/>
    </row>
    <row r="985">
      <c r="A985" s="32"/>
      <c r="B985" s="32"/>
      <c r="C985" s="32"/>
      <c r="D985" s="32"/>
    </row>
    <row r="986">
      <c r="A986" s="32"/>
      <c r="B986" s="32"/>
      <c r="C986" s="32"/>
      <c r="D986" s="32"/>
    </row>
    <row r="987">
      <c r="A987" s="32"/>
      <c r="B987" s="32"/>
      <c r="C987" s="32"/>
      <c r="D987" s="32"/>
    </row>
    <row r="988">
      <c r="A988" s="32"/>
      <c r="B988" s="32"/>
      <c r="C988" s="32"/>
      <c r="D988" s="32"/>
    </row>
    <row r="989">
      <c r="A989" s="32"/>
      <c r="B989" s="32"/>
      <c r="C989" s="32"/>
      <c r="D989" s="32"/>
    </row>
    <row r="990">
      <c r="A990" s="32"/>
      <c r="B990" s="32"/>
      <c r="C990" s="32"/>
      <c r="D990" s="32"/>
    </row>
    <row r="991">
      <c r="A991" s="32"/>
      <c r="B991" s="32"/>
      <c r="C991" s="32"/>
      <c r="D991" s="32"/>
    </row>
    <row r="992">
      <c r="A992" s="32"/>
      <c r="B992" s="32"/>
      <c r="C992" s="32"/>
      <c r="D992" s="32"/>
    </row>
    <row r="993">
      <c r="A993" s="32"/>
      <c r="B993" s="32"/>
      <c r="C993" s="32"/>
      <c r="D993" s="32"/>
    </row>
    <row r="994">
      <c r="A994" s="32"/>
      <c r="B994" s="32"/>
      <c r="C994" s="32"/>
      <c r="D994" s="32"/>
    </row>
    <row r="995">
      <c r="A995" s="32"/>
      <c r="B995" s="32"/>
      <c r="C995" s="32"/>
      <c r="D995" s="32"/>
    </row>
    <row r="996">
      <c r="A996" s="32"/>
      <c r="B996" s="32"/>
      <c r="C996" s="32"/>
      <c r="D996" s="32"/>
    </row>
    <row r="997">
      <c r="A997" s="32"/>
      <c r="B997" s="32"/>
      <c r="C997" s="32"/>
      <c r="D997" s="32"/>
    </row>
    <row r="998">
      <c r="A998" s="32"/>
      <c r="B998" s="32"/>
      <c r="C998" s="32"/>
      <c r="D998" s="32"/>
    </row>
    <row r="999">
      <c r="A999" s="32"/>
      <c r="B999" s="32"/>
      <c r="C999" s="32"/>
      <c r="D999" s="32"/>
    </row>
    <row r="1000">
      <c r="A1000" s="32"/>
      <c r="B1000" s="32"/>
      <c r="C1000" s="32"/>
      <c r="D1000" s="32"/>
    </row>
    <row r="1001">
      <c r="A1001" s="32"/>
      <c r="B1001" s="32"/>
      <c r="C1001" s="32"/>
      <c r="D1001" s="32"/>
    </row>
    <row r="1002">
      <c r="A1002" s="32"/>
      <c r="B1002" s="32"/>
      <c r="C1002" s="32"/>
      <c r="D1002" s="32"/>
    </row>
  </sheetData>
  <mergeCells count="4">
    <mergeCell ref="A1:J1"/>
    <mergeCell ref="B2:D2"/>
    <mergeCell ref="E2:G2"/>
    <mergeCell ref="H2:J2"/>
  </mergeCells>
  <conditionalFormatting sqref="B8:J53">
    <cfRule type="cellIs" dxfId="0" priority="1" operator="equal">
      <formula>"CORRECT"</formula>
    </cfRule>
  </conditionalFormatting>
  <conditionalFormatting sqref="B8:J53">
    <cfRule type="cellIs" dxfId="1" priority="2"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20</v>
      </c>
      <c r="C2" s="2"/>
      <c r="D2" s="2"/>
      <c r="E2" s="2"/>
      <c r="F2" s="2"/>
      <c r="G2" s="2"/>
      <c r="H2" s="3"/>
      <c r="I2" s="37" t="s">
        <v>21</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CORRECT</v>
      </c>
      <c r="G4" s="39" t="s">
        <v>36</v>
      </c>
      <c r="H4" s="41" t="s">
        <v>36</v>
      </c>
      <c r="I4" s="42" t="s">
        <v>37</v>
      </c>
      <c r="J4" s="41">
        <v>41350.0</v>
      </c>
    </row>
    <row r="5" ht="60.0" customHeight="1">
      <c r="A5" s="39">
        <v>2.0</v>
      </c>
      <c r="B5" s="40" t="s">
        <v>38</v>
      </c>
      <c r="C5" s="40" t="s">
        <v>39</v>
      </c>
      <c r="D5" s="40" t="s">
        <v>40</v>
      </c>
      <c r="E5" s="40" t="s">
        <v>41</v>
      </c>
      <c r="F5" s="39" t="str">
        <f t="shared" si="1"/>
        <v>CORRECT</v>
      </c>
      <c r="G5" s="39" t="s">
        <v>42</v>
      </c>
      <c r="H5" s="43" t="s">
        <v>42</v>
      </c>
      <c r="I5" s="42" t="s">
        <v>43</v>
      </c>
      <c r="J5" s="41">
        <v>44774.0</v>
      </c>
    </row>
    <row r="6" ht="60.0" customHeight="1">
      <c r="A6" s="39">
        <v>3.0</v>
      </c>
      <c r="B6" s="40" t="s">
        <v>44</v>
      </c>
      <c r="C6" s="40" t="s">
        <v>45</v>
      </c>
      <c r="D6" s="40" t="s">
        <v>46</v>
      </c>
      <c r="E6" s="40" t="s">
        <v>47</v>
      </c>
      <c r="F6" s="39" t="str">
        <f t="shared" si="1"/>
        <v>CORRECT</v>
      </c>
      <c r="G6" s="39" t="s">
        <v>48</v>
      </c>
      <c r="H6" s="43" t="s">
        <v>48</v>
      </c>
      <c r="I6" s="42" t="s">
        <v>49</v>
      </c>
      <c r="J6" s="41">
        <v>32232.0</v>
      </c>
    </row>
    <row r="7" ht="60.0" customHeight="1">
      <c r="A7" s="39">
        <v>4.0</v>
      </c>
      <c r="B7" s="40" t="s">
        <v>50</v>
      </c>
      <c r="C7" s="40" t="s">
        <v>51</v>
      </c>
      <c r="D7" s="40" t="s">
        <v>52</v>
      </c>
      <c r="E7" s="40" t="s">
        <v>53</v>
      </c>
      <c r="F7" s="39" t="str">
        <f t="shared" si="1"/>
        <v>CORRECT</v>
      </c>
      <c r="G7" s="39" t="s">
        <v>42</v>
      </c>
      <c r="H7" s="41" t="s">
        <v>42</v>
      </c>
      <c r="I7" s="42" t="s">
        <v>54</v>
      </c>
      <c r="J7" s="41">
        <v>27677.0</v>
      </c>
    </row>
    <row r="8" ht="60.0" customHeight="1">
      <c r="A8" s="39">
        <v>5.0</v>
      </c>
      <c r="B8" s="40" t="s">
        <v>55</v>
      </c>
      <c r="C8" s="40" t="s">
        <v>56</v>
      </c>
      <c r="D8" s="40" t="s">
        <v>57</v>
      </c>
      <c r="E8" s="40" t="s">
        <v>58</v>
      </c>
      <c r="F8" s="39" t="str">
        <f t="shared" si="1"/>
        <v>CORRECT</v>
      </c>
      <c r="G8" s="39" t="s">
        <v>48</v>
      </c>
      <c r="H8" s="43" t="s">
        <v>48</v>
      </c>
      <c r="I8" s="42" t="s">
        <v>59</v>
      </c>
      <c r="J8" s="41">
        <v>40439.0</v>
      </c>
    </row>
    <row r="9" ht="60.0" customHeight="1">
      <c r="A9" s="39">
        <v>6.0</v>
      </c>
      <c r="B9" s="40" t="s">
        <v>60</v>
      </c>
      <c r="C9" s="40" t="s">
        <v>61</v>
      </c>
      <c r="D9" s="40" t="s">
        <v>62</v>
      </c>
      <c r="E9" s="40" t="s">
        <v>63</v>
      </c>
      <c r="F9" s="39" t="str">
        <f t="shared" si="1"/>
        <v>CORRECT</v>
      </c>
      <c r="G9" s="39" t="s">
        <v>42</v>
      </c>
      <c r="H9" s="43" t="s">
        <v>42</v>
      </c>
      <c r="I9" s="42" t="s">
        <v>64</v>
      </c>
      <c r="J9" s="41">
        <v>33963.0</v>
      </c>
    </row>
    <row r="10" ht="60.0" customHeight="1">
      <c r="A10" s="39">
        <v>7.0</v>
      </c>
      <c r="B10" s="40" t="s">
        <v>65</v>
      </c>
      <c r="C10" s="40" t="s">
        <v>66</v>
      </c>
      <c r="D10" s="40" t="s">
        <v>67</v>
      </c>
      <c r="E10" s="40" t="s">
        <v>68</v>
      </c>
      <c r="F10" s="39" t="str">
        <f t="shared" si="1"/>
        <v>CORRECT</v>
      </c>
      <c r="G10" s="39" t="s">
        <v>42</v>
      </c>
      <c r="H10" s="43" t="s">
        <v>42</v>
      </c>
      <c r="I10" s="42" t="s">
        <v>69</v>
      </c>
      <c r="J10" s="41">
        <v>39658.0</v>
      </c>
    </row>
    <row r="11" ht="60.0" customHeight="1">
      <c r="A11" s="39">
        <v>8.0</v>
      </c>
      <c r="B11" s="40" t="s">
        <v>70</v>
      </c>
      <c r="C11" s="40" t="s">
        <v>71</v>
      </c>
      <c r="D11" s="40" t="s">
        <v>72</v>
      </c>
      <c r="E11" s="40" t="s">
        <v>73</v>
      </c>
      <c r="F11" s="39" t="str">
        <f t="shared" si="1"/>
        <v>CORRECT</v>
      </c>
      <c r="G11" s="39" t="s">
        <v>48</v>
      </c>
      <c r="H11" s="43" t="s">
        <v>48</v>
      </c>
      <c r="I11" s="42" t="s">
        <v>74</v>
      </c>
      <c r="J11" s="41">
        <v>58318.0</v>
      </c>
    </row>
    <row r="12" ht="60.0" customHeight="1">
      <c r="A12" s="39">
        <v>9.0</v>
      </c>
      <c r="B12" s="40" t="s">
        <v>75</v>
      </c>
      <c r="C12" s="40" t="s">
        <v>76</v>
      </c>
      <c r="D12" s="40" t="s">
        <v>77</v>
      </c>
      <c r="E12" s="40" t="s">
        <v>78</v>
      </c>
      <c r="F12" s="39" t="str">
        <f t="shared" si="1"/>
        <v>WRONG</v>
      </c>
      <c r="G12" s="39" t="s">
        <v>42</v>
      </c>
      <c r="H12" s="43" t="s">
        <v>48</v>
      </c>
      <c r="I12" s="42" t="s">
        <v>79</v>
      </c>
      <c r="J12" s="41">
        <v>40469.0</v>
      </c>
    </row>
    <row r="13" ht="60.0" customHeight="1">
      <c r="A13" s="39">
        <v>10.0</v>
      </c>
      <c r="B13" s="40" t="s">
        <v>80</v>
      </c>
      <c r="C13" s="40" t="s">
        <v>81</v>
      </c>
      <c r="D13" s="40" t="s">
        <v>82</v>
      </c>
      <c r="E13" s="40" t="s">
        <v>83</v>
      </c>
      <c r="F13" s="39" t="str">
        <f t="shared" si="1"/>
        <v>CORRECT</v>
      </c>
      <c r="G13" s="39" t="s">
        <v>48</v>
      </c>
      <c r="H13" s="43" t="s">
        <v>48</v>
      </c>
      <c r="I13" s="42" t="s">
        <v>84</v>
      </c>
      <c r="J13" s="41">
        <v>35208.0</v>
      </c>
    </row>
    <row r="14" ht="60.0" customHeight="1">
      <c r="A14" s="39">
        <v>11.0</v>
      </c>
      <c r="B14" s="40" t="s">
        <v>85</v>
      </c>
      <c r="C14" s="40" t="s">
        <v>86</v>
      </c>
      <c r="D14" s="40" t="s">
        <v>87</v>
      </c>
      <c r="E14" s="40" t="s">
        <v>88</v>
      </c>
      <c r="F14" s="39" t="str">
        <f t="shared" si="1"/>
        <v>CORRECT</v>
      </c>
      <c r="G14" s="39" t="s">
        <v>42</v>
      </c>
      <c r="H14" s="43" t="s">
        <v>42</v>
      </c>
      <c r="I14" s="42" t="s">
        <v>89</v>
      </c>
      <c r="J14" s="41">
        <v>67241.0</v>
      </c>
    </row>
    <row r="15" ht="60.0" customHeight="1">
      <c r="A15" s="39">
        <v>12.0</v>
      </c>
      <c r="B15" s="40" t="s">
        <v>90</v>
      </c>
      <c r="C15" s="40" t="s">
        <v>91</v>
      </c>
      <c r="D15" s="40" t="s">
        <v>92</v>
      </c>
      <c r="E15" s="40" t="s">
        <v>93</v>
      </c>
      <c r="F15" s="39" t="str">
        <f t="shared" si="1"/>
        <v>CORRECT</v>
      </c>
      <c r="G15" s="39" t="s">
        <v>48</v>
      </c>
      <c r="H15" s="43" t="s">
        <v>48</v>
      </c>
      <c r="I15" s="42" t="s">
        <v>94</v>
      </c>
      <c r="J15" s="41">
        <v>41459.0</v>
      </c>
    </row>
    <row r="16" ht="60.0" customHeight="1">
      <c r="A16" s="39">
        <v>13.0</v>
      </c>
      <c r="B16" s="40" t="s">
        <v>95</v>
      </c>
      <c r="C16" s="40" t="s">
        <v>96</v>
      </c>
      <c r="D16" s="40" t="s">
        <v>97</v>
      </c>
      <c r="E16" s="40" t="s">
        <v>98</v>
      </c>
      <c r="F16" s="39" t="str">
        <f t="shared" si="1"/>
        <v>CORRECT</v>
      </c>
      <c r="G16" s="39" t="s">
        <v>36</v>
      </c>
      <c r="H16" s="43" t="s">
        <v>36</v>
      </c>
      <c r="I16" s="42" t="s">
        <v>99</v>
      </c>
      <c r="J16" s="41">
        <v>25820.0</v>
      </c>
    </row>
    <row r="17" ht="60.0" customHeight="1">
      <c r="A17" s="39">
        <v>14.0</v>
      </c>
      <c r="B17" s="40" t="s">
        <v>100</v>
      </c>
      <c r="C17" s="40" t="s">
        <v>101</v>
      </c>
      <c r="D17" s="40" t="s">
        <v>102</v>
      </c>
      <c r="E17" s="40" t="s">
        <v>103</v>
      </c>
      <c r="F17" s="39" t="str">
        <f t="shared" si="1"/>
        <v>WRONG</v>
      </c>
      <c r="G17" s="39" t="s">
        <v>36</v>
      </c>
      <c r="H17" s="41" t="s">
        <v>48</v>
      </c>
      <c r="I17" s="42" t="s">
        <v>104</v>
      </c>
      <c r="J17" s="41">
        <v>30673.0</v>
      </c>
    </row>
    <row r="18" ht="60.0" customHeight="1">
      <c r="A18" s="39">
        <v>15.0</v>
      </c>
      <c r="B18" s="40" t="s">
        <v>105</v>
      </c>
      <c r="C18" s="40" t="s">
        <v>106</v>
      </c>
      <c r="D18" s="40" t="s">
        <v>107</v>
      </c>
      <c r="E18" s="40" t="s">
        <v>108</v>
      </c>
      <c r="F18" s="39" t="str">
        <f t="shared" si="1"/>
        <v>CORRECT</v>
      </c>
      <c r="G18" s="39" t="s">
        <v>48</v>
      </c>
      <c r="H18" s="43" t="s">
        <v>48</v>
      </c>
      <c r="I18" s="42" t="s">
        <v>109</v>
      </c>
      <c r="J18" s="41">
        <v>38384.0</v>
      </c>
    </row>
    <row r="19" ht="60.0" customHeight="1">
      <c r="A19" s="39">
        <v>16.0</v>
      </c>
      <c r="B19" s="40" t="s">
        <v>110</v>
      </c>
      <c r="C19" s="40" t="s">
        <v>111</v>
      </c>
      <c r="D19" s="40" t="s">
        <v>112</v>
      </c>
      <c r="E19" s="40" t="s">
        <v>113</v>
      </c>
      <c r="F19" s="39" t="str">
        <f t="shared" si="1"/>
        <v>CORRECT</v>
      </c>
      <c r="G19" s="39" t="s">
        <v>48</v>
      </c>
      <c r="H19" s="43" t="s">
        <v>48</v>
      </c>
      <c r="I19" s="42" t="s">
        <v>114</v>
      </c>
      <c r="J19" s="41">
        <v>33921.0</v>
      </c>
    </row>
    <row r="20" ht="60.0" customHeight="1">
      <c r="A20" s="39">
        <v>17.0</v>
      </c>
      <c r="B20" s="40" t="s">
        <v>115</v>
      </c>
      <c r="C20" s="40" t="s">
        <v>116</v>
      </c>
      <c r="D20" s="40" t="s">
        <v>117</v>
      </c>
      <c r="E20" s="40" t="s">
        <v>118</v>
      </c>
      <c r="F20" s="39" t="str">
        <f t="shared" si="1"/>
        <v>WRONG</v>
      </c>
      <c r="G20" s="39" t="s">
        <v>42</v>
      </c>
      <c r="H20" s="41" t="s">
        <v>36</v>
      </c>
      <c r="I20" s="42" t="s">
        <v>119</v>
      </c>
      <c r="J20" s="41">
        <v>32074.0</v>
      </c>
    </row>
    <row r="21" ht="60.0" customHeight="1">
      <c r="A21" s="39">
        <v>18.0</v>
      </c>
      <c r="B21" s="40" t="s">
        <v>120</v>
      </c>
      <c r="C21" s="40" t="s">
        <v>121</v>
      </c>
      <c r="D21" s="40" t="s">
        <v>122</v>
      </c>
      <c r="E21" s="40" t="s">
        <v>123</v>
      </c>
      <c r="F21" s="39" t="str">
        <f t="shared" si="1"/>
        <v>CORRECT</v>
      </c>
      <c r="G21" s="39" t="s">
        <v>42</v>
      </c>
      <c r="H21" s="41" t="s">
        <v>42</v>
      </c>
      <c r="I21" s="42" t="s">
        <v>124</v>
      </c>
      <c r="J21" s="41">
        <v>33050.0</v>
      </c>
    </row>
    <row r="22" ht="60.0" customHeight="1">
      <c r="A22" s="39">
        <v>19.0</v>
      </c>
      <c r="B22" s="40" t="s">
        <v>125</v>
      </c>
      <c r="C22" s="40" t="s">
        <v>126</v>
      </c>
      <c r="D22" s="40" t="s">
        <v>127</v>
      </c>
      <c r="E22" s="40" t="s">
        <v>128</v>
      </c>
      <c r="F22" s="39" t="str">
        <f t="shared" si="1"/>
        <v>WRONG</v>
      </c>
      <c r="G22" s="39" t="s">
        <v>36</v>
      </c>
      <c r="H22" s="43" t="s">
        <v>48</v>
      </c>
      <c r="I22" s="42" t="s">
        <v>129</v>
      </c>
      <c r="J22" s="41">
        <v>48571.0</v>
      </c>
    </row>
    <row r="23" ht="60.0" customHeight="1">
      <c r="A23" s="39">
        <v>20.0</v>
      </c>
      <c r="B23" s="40" t="s">
        <v>130</v>
      </c>
      <c r="C23" s="40" t="s">
        <v>131</v>
      </c>
      <c r="D23" s="40" t="s">
        <v>132</v>
      </c>
      <c r="E23" s="40" t="s">
        <v>133</v>
      </c>
      <c r="F23" s="39" t="str">
        <f t="shared" si="1"/>
        <v>WRONG</v>
      </c>
      <c r="G23" s="39" t="s">
        <v>42</v>
      </c>
      <c r="H23" s="43" t="s">
        <v>48</v>
      </c>
      <c r="I23" s="42" t="s">
        <v>134</v>
      </c>
      <c r="J23" s="41">
        <v>14527.0</v>
      </c>
    </row>
    <row r="24" ht="60.0" customHeight="1">
      <c r="A24" s="39">
        <v>21.0</v>
      </c>
      <c r="B24" s="40" t="s">
        <v>135</v>
      </c>
      <c r="C24" s="40" t="s">
        <v>136</v>
      </c>
      <c r="D24" s="40" t="s">
        <v>137</v>
      </c>
      <c r="E24" s="40" t="s">
        <v>138</v>
      </c>
      <c r="F24" s="39" t="str">
        <f t="shared" si="1"/>
        <v>WRONG</v>
      </c>
      <c r="G24" s="39" t="s">
        <v>42</v>
      </c>
      <c r="H24" s="41" t="s">
        <v>36</v>
      </c>
      <c r="I24" s="42" t="s">
        <v>139</v>
      </c>
      <c r="J24" s="41">
        <v>24532.0</v>
      </c>
    </row>
    <row r="25" ht="60.0" customHeight="1">
      <c r="A25" s="39">
        <v>22.0</v>
      </c>
      <c r="B25" s="40" t="s">
        <v>140</v>
      </c>
      <c r="C25" s="40" t="s">
        <v>141</v>
      </c>
      <c r="D25" s="40" t="s">
        <v>142</v>
      </c>
      <c r="E25" s="40" t="s">
        <v>143</v>
      </c>
      <c r="F25" s="39" t="str">
        <f t="shared" si="1"/>
        <v>CORRECT</v>
      </c>
      <c r="G25" s="39" t="s">
        <v>42</v>
      </c>
      <c r="H25" s="41" t="s">
        <v>42</v>
      </c>
      <c r="I25" s="42" t="s">
        <v>144</v>
      </c>
      <c r="J25" s="41">
        <v>22881.0</v>
      </c>
    </row>
    <row r="26" ht="60.0" customHeight="1">
      <c r="A26" s="39">
        <v>23.0</v>
      </c>
      <c r="B26" s="40" t="s">
        <v>145</v>
      </c>
      <c r="C26" s="40" t="s">
        <v>146</v>
      </c>
      <c r="D26" s="40" t="s">
        <v>147</v>
      </c>
      <c r="E26" s="40" t="s">
        <v>148</v>
      </c>
      <c r="F26" s="39" t="str">
        <f t="shared" si="1"/>
        <v>WRONG</v>
      </c>
      <c r="G26" s="39" t="s">
        <v>48</v>
      </c>
      <c r="H26" s="41" t="s">
        <v>42</v>
      </c>
      <c r="I26" s="42" t="s">
        <v>149</v>
      </c>
      <c r="J26" s="41">
        <v>32322.0</v>
      </c>
    </row>
    <row r="27" ht="60.0" customHeight="1">
      <c r="A27" s="39">
        <v>24.0</v>
      </c>
      <c r="B27" s="40" t="s">
        <v>150</v>
      </c>
      <c r="C27" s="40" t="s">
        <v>151</v>
      </c>
      <c r="D27" s="40" t="s">
        <v>152</v>
      </c>
      <c r="E27" s="40" t="s">
        <v>153</v>
      </c>
      <c r="F27" s="39" t="str">
        <f t="shared" si="1"/>
        <v>CORRECT</v>
      </c>
      <c r="G27" s="39" t="s">
        <v>36</v>
      </c>
      <c r="H27" s="43" t="s">
        <v>36</v>
      </c>
      <c r="I27" s="42" t="s">
        <v>154</v>
      </c>
      <c r="J27" s="41">
        <v>35265.0</v>
      </c>
    </row>
    <row r="28" ht="60.0" customHeight="1">
      <c r="A28" s="39">
        <v>25.0</v>
      </c>
      <c r="B28" s="40" t="s">
        <v>155</v>
      </c>
      <c r="C28" s="40" t="s">
        <v>151</v>
      </c>
      <c r="D28" s="40" t="s">
        <v>156</v>
      </c>
      <c r="E28" s="40" t="s">
        <v>153</v>
      </c>
      <c r="F28" s="39" t="str">
        <f t="shared" si="1"/>
        <v>WRONG</v>
      </c>
      <c r="G28" s="39" t="s">
        <v>48</v>
      </c>
      <c r="H28" s="43" t="s">
        <v>42</v>
      </c>
      <c r="I28" s="42" t="s">
        <v>157</v>
      </c>
      <c r="J28" s="41">
        <v>29825.0</v>
      </c>
    </row>
    <row r="29" ht="60.0" customHeight="1">
      <c r="A29" s="39">
        <v>26.0</v>
      </c>
      <c r="B29" s="40" t="s">
        <v>158</v>
      </c>
      <c r="C29" s="40" t="s">
        <v>159</v>
      </c>
      <c r="D29" s="40" t="s">
        <v>160</v>
      </c>
      <c r="E29" s="40" t="s">
        <v>161</v>
      </c>
      <c r="F29" s="39" t="str">
        <f t="shared" si="1"/>
        <v>WRONG</v>
      </c>
      <c r="G29" s="39" t="s">
        <v>36</v>
      </c>
      <c r="H29" s="43" t="s">
        <v>48</v>
      </c>
      <c r="I29" s="42" t="s">
        <v>162</v>
      </c>
      <c r="J29" s="41">
        <v>44253.0</v>
      </c>
    </row>
    <row r="30" ht="60.0" customHeight="1">
      <c r="A30" s="39">
        <v>27.0</v>
      </c>
      <c r="B30" s="40" t="s">
        <v>163</v>
      </c>
      <c r="C30" s="40" t="s">
        <v>164</v>
      </c>
      <c r="D30" s="40" t="s">
        <v>165</v>
      </c>
      <c r="E30" s="40" t="s">
        <v>166</v>
      </c>
      <c r="F30" s="39" t="str">
        <f t="shared" si="1"/>
        <v>CORRECT</v>
      </c>
      <c r="G30" s="39" t="s">
        <v>42</v>
      </c>
      <c r="H30" s="43" t="s">
        <v>42</v>
      </c>
      <c r="I30" s="42" t="s">
        <v>167</v>
      </c>
      <c r="J30" s="41">
        <v>35915.0</v>
      </c>
    </row>
    <row r="31" ht="60.0" customHeight="1">
      <c r="A31" s="39">
        <v>28.0</v>
      </c>
      <c r="B31" s="40" t="s">
        <v>168</v>
      </c>
      <c r="C31" s="40" t="s">
        <v>169</v>
      </c>
      <c r="D31" s="40" t="s">
        <v>170</v>
      </c>
      <c r="E31" s="40" t="s">
        <v>171</v>
      </c>
      <c r="F31" s="39" t="str">
        <f t="shared" si="1"/>
        <v>WRONG</v>
      </c>
      <c r="G31" s="39" t="s">
        <v>36</v>
      </c>
      <c r="H31" s="43" t="s">
        <v>48</v>
      </c>
      <c r="I31" s="42" t="s">
        <v>172</v>
      </c>
      <c r="J31" s="41">
        <v>24775.0</v>
      </c>
    </row>
    <row r="32" ht="60.0" customHeight="1">
      <c r="A32" s="39">
        <v>29.0</v>
      </c>
      <c r="B32" s="40" t="s">
        <v>173</v>
      </c>
      <c r="C32" s="40" t="s">
        <v>174</v>
      </c>
      <c r="D32" s="40" t="s">
        <v>175</v>
      </c>
      <c r="E32" s="40" t="s">
        <v>176</v>
      </c>
      <c r="F32" s="39" t="str">
        <f t="shared" si="1"/>
        <v>CORRECT</v>
      </c>
      <c r="G32" s="39" t="s">
        <v>42</v>
      </c>
      <c r="H32" s="41" t="s">
        <v>42</v>
      </c>
      <c r="I32" s="42" t="s">
        <v>177</v>
      </c>
      <c r="J32" s="41">
        <v>26502.0</v>
      </c>
    </row>
    <row r="33" ht="60.0" customHeight="1">
      <c r="A33" s="39">
        <v>30.0</v>
      </c>
      <c r="B33" s="40" t="s">
        <v>178</v>
      </c>
      <c r="C33" s="40" t="s">
        <v>179</v>
      </c>
      <c r="D33" s="40" t="s">
        <v>180</v>
      </c>
      <c r="E33" s="40" t="s">
        <v>181</v>
      </c>
      <c r="F33" s="39" t="str">
        <f t="shared" si="1"/>
        <v>WRONG</v>
      </c>
      <c r="G33" s="39" t="s">
        <v>48</v>
      </c>
      <c r="H33" s="41" t="s">
        <v>36</v>
      </c>
      <c r="I33" s="42" t="s">
        <v>182</v>
      </c>
      <c r="J33" s="41">
        <v>34697.0</v>
      </c>
    </row>
    <row r="34" ht="60.0" customHeight="1">
      <c r="A34" s="39">
        <v>31.0</v>
      </c>
      <c r="B34" s="40" t="s">
        <v>183</v>
      </c>
      <c r="C34" s="40" t="s">
        <v>184</v>
      </c>
      <c r="D34" s="40" t="s">
        <v>185</v>
      </c>
      <c r="E34" s="40" t="s">
        <v>186</v>
      </c>
      <c r="F34" s="39" t="str">
        <f t="shared" si="1"/>
        <v>WRONG</v>
      </c>
      <c r="G34" s="39" t="s">
        <v>42</v>
      </c>
      <c r="H34" s="41" t="s">
        <v>36</v>
      </c>
      <c r="I34" s="42" t="s">
        <v>187</v>
      </c>
      <c r="J34" s="41">
        <v>33622.0</v>
      </c>
    </row>
    <row r="35" ht="60.0" customHeight="1">
      <c r="A35" s="39">
        <v>32.0</v>
      </c>
      <c r="B35" s="40" t="s">
        <v>188</v>
      </c>
      <c r="C35" s="40" t="s">
        <v>189</v>
      </c>
      <c r="D35" s="40" t="s">
        <v>190</v>
      </c>
      <c r="E35" s="40" t="s">
        <v>191</v>
      </c>
      <c r="F35" s="39" t="str">
        <f t="shared" si="1"/>
        <v>CORRECT</v>
      </c>
      <c r="G35" s="39" t="s">
        <v>36</v>
      </c>
      <c r="H35" s="41" t="s">
        <v>36</v>
      </c>
      <c r="I35" s="42" t="s">
        <v>192</v>
      </c>
      <c r="J35" s="41">
        <v>44317.0</v>
      </c>
    </row>
    <row r="36" ht="60.0" customHeight="1">
      <c r="A36" s="39">
        <v>33.0</v>
      </c>
      <c r="B36" s="40" t="s">
        <v>193</v>
      </c>
      <c r="C36" s="40" t="s">
        <v>194</v>
      </c>
      <c r="D36" s="40" t="s">
        <v>195</v>
      </c>
      <c r="E36" s="40" t="s">
        <v>196</v>
      </c>
      <c r="F36" s="39" t="str">
        <f t="shared" si="1"/>
        <v>CORRECT</v>
      </c>
      <c r="G36" s="39" t="s">
        <v>48</v>
      </c>
      <c r="H36" s="43" t="s">
        <v>48</v>
      </c>
      <c r="I36" s="42" t="s">
        <v>197</v>
      </c>
      <c r="J36" s="41">
        <v>37122.0</v>
      </c>
    </row>
    <row r="37" ht="60.0" customHeight="1">
      <c r="A37" s="39">
        <v>34.0</v>
      </c>
      <c r="B37" s="40" t="s">
        <v>198</v>
      </c>
      <c r="C37" s="40" t="s">
        <v>199</v>
      </c>
      <c r="D37" s="40" t="s">
        <v>200</v>
      </c>
      <c r="E37" s="40" t="s">
        <v>201</v>
      </c>
      <c r="F37" s="39" t="str">
        <f t="shared" si="1"/>
        <v>CORRECT</v>
      </c>
      <c r="G37" s="39" t="s">
        <v>36</v>
      </c>
      <c r="H37" s="41" t="s">
        <v>36</v>
      </c>
      <c r="I37" s="42" t="s">
        <v>202</v>
      </c>
      <c r="J37" s="41">
        <v>29266.0</v>
      </c>
    </row>
    <row r="38" ht="60.0" customHeight="1">
      <c r="A38" s="39">
        <v>35.0</v>
      </c>
      <c r="B38" s="40" t="s">
        <v>203</v>
      </c>
      <c r="C38" s="40" t="s">
        <v>204</v>
      </c>
      <c r="D38" s="40" t="s">
        <v>205</v>
      </c>
      <c r="E38" s="40" t="s">
        <v>206</v>
      </c>
      <c r="F38" s="39" t="str">
        <f t="shared" si="1"/>
        <v>WRONG</v>
      </c>
      <c r="G38" s="39" t="s">
        <v>48</v>
      </c>
      <c r="H38" s="41" t="s">
        <v>36</v>
      </c>
      <c r="I38" s="42" t="s">
        <v>207</v>
      </c>
      <c r="J38" s="41">
        <v>31020.0</v>
      </c>
    </row>
    <row r="39" ht="60.0" customHeight="1">
      <c r="A39" s="39">
        <v>36.0</v>
      </c>
      <c r="B39" s="40" t="s">
        <v>208</v>
      </c>
      <c r="C39" s="40" t="s">
        <v>209</v>
      </c>
      <c r="D39" s="40" t="s">
        <v>210</v>
      </c>
      <c r="E39" s="40" t="s">
        <v>211</v>
      </c>
      <c r="F39" s="39" t="str">
        <f t="shared" si="1"/>
        <v>CORRECT</v>
      </c>
      <c r="G39" s="39" t="s">
        <v>36</v>
      </c>
      <c r="H39" s="41" t="s">
        <v>36</v>
      </c>
      <c r="I39" s="42" t="s">
        <v>212</v>
      </c>
      <c r="J39" s="41">
        <v>38306.0</v>
      </c>
    </row>
    <row r="40" ht="60.0" customHeight="1">
      <c r="A40" s="39">
        <v>37.0</v>
      </c>
      <c r="B40" s="40" t="s">
        <v>213</v>
      </c>
      <c r="C40" s="40" t="s">
        <v>214</v>
      </c>
      <c r="D40" s="40" t="s">
        <v>215</v>
      </c>
      <c r="E40" s="40" t="s">
        <v>216</v>
      </c>
      <c r="F40" s="39" t="str">
        <f t="shared" si="1"/>
        <v>CORRECT</v>
      </c>
      <c r="G40" s="39" t="s">
        <v>36</v>
      </c>
      <c r="H40" s="41" t="s">
        <v>36</v>
      </c>
      <c r="I40" s="42" t="s">
        <v>217</v>
      </c>
      <c r="J40" s="41">
        <v>34332.0</v>
      </c>
    </row>
    <row r="41" ht="60.0" customHeight="1">
      <c r="A41" s="39">
        <v>38.0</v>
      </c>
      <c r="B41" s="40" t="s">
        <v>218</v>
      </c>
      <c r="C41" s="40" t="s">
        <v>219</v>
      </c>
      <c r="D41" s="40" t="s">
        <v>220</v>
      </c>
      <c r="E41" s="40" t="s">
        <v>221</v>
      </c>
      <c r="F41" s="39" t="str">
        <f t="shared" si="1"/>
        <v>CORRECT</v>
      </c>
      <c r="G41" s="39" t="s">
        <v>36</v>
      </c>
      <c r="H41" s="41" t="s">
        <v>36</v>
      </c>
      <c r="I41" s="42" t="s">
        <v>222</v>
      </c>
      <c r="J41" s="41">
        <v>33424.0</v>
      </c>
    </row>
    <row r="42" ht="60.0" customHeight="1">
      <c r="A42" s="39">
        <v>39.0</v>
      </c>
      <c r="B42" s="40" t="s">
        <v>223</v>
      </c>
      <c r="C42" s="40" t="s">
        <v>224</v>
      </c>
      <c r="D42" s="40" t="s">
        <v>225</v>
      </c>
      <c r="E42" s="40" t="s">
        <v>226</v>
      </c>
      <c r="F42" s="39" t="str">
        <f t="shared" si="1"/>
        <v>WRONG</v>
      </c>
      <c r="G42" s="39" t="s">
        <v>42</v>
      </c>
      <c r="H42" s="41" t="s">
        <v>48</v>
      </c>
      <c r="I42" s="42" t="s">
        <v>227</v>
      </c>
      <c r="J42" s="41">
        <v>27457.0</v>
      </c>
    </row>
    <row r="43" ht="60.0" customHeight="1">
      <c r="A43" s="39">
        <v>40.0</v>
      </c>
      <c r="B43" s="40" t="s">
        <v>228</v>
      </c>
      <c r="C43" s="40" t="s">
        <v>229</v>
      </c>
      <c r="D43" s="40" t="s">
        <v>230</v>
      </c>
      <c r="E43" s="40" t="s">
        <v>231</v>
      </c>
      <c r="F43" s="39" t="str">
        <f t="shared" si="1"/>
        <v>WRONG</v>
      </c>
      <c r="G43" s="39" t="s">
        <v>48</v>
      </c>
      <c r="H43" s="43" t="s">
        <v>42</v>
      </c>
      <c r="I43" s="42" t="s">
        <v>232</v>
      </c>
      <c r="J43" s="41">
        <v>38340.0</v>
      </c>
    </row>
    <row r="44" ht="60.0" customHeight="1">
      <c r="A44" s="39">
        <v>41.0</v>
      </c>
      <c r="B44" s="40" t="s">
        <v>233</v>
      </c>
      <c r="C44" s="40" t="s">
        <v>234</v>
      </c>
      <c r="D44" s="40" t="s">
        <v>235</v>
      </c>
      <c r="E44" s="40" t="s">
        <v>236</v>
      </c>
      <c r="F44" s="39" t="str">
        <f t="shared" si="1"/>
        <v>CORRECT</v>
      </c>
      <c r="G44" s="39" t="s">
        <v>42</v>
      </c>
      <c r="H44" s="41" t="s">
        <v>42</v>
      </c>
      <c r="I44" s="42" t="s">
        <v>237</v>
      </c>
      <c r="J44" s="41">
        <v>21849.0</v>
      </c>
    </row>
    <row r="45" ht="60.0" customHeight="1">
      <c r="A45" s="39">
        <v>42.0</v>
      </c>
      <c r="B45" s="40" t="s">
        <v>238</v>
      </c>
      <c r="C45" s="40" t="s">
        <v>239</v>
      </c>
      <c r="D45" s="40" t="s">
        <v>240</v>
      </c>
      <c r="E45" s="40" t="s">
        <v>241</v>
      </c>
      <c r="F45" s="39" t="str">
        <f t="shared" si="1"/>
        <v>WRONG</v>
      </c>
      <c r="G45" s="39" t="s">
        <v>36</v>
      </c>
      <c r="H45" s="43" t="s">
        <v>42</v>
      </c>
      <c r="I45" s="42" t="s">
        <v>242</v>
      </c>
      <c r="J45" s="41">
        <v>34026.0</v>
      </c>
    </row>
    <row r="46" ht="60.0" customHeight="1">
      <c r="A46" s="39">
        <v>43.0</v>
      </c>
      <c r="B46" s="40" t="s">
        <v>243</v>
      </c>
      <c r="C46" s="40" t="s">
        <v>244</v>
      </c>
      <c r="D46" s="40" t="s">
        <v>245</v>
      </c>
      <c r="E46" s="40" t="s">
        <v>246</v>
      </c>
      <c r="F46" s="39" t="str">
        <f t="shared" si="1"/>
        <v>CORRECT</v>
      </c>
      <c r="G46" s="39" t="s">
        <v>48</v>
      </c>
      <c r="H46" s="43" t="s">
        <v>48</v>
      </c>
      <c r="I46" s="42" t="s">
        <v>247</v>
      </c>
      <c r="J46" s="41">
        <v>34242.0</v>
      </c>
    </row>
    <row r="47" ht="60.0" customHeight="1">
      <c r="A47" s="39">
        <v>44.0</v>
      </c>
      <c r="B47" s="40" t="s">
        <v>248</v>
      </c>
      <c r="C47" s="40" t="s">
        <v>249</v>
      </c>
      <c r="D47" s="40" t="s">
        <v>250</v>
      </c>
      <c r="E47" s="40" t="s">
        <v>251</v>
      </c>
      <c r="F47" s="39" t="str">
        <f t="shared" si="1"/>
        <v>WRONG</v>
      </c>
      <c r="G47" s="39" t="s">
        <v>36</v>
      </c>
      <c r="H47" s="41" t="s">
        <v>48</v>
      </c>
      <c r="I47" s="42" t="s">
        <v>252</v>
      </c>
      <c r="J47" s="41">
        <v>31613.0</v>
      </c>
    </row>
    <row r="48" ht="60.0" customHeight="1">
      <c r="A48" s="39">
        <v>45.0</v>
      </c>
      <c r="B48" s="40" t="s">
        <v>253</v>
      </c>
      <c r="C48" s="40" t="s">
        <v>254</v>
      </c>
      <c r="D48" s="40" t="s">
        <v>255</v>
      </c>
      <c r="E48" s="40" t="s">
        <v>256</v>
      </c>
      <c r="F48" s="39" t="str">
        <f t="shared" si="1"/>
        <v>CORRECT</v>
      </c>
      <c r="G48" s="39" t="s">
        <v>36</v>
      </c>
      <c r="H48" s="43" t="s">
        <v>36</v>
      </c>
      <c r="I48" s="42" t="s">
        <v>257</v>
      </c>
      <c r="J48" s="41">
        <v>44725.0</v>
      </c>
    </row>
    <row r="49" ht="60.0" customHeight="1">
      <c r="A49" s="39">
        <v>46.0</v>
      </c>
      <c r="B49" s="40" t="s">
        <v>258</v>
      </c>
      <c r="C49" s="40" t="s">
        <v>39</v>
      </c>
      <c r="D49" s="40" t="s">
        <v>259</v>
      </c>
      <c r="E49" s="40" t="s">
        <v>260</v>
      </c>
      <c r="F49" s="39" t="str">
        <f t="shared" si="1"/>
        <v>CORRECT</v>
      </c>
      <c r="G49" s="39" t="s">
        <v>36</v>
      </c>
      <c r="H49" s="43" t="s">
        <v>36</v>
      </c>
      <c r="I49" s="42" t="s">
        <v>261</v>
      </c>
      <c r="J49" s="41">
        <v>26003.0</v>
      </c>
    </row>
    <row r="50">
      <c r="A50" s="44" t="s">
        <v>262</v>
      </c>
      <c r="B50" s="2"/>
      <c r="C50" s="2"/>
      <c r="D50" s="2"/>
      <c r="E50" s="3"/>
      <c r="F50" s="45">
        <f>COUNTIFS(F4:F49,"CORRECT")</f>
        <v>29</v>
      </c>
      <c r="G50" s="46"/>
      <c r="H50" s="46"/>
      <c r="J50" s="47">
        <f>AVERAGE(J4:J49)</f>
        <v>35009.54348</v>
      </c>
    </row>
    <row r="51">
      <c r="A51" s="48" t="s">
        <v>263</v>
      </c>
      <c r="B51" s="2"/>
      <c r="C51" s="2"/>
      <c r="D51" s="2"/>
      <c r="E51" s="3"/>
      <c r="F51" s="49">
        <v>46.0</v>
      </c>
      <c r="G51" s="46"/>
      <c r="H51" s="46"/>
    </row>
    <row r="52">
      <c r="A52" s="44" t="s">
        <v>264</v>
      </c>
      <c r="B52" s="2"/>
      <c r="C52" s="2"/>
      <c r="D52" s="2"/>
      <c r="E52" s="3"/>
      <c r="F52" s="50">
        <f>F50/F51</f>
        <v>0.6304347826</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265</v>
      </c>
      <c r="C2" s="2"/>
      <c r="D2" s="2"/>
      <c r="E2" s="2"/>
      <c r="F2" s="2"/>
      <c r="G2" s="2"/>
      <c r="H2" s="3"/>
      <c r="I2" s="37" t="s">
        <v>266</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CORRECT</v>
      </c>
      <c r="G4" s="39" t="s">
        <v>36</v>
      </c>
      <c r="H4" s="41" t="s">
        <v>36</v>
      </c>
      <c r="I4" s="42" t="s">
        <v>37</v>
      </c>
      <c r="J4" s="41">
        <v>39707.0</v>
      </c>
    </row>
    <row r="5" ht="60.0" customHeight="1">
      <c r="A5" s="39">
        <v>2.0</v>
      </c>
      <c r="B5" s="40" t="s">
        <v>38</v>
      </c>
      <c r="C5" s="40" t="s">
        <v>39</v>
      </c>
      <c r="D5" s="40" t="s">
        <v>40</v>
      </c>
      <c r="E5" s="40" t="s">
        <v>41</v>
      </c>
      <c r="F5" s="39" t="str">
        <f t="shared" si="1"/>
        <v>CORRECT</v>
      </c>
      <c r="G5" s="39" t="s">
        <v>42</v>
      </c>
      <c r="H5" s="43" t="s">
        <v>42</v>
      </c>
      <c r="I5" s="42" t="s">
        <v>43</v>
      </c>
      <c r="J5" s="41">
        <v>41744.0</v>
      </c>
    </row>
    <row r="6" ht="60.0" customHeight="1">
      <c r="A6" s="39">
        <v>3.0</v>
      </c>
      <c r="B6" s="40" t="s">
        <v>44</v>
      </c>
      <c r="C6" s="40" t="s">
        <v>45</v>
      </c>
      <c r="D6" s="40" t="s">
        <v>46</v>
      </c>
      <c r="E6" s="40" t="s">
        <v>47</v>
      </c>
      <c r="F6" s="39" t="str">
        <f t="shared" si="1"/>
        <v>CORRECT</v>
      </c>
      <c r="G6" s="39" t="s">
        <v>48</v>
      </c>
      <c r="H6" s="43" t="s">
        <v>48</v>
      </c>
      <c r="I6" s="42" t="s">
        <v>49</v>
      </c>
      <c r="J6" s="41">
        <v>32387.0</v>
      </c>
    </row>
    <row r="7" ht="60.0" customHeight="1">
      <c r="A7" s="39">
        <v>4.0</v>
      </c>
      <c r="B7" s="40" t="s">
        <v>50</v>
      </c>
      <c r="C7" s="40" t="s">
        <v>51</v>
      </c>
      <c r="D7" s="40" t="s">
        <v>52</v>
      </c>
      <c r="E7" s="40" t="s">
        <v>53</v>
      </c>
      <c r="F7" s="39" t="str">
        <f t="shared" si="1"/>
        <v>CORRECT</v>
      </c>
      <c r="G7" s="39" t="s">
        <v>42</v>
      </c>
      <c r="H7" s="41" t="s">
        <v>42</v>
      </c>
      <c r="I7" s="42" t="s">
        <v>54</v>
      </c>
      <c r="J7" s="41">
        <v>27096.0</v>
      </c>
    </row>
    <row r="8" ht="60.0" customHeight="1">
      <c r="A8" s="39">
        <v>5.0</v>
      </c>
      <c r="B8" s="40" t="s">
        <v>55</v>
      </c>
      <c r="C8" s="40" t="s">
        <v>56</v>
      </c>
      <c r="D8" s="40" t="s">
        <v>57</v>
      </c>
      <c r="E8" s="40" t="s">
        <v>58</v>
      </c>
      <c r="F8" s="39" t="str">
        <f t="shared" si="1"/>
        <v>CORRECT</v>
      </c>
      <c r="G8" s="39" t="s">
        <v>48</v>
      </c>
      <c r="H8" s="43" t="s">
        <v>48</v>
      </c>
      <c r="I8" s="42" t="s">
        <v>267</v>
      </c>
      <c r="J8" s="41">
        <v>42469.0</v>
      </c>
    </row>
    <row r="9" ht="60.0" customHeight="1">
      <c r="A9" s="39">
        <v>6.0</v>
      </c>
      <c r="B9" s="40" t="s">
        <v>60</v>
      </c>
      <c r="C9" s="40" t="s">
        <v>61</v>
      </c>
      <c r="D9" s="40" t="s">
        <v>62</v>
      </c>
      <c r="E9" s="40" t="s">
        <v>63</v>
      </c>
      <c r="F9" s="39" t="str">
        <f t="shared" si="1"/>
        <v>CORRECT</v>
      </c>
      <c r="G9" s="39" t="s">
        <v>42</v>
      </c>
      <c r="H9" s="43" t="s">
        <v>42</v>
      </c>
      <c r="I9" s="42" t="s">
        <v>64</v>
      </c>
      <c r="J9" s="41">
        <v>33970.0</v>
      </c>
    </row>
    <row r="10" ht="60.0" customHeight="1">
      <c r="A10" s="39">
        <v>7.0</v>
      </c>
      <c r="B10" s="40" t="s">
        <v>65</v>
      </c>
      <c r="C10" s="40" t="s">
        <v>66</v>
      </c>
      <c r="D10" s="40" t="s">
        <v>67</v>
      </c>
      <c r="E10" s="40" t="s">
        <v>68</v>
      </c>
      <c r="F10" s="39" t="str">
        <f t="shared" si="1"/>
        <v>WRONG</v>
      </c>
      <c r="G10" s="39" t="s">
        <v>42</v>
      </c>
      <c r="H10" s="41" t="s">
        <v>36</v>
      </c>
      <c r="I10" s="42" t="s">
        <v>268</v>
      </c>
      <c r="J10" s="41">
        <v>33558.0</v>
      </c>
    </row>
    <row r="11" ht="60.0" customHeight="1">
      <c r="A11" s="39">
        <v>8.0</v>
      </c>
      <c r="B11" s="40" t="s">
        <v>70</v>
      </c>
      <c r="C11" s="40" t="s">
        <v>71</v>
      </c>
      <c r="D11" s="40" t="s">
        <v>72</v>
      </c>
      <c r="E11" s="40" t="s">
        <v>73</v>
      </c>
      <c r="F11" s="39" t="str">
        <f t="shared" si="1"/>
        <v>CORRECT</v>
      </c>
      <c r="G11" s="39" t="s">
        <v>48</v>
      </c>
      <c r="H11" s="43" t="s">
        <v>48</v>
      </c>
      <c r="I11" s="42" t="s">
        <v>74</v>
      </c>
      <c r="J11" s="41">
        <v>58952.0</v>
      </c>
    </row>
    <row r="12" ht="60.0" customHeight="1">
      <c r="A12" s="39">
        <v>9.0</v>
      </c>
      <c r="B12" s="40" t="s">
        <v>75</v>
      </c>
      <c r="C12" s="40" t="s">
        <v>76</v>
      </c>
      <c r="D12" s="40" t="s">
        <v>77</v>
      </c>
      <c r="E12" s="40" t="s">
        <v>78</v>
      </c>
      <c r="F12" s="39" t="str">
        <f t="shared" si="1"/>
        <v>WRONG</v>
      </c>
      <c r="G12" s="39" t="s">
        <v>42</v>
      </c>
      <c r="H12" s="43" t="s">
        <v>48</v>
      </c>
      <c r="I12" s="42" t="s">
        <v>269</v>
      </c>
      <c r="J12" s="41">
        <v>41218.0</v>
      </c>
    </row>
    <row r="13" ht="60.0" customHeight="1">
      <c r="A13" s="39">
        <v>10.0</v>
      </c>
      <c r="B13" s="40" t="s">
        <v>80</v>
      </c>
      <c r="C13" s="40" t="s">
        <v>81</v>
      </c>
      <c r="D13" s="40" t="s">
        <v>82</v>
      </c>
      <c r="E13" s="40" t="s">
        <v>83</v>
      </c>
      <c r="F13" s="39" t="str">
        <f t="shared" si="1"/>
        <v>CORRECT</v>
      </c>
      <c r="G13" s="39" t="s">
        <v>48</v>
      </c>
      <c r="H13" s="43" t="s">
        <v>48</v>
      </c>
      <c r="I13" s="42" t="s">
        <v>270</v>
      </c>
      <c r="J13" s="41">
        <v>43039.0</v>
      </c>
    </row>
    <row r="14" ht="60.0" customHeight="1">
      <c r="A14" s="39">
        <v>11.0</v>
      </c>
      <c r="B14" s="40" t="s">
        <v>85</v>
      </c>
      <c r="C14" s="40" t="s">
        <v>86</v>
      </c>
      <c r="D14" s="40" t="s">
        <v>87</v>
      </c>
      <c r="E14" s="40" t="s">
        <v>88</v>
      </c>
      <c r="F14" s="39" t="str">
        <f t="shared" si="1"/>
        <v>CORRECT</v>
      </c>
      <c r="G14" s="39" t="s">
        <v>42</v>
      </c>
      <c r="H14" s="41" t="s">
        <v>42</v>
      </c>
      <c r="I14" s="42" t="s">
        <v>271</v>
      </c>
      <c r="J14" s="41">
        <v>44129.0</v>
      </c>
    </row>
    <row r="15" ht="60.0" customHeight="1">
      <c r="A15" s="39">
        <v>12.0</v>
      </c>
      <c r="B15" s="40" t="s">
        <v>90</v>
      </c>
      <c r="C15" s="40" t="s">
        <v>91</v>
      </c>
      <c r="D15" s="40" t="s">
        <v>92</v>
      </c>
      <c r="E15" s="40" t="s">
        <v>93</v>
      </c>
      <c r="F15" s="39" t="str">
        <f t="shared" si="1"/>
        <v>CORRECT</v>
      </c>
      <c r="G15" s="39" t="s">
        <v>48</v>
      </c>
      <c r="H15" s="43" t="s">
        <v>48</v>
      </c>
      <c r="I15" s="42" t="s">
        <v>272</v>
      </c>
      <c r="J15" s="41">
        <v>41279.0</v>
      </c>
    </row>
    <row r="16" ht="60.0" customHeight="1">
      <c r="A16" s="39">
        <v>13.0</v>
      </c>
      <c r="B16" s="40" t="s">
        <v>95</v>
      </c>
      <c r="C16" s="40" t="s">
        <v>96</v>
      </c>
      <c r="D16" s="40" t="s">
        <v>97</v>
      </c>
      <c r="E16" s="40" t="s">
        <v>98</v>
      </c>
      <c r="F16" s="39" t="str">
        <f t="shared" si="1"/>
        <v>CORRECT</v>
      </c>
      <c r="G16" s="39" t="s">
        <v>36</v>
      </c>
      <c r="H16" s="43" t="s">
        <v>36</v>
      </c>
      <c r="I16" s="42" t="s">
        <v>99</v>
      </c>
      <c r="J16" s="41">
        <v>25874.0</v>
      </c>
    </row>
    <row r="17" ht="60.0" customHeight="1">
      <c r="A17" s="39">
        <v>14.0</v>
      </c>
      <c r="B17" s="40" t="s">
        <v>100</v>
      </c>
      <c r="C17" s="40" t="s">
        <v>101</v>
      </c>
      <c r="D17" s="40" t="s">
        <v>102</v>
      </c>
      <c r="E17" s="40" t="s">
        <v>103</v>
      </c>
      <c r="F17" s="39" t="str">
        <f t="shared" si="1"/>
        <v>WRONG</v>
      </c>
      <c r="G17" s="39" t="s">
        <v>36</v>
      </c>
      <c r="H17" s="43" t="s">
        <v>48</v>
      </c>
      <c r="I17" s="42" t="s">
        <v>273</v>
      </c>
      <c r="J17" s="41">
        <v>32111.0</v>
      </c>
    </row>
    <row r="18" ht="60.0" customHeight="1">
      <c r="A18" s="39">
        <v>15.0</v>
      </c>
      <c r="B18" s="40" t="s">
        <v>105</v>
      </c>
      <c r="C18" s="40" t="s">
        <v>106</v>
      </c>
      <c r="D18" s="40" t="s">
        <v>107</v>
      </c>
      <c r="E18" s="40" t="s">
        <v>108</v>
      </c>
      <c r="F18" s="39" t="str">
        <f t="shared" si="1"/>
        <v>CORRECT</v>
      </c>
      <c r="G18" s="39" t="s">
        <v>48</v>
      </c>
      <c r="H18" s="43" t="s">
        <v>48</v>
      </c>
      <c r="I18" s="42" t="s">
        <v>109</v>
      </c>
      <c r="J18" s="41">
        <v>38048.0</v>
      </c>
    </row>
    <row r="19" ht="60.0" customHeight="1">
      <c r="A19" s="39">
        <v>16.0</v>
      </c>
      <c r="B19" s="40" t="s">
        <v>110</v>
      </c>
      <c r="C19" s="40" t="s">
        <v>111</v>
      </c>
      <c r="D19" s="40" t="s">
        <v>112</v>
      </c>
      <c r="E19" s="40" t="s">
        <v>113</v>
      </c>
      <c r="F19" s="39" t="str">
        <f t="shared" si="1"/>
        <v>CORRECT</v>
      </c>
      <c r="G19" s="39" t="s">
        <v>48</v>
      </c>
      <c r="H19" s="43" t="s">
        <v>48</v>
      </c>
      <c r="I19" s="42" t="s">
        <v>114</v>
      </c>
      <c r="J19" s="41">
        <v>33901.0</v>
      </c>
    </row>
    <row r="20" ht="60.0" customHeight="1">
      <c r="A20" s="39">
        <v>17.0</v>
      </c>
      <c r="B20" s="40" t="s">
        <v>115</v>
      </c>
      <c r="C20" s="40" t="s">
        <v>116</v>
      </c>
      <c r="D20" s="40" t="s">
        <v>117</v>
      </c>
      <c r="E20" s="40" t="s">
        <v>118</v>
      </c>
      <c r="F20" s="39" t="str">
        <f t="shared" si="1"/>
        <v>WRONG</v>
      </c>
      <c r="G20" s="39" t="s">
        <v>42</v>
      </c>
      <c r="H20" s="41" t="s">
        <v>36</v>
      </c>
      <c r="I20" s="42" t="s">
        <v>119</v>
      </c>
      <c r="J20" s="41">
        <v>31326.0</v>
      </c>
    </row>
    <row r="21" ht="60.0" customHeight="1">
      <c r="A21" s="39">
        <v>18.0</v>
      </c>
      <c r="B21" s="40" t="s">
        <v>120</v>
      </c>
      <c r="C21" s="40" t="s">
        <v>121</v>
      </c>
      <c r="D21" s="40" t="s">
        <v>122</v>
      </c>
      <c r="E21" s="40" t="s">
        <v>123</v>
      </c>
      <c r="F21" s="39" t="str">
        <f t="shared" si="1"/>
        <v>CORRECT</v>
      </c>
      <c r="G21" s="39" t="s">
        <v>42</v>
      </c>
      <c r="H21" s="41" t="s">
        <v>42</v>
      </c>
      <c r="I21" s="42" t="s">
        <v>124</v>
      </c>
      <c r="J21" s="41">
        <v>32068.0</v>
      </c>
    </row>
    <row r="22" ht="60.0" customHeight="1">
      <c r="A22" s="39">
        <v>19.0</v>
      </c>
      <c r="B22" s="40" t="s">
        <v>125</v>
      </c>
      <c r="C22" s="40" t="s">
        <v>126</v>
      </c>
      <c r="D22" s="40" t="s">
        <v>127</v>
      </c>
      <c r="E22" s="40" t="s">
        <v>128</v>
      </c>
      <c r="F22" s="39" t="str">
        <f t="shared" si="1"/>
        <v>WRONG</v>
      </c>
      <c r="G22" s="39" t="s">
        <v>36</v>
      </c>
      <c r="H22" s="43" t="s">
        <v>48</v>
      </c>
      <c r="I22" s="42" t="s">
        <v>129</v>
      </c>
      <c r="J22" s="41">
        <v>48236.0</v>
      </c>
    </row>
    <row r="23" ht="60.0" customHeight="1">
      <c r="A23" s="39">
        <v>20.0</v>
      </c>
      <c r="B23" s="40" t="s">
        <v>130</v>
      </c>
      <c r="C23" s="40" t="s">
        <v>131</v>
      </c>
      <c r="D23" s="40" t="s">
        <v>132</v>
      </c>
      <c r="E23" s="40" t="s">
        <v>133</v>
      </c>
      <c r="F23" s="39" t="str">
        <f t="shared" si="1"/>
        <v>WRONG</v>
      </c>
      <c r="G23" s="39" t="s">
        <v>42</v>
      </c>
      <c r="H23" s="43" t="s">
        <v>48</v>
      </c>
      <c r="I23" s="42" t="s">
        <v>134</v>
      </c>
      <c r="J23" s="41">
        <v>14403.0</v>
      </c>
    </row>
    <row r="24" ht="60.0" customHeight="1">
      <c r="A24" s="39">
        <v>21.0</v>
      </c>
      <c r="B24" s="40" t="s">
        <v>135</v>
      </c>
      <c r="C24" s="40" t="s">
        <v>136</v>
      </c>
      <c r="D24" s="40" t="s">
        <v>137</v>
      </c>
      <c r="E24" s="40" t="s">
        <v>138</v>
      </c>
      <c r="F24" s="39" t="str">
        <f t="shared" si="1"/>
        <v>WRONG</v>
      </c>
      <c r="G24" s="39" t="s">
        <v>42</v>
      </c>
      <c r="H24" s="41" t="s">
        <v>36</v>
      </c>
      <c r="I24" s="42" t="s">
        <v>139</v>
      </c>
      <c r="J24" s="41">
        <v>24759.0</v>
      </c>
    </row>
    <row r="25" ht="60.0" customHeight="1">
      <c r="A25" s="39">
        <v>22.0</v>
      </c>
      <c r="B25" s="40" t="s">
        <v>140</v>
      </c>
      <c r="C25" s="40" t="s">
        <v>141</v>
      </c>
      <c r="D25" s="40" t="s">
        <v>142</v>
      </c>
      <c r="E25" s="40" t="s">
        <v>143</v>
      </c>
      <c r="F25" s="39" t="str">
        <f t="shared" si="1"/>
        <v>CORRECT</v>
      </c>
      <c r="G25" s="39" t="s">
        <v>42</v>
      </c>
      <c r="H25" s="41" t="s">
        <v>42</v>
      </c>
      <c r="I25" s="42" t="s">
        <v>144</v>
      </c>
      <c r="J25" s="41">
        <v>23729.0</v>
      </c>
    </row>
    <row r="26" ht="60.0" customHeight="1">
      <c r="A26" s="39">
        <v>23.0</v>
      </c>
      <c r="B26" s="40" t="s">
        <v>145</v>
      </c>
      <c r="C26" s="40" t="s">
        <v>146</v>
      </c>
      <c r="D26" s="40" t="s">
        <v>147</v>
      </c>
      <c r="E26" s="40" t="s">
        <v>148</v>
      </c>
      <c r="F26" s="39" t="str">
        <f t="shared" si="1"/>
        <v>WRONG</v>
      </c>
      <c r="G26" s="39" t="s">
        <v>48</v>
      </c>
      <c r="H26" s="41" t="s">
        <v>42</v>
      </c>
      <c r="I26" s="42" t="s">
        <v>149</v>
      </c>
      <c r="J26" s="41">
        <v>35283.0</v>
      </c>
    </row>
    <row r="27" ht="60.0" customHeight="1">
      <c r="A27" s="39">
        <v>24.0</v>
      </c>
      <c r="B27" s="40" t="s">
        <v>150</v>
      </c>
      <c r="C27" s="40" t="s">
        <v>151</v>
      </c>
      <c r="D27" s="40" t="s">
        <v>152</v>
      </c>
      <c r="E27" s="40" t="s">
        <v>153</v>
      </c>
      <c r="F27" s="39" t="str">
        <f t="shared" si="1"/>
        <v>CORRECT</v>
      </c>
      <c r="G27" s="39" t="s">
        <v>36</v>
      </c>
      <c r="H27" s="43" t="s">
        <v>36</v>
      </c>
      <c r="I27" s="42" t="s">
        <v>154</v>
      </c>
      <c r="J27" s="41">
        <v>39249.0</v>
      </c>
    </row>
    <row r="28" ht="60.0" customHeight="1">
      <c r="A28" s="39">
        <v>25.0</v>
      </c>
      <c r="B28" s="40" t="s">
        <v>155</v>
      </c>
      <c r="C28" s="40" t="s">
        <v>151</v>
      </c>
      <c r="D28" s="40" t="s">
        <v>156</v>
      </c>
      <c r="E28" s="40" t="s">
        <v>153</v>
      </c>
      <c r="F28" s="39" t="str">
        <f t="shared" si="1"/>
        <v>WRONG</v>
      </c>
      <c r="G28" s="39" t="s">
        <v>48</v>
      </c>
      <c r="H28" s="43" t="s">
        <v>42</v>
      </c>
      <c r="I28" s="42" t="s">
        <v>157</v>
      </c>
      <c r="J28" s="41">
        <v>33983.0</v>
      </c>
    </row>
    <row r="29" ht="60.0" customHeight="1">
      <c r="A29" s="39">
        <v>26.0</v>
      </c>
      <c r="B29" s="40" t="s">
        <v>158</v>
      </c>
      <c r="C29" s="40" t="s">
        <v>159</v>
      </c>
      <c r="D29" s="40" t="s">
        <v>160</v>
      </c>
      <c r="E29" s="40" t="s">
        <v>161</v>
      </c>
      <c r="F29" s="39" t="str">
        <f t="shared" si="1"/>
        <v>WRONG</v>
      </c>
      <c r="G29" s="39" t="s">
        <v>36</v>
      </c>
      <c r="H29" s="43" t="s">
        <v>48</v>
      </c>
      <c r="I29" s="42" t="s">
        <v>162</v>
      </c>
      <c r="J29" s="41">
        <v>48940.0</v>
      </c>
    </row>
    <row r="30" ht="60.0" customHeight="1">
      <c r="A30" s="39">
        <v>27.0</v>
      </c>
      <c r="B30" s="40" t="s">
        <v>163</v>
      </c>
      <c r="C30" s="40" t="s">
        <v>164</v>
      </c>
      <c r="D30" s="40" t="s">
        <v>165</v>
      </c>
      <c r="E30" s="40" t="s">
        <v>166</v>
      </c>
      <c r="F30" s="39" t="str">
        <f t="shared" si="1"/>
        <v>CORRECT</v>
      </c>
      <c r="G30" s="39" t="s">
        <v>42</v>
      </c>
      <c r="H30" s="43" t="s">
        <v>42</v>
      </c>
      <c r="I30" s="42" t="s">
        <v>167</v>
      </c>
      <c r="J30" s="41">
        <v>40544.0</v>
      </c>
    </row>
    <row r="31" ht="60.0" customHeight="1">
      <c r="A31" s="39">
        <v>28.0</v>
      </c>
      <c r="B31" s="40" t="s">
        <v>168</v>
      </c>
      <c r="C31" s="40" t="s">
        <v>169</v>
      </c>
      <c r="D31" s="40" t="s">
        <v>170</v>
      </c>
      <c r="E31" s="40" t="s">
        <v>171</v>
      </c>
      <c r="F31" s="39" t="str">
        <f t="shared" si="1"/>
        <v>WRONG</v>
      </c>
      <c r="G31" s="39" t="s">
        <v>36</v>
      </c>
      <c r="H31" s="43" t="s">
        <v>48</v>
      </c>
      <c r="I31" s="42" t="s">
        <v>172</v>
      </c>
      <c r="J31" s="41">
        <v>27760.0</v>
      </c>
    </row>
    <row r="32" ht="60.0" customHeight="1">
      <c r="A32" s="39">
        <v>29.0</v>
      </c>
      <c r="B32" s="40" t="s">
        <v>173</v>
      </c>
      <c r="C32" s="40" t="s">
        <v>174</v>
      </c>
      <c r="D32" s="40" t="s">
        <v>175</v>
      </c>
      <c r="E32" s="40" t="s">
        <v>176</v>
      </c>
      <c r="F32" s="39" t="str">
        <f t="shared" si="1"/>
        <v>CORRECT</v>
      </c>
      <c r="G32" s="39" t="s">
        <v>42</v>
      </c>
      <c r="H32" s="41" t="s">
        <v>42</v>
      </c>
      <c r="I32" s="42" t="s">
        <v>177</v>
      </c>
      <c r="J32" s="41">
        <v>26878.0</v>
      </c>
    </row>
    <row r="33" ht="60.0" customHeight="1">
      <c r="A33" s="39">
        <v>30.0</v>
      </c>
      <c r="B33" s="40" t="s">
        <v>178</v>
      </c>
      <c r="C33" s="40" t="s">
        <v>179</v>
      </c>
      <c r="D33" s="40" t="s">
        <v>180</v>
      </c>
      <c r="E33" s="40" t="s">
        <v>181</v>
      </c>
      <c r="F33" s="39" t="str">
        <f t="shared" si="1"/>
        <v>WRONG</v>
      </c>
      <c r="G33" s="39" t="s">
        <v>48</v>
      </c>
      <c r="H33" s="41" t="s">
        <v>36</v>
      </c>
      <c r="I33" s="42" t="s">
        <v>182</v>
      </c>
      <c r="J33" s="41">
        <v>34922.0</v>
      </c>
    </row>
    <row r="34" ht="60.0" customHeight="1">
      <c r="A34" s="39">
        <v>31.0</v>
      </c>
      <c r="B34" s="40" t="s">
        <v>183</v>
      </c>
      <c r="C34" s="40" t="s">
        <v>184</v>
      </c>
      <c r="D34" s="40" t="s">
        <v>185</v>
      </c>
      <c r="E34" s="40" t="s">
        <v>186</v>
      </c>
      <c r="F34" s="39" t="str">
        <f t="shared" si="1"/>
        <v>WRONG</v>
      </c>
      <c r="G34" s="39" t="s">
        <v>42</v>
      </c>
      <c r="H34" s="41" t="s">
        <v>36</v>
      </c>
      <c r="I34" s="42" t="s">
        <v>187</v>
      </c>
      <c r="J34" s="41">
        <v>33905.0</v>
      </c>
    </row>
    <row r="35" ht="60.0" customHeight="1">
      <c r="A35" s="39">
        <v>32.0</v>
      </c>
      <c r="B35" s="40" t="s">
        <v>188</v>
      </c>
      <c r="C35" s="40" t="s">
        <v>189</v>
      </c>
      <c r="D35" s="40" t="s">
        <v>190</v>
      </c>
      <c r="E35" s="40" t="s">
        <v>191</v>
      </c>
      <c r="F35" s="39" t="str">
        <f t="shared" si="1"/>
        <v>CORRECT</v>
      </c>
      <c r="G35" s="39" t="s">
        <v>36</v>
      </c>
      <c r="H35" s="41" t="s">
        <v>36</v>
      </c>
      <c r="I35" s="42" t="s">
        <v>192</v>
      </c>
      <c r="J35" s="41">
        <v>46849.0</v>
      </c>
    </row>
    <row r="36" ht="60.0" customHeight="1">
      <c r="A36" s="39">
        <v>33.0</v>
      </c>
      <c r="B36" s="40" t="s">
        <v>193</v>
      </c>
      <c r="C36" s="40" t="s">
        <v>194</v>
      </c>
      <c r="D36" s="40" t="s">
        <v>195</v>
      </c>
      <c r="E36" s="40" t="s">
        <v>196</v>
      </c>
      <c r="F36" s="39" t="str">
        <f t="shared" si="1"/>
        <v>CORRECT</v>
      </c>
      <c r="G36" s="39" t="s">
        <v>48</v>
      </c>
      <c r="H36" s="43" t="s">
        <v>48</v>
      </c>
      <c r="I36" s="42" t="s">
        <v>197</v>
      </c>
      <c r="J36" s="41">
        <v>39562.0</v>
      </c>
    </row>
    <row r="37" ht="60.0" customHeight="1">
      <c r="A37" s="39">
        <v>34.0</v>
      </c>
      <c r="B37" s="40" t="s">
        <v>198</v>
      </c>
      <c r="C37" s="40" t="s">
        <v>199</v>
      </c>
      <c r="D37" s="40" t="s">
        <v>200</v>
      </c>
      <c r="E37" s="40" t="s">
        <v>201</v>
      </c>
      <c r="F37" s="39" t="str">
        <f t="shared" si="1"/>
        <v>CORRECT</v>
      </c>
      <c r="G37" s="39" t="s">
        <v>36</v>
      </c>
      <c r="H37" s="41" t="s">
        <v>36</v>
      </c>
      <c r="I37" s="42" t="s">
        <v>274</v>
      </c>
      <c r="J37" s="41">
        <v>32028.0</v>
      </c>
    </row>
    <row r="38" ht="60.0" customHeight="1">
      <c r="A38" s="39">
        <v>35.0</v>
      </c>
      <c r="B38" s="40" t="s">
        <v>203</v>
      </c>
      <c r="C38" s="40" t="s">
        <v>204</v>
      </c>
      <c r="D38" s="40" t="s">
        <v>205</v>
      </c>
      <c r="E38" s="40" t="s">
        <v>206</v>
      </c>
      <c r="F38" s="39" t="str">
        <f t="shared" si="1"/>
        <v>WRONG</v>
      </c>
      <c r="G38" s="39" t="s">
        <v>48</v>
      </c>
      <c r="H38" s="43" t="s">
        <v>36</v>
      </c>
      <c r="I38" s="42" t="s">
        <v>207</v>
      </c>
      <c r="J38" s="41">
        <v>33669.0</v>
      </c>
    </row>
    <row r="39" ht="60.0" customHeight="1">
      <c r="A39" s="39">
        <v>36.0</v>
      </c>
      <c r="B39" s="40" t="s">
        <v>208</v>
      </c>
      <c r="C39" s="40" t="s">
        <v>209</v>
      </c>
      <c r="D39" s="40" t="s">
        <v>210</v>
      </c>
      <c r="E39" s="40" t="s">
        <v>211</v>
      </c>
      <c r="F39" s="39" t="str">
        <f t="shared" si="1"/>
        <v>CORRECT</v>
      </c>
      <c r="G39" s="39" t="s">
        <v>36</v>
      </c>
      <c r="H39" s="41" t="s">
        <v>36</v>
      </c>
      <c r="I39" s="42" t="s">
        <v>212</v>
      </c>
      <c r="J39" s="41">
        <v>41184.0</v>
      </c>
    </row>
    <row r="40" ht="60.0" customHeight="1">
      <c r="A40" s="39">
        <v>37.0</v>
      </c>
      <c r="B40" s="40" t="s">
        <v>213</v>
      </c>
      <c r="C40" s="40" t="s">
        <v>214</v>
      </c>
      <c r="D40" s="40" t="s">
        <v>215</v>
      </c>
      <c r="E40" s="40" t="s">
        <v>216</v>
      </c>
      <c r="F40" s="39" t="str">
        <f t="shared" si="1"/>
        <v>CORRECT</v>
      </c>
      <c r="G40" s="39" t="s">
        <v>36</v>
      </c>
      <c r="H40" s="41" t="s">
        <v>36</v>
      </c>
      <c r="I40" s="42" t="s">
        <v>217</v>
      </c>
      <c r="J40" s="41">
        <v>37484.0</v>
      </c>
    </row>
    <row r="41" ht="60.0" customHeight="1">
      <c r="A41" s="39">
        <v>38.0</v>
      </c>
      <c r="B41" s="40" t="s">
        <v>218</v>
      </c>
      <c r="C41" s="40" t="s">
        <v>219</v>
      </c>
      <c r="D41" s="40" t="s">
        <v>220</v>
      </c>
      <c r="E41" s="40" t="s">
        <v>221</v>
      </c>
      <c r="F41" s="39" t="str">
        <f t="shared" si="1"/>
        <v>CORRECT</v>
      </c>
      <c r="G41" s="39" t="s">
        <v>36</v>
      </c>
      <c r="H41" s="43" t="s">
        <v>36</v>
      </c>
      <c r="I41" s="42" t="s">
        <v>222</v>
      </c>
      <c r="J41" s="41">
        <v>36195.0</v>
      </c>
    </row>
    <row r="42" ht="60.0" customHeight="1">
      <c r="A42" s="39">
        <v>39.0</v>
      </c>
      <c r="B42" s="40" t="s">
        <v>223</v>
      </c>
      <c r="C42" s="40" t="s">
        <v>224</v>
      </c>
      <c r="D42" s="40" t="s">
        <v>225</v>
      </c>
      <c r="E42" s="40" t="s">
        <v>226</v>
      </c>
      <c r="F42" s="39" t="str">
        <f t="shared" si="1"/>
        <v>WRONG</v>
      </c>
      <c r="G42" s="39" t="s">
        <v>42</v>
      </c>
      <c r="H42" s="41" t="s">
        <v>48</v>
      </c>
      <c r="I42" s="42" t="s">
        <v>227</v>
      </c>
      <c r="J42" s="41">
        <v>29722.0</v>
      </c>
    </row>
    <row r="43" ht="60.0" customHeight="1">
      <c r="A43" s="39">
        <v>40.0</v>
      </c>
      <c r="B43" s="40" t="s">
        <v>228</v>
      </c>
      <c r="C43" s="40" t="s">
        <v>229</v>
      </c>
      <c r="D43" s="40" t="s">
        <v>230</v>
      </c>
      <c r="E43" s="40" t="s">
        <v>231</v>
      </c>
      <c r="F43" s="39" t="str">
        <f t="shared" si="1"/>
        <v>WRONG</v>
      </c>
      <c r="G43" s="39" t="s">
        <v>48</v>
      </c>
      <c r="H43" s="43" t="s">
        <v>42</v>
      </c>
      <c r="I43" s="42" t="s">
        <v>232</v>
      </c>
      <c r="J43" s="41">
        <v>41640.0</v>
      </c>
    </row>
    <row r="44" ht="60.0" customHeight="1">
      <c r="A44" s="39">
        <v>41.0</v>
      </c>
      <c r="B44" s="40" t="s">
        <v>233</v>
      </c>
      <c r="C44" s="40" t="s">
        <v>234</v>
      </c>
      <c r="D44" s="40" t="s">
        <v>235</v>
      </c>
      <c r="E44" s="40" t="s">
        <v>236</v>
      </c>
      <c r="F44" s="39" t="str">
        <f t="shared" si="1"/>
        <v>CORRECT</v>
      </c>
      <c r="G44" s="39" t="s">
        <v>42</v>
      </c>
      <c r="H44" s="41" t="s">
        <v>42</v>
      </c>
      <c r="I44" s="42" t="s">
        <v>237</v>
      </c>
      <c r="J44" s="41">
        <v>23643.0</v>
      </c>
    </row>
    <row r="45" ht="60.0" customHeight="1">
      <c r="A45" s="39">
        <v>42.0</v>
      </c>
      <c r="B45" s="40" t="s">
        <v>238</v>
      </c>
      <c r="C45" s="40" t="s">
        <v>239</v>
      </c>
      <c r="D45" s="40" t="s">
        <v>240</v>
      </c>
      <c r="E45" s="40" t="s">
        <v>241</v>
      </c>
      <c r="F45" s="39" t="str">
        <f t="shared" si="1"/>
        <v>WRONG</v>
      </c>
      <c r="G45" s="39" t="s">
        <v>36</v>
      </c>
      <c r="H45" s="43" t="s">
        <v>42</v>
      </c>
      <c r="I45" s="42" t="s">
        <v>242</v>
      </c>
      <c r="J45" s="41">
        <v>36593.0</v>
      </c>
    </row>
    <row r="46" ht="60.0" customHeight="1">
      <c r="A46" s="39">
        <v>43.0</v>
      </c>
      <c r="B46" s="40" t="s">
        <v>243</v>
      </c>
      <c r="C46" s="40" t="s">
        <v>244</v>
      </c>
      <c r="D46" s="40" t="s">
        <v>245</v>
      </c>
      <c r="E46" s="40" t="s">
        <v>246</v>
      </c>
      <c r="F46" s="39" t="str">
        <f t="shared" si="1"/>
        <v>CORRECT</v>
      </c>
      <c r="G46" s="39" t="s">
        <v>48</v>
      </c>
      <c r="H46" s="43" t="s">
        <v>48</v>
      </c>
      <c r="I46" s="42" t="s">
        <v>247</v>
      </c>
      <c r="J46" s="41">
        <v>37117.0</v>
      </c>
    </row>
    <row r="47" ht="60.0" customHeight="1">
      <c r="A47" s="39">
        <v>44.0</v>
      </c>
      <c r="B47" s="40" t="s">
        <v>248</v>
      </c>
      <c r="C47" s="40" t="s">
        <v>249</v>
      </c>
      <c r="D47" s="40" t="s">
        <v>250</v>
      </c>
      <c r="E47" s="40" t="s">
        <v>251</v>
      </c>
      <c r="F47" s="39" t="str">
        <f t="shared" si="1"/>
        <v>WRONG</v>
      </c>
      <c r="G47" s="39" t="s">
        <v>36</v>
      </c>
      <c r="H47" s="43" t="s">
        <v>48</v>
      </c>
      <c r="I47" s="42" t="s">
        <v>252</v>
      </c>
      <c r="J47" s="41">
        <v>33960.0</v>
      </c>
    </row>
    <row r="48" ht="60.0" customHeight="1">
      <c r="A48" s="39">
        <v>45.0</v>
      </c>
      <c r="B48" s="40" t="s">
        <v>253</v>
      </c>
      <c r="C48" s="40" t="s">
        <v>254</v>
      </c>
      <c r="D48" s="40" t="s">
        <v>255</v>
      </c>
      <c r="E48" s="40" t="s">
        <v>256</v>
      </c>
      <c r="F48" s="39" t="str">
        <f t="shared" si="1"/>
        <v>CORRECT</v>
      </c>
      <c r="G48" s="39" t="s">
        <v>36</v>
      </c>
      <c r="H48" s="43" t="s">
        <v>36</v>
      </c>
      <c r="I48" s="42" t="s">
        <v>257</v>
      </c>
      <c r="J48" s="41">
        <v>45957.0</v>
      </c>
    </row>
    <row r="49" ht="60.0" customHeight="1">
      <c r="A49" s="39">
        <v>46.0</v>
      </c>
      <c r="B49" s="40" t="s">
        <v>258</v>
      </c>
      <c r="C49" s="40" t="s">
        <v>39</v>
      </c>
      <c r="D49" s="40" t="s">
        <v>259</v>
      </c>
      <c r="E49" s="40" t="s">
        <v>260</v>
      </c>
      <c r="F49" s="39" t="str">
        <f t="shared" si="1"/>
        <v>CORRECT</v>
      </c>
      <c r="G49" s="39" t="s">
        <v>36</v>
      </c>
      <c r="H49" s="43" t="s">
        <v>36</v>
      </c>
      <c r="I49" s="42" t="s">
        <v>261</v>
      </c>
      <c r="J49" s="41">
        <v>26716.0</v>
      </c>
    </row>
    <row r="50">
      <c r="A50" s="44" t="s">
        <v>262</v>
      </c>
      <c r="B50" s="2"/>
      <c r="C50" s="2"/>
      <c r="D50" s="2"/>
      <c r="E50" s="3"/>
      <c r="F50" s="45">
        <f>COUNTIFS(F4:F49,"CORRECT")</f>
        <v>28</v>
      </c>
      <c r="G50" s="46"/>
      <c r="H50" s="46"/>
      <c r="J50" s="47">
        <f>AVERAGE(J4:J49)</f>
        <v>35821.43478</v>
      </c>
    </row>
    <row r="51">
      <c r="A51" s="48" t="s">
        <v>263</v>
      </c>
      <c r="B51" s="2"/>
      <c r="C51" s="2"/>
      <c r="D51" s="2"/>
      <c r="E51" s="3"/>
      <c r="F51" s="49">
        <v>46.0</v>
      </c>
      <c r="G51" s="46"/>
      <c r="H51" s="46"/>
    </row>
    <row r="52">
      <c r="A52" s="44" t="s">
        <v>264</v>
      </c>
      <c r="B52" s="2"/>
      <c r="C52" s="2"/>
      <c r="D52" s="2"/>
      <c r="E52" s="3"/>
      <c r="F52" s="50">
        <f>F50/F51</f>
        <v>0.6086956522</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275</v>
      </c>
      <c r="C2" s="2"/>
      <c r="D2" s="2"/>
      <c r="E2" s="2"/>
      <c r="F2" s="2"/>
      <c r="G2" s="2"/>
      <c r="H2" s="3"/>
      <c r="I2" s="37" t="s">
        <v>276</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CORRECT</v>
      </c>
      <c r="G4" s="39" t="s">
        <v>36</v>
      </c>
      <c r="H4" s="41" t="s">
        <v>36</v>
      </c>
      <c r="I4" s="42" t="s">
        <v>37</v>
      </c>
      <c r="J4" s="41">
        <v>40375.0</v>
      </c>
    </row>
    <row r="5" ht="60.0" customHeight="1">
      <c r="A5" s="39">
        <v>2.0</v>
      </c>
      <c r="B5" s="40" t="s">
        <v>38</v>
      </c>
      <c r="C5" s="40" t="s">
        <v>39</v>
      </c>
      <c r="D5" s="40" t="s">
        <v>40</v>
      </c>
      <c r="E5" s="40" t="s">
        <v>41</v>
      </c>
      <c r="F5" s="39" t="str">
        <f t="shared" si="1"/>
        <v>CORRECT</v>
      </c>
      <c r="G5" s="39" t="s">
        <v>42</v>
      </c>
      <c r="H5" s="43" t="s">
        <v>42</v>
      </c>
      <c r="I5" s="42" t="s">
        <v>43</v>
      </c>
      <c r="J5" s="41">
        <v>42879.0</v>
      </c>
    </row>
    <row r="6" ht="60.0" customHeight="1">
      <c r="A6" s="39">
        <v>3.0</v>
      </c>
      <c r="B6" s="40" t="s">
        <v>44</v>
      </c>
      <c r="C6" s="40" t="s">
        <v>45</v>
      </c>
      <c r="D6" s="40" t="s">
        <v>46</v>
      </c>
      <c r="E6" s="40" t="s">
        <v>47</v>
      </c>
      <c r="F6" s="39" t="str">
        <f t="shared" si="1"/>
        <v>CORRECT</v>
      </c>
      <c r="G6" s="39" t="s">
        <v>48</v>
      </c>
      <c r="H6" s="43" t="s">
        <v>48</v>
      </c>
      <c r="I6" s="42" t="s">
        <v>49</v>
      </c>
      <c r="J6" s="41">
        <v>34479.0</v>
      </c>
    </row>
    <row r="7" ht="60.0" customHeight="1">
      <c r="A7" s="39">
        <v>4.0</v>
      </c>
      <c r="B7" s="40" t="s">
        <v>50</v>
      </c>
      <c r="C7" s="40" t="s">
        <v>51</v>
      </c>
      <c r="D7" s="40" t="s">
        <v>52</v>
      </c>
      <c r="E7" s="40" t="s">
        <v>53</v>
      </c>
      <c r="F7" s="39" t="str">
        <f t="shared" si="1"/>
        <v>CORRECT</v>
      </c>
      <c r="G7" s="39" t="s">
        <v>42</v>
      </c>
      <c r="H7" s="41" t="s">
        <v>42</v>
      </c>
      <c r="I7" s="42" t="s">
        <v>54</v>
      </c>
      <c r="J7" s="41">
        <v>29724.0</v>
      </c>
    </row>
    <row r="8" ht="60.0" customHeight="1">
      <c r="A8" s="39">
        <v>5.0</v>
      </c>
      <c r="B8" s="40" t="s">
        <v>55</v>
      </c>
      <c r="C8" s="40" t="s">
        <v>56</v>
      </c>
      <c r="D8" s="40" t="s">
        <v>57</v>
      </c>
      <c r="E8" s="40" t="s">
        <v>58</v>
      </c>
      <c r="F8" s="39" t="str">
        <f t="shared" si="1"/>
        <v>CORRECT</v>
      </c>
      <c r="G8" s="39" t="s">
        <v>48</v>
      </c>
      <c r="H8" s="43" t="s">
        <v>48</v>
      </c>
      <c r="I8" s="42" t="s">
        <v>267</v>
      </c>
      <c r="J8" s="41">
        <v>44894.0</v>
      </c>
    </row>
    <row r="9" ht="60.0" customHeight="1">
      <c r="A9" s="39">
        <v>6.0</v>
      </c>
      <c r="B9" s="40" t="s">
        <v>60</v>
      </c>
      <c r="C9" s="40" t="s">
        <v>61</v>
      </c>
      <c r="D9" s="40" t="s">
        <v>62</v>
      </c>
      <c r="E9" s="40" t="s">
        <v>63</v>
      </c>
      <c r="F9" s="39" t="str">
        <f t="shared" si="1"/>
        <v>CORRECT</v>
      </c>
      <c r="G9" s="39" t="s">
        <v>42</v>
      </c>
      <c r="H9" s="43" t="s">
        <v>42</v>
      </c>
      <c r="I9" s="42" t="s">
        <v>64</v>
      </c>
      <c r="J9" s="41">
        <v>35665.0</v>
      </c>
    </row>
    <row r="10" ht="60.0" customHeight="1">
      <c r="A10" s="39">
        <v>7.0</v>
      </c>
      <c r="B10" s="40" t="s">
        <v>65</v>
      </c>
      <c r="C10" s="40" t="s">
        <v>66</v>
      </c>
      <c r="D10" s="40" t="s">
        <v>67</v>
      </c>
      <c r="E10" s="40" t="s">
        <v>68</v>
      </c>
      <c r="F10" s="39" t="str">
        <f t="shared" si="1"/>
        <v>WRONG</v>
      </c>
      <c r="G10" s="39" t="s">
        <v>42</v>
      </c>
      <c r="H10" s="41" t="s">
        <v>36</v>
      </c>
      <c r="I10" s="42" t="s">
        <v>277</v>
      </c>
      <c r="J10" s="41">
        <v>58274.0</v>
      </c>
    </row>
    <row r="11" ht="60.0" customHeight="1">
      <c r="A11" s="39">
        <v>8.0</v>
      </c>
      <c r="B11" s="40" t="s">
        <v>70</v>
      </c>
      <c r="C11" s="40" t="s">
        <v>71</v>
      </c>
      <c r="D11" s="40" t="s">
        <v>72</v>
      </c>
      <c r="E11" s="40" t="s">
        <v>73</v>
      </c>
      <c r="F11" s="39" t="str">
        <f t="shared" si="1"/>
        <v>CORRECT</v>
      </c>
      <c r="G11" s="39" t="s">
        <v>48</v>
      </c>
      <c r="H11" s="43" t="s">
        <v>48</v>
      </c>
      <c r="I11" s="42" t="s">
        <v>74</v>
      </c>
      <c r="J11" s="41">
        <v>59939.0</v>
      </c>
    </row>
    <row r="12" ht="60.0" customHeight="1">
      <c r="A12" s="39">
        <v>9.0</v>
      </c>
      <c r="B12" s="40" t="s">
        <v>75</v>
      </c>
      <c r="C12" s="40" t="s">
        <v>76</v>
      </c>
      <c r="D12" s="40" t="s">
        <v>77</v>
      </c>
      <c r="E12" s="40" t="s">
        <v>78</v>
      </c>
      <c r="F12" s="39" t="str">
        <f t="shared" si="1"/>
        <v>WRONG</v>
      </c>
      <c r="G12" s="39" t="s">
        <v>42</v>
      </c>
      <c r="H12" s="43" t="s">
        <v>48</v>
      </c>
      <c r="I12" s="42" t="s">
        <v>278</v>
      </c>
      <c r="J12" s="41">
        <v>31780.0</v>
      </c>
    </row>
    <row r="13" ht="60.0" customHeight="1">
      <c r="A13" s="39">
        <v>10.0</v>
      </c>
      <c r="B13" s="40" t="s">
        <v>80</v>
      </c>
      <c r="C13" s="40" t="s">
        <v>81</v>
      </c>
      <c r="D13" s="40" t="s">
        <v>82</v>
      </c>
      <c r="E13" s="40" t="s">
        <v>83</v>
      </c>
      <c r="F13" s="39" t="str">
        <f t="shared" si="1"/>
        <v>CORRECT</v>
      </c>
      <c r="G13" s="39" t="s">
        <v>48</v>
      </c>
      <c r="H13" s="43" t="s">
        <v>48</v>
      </c>
      <c r="I13" s="42" t="s">
        <v>279</v>
      </c>
      <c r="J13" s="41">
        <v>59285.0</v>
      </c>
    </row>
    <row r="14" ht="60.0" customHeight="1">
      <c r="A14" s="39">
        <v>11.0</v>
      </c>
      <c r="B14" s="40" t="s">
        <v>85</v>
      </c>
      <c r="C14" s="40" t="s">
        <v>86</v>
      </c>
      <c r="D14" s="40" t="s">
        <v>87</v>
      </c>
      <c r="E14" s="40" t="s">
        <v>88</v>
      </c>
      <c r="F14" s="39" t="str">
        <f t="shared" si="1"/>
        <v>CORRECT</v>
      </c>
      <c r="G14" s="39" t="s">
        <v>42</v>
      </c>
      <c r="H14" s="41" t="s">
        <v>42</v>
      </c>
      <c r="I14" s="42" t="s">
        <v>280</v>
      </c>
      <c r="J14" s="41">
        <v>37305.0</v>
      </c>
    </row>
    <row r="15" ht="60.0" customHeight="1">
      <c r="A15" s="39">
        <v>12.0</v>
      </c>
      <c r="B15" s="40" t="s">
        <v>90</v>
      </c>
      <c r="C15" s="40" t="s">
        <v>91</v>
      </c>
      <c r="D15" s="40" t="s">
        <v>92</v>
      </c>
      <c r="E15" s="40" t="s">
        <v>93</v>
      </c>
      <c r="F15" s="39" t="str">
        <f t="shared" si="1"/>
        <v>CORRECT</v>
      </c>
      <c r="G15" s="39" t="s">
        <v>48</v>
      </c>
      <c r="H15" s="43" t="s">
        <v>48</v>
      </c>
      <c r="I15" s="42" t="s">
        <v>281</v>
      </c>
      <c r="J15" s="41">
        <v>62670.0</v>
      </c>
    </row>
    <row r="16" ht="60.0" customHeight="1">
      <c r="A16" s="39">
        <v>13.0</v>
      </c>
      <c r="B16" s="40" t="s">
        <v>95</v>
      </c>
      <c r="C16" s="40" t="s">
        <v>96</v>
      </c>
      <c r="D16" s="40" t="s">
        <v>97</v>
      </c>
      <c r="E16" s="40" t="s">
        <v>98</v>
      </c>
      <c r="F16" s="39" t="str">
        <f t="shared" si="1"/>
        <v>CORRECT</v>
      </c>
      <c r="G16" s="39" t="s">
        <v>36</v>
      </c>
      <c r="H16" s="43" t="s">
        <v>36</v>
      </c>
      <c r="I16" s="42" t="s">
        <v>282</v>
      </c>
      <c r="J16" s="41">
        <v>25985.0</v>
      </c>
    </row>
    <row r="17" ht="60.0" customHeight="1">
      <c r="A17" s="39">
        <v>14.0</v>
      </c>
      <c r="B17" s="40" t="s">
        <v>100</v>
      </c>
      <c r="C17" s="40" t="s">
        <v>101</v>
      </c>
      <c r="D17" s="40" t="s">
        <v>102</v>
      </c>
      <c r="E17" s="40" t="s">
        <v>103</v>
      </c>
      <c r="F17" s="39" t="str">
        <f t="shared" si="1"/>
        <v>WRONG</v>
      </c>
      <c r="G17" s="39" t="s">
        <v>36</v>
      </c>
      <c r="H17" s="43" t="s">
        <v>48</v>
      </c>
      <c r="I17" s="42" t="s">
        <v>273</v>
      </c>
      <c r="J17" s="41">
        <v>31422.0</v>
      </c>
    </row>
    <row r="18" ht="60.0" customHeight="1">
      <c r="A18" s="39">
        <v>15.0</v>
      </c>
      <c r="B18" s="40" t="s">
        <v>105</v>
      </c>
      <c r="C18" s="40" t="s">
        <v>106</v>
      </c>
      <c r="D18" s="40" t="s">
        <v>107</v>
      </c>
      <c r="E18" s="40" t="s">
        <v>108</v>
      </c>
      <c r="F18" s="39" t="str">
        <f t="shared" si="1"/>
        <v>CORRECT</v>
      </c>
      <c r="G18" s="39" t="s">
        <v>48</v>
      </c>
      <c r="H18" s="43" t="s">
        <v>48</v>
      </c>
      <c r="I18" s="42" t="s">
        <v>283</v>
      </c>
      <c r="J18" s="41">
        <v>40462.0</v>
      </c>
    </row>
    <row r="19" ht="60.0" customHeight="1">
      <c r="A19" s="39">
        <v>16.0</v>
      </c>
      <c r="B19" s="40" t="s">
        <v>110</v>
      </c>
      <c r="C19" s="40" t="s">
        <v>111</v>
      </c>
      <c r="D19" s="40" t="s">
        <v>112</v>
      </c>
      <c r="E19" s="40" t="s">
        <v>113</v>
      </c>
      <c r="F19" s="39" t="str">
        <f t="shared" si="1"/>
        <v>CORRECT</v>
      </c>
      <c r="G19" s="39" t="s">
        <v>48</v>
      </c>
      <c r="H19" s="43" t="s">
        <v>48</v>
      </c>
      <c r="I19" s="42" t="s">
        <v>114</v>
      </c>
      <c r="J19" s="41">
        <v>35457.0</v>
      </c>
    </row>
    <row r="20" ht="60.0" customHeight="1">
      <c r="A20" s="39">
        <v>17.0</v>
      </c>
      <c r="B20" s="40" t="s">
        <v>115</v>
      </c>
      <c r="C20" s="40" t="s">
        <v>116</v>
      </c>
      <c r="D20" s="40" t="s">
        <v>117</v>
      </c>
      <c r="E20" s="40" t="s">
        <v>118</v>
      </c>
      <c r="F20" s="39" t="str">
        <f t="shared" si="1"/>
        <v>WRONG</v>
      </c>
      <c r="G20" s="39" t="s">
        <v>42</v>
      </c>
      <c r="H20" s="41" t="s">
        <v>36</v>
      </c>
      <c r="I20" s="42" t="s">
        <v>284</v>
      </c>
      <c r="J20" s="41">
        <v>32303.0</v>
      </c>
    </row>
    <row r="21" ht="60.0" customHeight="1">
      <c r="A21" s="39">
        <v>18.0</v>
      </c>
      <c r="B21" s="40" t="s">
        <v>120</v>
      </c>
      <c r="C21" s="40" t="s">
        <v>121</v>
      </c>
      <c r="D21" s="40" t="s">
        <v>122</v>
      </c>
      <c r="E21" s="40" t="s">
        <v>123</v>
      </c>
      <c r="F21" s="39" t="str">
        <f t="shared" si="1"/>
        <v>CORRECT</v>
      </c>
      <c r="G21" s="39" t="s">
        <v>42</v>
      </c>
      <c r="H21" s="43" t="s">
        <v>42</v>
      </c>
      <c r="I21" s="42" t="s">
        <v>285</v>
      </c>
      <c r="J21" s="41">
        <v>29643.0</v>
      </c>
    </row>
    <row r="22" ht="60.0" customHeight="1">
      <c r="A22" s="39">
        <v>19.0</v>
      </c>
      <c r="B22" s="40" t="s">
        <v>125</v>
      </c>
      <c r="C22" s="40" t="s">
        <v>126</v>
      </c>
      <c r="D22" s="40" t="s">
        <v>127</v>
      </c>
      <c r="E22" s="40" t="s">
        <v>128</v>
      </c>
      <c r="F22" s="39" t="str">
        <f t="shared" si="1"/>
        <v>WRONG</v>
      </c>
      <c r="G22" s="39" t="s">
        <v>36</v>
      </c>
      <c r="H22" s="43" t="s">
        <v>48</v>
      </c>
      <c r="I22" s="42" t="s">
        <v>286</v>
      </c>
      <c r="J22" s="41">
        <v>49427.0</v>
      </c>
    </row>
    <row r="23" ht="60.0" customHeight="1">
      <c r="A23" s="39">
        <v>20.0</v>
      </c>
      <c r="B23" s="40" t="s">
        <v>130</v>
      </c>
      <c r="C23" s="40" t="s">
        <v>131</v>
      </c>
      <c r="D23" s="40" t="s">
        <v>132</v>
      </c>
      <c r="E23" s="40" t="s">
        <v>133</v>
      </c>
      <c r="F23" s="39" t="str">
        <f t="shared" si="1"/>
        <v>WRONG</v>
      </c>
      <c r="G23" s="39" t="s">
        <v>42</v>
      </c>
      <c r="H23" s="43" t="s">
        <v>48</v>
      </c>
      <c r="I23" s="42" t="s">
        <v>134</v>
      </c>
      <c r="J23" s="41">
        <v>14961.0</v>
      </c>
    </row>
    <row r="24" ht="60.0" customHeight="1">
      <c r="A24" s="39">
        <v>21.0</v>
      </c>
      <c r="B24" s="40" t="s">
        <v>135</v>
      </c>
      <c r="C24" s="40" t="s">
        <v>136</v>
      </c>
      <c r="D24" s="40" t="s">
        <v>137</v>
      </c>
      <c r="E24" s="40" t="s">
        <v>138</v>
      </c>
      <c r="F24" s="39" t="str">
        <f t="shared" si="1"/>
        <v>WRONG</v>
      </c>
      <c r="G24" s="39" t="s">
        <v>42</v>
      </c>
      <c r="H24" s="41" t="s">
        <v>36</v>
      </c>
      <c r="I24" s="42" t="s">
        <v>287</v>
      </c>
      <c r="J24" s="41">
        <v>24433.0</v>
      </c>
    </row>
    <row r="25" ht="60.0" customHeight="1">
      <c r="A25" s="39">
        <v>22.0</v>
      </c>
      <c r="B25" s="40" t="s">
        <v>140</v>
      </c>
      <c r="C25" s="40" t="s">
        <v>141</v>
      </c>
      <c r="D25" s="40" t="s">
        <v>142</v>
      </c>
      <c r="E25" s="40" t="s">
        <v>143</v>
      </c>
      <c r="F25" s="39" t="str">
        <f t="shared" si="1"/>
        <v>CORRECT</v>
      </c>
      <c r="G25" s="39" t="s">
        <v>42</v>
      </c>
      <c r="H25" s="41" t="s">
        <v>42</v>
      </c>
      <c r="I25" s="42" t="s">
        <v>144</v>
      </c>
      <c r="J25" s="41">
        <v>22689.0</v>
      </c>
    </row>
    <row r="26" ht="60.0" customHeight="1">
      <c r="A26" s="39">
        <v>23.0</v>
      </c>
      <c r="B26" s="40" t="s">
        <v>145</v>
      </c>
      <c r="C26" s="40" t="s">
        <v>146</v>
      </c>
      <c r="D26" s="40" t="s">
        <v>147</v>
      </c>
      <c r="E26" s="40" t="s">
        <v>148</v>
      </c>
      <c r="F26" s="39" t="str">
        <f t="shared" si="1"/>
        <v>WRONG</v>
      </c>
      <c r="G26" s="39" t="s">
        <v>48</v>
      </c>
      <c r="H26" s="41" t="s">
        <v>42</v>
      </c>
      <c r="I26" s="42" t="s">
        <v>288</v>
      </c>
      <c r="J26" s="41">
        <v>33624.0</v>
      </c>
    </row>
    <row r="27" ht="60.0" customHeight="1">
      <c r="A27" s="39">
        <v>24.0</v>
      </c>
      <c r="B27" s="40" t="s">
        <v>150</v>
      </c>
      <c r="C27" s="40" t="s">
        <v>151</v>
      </c>
      <c r="D27" s="40" t="s">
        <v>152</v>
      </c>
      <c r="E27" s="40" t="s">
        <v>153</v>
      </c>
      <c r="F27" s="39" t="str">
        <f t="shared" si="1"/>
        <v>CORRECT</v>
      </c>
      <c r="G27" s="39" t="s">
        <v>36</v>
      </c>
      <c r="H27" s="41" t="s">
        <v>36</v>
      </c>
      <c r="I27" s="42" t="s">
        <v>289</v>
      </c>
      <c r="J27" s="41">
        <v>32514.0</v>
      </c>
    </row>
    <row r="28" ht="60.0" customHeight="1">
      <c r="A28" s="39">
        <v>25.0</v>
      </c>
      <c r="B28" s="40" t="s">
        <v>155</v>
      </c>
      <c r="C28" s="40" t="s">
        <v>151</v>
      </c>
      <c r="D28" s="40" t="s">
        <v>156</v>
      </c>
      <c r="E28" s="40" t="s">
        <v>153</v>
      </c>
      <c r="F28" s="39" t="str">
        <f t="shared" si="1"/>
        <v>WRONG</v>
      </c>
      <c r="G28" s="39" t="s">
        <v>48</v>
      </c>
      <c r="H28" s="43" t="s">
        <v>42</v>
      </c>
      <c r="I28" s="42" t="s">
        <v>290</v>
      </c>
      <c r="J28" s="41">
        <v>30907.0</v>
      </c>
    </row>
    <row r="29" ht="60.0" customHeight="1">
      <c r="A29" s="39">
        <v>26.0</v>
      </c>
      <c r="B29" s="40" t="s">
        <v>158</v>
      </c>
      <c r="C29" s="40" t="s">
        <v>159</v>
      </c>
      <c r="D29" s="40" t="s">
        <v>160</v>
      </c>
      <c r="E29" s="40" t="s">
        <v>161</v>
      </c>
      <c r="F29" s="39" t="str">
        <f t="shared" si="1"/>
        <v>WRONG</v>
      </c>
      <c r="G29" s="39" t="s">
        <v>36</v>
      </c>
      <c r="H29" s="43" t="s">
        <v>48</v>
      </c>
      <c r="I29" s="42" t="s">
        <v>291</v>
      </c>
      <c r="J29" s="41">
        <v>49680.0</v>
      </c>
    </row>
    <row r="30" ht="60.0" customHeight="1">
      <c r="A30" s="39">
        <v>27.0</v>
      </c>
      <c r="B30" s="40" t="s">
        <v>163</v>
      </c>
      <c r="C30" s="40" t="s">
        <v>164</v>
      </c>
      <c r="D30" s="40" t="s">
        <v>165</v>
      </c>
      <c r="E30" s="40" t="s">
        <v>166</v>
      </c>
      <c r="F30" s="39" t="str">
        <f t="shared" si="1"/>
        <v>CORRECT</v>
      </c>
      <c r="G30" s="39" t="s">
        <v>42</v>
      </c>
      <c r="H30" s="43" t="s">
        <v>42</v>
      </c>
      <c r="I30" s="42" t="s">
        <v>292</v>
      </c>
      <c r="J30" s="41">
        <v>39559.0</v>
      </c>
    </row>
    <row r="31" ht="60.0" customHeight="1">
      <c r="A31" s="39">
        <v>28.0</v>
      </c>
      <c r="B31" s="40" t="s">
        <v>168</v>
      </c>
      <c r="C31" s="40" t="s">
        <v>169</v>
      </c>
      <c r="D31" s="40" t="s">
        <v>170</v>
      </c>
      <c r="E31" s="40" t="s">
        <v>171</v>
      </c>
      <c r="F31" s="39" t="str">
        <f t="shared" si="1"/>
        <v>WRONG</v>
      </c>
      <c r="G31" s="39" t="s">
        <v>36</v>
      </c>
      <c r="H31" s="41" t="s">
        <v>48</v>
      </c>
      <c r="I31" s="42" t="s">
        <v>293</v>
      </c>
      <c r="J31" s="41">
        <v>26109.0</v>
      </c>
    </row>
    <row r="32" ht="60.0" customHeight="1">
      <c r="A32" s="39">
        <v>29.0</v>
      </c>
      <c r="B32" s="40" t="s">
        <v>173</v>
      </c>
      <c r="C32" s="40" t="s">
        <v>174</v>
      </c>
      <c r="D32" s="40" t="s">
        <v>175</v>
      </c>
      <c r="E32" s="40" t="s">
        <v>176</v>
      </c>
      <c r="F32" s="39" t="str">
        <f t="shared" si="1"/>
        <v>CORRECT</v>
      </c>
      <c r="G32" s="39" t="s">
        <v>42</v>
      </c>
      <c r="H32" s="41" t="s">
        <v>42</v>
      </c>
      <c r="I32" s="42" t="s">
        <v>177</v>
      </c>
      <c r="J32" s="41">
        <v>28477.0</v>
      </c>
    </row>
    <row r="33" ht="60.0" customHeight="1">
      <c r="A33" s="39">
        <v>30.0</v>
      </c>
      <c r="B33" s="40" t="s">
        <v>178</v>
      </c>
      <c r="C33" s="40" t="s">
        <v>179</v>
      </c>
      <c r="D33" s="40" t="s">
        <v>180</v>
      </c>
      <c r="E33" s="40" t="s">
        <v>181</v>
      </c>
      <c r="F33" s="39" t="str">
        <f t="shared" si="1"/>
        <v>WRONG</v>
      </c>
      <c r="G33" s="39" t="s">
        <v>48</v>
      </c>
      <c r="H33" s="41" t="s">
        <v>36</v>
      </c>
      <c r="I33" s="42" t="s">
        <v>182</v>
      </c>
      <c r="J33" s="41">
        <v>36884.0</v>
      </c>
    </row>
    <row r="34" ht="60.0" customHeight="1">
      <c r="A34" s="39">
        <v>31.0</v>
      </c>
      <c r="B34" s="40" t="s">
        <v>183</v>
      </c>
      <c r="C34" s="40" t="s">
        <v>184</v>
      </c>
      <c r="D34" s="40" t="s">
        <v>185</v>
      </c>
      <c r="E34" s="40" t="s">
        <v>186</v>
      </c>
      <c r="F34" s="39" t="str">
        <f t="shared" si="1"/>
        <v>WRONG</v>
      </c>
      <c r="G34" s="39" t="s">
        <v>42</v>
      </c>
      <c r="H34" s="41" t="s">
        <v>36</v>
      </c>
      <c r="I34" s="42" t="s">
        <v>187</v>
      </c>
      <c r="J34" s="41">
        <v>35276.0</v>
      </c>
    </row>
    <row r="35" ht="60.0" customHeight="1">
      <c r="A35" s="39">
        <v>32.0</v>
      </c>
      <c r="B35" s="40" t="s">
        <v>188</v>
      </c>
      <c r="C35" s="40" t="s">
        <v>189</v>
      </c>
      <c r="D35" s="40" t="s">
        <v>190</v>
      </c>
      <c r="E35" s="40" t="s">
        <v>191</v>
      </c>
      <c r="F35" s="39" t="str">
        <f t="shared" si="1"/>
        <v>CORRECT</v>
      </c>
      <c r="G35" s="39" t="s">
        <v>36</v>
      </c>
      <c r="H35" s="41" t="s">
        <v>36</v>
      </c>
      <c r="I35" s="42" t="s">
        <v>294</v>
      </c>
      <c r="J35" s="41">
        <v>54217.0</v>
      </c>
    </row>
    <row r="36" ht="60.0" customHeight="1">
      <c r="A36" s="39">
        <v>33.0</v>
      </c>
      <c r="B36" s="40" t="s">
        <v>193</v>
      </c>
      <c r="C36" s="40" t="s">
        <v>194</v>
      </c>
      <c r="D36" s="40" t="s">
        <v>195</v>
      </c>
      <c r="E36" s="40" t="s">
        <v>196</v>
      </c>
      <c r="F36" s="39" t="str">
        <f t="shared" si="1"/>
        <v>CORRECT</v>
      </c>
      <c r="G36" s="39" t="s">
        <v>48</v>
      </c>
      <c r="H36" s="43" t="s">
        <v>48</v>
      </c>
      <c r="I36" s="42" t="s">
        <v>295</v>
      </c>
      <c r="J36" s="41">
        <v>53866.0</v>
      </c>
    </row>
    <row r="37" ht="60.0" customHeight="1">
      <c r="A37" s="39">
        <v>34.0</v>
      </c>
      <c r="B37" s="40" t="s">
        <v>198</v>
      </c>
      <c r="C37" s="40" t="s">
        <v>199</v>
      </c>
      <c r="D37" s="40" t="s">
        <v>200</v>
      </c>
      <c r="E37" s="40" t="s">
        <v>201</v>
      </c>
      <c r="F37" s="39" t="str">
        <f t="shared" si="1"/>
        <v>CORRECT</v>
      </c>
      <c r="G37" s="39" t="s">
        <v>36</v>
      </c>
      <c r="H37" s="41" t="s">
        <v>36</v>
      </c>
      <c r="I37" s="42" t="s">
        <v>296</v>
      </c>
      <c r="J37" s="41">
        <v>20488.0</v>
      </c>
    </row>
    <row r="38" ht="60.0" customHeight="1">
      <c r="A38" s="39">
        <v>35.0</v>
      </c>
      <c r="B38" s="40" t="s">
        <v>203</v>
      </c>
      <c r="C38" s="40" t="s">
        <v>204</v>
      </c>
      <c r="D38" s="40" t="s">
        <v>205</v>
      </c>
      <c r="E38" s="40" t="s">
        <v>206</v>
      </c>
      <c r="F38" s="39" t="str">
        <f t="shared" si="1"/>
        <v>WRONG</v>
      </c>
      <c r="G38" s="39" t="s">
        <v>48</v>
      </c>
      <c r="H38" s="43" t="s">
        <v>36</v>
      </c>
      <c r="I38" s="42" t="s">
        <v>297</v>
      </c>
      <c r="J38" s="41">
        <v>27208.0</v>
      </c>
    </row>
    <row r="39" ht="60.0" customHeight="1">
      <c r="A39" s="39">
        <v>36.0</v>
      </c>
      <c r="B39" s="40" t="s">
        <v>208</v>
      </c>
      <c r="C39" s="40" t="s">
        <v>209</v>
      </c>
      <c r="D39" s="40" t="s">
        <v>210</v>
      </c>
      <c r="E39" s="40" t="s">
        <v>211</v>
      </c>
      <c r="F39" s="39" t="str">
        <f t="shared" si="1"/>
        <v>CORRECT</v>
      </c>
      <c r="G39" s="39" t="s">
        <v>36</v>
      </c>
      <c r="H39" s="41" t="s">
        <v>36</v>
      </c>
      <c r="I39" s="42" t="s">
        <v>298</v>
      </c>
      <c r="J39" s="41">
        <v>48593.0</v>
      </c>
    </row>
    <row r="40" ht="60.0" customHeight="1">
      <c r="A40" s="39">
        <v>37.0</v>
      </c>
      <c r="B40" s="40" t="s">
        <v>213</v>
      </c>
      <c r="C40" s="40" t="s">
        <v>214</v>
      </c>
      <c r="D40" s="40" t="s">
        <v>215</v>
      </c>
      <c r="E40" s="40" t="s">
        <v>216</v>
      </c>
      <c r="F40" s="39" t="str">
        <f t="shared" si="1"/>
        <v>CORRECT</v>
      </c>
      <c r="G40" s="39" t="s">
        <v>36</v>
      </c>
      <c r="H40" s="41" t="s">
        <v>36</v>
      </c>
      <c r="I40" s="42" t="s">
        <v>217</v>
      </c>
      <c r="J40" s="41">
        <v>34873.0</v>
      </c>
    </row>
    <row r="41" ht="60.0" customHeight="1">
      <c r="A41" s="39">
        <v>38.0</v>
      </c>
      <c r="B41" s="40" t="s">
        <v>218</v>
      </c>
      <c r="C41" s="40" t="s">
        <v>219</v>
      </c>
      <c r="D41" s="40" t="s">
        <v>220</v>
      </c>
      <c r="E41" s="40" t="s">
        <v>221</v>
      </c>
      <c r="F41" s="39" t="str">
        <f t="shared" si="1"/>
        <v>CORRECT</v>
      </c>
      <c r="G41" s="39" t="s">
        <v>36</v>
      </c>
      <c r="H41" s="43" t="s">
        <v>36</v>
      </c>
      <c r="I41" s="42" t="s">
        <v>222</v>
      </c>
      <c r="J41" s="41">
        <v>34105.0</v>
      </c>
    </row>
    <row r="42" ht="60.0" customHeight="1">
      <c r="A42" s="39">
        <v>39.0</v>
      </c>
      <c r="B42" s="40" t="s">
        <v>223</v>
      </c>
      <c r="C42" s="40" t="s">
        <v>224</v>
      </c>
      <c r="D42" s="40" t="s">
        <v>225</v>
      </c>
      <c r="E42" s="40" t="s">
        <v>226</v>
      </c>
      <c r="F42" s="39" t="str">
        <f t="shared" si="1"/>
        <v>WRONG</v>
      </c>
      <c r="G42" s="39" t="s">
        <v>42</v>
      </c>
      <c r="H42" s="41" t="s">
        <v>48</v>
      </c>
      <c r="I42" s="42" t="s">
        <v>299</v>
      </c>
      <c r="J42" s="41">
        <v>28428.0</v>
      </c>
    </row>
    <row r="43" ht="60.0" customHeight="1">
      <c r="A43" s="39">
        <v>40.0</v>
      </c>
      <c r="B43" s="40" t="s">
        <v>228</v>
      </c>
      <c r="C43" s="40" t="s">
        <v>229</v>
      </c>
      <c r="D43" s="40" t="s">
        <v>230</v>
      </c>
      <c r="E43" s="40" t="s">
        <v>231</v>
      </c>
      <c r="F43" s="39" t="str">
        <f t="shared" si="1"/>
        <v>CORRECT</v>
      </c>
      <c r="G43" s="39" t="s">
        <v>48</v>
      </c>
      <c r="H43" s="43" t="s">
        <v>48</v>
      </c>
      <c r="I43" s="42" t="s">
        <v>300</v>
      </c>
      <c r="J43" s="41">
        <v>46732.0</v>
      </c>
    </row>
    <row r="44" ht="60.0" customHeight="1">
      <c r="A44" s="39">
        <v>41.0</v>
      </c>
      <c r="B44" s="40" t="s">
        <v>233</v>
      </c>
      <c r="C44" s="40" t="s">
        <v>234</v>
      </c>
      <c r="D44" s="40" t="s">
        <v>235</v>
      </c>
      <c r="E44" s="40" t="s">
        <v>236</v>
      </c>
      <c r="F44" s="39" t="str">
        <f t="shared" si="1"/>
        <v>CORRECT</v>
      </c>
      <c r="G44" s="39" t="s">
        <v>42</v>
      </c>
      <c r="H44" s="41" t="s">
        <v>42</v>
      </c>
      <c r="I44" s="42" t="s">
        <v>237</v>
      </c>
      <c r="J44" s="41">
        <v>22101.0</v>
      </c>
    </row>
    <row r="45" ht="60.0" customHeight="1">
      <c r="A45" s="39">
        <v>42.0</v>
      </c>
      <c r="B45" s="40" t="s">
        <v>238</v>
      </c>
      <c r="C45" s="40" t="s">
        <v>239</v>
      </c>
      <c r="D45" s="40" t="s">
        <v>240</v>
      </c>
      <c r="E45" s="40" t="s">
        <v>241</v>
      </c>
      <c r="F45" s="39" t="str">
        <f t="shared" si="1"/>
        <v>WRONG</v>
      </c>
      <c r="G45" s="39" t="s">
        <v>36</v>
      </c>
      <c r="H45" s="43" t="s">
        <v>42</v>
      </c>
      <c r="I45" s="42" t="s">
        <v>242</v>
      </c>
      <c r="J45" s="41">
        <v>34403.0</v>
      </c>
    </row>
    <row r="46" ht="60.0" customHeight="1">
      <c r="A46" s="39">
        <v>43.0</v>
      </c>
      <c r="B46" s="40" t="s">
        <v>243</v>
      </c>
      <c r="C46" s="40" t="s">
        <v>244</v>
      </c>
      <c r="D46" s="40" t="s">
        <v>245</v>
      </c>
      <c r="E46" s="40" t="s">
        <v>246</v>
      </c>
      <c r="F46" s="39" t="str">
        <f t="shared" si="1"/>
        <v>CORRECT</v>
      </c>
      <c r="G46" s="39" t="s">
        <v>48</v>
      </c>
      <c r="H46" s="43" t="s">
        <v>48</v>
      </c>
      <c r="I46" s="42" t="s">
        <v>247</v>
      </c>
      <c r="J46" s="41">
        <v>34583.0</v>
      </c>
    </row>
    <row r="47" ht="60.0" customHeight="1">
      <c r="A47" s="39">
        <v>44.0</v>
      </c>
      <c r="B47" s="40" t="s">
        <v>248</v>
      </c>
      <c r="C47" s="40" t="s">
        <v>249</v>
      </c>
      <c r="D47" s="40" t="s">
        <v>250</v>
      </c>
      <c r="E47" s="40" t="s">
        <v>251</v>
      </c>
      <c r="F47" s="39" t="str">
        <f t="shared" si="1"/>
        <v>WRONG</v>
      </c>
      <c r="G47" s="39" t="s">
        <v>36</v>
      </c>
      <c r="H47" s="43" t="s">
        <v>48</v>
      </c>
      <c r="I47" s="42" t="s">
        <v>301</v>
      </c>
      <c r="J47" s="41">
        <v>31263.0</v>
      </c>
    </row>
    <row r="48" ht="60.0" customHeight="1">
      <c r="A48" s="39">
        <v>45.0</v>
      </c>
      <c r="B48" s="40" t="s">
        <v>253</v>
      </c>
      <c r="C48" s="40" t="s">
        <v>254</v>
      </c>
      <c r="D48" s="40" t="s">
        <v>255</v>
      </c>
      <c r="E48" s="40" t="s">
        <v>256</v>
      </c>
      <c r="F48" s="39" t="str">
        <f t="shared" si="1"/>
        <v>CORRECT</v>
      </c>
      <c r="G48" s="39" t="s">
        <v>36</v>
      </c>
      <c r="H48" s="41" t="s">
        <v>36</v>
      </c>
      <c r="I48" s="42" t="s">
        <v>302</v>
      </c>
      <c r="J48" s="41">
        <v>41065.0</v>
      </c>
    </row>
    <row r="49" ht="60.0" customHeight="1">
      <c r="A49" s="39">
        <v>46.0</v>
      </c>
      <c r="B49" s="40" t="s">
        <v>258</v>
      </c>
      <c r="C49" s="40" t="s">
        <v>39</v>
      </c>
      <c r="D49" s="40" t="s">
        <v>259</v>
      </c>
      <c r="E49" s="40" t="s">
        <v>260</v>
      </c>
      <c r="F49" s="39" t="str">
        <f t="shared" si="1"/>
        <v>CORRECT</v>
      </c>
      <c r="G49" s="39" t="s">
        <v>36</v>
      </c>
      <c r="H49" s="41" t="s">
        <v>36</v>
      </c>
      <c r="I49" s="42" t="s">
        <v>303</v>
      </c>
      <c r="J49" s="41">
        <v>26667.0</v>
      </c>
    </row>
    <row r="50">
      <c r="A50" s="44" t="s">
        <v>262</v>
      </c>
      <c r="B50" s="2"/>
      <c r="C50" s="2"/>
      <c r="D50" s="2"/>
      <c r="E50" s="3"/>
      <c r="F50" s="45">
        <f>COUNTIFS(F4:F49,"CORRECT")</f>
        <v>29</v>
      </c>
      <c r="G50" s="46"/>
      <c r="H50" s="46"/>
      <c r="J50" s="47">
        <f>AVERAGE(J4:J49)</f>
        <v>36862.45652</v>
      </c>
    </row>
    <row r="51">
      <c r="A51" s="48" t="s">
        <v>263</v>
      </c>
      <c r="B51" s="2"/>
      <c r="C51" s="2"/>
      <c r="D51" s="2"/>
      <c r="E51" s="3"/>
      <c r="F51" s="49">
        <v>46.0</v>
      </c>
      <c r="G51" s="46"/>
      <c r="H51" s="46"/>
    </row>
    <row r="52">
      <c r="A52" s="44" t="s">
        <v>264</v>
      </c>
      <c r="B52" s="2"/>
      <c r="C52" s="2"/>
      <c r="D52" s="2"/>
      <c r="E52" s="3"/>
      <c r="F52" s="50">
        <f>F50/F51</f>
        <v>0.6304347826</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304</v>
      </c>
      <c r="C2" s="2"/>
      <c r="D2" s="2"/>
      <c r="E2" s="2"/>
      <c r="F2" s="2"/>
      <c r="G2" s="2"/>
      <c r="H2" s="3"/>
      <c r="I2" s="37" t="s">
        <v>305</v>
      </c>
      <c r="J2" s="3"/>
      <c r="K2" s="34"/>
      <c r="L2" s="34"/>
      <c r="M2" s="34"/>
      <c r="N2" s="52" t="s">
        <v>306</v>
      </c>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CORRECT</v>
      </c>
      <c r="G4" s="39" t="s">
        <v>36</v>
      </c>
      <c r="H4" s="41" t="s">
        <v>36</v>
      </c>
      <c r="I4" s="53" t="s">
        <v>37</v>
      </c>
      <c r="J4" s="41">
        <v>39976.0</v>
      </c>
    </row>
    <row r="5" ht="60.0" customHeight="1">
      <c r="A5" s="39">
        <v>2.0</v>
      </c>
      <c r="B5" s="40" t="s">
        <v>38</v>
      </c>
      <c r="C5" s="40" t="s">
        <v>39</v>
      </c>
      <c r="D5" s="40" t="s">
        <v>40</v>
      </c>
      <c r="E5" s="40" t="s">
        <v>41</v>
      </c>
      <c r="F5" s="39" t="str">
        <f t="shared" si="1"/>
        <v>CORRECT</v>
      </c>
      <c r="G5" s="39" t="s">
        <v>42</v>
      </c>
      <c r="H5" s="43" t="s">
        <v>42</v>
      </c>
      <c r="I5" s="53" t="s">
        <v>43</v>
      </c>
      <c r="J5" s="41">
        <v>41510.0</v>
      </c>
    </row>
    <row r="6" ht="60.0" customHeight="1">
      <c r="A6" s="39">
        <v>3.0</v>
      </c>
      <c r="B6" s="40" t="s">
        <v>44</v>
      </c>
      <c r="C6" s="40" t="s">
        <v>45</v>
      </c>
      <c r="D6" s="40" t="s">
        <v>46</v>
      </c>
      <c r="E6" s="40" t="s">
        <v>47</v>
      </c>
      <c r="F6" s="39" t="str">
        <f t="shared" si="1"/>
        <v>CORRECT</v>
      </c>
      <c r="G6" s="39" t="s">
        <v>48</v>
      </c>
      <c r="H6" s="43" t="s">
        <v>48</v>
      </c>
      <c r="I6" s="53" t="s">
        <v>49</v>
      </c>
      <c r="J6" s="41">
        <v>32351.0</v>
      </c>
    </row>
    <row r="7" ht="60.0" customHeight="1">
      <c r="A7" s="39">
        <v>4.0</v>
      </c>
      <c r="B7" s="40" t="s">
        <v>50</v>
      </c>
      <c r="C7" s="40" t="s">
        <v>51</v>
      </c>
      <c r="D7" s="40" t="s">
        <v>52</v>
      </c>
      <c r="E7" s="40" t="s">
        <v>53</v>
      </c>
      <c r="F7" s="39" t="str">
        <f t="shared" si="1"/>
        <v>CORRECT</v>
      </c>
      <c r="G7" s="39" t="s">
        <v>42</v>
      </c>
      <c r="H7" s="41" t="s">
        <v>42</v>
      </c>
      <c r="I7" s="53" t="s">
        <v>54</v>
      </c>
      <c r="J7" s="41">
        <v>27619.0</v>
      </c>
    </row>
    <row r="8" ht="60.0" customHeight="1">
      <c r="A8" s="39">
        <v>5.0</v>
      </c>
      <c r="B8" s="40" t="s">
        <v>55</v>
      </c>
      <c r="C8" s="40" t="s">
        <v>56</v>
      </c>
      <c r="D8" s="40" t="s">
        <v>57</v>
      </c>
      <c r="E8" s="40" t="s">
        <v>58</v>
      </c>
      <c r="F8" s="39" t="str">
        <f t="shared" si="1"/>
        <v>CORRECT</v>
      </c>
      <c r="G8" s="39" t="s">
        <v>48</v>
      </c>
      <c r="H8" s="43" t="s">
        <v>48</v>
      </c>
      <c r="I8" s="53" t="s">
        <v>307</v>
      </c>
      <c r="J8" s="41">
        <v>42404.0</v>
      </c>
    </row>
    <row r="9" ht="60.0" customHeight="1">
      <c r="A9" s="39">
        <v>6.0</v>
      </c>
      <c r="B9" s="40" t="s">
        <v>60</v>
      </c>
      <c r="C9" s="40" t="s">
        <v>61</v>
      </c>
      <c r="D9" s="40" t="s">
        <v>62</v>
      </c>
      <c r="E9" s="40" t="s">
        <v>63</v>
      </c>
      <c r="F9" s="39" t="str">
        <f t="shared" si="1"/>
        <v>CORRECT</v>
      </c>
      <c r="G9" s="39" t="s">
        <v>42</v>
      </c>
      <c r="H9" s="43" t="s">
        <v>42</v>
      </c>
      <c r="I9" s="53" t="s">
        <v>64</v>
      </c>
      <c r="J9" s="41">
        <v>34202.0</v>
      </c>
    </row>
    <row r="10" ht="60.0" customHeight="1">
      <c r="A10" s="39">
        <v>7.0</v>
      </c>
      <c r="B10" s="40" t="s">
        <v>65</v>
      </c>
      <c r="C10" s="40" t="s">
        <v>66</v>
      </c>
      <c r="D10" s="40" t="s">
        <v>67</v>
      </c>
      <c r="E10" s="40" t="s">
        <v>68</v>
      </c>
      <c r="F10" s="39" t="str">
        <f t="shared" si="1"/>
        <v>WRONG</v>
      </c>
      <c r="G10" s="39" t="s">
        <v>42</v>
      </c>
      <c r="H10" s="41" t="s">
        <v>36</v>
      </c>
      <c r="I10" s="53" t="s">
        <v>308</v>
      </c>
      <c r="J10" s="41">
        <v>34843.0</v>
      </c>
    </row>
    <row r="11" ht="60.0" customHeight="1">
      <c r="A11" s="39">
        <v>8.0</v>
      </c>
      <c r="B11" s="40" t="s">
        <v>70</v>
      </c>
      <c r="C11" s="40" t="s">
        <v>71</v>
      </c>
      <c r="D11" s="40" t="s">
        <v>72</v>
      </c>
      <c r="E11" s="40" t="s">
        <v>73</v>
      </c>
      <c r="F11" s="39" t="str">
        <f t="shared" si="1"/>
        <v>CORRECT</v>
      </c>
      <c r="G11" s="39" t="s">
        <v>48</v>
      </c>
      <c r="H11" s="43" t="s">
        <v>48</v>
      </c>
      <c r="I11" s="53" t="s">
        <v>74</v>
      </c>
      <c r="J11" s="41">
        <v>59107.0</v>
      </c>
    </row>
    <row r="12" ht="60.0" customHeight="1">
      <c r="A12" s="39">
        <v>9.0</v>
      </c>
      <c r="B12" s="40" t="s">
        <v>75</v>
      </c>
      <c r="C12" s="40" t="s">
        <v>76</v>
      </c>
      <c r="D12" s="40" t="s">
        <v>77</v>
      </c>
      <c r="E12" s="40" t="s">
        <v>78</v>
      </c>
      <c r="F12" s="39" t="str">
        <f t="shared" si="1"/>
        <v>WRONG</v>
      </c>
      <c r="G12" s="39" t="s">
        <v>42</v>
      </c>
      <c r="H12" s="43" t="s">
        <v>48</v>
      </c>
      <c r="I12" s="53" t="s">
        <v>269</v>
      </c>
      <c r="J12" s="41">
        <v>41209.0</v>
      </c>
    </row>
    <row r="13" ht="60.0" customHeight="1">
      <c r="A13" s="39">
        <v>10.0</v>
      </c>
      <c r="B13" s="40" t="s">
        <v>80</v>
      </c>
      <c r="C13" s="40" t="s">
        <v>81</v>
      </c>
      <c r="D13" s="40" t="s">
        <v>82</v>
      </c>
      <c r="E13" s="40" t="s">
        <v>83</v>
      </c>
      <c r="F13" s="39" t="str">
        <f t="shared" si="1"/>
        <v>CORRECT</v>
      </c>
      <c r="G13" s="39" t="s">
        <v>48</v>
      </c>
      <c r="H13" s="43" t="s">
        <v>48</v>
      </c>
      <c r="I13" s="53" t="s">
        <v>309</v>
      </c>
      <c r="J13" s="41">
        <v>41018.0</v>
      </c>
    </row>
    <row r="14" ht="60.0" customHeight="1">
      <c r="A14" s="39">
        <v>11.0</v>
      </c>
      <c r="B14" s="40" t="s">
        <v>85</v>
      </c>
      <c r="C14" s="40" t="s">
        <v>86</v>
      </c>
      <c r="D14" s="40" t="s">
        <v>87</v>
      </c>
      <c r="E14" s="40" t="s">
        <v>88</v>
      </c>
      <c r="F14" s="39" t="str">
        <f t="shared" si="1"/>
        <v>CORRECT</v>
      </c>
      <c r="G14" s="39" t="s">
        <v>42</v>
      </c>
      <c r="H14" s="41" t="s">
        <v>42</v>
      </c>
      <c r="I14" s="53" t="s">
        <v>271</v>
      </c>
      <c r="J14" s="41">
        <v>44283.0</v>
      </c>
    </row>
    <row r="15" ht="60.0" customHeight="1">
      <c r="A15" s="39">
        <v>12.0</v>
      </c>
      <c r="B15" s="40" t="s">
        <v>90</v>
      </c>
      <c r="C15" s="40" t="s">
        <v>91</v>
      </c>
      <c r="D15" s="40" t="s">
        <v>92</v>
      </c>
      <c r="E15" s="40" t="s">
        <v>93</v>
      </c>
      <c r="F15" s="39" t="str">
        <f t="shared" si="1"/>
        <v>CORRECT</v>
      </c>
      <c r="G15" s="39" t="s">
        <v>48</v>
      </c>
      <c r="H15" s="43" t="s">
        <v>48</v>
      </c>
      <c r="I15" s="53" t="s">
        <v>272</v>
      </c>
      <c r="J15" s="41">
        <v>41284.0</v>
      </c>
    </row>
    <row r="16" ht="60.0" customHeight="1">
      <c r="A16" s="39">
        <v>13.0</v>
      </c>
      <c r="B16" s="40" t="s">
        <v>95</v>
      </c>
      <c r="C16" s="40" t="s">
        <v>96</v>
      </c>
      <c r="D16" s="40" t="s">
        <v>97</v>
      </c>
      <c r="E16" s="40" t="s">
        <v>98</v>
      </c>
      <c r="F16" s="39" t="str">
        <f t="shared" si="1"/>
        <v>CORRECT</v>
      </c>
      <c r="G16" s="39" t="s">
        <v>36</v>
      </c>
      <c r="H16" s="43" t="s">
        <v>36</v>
      </c>
      <c r="I16" s="53" t="s">
        <v>99</v>
      </c>
      <c r="J16" s="41">
        <v>25863.0</v>
      </c>
    </row>
    <row r="17" ht="60.0" customHeight="1">
      <c r="A17" s="39">
        <v>14.0</v>
      </c>
      <c r="B17" s="40" t="s">
        <v>100</v>
      </c>
      <c r="C17" s="40" t="s">
        <v>101</v>
      </c>
      <c r="D17" s="40" t="s">
        <v>102</v>
      </c>
      <c r="E17" s="40" t="s">
        <v>103</v>
      </c>
      <c r="F17" s="39" t="str">
        <f t="shared" si="1"/>
        <v>WRONG</v>
      </c>
      <c r="G17" s="39" t="s">
        <v>36</v>
      </c>
      <c r="H17" s="43" t="s">
        <v>48</v>
      </c>
      <c r="I17" s="53" t="s">
        <v>310</v>
      </c>
      <c r="J17" s="41">
        <v>31961.0</v>
      </c>
    </row>
    <row r="18" ht="60.0" customHeight="1">
      <c r="A18" s="39">
        <v>15.0</v>
      </c>
      <c r="B18" s="40" t="s">
        <v>105</v>
      </c>
      <c r="C18" s="40" t="s">
        <v>106</v>
      </c>
      <c r="D18" s="40" t="s">
        <v>107</v>
      </c>
      <c r="E18" s="40" t="s">
        <v>108</v>
      </c>
      <c r="F18" s="39" t="str">
        <f t="shared" si="1"/>
        <v>CORRECT</v>
      </c>
      <c r="G18" s="39" t="s">
        <v>48</v>
      </c>
      <c r="H18" s="43" t="s">
        <v>48</v>
      </c>
      <c r="I18" s="53" t="s">
        <v>109</v>
      </c>
      <c r="J18" s="41">
        <v>37817.0</v>
      </c>
    </row>
    <row r="19" ht="60.0" customHeight="1">
      <c r="A19" s="39">
        <v>16.0</v>
      </c>
      <c r="B19" s="40" t="s">
        <v>110</v>
      </c>
      <c r="C19" s="40" t="s">
        <v>111</v>
      </c>
      <c r="D19" s="40" t="s">
        <v>112</v>
      </c>
      <c r="E19" s="40" t="s">
        <v>113</v>
      </c>
      <c r="F19" s="39" t="str">
        <f t="shared" si="1"/>
        <v>CORRECT</v>
      </c>
      <c r="G19" s="39" t="s">
        <v>48</v>
      </c>
      <c r="H19" s="43" t="s">
        <v>48</v>
      </c>
      <c r="I19" s="53" t="s">
        <v>114</v>
      </c>
      <c r="J19" s="41">
        <v>33798.0</v>
      </c>
    </row>
    <row r="20" ht="60.0" customHeight="1">
      <c r="A20" s="39">
        <v>17.0</v>
      </c>
      <c r="B20" s="40" t="s">
        <v>115</v>
      </c>
      <c r="C20" s="40" t="s">
        <v>116</v>
      </c>
      <c r="D20" s="40" t="s">
        <v>117</v>
      </c>
      <c r="E20" s="40" t="s">
        <v>118</v>
      </c>
      <c r="F20" s="39" t="str">
        <f t="shared" si="1"/>
        <v>WRONG</v>
      </c>
      <c r="G20" s="39" t="s">
        <v>42</v>
      </c>
      <c r="H20" s="41" t="s">
        <v>36</v>
      </c>
      <c r="I20" s="53" t="s">
        <v>119</v>
      </c>
      <c r="J20" s="41">
        <v>31200.0</v>
      </c>
    </row>
    <row r="21" ht="60.0" customHeight="1">
      <c r="A21" s="39">
        <v>18.0</v>
      </c>
      <c r="B21" s="40" t="s">
        <v>120</v>
      </c>
      <c r="C21" s="40" t="s">
        <v>121</v>
      </c>
      <c r="D21" s="40" t="s">
        <v>122</v>
      </c>
      <c r="E21" s="40" t="s">
        <v>123</v>
      </c>
      <c r="F21" s="39" t="str">
        <f t="shared" si="1"/>
        <v>CORRECT</v>
      </c>
      <c r="G21" s="39" t="s">
        <v>42</v>
      </c>
      <c r="H21" s="43" t="s">
        <v>42</v>
      </c>
      <c r="I21" s="53" t="s">
        <v>124</v>
      </c>
      <c r="J21" s="41">
        <v>32072.0</v>
      </c>
    </row>
    <row r="22" ht="60.0" customHeight="1">
      <c r="A22" s="39">
        <v>19.0</v>
      </c>
      <c r="B22" s="40" t="s">
        <v>125</v>
      </c>
      <c r="C22" s="40" t="s">
        <v>126</v>
      </c>
      <c r="D22" s="40" t="s">
        <v>127</v>
      </c>
      <c r="E22" s="40" t="s">
        <v>128</v>
      </c>
      <c r="F22" s="39" t="str">
        <f t="shared" si="1"/>
        <v>WRONG</v>
      </c>
      <c r="G22" s="39" t="s">
        <v>36</v>
      </c>
      <c r="H22" s="43" t="s">
        <v>48</v>
      </c>
      <c r="I22" s="53" t="s">
        <v>129</v>
      </c>
      <c r="J22" s="41">
        <v>48117.0</v>
      </c>
    </row>
    <row r="23" ht="60.0" customHeight="1">
      <c r="A23" s="39">
        <v>20.0</v>
      </c>
      <c r="B23" s="40" t="s">
        <v>130</v>
      </c>
      <c r="C23" s="40" t="s">
        <v>131</v>
      </c>
      <c r="D23" s="40" t="s">
        <v>132</v>
      </c>
      <c r="E23" s="40" t="s">
        <v>133</v>
      </c>
      <c r="F23" s="39" t="str">
        <f t="shared" si="1"/>
        <v>WRONG</v>
      </c>
      <c r="G23" s="39" t="s">
        <v>42</v>
      </c>
      <c r="H23" s="43" t="s">
        <v>48</v>
      </c>
      <c r="I23" s="53" t="s">
        <v>134</v>
      </c>
      <c r="J23" s="41">
        <v>14462.0</v>
      </c>
    </row>
    <row r="24" ht="60.0" customHeight="1">
      <c r="A24" s="39">
        <v>21.0</v>
      </c>
      <c r="B24" s="40" t="s">
        <v>135</v>
      </c>
      <c r="C24" s="40" t="s">
        <v>136</v>
      </c>
      <c r="D24" s="40" t="s">
        <v>137</v>
      </c>
      <c r="E24" s="40" t="s">
        <v>138</v>
      </c>
      <c r="F24" s="39" t="str">
        <f t="shared" si="1"/>
        <v>WRONG</v>
      </c>
      <c r="G24" s="39" t="s">
        <v>42</v>
      </c>
      <c r="H24" s="41" t="s">
        <v>36</v>
      </c>
      <c r="I24" s="53" t="s">
        <v>139</v>
      </c>
      <c r="J24" s="41">
        <v>24048.0</v>
      </c>
    </row>
    <row r="25" ht="60.0" customHeight="1">
      <c r="A25" s="39">
        <v>22.0</v>
      </c>
      <c r="B25" s="40" t="s">
        <v>140</v>
      </c>
      <c r="C25" s="40" t="s">
        <v>141</v>
      </c>
      <c r="D25" s="40" t="s">
        <v>142</v>
      </c>
      <c r="E25" s="40" t="s">
        <v>143</v>
      </c>
      <c r="F25" s="39" t="str">
        <f t="shared" si="1"/>
        <v>CORRECT</v>
      </c>
      <c r="G25" s="39" t="s">
        <v>42</v>
      </c>
      <c r="H25" s="41" t="s">
        <v>42</v>
      </c>
      <c r="I25" s="53" t="s">
        <v>144</v>
      </c>
      <c r="J25" s="41">
        <v>22637.0</v>
      </c>
    </row>
    <row r="26" ht="60.0" customHeight="1">
      <c r="A26" s="39">
        <v>23.0</v>
      </c>
      <c r="B26" s="40" t="s">
        <v>145</v>
      </c>
      <c r="C26" s="40" t="s">
        <v>146</v>
      </c>
      <c r="D26" s="40" t="s">
        <v>147</v>
      </c>
      <c r="E26" s="40" t="s">
        <v>148</v>
      </c>
      <c r="F26" s="39" t="str">
        <f t="shared" si="1"/>
        <v>WRONG</v>
      </c>
      <c r="G26" s="39" t="s">
        <v>48</v>
      </c>
      <c r="H26" s="41" t="s">
        <v>42</v>
      </c>
      <c r="I26" s="53" t="s">
        <v>149</v>
      </c>
      <c r="J26" s="41">
        <v>32130.0</v>
      </c>
    </row>
    <row r="27" ht="60.0" customHeight="1">
      <c r="A27" s="39">
        <v>24.0</v>
      </c>
      <c r="B27" s="40" t="s">
        <v>150</v>
      </c>
      <c r="C27" s="40" t="s">
        <v>151</v>
      </c>
      <c r="D27" s="40" t="s">
        <v>152</v>
      </c>
      <c r="E27" s="40" t="s">
        <v>153</v>
      </c>
      <c r="F27" s="39" t="str">
        <f t="shared" si="1"/>
        <v>CORRECT</v>
      </c>
      <c r="G27" s="39" t="s">
        <v>36</v>
      </c>
      <c r="H27" s="41" t="s">
        <v>36</v>
      </c>
      <c r="I27" s="53" t="s">
        <v>154</v>
      </c>
      <c r="J27" s="41">
        <v>34948.0</v>
      </c>
    </row>
    <row r="28" ht="60.0" customHeight="1">
      <c r="A28" s="39">
        <v>25.0</v>
      </c>
      <c r="B28" s="40" t="s">
        <v>155</v>
      </c>
      <c r="C28" s="40" t="s">
        <v>151</v>
      </c>
      <c r="D28" s="40" t="s">
        <v>156</v>
      </c>
      <c r="E28" s="40" t="s">
        <v>153</v>
      </c>
      <c r="F28" s="39" t="str">
        <f t="shared" si="1"/>
        <v>WRONG</v>
      </c>
      <c r="G28" s="39" t="s">
        <v>48</v>
      </c>
      <c r="H28" s="43" t="s">
        <v>42</v>
      </c>
      <c r="I28" s="53" t="s">
        <v>157</v>
      </c>
      <c r="J28" s="41">
        <v>29449.0</v>
      </c>
    </row>
    <row r="29" ht="60.0" customHeight="1">
      <c r="A29" s="39">
        <v>26.0</v>
      </c>
      <c r="B29" s="40" t="s">
        <v>158</v>
      </c>
      <c r="C29" s="40" t="s">
        <v>159</v>
      </c>
      <c r="D29" s="40" t="s">
        <v>160</v>
      </c>
      <c r="E29" s="40" t="s">
        <v>161</v>
      </c>
      <c r="F29" s="39" t="str">
        <f t="shared" si="1"/>
        <v>WRONG</v>
      </c>
      <c r="G29" s="39" t="s">
        <v>36</v>
      </c>
      <c r="H29" s="43" t="s">
        <v>48</v>
      </c>
      <c r="I29" s="53" t="s">
        <v>162</v>
      </c>
      <c r="J29" s="41">
        <v>44078.0</v>
      </c>
    </row>
    <row r="30" ht="60.0" customHeight="1">
      <c r="A30" s="39">
        <v>27.0</v>
      </c>
      <c r="B30" s="40" t="s">
        <v>163</v>
      </c>
      <c r="C30" s="40" t="s">
        <v>164</v>
      </c>
      <c r="D30" s="40" t="s">
        <v>165</v>
      </c>
      <c r="E30" s="40" t="s">
        <v>166</v>
      </c>
      <c r="F30" s="39" t="str">
        <f t="shared" si="1"/>
        <v>CORRECT</v>
      </c>
      <c r="G30" s="39" t="s">
        <v>42</v>
      </c>
      <c r="H30" s="43" t="s">
        <v>42</v>
      </c>
      <c r="I30" s="53" t="s">
        <v>167</v>
      </c>
      <c r="J30" s="41">
        <v>36108.0</v>
      </c>
    </row>
    <row r="31" ht="60.0" customHeight="1">
      <c r="A31" s="39">
        <v>28.0</v>
      </c>
      <c r="B31" s="40" t="s">
        <v>168</v>
      </c>
      <c r="C31" s="40" t="s">
        <v>169</v>
      </c>
      <c r="D31" s="40" t="s">
        <v>170</v>
      </c>
      <c r="E31" s="40" t="s">
        <v>171</v>
      </c>
      <c r="F31" s="39" t="str">
        <f t="shared" si="1"/>
        <v>WRONG</v>
      </c>
      <c r="G31" s="39" t="s">
        <v>36</v>
      </c>
      <c r="H31" s="43" t="s">
        <v>48</v>
      </c>
      <c r="I31" s="53" t="s">
        <v>172</v>
      </c>
      <c r="J31" s="41">
        <v>25069.0</v>
      </c>
    </row>
    <row r="32" ht="60.0" customHeight="1">
      <c r="A32" s="39">
        <v>29.0</v>
      </c>
      <c r="B32" s="40" t="s">
        <v>173</v>
      </c>
      <c r="C32" s="40" t="s">
        <v>174</v>
      </c>
      <c r="D32" s="40" t="s">
        <v>175</v>
      </c>
      <c r="E32" s="40" t="s">
        <v>176</v>
      </c>
      <c r="F32" s="39" t="str">
        <f t="shared" si="1"/>
        <v>CORRECT</v>
      </c>
      <c r="G32" s="39" t="s">
        <v>42</v>
      </c>
      <c r="H32" s="41" t="s">
        <v>42</v>
      </c>
      <c r="I32" s="53" t="s">
        <v>177</v>
      </c>
      <c r="J32" s="41">
        <v>26624.0</v>
      </c>
    </row>
    <row r="33" ht="60.0" customHeight="1">
      <c r="A33" s="39">
        <v>30.0</v>
      </c>
      <c r="B33" s="40" t="s">
        <v>178</v>
      </c>
      <c r="C33" s="40" t="s">
        <v>179</v>
      </c>
      <c r="D33" s="40" t="s">
        <v>180</v>
      </c>
      <c r="E33" s="40" t="s">
        <v>181</v>
      </c>
      <c r="F33" s="39" t="str">
        <f t="shared" si="1"/>
        <v>WRONG</v>
      </c>
      <c r="G33" s="39" t="s">
        <v>48</v>
      </c>
      <c r="H33" s="41" t="s">
        <v>36</v>
      </c>
      <c r="I33" s="53" t="s">
        <v>182</v>
      </c>
      <c r="J33" s="41">
        <v>35032.0</v>
      </c>
    </row>
    <row r="34" ht="60.0" customHeight="1">
      <c r="A34" s="39">
        <v>31.0</v>
      </c>
      <c r="B34" s="40" t="s">
        <v>183</v>
      </c>
      <c r="C34" s="40" t="s">
        <v>184</v>
      </c>
      <c r="D34" s="40" t="s">
        <v>185</v>
      </c>
      <c r="E34" s="40" t="s">
        <v>186</v>
      </c>
      <c r="F34" s="39" t="str">
        <f t="shared" si="1"/>
        <v>WRONG</v>
      </c>
      <c r="G34" s="39" t="s">
        <v>42</v>
      </c>
      <c r="H34" s="41" t="s">
        <v>36</v>
      </c>
      <c r="I34" s="53" t="s">
        <v>187</v>
      </c>
      <c r="J34" s="41">
        <v>33901.0</v>
      </c>
    </row>
    <row r="35" ht="60.0" customHeight="1">
      <c r="A35" s="39">
        <v>32.0</v>
      </c>
      <c r="B35" s="40" t="s">
        <v>188</v>
      </c>
      <c r="C35" s="40" t="s">
        <v>189</v>
      </c>
      <c r="D35" s="40" t="s">
        <v>190</v>
      </c>
      <c r="E35" s="40" t="s">
        <v>191</v>
      </c>
      <c r="F35" s="39" t="str">
        <f t="shared" si="1"/>
        <v>CORRECT</v>
      </c>
      <c r="G35" s="39" t="s">
        <v>36</v>
      </c>
      <c r="H35" s="41" t="s">
        <v>36</v>
      </c>
      <c r="I35" s="53" t="s">
        <v>192</v>
      </c>
      <c r="J35" s="41">
        <v>44867.0</v>
      </c>
    </row>
    <row r="36" ht="60.0" customHeight="1">
      <c r="A36" s="39">
        <v>33.0</v>
      </c>
      <c r="B36" s="40" t="s">
        <v>193</v>
      </c>
      <c r="C36" s="40" t="s">
        <v>194</v>
      </c>
      <c r="D36" s="40" t="s">
        <v>195</v>
      </c>
      <c r="E36" s="40" t="s">
        <v>196</v>
      </c>
      <c r="F36" s="39" t="str">
        <f t="shared" si="1"/>
        <v>CORRECT</v>
      </c>
      <c r="G36" s="39" t="s">
        <v>48</v>
      </c>
      <c r="H36" s="43" t="s">
        <v>48</v>
      </c>
      <c r="I36" s="53" t="s">
        <v>197</v>
      </c>
      <c r="J36" s="41">
        <v>37549.0</v>
      </c>
    </row>
    <row r="37" ht="60.0" customHeight="1">
      <c r="A37" s="39">
        <v>34.0</v>
      </c>
      <c r="B37" s="40" t="s">
        <v>198</v>
      </c>
      <c r="C37" s="40" t="s">
        <v>199</v>
      </c>
      <c r="D37" s="40" t="s">
        <v>200</v>
      </c>
      <c r="E37" s="40" t="s">
        <v>201</v>
      </c>
      <c r="F37" s="39" t="str">
        <f t="shared" si="1"/>
        <v>CORRECT</v>
      </c>
      <c r="G37" s="39" t="s">
        <v>36</v>
      </c>
      <c r="H37" s="41" t="s">
        <v>36</v>
      </c>
      <c r="I37" s="53" t="s">
        <v>202</v>
      </c>
      <c r="J37" s="41">
        <v>29524.0</v>
      </c>
    </row>
    <row r="38" ht="60.0" customHeight="1">
      <c r="A38" s="39">
        <v>35.0</v>
      </c>
      <c r="B38" s="40" t="s">
        <v>203</v>
      </c>
      <c r="C38" s="40" t="s">
        <v>204</v>
      </c>
      <c r="D38" s="40" t="s">
        <v>205</v>
      </c>
      <c r="E38" s="40" t="s">
        <v>206</v>
      </c>
      <c r="F38" s="39" t="str">
        <f t="shared" si="1"/>
        <v>WRONG</v>
      </c>
      <c r="G38" s="39" t="s">
        <v>48</v>
      </c>
      <c r="H38" s="43" t="s">
        <v>36</v>
      </c>
      <c r="I38" s="53" t="s">
        <v>207</v>
      </c>
      <c r="J38" s="41">
        <v>31336.0</v>
      </c>
    </row>
    <row r="39" ht="60.0" customHeight="1">
      <c r="A39" s="39">
        <v>36.0</v>
      </c>
      <c r="B39" s="40" t="s">
        <v>208</v>
      </c>
      <c r="C39" s="40" t="s">
        <v>209</v>
      </c>
      <c r="D39" s="40" t="s">
        <v>210</v>
      </c>
      <c r="E39" s="40" t="s">
        <v>211</v>
      </c>
      <c r="F39" s="39" t="str">
        <f t="shared" si="1"/>
        <v>CORRECT</v>
      </c>
      <c r="G39" s="39" t="s">
        <v>36</v>
      </c>
      <c r="H39" s="41" t="s">
        <v>36</v>
      </c>
      <c r="I39" s="53" t="s">
        <v>212</v>
      </c>
      <c r="J39" s="41">
        <v>38376.0</v>
      </c>
    </row>
    <row r="40" ht="60.0" customHeight="1">
      <c r="A40" s="39">
        <v>37.0</v>
      </c>
      <c r="B40" s="40" t="s">
        <v>213</v>
      </c>
      <c r="C40" s="40" t="s">
        <v>214</v>
      </c>
      <c r="D40" s="40" t="s">
        <v>215</v>
      </c>
      <c r="E40" s="40" t="s">
        <v>216</v>
      </c>
      <c r="F40" s="39" t="str">
        <f t="shared" si="1"/>
        <v>CORRECT</v>
      </c>
      <c r="G40" s="39" t="s">
        <v>36</v>
      </c>
      <c r="H40" s="41" t="s">
        <v>36</v>
      </c>
      <c r="I40" s="53" t="s">
        <v>217</v>
      </c>
      <c r="J40" s="41">
        <v>34682.0</v>
      </c>
    </row>
    <row r="41" ht="60.0" customHeight="1">
      <c r="A41" s="39">
        <v>38.0</v>
      </c>
      <c r="B41" s="40" t="s">
        <v>218</v>
      </c>
      <c r="C41" s="40" t="s">
        <v>219</v>
      </c>
      <c r="D41" s="40" t="s">
        <v>220</v>
      </c>
      <c r="E41" s="40" t="s">
        <v>221</v>
      </c>
      <c r="F41" s="39" t="str">
        <f t="shared" si="1"/>
        <v>CORRECT</v>
      </c>
      <c r="G41" s="39" t="s">
        <v>36</v>
      </c>
      <c r="H41" s="43" t="s">
        <v>36</v>
      </c>
      <c r="I41" s="53" t="s">
        <v>222</v>
      </c>
      <c r="J41" s="41">
        <v>33502.0</v>
      </c>
    </row>
    <row r="42" ht="60.0" customHeight="1">
      <c r="A42" s="39">
        <v>39.0</v>
      </c>
      <c r="B42" s="40" t="s">
        <v>223</v>
      </c>
      <c r="C42" s="40" t="s">
        <v>224</v>
      </c>
      <c r="D42" s="40" t="s">
        <v>225</v>
      </c>
      <c r="E42" s="40" t="s">
        <v>226</v>
      </c>
      <c r="F42" s="39" t="str">
        <f t="shared" si="1"/>
        <v>WRONG</v>
      </c>
      <c r="G42" s="39" t="s">
        <v>42</v>
      </c>
      <c r="H42" s="41" t="s">
        <v>48</v>
      </c>
      <c r="I42" s="53" t="s">
        <v>227</v>
      </c>
      <c r="J42" s="41">
        <v>27850.0</v>
      </c>
    </row>
    <row r="43" ht="60.0" customHeight="1">
      <c r="A43" s="39">
        <v>40.0</v>
      </c>
      <c r="B43" s="40" t="s">
        <v>228</v>
      </c>
      <c r="C43" s="40" t="s">
        <v>229</v>
      </c>
      <c r="D43" s="40" t="s">
        <v>230</v>
      </c>
      <c r="E43" s="40" t="s">
        <v>231</v>
      </c>
      <c r="F43" s="39" t="str">
        <f t="shared" si="1"/>
        <v>WRONG</v>
      </c>
      <c r="G43" s="39" t="s">
        <v>48</v>
      </c>
      <c r="H43" s="43" t="s">
        <v>42</v>
      </c>
      <c r="I43" s="53" t="s">
        <v>232</v>
      </c>
      <c r="J43" s="41">
        <v>38615.0</v>
      </c>
    </row>
    <row r="44" ht="60.0" customHeight="1">
      <c r="A44" s="39">
        <v>41.0</v>
      </c>
      <c r="B44" s="40" t="s">
        <v>233</v>
      </c>
      <c r="C44" s="40" t="s">
        <v>234</v>
      </c>
      <c r="D44" s="40" t="s">
        <v>235</v>
      </c>
      <c r="E44" s="40" t="s">
        <v>236</v>
      </c>
      <c r="F44" s="39" t="str">
        <f t="shared" si="1"/>
        <v>CORRECT</v>
      </c>
      <c r="G44" s="39" t="s">
        <v>42</v>
      </c>
      <c r="H44" s="41" t="s">
        <v>42</v>
      </c>
      <c r="I44" s="53" t="s">
        <v>237</v>
      </c>
      <c r="J44" s="41">
        <v>21907.0</v>
      </c>
    </row>
    <row r="45" ht="60.0" customHeight="1">
      <c r="A45" s="39">
        <v>42.0</v>
      </c>
      <c r="B45" s="40" t="s">
        <v>238</v>
      </c>
      <c r="C45" s="40" t="s">
        <v>239</v>
      </c>
      <c r="D45" s="40" t="s">
        <v>240</v>
      </c>
      <c r="E45" s="40" t="s">
        <v>241</v>
      </c>
      <c r="F45" s="39" t="str">
        <f t="shared" si="1"/>
        <v>WRONG</v>
      </c>
      <c r="G45" s="39" t="s">
        <v>36</v>
      </c>
      <c r="H45" s="43" t="s">
        <v>42</v>
      </c>
      <c r="I45" s="53" t="s">
        <v>242</v>
      </c>
      <c r="J45" s="41">
        <v>34362.0</v>
      </c>
    </row>
    <row r="46" ht="60.0" customHeight="1">
      <c r="A46" s="39">
        <v>43.0</v>
      </c>
      <c r="B46" s="40" t="s">
        <v>243</v>
      </c>
      <c r="C46" s="40" t="s">
        <v>244</v>
      </c>
      <c r="D46" s="40" t="s">
        <v>245</v>
      </c>
      <c r="E46" s="40" t="s">
        <v>246</v>
      </c>
      <c r="F46" s="39" t="str">
        <f t="shared" si="1"/>
        <v>CORRECT</v>
      </c>
      <c r="G46" s="39" t="s">
        <v>48</v>
      </c>
      <c r="H46" s="43" t="s">
        <v>48</v>
      </c>
      <c r="I46" s="53" t="s">
        <v>247</v>
      </c>
      <c r="J46" s="41">
        <v>34513.0</v>
      </c>
    </row>
    <row r="47" ht="60.0" customHeight="1">
      <c r="A47" s="39">
        <v>44.0</v>
      </c>
      <c r="B47" s="40" t="s">
        <v>248</v>
      </c>
      <c r="C47" s="40" t="s">
        <v>249</v>
      </c>
      <c r="D47" s="40" t="s">
        <v>250</v>
      </c>
      <c r="E47" s="40" t="s">
        <v>251</v>
      </c>
      <c r="F47" s="39" t="str">
        <f t="shared" si="1"/>
        <v>WRONG</v>
      </c>
      <c r="G47" s="39" t="s">
        <v>36</v>
      </c>
      <c r="H47" s="43" t="s">
        <v>48</v>
      </c>
      <c r="I47" s="53" t="s">
        <v>252</v>
      </c>
      <c r="J47" s="41">
        <v>31363.0</v>
      </c>
    </row>
    <row r="48" ht="60.0" customHeight="1">
      <c r="A48" s="39">
        <v>45.0</v>
      </c>
      <c r="B48" s="40" t="s">
        <v>253</v>
      </c>
      <c r="C48" s="40" t="s">
        <v>254</v>
      </c>
      <c r="D48" s="40" t="s">
        <v>255</v>
      </c>
      <c r="E48" s="40" t="s">
        <v>256</v>
      </c>
      <c r="F48" s="39" t="str">
        <f t="shared" si="1"/>
        <v>CORRECT</v>
      </c>
      <c r="G48" s="39" t="s">
        <v>36</v>
      </c>
      <c r="H48" s="41" t="s">
        <v>36</v>
      </c>
      <c r="I48" s="53" t="s">
        <v>257</v>
      </c>
      <c r="J48" s="41">
        <v>44885.0</v>
      </c>
    </row>
    <row r="49" ht="60.0" customHeight="1">
      <c r="A49" s="39">
        <v>46.0</v>
      </c>
      <c r="B49" s="40" t="s">
        <v>258</v>
      </c>
      <c r="C49" s="40" t="s">
        <v>39</v>
      </c>
      <c r="D49" s="40" t="s">
        <v>259</v>
      </c>
      <c r="E49" s="40" t="s">
        <v>260</v>
      </c>
      <c r="F49" s="39" t="str">
        <f t="shared" si="1"/>
        <v>CORRECT</v>
      </c>
      <c r="G49" s="39" t="s">
        <v>36</v>
      </c>
      <c r="H49" s="41" t="s">
        <v>36</v>
      </c>
      <c r="I49" s="53" t="s">
        <v>261</v>
      </c>
      <c r="J49" s="41">
        <v>25900.0</v>
      </c>
    </row>
    <row r="50">
      <c r="A50" s="44" t="s">
        <v>262</v>
      </c>
      <c r="B50" s="2"/>
      <c r="C50" s="2"/>
      <c r="D50" s="2"/>
      <c r="E50" s="3"/>
      <c r="F50" s="45">
        <f>COUNTIFS(F4:F49,"CORRECT")</f>
        <v>28</v>
      </c>
      <c r="G50" s="46"/>
      <c r="H50" s="46"/>
      <c r="J50" s="47">
        <f>AVERAGE(J4:J49)</f>
        <v>34529.36957</v>
      </c>
    </row>
    <row r="51">
      <c r="A51" s="48" t="s">
        <v>263</v>
      </c>
      <c r="B51" s="2"/>
      <c r="C51" s="2"/>
      <c r="D51" s="2"/>
      <c r="E51" s="3"/>
      <c r="F51" s="49">
        <v>46.0</v>
      </c>
      <c r="G51" s="46"/>
      <c r="H51" s="46"/>
    </row>
    <row r="52">
      <c r="A52" s="44" t="s">
        <v>264</v>
      </c>
      <c r="B52" s="2"/>
      <c r="C52" s="2"/>
      <c r="D52" s="2"/>
      <c r="E52" s="3"/>
      <c r="F52" s="50">
        <f>F50/F51</f>
        <v>0.6086956522</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311</v>
      </c>
      <c r="C2" s="2"/>
      <c r="D2" s="2"/>
      <c r="E2" s="2"/>
      <c r="F2" s="2"/>
      <c r="G2" s="2"/>
      <c r="H2" s="3"/>
      <c r="I2" s="37" t="s">
        <v>312</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CORRECT</v>
      </c>
      <c r="G4" s="39" t="s">
        <v>36</v>
      </c>
      <c r="H4" s="43" t="s">
        <v>36</v>
      </c>
      <c r="I4" s="53" t="s">
        <v>313</v>
      </c>
      <c r="J4" s="41">
        <v>21603.0</v>
      </c>
    </row>
    <row r="5" ht="60.0" customHeight="1">
      <c r="A5" s="39">
        <v>2.0</v>
      </c>
      <c r="B5" s="40" t="s">
        <v>38</v>
      </c>
      <c r="C5" s="40" t="s">
        <v>39</v>
      </c>
      <c r="D5" s="40" t="s">
        <v>40</v>
      </c>
      <c r="E5" s="40" t="s">
        <v>41</v>
      </c>
      <c r="F5" s="39" t="str">
        <f t="shared" si="1"/>
        <v>CORRECT</v>
      </c>
      <c r="G5" s="39" t="s">
        <v>42</v>
      </c>
      <c r="H5" s="43" t="s">
        <v>42</v>
      </c>
      <c r="I5" s="53" t="s">
        <v>314</v>
      </c>
      <c r="J5" s="41">
        <v>32826.0</v>
      </c>
    </row>
    <row r="6" ht="60.0" customHeight="1">
      <c r="A6" s="39">
        <v>3.0</v>
      </c>
      <c r="B6" s="40" t="s">
        <v>44</v>
      </c>
      <c r="C6" s="40" t="s">
        <v>45</v>
      </c>
      <c r="D6" s="40" t="s">
        <v>46</v>
      </c>
      <c r="E6" s="40" t="s">
        <v>47</v>
      </c>
      <c r="F6" s="39" t="str">
        <f t="shared" si="1"/>
        <v>CORRECT</v>
      </c>
      <c r="G6" s="39" t="s">
        <v>48</v>
      </c>
      <c r="H6" s="41" t="s">
        <v>48</v>
      </c>
      <c r="I6" s="53" t="s">
        <v>315</v>
      </c>
      <c r="J6" s="41">
        <v>30687.0</v>
      </c>
    </row>
    <row r="7" ht="60.0" customHeight="1">
      <c r="A7" s="39">
        <v>4.0</v>
      </c>
      <c r="B7" s="40" t="s">
        <v>50</v>
      </c>
      <c r="C7" s="40" t="s">
        <v>51</v>
      </c>
      <c r="D7" s="40" t="s">
        <v>52</v>
      </c>
      <c r="E7" s="40" t="s">
        <v>53</v>
      </c>
      <c r="F7" s="39" t="str">
        <f t="shared" si="1"/>
        <v>CORRECT</v>
      </c>
      <c r="G7" s="39" t="s">
        <v>42</v>
      </c>
      <c r="H7" s="41" t="s">
        <v>42</v>
      </c>
      <c r="I7" s="53" t="s">
        <v>54</v>
      </c>
      <c r="J7" s="41">
        <v>27958.0</v>
      </c>
    </row>
    <row r="8" ht="60.0" customHeight="1">
      <c r="A8" s="39">
        <v>5.0</v>
      </c>
      <c r="B8" s="40" t="s">
        <v>55</v>
      </c>
      <c r="C8" s="40" t="s">
        <v>56</v>
      </c>
      <c r="D8" s="40" t="s">
        <v>57</v>
      </c>
      <c r="E8" s="40" t="s">
        <v>58</v>
      </c>
      <c r="F8" s="39" t="str">
        <f t="shared" si="1"/>
        <v>CORRECT</v>
      </c>
      <c r="G8" s="39" t="s">
        <v>48</v>
      </c>
      <c r="H8" s="43" t="s">
        <v>48</v>
      </c>
      <c r="I8" s="53" t="s">
        <v>316</v>
      </c>
      <c r="J8" s="41">
        <v>114623.0</v>
      </c>
    </row>
    <row r="9" ht="60.0" customHeight="1">
      <c r="A9" s="39">
        <v>6.0</v>
      </c>
      <c r="B9" s="40" t="s">
        <v>60</v>
      </c>
      <c r="C9" s="40" t="s">
        <v>61</v>
      </c>
      <c r="D9" s="40" t="s">
        <v>62</v>
      </c>
      <c r="E9" s="40" t="s">
        <v>63</v>
      </c>
      <c r="F9" s="39" t="str">
        <f t="shared" si="1"/>
        <v>CORRECT</v>
      </c>
      <c r="G9" s="39" t="s">
        <v>42</v>
      </c>
      <c r="H9" s="43" t="s">
        <v>42</v>
      </c>
      <c r="I9" s="53" t="s">
        <v>317</v>
      </c>
      <c r="J9" s="41">
        <v>37356.0</v>
      </c>
    </row>
    <row r="10" ht="60.0" customHeight="1">
      <c r="A10" s="39">
        <v>7.0</v>
      </c>
      <c r="B10" s="40" t="s">
        <v>65</v>
      </c>
      <c r="C10" s="40" t="s">
        <v>66</v>
      </c>
      <c r="D10" s="40" t="s">
        <v>67</v>
      </c>
      <c r="E10" s="40" t="s">
        <v>68</v>
      </c>
      <c r="F10" s="39" t="str">
        <f t="shared" si="1"/>
        <v>WRONG</v>
      </c>
      <c r="G10" s="39" t="s">
        <v>42</v>
      </c>
      <c r="H10" s="43" t="s">
        <v>36</v>
      </c>
      <c r="I10" s="53" t="s">
        <v>318</v>
      </c>
      <c r="J10" s="41">
        <v>41859.0</v>
      </c>
    </row>
    <row r="11" ht="60.0" customHeight="1">
      <c r="A11" s="39">
        <v>8.0</v>
      </c>
      <c r="B11" s="40" t="s">
        <v>70</v>
      </c>
      <c r="C11" s="40" t="s">
        <v>71</v>
      </c>
      <c r="D11" s="40" t="s">
        <v>72</v>
      </c>
      <c r="E11" s="40" t="s">
        <v>73</v>
      </c>
      <c r="F11" s="39" t="str">
        <f t="shared" si="1"/>
        <v>CORRECT</v>
      </c>
      <c r="G11" s="39" t="s">
        <v>48</v>
      </c>
      <c r="H11" s="43" t="s">
        <v>48</v>
      </c>
      <c r="I11" s="53" t="s">
        <v>319</v>
      </c>
      <c r="J11" s="41">
        <v>36883.0</v>
      </c>
    </row>
    <row r="12" ht="60.0" customHeight="1">
      <c r="A12" s="39">
        <v>9.0</v>
      </c>
      <c r="B12" s="40" t="s">
        <v>75</v>
      </c>
      <c r="C12" s="40" t="s">
        <v>76</v>
      </c>
      <c r="D12" s="40" t="s">
        <v>77</v>
      </c>
      <c r="E12" s="40" t="s">
        <v>78</v>
      </c>
      <c r="F12" s="39" t="str">
        <f t="shared" si="1"/>
        <v>WRONG</v>
      </c>
      <c r="G12" s="39" t="s">
        <v>42</v>
      </c>
      <c r="H12" s="43" t="s">
        <v>48</v>
      </c>
      <c r="I12" s="53" t="s">
        <v>320</v>
      </c>
      <c r="J12" s="41">
        <v>37255.0</v>
      </c>
    </row>
    <row r="13" ht="60.0" customHeight="1">
      <c r="A13" s="39">
        <v>10.0</v>
      </c>
      <c r="B13" s="40" t="s">
        <v>80</v>
      </c>
      <c r="C13" s="40" t="s">
        <v>81</v>
      </c>
      <c r="D13" s="40" t="s">
        <v>82</v>
      </c>
      <c r="E13" s="40" t="s">
        <v>83</v>
      </c>
      <c r="F13" s="39" t="str">
        <f t="shared" si="1"/>
        <v>CORRECT</v>
      </c>
      <c r="G13" s="39" t="s">
        <v>48</v>
      </c>
      <c r="H13" s="43" t="s">
        <v>48</v>
      </c>
      <c r="I13" s="53" t="s">
        <v>321</v>
      </c>
      <c r="J13" s="41">
        <v>32187.0</v>
      </c>
    </row>
    <row r="14" ht="60.0" customHeight="1">
      <c r="A14" s="39">
        <v>11.0</v>
      </c>
      <c r="B14" s="40" t="s">
        <v>85</v>
      </c>
      <c r="C14" s="40" t="s">
        <v>86</v>
      </c>
      <c r="D14" s="40" t="s">
        <v>87</v>
      </c>
      <c r="E14" s="40" t="s">
        <v>88</v>
      </c>
      <c r="F14" s="39" t="str">
        <f t="shared" si="1"/>
        <v>CORRECT</v>
      </c>
      <c r="G14" s="39" t="s">
        <v>42</v>
      </c>
      <c r="H14" s="41" t="s">
        <v>42</v>
      </c>
      <c r="I14" s="53" t="s">
        <v>322</v>
      </c>
      <c r="J14" s="41">
        <v>42456.0</v>
      </c>
    </row>
    <row r="15" ht="60.0" customHeight="1">
      <c r="A15" s="39">
        <v>12.0</v>
      </c>
      <c r="B15" s="40" t="s">
        <v>90</v>
      </c>
      <c r="C15" s="40" t="s">
        <v>91</v>
      </c>
      <c r="D15" s="40" t="s">
        <v>92</v>
      </c>
      <c r="E15" s="40" t="s">
        <v>93</v>
      </c>
      <c r="F15" s="39" t="str">
        <f t="shared" si="1"/>
        <v>CORRECT</v>
      </c>
      <c r="G15" s="39" t="s">
        <v>48</v>
      </c>
      <c r="H15" s="43" t="s">
        <v>48</v>
      </c>
      <c r="I15" s="53" t="s">
        <v>323</v>
      </c>
      <c r="J15" s="41">
        <v>41157.0</v>
      </c>
    </row>
    <row r="16" ht="60.0" customHeight="1">
      <c r="A16" s="39">
        <v>13.0</v>
      </c>
      <c r="B16" s="40" t="s">
        <v>95</v>
      </c>
      <c r="C16" s="40" t="s">
        <v>96</v>
      </c>
      <c r="D16" s="40" t="s">
        <v>97</v>
      </c>
      <c r="E16" s="40" t="s">
        <v>98</v>
      </c>
      <c r="F16" s="39" t="str">
        <f t="shared" si="1"/>
        <v>CORRECT</v>
      </c>
      <c r="G16" s="39" t="s">
        <v>36</v>
      </c>
      <c r="H16" s="43" t="s">
        <v>36</v>
      </c>
      <c r="I16" s="53" t="s">
        <v>324</v>
      </c>
      <c r="J16" s="41">
        <v>28318.0</v>
      </c>
    </row>
    <row r="17" ht="60.0" customHeight="1">
      <c r="A17" s="39">
        <v>14.0</v>
      </c>
      <c r="B17" s="40" t="s">
        <v>100</v>
      </c>
      <c r="C17" s="40" t="s">
        <v>101</v>
      </c>
      <c r="D17" s="40" t="s">
        <v>102</v>
      </c>
      <c r="E17" s="40" t="s">
        <v>103</v>
      </c>
      <c r="F17" s="39" t="str">
        <f t="shared" si="1"/>
        <v>WRONG</v>
      </c>
      <c r="G17" s="39" t="s">
        <v>36</v>
      </c>
      <c r="H17" s="43" t="s">
        <v>48</v>
      </c>
      <c r="I17" s="53" t="s">
        <v>325</v>
      </c>
      <c r="J17" s="41">
        <v>39171.0</v>
      </c>
    </row>
    <row r="18" ht="60.0" customHeight="1">
      <c r="A18" s="39">
        <v>15.0</v>
      </c>
      <c r="B18" s="40" t="s">
        <v>105</v>
      </c>
      <c r="C18" s="40" t="s">
        <v>106</v>
      </c>
      <c r="D18" s="40" t="s">
        <v>107</v>
      </c>
      <c r="E18" s="40" t="s">
        <v>108</v>
      </c>
      <c r="F18" s="39" t="str">
        <f t="shared" si="1"/>
        <v>CORRECT</v>
      </c>
      <c r="G18" s="39" t="s">
        <v>48</v>
      </c>
      <c r="H18" s="41" t="s">
        <v>48</v>
      </c>
      <c r="I18" s="53" t="s">
        <v>326</v>
      </c>
      <c r="J18" s="41">
        <v>37494.0</v>
      </c>
    </row>
    <row r="19" ht="60.0" customHeight="1">
      <c r="A19" s="39">
        <v>16.0</v>
      </c>
      <c r="B19" s="40" t="s">
        <v>110</v>
      </c>
      <c r="C19" s="40" t="s">
        <v>111</v>
      </c>
      <c r="D19" s="40" t="s">
        <v>112</v>
      </c>
      <c r="E19" s="40" t="s">
        <v>113</v>
      </c>
      <c r="F19" s="39" t="str">
        <f t="shared" si="1"/>
        <v>CORRECT</v>
      </c>
      <c r="G19" s="39" t="s">
        <v>48</v>
      </c>
      <c r="H19" s="43" t="s">
        <v>48</v>
      </c>
      <c r="I19" s="53" t="s">
        <v>114</v>
      </c>
      <c r="J19" s="41">
        <v>33746.0</v>
      </c>
    </row>
    <row r="20" ht="60.0" customHeight="1">
      <c r="A20" s="39">
        <v>17.0</v>
      </c>
      <c r="B20" s="40" t="s">
        <v>115</v>
      </c>
      <c r="C20" s="40" t="s">
        <v>116</v>
      </c>
      <c r="D20" s="40" t="s">
        <v>117</v>
      </c>
      <c r="E20" s="40" t="s">
        <v>118</v>
      </c>
      <c r="F20" s="39" t="str">
        <f t="shared" si="1"/>
        <v>WRONG</v>
      </c>
      <c r="G20" s="39" t="s">
        <v>42</v>
      </c>
      <c r="H20" s="41" t="s">
        <v>36</v>
      </c>
      <c r="I20" s="53" t="s">
        <v>327</v>
      </c>
      <c r="J20" s="41">
        <v>30291.0</v>
      </c>
    </row>
    <row r="21" ht="60.0" customHeight="1">
      <c r="A21" s="39">
        <v>18.0</v>
      </c>
      <c r="B21" s="40" t="s">
        <v>120</v>
      </c>
      <c r="C21" s="40" t="s">
        <v>121</v>
      </c>
      <c r="D21" s="40" t="s">
        <v>122</v>
      </c>
      <c r="E21" s="40" t="s">
        <v>123</v>
      </c>
      <c r="F21" s="39" t="str">
        <f t="shared" si="1"/>
        <v>CORRECT</v>
      </c>
      <c r="G21" s="39" t="s">
        <v>42</v>
      </c>
      <c r="H21" s="41" t="s">
        <v>42</v>
      </c>
      <c r="I21" s="53" t="s">
        <v>328</v>
      </c>
      <c r="J21" s="41">
        <v>25918.0</v>
      </c>
    </row>
    <row r="22" ht="60.0" customHeight="1">
      <c r="A22" s="39">
        <v>19.0</v>
      </c>
      <c r="B22" s="40" t="s">
        <v>125</v>
      </c>
      <c r="C22" s="40" t="s">
        <v>126</v>
      </c>
      <c r="D22" s="40" t="s">
        <v>127</v>
      </c>
      <c r="E22" s="40" t="s">
        <v>128</v>
      </c>
      <c r="F22" s="39" t="str">
        <f t="shared" si="1"/>
        <v>WRONG</v>
      </c>
      <c r="G22" s="39" t="s">
        <v>36</v>
      </c>
      <c r="H22" s="43" t="s">
        <v>48</v>
      </c>
      <c r="I22" s="53" t="s">
        <v>329</v>
      </c>
      <c r="J22" s="41">
        <v>50044.0</v>
      </c>
    </row>
    <row r="23" ht="60.0" customHeight="1">
      <c r="A23" s="39">
        <v>20.0</v>
      </c>
      <c r="B23" s="40" t="s">
        <v>130</v>
      </c>
      <c r="C23" s="40" t="s">
        <v>131</v>
      </c>
      <c r="D23" s="40" t="s">
        <v>132</v>
      </c>
      <c r="E23" s="40" t="s">
        <v>133</v>
      </c>
      <c r="F23" s="39" t="str">
        <f t="shared" si="1"/>
        <v>CORRECT</v>
      </c>
      <c r="G23" s="39" t="s">
        <v>42</v>
      </c>
      <c r="H23" s="43" t="s">
        <v>42</v>
      </c>
      <c r="I23" s="53" t="s">
        <v>330</v>
      </c>
      <c r="J23" s="41">
        <v>26883.0</v>
      </c>
    </row>
    <row r="24" ht="60.0" customHeight="1">
      <c r="A24" s="39">
        <v>21.0</v>
      </c>
      <c r="B24" s="40" t="s">
        <v>135</v>
      </c>
      <c r="C24" s="40" t="s">
        <v>136</v>
      </c>
      <c r="D24" s="40" t="s">
        <v>137</v>
      </c>
      <c r="E24" s="40" t="s">
        <v>138</v>
      </c>
      <c r="F24" s="39" t="str">
        <f t="shared" si="1"/>
        <v>WRONG</v>
      </c>
      <c r="G24" s="39" t="s">
        <v>42</v>
      </c>
      <c r="H24" s="41" t="s">
        <v>36</v>
      </c>
      <c r="I24" s="53" t="s">
        <v>331</v>
      </c>
      <c r="J24" s="41">
        <v>45574.0</v>
      </c>
    </row>
    <row r="25" ht="60.0" customHeight="1">
      <c r="A25" s="39">
        <v>22.0</v>
      </c>
      <c r="B25" s="40" t="s">
        <v>140</v>
      </c>
      <c r="C25" s="40" t="s">
        <v>141</v>
      </c>
      <c r="D25" s="40" t="s">
        <v>142</v>
      </c>
      <c r="E25" s="40" t="s">
        <v>143</v>
      </c>
      <c r="F25" s="39" t="str">
        <f t="shared" si="1"/>
        <v>CORRECT</v>
      </c>
      <c r="G25" s="39" t="s">
        <v>42</v>
      </c>
      <c r="H25" s="41" t="s">
        <v>42</v>
      </c>
      <c r="I25" s="53" t="s">
        <v>332</v>
      </c>
      <c r="J25" s="41">
        <v>19625.0</v>
      </c>
    </row>
    <row r="26" ht="60.0" customHeight="1">
      <c r="A26" s="39">
        <v>23.0</v>
      </c>
      <c r="B26" s="40" t="s">
        <v>145</v>
      </c>
      <c r="C26" s="40" t="s">
        <v>146</v>
      </c>
      <c r="D26" s="40" t="s">
        <v>147</v>
      </c>
      <c r="E26" s="40" t="s">
        <v>148</v>
      </c>
      <c r="F26" s="39" t="str">
        <f t="shared" si="1"/>
        <v>WRONG</v>
      </c>
      <c r="G26" s="39" t="s">
        <v>48</v>
      </c>
      <c r="H26" s="41" t="s">
        <v>42</v>
      </c>
      <c r="I26" s="53" t="s">
        <v>333</v>
      </c>
      <c r="J26" s="41">
        <v>27738.0</v>
      </c>
    </row>
    <row r="27" ht="60.0" customHeight="1">
      <c r="A27" s="39">
        <v>24.0</v>
      </c>
      <c r="B27" s="40" t="s">
        <v>150</v>
      </c>
      <c r="C27" s="40" t="s">
        <v>151</v>
      </c>
      <c r="D27" s="40" t="s">
        <v>152</v>
      </c>
      <c r="E27" s="40" t="s">
        <v>153</v>
      </c>
      <c r="F27" s="39" t="str">
        <f t="shared" si="1"/>
        <v>CORRECT</v>
      </c>
      <c r="G27" s="39" t="s">
        <v>36</v>
      </c>
      <c r="H27" s="41" t="s">
        <v>36</v>
      </c>
      <c r="I27" s="53" t="s">
        <v>334</v>
      </c>
      <c r="J27" s="41">
        <v>28455.0</v>
      </c>
    </row>
    <row r="28" ht="60.0" customHeight="1">
      <c r="A28" s="39">
        <v>25.0</v>
      </c>
      <c r="B28" s="40" t="s">
        <v>155</v>
      </c>
      <c r="C28" s="40" t="s">
        <v>151</v>
      </c>
      <c r="D28" s="40" t="s">
        <v>156</v>
      </c>
      <c r="E28" s="40" t="s">
        <v>153</v>
      </c>
      <c r="F28" s="39" t="str">
        <f t="shared" si="1"/>
        <v>WRONG</v>
      </c>
      <c r="G28" s="39" t="s">
        <v>48</v>
      </c>
      <c r="H28" s="43" t="s">
        <v>42</v>
      </c>
      <c r="I28" s="53" t="s">
        <v>335</v>
      </c>
      <c r="J28" s="41">
        <v>27862.0</v>
      </c>
    </row>
    <row r="29" ht="60.0" customHeight="1">
      <c r="A29" s="39">
        <v>26.0</v>
      </c>
      <c r="B29" s="40" t="s">
        <v>158</v>
      </c>
      <c r="C29" s="40" t="s">
        <v>159</v>
      </c>
      <c r="D29" s="40" t="s">
        <v>160</v>
      </c>
      <c r="E29" s="40" t="s">
        <v>161</v>
      </c>
      <c r="F29" s="39" t="str">
        <f t="shared" si="1"/>
        <v>WRONG</v>
      </c>
      <c r="G29" s="39" t="s">
        <v>36</v>
      </c>
      <c r="H29" s="43" t="s">
        <v>42</v>
      </c>
      <c r="I29" s="53" t="s">
        <v>336</v>
      </c>
      <c r="J29" s="41">
        <v>36431.0</v>
      </c>
    </row>
    <row r="30" ht="60.0" customHeight="1">
      <c r="A30" s="39">
        <v>27.0</v>
      </c>
      <c r="B30" s="40" t="s">
        <v>163</v>
      </c>
      <c r="C30" s="40" t="s">
        <v>164</v>
      </c>
      <c r="D30" s="40" t="s">
        <v>165</v>
      </c>
      <c r="E30" s="40" t="s">
        <v>166</v>
      </c>
      <c r="F30" s="39" t="str">
        <f t="shared" si="1"/>
        <v>CORRECT</v>
      </c>
      <c r="G30" s="39" t="s">
        <v>42</v>
      </c>
      <c r="H30" s="43" t="s">
        <v>42</v>
      </c>
      <c r="I30" s="53" t="s">
        <v>337</v>
      </c>
      <c r="J30" s="41">
        <v>43178.0</v>
      </c>
    </row>
    <row r="31" ht="60.0" customHeight="1">
      <c r="A31" s="39">
        <v>28.0</v>
      </c>
      <c r="B31" s="40" t="s">
        <v>168</v>
      </c>
      <c r="C31" s="40" t="s">
        <v>169</v>
      </c>
      <c r="D31" s="40" t="s">
        <v>170</v>
      </c>
      <c r="E31" s="40" t="s">
        <v>171</v>
      </c>
      <c r="F31" s="39" t="str">
        <f t="shared" si="1"/>
        <v>WRONG</v>
      </c>
      <c r="G31" s="39" t="s">
        <v>36</v>
      </c>
      <c r="H31" s="41" t="s">
        <v>48</v>
      </c>
      <c r="I31" s="53" t="s">
        <v>338</v>
      </c>
      <c r="J31" s="41">
        <v>25284.0</v>
      </c>
    </row>
    <row r="32" ht="60.0" customHeight="1">
      <c r="A32" s="39">
        <v>29.0</v>
      </c>
      <c r="B32" s="40" t="s">
        <v>173</v>
      </c>
      <c r="C32" s="40" t="s">
        <v>174</v>
      </c>
      <c r="D32" s="40" t="s">
        <v>175</v>
      </c>
      <c r="E32" s="40" t="s">
        <v>176</v>
      </c>
      <c r="F32" s="39" t="str">
        <f t="shared" si="1"/>
        <v>CORRECT</v>
      </c>
      <c r="G32" s="39" t="s">
        <v>42</v>
      </c>
      <c r="H32" s="41" t="s">
        <v>42</v>
      </c>
      <c r="I32" s="53" t="s">
        <v>339</v>
      </c>
      <c r="J32" s="41">
        <v>26755.0</v>
      </c>
    </row>
    <row r="33" ht="60.0" customHeight="1">
      <c r="A33" s="39">
        <v>30.0</v>
      </c>
      <c r="B33" s="40" t="s">
        <v>178</v>
      </c>
      <c r="C33" s="40" t="s">
        <v>179</v>
      </c>
      <c r="D33" s="40" t="s">
        <v>180</v>
      </c>
      <c r="E33" s="40" t="s">
        <v>181</v>
      </c>
      <c r="F33" s="39" t="str">
        <f t="shared" si="1"/>
        <v>WRONG</v>
      </c>
      <c r="G33" s="39" t="s">
        <v>48</v>
      </c>
      <c r="H33" s="41" t="s">
        <v>36</v>
      </c>
      <c r="I33" s="53" t="s">
        <v>182</v>
      </c>
      <c r="J33" s="41">
        <v>34717.0</v>
      </c>
    </row>
    <row r="34" ht="60.0" customHeight="1">
      <c r="A34" s="39">
        <v>31.0</v>
      </c>
      <c r="B34" s="40" t="s">
        <v>183</v>
      </c>
      <c r="C34" s="40" t="s">
        <v>184</v>
      </c>
      <c r="D34" s="40" t="s">
        <v>185</v>
      </c>
      <c r="E34" s="40" t="s">
        <v>186</v>
      </c>
      <c r="F34" s="39" t="str">
        <f t="shared" si="1"/>
        <v>WRONG</v>
      </c>
      <c r="G34" s="39" t="s">
        <v>42</v>
      </c>
      <c r="H34" s="41" t="s">
        <v>36</v>
      </c>
      <c r="I34" s="53" t="s">
        <v>340</v>
      </c>
      <c r="J34" s="41">
        <v>37087.0</v>
      </c>
    </row>
    <row r="35" ht="60.0" customHeight="1">
      <c r="A35" s="39">
        <v>32.0</v>
      </c>
      <c r="B35" s="40" t="s">
        <v>188</v>
      </c>
      <c r="C35" s="40" t="s">
        <v>189</v>
      </c>
      <c r="D35" s="40" t="s">
        <v>190</v>
      </c>
      <c r="E35" s="40" t="s">
        <v>191</v>
      </c>
      <c r="F35" s="39" t="str">
        <f t="shared" si="1"/>
        <v>CORRECT</v>
      </c>
      <c r="G35" s="39" t="s">
        <v>36</v>
      </c>
      <c r="H35" s="41" t="s">
        <v>36</v>
      </c>
      <c r="I35" s="53" t="s">
        <v>341</v>
      </c>
      <c r="J35" s="41">
        <v>53505.0</v>
      </c>
    </row>
    <row r="36" ht="60.0" customHeight="1">
      <c r="A36" s="39">
        <v>33.0</v>
      </c>
      <c r="B36" s="40" t="s">
        <v>193</v>
      </c>
      <c r="C36" s="40" t="s">
        <v>194</v>
      </c>
      <c r="D36" s="40" t="s">
        <v>195</v>
      </c>
      <c r="E36" s="40" t="s">
        <v>196</v>
      </c>
      <c r="F36" s="39" t="str">
        <f t="shared" si="1"/>
        <v>CORRECT</v>
      </c>
      <c r="G36" s="39" t="s">
        <v>48</v>
      </c>
      <c r="H36" s="43" t="s">
        <v>48</v>
      </c>
      <c r="I36" s="53" t="s">
        <v>342</v>
      </c>
      <c r="J36" s="41">
        <v>36425.0</v>
      </c>
    </row>
    <row r="37" ht="60.0" customHeight="1">
      <c r="A37" s="39">
        <v>34.0</v>
      </c>
      <c r="B37" s="40" t="s">
        <v>198</v>
      </c>
      <c r="C37" s="40" t="s">
        <v>199</v>
      </c>
      <c r="D37" s="40" t="s">
        <v>200</v>
      </c>
      <c r="E37" s="40" t="s">
        <v>201</v>
      </c>
      <c r="F37" s="39" t="str">
        <f t="shared" si="1"/>
        <v>CORRECT</v>
      </c>
      <c r="G37" s="39" t="s">
        <v>36</v>
      </c>
      <c r="H37" s="41" t="s">
        <v>36</v>
      </c>
      <c r="I37" s="53" t="s">
        <v>343</v>
      </c>
      <c r="J37" s="41">
        <v>26771.0</v>
      </c>
    </row>
    <row r="38" ht="60.0" customHeight="1">
      <c r="A38" s="39">
        <v>35.0</v>
      </c>
      <c r="B38" s="40" t="s">
        <v>203</v>
      </c>
      <c r="C38" s="40" t="s">
        <v>204</v>
      </c>
      <c r="D38" s="40" t="s">
        <v>205</v>
      </c>
      <c r="E38" s="40" t="s">
        <v>206</v>
      </c>
      <c r="F38" s="39" t="str">
        <f t="shared" si="1"/>
        <v>WRONG</v>
      </c>
      <c r="G38" s="39" t="s">
        <v>48</v>
      </c>
      <c r="H38" s="43" t="s">
        <v>36</v>
      </c>
      <c r="I38" s="53" t="s">
        <v>344</v>
      </c>
      <c r="J38" s="41">
        <v>37135.0</v>
      </c>
    </row>
    <row r="39" ht="60.0" customHeight="1">
      <c r="A39" s="39">
        <v>36.0</v>
      </c>
      <c r="B39" s="40" t="s">
        <v>208</v>
      </c>
      <c r="C39" s="40" t="s">
        <v>209</v>
      </c>
      <c r="D39" s="40" t="s">
        <v>210</v>
      </c>
      <c r="E39" s="40" t="s">
        <v>211</v>
      </c>
      <c r="F39" s="39" t="str">
        <f t="shared" si="1"/>
        <v>CORRECT</v>
      </c>
      <c r="G39" s="39" t="s">
        <v>36</v>
      </c>
      <c r="H39" s="41" t="s">
        <v>36</v>
      </c>
      <c r="I39" s="53" t="s">
        <v>212</v>
      </c>
      <c r="J39" s="41">
        <v>37806.0</v>
      </c>
    </row>
    <row r="40" ht="60.0" customHeight="1">
      <c r="A40" s="39">
        <v>37.0</v>
      </c>
      <c r="B40" s="40" t="s">
        <v>213</v>
      </c>
      <c r="C40" s="40" t="s">
        <v>214</v>
      </c>
      <c r="D40" s="40" t="s">
        <v>215</v>
      </c>
      <c r="E40" s="40" t="s">
        <v>216</v>
      </c>
      <c r="F40" s="39" t="str">
        <f t="shared" si="1"/>
        <v>CORRECT</v>
      </c>
      <c r="G40" s="39" t="s">
        <v>36</v>
      </c>
      <c r="H40" s="41" t="s">
        <v>36</v>
      </c>
      <c r="I40" s="53" t="s">
        <v>345</v>
      </c>
      <c r="J40" s="41">
        <v>37857.0</v>
      </c>
    </row>
    <row r="41" ht="60.0" customHeight="1">
      <c r="A41" s="39">
        <v>38.0</v>
      </c>
      <c r="B41" s="40" t="s">
        <v>218</v>
      </c>
      <c r="C41" s="40" t="s">
        <v>219</v>
      </c>
      <c r="D41" s="40" t="s">
        <v>220</v>
      </c>
      <c r="E41" s="40" t="s">
        <v>221</v>
      </c>
      <c r="F41" s="39" t="str">
        <f t="shared" si="1"/>
        <v>CORRECT</v>
      </c>
      <c r="G41" s="39" t="s">
        <v>36</v>
      </c>
      <c r="H41" s="43" t="s">
        <v>36</v>
      </c>
      <c r="I41" s="53" t="s">
        <v>346</v>
      </c>
      <c r="J41" s="41">
        <v>36339.0</v>
      </c>
    </row>
    <row r="42" ht="60.0" customHeight="1">
      <c r="A42" s="39">
        <v>39.0</v>
      </c>
      <c r="B42" s="40" t="s">
        <v>223</v>
      </c>
      <c r="C42" s="40" t="s">
        <v>224</v>
      </c>
      <c r="D42" s="40" t="s">
        <v>225</v>
      </c>
      <c r="E42" s="40" t="s">
        <v>226</v>
      </c>
      <c r="F42" s="39" t="str">
        <f t="shared" si="1"/>
        <v>WRONG</v>
      </c>
      <c r="G42" s="39" t="s">
        <v>42</v>
      </c>
      <c r="H42" s="41" t="s">
        <v>48</v>
      </c>
      <c r="I42" s="53" t="s">
        <v>227</v>
      </c>
      <c r="J42" s="41">
        <v>27584.0</v>
      </c>
    </row>
    <row r="43" ht="60.0" customHeight="1">
      <c r="A43" s="39">
        <v>40.0</v>
      </c>
      <c r="B43" s="40" t="s">
        <v>228</v>
      </c>
      <c r="C43" s="40" t="s">
        <v>229</v>
      </c>
      <c r="D43" s="40" t="s">
        <v>230</v>
      </c>
      <c r="E43" s="40" t="s">
        <v>231</v>
      </c>
      <c r="F43" s="39" t="str">
        <f t="shared" si="1"/>
        <v>CORRECT</v>
      </c>
      <c r="G43" s="39" t="s">
        <v>48</v>
      </c>
      <c r="H43" s="43" t="s">
        <v>48</v>
      </c>
      <c r="I43" s="53" t="s">
        <v>347</v>
      </c>
      <c r="J43" s="41">
        <v>37073.0</v>
      </c>
    </row>
    <row r="44" ht="60.0" customHeight="1">
      <c r="A44" s="39">
        <v>41.0</v>
      </c>
      <c r="B44" s="40" t="s">
        <v>233</v>
      </c>
      <c r="C44" s="40" t="s">
        <v>234</v>
      </c>
      <c r="D44" s="40" t="s">
        <v>235</v>
      </c>
      <c r="E44" s="40" t="s">
        <v>236</v>
      </c>
      <c r="F44" s="39" t="str">
        <f t="shared" si="1"/>
        <v>CORRECT</v>
      </c>
      <c r="G44" s="39" t="s">
        <v>42</v>
      </c>
      <c r="H44" s="41" t="s">
        <v>42</v>
      </c>
      <c r="I44" s="53" t="s">
        <v>348</v>
      </c>
      <c r="J44" s="41">
        <v>21918.0</v>
      </c>
    </row>
    <row r="45" ht="60.0" customHeight="1">
      <c r="A45" s="39">
        <v>42.0</v>
      </c>
      <c r="B45" s="40" t="s">
        <v>238</v>
      </c>
      <c r="C45" s="40" t="s">
        <v>239</v>
      </c>
      <c r="D45" s="40" t="s">
        <v>240</v>
      </c>
      <c r="E45" s="40" t="s">
        <v>241</v>
      </c>
      <c r="F45" s="39" t="str">
        <f t="shared" si="1"/>
        <v>WRONG</v>
      </c>
      <c r="G45" s="39" t="s">
        <v>36</v>
      </c>
      <c r="H45" s="43" t="s">
        <v>42</v>
      </c>
      <c r="I45" s="53" t="s">
        <v>349</v>
      </c>
      <c r="J45" s="41">
        <v>36016.0</v>
      </c>
    </row>
    <row r="46" ht="60.0" customHeight="1">
      <c r="A46" s="39">
        <v>43.0</v>
      </c>
      <c r="B46" s="40" t="s">
        <v>243</v>
      </c>
      <c r="C46" s="40" t="s">
        <v>244</v>
      </c>
      <c r="D46" s="40" t="s">
        <v>245</v>
      </c>
      <c r="E46" s="40" t="s">
        <v>246</v>
      </c>
      <c r="F46" s="39" t="str">
        <f t="shared" si="1"/>
        <v>CORRECT</v>
      </c>
      <c r="G46" s="39" t="s">
        <v>48</v>
      </c>
      <c r="H46" s="43" t="s">
        <v>48</v>
      </c>
      <c r="I46" s="53" t="s">
        <v>350</v>
      </c>
      <c r="J46" s="41">
        <v>25705.0</v>
      </c>
    </row>
    <row r="47" ht="60.0" customHeight="1">
      <c r="A47" s="39">
        <v>44.0</v>
      </c>
      <c r="B47" s="40" t="s">
        <v>248</v>
      </c>
      <c r="C47" s="40" t="s">
        <v>249</v>
      </c>
      <c r="D47" s="40" t="s">
        <v>250</v>
      </c>
      <c r="E47" s="40" t="s">
        <v>251</v>
      </c>
      <c r="F47" s="39" t="str">
        <f t="shared" si="1"/>
        <v>WRONG</v>
      </c>
      <c r="G47" s="39" t="s">
        <v>36</v>
      </c>
      <c r="H47" s="41" t="s">
        <v>48</v>
      </c>
      <c r="I47" s="53" t="s">
        <v>351</v>
      </c>
      <c r="J47" s="41">
        <v>36748.0</v>
      </c>
    </row>
    <row r="48" ht="60.0" customHeight="1">
      <c r="A48" s="39">
        <v>45.0</v>
      </c>
      <c r="B48" s="40" t="s">
        <v>253</v>
      </c>
      <c r="C48" s="40" t="s">
        <v>254</v>
      </c>
      <c r="D48" s="40" t="s">
        <v>255</v>
      </c>
      <c r="E48" s="40" t="s">
        <v>256</v>
      </c>
      <c r="F48" s="39" t="str">
        <f t="shared" si="1"/>
        <v>CORRECT</v>
      </c>
      <c r="G48" s="39" t="s">
        <v>36</v>
      </c>
      <c r="H48" s="41" t="s">
        <v>36</v>
      </c>
      <c r="I48" s="53" t="s">
        <v>352</v>
      </c>
      <c r="J48" s="41">
        <v>53600.0</v>
      </c>
    </row>
    <row r="49" ht="60.0" customHeight="1">
      <c r="A49" s="39">
        <v>46.0</v>
      </c>
      <c r="B49" s="40" t="s">
        <v>258</v>
      </c>
      <c r="C49" s="40" t="s">
        <v>39</v>
      </c>
      <c r="D49" s="40" t="s">
        <v>259</v>
      </c>
      <c r="E49" s="40" t="s">
        <v>260</v>
      </c>
      <c r="F49" s="39" t="str">
        <f t="shared" si="1"/>
        <v>CORRECT</v>
      </c>
      <c r="G49" s="39" t="s">
        <v>36</v>
      </c>
      <c r="H49" s="41" t="s">
        <v>36</v>
      </c>
      <c r="I49" s="53" t="s">
        <v>353</v>
      </c>
      <c r="J49" s="41">
        <v>26887.0</v>
      </c>
    </row>
    <row r="50">
      <c r="A50" s="44" t="s">
        <v>262</v>
      </c>
      <c r="B50" s="2"/>
      <c r="C50" s="2"/>
      <c r="D50" s="2"/>
      <c r="E50" s="3"/>
      <c r="F50" s="45">
        <f>COUNTIFS(F4:F49,"CORRECT")</f>
        <v>30</v>
      </c>
      <c r="G50" s="46"/>
      <c r="H50" s="46"/>
      <c r="J50" s="47">
        <f>AVERAGE(J4:J49)</f>
        <v>35930.21739</v>
      </c>
    </row>
    <row r="51">
      <c r="A51" s="48" t="s">
        <v>263</v>
      </c>
      <c r="B51" s="2"/>
      <c r="C51" s="2"/>
      <c r="D51" s="2"/>
      <c r="E51" s="3"/>
      <c r="F51" s="49">
        <v>46.0</v>
      </c>
      <c r="G51" s="46"/>
      <c r="H51" s="46"/>
    </row>
    <row r="52">
      <c r="A52" s="44" t="s">
        <v>264</v>
      </c>
      <c r="B52" s="2"/>
      <c r="C52" s="2"/>
      <c r="D52" s="2"/>
      <c r="E52" s="3"/>
      <c r="F52" s="50">
        <f>F50/F51</f>
        <v>0.652173913</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354</v>
      </c>
      <c r="C2" s="2"/>
      <c r="D2" s="2"/>
      <c r="E2" s="2"/>
      <c r="F2" s="2"/>
      <c r="G2" s="2"/>
      <c r="H2" s="3"/>
      <c r="I2" s="37" t="s">
        <v>355</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CORRECT</v>
      </c>
      <c r="G4" s="39" t="s">
        <v>36</v>
      </c>
      <c r="H4" s="54" t="s">
        <v>36</v>
      </c>
      <c r="I4" s="53" t="s">
        <v>356</v>
      </c>
      <c r="J4" s="55">
        <v>52306.0</v>
      </c>
    </row>
    <row r="5" ht="60.0" customHeight="1">
      <c r="A5" s="39">
        <v>2.0</v>
      </c>
      <c r="B5" s="40" t="s">
        <v>38</v>
      </c>
      <c r="C5" s="40" t="s">
        <v>39</v>
      </c>
      <c r="D5" s="40" t="s">
        <v>40</v>
      </c>
      <c r="E5" s="40" t="s">
        <v>41</v>
      </c>
      <c r="F5" s="39" t="str">
        <f t="shared" si="1"/>
        <v>WRONG</v>
      </c>
      <c r="G5" s="39" t="s">
        <v>42</v>
      </c>
      <c r="H5" s="55" t="s">
        <v>48</v>
      </c>
      <c r="I5" s="53" t="s">
        <v>357</v>
      </c>
      <c r="J5" s="55">
        <v>66956.0</v>
      </c>
    </row>
    <row r="6" ht="60.0" customHeight="1">
      <c r="A6" s="39">
        <v>3.0</v>
      </c>
      <c r="B6" s="40" t="s">
        <v>44</v>
      </c>
      <c r="C6" s="40" t="s">
        <v>45</v>
      </c>
      <c r="D6" s="40" t="s">
        <v>46</v>
      </c>
      <c r="E6" s="40" t="s">
        <v>47</v>
      </c>
      <c r="F6" s="39" t="str">
        <f t="shared" si="1"/>
        <v>CORRECT</v>
      </c>
      <c r="G6" s="39" t="s">
        <v>48</v>
      </c>
      <c r="H6" s="55" t="s">
        <v>48</v>
      </c>
      <c r="I6" s="53" t="s">
        <v>358</v>
      </c>
      <c r="J6" s="55">
        <v>31778.0</v>
      </c>
    </row>
    <row r="7" ht="60.0" customHeight="1">
      <c r="A7" s="39">
        <v>4.0</v>
      </c>
      <c r="B7" s="40" t="s">
        <v>50</v>
      </c>
      <c r="C7" s="40" t="s">
        <v>51</v>
      </c>
      <c r="D7" s="40" t="s">
        <v>52</v>
      </c>
      <c r="E7" s="40" t="s">
        <v>53</v>
      </c>
      <c r="F7" s="39" t="str">
        <f t="shared" si="1"/>
        <v>CORRECT</v>
      </c>
      <c r="G7" s="39" t="s">
        <v>42</v>
      </c>
      <c r="H7" s="55" t="s">
        <v>42</v>
      </c>
      <c r="I7" s="53" t="s">
        <v>359</v>
      </c>
      <c r="J7" s="55">
        <v>30138.0</v>
      </c>
    </row>
    <row r="8" ht="60.0" customHeight="1">
      <c r="A8" s="39">
        <v>5.0</v>
      </c>
      <c r="B8" s="40" t="s">
        <v>55</v>
      </c>
      <c r="C8" s="40" t="s">
        <v>56</v>
      </c>
      <c r="D8" s="40" t="s">
        <v>57</v>
      </c>
      <c r="E8" s="40" t="s">
        <v>58</v>
      </c>
      <c r="F8" s="39" t="str">
        <f t="shared" si="1"/>
        <v>CORRECT</v>
      </c>
      <c r="G8" s="39" t="s">
        <v>48</v>
      </c>
      <c r="H8" s="54" t="s">
        <v>48</v>
      </c>
      <c r="I8" s="53" t="s">
        <v>360</v>
      </c>
      <c r="J8" s="55">
        <v>80632.0</v>
      </c>
    </row>
    <row r="9" ht="60.0" customHeight="1">
      <c r="A9" s="39">
        <v>6.0</v>
      </c>
      <c r="B9" s="40" t="s">
        <v>60</v>
      </c>
      <c r="C9" s="40" t="s">
        <v>61</v>
      </c>
      <c r="D9" s="40" t="s">
        <v>62</v>
      </c>
      <c r="E9" s="40" t="s">
        <v>63</v>
      </c>
      <c r="F9" s="39" t="str">
        <f t="shared" si="1"/>
        <v>WRONG</v>
      </c>
      <c r="G9" s="39" t="s">
        <v>42</v>
      </c>
      <c r="H9" s="54" t="s">
        <v>48</v>
      </c>
      <c r="I9" s="53" t="s">
        <v>361</v>
      </c>
      <c r="J9" s="55">
        <v>46845.0</v>
      </c>
    </row>
    <row r="10" ht="60.0" customHeight="1">
      <c r="A10" s="39">
        <v>7.0</v>
      </c>
      <c r="B10" s="40" t="s">
        <v>65</v>
      </c>
      <c r="C10" s="40" t="s">
        <v>66</v>
      </c>
      <c r="D10" s="40" t="s">
        <v>67</v>
      </c>
      <c r="E10" s="40" t="s">
        <v>68</v>
      </c>
      <c r="F10" s="39" t="str">
        <f t="shared" si="1"/>
        <v>WRONG</v>
      </c>
      <c r="G10" s="39" t="s">
        <v>42</v>
      </c>
      <c r="H10" s="54" t="s">
        <v>48</v>
      </c>
      <c r="I10" s="53" t="s">
        <v>362</v>
      </c>
      <c r="J10" s="55">
        <v>38697.0</v>
      </c>
    </row>
    <row r="11" ht="60.0" customHeight="1">
      <c r="A11" s="39">
        <v>8.0</v>
      </c>
      <c r="B11" s="40" t="s">
        <v>70</v>
      </c>
      <c r="C11" s="40" t="s">
        <v>71</v>
      </c>
      <c r="D11" s="40" t="s">
        <v>72</v>
      </c>
      <c r="E11" s="40" t="s">
        <v>73</v>
      </c>
      <c r="F11" s="39" t="str">
        <f t="shared" si="1"/>
        <v>CORRECT</v>
      </c>
      <c r="G11" s="39" t="s">
        <v>48</v>
      </c>
      <c r="H11" s="54" t="s">
        <v>48</v>
      </c>
      <c r="I11" s="53" t="s">
        <v>363</v>
      </c>
      <c r="J11" s="55">
        <v>21601.0</v>
      </c>
    </row>
    <row r="12" ht="60.0" customHeight="1">
      <c r="A12" s="39">
        <v>9.0</v>
      </c>
      <c r="B12" s="40" t="s">
        <v>75</v>
      </c>
      <c r="C12" s="40" t="s">
        <v>76</v>
      </c>
      <c r="D12" s="40" t="s">
        <v>77</v>
      </c>
      <c r="E12" s="40" t="s">
        <v>78</v>
      </c>
      <c r="F12" s="39" t="str">
        <f t="shared" si="1"/>
        <v>WRONG</v>
      </c>
      <c r="G12" s="39" t="s">
        <v>42</v>
      </c>
      <c r="H12" s="54" t="s">
        <v>48</v>
      </c>
      <c r="I12" s="53" t="s">
        <v>364</v>
      </c>
      <c r="J12" s="55">
        <v>32926.0</v>
      </c>
    </row>
    <row r="13" ht="60.0" customHeight="1">
      <c r="A13" s="39">
        <v>10.0</v>
      </c>
      <c r="B13" s="40" t="s">
        <v>80</v>
      </c>
      <c r="C13" s="40" t="s">
        <v>81</v>
      </c>
      <c r="D13" s="40" t="s">
        <v>82</v>
      </c>
      <c r="E13" s="40" t="s">
        <v>83</v>
      </c>
      <c r="F13" s="39" t="str">
        <f t="shared" si="1"/>
        <v>WRONG</v>
      </c>
      <c r="G13" s="39" t="s">
        <v>48</v>
      </c>
      <c r="H13" s="54" t="s">
        <v>42</v>
      </c>
      <c r="I13" s="53" t="s">
        <v>365</v>
      </c>
      <c r="J13" s="55">
        <v>32448.0</v>
      </c>
    </row>
    <row r="14" ht="60.0" customHeight="1">
      <c r="A14" s="39">
        <v>11.0</v>
      </c>
      <c r="B14" s="40" t="s">
        <v>85</v>
      </c>
      <c r="C14" s="40" t="s">
        <v>86</v>
      </c>
      <c r="D14" s="40" t="s">
        <v>87</v>
      </c>
      <c r="E14" s="40" t="s">
        <v>88</v>
      </c>
      <c r="F14" s="39" t="str">
        <f t="shared" si="1"/>
        <v>CORRECT</v>
      </c>
      <c r="G14" s="39" t="s">
        <v>42</v>
      </c>
      <c r="H14" s="55" t="s">
        <v>42</v>
      </c>
      <c r="I14" s="53" t="s">
        <v>366</v>
      </c>
      <c r="J14" s="55">
        <v>54408.0</v>
      </c>
    </row>
    <row r="15" ht="60.0" customHeight="1">
      <c r="A15" s="39">
        <v>12.0</v>
      </c>
      <c r="B15" s="40" t="s">
        <v>90</v>
      </c>
      <c r="C15" s="40" t="s">
        <v>91</v>
      </c>
      <c r="D15" s="40" t="s">
        <v>92</v>
      </c>
      <c r="E15" s="40" t="s">
        <v>93</v>
      </c>
      <c r="F15" s="39" t="str">
        <f t="shared" si="1"/>
        <v>CORRECT</v>
      </c>
      <c r="G15" s="39" t="s">
        <v>48</v>
      </c>
      <c r="H15" s="54" t="s">
        <v>48</v>
      </c>
      <c r="I15" s="53" t="s">
        <v>367</v>
      </c>
      <c r="J15" s="55">
        <v>55914.0</v>
      </c>
    </row>
    <row r="16" ht="60.0" customHeight="1">
      <c r="A16" s="39">
        <v>13.0</v>
      </c>
      <c r="B16" s="40" t="s">
        <v>95</v>
      </c>
      <c r="C16" s="40" t="s">
        <v>96</v>
      </c>
      <c r="D16" s="40" t="s">
        <v>97</v>
      </c>
      <c r="E16" s="40" t="s">
        <v>98</v>
      </c>
      <c r="F16" s="39" t="str">
        <f t="shared" si="1"/>
        <v>WRONG</v>
      </c>
      <c r="G16" s="39" t="s">
        <v>36</v>
      </c>
      <c r="H16" s="54" t="s">
        <v>48</v>
      </c>
      <c r="I16" s="53" t="s">
        <v>368</v>
      </c>
      <c r="J16" s="55">
        <v>40284.0</v>
      </c>
    </row>
    <row r="17" ht="60.0" customHeight="1">
      <c r="A17" s="39">
        <v>14.0</v>
      </c>
      <c r="B17" s="40" t="s">
        <v>100</v>
      </c>
      <c r="C17" s="40" t="s">
        <v>101</v>
      </c>
      <c r="D17" s="40" t="s">
        <v>102</v>
      </c>
      <c r="E17" s="40" t="s">
        <v>103</v>
      </c>
      <c r="F17" s="39" t="str">
        <f t="shared" si="1"/>
        <v>WRONG</v>
      </c>
      <c r="G17" s="39" t="s">
        <v>36</v>
      </c>
      <c r="H17" s="55" t="s">
        <v>48</v>
      </c>
      <c r="I17" s="53" t="s">
        <v>369</v>
      </c>
      <c r="J17" s="55">
        <v>36230.0</v>
      </c>
    </row>
    <row r="18" ht="60.0" customHeight="1">
      <c r="A18" s="39">
        <v>15.0</v>
      </c>
      <c r="B18" s="40" t="s">
        <v>105</v>
      </c>
      <c r="C18" s="40" t="s">
        <v>106</v>
      </c>
      <c r="D18" s="40" t="s">
        <v>107</v>
      </c>
      <c r="E18" s="40" t="s">
        <v>108</v>
      </c>
      <c r="F18" s="39" t="str">
        <f t="shared" si="1"/>
        <v>CORRECT</v>
      </c>
      <c r="G18" s="39" t="s">
        <v>48</v>
      </c>
      <c r="H18" s="55" t="s">
        <v>48</v>
      </c>
      <c r="I18" s="53" t="s">
        <v>370</v>
      </c>
      <c r="J18" s="55">
        <v>39319.0</v>
      </c>
    </row>
    <row r="19" ht="60.0" customHeight="1">
      <c r="A19" s="39">
        <v>16.0</v>
      </c>
      <c r="B19" s="40" t="s">
        <v>110</v>
      </c>
      <c r="C19" s="40" t="s">
        <v>111</v>
      </c>
      <c r="D19" s="40" t="s">
        <v>112</v>
      </c>
      <c r="E19" s="40" t="s">
        <v>113</v>
      </c>
      <c r="F19" s="39" t="str">
        <f t="shared" si="1"/>
        <v>CORRECT</v>
      </c>
      <c r="G19" s="39" t="s">
        <v>48</v>
      </c>
      <c r="H19" s="54" t="s">
        <v>48</v>
      </c>
      <c r="I19" s="53" t="s">
        <v>371</v>
      </c>
      <c r="J19" s="55">
        <v>29433.0</v>
      </c>
    </row>
    <row r="20" ht="60.0" customHeight="1">
      <c r="A20" s="39">
        <v>17.0</v>
      </c>
      <c r="B20" s="40" t="s">
        <v>115</v>
      </c>
      <c r="C20" s="40" t="s">
        <v>116</v>
      </c>
      <c r="D20" s="40" t="s">
        <v>117</v>
      </c>
      <c r="E20" s="40" t="s">
        <v>118</v>
      </c>
      <c r="F20" s="39" t="str">
        <f t="shared" si="1"/>
        <v>WRONG</v>
      </c>
      <c r="G20" s="39" t="s">
        <v>42</v>
      </c>
      <c r="H20" s="55" t="s">
        <v>36</v>
      </c>
      <c r="I20" s="53" t="s">
        <v>372</v>
      </c>
      <c r="J20" s="55">
        <v>30084.0</v>
      </c>
    </row>
    <row r="21" ht="60.0" customHeight="1">
      <c r="A21" s="39">
        <v>18.0</v>
      </c>
      <c r="B21" s="40" t="s">
        <v>120</v>
      </c>
      <c r="C21" s="40" t="s">
        <v>121</v>
      </c>
      <c r="D21" s="40" t="s">
        <v>122</v>
      </c>
      <c r="E21" s="40" t="s">
        <v>123</v>
      </c>
      <c r="F21" s="39" t="str">
        <f t="shared" si="1"/>
        <v>WRONG</v>
      </c>
      <c r="G21" s="39" t="s">
        <v>42</v>
      </c>
      <c r="H21" s="54" t="s">
        <v>48</v>
      </c>
      <c r="I21" s="53" t="s">
        <v>373</v>
      </c>
      <c r="J21" s="55">
        <v>22229.0</v>
      </c>
    </row>
    <row r="22" ht="60.0" customHeight="1">
      <c r="A22" s="39">
        <v>19.0</v>
      </c>
      <c r="B22" s="40" t="s">
        <v>125</v>
      </c>
      <c r="C22" s="40" t="s">
        <v>126</v>
      </c>
      <c r="D22" s="40" t="s">
        <v>127</v>
      </c>
      <c r="E22" s="40" t="s">
        <v>128</v>
      </c>
      <c r="F22" s="39" t="str">
        <f t="shared" si="1"/>
        <v>WRONG</v>
      </c>
      <c r="G22" s="39" t="s">
        <v>36</v>
      </c>
      <c r="H22" s="54" t="s">
        <v>48</v>
      </c>
      <c r="I22" s="53" t="s">
        <v>374</v>
      </c>
      <c r="J22" s="55">
        <v>52678.0</v>
      </c>
    </row>
    <row r="23" ht="60.0" customHeight="1">
      <c r="A23" s="39">
        <v>20.0</v>
      </c>
      <c r="B23" s="40" t="s">
        <v>130</v>
      </c>
      <c r="C23" s="40" t="s">
        <v>131</v>
      </c>
      <c r="D23" s="40" t="s">
        <v>132</v>
      </c>
      <c r="E23" s="40" t="s">
        <v>133</v>
      </c>
      <c r="F23" s="39" t="str">
        <f t="shared" si="1"/>
        <v>WRONG</v>
      </c>
      <c r="G23" s="39" t="s">
        <v>42</v>
      </c>
      <c r="H23" s="54" t="s">
        <v>48</v>
      </c>
      <c r="I23" s="53" t="s">
        <v>375</v>
      </c>
      <c r="J23" s="55">
        <v>19343.0</v>
      </c>
    </row>
    <row r="24" ht="60.0" customHeight="1">
      <c r="A24" s="39">
        <v>21.0</v>
      </c>
      <c r="B24" s="40" t="s">
        <v>135</v>
      </c>
      <c r="C24" s="40" t="s">
        <v>136</v>
      </c>
      <c r="D24" s="40" t="s">
        <v>137</v>
      </c>
      <c r="E24" s="40" t="s">
        <v>138</v>
      </c>
      <c r="F24" s="39" t="str">
        <f t="shared" si="1"/>
        <v>WRONG</v>
      </c>
      <c r="G24" s="39" t="s">
        <v>42</v>
      </c>
      <c r="H24" s="55" t="s">
        <v>36</v>
      </c>
      <c r="I24" s="53" t="s">
        <v>376</v>
      </c>
      <c r="J24" s="55">
        <v>39970.0</v>
      </c>
    </row>
    <row r="25" ht="60.0" customHeight="1">
      <c r="A25" s="39">
        <v>22.0</v>
      </c>
      <c r="B25" s="40" t="s">
        <v>140</v>
      </c>
      <c r="C25" s="40" t="s">
        <v>141</v>
      </c>
      <c r="D25" s="40" t="s">
        <v>142</v>
      </c>
      <c r="E25" s="40" t="s">
        <v>143</v>
      </c>
      <c r="F25" s="39" t="str">
        <f t="shared" si="1"/>
        <v>CORRECT</v>
      </c>
      <c r="G25" s="39" t="s">
        <v>42</v>
      </c>
      <c r="H25" s="55" t="s">
        <v>42</v>
      </c>
      <c r="I25" s="53" t="s">
        <v>377</v>
      </c>
      <c r="J25" s="55">
        <v>24557.0</v>
      </c>
    </row>
    <row r="26" ht="60.0" customHeight="1">
      <c r="A26" s="39">
        <v>23.0</v>
      </c>
      <c r="B26" s="40" t="s">
        <v>145</v>
      </c>
      <c r="C26" s="40" t="s">
        <v>146</v>
      </c>
      <c r="D26" s="40" t="s">
        <v>147</v>
      </c>
      <c r="E26" s="40" t="s">
        <v>148</v>
      </c>
      <c r="F26" s="39" t="str">
        <f t="shared" si="1"/>
        <v>CORRECT</v>
      </c>
      <c r="G26" s="39" t="s">
        <v>48</v>
      </c>
      <c r="H26" s="54" t="s">
        <v>48</v>
      </c>
      <c r="I26" s="53" t="s">
        <v>378</v>
      </c>
      <c r="J26" s="55">
        <v>25176.0</v>
      </c>
    </row>
    <row r="27" ht="60.0" customHeight="1">
      <c r="A27" s="39">
        <v>24.0</v>
      </c>
      <c r="B27" s="40" t="s">
        <v>150</v>
      </c>
      <c r="C27" s="40" t="s">
        <v>151</v>
      </c>
      <c r="D27" s="40" t="s">
        <v>152</v>
      </c>
      <c r="E27" s="40" t="s">
        <v>153</v>
      </c>
      <c r="F27" s="39" t="str">
        <f t="shared" si="1"/>
        <v>CORRECT</v>
      </c>
      <c r="G27" s="39" t="s">
        <v>36</v>
      </c>
      <c r="H27" s="54" t="s">
        <v>36</v>
      </c>
      <c r="I27" s="53" t="s">
        <v>379</v>
      </c>
      <c r="J27" s="55">
        <v>38456.0</v>
      </c>
    </row>
    <row r="28" ht="60.0" customHeight="1">
      <c r="A28" s="39">
        <v>25.0</v>
      </c>
      <c r="B28" s="40" t="s">
        <v>155</v>
      </c>
      <c r="C28" s="40" t="s">
        <v>151</v>
      </c>
      <c r="D28" s="40" t="s">
        <v>156</v>
      </c>
      <c r="E28" s="40" t="s">
        <v>153</v>
      </c>
      <c r="F28" s="39" t="str">
        <f t="shared" si="1"/>
        <v>CORRECT</v>
      </c>
      <c r="G28" s="39" t="s">
        <v>48</v>
      </c>
      <c r="H28" s="54" t="s">
        <v>48</v>
      </c>
      <c r="I28" s="53" t="s">
        <v>380</v>
      </c>
      <c r="J28" s="55">
        <v>19006.0</v>
      </c>
    </row>
    <row r="29" ht="60.0" customHeight="1">
      <c r="A29" s="39">
        <v>26.0</v>
      </c>
      <c r="B29" s="40" t="s">
        <v>158</v>
      </c>
      <c r="C29" s="40" t="s">
        <v>159</v>
      </c>
      <c r="D29" s="40" t="s">
        <v>160</v>
      </c>
      <c r="E29" s="40" t="s">
        <v>161</v>
      </c>
      <c r="F29" s="39" t="str">
        <f t="shared" si="1"/>
        <v>WRONG</v>
      </c>
      <c r="G29" s="39" t="s">
        <v>36</v>
      </c>
      <c r="H29" s="54" t="s">
        <v>42</v>
      </c>
      <c r="I29" s="53" t="s">
        <v>381</v>
      </c>
      <c r="J29" s="55">
        <v>23506.0</v>
      </c>
    </row>
    <row r="30" ht="60.0" customHeight="1">
      <c r="A30" s="39">
        <v>27.0</v>
      </c>
      <c r="B30" s="40" t="s">
        <v>163</v>
      </c>
      <c r="C30" s="40" t="s">
        <v>164</v>
      </c>
      <c r="D30" s="40" t="s">
        <v>165</v>
      </c>
      <c r="E30" s="40" t="s">
        <v>166</v>
      </c>
      <c r="F30" s="39" t="str">
        <f t="shared" si="1"/>
        <v>CORRECT</v>
      </c>
      <c r="G30" s="39" t="s">
        <v>42</v>
      </c>
      <c r="H30" s="54" t="s">
        <v>42</v>
      </c>
      <c r="I30" s="53" t="s">
        <v>382</v>
      </c>
      <c r="J30" s="55">
        <v>37501.0</v>
      </c>
    </row>
    <row r="31" ht="60.0" customHeight="1">
      <c r="A31" s="39">
        <v>28.0</v>
      </c>
      <c r="B31" s="40" t="s">
        <v>168</v>
      </c>
      <c r="C31" s="40" t="s">
        <v>169</v>
      </c>
      <c r="D31" s="40" t="s">
        <v>170</v>
      </c>
      <c r="E31" s="40" t="s">
        <v>171</v>
      </c>
      <c r="F31" s="39" t="str">
        <f t="shared" si="1"/>
        <v>WRONG</v>
      </c>
      <c r="G31" s="39" t="s">
        <v>36</v>
      </c>
      <c r="H31" s="55" t="s">
        <v>42</v>
      </c>
      <c r="I31" s="53" t="s">
        <v>383</v>
      </c>
      <c r="J31" s="55">
        <v>30952.0</v>
      </c>
    </row>
    <row r="32" ht="60.0" customHeight="1">
      <c r="A32" s="39">
        <v>29.0</v>
      </c>
      <c r="B32" s="40" t="s">
        <v>173</v>
      </c>
      <c r="C32" s="40" t="s">
        <v>174</v>
      </c>
      <c r="D32" s="40" t="s">
        <v>175</v>
      </c>
      <c r="E32" s="40" t="s">
        <v>176</v>
      </c>
      <c r="F32" s="39" t="str">
        <f t="shared" si="1"/>
        <v>CORRECT</v>
      </c>
      <c r="G32" s="39" t="s">
        <v>42</v>
      </c>
      <c r="H32" s="55" t="s">
        <v>42</v>
      </c>
      <c r="I32" s="53" t="s">
        <v>384</v>
      </c>
      <c r="J32" s="55">
        <v>35264.0</v>
      </c>
    </row>
    <row r="33" ht="60.0" customHeight="1">
      <c r="A33" s="39">
        <v>30.0</v>
      </c>
      <c r="B33" s="40" t="s">
        <v>178</v>
      </c>
      <c r="C33" s="40" t="s">
        <v>179</v>
      </c>
      <c r="D33" s="40" t="s">
        <v>180</v>
      </c>
      <c r="E33" s="40" t="s">
        <v>181</v>
      </c>
      <c r="F33" s="39" t="str">
        <f t="shared" si="1"/>
        <v>WRONG</v>
      </c>
      <c r="G33" s="39" t="s">
        <v>48</v>
      </c>
      <c r="H33" s="55" t="s">
        <v>36</v>
      </c>
      <c r="I33" s="53" t="s">
        <v>385</v>
      </c>
      <c r="J33" s="55">
        <v>33558.0</v>
      </c>
    </row>
    <row r="34" ht="60.0" customHeight="1">
      <c r="A34" s="39">
        <v>31.0</v>
      </c>
      <c r="B34" s="40" t="s">
        <v>183</v>
      </c>
      <c r="C34" s="40" t="s">
        <v>184</v>
      </c>
      <c r="D34" s="40" t="s">
        <v>185</v>
      </c>
      <c r="E34" s="40" t="s">
        <v>186</v>
      </c>
      <c r="F34" s="39" t="str">
        <f t="shared" si="1"/>
        <v>WRONG</v>
      </c>
      <c r="G34" s="39" t="s">
        <v>42</v>
      </c>
      <c r="H34" s="55" t="s">
        <v>36</v>
      </c>
      <c r="I34" s="53" t="s">
        <v>386</v>
      </c>
      <c r="J34" s="55">
        <v>47926.0</v>
      </c>
    </row>
    <row r="35" ht="60.0" customHeight="1">
      <c r="A35" s="39">
        <v>32.0</v>
      </c>
      <c r="B35" s="40" t="s">
        <v>188</v>
      </c>
      <c r="C35" s="40" t="s">
        <v>189</v>
      </c>
      <c r="D35" s="40" t="s">
        <v>190</v>
      </c>
      <c r="E35" s="40" t="s">
        <v>191</v>
      </c>
      <c r="F35" s="39" t="str">
        <f t="shared" si="1"/>
        <v>WRONG</v>
      </c>
      <c r="G35" s="39" t="s">
        <v>36</v>
      </c>
      <c r="H35" s="55" t="s">
        <v>48</v>
      </c>
      <c r="I35" s="53" t="s">
        <v>387</v>
      </c>
      <c r="J35" s="55">
        <v>37466.0</v>
      </c>
    </row>
    <row r="36" ht="60.0" customHeight="1">
      <c r="A36" s="39">
        <v>33.0</v>
      </c>
      <c r="B36" s="40" t="s">
        <v>193</v>
      </c>
      <c r="C36" s="40" t="s">
        <v>194</v>
      </c>
      <c r="D36" s="40" t="s">
        <v>195</v>
      </c>
      <c r="E36" s="40" t="s">
        <v>196</v>
      </c>
      <c r="F36" s="39" t="str">
        <f t="shared" si="1"/>
        <v>WRONG</v>
      </c>
      <c r="G36" s="39" t="s">
        <v>48</v>
      </c>
      <c r="H36" s="54" t="s">
        <v>42</v>
      </c>
      <c r="I36" s="53" t="s">
        <v>388</v>
      </c>
      <c r="J36" s="55">
        <v>38554.0</v>
      </c>
    </row>
    <row r="37" ht="60.0" customHeight="1">
      <c r="A37" s="39">
        <v>34.0</v>
      </c>
      <c r="B37" s="40" t="s">
        <v>198</v>
      </c>
      <c r="C37" s="40" t="s">
        <v>199</v>
      </c>
      <c r="D37" s="40" t="s">
        <v>200</v>
      </c>
      <c r="E37" s="40" t="s">
        <v>201</v>
      </c>
      <c r="F37" s="39" t="str">
        <f t="shared" si="1"/>
        <v>CORRECT</v>
      </c>
      <c r="G37" s="39" t="s">
        <v>36</v>
      </c>
      <c r="H37" s="55" t="s">
        <v>36</v>
      </c>
      <c r="I37" s="53" t="s">
        <v>389</v>
      </c>
      <c r="J37" s="55">
        <v>33704.0</v>
      </c>
    </row>
    <row r="38" ht="60.0" customHeight="1">
      <c r="A38" s="39">
        <v>35.0</v>
      </c>
      <c r="B38" s="40" t="s">
        <v>203</v>
      </c>
      <c r="C38" s="40" t="s">
        <v>204</v>
      </c>
      <c r="D38" s="40" t="s">
        <v>205</v>
      </c>
      <c r="E38" s="40" t="s">
        <v>206</v>
      </c>
      <c r="F38" s="39" t="str">
        <f t="shared" si="1"/>
        <v>CORRECT</v>
      </c>
      <c r="G38" s="39" t="s">
        <v>48</v>
      </c>
      <c r="H38" s="54" t="s">
        <v>48</v>
      </c>
      <c r="I38" s="53" t="s">
        <v>390</v>
      </c>
      <c r="J38" s="55">
        <v>25528.0</v>
      </c>
    </row>
    <row r="39" ht="60.0" customHeight="1">
      <c r="A39" s="39">
        <v>36.0</v>
      </c>
      <c r="B39" s="40" t="s">
        <v>208</v>
      </c>
      <c r="C39" s="40" t="s">
        <v>209</v>
      </c>
      <c r="D39" s="40" t="s">
        <v>210</v>
      </c>
      <c r="E39" s="40" t="s">
        <v>211</v>
      </c>
      <c r="F39" s="39" t="str">
        <f t="shared" si="1"/>
        <v>WRONG</v>
      </c>
      <c r="G39" s="39" t="s">
        <v>36</v>
      </c>
      <c r="H39" s="54" t="s">
        <v>48</v>
      </c>
      <c r="I39" s="53" t="s">
        <v>391</v>
      </c>
      <c r="J39" s="55">
        <v>51279.0</v>
      </c>
    </row>
    <row r="40" ht="60.0" customHeight="1">
      <c r="A40" s="39">
        <v>37.0</v>
      </c>
      <c r="B40" s="40" t="s">
        <v>213</v>
      </c>
      <c r="C40" s="40" t="s">
        <v>214</v>
      </c>
      <c r="D40" s="40" t="s">
        <v>215</v>
      </c>
      <c r="E40" s="40" t="s">
        <v>216</v>
      </c>
      <c r="F40" s="39" t="str">
        <f t="shared" si="1"/>
        <v>CORRECT</v>
      </c>
      <c r="G40" s="39" t="s">
        <v>36</v>
      </c>
      <c r="H40" s="55" t="s">
        <v>36</v>
      </c>
      <c r="I40" s="53" t="s">
        <v>392</v>
      </c>
      <c r="J40" s="55">
        <v>28949.0</v>
      </c>
    </row>
    <row r="41" ht="60.0" customHeight="1">
      <c r="A41" s="39">
        <v>38.0</v>
      </c>
      <c r="B41" s="40" t="s">
        <v>218</v>
      </c>
      <c r="C41" s="40" t="s">
        <v>219</v>
      </c>
      <c r="D41" s="40" t="s">
        <v>220</v>
      </c>
      <c r="E41" s="40" t="s">
        <v>221</v>
      </c>
      <c r="F41" s="39" t="str">
        <f t="shared" si="1"/>
        <v>CORRECT</v>
      </c>
      <c r="G41" s="39" t="s">
        <v>36</v>
      </c>
      <c r="H41" s="55" t="s">
        <v>36</v>
      </c>
      <c r="I41" s="53" t="s">
        <v>393</v>
      </c>
      <c r="J41" s="55">
        <v>33828.0</v>
      </c>
    </row>
    <row r="42" ht="60.0" customHeight="1">
      <c r="A42" s="39">
        <v>39.0</v>
      </c>
      <c r="B42" s="40" t="s">
        <v>223</v>
      </c>
      <c r="C42" s="40" t="s">
        <v>224</v>
      </c>
      <c r="D42" s="40" t="s">
        <v>225</v>
      </c>
      <c r="E42" s="40" t="s">
        <v>226</v>
      </c>
      <c r="F42" s="39" t="str">
        <f t="shared" si="1"/>
        <v>WRONG</v>
      </c>
      <c r="G42" s="39" t="s">
        <v>42</v>
      </c>
      <c r="H42" s="55" t="s">
        <v>48</v>
      </c>
      <c r="I42" s="53" t="s">
        <v>394</v>
      </c>
      <c r="J42" s="55">
        <v>29444.0</v>
      </c>
    </row>
    <row r="43" ht="60.0" customHeight="1">
      <c r="A43" s="39">
        <v>40.0</v>
      </c>
      <c r="B43" s="40" t="s">
        <v>228</v>
      </c>
      <c r="C43" s="40" t="s">
        <v>229</v>
      </c>
      <c r="D43" s="40" t="s">
        <v>230</v>
      </c>
      <c r="E43" s="40" t="s">
        <v>231</v>
      </c>
      <c r="F43" s="39" t="str">
        <f t="shared" si="1"/>
        <v>WRONG</v>
      </c>
      <c r="G43" s="39" t="s">
        <v>48</v>
      </c>
      <c r="H43" s="54" t="s">
        <v>42</v>
      </c>
      <c r="I43" s="53" t="s">
        <v>395</v>
      </c>
      <c r="J43" s="55">
        <v>31522.0</v>
      </c>
    </row>
    <row r="44" ht="60.0" customHeight="1">
      <c r="A44" s="39">
        <v>41.0</v>
      </c>
      <c r="B44" s="40" t="s">
        <v>233</v>
      </c>
      <c r="C44" s="40" t="s">
        <v>234</v>
      </c>
      <c r="D44" s="40" t="s">
        <v>235</v>
      </c>
      <c r="E44" s="40" t="s">
        <v>236</v>
      </c>
      <c r="F44" s="39" t="str">
        <f t="shared" si="1"/>
        <v>CORRECT</v>
      </c>
      <c r="G44" s="39" t="s">
        <v>42</v>
      </c>
      <c r="H44" s="55" t="s">
        <v>42</v>
      </c>
      <c r="I44" s="53" t="s">
        <v>396</v>
      </c>
      <c r="J44" s="55">
        <v>46299.0</v>
      </c>
    </row>
    <row r="45" ht="60.0" customHeight="1">
      <c r="A45" s="39">
        <v>42.0</v>
      </c>
      <c r="B45" s="40" t="s">
        <v>238</v>
      </c>
      <c r="C45" s="40" t="s">
        <v>239</v>
      </c>
      <c r="D45" s="40" t="s">
        <v>240</v>
      </c>
      <c r="E45" s="40" t="s">
        <v>241</v>
      </c>
      <c r="F45" s="39" t="str">
        <f t="shared" si="1"/>
        <v>WRONG</v>
      </c>
      <c r="G45" s="39" t="s">
        <v>36</v>
      </c>
      <c r="H45" s="54" t="s">
        <v>42</v>
      </c>
      <c r="I45" s="53" t="s">
        <v>397</v>
      </c>
      <c r="J45" s="55">
        <v>31868.0</v>
      </c>
    </row>
    <row r="46" ht="60.0" customHeight="1">
      <c r="A46" s="39">
        <v>43.0</v>
      </c>
      <c r="B46" s="40" t="s">
        <v>243</v>
      </c>
      <c r="C46" s="40" t="s">
        <v>244</v>
      </c>
      <c r="D46" s="40" t="s">
        <v>245</v>
      </c>
      <c r="E46" s="40" t="s">
        <v>246</v>
      </c>
      <c r="F46" s="39" t="str">
        <f t="shared" si="1"/>
        <v>CORRECT</v>
      </c>
      <c r="G46" s="39" t="s">
        <v>48</v>
      </c>
      <c r="H46" s="54" t="s">
        <v>48</v>
      </c>
      <c r="I46" s="53" t="s">
        <v>398</v>
      </c>
      <c r="J46" s="55">
        <v>35902.0</v>
      </c>
    </row>
    <row r="47" ht="60.0" customHeight="1">
      <c r="A47" s="39">
        <v>44.0</v>
      </c>
      <c r="B47" s="40" t="s">
        <v>248</v>
      </c>
      <c r="C47" s="40" t="s">
        <v>249</v>
      </c>
      <c r="D47" s="40" t="s">
        <v>250</v>
      </c>
      <c r="E47" s="40" t="s">
        <v>251</v>
      </c>
      <c r="F47" s="39" t="str">
        <f t="shared" si="1"/>
        <v>CORRECT</v>
      </c>
      <c r="G47" s="39" t="s">
        <v>36</v>
      </c>
      <c r="H47" s="55" t="s">
        <v>36</v>
      </c>
      <c r="I47" s="53" t="s">
        <v>399</v>
      </c>
      <c r="J47" s="55">
        <v>27946.0</v>
      </c>
    </row>
    <row r="48" ht="60.0" customHeight="1">
      <c r="A48" s="39">
        <v>45.0</v>
      </c>
      <c r="B48" s="40" t="s">
        <v>253</v>
      </c>
      <c r="C48" s="40" t="s">
        <v>254</v>
      </c>
      <c r="D48" s="40" t="s">
        <v>255</v>
      </c>
      <c r="E48" s="40" t="s">
        <v>256</v>
      </c>
      <c r="F48" s="39" t="str">
        <f t="shared" si="1"/>
        <v>CORRECT</v>
      </c>
      <c r="G48" s="39" t="s">
        <v>36</v>
      </c>
      <c r="H48" s="55" t="s">
        <v>36</v>
      </c>
      <c r="I48" s="53" t="s">
        <v>400</v>
      </c>
      <c r="J48" s="55">
        <v>17739.0</v>
      </c>
    </row>
    <row r="49" ht="60.0" customHeight="1">
      <c r="A49" s="39">
        <v>46.0</v>
      </c>
      <c r="B49" s="40" t="s">
        <v>258</v>
      </c>
      <c r="C49" s="40" t="s">
        <v>39</v>
      </c>
      <c r="D49" s="40" t="s">
        <v>259</v>
      </c>
      <c r="E49" s="40" t="s">
        <v>260</v>
      </c>
      <c r="F49" s="39" t="str">
        <f t="shared" si="1"/>
        <v>CORRECT</v>
      </c>
      <c r="G49" s="39" t="s">
        <v>36</v>
      </c>
      <c r="H49" s="55" t="s">
        <v>36</v>
      </c>
      <c r="I49" s="53" t="s">
        <v>401</v>
      </c>
      <c r="J49" s="55">
        <v>31671.0</v>
      </c>
    </row>
    <row r="50">
      <c r="A50" s="44" t="s">
        <v>262</v>
      </c>
      <c r="B50" s="2"/>
      <c r="C50" s="2"/>
      <c r="D50" s="2"/>
      <c r="E50" s="3"/>
      <c r="F50" s="45">
        <f>COUNTIFS(F4:F49,"CORRECT")</f>
        <v>24</v>
      </c>
      <c r="G50" s="46"/>
      <c r="H50" s="46"/>
      <c r="J50" s="47">
        <f>AVERAGE(J4:J49)</f>
        <v>36343.91304</v>
      </c>
    </row>
    <row r="51">
      <c r="A51" s="48" t="s">
        <v>263</v>
      </c>
      <c r="B51" s="2"/>
      <c r="C51" s="2"/>
      <c r="D51" s="2"/>
      <c r="E51" s="3"/>
      <c r="F51" s="49">
        <v>46.0</v>
      </c>
      <c r="G51" s="46"/>
      <c r="H51" s="46"/>
    </row>
    <row r="52">
      <c r="A52" s="44" t="s">
        <v>264</v>
      </c>
      <c r="B52" s="2"/>
      <c r="C52" s="2"/>
      <c r="D52" s="2"/>
      <c r="E52" s="3"/>
      <c r="F52" s="50">
        <f>F50/F51</f>
        <v>0.5217391304</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402</v>
      </c>
      <c r="C2" s="2"/>
      <c r="D2" s="2"/>
      <c r="E2" s="2"/>
      <c r="F2" s="2"/>
      <c r="G2" s="2"/>
      <c r="H2" s="3"/>
      <c r="I2" s="37" t="s">
        <v>403</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CORRECT</v>
      </c>
      <c r="G4" s="39" t="s">
        <v>36</v>
      </c>
      <c r="H4" s="55" t="s">
        <v>36</v>
      </c>
      <c r="I4" s="53" t="s">
        <v>37</v>
      </c>
      <c r="J4" s="55">
        <v>43493.0</v>
      </c>
    </row>
    <row r="5" ht="60.0" customHeight="1">
      <c r="A5" s="39">
        <v>2.0</v>
      </c>
      <c r="B5" s="40" t="s">
        <v>38</v>
      </c>
      <c r="C5" s="40" t="s">
        <v>39</v>
      </c>
      <c r="D5" s="40" t="s">
        <v>40</v>
      </c>
      <c r="E5" s="40" t="s">
        <v>41</v>
      </c>
      <c r="F5" s="39" t="str">
        <f t="shared" si="1"/>
        <v>CORRECT</v>
      </c>
      <c r="G5" s="39" t="s">
        <v>42</v>
      </c>
      <c r="H5" s="54" t="s">
        <v>42</v>
      </c>
      <c r="I5" s="53" t="s">
        <v>43</v>
      </c>
      <c r="J5" s="55">
        <v>45409.0</v>
      </c>
    </row>
    <row r="6" ht="60.0" customHeight="1">
      <c r="A6" s="39">
        <v>3.0</v>
      </c>
      <c r="B6" s="40" t="s">
        <v>44</v>
      </c>
      <c r="C6" s="40" t="s">
        <v>45</v>
      </c>
      <c r="D6" s="40" t="s">
        <v>46</v>
      </c>
      <c r="E6" s="40" t="s">
        <v>47</v>
      </c>
      <c r="F6" s="39" t="str">
        <f t="shared" si="1"/>
        <v>CORRECT</v>
      </c>
      <c r="G6" s="39" t="s">
        <v>48</v>
      </c>
      <c r="H6" s="55" t="s">
        <v>48</v>
      </c>
      <c r="I6" s="53" t="s">
        <v>49</v>
      </c>
      <c r="J6" s="55">
        <v>35394.0</v>
      </c>
    </row>
    <row r="7" ht="60.0" customHeight="1">
      <c r="A7" s="39">
        <v>4.0</v>
      </c>
      <c r="B7" s="40" t="s">
        <v>50</v>
      </c>
      <c r="C7" s="40" t="s">
        <v>51</v>
      </c>
      <c r="D7" s="40" t="s">
        <v>52</v>
      </c>
      <c r="E7" s="40" t="s">
        <v>53</v>
      </c>
      <c r="F7" s="39" t="str">
        <f t="shared" si="1"/>
        <v>CORRECT</v>
      </c>
      <c r="G7" s="39" t="s">
        <v>42</v>
      </c>
      <c r="H7" s="55" t="s">
        <v>42</v>
      </c>
      <c r="I7" s="53" t="s">
        <v>54</v>
      </c>
      <c r="J7" s="55">
        <v>30021.0</v>
      </c>
    </row>
    <row r="8" ht="60.0" customHeight="1">
      <c r="A8" s="39">
        <v>5.0</v>
      </c>
      <c r="B8" s="40" t="s">
        <v>55</v>
      </c>
      <c r="C8" s="40" t="s">
        <v>56</v>
      </c>
      <c r="D8" s="40" t="s">
        <v>57</v>
      </c>
      <c r="E8" s="40" t="s">
        <v>58</v>
      </c>
      <c r="F8" s="39" t="str">
        <f t="shared" si="1"/>
        <v>CORRECT</v>
      </c>
      <c r="G8" s="39" t="s">
        <v>48</v>
      </c>
      <c r="H8" s="54" t="s">
        <v>48</v>
      </c>
      <c r="I8" s="53" t="s">
        <v>307</v>
      </c>
      <c r="J8" s="55">
        <v>45373.0</v>
      </c>
    </row>
    <row r="9" ht="60.0" customHeight="1">
      <c r="A9" s="39">
        <v>6.0</v>
      </c>
      <c r="B9" s="40" t="s">
        <v>60</v>
      </c>
      <c r="C9" s="40" t="s">
        <v>61</v>
      </c>
      <c r="D9" s="40" t="s">
        <v>62</v>
      </c>
      <c r="E9" s="40" t="s">
        <v>63</v>
      </c>
      <c r="F9" s="39" t="str">
        <f t="shared" si="1"/>
        <v>CORRECT</v>
      </c>
      <c r="G9" s="39" t="s">
        <v>42</v>
      </c>
      <c r="H9" s="54" t="s">
        <v>42</v>
      </c>
      <c r="I9" s="53" t="s">
        <v>64</v>
      </c>
      <c r="J9" s="55">
        <v>34241.0</v>
      </c>
    </row>
    <row r="10" ht="60.0" customHeight="1">
      <c r="A10" s="39">
        <v>7.0</v>
      </c>
      <c r="B10" s="40" t="s">
        <v>65</v>
      </c>
      <c r="C10" s="40" t="s">
        <v>66</v>
      </c>
      <c r="D10" s="40" t="s">
        <v>67</v>
      </c>
      <c r="E10" s="40" t="s">
        <v>68</v>
      </c>
      <c r="F10" s="39" t="str">
        <f t="shared" si="1"/>
        <v>WRONG</v>
      </c>
      <c r="G10" s="39" t="s">
        <v>42</v>
      </c>
      <c r="H10" s="55" t="s">
        <v>36</v>
      </c>
      <c r="I10" s="53" t="s">
        <v>308</v>
      </c>
      <c r="J10" s="55">
        <v>34889.0</v>
      </c>
    </row>
    <row r="11" ht="60.0" customHeight="1">
      <c r="A11" s="39">
        <v>8.0</v>
      </c>
      <c r="B11" s="40" t="s">
        <v>70</v>
      </c>
      <c r="C11" s="40" t="s">
        <v>71</v>
      </c>
      <c r="D11" s="40" t="s">
        <v>72</v>
      </c>
      <c r="E11" s="40" t="s">
        <v>73</v>
      </c>
      <c r="F11" s="39" t="str">
        <f t="shared" si="1"/>
        <v>CORRECT</v>
      </c>
      <c r="G11" s="39" t="s">
        <v>48</v>
      </c>
      <c r="H11" s="54" t="s">
        <v>48</v>
      </c>
      <c r="I11" s="53" t="s">
        <v>74</v>
      </c>
      <c r="J11" s="55">
        <v>58335.0</v>
      </c>
    </row>
    <row r="12" ht="60.0" customHeight="1">
      <c r="A12" s="39">
        <v>9.0</v>
      </c>
      <c r="B12" s="40" t="s">
        <v>75</v>
      </c>
      <c r="C12" s="40" t="s">
        <v>76</v>
      </c>
      <c r="D12" s="40" t="s">
        <v>77</v>
      </c>
      <c r="E12" s="40" t="s">
        <v>78</v>
      </c>
      <c r="F12" s="39" t="str">
        <f t="shared" si="1"/>
        <v>WRONG</v>
      </c>
      <c r="G12" s="39" t="s">
        <v>42</v>
      </c>
      <c r="H12" s="54" t="s">
        <v>48</v>
      </c>
      <c r="I12" s="53" t="s">
        <v>269</v>
      </c>
      <c r="J12" s="55">
        <v>42844.0</v>
      </c>
    </row>
    <row r="13" ht="60.0" customHeight="1">
      <c r="A13" s="39">
        <v>10.0</v>
      </c>
      <c r="B13" s="40" t="s">
        <v>80</v>
      </c>
      <c r="C13" s="40" t="s">
        <v>81</v>
      </c>
      <c r="D13" s="40" t="s">
        <v>82</v>
      </c>
      <c r="E13" s="40" t="s">
        <v>83</v>
      </c>
      <c r="F13" s="39" t="str">
        <f t="shared" si="1"/>
        <v>CORRECT</v>
      </c>
      <c r="G13" s="39" t="s">
        <v>48</v>
      </c>
      <c r="H13" s="54" t="s">
        <v>48</v>
      </c>
      <c r="I13" s="53" t="s">
        <v>309</v>
      </c>
      <c r="J13" s="55">
        <v>43767.0</v>
      </c>
    </row>
    <row r="14" ht="60.0" customHeight="1">
      <c r="A14" s="39">
        <v>11.0</v>
      </c>
      <c r="B14" s="40" t="s">
        <v>85</v>
      </c>
      <c r="C14" s="40" t="s">
        <v>86</v>
      </c>
      <c r="D14" s="40" t="s">
        <v>87</v>
      </c>
      <c r="E14" s="40" t="s">
        <v>88</v>
      </c>
      <c r="F14" s="39" t="str">
        <f t="shared" si="1"/>
        <v>CORRECT</v>
      </c>
      <c r="G14" s="39" t="s">
        <v>42</v>
      </c>
      <c r="H14" s="54" t="s">
        <v>42</v>
      </c>
      <c r="I14" s="53" t="s">
        <v>271</v>
      </c>
      <c r="J14" s="55">
        <v>48040.0</v>
      </c>
    </row>
    <row r="15" ht="60.0" customHeight="1">
      <c r="A15" s="39">
        <v>12.0</v>
      </c>
      <c r="B15" s="40" t="s">
        <v>90</v>
      </c>
      <c r="C15" s="40" t="s">
        <v>91</v>
      </c>
      <c r="D15" s="40" t="s">
        <v>92</v>
      </c>
      <c r="E15" s="40" t="s">
        <v>93</v>
      </c>
      <c r="F15" s="39" t="str">
        <f t="shared" si="1"/>
        <v>CORRECT</v>
      </c>
      <c r="G15" s="39" t="s">
        <v>48</v>
      </c>
      <c r="H15" s="54" t="s">
        <v>48</v>
      </c>
      <c r="I15" s="53" t="s">
        <v>272</v>
      </c>
      <c r="J15" s="55">
        <v>44714.0</v>
      </c>
    </row>
    <row r="16" ht="60.0" customHeight="1">
      <c r="A16" s="39">
        <v>13.0</v>
      </c>
      <c r="B16" s="40" t="s">
        <v>95</v>
      </c>
      <c r="C16" s="40" t="s">
        <v>96</v>
      </c>
      <c r="D16" s="40" t="s">
        <v>97</v>
      </c>
      <c r="E16" s="40" t="s">
        <v>98</v>
      </c>
      <c r="F16" s="39" t="str">
        <f t="shared" si="1"/>
        <v>CORRECT</v>
      </c>
      <c r="G16" s="39" t="s">
        <v>36</v>
      </c>
      <c r="H16" s="54" t="s">
        <v>36</v>
      </c>
      <c r="I16" s="53" t="s">
        <v>99</v>
      </c>
      <c r="J16" s="55">
        <v>28159.0</v>
      </c>
    </row>
    <row r="17" ht="60.0" customHeight="1">
      <c r="A17" s="39">
        <v>14.0</v>
      </c>
      <c r="B17" s="40" t="s">
        <v>100</v>
      </c>
      <c r="C17" s="40" t="s">
        <v>101</v>
      </c>
      <c r="D17" s="40" t="s">
        <v>102</v>
      </c>
      <c r="E17" s="40" t="s">
        <v>103</v>
      </c>
      <c r="F17" s="39" t="str">
        <f t="shared" si="1"/>
        <v>WRONG</v>
      </c>
      <c r="G17" s="39" t="s">
        <v>36</v>
      </c>
      <c r="H17" s="55" t="s">
        <v>48</v>
      </c>
      <c r="I17" s="53" t="s">
        <v>310</v>
      </c>
      <c r="J17" s="55">
        <v>35405.0</v>
      </c>
    </row>
    <row r="18" ht="60.0" customHeight="1">
      <c r="A18" s="39">
        <v>15.0</v>
      </c>
      <c r="B18" s="40" t="s">
        <v>105</v>
      </c>
      <c r="C18" s="40" t="s">
        <v>106</v>
      </c>
      <c r="D18" s="40" t="s">
        <v>107</v>
      </c>
      <c r="E18" s="40" t="s">
        <v>108</v>
      </c>
      <c r="F18" s="39" t="str">
        <f t="shared" si="1"/>
        <v>CORRECT</v>
      </c>
      <c r="G18" s="39" t="s">
        <v>48</v>
      </c>
      <c r="H18" s="55" t="s">
        <v>48</v>
      </c>
      <c r="I18" s="53" t="s">
        <v>109</v>
      </c>
      <c r="J18" s="55">
        <v>41504.0</v>
      </c>
    </row>
    <row r="19" ht="60.0" customHeight="1">
      <c r="A19" s="39">
        <v>16.0</v>
      </c>
      <c r="B19" s="40" t="s">
        <v>110</v>
      </c>
      <c r="C19" s="40" t="s">
        <v>111</v>
      </c>
      <c r="D19" s="40" t="s">
        <v>112</v>
      </c>
      <c r="E19" s="40" t="s">
        <v>113</v>
      </c>
      <c r="F19" s="39" t="str">
        <f t="shared" si="1"/>
        <v>CORRECT</v>
      </c>
      <c r="G19" s="39" t="s">
        <v>48</v>
      </c>
      <c r="H19" s="54" t="s">
        <v>48</v>
      </c>
      <c r="I19" s="53" t="s">
        <v>114</v>
      </c>
      <c r="J19" s="55">
        <v>36956.0</v>
      </c>
    </row>
    <row r="20" ht="60.0" customHeight="1">
      <c r="A20" s="39">
        <v>17.0</v>
      </c>
      <c r="B20" s="40" t="s">
        <v>115</v>
      </c>
      <c r="C20" s="40" t="s">
        <v>116</v>
      </c>
      <c r="D20" s="40" t="s">
        <v>117</v>
      </c>
      <c r="E20" s="40" t="s">
        <v>118</v>
      </c>
      <c r="F20" s="39" t="str">
        <f t="shared" si="1"/>
        <v>WRONG</v>
      </c>
      <c r="G20" s="39" t="s">
        <v>42</v>
      </c>
      <c r="H20" s="55" t="s">
        <v>36</v>
      </c>
      <c r="I20" s="53" t="s">
        <v>119</v>
      </c>
      <c r="J20" s="55">
        <v>33678.0</v>
      </c>
    </row>
    <row r="21" ht="60.0" customHeight="1">
      <c r="A21" s="39">
        <v>18.0</v>
      </c>
      <c r="B21" s="40" t="s">
        <v>120</v>
      </c>
      <c r="C21" s="40" t="s">
        <v>121</v>
      </c>
      <c r="D21" s="40" t="s">
        <v>122</v>
      </c>
      <c r="E21" s="40" t="s">
        <v>123</v>
      </c>
      <c r="F21" s="39" t="str">
        <f t="shared" si="1"/>
        <v>CORRECT</v>
      </c>
      <c r="G21" s="39" t="s">
        <v>42</v>
      </c>
      <c r="H21" s="55" t="s">
        <v>42</v>
      </c>
      <c r="I21" s="53" t="s">
        <v>124</v>
      </c>
      <c r="J21" s="55">
        <v>35302.0</v>
      </c>
    </row>
    <row r="22" ht="60.0" customHeight="1">
      <c r="A22" s="39">
        <v>19.0</v>
      </c>
      <c r="B22" s="40" t="s">
        <v>125</v>
      </c>
      <c r="C22" s="40" t="s">
        <v>126</v>
      </c>
      <c r="D22" s="40" t="s">
        <v>127</v>
      </c>
      <c r="E22" s="40" t="s">
        <v>128</v>
      </c>
      <c r="F22" s="39" t="str">
        <f t="shared" si="1"/>
        <v>WRONG</v>
      </c>
      <c r="G22" s="39" t="s">
        <v>36</v>
      </c>
      <c r="H22" s="54" t="s">
        <v>48</v>
      </c>
      <c r="I22" s="53" t="s">
        <v>129</v>
      </c>
      <c r="J22" s="55">
        <v>52722.0</v>
      </c>
    </row>
    <row r="23" ht="60.0" customHeight="1">
      <c r="A23" s="39">
        <v>20.0</v>
      </c>
      <c r="B23" s="40" t="s">
        <v>130</v>
      </c>
      <c r="C23" s="40" t="s">
        <v>131</v>
      </c>
      <c r="D23" s="40" t="s">
        <v>132</v>
      </c>
      <c r="E23" s="40" t="s">
        <v>133</v>
      </c>
      <c r="F23" s="39" t="str">
        <f t="shared" si="1"/>
        <v>WRONG</v>
      </c>
      <c r="G23" s="39" t="s">
        <v>42</v>
      </c>
      <c r="H23" s="54" t="s">
        <v>48</v>
      </c>
      <c r="I23" s="53" t="s">
        <v>134</v>
      </c>
      <c r="J23" s="55">
        <v>15193.0</v>
      </c>
    </row>
    <row r="24" ht="60.0" customHeight="1">
      <c r="A24" s="39">
        <v>21.0</v>
      </c>
      <c r="B24" s="40" t="s">
        <v>135</v>
      </c>
      <c r="C24" s="40" t="s">
        <v>136</v>
      </c>
      <c r="D24" s="40" t="s">
        <v>137</v>
      </c>
      <c r="E24" s="40" t="s">
        <v>138</v>
      </c>
      <c r="F24" s="39" t="str">
        <f t="shared" si="1"/>
        <v>WRONG</v>
      </c>
      <c r="G24" s="39" t="s">
        <v>42</v>
      </c>
      <c r="H24" s="55" t="s">
        <v>36</v>
      </c>
      <c r="I24" s="53" t="s">
        <v>139</v>
      </c>
      <c r="J24" s="55">
        <v>24648.0</v>
      </c>
    </row>
    <row r="25" ht="60.0" customHeight="1">
      <c r="A25" s="39">
        <v>22.0</v>
      </c>
      <c r="B25" s="40" t="s">
        <v>140</v>
      </c>
      <c r="C25" s="40" t="s">
        <v>141</v>
      </c>
      <c r="D25" s="40" t="s">
        <v>142</v>
      </c>
      <c r="E25" s="40" t="s">
        <v>143</v>
      </c>
      <c r="F25" s="39" t="str">
        <f t="shared" si="1"/>
        <v>CORRECT</v>
      </c>
      <c r="G25" s="39" t="s">
        <v>42</v>
      </c>
      <c r="H25" s="55" t="s">
        <v>42</v>
      </c>
      <c r="I25" s="53" t="s">
        <v>144</v>
      </c>
      <c r="J25" s="55">
        <v>22873.0</v>
      </c>
    </row>
    <row r="26" ht="60.0" customHeight="1">
      <c r="A26" s="39">
        <v>23.0</v>
      </c>
      <c r="B26" s="40" t="s">
        <v>145</v>
      </c>
      <c r="C26" s="40" t="s">
        <v>146</v>
      </c>
      <c r="D26" s="40" t="s">
        <v>147</v>
      </c>
      <c r="E26" s="40" t="s">
        <v>148</v>
      </c>
      <c r="F26" s="39" t="str">
        <f t="shared" si="1"/>
        <v>WRONG</v>
      </c>
      <c r="G26" s="39" t="s">
        <v>48</v>
      </c>
      <c r="H26" s="55" t="s">
        <v>42</v>
      </c>
      <c r="I26" s="53" t="s">
        <v>149</v>
      </c>
      <c r="J26" s="55">
        <v>32579.0</v>
      </c>
    </row>
    <row r="27" ht="60.0" customHeight="1">
      <c r="A27" s="39">
        <v>24.0</v>
      </c>
      <c r="B27" s="40" t="s">
        <v>150</v>
      </c>
      <c r="C27" s="40" t="s">
        <v>151</v>
      </c>
      <c r="D27" s="40" t="s">
        <v>152</v>
      </c>
      <c r="E27" s="40" t="s">
        <v>153</v>
      </c>
      <c r="F27" s="39" t="str">
        <f t="shared" si="1"/>
        <v>CORRECT</v>
      </c>
      <c r="G27" s="39" t="s">
        <v>36</v>
      </c>
      <c r="H27" s="55" t="s">
        <v>36</v>
      </c>
      <c r="I27" s="53" t="s">
        <v>154</v>
      </c>
      <c r="J27" s="55">
        <v>35482.0</v>
      </c>
    </row>
    <row r="28" ht="60.0" customHeight="1">
      <c r="A28" s="39">
        <v>25.0</v>
      </c>
      <c r="B28" s="40" t="s">
        <v>155</v>
      </c>
      <c r="C28" s="40" t="s">
        <v>151</v>
      </c>
      <c r="D28" s="40" t="s">
        <v>156</v>
      </c>
      <c r="E28" s="40" t="s">
        <v>153</v>
      </c>
      <c r="F28" s="39" t="str">
        <f t="shared" si="1"/>
        <v>WRONG</v>
      </c>
      <c r="G28" s="39" t="s">
        <v>48</v>
      </c>
      <c r="H28" s="54" t="s">
        <v>42</v>
      </c>
      <c r="I28" s="53" t="s">
        <v>157</v>
      </c>
      <c r="J28" s="55">
        <v>29704.0</v>
      </c>
    </row>
    <row r="29" ht="60.0" customHeight="1">
      <c r="A29" s="39">
        <v>26.0</v>
      </c>
      <c r="B29" s="40" t="s">
        <v>158</v>
      </c>
      <c r="C29" s="40" t="s">
        <v>159</v>
      </c>
      <c r="D29" s="40" t="s">
        <v>160</v>
      </c>
      <c r="E29" s="40" t="s">
        <v>161</v>
      </c>
      <c r="F29" s="39" t="str">
        <f t="shared" si="1"/>
        <v>WRONG</v>
      </c>
      <c r="G29" s="39" t="s">
        <v>36</v>
      </c>
      <c r="H29" s="54" t="s">
        <v>48</v>
      </c>
      <c r="I29" s="53" t="s">
        <v>162</v>
      </c>
      <c r="J29" s="55">
        <v>44278.0</v>
      </c>
    </row>
    <row r="30" ht="60.0" customHeight="1">
      <c r="A30" s="39">
        <v>27.0</v>
      </c>
      <c r="B30" s="40" t="s">
        <v>163</v>
      </c>
      <c r="C30" s="40" t="s">
        <v>164</v>
      </c>
      <c r="D30" s="40" t="s">
        <v>165</v>
      </c>
      <c r="E30" s="40" t="s">
        <v>166</v>
      </c>
      <c r="F30" s="39" t="str">
        <f t="shared" si="1"/>
        <v>CORRECT</v>
      </c>
      <c r="G30" s="39" t="s">
        <v>42</v>
      </c>
      <c r="H30" s="54" t="s">
        <v>42</v>
      </c>
      <c r="I30" s="53" t="s">
        <v>404</v>
      </c>
      <c r="J30" s="55">
        <v>39522.0</v>
      </c>
    </row>
    <row r="31" ht="60.0" customHeight="1">
      <c r="A31" s="39">
        <v>28.0</v>
      </c>
      <c r="B31" s="40" t="s">
        <v>168</v>
      </c>
      <c r="C31" s="40" t="s">
        <v>169</v>
      </c>
      <c r="D31" s="40" t="s">
        <v>170</v>
      </c>
      <c r="E31" s="40" t="s">
        <v>171</v>
      </c>
      <c r="F31" s="39" t="str">
        <f t="shared" si="1"/>
        <v>WRONG</v>
      </c>
      <c r="G31" s="39" t="s">
        <v>36</v>
      </c>
      <c r="H31" s="54" t="s">
        <v>48</v>
      </c>
      <c r="I31" s="53" t="s">
        <v>172</v>
      </c>
      <c r="J31" s="55">
        <v>25263.0</v>
      </c>
    </row>
    <row r="32" ht="60.0" customHeight="1">
      <c r="A32" s="39">
        <v>29.0</v>
      </c>
      <c r="B32" s="40" t="s">
        <v>173</v>
      </c>
      <c r="C32" s="40" t="s">
        <v>174</v>
      </c>
      <c r="D32" s="40" t="s">
        <v>175</v>
      </c>
      <c r="E32" s="40" t="s">
        <v>176</v>
      </c>
      <c r="F32" s="39" t="str">
        <f t="shared" si="1"/>
        <v>CORRECT</v>
      </c>
      <c r="G32" s="39" t="s">
        <v>42</v>
      </c>
      <c r="H32" s="55" t="s">
        <v>42</v>
      </c>
      <c r="I32" s="53" t="s">
        <v>177</v>
      </c>
      <c r="J32" s="55">
        <v>26248.0</v>
      </c>
    </row>
    <row r="33" ht="60.0" customHeight="1">
      <c r="A33" s="39">
        <v>30.0</v>
      </c>
      <c r="B33" s="40" t="s">
        <v>178</v>
      </c>
      <c r="C33" s="40" t="s">
        <v>179</v>
      </c>
      <c r="D33" s="40" t="s">
        <v>180</v>
      </c>
      <c r="E33" s="40" t="s">
        <v>181</v>
      </c>
      <c r="F33" s="39" t="str">
        <f t="shared" si="1"/>
        <v>WRONG</v>
      </c>
      <c r="G33" s="39" t="s">
        <v>48</v>
      </c>
      <c r="H33" s="55" t="s">
        <v>36</v>
      </c>
      <c r="I33" s="53" t="s">
        <v>182</v>
      </c>
      <c r="J33" s="55">
        <v>34384.0</v>
      </c>
    </row>
    <row r="34" ht="60.0" customHeight="1">
      <c r="A34" s="39">
        <v>31.0</v>
      </c>
      <c r="B34" s="40" t="s">
        <v>183</v>
      </c>
      <c r="C34" s="40" t="s">
        <v>184</v>
      </c>
      <c r="D34" s="40" t="s">
        <v>185</v>
      </c>
      <c r="E34" s="40" t="s">
        <v>186</v>
      </c>
      <c r="F34" s="39" t="str">
        <f t="shared" si="1"/>
        <v>WRONG</v>
      </c>
      <c r="G34" s="39" t="s">
        <v>42</v>
      </c>
      <c r="H34" s="55" t="s">
        <v>36</v>
      </c>
      <c r="I34" s="53" t="s">
        <v>187</v>
      </c>
      <c r="J34" s="55">
        <v>33822.0</v>
      </c>
    </row>
    <row r="35" ht="60.0" customHeight="1">
      <c r="A35" s="39">
        <v>32.0</v>
      </c>
      <c r="B35" s="40" t="s">
        <v>188</v>
      </c>
      <c r="C35" s="40" t="s">
        <v>189</v>
      </c>
      <c r="D35" s="40" t="s">
        <v>190</v>
      </c>
      <c r="E35" s="40" t="s">
        <v>191</v>
      </c>
      <c r="F35" s="39" t="str">
        <f t="shared" si="1"/>
        <v>CORRECT</v>
      </c>
      <c r="G35" s="39" t="s">
        <v>36</v>
      </c>
      <c r="H35" s="54" t="s">
        <v>36</v>
      </c>
      <c r="I35" s="53" t="s">
        <v>192</v>
      </c>
      <c r="J35" s="55">
        <v>44144.0</v>
      </c>
    </row>
    <row r="36" ht="60.0" customHeight="1">
      <c r="A36" s="39">
        <v>33.0</v>
      </c>
      <c r="B36" s="40" t="s">
        <v>193</v>
      </c>
      <c r="C36" s="40" t="s">
        <v>194</v>
      </c>
      <c r="D36" s="40" t="s">
        <v>195</v>
      </c>
      <c r="E36" s="40" t="s">
        <v>196</v>
      </c>
      <c r="F36" s="39" t="str">
        <f t="shared" si="1"/>
        <v>CORRECT</v>
      </c>
      <c r="G36" s="39" t="s">
        <v>48</v>
      </c>
      <c r="H36" s="54" t="s">
        <v>48</v>
      </c>
      <c r="I36" s="53" t="s">
        <v>197</v>
      </c>
      <c r="J36" s="55">
        <v>37234.0</v>
      </c>
    </row>
    <row r="37" ht="60.0" customHeight="1">
      <c r="A37" s="39">
        <v>34.0</v>
      </c>
      <c r="B37" s="40" t="s">
        <v>198</v>
      </c>
      <c r="C37" s="40" t="s">
        <v>199</v>
      </c>
      <c r="D37" s="40" t="s">
        <v>200</v>
      </c>
      <c r="E37" s="40" t="s">
        <v>201</v>
      </c>
      <c r="F37" s="39" t="str">
        <f t="shared" si="1"/>
        <v>CORRECT</v>
      </c>
      <c r="G37" s="39" t="s">
        <v>36</v>
      </c>
      <c r="H37" s="55" t="s">
        <v>36</v>
      </c>
      <c r="I37" s="53" t="s">
        <v>202</v>
      </c>
      <c r="J37" s="55">
        <v>29256.0</v>
      </c>
    </row>
    <row r="38" ht="60.0" customHeight="1">
      <c r="A38" s="39">
        <v>35.0</v>
      </c>
      <c r="B38" s="40" t="s">
        <v>203</v>
      </c>
      <c r="C38" s="40" t="s">
        <v>204</v>
      </c>
      <c r="D38" s="40" t="s">
        <v>205</v>
      </c>
      <c r="E38" s="40" t="s">
        <v>206</v>
      </c>
      <c r="F38" s="39" t="str">
        <f t="shared" si="1"/>
        <v>WRONG</v>
      </c>
      <c r="G38" s="39" t="s">
        <v>48</v>
      </c>
      <c r="H38" s="55" t="s">
        <v>36</v>
      </c>
      <c r="I38" s="53" t="s">
        <v>207</v>
      </c>
      <c r="J38" s="55">
        <v>31167.0</v>
      </c>
    </row>
    <row r="39" ht="60.0" customHeight="1">
      <c r="A39" s="39">
        <v>36.0</v>
      </c>
      <c r="B39" s="40" t="s">
        <v>208</v>
      </c>
      <c r="C39" s="40" t="s">
        <v>209</v>
      </c>
      <c r="D39" s="40" t="s">
        <v>210</v>
      </c>
      <c r="E39" s="40" t="s">
        <v>211</v>
      </c>
      <c r="F39" s="39" t="str">
        <f t="shared" si="1"/>
        <v>CORRECT</v>
      </c>
      <c r="G39" s="39" t="s">
        <v>36</v>
      </c>
      <c r="H39" s="55" t="s">
        <v>36</v>
      </c>
      <c r="I39" s="53" t="s">
        <v>212</v>
      </c>
      <c r="J39" s="55">
        <v>38229.0</v>
      </c>
    </row>
    <row r="40" ht="60.0" customHeight="1">
      <c r="A40" s="39">
        <v>37.0</v>
      </c>
      <c r="B40" s="40" t="s">
        <v>213</v>
      </c>
      <c r="C40" s="40" t="s">
        <v>214</v>
      </c>
      <c r="D40" s="40" t="s">
        <v>215</v>
      </c>
      <c r="E40" s="40" t="s">
        <v>216</v>
      </c>
      <c r="F40" s="39" t="str">
        <f t="shared" si="1"/>
        <v>CORRECT</v>
      </c>
      <c r="G40" s="39" t="s">
        <v>36</v>
      </c>
      <c r="H40" s="55" t="s">
        <v>36</v>
      </c>
      <c r="I40" s="53" t="s">
        <v>217</v>
      </c>
      <c r="J40" s="55">
        <v>34560.0</v>
      </c>
    </row>
    <row r="41" ht="60.0" customHeight="1">
      <c r="A41" s="39">
        <v>38.0</v>
      </c>
      <c r="B41" s="40" t="s">
        <v>218</v>
      </c>
      <c r="C41" s="40" t="s">
        <v>219</v>
      </c>
      <c r="D41" s="40" t="s">
        <v>220</v>
      </c>
      <c r="E41" s="40" t="s">
        <v>221</v>
      </c>
      <c r="F41" s="39" t="str">
        <f t="shared" si="1"/>
        <v>CORRECT</v>
      </c>
      <c r="G41" s="39" t="s">
        <v>36</v>
      </c>
      <c r="H41" s="55" t="s">
        <v>36</v>
      </c>
      <c r="I41" s="53" t="s">
        <v>222</v>
      </c>
      <c r="J41" s="55">
        <v>33316.0</v>
      </c>
    </row>
    <row r="42" ht="60.0" customHeight="1">
      <c r="A42" s="39">
        <v>39.0</v>
      </c>
      <c r="B42" s="40" t="s">
        <v>223</v>
      </c>
      <c r="C42" s="40" t="s">
        <v>224</v>
      </c>
      <c r="D42" s="40" t="s">
        <v>225</v>
      </c>
      <c r="E42" s="40" t="s">
        <v>226</v>
      </c>
      <c r="F42" s="39" t="str">
        <f t="shared" si="1"/>
        <v>WRONG</v>
      </c>
      <c r="G42" s="39" t="s">
        <v>42</v>
      </c>
      <c r="H42" s="55" t="s">
        <v>48</v>
      </c>
      <c r="I42" s="53" t="s">
        <v>227</v>
      </c>
      <c r="J42" s="55">
        <v>27699.0</v>
      </c>
    </row>
    <row r="43" ht="60.0" customHeight="1">
      <c r="A43" s="39">
        <v>40.0</v>
      </c>
      <c r="B43" s="40" t="s">
        <v>228</v>
      </c>
      <c r="C43" s="40" t="s">
        <v>229</v>
      </c>
      <c r="D43" s="40" t="s">
        <v>230</v>
      </c>
      <c r="E43" s="40" t="s">
        <v>231</v>
      </c>
      <c r="F43" s="39" t="str">
        <f t="shared" si="1"/>
        <v>WRONG</v>
      </c>
      <c r="G43" s="39" t="s">
        <v>48</v>
      </c>
      <c r="H43" s="55" t="s">
        <v>42</v>
      </c>
      <c r="I43" s="53" t="s">
        <v>405</v>
      </c>
      <c r="J43" s="55">
        <v>39200.0</v>
      </c>
    </row>
    <row r="44" ht="60.0" customHeight="1">
      <c r="A44" s="39">
        <v>41.0</v>
      </c>
      <c r="B44" s="40" t="s">
        <v>233</v>
      </c>
      <c r="C44" s="40" t="s">
        <v>234</v>
      </c>
      <c r="D44" s="40" t="s">
        <v>235</v>
      </c>
      <c r="E44" s="40" t="s">
        <v>236</v>
      </c>
      <c r="F44" s="39" t="str">
        <f t="shared" si="1"/>
        <v>CORRECT</v>
      </c>
      <c r="G44" s="39" t="s">
        <v>42</v>
      </c>
      <c r="H44" s="55" t="s">
        <v>42</v>
      </c>
      <c r="I44" s="53" t="s">
        <v>237</v>
      </c>
      <c r="J44" s="55">
        <v>21698.0</v>
      </c>
    </row>
    <row r="45" ht="60.0" customHeight="1">
      <c r="A45" s="39">
        <v>42.0</v>
      </c>
      <c r="B45" s="40" t="s">
        <v>238</v>
      </c>
      <c r="C45" s="40" t="s">
        <v>239</v>
      </c>
      <c r="D45" s="40" t="s">
        <v>240</v>
      </c>
      <c r="E45" s="40" t="s">
        <v>241</v>
      </c>
      <c r="F45" s="39" t="str">
        <f t="shared" si="1"/>
        <v>WRONG</v>
      </c>
      <c r="G45" s="39" t="s">
        <v>36</v>
      </c>
      <c r="H45" s="54" t="s">
        <v>42</v>
      </c>
      <c r="I45" s="53" t="s">
        <v>242</v>
      </c>
      <c r="J45" s="55">
        <v>33873.0</v>
      </c>
    </row>
    <row r="46" ht="60.0" customHeight="1">
      <c r="A46" s="39">
        <v>43.0</v>
      </c>
      <c r="B46" s="40" t="s">
        <v>243</v>
      </c>
      <c r="C46" s="40" t="s">
        <v>244</v>
      </c>
      <c r="D46" s="40" t="s">
        <v>245</v>
      </c>
      <c r="E46" s="40" t="s">
        <v>246</v>
      </c>
      <c r="F46" s="39" t="str">
        <f t="shared" si="1"/>
        <v>CORRECT</v>
      </c>
      <c r="G46" s="39" t="s">
        <v>48</v>
      </c>
      <c r="H46" s="55" t="s">
        <v>48</v>
      </c>
      <c r="I46" s="53" t="s">
        <v>247</v>
      </c>
      <c r="J46" s="55">
        <v>35384.0</v>
      </c>
    </row>
    <row r="47" ht="60.0" customHeight="1">
      <c r="A47" s="39">
        <v>44.0</v>
      </c>
      <c r="B47" s="40" t="s">
        <v>248</v>
      </c>
      <c r="C47" s="40" t="s">
        <v>249</v>
      </c>
      <c r="D47" s="40" t="s">
        <v>250</v>
      </c>
      <c r="E47" s="40" t="s">
        <v>251</v>
      </c>
      <c r="F47" s="39" t="str">
        <f t="shared" si="1"/>
        <v>WRONG</v>
      </c>
      <c r="G47" s="39" t="s">
        <v>36</v>
      </c>
      <c r="H47" s="54" t="s">
        <v>48</v>
      </c>
      <c r="I47" s="53" t="s">
        <v>252</v>
      </c>
      <c r="J47" s="55">
        <v>31387.0</v>
      </c>
    </row>
    <row r="48" ht="60.0" customHeight="1">
      <c r="A48" s="39">
        <v>45.0</v>
      </c>
      <c r="B48" s="40" t="s">
        <v>253</v>
      </c>
      <c r="C48" s="40" t="s">
        <v>254</v>
      </c>
      <c r="D48" s="40" t="s">
        <v>255</v>
      </c>
      <c r="E48" s="40" t="s">
        <v>256</v>
      </c>
      <c r="F48" s="39" t="str">
        <f t="shared" si="1"/>
        <v>CORRECT</v>
      </c>
      <c r="G48" s="39" t="s">
        <v>36</v>
      </c>
      <c r="H48" s="55" t="s">
        <v>36</v>
      </c>
      <c r="I48" s="53" t="s">
        <v>406</v>
      </c>
      <c r="J48" s="55">
        <v>45533.0</v>
      </c>
    </row>
    <row r="49" ht="60.0" customHeight="1">
      <c r="A49" s="39">
        <v>46.0</v>
      </c>
      <c r="B49" s="40" t="s">
        <v>258</v>
      </c>
      <c r="C49" s="40" t="s">
        <v>39</v>
      </c>
      <c r="D49" s="40" t="s">
        <v>259</v>
      </c>
      <c r="E49" s="40" t="s">
        <v>260</v>
      </c>
      <c r="F49" s="39" t="str">
        <f t="shared" si="1"/>
        <v>CORRECT</v>
      </c>
      <c r="G49" s="39" t="s">
        <v>36</v>
      </c>
      <c r="H49" s="55" t="s">
        <v>36</v>
      </c>
      <c r="I49" s="53" t="s">
        <v>261</v>
      </c>
      <c r="J49" s="55">
        <v>25969.0</v>
      </c>
    </row>
    <row r="50">
      <c r="A50" s="44" t="s">
        <v>262</v>
      </c>
      <c r="B50" s="2"/>
      <c r="C50" s="2"/>
      <c r="D50" s="2"/>
      <c r="E50" s="3"/>
      <c r="F50" s="45">
        <f>COUNTIFS(F4:F49,"CORRECT")</f>
        <v>28</v>
      </c>
      <c r="G50" s="46"/>
      <c r="H50" s="46"/>
      <c r="J50" s="47">
        <f>AVERAGE(J4:J49)</f>
        <v>35715.02174</v>
      </c>
    </row>
    <row r="51">
      <c r="A51" s="48" t="s">
        <v>263</v>
      </c>
      <c r="B51" s="2"/>
      <c r="C51" s="2"/>
      <c r="D51" s="2"/>
      <c r="E51" s="3"/>
      <c r="F51" s="49">
        <v>46.0</v>
      </c>
      <c r="G51" s="46"/>
      <c r="H51" s="46"/>
    </row>
    <row r="52">
      <c r="A52" s="44" t="s">
        <v>264</v>
      </c>
      <c r="B52" s="2"/>
      <c r="C52" s="2"/>
      <c r="D52" s="2"/>
      <c r="E52" s="3"/>
      <c r="F52" s="50">
        <f>F50/F51</f>
        <v>0.6086956522</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407</v>
      </c>
      <c r="C2" s="2"/>
      <c r="D2" s="2"/>
      <c r="E2" s="2"/>
      <c r="F2" s="2"/>
      <c r="G2" s="2"/>
      <c r="H2" s="3"/>
      <c r="I2" s="37" t="s">
        <v>408</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CORRECT</v>
      </c>
      <c r="G4" s="39" t="s">
        <v>36</v>
      </c>
      <c r="H4" s="55" t="s">
        <v>36</v>
      </c>
      <c r="I4" s="53" t="s">
        <v>409</v>
      </c>
      <c r="J4" s="55">
        <v>44382.0</v>
      </c>
    </row>
    <row r="5" ht="60.0" customHeight="1">
      <c r="A5" s="39">
        <v>2.0</v>
      </c>
      <c r="B5" s="40" t="s">
        <v>38</v>
      </c>
      <c r="C5" s="40" t="s">
        <v>39</v>
      </c>
      <c r="D5" s="40" t="s">
        <v>40</v>
      </c>
      <c r="E5" s="40" t="s">
        <v>41</v>
      </c>
      <c r="F5" s="39" t="str">
        <f t="shared" si="1"/>
        <v>CORRECT</v>
      </c>
      <c r="G5" s="39" t="s">
        <v>42</v>
      </c>
      <c r="H5" s="54" t="s">
        <v>42</v>
      </c>
      <c r="I5" s="53" t="s">
        <v>410</v>
      </c>
      <c r="J5" s="55">
        <v>34539.0</v>
      </c>
    </row>
    <row r="6" ht="60.0" customHeight="1">
      <c r="A6" s="39">
        <v>3.0</v>
      </c>
      <c r="B6" s="40" t="s">
        <v>44</v>
      </c>
      <c r="C6" s="40" t="s">
        <v>45</v>
      </c>
      <c r="D6" s="40" t="s">
        <v>46</v>
      </c>
      <c r="E6" s="40" t="s">
        <v>47</v>
      </c>
      <c r="F6" s="39" t="str">
        <f t="shared" si="1"/>
        <v>CORRECT</v>
      </c>
      <c r="G6" s="39" t="s">
        <v>48</v>
      </c>
      <c r="H6" s="55" t="s">
        <v>48</v>
      </c>
      <c r="I6" s="53" t="s">
        <v>411</v>
      </c>
      <c r="J6" s="55">
        <v>47832.0</v>
      </c>
    </row>
    <row r="7" ht="60.0" customHeight="1">
      <c r="A7" s="39">
        <v>4.0</v>
      </c>
      <c r="B7" s="40" t="s">
        <v>50</v>
      </c>
      <c r="C7" s="40" t="s">
        <v>51</v>
      </c>
      <c r="D7" s="40" t="s">
        <v>52</v>
      </c>
      <c r="E7" s="40" t="s">
        <v>53</v>
      </c>
      <c r="F7" s="39" t="str">
        <f t="shared" si="1"/>
        <v>CORRECT</v>
      </c>
      <c r="G7" s="39" t="s">
        <v>42</v>
      </c>
      <c r="H7" s="55" t="s">
        <v>42</v>
      </c>
      <c r="I7" s="53" t="s">
        <v>412</v>
      </c>
      <c r="J7" s="55">
        <v>27722.0</v>
      </c>
    </row>
    <row r="8" ht="60.0" customHeight="1">
      <c r="A8" s="39">
        <v>5.0</v>
      </c>
      <c r="B8" s="40" t="s">
        <v>55</v>
      </c>
      <c r="C8" s="40" t="s">
        <v>56</v>
      </c>
      <c r="D8" s="40" t="s">
        <v>57</v>
      </c>
      <c r="E8" s="40" t="s">
        <v>58</v>
      </c>
      <c r="F8" s="39" t="str">
        <f t="shared" si="1"/>
        <v>CORRECT</v>
      </c>
      <c r="G8" s="39" t="s">
        <v>48</v>
      </c>
      <c r="H8" s="54" t="s">
        <v>48</v>
      </c>
      <c r="I8" s="53" t="s">
        <v>413</v>
      </c>
      <c r="J8" s="55">
        <v>55748.0</v>
      </c>
    </row>
    <row r="9" ht="60.0" customHeight="1">
      <c r="A9" s="39">
        <v>6.0</v>
      </c>
      <c r="B9" s="40" t="s">
        <v>60</v>
      </c>
      <c r="C9" s="40" t="s">
        <v>61</v>
      </c>
      <c r="D9" s="40" t="s">
        <v>62</v>
      </c>
      <c r="E9" s="40" t="s">
        <v>63</v>
      </c>
      <c r="F9" s="39" t="str">
        <f t="shared" si="1"/>
        <v>CORRECT</v>
      </c>
      <c r="G9" s="39" t="s">
        <v>42</v>
      </c>
      <c r="H9" s="54" t="s">
        <v>42</v>
      </c>
      <c r="I9" s="53" t="s">
        <v>414</v>
      </c>
      <c r="J9" s="55">
        <v>45270.0</v>
      </c>
    </row>
    <row r="10" ht="60.0" customHeight="1">
      <c r="A10" s="39">
        <v>7.0</v>
      </c>
      <c r="B10" s="40" t="s">
        <v>65</v>
      </c>
      <c r="C10" s="40" t="s">
        <v>66</v>
      </c>
      <c r="D10" s="40" t="s">
        <v>67</v>
      </c>
      <c r="E10" s="40" t="s">
        <v>68</v>
      </c>
      <c r="F10" s="39" t="str">
        <f t="shared" si="1"/>
        <v>WRONG</v>
      </c>
      <c r="G10" s="39" t="s">
        <v>42</v>
      </c>
      <c r="H10" s="55" t="s">
        <v>36</v>
      </c>
      <c r="I10" s="53" t="s">
        <v>415</v>
      </c>
      <c r="J10" s="55">
        <v>62069.0</v>
      </c>
    </row>
    <row r="11" ht="60.0" customHeight="1">
      <c r="A11" s="39">
        <v>8.0</v>
      </c>
      <c r="B11" s="40" t="s">
        <v>70</v>
      </c>
      <c r="C11" s="40" t="s">
        <v>71</v>
      </c>
      <c r="D11" s="40" t="s">
        <v>72</v>
      </c>
      <c r="E11" s="40" t="s">
        <v>73</v>
      </c>
      <c r="F11" s="39" t="str">
        <f t="shared" si="1"/>
        <v>WRONG</v>
      </c>
      <c r="G11" s="39" t="s">
        <v>48</v>
      </c>
      <c r="H11" s="55" t="s">
        <v>42</v>
      </c>
      <c r="I11" s="53" t="s">
        <v>416</v>
      </c>
      <c r="J11" s="55">
        <v>36850.0</v>
      </c>
    </row>
    <row r="12" ht="60.0" customHeight="1">
      <c r="A12" s="39">
        <v>9.0</v>
      </c>
      <c r="B12" s="40" t="s">
        <v>75</v>
      </c>
      <c r="C12" s="40" t="s">
        <v>76</v>
      </c>
      <c r="D12" s="40" t="s">
        <v>77</v>
      </c>
      <c r="E12" s="40" t="s">
        <v>78</v>
      </c>
      <c r="F12" s="39" t="str">
        <f t="shared" si="1"/>
        <v>WRONG</v>
      </c>
      <c r="G12" s="39" t="s">
        <v>42</v>
      </c>
      <c r="H12" s="54" t="s">
        <v>48</v>
      </c>
      <c r="I12" s="53" t="s">
        <v>417</v>
      </c>
      <c r="J12" s="55">
        <v>27523.0</v>
      </c>
    </row>
    <row r="13" ht="60.0" customHeight="1">
      <c r="A13" s="39">
        <v>10.0</v>
      </c>
      <c r="B13" s="40" t="s">
        <v>80</v>
      </c>
      <c r="C13" s="40" t="s">
        <v>81</v>
      </c>
      <c r="D13" s="40" t="s">
        <v>82</v>
      </c>
      <c r="E13" s="40" t="s">
        <v>83</v>
      </c>
      <c r="F13" s="39" t="str">
        <f t="shared" si="1"/>
        <v>CORRECT</v>
      </c>
      <c r="G13" s="39" t="s">
        <v>48</v>
      </c>
      <c r="H13" s="54" t="s">
        <v>48</v>
      </c>
      <c r="I13" s="53" t="s">
        <v>418</v>
      </c>
      <c r="J13" s="55">
        <v>26707.0</v>
      </c>
    </row>
    <row r="14" ht="60.0" customHeight="1">
      <c r="A14" s="39">
        <v>11.0</v>
      </c>
      <c r="B14" s="40" t="s">
        <v>85</v>
      </c>
      <c r="C14" s="40" t="s">
        <v>86</v>
      </c>
      <c r="D14" s="40" t="s">
        <v>87</v>
      </c>
      <c r="E14" s="40" t="s">
        <v>88</v>
      </c>
      <c r="F14" s="39" t="str">
        <f t="shared" si="1"/>
        <v>CORRECT</v>
      </c>
      <c r="G14" s="39" t="s">
        <v>42</v>
      </c>
      <c r="H14" s="54" t="s">
        <v>42</v>
      </c>
      <c r="I14" s="53" t="s">
        <v>419</v>
      </c>
      <c r="J14" s="55">
        <v>41569.0</v>
      </c>
    </row>
    <row r="15" ht="60.0" customHeight="1">
      <c r="A15" s="39">
        <v>12.0</v>
      </c>
      <c r="B15" s="40" t="s">
        <v>90</v>
      </c>
      <c r="C15" s="40" t="s">
        <v>91</v>
      </c>
      <c r="D15" s="40" t="s">
        <v>92</v>
      </c>
      <c r="E15" s="40" t="s">
        <v>93</v>
      </c>
      <c r="F15" s="39" t="str">
        <f t="shared" si="1"/>
        <v>CORRECT</v>
      </c>
      <c r="G15" s="39" t="s">
        <v>48</v>
      </c>
      <c r="H15" s="54" t="s">
        <v>48</v>
      </c>
      <c r="I15" s="53" t="s">
        <v>420</v>
      </c>
      <c r="J15" s="55">
        <v>32618.0</v>
      </c>
    </row>
    <row r="16" ht="60.0" customHeight="1">
      <c r="A16" s="39">
        <v>13.0</v>
      </c>
      <c r="B16" s="40" t="s">
        <v>95</v>
      </c>
      <c r="C16" s="40" t="s">
        <v>96</v>
      </c>
      <c r="D16" s="40" t="s">
        <v>97</v>
      </c>
      <c r="E16" s="40" t="s">
        <v>98</v>
      </c>
      <c r="F16" s="39" t="str">
        <f t="shared" si="1"/>
        <v>CORRECT</v>
      </c>
      <c r="G16" s="39" t="s">
        <v>36</v>
      </c>
      <c r="H16" s="54" t="s">
        <v>36</v>
      </c>
      <c r="I16" s="53" t="s">
        <v>421</v>
      </c>
      <c r="J16" s="55">
        <v>19479.0</v>
      </c>
    </row>
    <row r="17" ht="60.0" customHeight="1">
      <c r="A17" s="39">
        <v>14.0</v>
      </c>
      <c r="B17" s="40" t="s">
        <v>100</v>
      </c>
      <c r="C17" s="40" t="s">
        <v>101</v>
      </c>
      <c r="D17" s="40" t="s">
        <v>102</v>
      </c>
      <c r="E17" s="40" t="s">
        <v>103</v>
      </c>
      <c r="F17" s="39" t="str">
        <f t="shared" si="1"/>
        <v>WRONG</v>
      </c>
      <c r="G17" s="39" t="s">
        <v>36</v>
      </c>
      <c r="H17" s="55" t="s">
        <v>48</v>
      </c>
      <c r="I17" s="53" t="s">
        <v>422</v>
      </c>
      <c r="J17" s="55">
        <v>18238.0</v>
      </c>
    </row>
    <row r="18" ht="60.0" customHeight="1">
      <c r="A18" s="39">
        <v>15.0</v>
      </c>
      <c r="B18" s="40" t="s">
        <v>105</v>
      </c>
      <c r="C18" s="40" t="s">
        <v>106</v>
      </c>
      <c r="D18" s="40" t="s">
        <v>107</v>
      </c>
      <c r="E18" s="40" t="s">
        <v>108</v>
      </c>
      <c r="F18" s="39" t="str">
        <f t="shared" si="1"/>
        <v>CORRECT</v>
      </c>
      <c r="G18" s="39" t="s">
        <v>48</v>
      </c>
      <c r="H18" s="55" t="s">
        <v>48</v>
      </c>
      <c r="I18" s="53" t="s">
        <v>423</v>
      </c>
      <c r="J18" s="55">
        <v>30465.0</v>
      </c>
    </row>
    <row r="19" ht="60.0" customHeight="1">
      <c r="A19" s="39">
        <v>16.0</v>
      </c>
      <c r="B19" s="40" t="s">
        <v>110</v>
      </c>
      <c r="C19" s="40" t="s">
        <v>111</v>
      </c>
      <c r="D19" s="40" t="s">
        <v>112</v>
      </c>
      <c r="E19" s="40" t="s">
        <v>113</v>
      </c>
      <c r="F19" s="39" t="str">
        <f t="shared" si="1"/>
        <v>CORRECT</v>
      </c>
      <c r="G19" s="39" t="s">
        <v>48</v>
      </c>
      <c r="H19" s="54" t="s">
        <v>48</v>
      </c>
      <c r="I19" s="53" t="s">
        <v>424</v>
      </c>
      <c r="J19" s="55">
        <v>22366.0</v>
      </c>
    </row>
    <row r="20" ht="60.0" customHeight="1">
      <c r="A20" s="39">
        <v>17.0</v>
      </c>
      <c r="B20" s="40" t="s">
        <v>115</v>
      </c>
      <c r="C20" s="40" t="s">
        <v>116</v>
      </c>
      <c r="D20" s="40" t="s">
        <v>117</v>
      </c>
      <c r="E20" s="40" t="s">
        <v>118</v>
      </c>
      <c r="F20" s="39" t="str">
        <f t="shared" si="1"/>
        <v>WRONG</v>
      </c>
      <c r="G20" s="39" t="s">
        <v>42</v>
      </c>
      <c r="H20" s="55" t="s">
        <v>36</v>
      </c>
      <c r="I20" s="53" t="s">
        <v>425</v>
      </c>
      <c r="J20" s="55">
        <v>19698.0</v>
      </c>
    </row>
    <row r="21" ht="60.0" customHeight="1">
      <c r="A21" s="39">
        <v>18.0</v>
      </c>
      <c r="B21" s="40" t="s">
        <v>120</v>
      </c>
      <c r="C21" s="40" t="s">
        <v>121</v>
      </c>
      <c r="D21" s="40" t="s">
        <v>122</v>
      </c>
      <c r="E21" s="40" t="s">
        <v>123</v>
      </c>
      <c r="F21" s="39" t="str">
        <f t="shared" si="1"/>
        <v>CORRECT</v>
      </c>
      <c r="G21" s="39" t="s">
        <v>42</v>
      </c>
      <c r="H21" s="55" t="s">
        <v>42</v>
      </c>
      <c r="I21" s="53" t="s">
        <v>426</v>
      </c>
      <c r="J21" s="55">
        <v>24830.0</v>
      </c>
    </row>
    <row r="22" ht="60.0" customHeight="1">
      <c r="A22" s="39">
        <v>19.0</v>
      </c>
      <c r="B22" s="40" t="s">
        <v>125</v>
      </c>
      <c r="C22" s="40" t="s">
        <v>126</v>
      </c>
      <c r="D22" s="40" t="s">
        <v>127</v>
      </c>
      <c r="E22" s="40" t="s">
        <v>128</v>
      </c>
      <c r="F22" s="39" t="str">
        <f t="shared" si="1"/>
        <v>WRONG</v>
      </c>
      <c r="G22" s="39" t="s">
        <v>36</v>
      </c>
      <c r="H22" s="54" t="s">
        <v>48</v>
      </c>
      <c r="I22" s="53" t="s">
        <v>427</v>
      </c>
      <c r="J22" s="55">
        <v>27248.0</v>
      </c>
    </row>
    <row r="23" ht="60.0" customHeight="1">
      <c r="A23" s="39">
        <v>20.0</v>
      </c>
      <c r="B23" s="40" t="s">
        <v>130</v>
      </c>
      <c r="C23" s="40" t="s">
        <v>131</v>
      </c>
      <c r="D23" s="40" t="s">
        <v>132</v>
      </c>
      <c r="E23" s="40" t="s">
        <v>133</v>
      </c>
      <c r="F23" s="39" t="str">
        <f t="shared" si="1"/>
        <v>WRONG</v>
      </c>
      <c r="G23" s="39" t="s">
        <v>42</v>
      </c>
      <c r="H23" s="54" t="s">
        <v>48</v>
      </c>
      <c r="I23" s="53" t="s">
        <v>428</v>
      </c>
      <c r="J23" s="55">
        <v>8340.0</v>
      </c>
    </row>
    <row r="24" ht="60.0" customHeight="1">
      <c r="A24" s="39">
        <v>21.0</v>
      </c>
      <c r="B24" s="40" t="s">
        <v>135</v>
      </c>
      <c r="C24" s="40" t="s">
        <v>136</v>
      </c>
      <c r="D24" s="40" t="s">
        <v>137</v>
      </c>
      <c r="E24" s="40" t="s">
        <v>138</v>
      </c>
      <c r="F24" s="39" t="str">
        <f t="shared" si="1"/>
        <v>WRONG</v>
      </c>
      <c r="G24" s="39" t="s">
        <v>42</v>
      </c>
      <c r="H24" s="55" t="s">
        <v>36</v>
      </c>
      <c r="I24" s="53" t="s">
        <v>429</v>
      </c>
      <c r="J24" s="55">
        <v>15447.0</v>
      </c>
    </row>
    <row r="25" ht="60.0" customHeight="1">
      <c r="A25" s="39">
        <v>22.0</v>
      </c>
      <c r="B25" s="40" t="s">
        <v>140</v>
      </c>
      <c r="C25" s="40" t="s">
        <v>141</v>
      </c>
      <c r="D25" s="40" t="s">
        <v>142</v>
      </c>
      <c r="E25" s="40" t="s">
        <v>143</v>
      </c>
      <c r="F25" s="39" t="str">
        <f t="shared" si="1"/>
        <v>CORRECT</v>
      </c>
      <c r="G25" s="39" t="s">
        <v>42</v>
      </c>
      <c r="H25" s="55" t="s">
        <v>42</v>
      </c>
      <c r="I25" s="53" t="s">
        <v>430</v>
      </c>
      <c r="J25" s="55">
        <v>13176.0</v>
      </c>
    </row>
    <row r="26" ht="60.0" customHeight="1">
      <c r="A26" s="39">
        <v>23.0</v>
      </c>
      <c r="B26" s="40" t="s">
        <v>145</v>
      </c>
      <c r="C26" s="40" t="s">
        <v>146</v>
      </c>
      <c r="D26" s="40" t="s">
        <v>147</v>
      </c>
      <c r="E26" s="40" t="s">
        <v>148</v>
      </c>
      <c r="F26" s="39" t="str">
        <f t="shared" si="1"/>
        <v>WRONG</v>
      </c>
      <c r="G26" s="39" t="s">
        <v>48</v>
      </c>
      <c r="H26" s="55" t="s">
        <v>42</v>
      </c>
      <c r="I26" s="53" t="s">
        <v>431</v>
      </c>
      <c r="J26" s="55">
        <v>28426.0</v>
      </c>
    </row>
    <row r="27" ht="60.0" customHeight="1">
      <c r="A27" s="39">
        <v>24.0</v>
      </c>
      <c r="B27" s="40" t="s">
        <v>150</v>
      </c>
      <c r="C27" s="40" t="s">
        <v>151</v>
      </c>
      <c r="D27" s="40" t="s">
        <v>152</v>
      </c>
      <c r="E27" s="40" t="s">
        <v>153</v>
      </c>
      <c r="F27" s="39" t="str">
        <f t="shared" si="1"/>
        <v>CORRECT</v>
      </c>
      <c r="G27" s="39" t="s">
        <v>36</v>
      </c>
      <c r="H27" s="55" t="s">
        <v>36</v>
      </c>
      <c r="I27" s="53" t="s">
        <v>432</v>
      </c>
      <c r="J27" s="55">
        <v>12981.0</v>
      </c>
    </row>
    <row r="28" ht="60.0" customHeight="1">
      <c r="A28" s="39">
        <v>25.0</v>
      </c>
      <c r="B28" s="40" t="s">
        <v>155</v>
      </c>
      <c r="C28" s="40" t="s">
        <v>151</v>
      </c>
      <c r="D28" s="40" t="s">
        <v>156</v>
      </c>
      <c r="E28" s="40" t="s">
        <v>153</v>
      </c>
      <c r="F28" s="39" t="str">
        <f t="shared" si="1"/>
        <v>WRONG</v>
      </c>
      <c r="G28" s="39" t="s">
        <v>48</v>
      </c>
      <c r="H28" s="54" t="s">
        <v>42</v>
      </c>
      <c r="I28" s="53" t="s">
        <v>433</v>
      </c>
      <c r="J28" s="55">
        <v>21630.0</v>
      </c>
    </row>
    <row r="29" ht="60.0" customHeight="1">
      <c r="A29" s="39">
        <v>26.0</v>
      </c>
      <c r="B29" s="40" t="s">
        <v>158</v>
      </c>
      <c r="C29" s="40" t="s">
        <v>159</v>
      </c>
      <c r="D29" s="40" t="s">
        <v>160</v>
      </c>
      <c r="E29" s="40" t="s">
        <v>161</v>
      </c>
      <c r="F29" s="39" t="str">
        <f t="shared" si="1"/>
        <v>WRONG</v>
      </c>
      <c r="G29" s="39" t="s">
        <v>36</v>
      </c>
      <c r="H29" s="54" t="s">
        <v>42</v>
      </c>
      <c r="I29" s="53" t="s">
        <v>434</v>
      </c>
      <c r="J29" s="55">
        <v>18303.0</v>
      </c>
    </row>
    <row r="30" ht="60.0" customHeight="1">
      <c r="A30" s="39">
        <v>27.0</v>
      </c>
      <c r="B30" s="40" t="s">
        <v>163</v>
      </c>
      <c r="C30" s="40" t="s">
        <v>164</v>
      </c>
      <c r="D30" s="40" t="s">
        <v>165</v>
      </c>
      <c r="E30" s="40" t="s">
        <v>166</v>
      </c>
      <c r="F30" s="39" t="str">
        <f t="shared" si="1"/>
        <v>CORRECT</v>
      </c>
      <c r="G30" s="39" t="s">
        <v>42</v>
      </c>
      <c r="H30" s="54" t="s">
        <v>42</v>
      </c>
      <c r="I30" s="53" t="s">
        <v>435</v>
      </c>
      <c r="J30" s="55">
        <v>17605.0</v>
      </c>
    </row>
    <row r="31" ht="60.0" customHeight="1">
      <c r="A31" s="39">
        <v>28.0</v>
      </c>
      <c r="B31" s="40" t="s">
        <v>168</v>
      </c>
      <c r="C31" s="40" t="s">
        <v>169</v>
      </c>
      <c r="D31" s="40" t="s">
        <v>170</v>
      </c>
      <c r="E31" s="40" t="s">
        <v>171</v>
      </c>
      <c r="F31" s="39" t="str">
        <f t="shared" si="1"/>
        <v>WRONG</v>
      </c>
      <c r="G31" s="39" t="s">
        <v>36</v>
      </c>
      <c r="H31" s="55" t="s">
        <v>48</v>
      </c>
      <c r="I31" s="53" t="s">
        <v>436</v>
      </c>
      <c r="J31" s="55">
        <v>14582.0</v>
      </c>
    </row>
    <row r="32" ht="60.0" customHeight="1">
      <c r="A32" s="39">
        <v>29.0</v>
      </c>
      <c r="B32" s="40" t="s">
        <v>173</v>
      </c>
      <c r="C32" s="40" t="s">
        <v>174</v>
      </c>
      <c r="D32" s="40" t="s">
        <v>175</v>
      </c>
      <c r="E32" s="40" t="s">
        <v>176</v>
      </c>
      <c r="F32" s="39" t="str">
        <f t="shared" si="1"/>
        <v>CORRECT</v>
      </c>
      <c r="G32" s="39" t="s">
        <v>42</v>
      </c>
      <c r="H32" s="55" t="s">
        <v>42</v>
      </c>
      <c r="I32" s="53" t="s">
        <v>437</v>
      </c>
      <c r="J32" s="55">
        <v>19052.0</v>
      </c>
    </row>
    <row r="33" ht="60.0" customHeight="1">
      <c r="A33" s="39">
        <v>30.0</v>
      </c>
      <c r="B33" s="40" t="s">
        <v>178</v>
      </c>
      <c r="C33" s="40" t="s">
        <v>179</v>
      </c>
      <c r="D33" s="40" t="s">
        <v>180</v>
      </c>
      <c r="E33" s="40" t="s">
        <v>181</v>
      </c>
      <c r="F33" s="39" t="str">
        <f t="shared" si="1"/>
        <v>WRONG</v>
      </c>
      <c r="G33" s="39" t="s">
        <v>48</v>
      </c>
      <c r="H33" s="55" t="s">
        <v>36</v>
      </c>
      <c r="I33" s="53" t="s">
        <v>438</v>
      </c>
      <c r="J33" s="55">
        <v>23868.0</v>
      </c>
    </row>
    <row r="34" ht="60.0" customHeight="1">
      <c r="A34" s="39">
        <v>31.0</v>
      </c>
      <c r="B34" s="40" t="s">
        <v>183</v>
      </c>
      <c r="C34" s="40" t="s">
        <v>184</v>
      </c>
      <c r="D34" s="40" t="s">
        <v>185</v>
      </c>
      <c r="E34" s="40" t="s">
        <v>186</v>
      </c>
      <c r="F34" s="39" t="str">
        <f t="shared" si="1"/>
        <v>WRONG</v>
      </c>
      <c r="G34" s="39" t="s">
        <v>42</v>
      </c>
      <c r="H34" s="55" t="s">
        <v>36</v>
      </c>
      <c r="I34" s="53" t="s">
        <v>439</v>
      </c>
      <c r="J34" s="55">
        <v>27241.0</v>
      </c>
    </row>
    <row r="35" ht="60.0" customHeight="1">
      <c r="A35" s="39">
        <v>32.0</v>
      </c>
      <c r="B35" s="40" t="s">
        <v>188</v>
      </c>
      <c r="C35" s="40" t="s">
        <v>189</v>
      </c>
      <c r="D35" s="40" t="s">
        <v>190</v>
      </c>
      <c r="E35" s="40" t="s">
        <v>191</v>
      </c>
      <c r="F35" s="39" t="str">
        <f t="shared" si="1"/>
        <v>WRONG</v>
      </c>
      <c r="G35" s="39" t="s">
        <v>36</v>
      </c>
      <c r="H35" s="54" t="s">
        <v>48</v>
      </c>
      <c r="I35" s="53" t="s">
        <v>440</v>
      </c>
      <c r="J35" s="55">
        <v>26947.0</v>
      </c>
    </row>
    <row r="36" ht="60.0" customHeight="1">
      <c r="A36" s="39">
        <v>33.0</v>
      </c>
      <c r="B36" s="40" t="s">
        <v>193</v>
      </c>
      <c r="C36" s="40" t="s">
        <v>194</v>
      </c>
      <c r="D36" s="40" t="s">
        <v>195</v>
      </c>
      <c r="E36" s="40" t="s">
        <v>196</v>
      </c>
      <c r="F36" s="39" t="str">
        <f t="shared" si="1"/>
        <v>CORRECT</v>
      </c>
      <c r="G36" s="39" t="s">
        <v>48</v>
      </c>
      <c r="H36" s="54" t="s">
        <v>48</v>
      </c>
      <c r="I36" s="53" t="s">
        <v>441</v>
      </c>
      <c r="J36" s="55">
        <v>36183.0</v>
      </c>
    </row>
    <row r="37" ht="60.0" customHeight="1">
      <c r="A37" s="39">
        <v>34.0</v>
      </c>
      <c r="B37" s="40" t="s">
        <v>198</v>
      </c>
      <c r="C37" s="40" t="s">
        <v>199</v>
      </c>
      <c r="D37" s="40" t="s">
        <v>200</v>
      </c>
      <c r="E37" s="40" t="s">
        <v>201</v>
      </c>
      <c r="F37" s="39" t="str">
        <f t="shared" si="1"/>
        <v>CORRECT</v>
      </c>
      <c r="G37" s="39" t="s">
        <v>36</v>
      </c>
      <c r="H37" s="55" t="s">
        <v>36</v>
      </c>
      <c r="I37" s="53" t="s">
        <v>442</v>
      </c>
      <c r="J37" s="55">
        <v>17178.0</v>
      </c>
    </row>
    <row r="38" ht="60.0" customHeight="1">
      <c r="A38" s="39">
        <v>35.0</v>
      </c>
      <c r="B38" s="40" t="s">
        <v>203</v>
      </c>
      <c r="C38" s="40" t="s">
        <v>204</v>
      </c>
      <c r="D38" s="40" t="s">
        <v>205</v>
      </c>
      <c r="E38" s="40" t="s">
        <v>206</v>
      </c>
      <c r="F38" s="39" t="str">
        <f t="shared" si="1"/>
        <v>WRONG</v>
      </c>
      <c r="G38" s="39" t="s">
        <v>48</v>
      </c>
      <c r="H38" s="55" t="s">
        <v>36</v>
      </c>
      <c r="I38" s="53" t="s">
        <v>443</v>
      </c>
      <c r="J38" s="55">
        <v>27231.0</v>
      </c>
    </row>
    <row r="39" ht="60.0" customHeight="1">
      <c r="A39" s="39">
        <v>36.0</v>
      </c>
      <c r="B39" s="40" t="s">
        <v>208</v>
      </c>
      <c r="C39" s="40" t="s">
        <v>209</v>
      </c>
      <c r="D39" s="40" t="s">
        <v>210</v>
      </c>
      <c r="E39" s="40" t="s">
        <v>211</v>
      </c>
      <c r="F39" s="39" t="str">
        <f t="shared" si="1"/>
        <v>CORRECT</v>
      </c>
      <c r="G39" s="39" t="s">
        <v>36</v>
      </c>
      <c r="H39" s="55" t="s">
        <v>36</v>
      </c>
      <c r="I39" s="53" t="s">
        <v>444</v>
      </c>
      <c r="J39" s="55">
        <v>21297.0</v>
      </c>
    </row>
    <row r="40" ht="60.0" customHeight="1">
      <c r="A40" s="39">
        <v>37.0</v>
      </c>
      <c r="B40" s="40" t="s">
        <v>213</v>
      </c>
      <c r="C40" s="40" t="s">
        <v>214</v>
      </c>
      <c r="D40" s="40" t="s">
        <v>215</v>
      </c>
      <c r="E40" s="40" t="s">
        <v>216</v>
      </c>
      <c r="F40" s="39" t="str">
        <f t="shared" si="1"/>
        <v>CORRECT</v>
      </c>
      <c r="G40" s="39" t="s">
        <v>36</v>
      </c>
      <c r="H40" s="55" t="s">
        <v>36</v>
      </c>
      <c r="I40" s="53" t="s">
        <v>445</v>
      </c>
      <c r="J40" s="55">
        <v>20914.0</v>
      </c>
    </row>
    <row r="41" ht="60.0" customHeight="1">
      <c r="A41" s="39">
        <v>38.0</v>
      </c>
      <c r="B41" s="40" t="s">
        <v>218</v>
      </c>
      <c r="C41" s="40" t="s">
        <v>219</v>
      </c>
      <c r="D41" s="40" t="s">
        <v>220</v>
      </c>
      <c r="E41" s="40" t="s">
        <v>221</v>
      </c>
      <c r="F41" s="39" t="str">
        <f t="shared" si="1"/>
        <v>CORRECT</v>
      </c>
      <c r="G41" s="39" t="s">
        <v>36</v>
      </c>
      <c r="H41" s="55" t="s">
        <v>36</v>
      </c>
      <c r="I41" s="53" t="s">
        <v>446</v>
      </c>
      <c r="J41" s="55">
        <v>20085.0</v>
      </c>
    </row>
    <row r="42" ht="60.0" customHeight="1">
      <c r="A42" s="39">
        <v>39.0</v>
      </c>
      <c r="B42" s="40" t="s">
        <v>223</v>
      </c>
      <c r="C42" s="40" t="s">
        <v>224</v>
      </c>
      <c r="D42" s="40" t="s">
        <v>225</v>
      </c>
      <c r="E42" s="40" t="s">
        <v>226</v>
      </c>
      <c r="F42" s="39" t="str">
        <f t="shared" si="1"/>
        <v>CORRECT</v>
      </c>
      <c r="G42" s="39" t="s">
        <v>42</v>
      </c>
      <c r="H42" s="54" t="s">
        <v>42</v>
      </c>
      <c r="I42" s="53" t="s">
        <v>447</v>
      </c>
      <c r="J42" s="55">
        <v>21285.0</v>
      </c>
    </row>
    <row r="43" ht="60.0" customHeight="1">
      <c r="A43" s="39">
        <v>40.0</v>
      </c>
      <c r="B43" s="40" t="s">
        <v>228</v>
      </c>
      <c r="C43" s="40" t="s">
        <v>229</v>
      </c>
      <c r="D43" s="40" t="s">
        <v>230</v>
      </c>
      <c r="E43" s="40" t="s">
        <v>231</v>
      </c>
      <c r="F43" s="39" t="str">
        <f t="shared" si="1"/>
        <v>WRONG</v>
      </c>
      <c r="G43" s="39" t="s">
        <v>48</v>
      </c>
      <c r="H43" s="54" t="s">
        <v>42</v>
      </c>
      <c r="I43" s="53" t="s">
        <v>448</v>
      </c>
      <c r="J43" s="55">
        <v>30952.0</v>
      </c>
    </row>
    <row r="44" ht="60.0" customHeight="1">
      <c r="A44" s="39">
        <v>41.0</v>
      </c>
      <c r="B44" s="40" t="s">
        <v>233</v>
      </c>
      <c r="C44" s="40" t="s">
        <v>234</v>
      </c>
      <c r="D44" s="40" t="s">
        <v>235</v>
      </c>
      <c r="E44" s="40" t="s">
        <v>236</v>
      </c>
      <c r="F44" s="39" t="str">
        <f t="shared" si="1"/>
        <v>CORRECT</v>
      </c>
      <c r="G44" s="39" t="s">
        <v>42</v>
      </c>
      <c r="H44" s="55" t="s">
        <v>42</v>
      </c>
      <c r="I44" s="53" t="s">
        <v>449</v>
      </c>
      <c r="J44" s="55">
        <v>14754.0</v>
      </c>
    </row>
    <row r="45" ht="60.0" customHeight="1">
      <c r="A45" s="39">
        <v>42.0</v>
      </c>
      <c r="B45" s="40" t="s">
        <v>238</v>
      </c>
      <c r="C45" s="40" t="s">
        <v>239</v>
      </c>
      <c r="D45" s="40" t="s">
        <v>240</v>
      </c>
      <c r="E45" s="40" t="s">
        <v>241</v>
      </c>
      <c r="F45" s="39" t="str">
        <f t="shared" si="1"/>
        <v>WRONG</v>
      </c>
      <c r="G45" s="39" t="s">
        <v>36</v>
      </c>
      <c r="H45" s="54" t="s">
        <v>42</v>
      </c>
      <c r="I45" s="53" t="s">
        <v>450</v>
      </c>
      <c r="J45" s="55">
        <v>24503.0</v>
      </c>
    </row>
    <row r="46" ht="60.0" customHeight="1">
      <c r="A46" s="39">
        <v>43.0</v>
      </c>
      <c r="B46" s="40" t="s">
        <v>243</v>
      </c>
      <c r="C46" s="40" t="s">
        <v>244</v>
      </c>
      <c r="D46" s="40" t="s">
        <v>245</v>
      </c>
      <c r="E46" s="40" t="s">
        <v>246</v>
      </c>
      <c r="F46" s="39" t="str">
        <f t="shared" si="1"/>
        <v>CORRECT</v>
      </c>
      <c r="G46" s="39" t="s">
        <v>48</v>
      </c>
      <c r="H46" s="54" t="s">
        <v>48</v>
      </c>
      <c r="I46" s="53" t="s">
        <v>451</v>
      </c>
      <c r="J46" s="55">
        <v>19104.0</v>
      </c>
    </row>
    <row r="47" ht="60.0" customHeight="1">
      <c r="A47" s="39">
        <v>44.0</v>
      </c>
      <c r="B47" s="40" t="s">
        <v>248</v>
      </c>
      <c r="C47" s="40" t="s">
        <v>249</v>
      </c>
      <c r="D47" s="40" t="s">
        <v>250</v>
      </c>
      <c r="E47" s="40" t="s">
        <v>251</v>
      </c>
      <c r="F47" s="39" t="str">
        <f t="shared" si="1"/>
        <v>WRONG</v>
      </c>
      <c r="G47" s="39" t="s">
        <v>36</v>
      </c>
      <c r="H47" s="54" t="s">
        <v>48</v>
      </c>
      <c r="I47" s="53" t="s">
        <v>452</v>
      </c>
      <c r="J47" s="55">
        <v>27349.0</v>
      </c>
    </row>
    <row r="48" ht="60.0" customHeight="1">
      <c r="A48" s="39">
        <v>45.0</v>
      </c>
      <c r="B48" s="40" t="s">
        <v>253</v>
      </c>
      <c r="C48" s="40" t="s">
        <v>254</v>
      </c>
      <c r="D48" s="40" t="s">
        <v>255</v>
      </c>
      <c r="E48" s="40" t="s">
        <v>256</v>
      </c>
      <c r="F48" s="39" t="str">
        <f t="shared" si="1"/>
        <v>CORRECT</v>
      </c>
      <c r="G48" s="39" t="s">
        <v>36</v>
      </c>
      <c r="H48" s="55" t="s">
        <v>36</v>
      </c>
      <c r="I48" s="53" t="s">
        <v>453</v>
      </c>
      <c r="J48" s="55">
        <v>26888.0</v>
      </c>
    </row>
    <row r="49" ht="60.0" customHeight="1">
      <c r="A49" s="39">
        <v>46.0</v>
      </c>
      <c r="B49" s="40" t="s">
        <v>258</v>
      </c>
      <c r="C49" s="40" t="s">
        <v>39</v>
      </c>
      <c r="D49" s="40" t="s">
        <v>259</v>
      </c>
      <c r="E49" s="40" t="s">
        <v>260</v>
      </c>
      <c r="F49" s="39" t="str">
        <f t="shared" si="1"/>
        <v>CORRECT</v>
      </c>
      <c r="G49" s="39" t="s">
        <v>36</v>
      </c>
      <c r="H49" s="55" t="s">
        <v>36</v>
      </c>
      <c r="I49" s="53" t="s">
        <v>454</v>
      </c>
      <c r="J49" s="55">
        <v>21675.0</v>
      </c>
    </row>
    <row r="50">
      <c r="A50" s="44" t="s">
        <v>262</v>
      </c>
      <c r="B50" s="2"/>
      <c r="C50" s="2"/>
      <c r="D50" s="2"/>
      <c r="E50" s="3"/>
      <c r="F50" s="45">
        <f>COUNTIFS(F4:F49,"CORRECT")</f>
        <v>27</v>
      </c>
      <c r="G50" s="46"/>
      <c r="H50" s="46"/>
      <c r="J50" s="47">
        <f>AVERAGE(J4:J49)</f>
        <v>26568.45652</v>
      </c>
    </row>
    <row r="51">
      <c r="A51" s="48" t="s">
        <v>263</v>
      </c>
      <c r="B51" s="2"/>
      <c r="C51" s="2"/>
      <c r="D51" s="2"/>
      <c r="E51" s="3"/>
      <c r="F51" s="49">
        <v>46.0</v>
      </c>
      <c r="G51" s="46"/>
      <c r="H51" s="46"/>
    </row>
    <row r="52">
      <c r="A52" s="44" t="s">
        <v>264</v>
      </c>
      <c r="B52" s="2"/>
      <c r="C52" s="2"/>
      <c r="D52" s="2"/>
      <c r="E52" s="3"/>
      <c r="F52" s="50">
        <f>F50/F51</f>
        <v>0.5869565217</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455</v>
      </c>
      <c r="C2" s="2"/>
      <c r="D2" s="2"/>
      <c r="E2" s="2"/>
      <c r="F2" s="2"/>
      <c r="G2" s="2"/>
      <c r="H2" s="3"/>
      <c r="I2" s="37" t="s">
        <v>456</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CORRECT</v>
      </c>
      <c r="G4" s="39" t="s">
        <v>36</v>
      </c>
      <c r="H4" s="54" t="s">
        <v>36</v>
      </c>
      <c r="I4" s="56" t="s">
        <v>457</v>
      </c>
      <c r="J4" s="55">
        <v>28954.0</v>
      </c>
    </row>
    <row r="5" ht="60.0" customHeight="1">
      <c r="A5" s="39">
        <v>2.0</v>
      </c>
      <c r="B5" s="40" t="s">
        <v>38</v>
      </c>
      <c r="C5" s="40" t="s">
        <v>39</v>
      </c>
      <c r="D5" s="40" t="s">
        <v>40</v>
      </c>
      <c r="E5" s="40" t="s">
        <v>41</v>
      </c>
      <c r="F5" s="39" t="str">
        <f t="shared" si="1"/>
        <v>CORRECT</v>
      </c>
      <c r="G5" s="39" t="s">
        <v>42</v>
      </c>
      <c r="H5" s="54" t="s">
        <v>42</v>
      </c>
      <c r="I5" s="53" t="s">
        <v>458</v>
      </c>
      <c r="J5" s="55">
        <v>16367.0</v>
      </c>
    </row>
    <row r="6" ht="60.0" customHeight="1">
      <c r="A6" s="39">
        <v>3.0</v>
      </c>
      <c r="B6" s="40" t="s">
        <v>44</v>
      </c>
      <c r="C6" s="40" t="s">
        <v>45</v>
      </c>
      <c r="D6" s="40" t="s">
        <v>46</v>
      </c>
      <c r="E6" s="40" t="s">
        <v>47</v>
      </c>
      <c r="F6" s="39" t="str">
        <f t="shared" si="1"/>
        <v>CORRECT</v>
      </c>
      <c r="G6" s="39" t="s">
        <v>48</v>
      </c>
      <c r="H6" s="54" t="s">
        <v>48</v>
      </c>
      <c r="I6" s="53" t="s">
        <v>459</v>
      </c>
      <c r="J6" s="55">
        <v>18983.0</v>
      </c>
    </row>
    <row r="7" ht="60.0" customHeight="1">
      <c r="A7" s="39">
        <v>4.0</v>
      </c>
      <c r="B7" s="40" t="s">
        <v>50</v>
      </c>
      <c r="C7" s="40" t="s">
        <v>51</v>
      </c>
      <c r="D7" s="40" t="s">
        <v>52</v>
      </c>
      <c r="E7" s="40" t="s">
        <v>53</v>
      </c>
      <c r="F7" s="39" t="str">
        <f t="shared" si="1"/>
        <v>WRONG</v>
      </c>
      <c r="G7" s="39" t="s">
        <v>42</v>
      </c>
      <c r="H7" s="54" t="s">
        <v>460</v>
      </c>
      <c r="I7" s="53" t="s">
        <v>461</v>
      </c>
      <c r="J7" s="55">
        <v>10890.0</v>
      </c>
    </row>
    <row r="8" ht="60.0" customHeight="1">
      <c r="A8" s="39">
        <v>5.0</v>
      </c>
      <c r="B8" s="40" t="s">
        <v>55</v>
      </c>
      <c r="C8" s="40" t="s">
        <v>56</v>
      </c>
      <c r="D8" s="40" t="s">
        <v>57</v>
      </c>
      <c r="E8" s="40" t="s">
        <v>58</v>
      </c>
      <c r="F8" s="39" t="str">
        <f t="shared" si="1"/>
        <v>WRONG</v>
      </c>
      <c r="G8" s="39" t="s">
        <v>48</v>
      </c>
      <c r="H8" s="54" t="s">
        <v>42</v>
      </c>
      <c r="I8" s="53" t="s">
        <v>462</v>
      </c>
      <c r="J8" s="55">
        <v>86741.0</v>
      </c>
    </row>
    <row r="9" ht="60.0" customHeight="1">
      <c r="A9" s="39">
        <v>6.0</v>
      </c>
      <c r="B9" s="40" t="s">
        <v>60</v>
      </c>
      <c r="C9" s="40" t="s">
        <v>61</v>
      </c>
      <c r="D9" s="40" t="s">
        <v>62</v>
      </c>
      <c r="E9" s="40" t="s">
        <v>63</v>
      </c>
      <c r="F9" s="39" t="str">
        <f t="shared" si="1"/>
        <v>CORRECT</v>
      </c>
      <c r="G9" s="39" t="s">
        <v>42</v>
      </c>
      <c r="H9" s="54" t="s">
        <v>42</v>
      </c>
      <c r="I9" s="53" t="s">
        <v>463</v>
      </c>
      <c r="J9" s="55">
        <v>30659.0</v>
      </c>
    </row>
    <row r="10" ht="60.0" customHeight="1">
      <c r="A10" s="39">
        <v>7.0</v>
      </c>
      <c r="B10" s="40" t="s">
        <v>65</v>
      </c>
      <c r="C10" s="40" t="s">
        <v>66</v>
      </c>
      <c r="D10" s="40" t="s">
        <v>67</v>
      </c>
      <c r="E10" s="40" t="s">
        <v>68</v>
      </c>
      <c r="F10" s="39" t="str">
        <f t="shared" si="1"/>
        <v>WRONG</v>
      </c>
      <c r="G10" s="39" t="s">
        <v>42</v>
      </c>
      <c r="H10" s="55" t="s">
        <v>36</v>
      </c>
      <c r="I10" s="53" t="s">
        <v>464</v>
      </c>
      <c r="J10" s="55">
        <v>37896.0</v>
      </c>
    </row>
    <row r="11" ht="60.0" customHeight="1">
      <c r="A11" s="39">
        <v>8.0</v>
      </c>
      <c r="B11" s="40" t="s">
        <v>70</v>
      </c>
      <c r="C11" s="40" t="s">
        <v>71</v>
      </c>
      <c r="D11" s="40" t="s">
        <v>72</v>
      </c>
      <c r="E11" s="40" t="s">
        <v>73</v>
      </c>
      <c r="F11" s="39" t="str">
        <f t="shared" si="1"/>
        <v>WRONG</v>
      </c>
      <c r="G11" s="39" t="s">
        <v>48</v>
      </c>
      <c r="H11" s="54" t="s">
        <v>460</v>
      </c>
      <c r="I11" s="53" t="s">
        <v>465</v>
      </c>
      <c r="J11" s="55">
        <v>28819.0</v>
      </c>
    </row>
    <row r="12" ht="60.0" customHeight="1">
      <c r="A12" s="39">
        <v>9.0</v>
      </c>
      <c r="B12" s="40" t="s">
        <v>75</v>
      </c>
      <c r="C12" s="40" t="s">
        <v>76</v>
      </c>
      <c r="D12" s="40" t="s">
        <v>77</v>
      </c>
      <c r="E12" s="40" t="s">
        <v>78</v>
      </c>
      <c r="F12" s="39" t="str">
        <f t="shared" si="1"/>
        <v>WRONG</v>
      </c>
      <c r="G12" s="39" t="s">
        <v>42</v>
      </c>
      <c r="H12" s="54" t="s">
        <v>48</v>
      </c>
      <c r="I12" s="53" t="s">
        <v>466</v>
      </c>
      <c r="J12" s="55">
        <v>24695.0</v>
      </c>
    </row>
    <row r="13" ht="60.0" customHeight="1">
      <c r="A13" s="39">
        <v>10.0</v>
      </c>
      <c r="B13" s="40" t="s">
        <v>80</v>
      </c>
      <c r="C13" s="40" t="s">
        <v>81</v>
      </c>
      <c r="D13" s="40" t="s">
        <v>82</v>
      </c>
      <c r="E13" s="40" t="s">
        <v>83</v>
      </c>
      <c r="F13" s="39" t="str">
        <f t="shared" si="1"/>
        <v>WRONG</v>
      </c>
      <c r="G13" s="39" t="s">
        <v>48</v>
      </c>
      <c r="H13" s="54" t="s">
        <v>42</v>
      </c>
      <c r="I13" s="53" t="s">
        <v>467</v>
      </c>
      <c r="J13" s="55">
        <v>34061.0</v>
      </c>
    </row>
    <row r="14" ht="60.0" customHeight="1">
      <c r="A14" s="39">
        <v>11.0</v>
      </c>
      <c r="B14" s="40" t="s">
        <v>85</v>
      </c>
      <c r="C14" s="40" t="s">
        <v>86</v>
      </c>
      <c r="D14" s="40" t="s">
        <v>87</v>
      </c>
      <c r="E14" s="40" t="s">
        <v>88</v>
      </c>
      <c r="F14" s="39" t="str">
        <f t="shared" si="1"/>
        <v>CORRECT</v>
      </c>
      <c r="G14" s="39" t="s">
        <v>42</v>
      </c>
      <c r="H14" s="54" t="s">
        <v>42</v>
      </c>
      <c r="I14" s="53" t="s">
        <v>468</v>
      </c>
      <c r="J14" s="55">
        <v>78516.0</v>
      </c>
    </row>
    <row r="15" ht="60.0" customHeight="1">
      <c r="A15" s="39">
        <v>12.0</v>
      </c>
      <c r="B15" s="40" t="s">
        <v>90</v>
      </c>
      <c r="C15" s="40" t="s">
        <v>91</v>
      </c>
      <c r="D15" s="40" t="s">
        <v>92</v>
      </c>
      <c r="E15" s="40" t="s">
        <v>93</v>
      </c>
      <c r="F15" s="39" t="str">
        <f t="shared" si="1"/>
        <v>CORRECT</v>
      </c>
      <c r="G15" s="39" t="s">
        <v>48</v>
      </c>
      <c r="H15" s="54" t="s">
        <v>48</v>
      </c>
      <c r="I15" s="53" t="s">
        <v>469</v>
      </c>
      <c r="J15" s="55">
        <v>29068.0</v>
      </c>
    </row>
    <row r="16" ht="60.0" customHeight="1">
      <c r="A16" s="39">
        <v>13.0</v>
      </c>
      <c r="B16" s="40" t="s">
        <v>95</v>
      </c>
      <c r="C16" s="40" t="s">
        <v>96</v>
      </c>
      <c r="D16" s="40" t="s">
        <v>97</v>
      </c>
      <c r="E16" s="40" t="s">
        <v>98</v>
      </c>
      <c r="F16" s="39" t="str">
        <f t="shared" si="1"/>
        <v>WRONG</v>
      </c>
      <c r="G16" s="39" t="s">
        <v>36</v>
      </c>
      <c r="H16" s="54" t="s">
        <v>48</v>
      </c>
      <c r="I16" s="53" t="s">
        <v>470</v>
      </c>
      <c r="J16" s="55">
        <v>18529.0</v>
      </c>
    </row>
    <row r="17" ht="60.0" customHeight="1">
      <c r="A17" s="39">
        <v>14.0</v>
      </c>
      <c r="B17" s="40" t="s">
        <v>100</v>
      </c>
      <c r="C17" s="40" t="s">
        <v>101</v>
      </c>
      <c r="D17" s="40" t="s">
        <v>102</v>
      </c>
      <c r="E17" s="40" t="s">
        <v>103</v>
      </c>
      <c r="F17" s="39" t="str">
        <f t="shared" si="1"/>
        <v>WRONG</v>
      </c>
      <c r="G17" s="39" t="s">
        <v>36</v>
      </c>
      <c r="H17" s="54" t="s">
        <v>48</v>
      </c>
      <c r="I17" s="56" t="s">
        <v>471</v>
      </c>
      <c r="J17" s="55">
        <v>26624.0</v>
      </c>
    </row>
    <row r="18" ht="60.0" customHeight="1">
      <c r="A18" s="39">
        <v>15.0</v>
      </c>
      <c r="B18" s="40" t="s">
        <v>105</v>
      </c>
      <c r="C18" s="40" t="s">
        <v>106</v>
      </c>
      <c r="D18" s="40" t="s">
        <v>107</v>
      </c>
      <c r="E18" s="40" t="s">
        <v>108</v>
      </c>
      <c r="F18" s="39" t="str">
        <f t="shared" si="1"/>
        <v>CORRECT</v>
      </c>
      <c r="G18" s="39" t="s">
        <v>48</v>
      </c>
      <c r="H18" s="55" t="s">
        <v>48</v>
      </c>
      <c r="I18" s="53" t="s">
        <v>472</v>
      </c>
      <c r="J18" s="55">
        <v>23108.0</v>
      </c>
    </row>
    <row r="19" ht="60.0" customHeight="1">
      <c r="A19" s="39">
        <v>16.0</v>
      </c>
      <c r="B19" s="40" t="s">
        <v>110</v>
      </c>
      <c r="C19" s="40" t="s">
        <v>111</v>
      </c>
      <c r="D19" s="40" t="s">
        <v>112</v>
      </c>
      <c r="E19" s="40" t="s">
        <v>113</v>
      </c>
      <c r="F19" s="39" t="str">
        <f t="shared" si="1"/>
        <v>CORRECT</v>
      </c>
      <c r="G19" s="39" t="s">
        <v>48</v>
      </c>
      <c r="H19" s="54" t="s">
        <v>48</v>
      </c>
      <c r="I19" s="53" t="s">
        <v>473</v>
      </c>
      <c r="J19" s="55">
        <v>16530.0</v>
      </c>
    </row>
    <row r="20" ht="60.0" customHeight="1">
      <c r="A20" s="39">
        <v>17.0</v>
      </c>
      <c r="B20" s="40" t="s">
        <v>115</v>
      </c>
      <c r="C20" s="40" t="s">
        <v>116</v>
      </c>
      <c r="D20" s="40" t="s">
        <v>117</v>
      </c>
      <c r="E20" s="40" t="s">
        <v>118</v>
      </c>
      <c r="F20" s="39" t="str">
        <f t="shared" si="1"/>
        <v>WRONG</v>
      </c>
      <c r="G20" s="39" t="s">
        <v>42</v>
      </c>
      <c r="H20" s="54" t="s">
        <v>36</v>
      </c>
      <c r="I20" s="53" t="s">
        <v>474</v>
      </c>
      <c r="J20" s="55">
        <v>29276.0</v>
      </c>
    </row>
    <row r="21" ht="60.0" customHeight="1">
      <c r="A21" s="39">
        <v>18.0</v>
      </c>
      <c r="B21" s="40" t="s">
        <v>120</v>
      </c>
      <c r="C21" s="40" t="s">
        <v>121</v>
      </c>
      <c r="D21" s="40" t="s">
        <v>122</v>
      </c>
      <c r="E21" s="40" t="s">
        <v>123</v>
      </c>
      <c r="F21" s="39" t="str">
        <f t="shared" si="1"/>
        <v>CORRECT</v>
      </c>
      <c r="G21" s="39" t="s">
        <v>42</v>
      </c>
      <c r="H21" s="55" t="s">
        <v>42</v>
      </c>
      <c r="I21" s="53" t="s">
        <v>475</v>
      </c>
      <c r="J21" s="55">
        <v>21669.0</v>
      </c>
    </row>
    <row r="22" ht="60.0" customHeight="1">
      <c r="A22" s="39">
        <v>19.0</v>
      </c>
      <c r="B22" s="40" t="s">
        <v>125</v>
      </c>
      <c r="C22" s="40" t="s">
        <v>126</v>
      </c>
      <c r="D22" s="40" t="s">
        <v>127</v>
      </c>
      <c r="E22" s="40" t="s">
        <v>128</v>
      </c>
      <c r="F22" s="39" t="str">
        <f t="shared" si="1"/>
        <v>WRONG</v>
      </c>
      <c r="G22" s="39" t="s">
        <v>36</v>
      </c>
      <c r="H22" s="54" t="s">
        <v>42</v>
      </c>
      <c r="I22" s="53" t="s">
        <v>476</v>
      </c>
      <c r="J22" s="55">
        <v>20074.0</v>
      </c>
    </row>
    <row r="23" ht="60.0" customHeight="1">
      <c r="A23" s="39">
        <v>20.0</v>
      </c>
      <c r="B23" s="40" t="s">
        <v>130</v>
      </c>
      <c r="C23" s="40" t="s">
        <v>131</v>
      </c>
      <c r="D23" s="40" t="s">
        <v>132</v>
      </c>
      <c r="E23" s="40" t="s">
        <v>133</v>
      </c>
      <c r="F23" s="39" t="str">
        <f t="shared" si="1"/>
        <v>CORRECT</v>
      </c>
      <c r="G23" s="39" t="s">
        <v>42</v>
      </c>
      <c r="H23" s="54" t="s">
        <v>42</v>
      </c>
      <c r="I23" s="53" t="s">
        <v>477</v>
      </c>
      <c r="J23" s="55">
        <v>17109.0</v>
      </c>
    </row>
    <row r="24" ht="60.0" customHeight="1">
      <c r="A24" s="39">
        <v>21.0</v>
      </c>
      <c r="B24" s="40" t="s">
        <v>135</v>
      </c>
      <c r="C24" s="40" t="s">
        <v>136</v>
      </c>
      <c r="D24" s="40" t="s">
        <v>137</v>
      </c>
      <c r="E24" s="40" t="s">
        <v>138</v>
      </c>
      <c r="F24" s="39" t="str">
        <f t="shared" si="1"/>
        <v>WRONG</v>
      </c>
      <c r="G24" s="39" t="s">
        <v>42</v>
      </c>
      <c r="H24" s="54" t="s">
        <v>36</v>
      </c>
      <c r="I24" s="53" t="s">
        <v>478</v>
      </c>
      <c r="J24" s="55">
        <v>6259.0</v>
      </c>
    </row>
    <row r="25" ht="60.0" customHeight="1">
      <c r="A25" s="39">
        <v>22.0</v>
      </c>
      <c r="B25" s="40" t="s">
        <v>140</v>
      </c>
      <c r="C25" s="40" t="s">
        <v>141</v>
      </c>
      <c r="D25" s="40" t="s">
        <v>142</v>
      </c>
      <c r="E25" s="40" t="s">
        <v>143</v>
      </c>
      <c r="F25" s="39" t="str">
        <f t="shared" si="1"/>
        <v>CORRECT</v>
      </c>
      <c r="G25" s="39" t="s">
        <v>42</v>
      </c>
      <c r="H25" s="54" t="s">
        <v>42</v>
      </c>
      <c r="I25" s="53" t="s">
        <v>479</v>
      </c>
      <c r="J25" s="55">
        <v>15776.0</v>
      </c>
    </row>
    <row r="26" ht="60.0" customHeight="1">
      <c r="A26" s="39">
        <v>23.0</v>
      </c>
      <c r="B26" s="40" t="s">
        <v>145</v>
      </c>
      <c r="C26" s="40" t="s">
        <v>146</v>
      </c>
      <c r="D26" s="40" t="s">
        <v>147</v>
      </c>
      <c r="E26" s="40" t="s">
        <v>148</v>
      </c>
      <c r="F26" s="39" t="str">
        <f t="shared" si="1"/>
        <v>WRONG</v>
      </c>
      <c r="G26" s="39" t="s">
        <v>48</v>
      </c>
      <c r="H26" s="55" t="s">
        <v>42</v>
      </c>
      <c r="I26" s="53" t="s">
        <v>480</v>
      </c>
      <c r="J26" s="55">
        <v>8022.0</v>
      </c>
    </row>
    <row r="27" ht="60.0" customHeight="1">
      <c r="A27" s="39">
        <v>24.0</v>
      </c>
      <c r="B27" s="40" t="s">
        <v>150</v>
      </c>
      <c r="C27" s="40" t="s">
        <v>151</v>
      </c>
      <c r="D27" s="40" t="s">
        <v>152</v>
      </c>
      <c r="E27" s="40" t="s">
        <v>153</v>
      </c>
      <c r="F27" s="39" t="str">
        <f t="shared" si="1"/>
        <v>CORRECT</v>
      </c>
      <c r="G27" s="39" t="s">
        <v>36</v>
      </c>
      <c r="H27" s="54" t="s">
        <v>36</v>
      </c>
      <c r="I27" s="53" t="s">
        <v>481</v>
      </c>
      <c r="J27" s="55">
        <v>20835.0</v>
      </c>
    </row>
    <row r="28" ht="60.0" customHeight="1">
      <c r="A28" s="39">
        <v>25.0</v>
      </c>
      <c r="B28" s="40" t="s">
        <v>155</v>
      </c>
      <c r="C28" s="40" t="s">
        <v>151</v>
      </c>
      <c r="D28" s="40" t="s">
        <v>156</v>
      </c>
      <c r="E28" s="40" t="s">
        <v>153</v>
      </c>
      <c r="F28" s="39" t="str">
        <f t="shared" si="1"/>
        <v>WRONG</v>
      </c>
      <c r="G28" s="39" t="s">
        <v>48</v>
      </c>
      <c r="H28" s="54" t="s">
        <v>36</v>
      </c>
      <c r="I28" s="53" t="s">
        <v>482</v>
      </c>
      <c r="J28" s="55">
        <v>12317.0</v>
      </c>
    </row>
    <row r="29" ht="60.0" customHeight="1">
      <c r="A29" s="39">
        <v>26.0</v>
      </c>
      <c r="B29" s="40" t="s">
        <v>158</v>
      </c>
      <c r="C29" s="40" t="s">
        <v>159</v>
      </c>
      <c r="D29" s="40" t="s">
        <v>160</v>
      </c>
      <c r="E29" s="40" t="s">
        <v>161</v>
      </c>
      <c r="F29" s="39" t="str">
        <f t="shared" si="1"/>
        <v>WRONG</v>
      </c>
      <c r="G29" s="39" t="s">
        <v>36</v>
      </c>
      <c r="H29" s="54" t="s">
        <v>48</v>
      </c>
      <c r="I29" s="53" t="s">
        <v>483</v>
      </c>
      <c r="J29" s="55">
        <v>24367.0</v>
      </c>
    </row>
    <row r="30" ht="60.0" customHeight="1">
      <c r="A30" s="39">
        <v>27.0</v>
      </c>
      <c r="B30" s="40" t="s">
        <v>163</v>
      </c>
      <c r="C30" s="40" t="s">
        <v>164</v>
      </c>
      <c r="D30" s="40" t="s">
        <v>165</v>
      </c>
      <c r="E30" s="40" t="s">
        <v>166</v>
      </c>
      <c r="F30" s="39" t="str">
        <f t="shared" si="1"/>
        <v>WRONG</v>
      </c>
      <c r="G30" s="39" t="s">
        <v>42</v>
      </c>
      <c r="H30" s="54" t="s">
        <v>36</v>
      </c>
      <c r="I30" s="53" t="s">
        <v>484</v>
      </c>
      <c r="J30" s="55">
        <v>27557.0</v>
      </c>
    </row>
    <row r="31" ht="60.0" customHeight="1">
      <c r="A31" s="39">
        <v>28.0</v>
      </c>
      <c r="B31" s="40" t="s">
        <v>168</v>
      </c>
      <c r="C31" s="40" t="s">
        <v>169</v>
      </c>
      <c r="D31" s="40" t="s">
        <v>170</v>
      </c>
      <c r="E31" s="40" t="s">
        <v>171</v>
      </c>
      <c r="F31" s="39" t="str">
        <f t="shared" si="1"/>
        <v>CORRECT</v>
      </c>
      <c r="G31" s="39" t="s">
        <v>36</v>
      </c>
      <c r="H31" s="54" t="s">
        <v>36</v>
      </c>
      <c r="I31" s="53" t="s">
        <v>485</v>
      </c>
      <c r="J31" s="55">
        <v>9353.0</v>
      </c>
    </row>
    <row r="32" ht="60.0" customHeight="1">
      <c r="A32" s="39">
        <v>29.0</v>
      </c>
      <c r="B32" s="40" t="s">
        <v>173</v>
      </c>
      <c r="C32" s="40" t="s">
        <v>174</v>
      </c>
      <c r="D32" s="40" t="s">
        <v>175</v>
      </c>
      <c r="E32" s="40" t="s">
        <v>176</v>
      </c>
      <c r="F32" s="39" t="str">
        <f t="shared" si="1"/>
        <v>WRONG</v>
      </c>
      <c r="G32" s="39" t="s">
        <v>42</v>
      </c>
      <c r="H32" s="54" t="s">
        <v>48</v>
      </c>
      <c r="I32" s="53" t="s">
        <v>486</v>
      </c>
      <c r="J32" s="55">
        <v>34497.0</v>
      </c>
    </row>
    <row r="33" ht="60.0" customHeight="1">
      <c r="A33" s="39">
        <v>30.0</v>
      </c>
      <c r="B33" s="40" t="s">
        <v>178</v>
      </c>
      <c r="C33" s="40" t="s">
        <v>179</v>
      </c>
      <c r="D33" s="40" t="s">
        <v>180</v>
      </c>
      <c r="E33" s="40" t="s">
        <v>181</v>
      </c>
      <c r="F33" s="39" t="str">
        <f t="shared" si="1"/>
        <v>WRONG</v>
      </c>
      <c r="G33" s="39" t="s">
        <v>48</v>
      </c>
      <c r="H33" s="54" t="s">
        <v>36</v>
      </c>
      <c r="I33" s="53" t="s">
        <v>487</v>
      </c>
      <c r="J33" s="55">
        <v>12415.0</v>
      </c>
    </row>
    <row r="34" ht="60.0" customHeight="1">
      <c r="A34" s="39">
        <v>31.0</v>
      </c>
      <c r="B34" s="40" t="s">
        <v>183</v>
      </c>
      <c r="C34" s="40" t="s">
        <v>184</v>
      </c>
      <c r="D34" s="40" t="s">
        <v>185</v>
      </c>
      <c r="E34" s="40" t="s">
        <v>186</v>
      </c>
      <c r="F34" s="39" t="str">
        <f t="shared" si="1"/>
        <v>WRONG</v>
      </c>
      <c r="G34" s="39" t="s">
        <v>42</v>
      </c>
      <c r="H34" s="54" t="s">
        <v>36</v>
      </c>
      <c r="I34" s="53" t="s">
        <v>488</v>
      </c>
      <c r="J34" s="55">
        <v>25215.0</v>
      </c>
    </row>
    <row r="35" ht="60.0" customHeight="1">
      <c r="A35" s="39">
        <v>32.0</v>
      </c>
      <c r="B35" s="40" t="s">
        <v>188</v>
      </c>
      <c r="C35" s="40" t="s">
        <v>189</v>
      </c>
      <c r="D35" s="40" t="s">
        <v>190</v>
      </c>
      <c r="E35" s="40" t="s">
        <v>191</v>
      </c>
      <c r="F35" s="39" t="str">
        <f t="shared" si="1"/>
        <v>WRONG</v>
      </c>
      <c r="G35" s="39" t="s">
        <v>36</v>
      </c>
      <c r="H35" s="54" t="s">
        <v>460</v>
      </c>
      <c r="I35" s="53" t="s">
        <v>489</v>
      </c>
      <c r="J35" s="55">
        <v>26298.0</v>
      </c>
    </row>
    <row r="36" ht="60.0" customHeight="1">
      <c r="A36" s="39">
        <v>33.0</v>
      </c>
      <c r="B36" s="40" t="s">
        <v>193</v>
      </c>
      <c r="C36" s="40" t="s">
        <v>194</v>
      </c>
      <c r="D36" s="40" t="s">
        <v>195</v>
      </c>
      <c r="E36" s="40" t="s">
        <v>196</v>
      </c>
      <c r="F36" s="39" t="str">
        <f t="shared" si="1"/>
        <v>WRONG</v>
      </c>
      <c r="G36" s="39" t="s">
        <v>48</v>
      </c>
      <c r="H36" s="54" t="s">
        <v>36</v>
      </c>
      <c r="I36" s="53" t="s">
        <v>490</v>
      </c>
      <c r="J36" s="55">
        <v>20396.0</v>
      </c>
    </row>
    <row r="37" ht="60.0" customHeight="1">
      <c r="A37" s="39">
        <v>34.0</v>
      </c>
      <c r="B37" s="40" t="s">
        <v>198</v>
      </c>
      <c r="C37" s="40" t="s">
        <v>199</v>
      </c>
      <c r="D37" s="40" t="s">
        <v>200</v>
      </c>
      <c r="E37" s="40" t="s">
        <v>201</v>
      </c>
      <c r="F37" s="39" t="str">
        <f t="shared" si="1"/>
        <v>CORRECT</v>
      </c>
      <c r="G37" s="39" t="s">
        <v>36</v>
      </c>
      <c r="H37" s="54" t="s">
        <v>36</v>
      </c>
      <c r="I37" s="53" t="s">
        <v>491</v>
      </c>
      <c r="J37" s="55">
        <v>14822.0</v>
      </c>
    </row>
    <row r="38" ht="60.0" customHeight="1">
      <c r="A38" s="39">
        <v>35.0</v>
      </c>
      <c r="B38" s="40" t="s">
        <v>203</v>
      </c>
      <c r="C38" s="40" t="s">
        <v>204</v>
      </c>
      <c r="D38" s="40" t="s">
        <v>205</v>
      </c>
      <c r="E38" s="40" t="s">
        <v>206</v>
      </c>
      <c r="F38" s="39" t="str">
        <f t="shared" si="1"/>
        <v>WRONG</v>
      </c>
      <c r="G38" s="39" t="s">
        <v>48</v>
      </c>
      <c r="H38" s="54" t="s">
        <v>36</v>
      </c>
      <c r="I38" s="53" t="s">
        <v>492</v>
      </c>
      <c r="J38" s="55">
        <v>11202.0</v>
      </c>
    </row>
    <row r="39" ht="60.0" customHeight="1">
      <c r="A39" s="39">
        <v>36.0</v>
      </c>
      <c r="B39" s="40" t="s">
        <v>208</v>
      </c>
      <c r="C39" s="40" t="s">
        <v>209</v>
      </c>
      <c r="D39" s="40" t="s">
        <v>210</v>
      </c>
      <c r="E39" s="40" t="s">
        <v>211</v>
      </c>
      <c r="F39" s="39" t="str">
        <f t="shared" si="1"/>
        <v>WRONG</v>
      </c>
      <c r="G39" s="39" t="s">
        <v>36</v>
      </c>
      <c r="H39" s="54" t="s">
        <v>48</v>
      </c>
      <c r="I39" s="53" t="s">
        <v>493</v>
      </c>
      <c r="J39" s="55">
        <v>15082.0</v>
      </c>
    </row>
    <row r="40" ht="60.0" customHeight="1">
      <c r="A40" s="39">
        <v>37.0</v>
      </c>
      <c r="B40" s="40" t="s">
        <v>213</v>
      </c>
      <c r="C40" s="40" t="s">
        <v>214</v>
      </c>
      <c r="D40" s="40" t="s">
        <v>215</v>
      </c>
      <c r="E40" s="40" t="s">
        <v>216</v>
      </c>
      <c r="F40" s="39" t="str">
        <f t="shared" si="1"/>
        <v>WRONG</v>
      </c>
      <c r="G40" s="39" t="s">
        <v>36</v>
      </c>
      <c r="H40" s="54" t="s">
        <v>460</v>
      </c>
      <c r="I40" s="53" t="s">
        <v>494</v>
      </c>
      <c r="J40" s="55">
        <v>34249.0</v>
      </c>
    </row>
    <row r="41" ht="60.0" customHeight="1">
      <c r="A41" s="39">
        <v>38.0</v>
      </c>
      <c r="B41" s="40" t="s">
        <v>218</v>
      </c>
      <c r="C41" s="40" t="s">
        <v>219</v>
      </c>
      <c r="D41" s="40" t="s">
        <v>220</v>
      </c>
      <c r="E41" s="40" t="s">
        <v>221</v>
      </c>
      <c r="F41" s="39" t="str">
        <f t="shared" si="1"/>
        <v>CORRECT</v>
      </c>
      <c r="G41" s="39" t="s">
        <v>36</v>
      </c>
      <c r="H41" s="55" t="s">
        <v>36</v>
      </c>
      <c r="I41" s="53" t="s">
        <v>495</v>
      </c>
      <c r="J41" s="55">
        <v>32576.0</v>
      </c>
    </row>
    <row r="42" ht="60.0" customHeight="1">
      <c r="A42" s="39">
        <v>39.0</v>
      </c>
      <c r="B42" s="40" t="s">
        <v>223</v>
      </c>
      <c r="C42" s="40" t="s">
        <v>224</v>
      </c>
      <c r="D42" s="40" t="s">
        <v>225</v>
      </c>
      <c r="E42" s="40" t="s">
        <v>226</v>
      </c>
      <c r="F42" s="39" t="str">
        <f t="shared" si="1"/>
        <v>WRONG</v>
      </c>
      <c r="G42" s="39" t="s">
        <v>42</v>
      </c>
      <c r="H42" s="54" t="s">
        <v>48</v>
      </c>
      <c r="I42" s="53" t="s">
        <v>496</v>
      </c>
      <c r="J42" s="55">
        <v>12016.0</v>
      </c>
    </row>
    <row r="43" ht="60.0" customHeight="1">
      <c r="A43" s="39">
        <v>40.0</v>
      </c>
      <c r="B43" s="40" t="s">
        <v>228</v>
      </c>
      <c r="C43" s="40" t="s">
        <v>229</v>
      </c>
      <c r="D43" s="40" t="s">
        <v>230</v>
      </c>
      <c r="E43" s="40" t="s">
        <v>231</v>
      </c>
      <c r="F43" s="39" t="str">
        <f t="shared" si="1"/>
        <v>WRONG</v>
      </c>
      <c r="G43" s="39" t="s">
        <v>48</v>
      </c>
      <c r="H43" s="54" t="s">
        <v>42</v>
      </c>
      <c r="I43" s="53" t="s">
        <v>497</v>
      </c>
      <c r="J43" s="55">
        <v>22350.0</v>
      </c>
    </row>
    <row r="44" ht="60.0" customHeight="1">
      <c r="A44" s="39">
        <v>41.0</v>
      </c>
      <c r="B44" s="40" t="s">
        <v>233</v>
      </c>
      <c r="C44" s="40" t="s">
        <v>234</v>
      </c>
      <c r="D44" s="40" t="s">
        <v>235</v>
      </c>
      <c r="E44" s="40" t="s">
        <v>236</v>
      </c>
      <c r="F44" s="39" t="str">
        <f t="shared" si="1"/>
        <v>CORRECT</v>
      </c>
      <c r="G44" s="39" t="s">
        <v>42</v>
      </c>
      <c r="H44" s="54" t="s">
        <v>42</v>
      </c>
      <c r="I44" s="53" t="s">
        <v>498</v>
      </c>
      <c r="J44" s="55">
        <v>20266.0</v>
      </c>
    </row>
    <row r="45" ht="60.0" customHeight="1">
      <c r="A45" s="39">
        <v>42.0</v>
      </c>
      <c r="B45" s="40" t="s">
        <v>238</v>
      </c>
      <c r="C45" s="40" t="s">
        <v>239</v>
      </c>
      <c r="D45" s="40" t="s">
        <v>240</v>
      </c>
      <c r="E45" s="40" t="s">
        <v>241</v>
      </c>
      <c r="F45" s="39" t="str">
        <f t="shared" si="1"/>
        <v>WRONG</v>
      </c>
      <c r="G45" s="39" t="s">
        <v>36</v>
      </c>
      <c r="H45" s="54" t="s">
        <v>42</v>
      </c>
      <c r="I45" s="53" t="s">
        <v>499</v>
      </c>
      <c r="J45" s="55">
        <v>24107.0</v>
      </c>
    </row>
    <row r="46" ht="60.0" customHeight="1">
      <c r="A46" s="39">
        <v>43.0</v>
      </c>
      <c r="B46" s="40" t="s">
        <v>243</v>
      </c>
      <c r="C46" s="40" t="s">
        <v>244</v>
      </c>
      <c r="D46" s="40" t="s">
        <v>245</v>
      </c>
      <c r="E46" s="40" t="s">
        <v>246</v>
      </c>
      <c r="F46" s="39" t="str">
        <f t="shared" si="1"/>
        <v>WRONG</v>
      </c>
      <c r="G46" s="39" t="s">
        <v>48</v>
      </c>
      <c r="H46" s="54" t="s">
        <v>460</v>
      </c>
      <c r="I46" s="56" t="s">
        <v>500</v>
      </c>
      <c r="J46" s="55">
        <v>58446.0</v>
      </c>
    </row>
    <row r="47" ht="60.0" customHeight="1">
      <c r="A47" s="39">
        <v>44.0</v>
      </c>
      <c r="B47" s="40" t="s">
        <v>248</v>
      </c>
      <c r="C47" s="40" t="s">
        <v>249</v>
      </c>
      <c r="D47" s="40" t="s">
        <v>250</v>
      </c>
      <c r="E47" s="40" t="s">
        <v>251</v>
      </c>
      <c r="F47" s="39" t="str">
        <f t="shared" si="1"/>
        <v>WRONG</v>
      </c>
      <c r="G47" s="39" t="s">
        <v>36</v>
      </c>
      <c r="H47" s="54" t="s">
        <v>48</v>
      </c>
      <c r="I47" s="53" t="s">
        <v>501</v>
      </c>
      <c r="J47" s="55">
        <v>28418.0</v>
      </c>
    </row>
    <row r="48" ht="60.0" customHeight="1">
      <c r="A48" s="39">
        <v>45.0</v>
      </c>
      <c r="B48" s="40" t="s">
        <v>253</v>
      </c>
      <c r="C48" s="40" t="s">
        <v>254</v>
      </c>
      <c r="D48" s="40" t="s">
        <v>255</v>
      </c>
      <c r="E48" s="40" t="s">
        <v>256</v>
      </c>
      <c r="F48" s="39" t="str">
        <f t="shared" si="1"/>
        <v>CORRECT</v>
      </c>
      <c r="G48" s="39" t="s">
        <v>36</v>
      </c>
      <c r="H48" s="54" t="s">
        <v>36</v>
      </c>
      <c r="I48" s="53" t="s">
        <v>502</v>
      </c>
      <c r="J48" s="55">
        <v>15248.0</v>
      </c>
    </row>
    <row r="49" ht="60.0" customHeight="1">
      <c r="A49" s="39">
        <v>46.0</v>
      </c>
      <c r="B49" s="40" t="s">
        <v>258</v>
      </c>
      <c r="C49" s="40" t="s">
        <v>39</v>
      </c>
      <c r="D49" s="40" t="s">
        <v>259</v>
      </c>
      <c r="E49" s="40" t="s">
        <v>260</v>
      </c>
      <c r="F49" s="39" t="str">
        <f t="shared" si="1"/>
        <v>CORRECT</v>
      </c>
      <c r="G49" s="39" t="s">
        <v>36</v>
      </c>
      <c r="H49" s="54" t="s">
        <v>36</v>
      </c>
      <c r="I49" s="56" t="s">
        <v>503</v>
      </c>
      <c r="J49" s="55">
        <v>23317.0</v>
      </c>
    </row>
    <row r="50">
      <c r="A50" s="44" t="s">
        <v>262</v>
      </c>
      <c r="B50" s="2"/>
      <c r="C50" s="2"/>
      <c r="D50" s="2"/>
      <c r="E50" s="3"/>
      <c r="F50" s="45">
        <f>COUNTIFS(F4:F49,"CORRECT")</f>
        <v>18</v>
      </c>
      <c r="G50" s="46"/>
      <c r="H50" s="46"/>
      <c r="J50" s="47">
        <f>AVERAGE(J4:J49)</f>
        <v>25086.3913</v>
      </c>
    </row>
    <row r="51">
      <c r="A51" s="48" t="s">
        <v>263</v>
      </c>
      <c r="B51" s="2"/>
      <c r="C51" s="2"/>
      <c r="D51" s="2"/>
      <c r="E51" s="3"/>
      <c r="F51" s="49">
        <v>46.0</v>
      </c>
      <c r="G51" s="46"/>
      <c r="H51" s="46"/>
    </row>
    <row r="52">
      <c r="A52" s="44" t="s">
        <v>264</v>
      </c>
      <c r="B52" s="2"/>
      <c r="C52" s="2"/>
      <c r="D52" s="2"/>
      <c r="E52" s="3"/>
      <c r="F52" s="50">
        <f>F50/F51</f>
        <v>0.3913043478</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