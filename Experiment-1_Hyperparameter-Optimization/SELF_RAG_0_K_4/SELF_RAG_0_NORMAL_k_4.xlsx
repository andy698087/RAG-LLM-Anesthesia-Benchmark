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<sst xmlns="http://schemas.openxmlformats.org/spreadsheetml/2006/main" count="3482" uniqueCount="518">
  <si>
    <t>SUMMARY RESULT BETWEEN TEST</t>
  </si>
  <si>
    <t>Temp</t>
  </si>
  <si>
    <t>Topp</t>
  </si>
  <si>
    <t>Parameters</t>
  </si>
  <si>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</si>
  <si>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</si>
  <si>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</si>
  <si>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</si>
  <si>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</si>
  <si>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</si>
  <si>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</si>
  <si>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</si>
  <si>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r>
      <rPr>
        <rFont val="Arial"/>
        <color theme="1"/>
      </rPr>
      <t>embed_model="</t>
    </r>
    <r>
      <rPr>
        <rFont val="Arial"/>
        <b/>
        <color rgb="FF3D85C6"/>
      </rPr>
      <t>dunzhang/stella_en_400M_v5</t>
    </r>
    <r>
      <rPr>
        <rFont val="Arial"/>
        <color theme="1"/>
      </rPr>
      <t>"
len = 500
k = 4
k_ws = 4</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</si>
  <si>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</si>
  <si>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</si>
  <si>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</si>
  <si>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</si>
  <si>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</si>
  <si>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</si>
  <si>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</si>
  <si>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</si>
  <si>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</si>
  <si>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</si>
  <si>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</si>
  <si>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</si>
  <si>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</si>
  <si>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</si>
  <si>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</si>
  <si>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</si>
  <si>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</si>
  <si>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</si>
  <si>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</si>
  <si>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</si>
  <si>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</si>
  <si>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</si>
  <si>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</si>
  <si>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</si>
  <si>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as it innervates the medial leg and can extend as far as the base of the great toe."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</si>
  <si>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</si>
  <si>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</si>
  <si>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</si>
  <si>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</si>
  <si>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</si>
  <si>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after receiving morphine and midazolam, which suggests that the pain is likely due to spasm of the sphincter of Oddi. Naloxone is the most appropriate therapy for this patient's pain as it can reverse the effects of opioids and relieve the spasm."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</si>
  <si>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</si>
  <si>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</si>
  <si>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</si>
  <si>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</si>
  <si>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</si>
  <si>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hypercalcemia can lead to dehydration and electrolyte imbalances, and normal saline can help to replenish fluids and electrolytes. Additionally, normal saline can help to reduce the severity of symptoms such as nausea, vomiting, and constipation."</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</si>
  <si>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</si>
  <si>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</si>
  <si>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</si>
  <si>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</si>
  <si>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the most reliable test to predict the likelihood of a patient developing malignant hyperthermia, with the highest sensitivity and specificity, as stated in the text."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</si>
  <si>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</si>
  <si>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</si>
  <si>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</si>
  <si>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</si>
  <si>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amount of anesthetic added to the fresh gas stream. The vaporizer adds 100 mL/min of anesthetic vapor to the oxygen flow, which is then mixed with the fresh gas flow of 5 L/min. To find the concentration, we can use the formula: concentration = (amount of anesthetic added / total gas flow) x 100. Substituting the values, we get: concentration = (100 mL/min / (100 mL/min + 5000 mL/min)) x 100 = 2%. However, the correct answer is 0.5%, which is the correct calculation: concentration = (150 mmHg / 1500 mmHg) x 2.5%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</si>
  <si>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</si>
  <si>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</si>
  <si>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</si>
  <si>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</si>
  <si>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mechanism for maintaining body temperature in an adult patient with mild hypothermia anesthetized with 1 MAC of isoflurane, as it helps to reduce heat loss by constricting blood vessels and conserving body heat."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</si>
  <si>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</si>
  <si>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</si>
  <si>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</si>
  <si>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</si>
  <si>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flumazenil is administered to antagonize the effects of midazolam, the patient may still be at risk of experiencing prolonged sedation and respiratory depression, making it necessary to remain hospitalized for observation." }</t>
  </si>
  <si>
    <t>Which of the following factors exerts the GREATEST effect on the extent of spread of local anesthetic following subarachnoid block with hyperbaric bupivacaine?</t>
  </si>
  <si>
    <t>A. Added epinephrine</t>
  </si>
  <si>
    <t>B. Patient position</t>
  </si>
  <si>
    <t>C. Total dose of drug</t>
  </si>
  <si>
    <t>{   "Answer": "C",   "Explain": "The total dose of drug exerts the greatest effect on the extent of spread of local anesthetic following subarachnoid block with hyperbaric bupivacaine because a higher dose of bupivacaine will spread further down the spinal cord, whereas added epinephrine and patient position have a relatively smaller impact on the spread of the anesthetic."</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</si>
  <si>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</si>
  <si>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</si>
  <si>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</si>
  <si>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</si>
  <si>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is breathing 100% O2 with an SpO2 of 80%. The most appropriate management is to provide positive-pressure ventilation to help improve oxygenation and alleviate hypoxemia."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</si>
  <si>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</si>
  <si>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</si>
  <si>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</si>
  <si>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</si>
  <si>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"C",   "Explain": "The patient suddenly develops sharp pain in the left shoulder, which is an unusual symptom for TURP syndrome. The most likely cause is inadequate spinal sensory level, as the desired sensory level of T10 was not achieved, leading to inadequate anesthesia and subsequent symptoms."</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</si>
  <si>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</si>
  <si>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</si>
  <si>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</si>
  <si>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</si>
  <si>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patient's SpO2 decreases from 99% to 90% and the partial pressure of ETCO2 increases from 38 to 43 mmHg, which suggests a ventilation-perfusion mismatch. The Trendelenburg position and CO2 insufflation during laparoscopy may cause compression of the vena cava, leading to decreased venous return and decreased oxygen delivery to the tissues, resulting in a decrease in SpO2."</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</si>
  <si>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</si>
  <si>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</si>
  <si>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</si>
  <si>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</si>
  <si>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mild hypoxemia. The most likely cause of this is hypoventilation, as the patient is receiving IV PCA with morphine, which can cause respiratory depression, and the patient has a history of obesity, which is also a risk factor for hypoventilation."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</si>
  <si>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</si>
  <si>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</si>
  <si>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</si>
  <si>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</si>
  <si>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as the ventilator senses the patient's inspiratory effort and provides additional pressure to assist their breathing."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</si>
  <si>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</si>
  <si>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</si>
  <si>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</si>
  <si>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</si>
  <si>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accompanied by an increase in coronary perfusion pressure to ensure adequate oxygen delivery to the heart muscle." }</t>
  </si>
  <si>
    <t>Which of the following laboratory values is MOST likely to confirm adequate synthetic hepatic function?</t>
  </si>
  <si>
    <t>A. Partial thromboplastin time</t>
  </si>
  <si>
    <t>B. Prothrombin time</t>
  </si>
  <si>
    <t>C. Serum alanine aminotransferase concentration</t>
  </si>
  <si>
    <t>{   "Answer": "B",   "Explain": "A prothrombin time (PT) or international normalized ratio (INR) is a test of liver synthetic function because it measures the liver's ability to produce clotting factors, which have a shorter half-life than albumin. A prolonged PT or INR can indicate liver failure or dysfunction, making it a more sensitive indicator of liver synthetic function than albumin levels."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</si>
  <si>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</si>
  <si>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</si>
  <si>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</si>
  <si>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</si>
  <si>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timed with the shock waves during extracorporeal shock wave lithotripsy to avoid cardiac dysrhythmias, making it the best strategy to prevent ventricular dysrhythmias in patients undergoing this procedure."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</si>
  <si>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</si>
  <si>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</si>
  <si>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</si>
  <si>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</si>
  <si>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enters the circuit at the patient's end, rather than at the reservoir bag, which reduces the amount of rebreathing that occurs."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</si>
  <si>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</si>
  <si>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</si>
  <si>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</si>
  <si>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</si>
  <si>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waveform to be displaced or altered, resulting in the observed findings between point A and point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</si>
  <si>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</si>
  <si>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</si>
  <si>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</si>
  <si>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</si>
  <si>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anesthesiologist should administer hydrocortisone, followed by cefazolin, as the patient has a history of rash with penicillin administration, indicating a possible allergy, and cefazolin is a cephalosporin, which may cause cross-reactivity." }</t>
  </si>
  <si>
    <t>Which of the following factors DECREASES the MAC of isoflurane?</t>
  </si>
  <si>
    <t>A. Acute cocaine intoxication</t>
  </si>
  <si>
    <t>B. Chronic ethanol abuse</t>
  </si>
  <si>
    <t>C. Symptomatic hyponatremia</t>
  </si>
  <si>
    <t>{   "Answer": "C",   "Explain": "Symptomatic hyponatremia decreases the MAC of isoflurane, as mentioned in the context."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</si>
  <si>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</si>
  <si>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</si>
  <si>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</si>
  <si>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</si>
  <si>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 blocks the release of norepinephrine, a neurotransmitter that plays a crucial role in increasing heart rate and blood pressure, leading to a decrease in cardiovascular activity and a primary toxic effect on the cardiovascular system."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</si>
  <si>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</si>
  <si>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</si>
  <si>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</si>
  <si>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</si>
  <si>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in the oxyhemoglobin dissociation curve, allowing for more efficient unloading of oxygen in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</si>
  <si>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</si>
  <si>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</si>
  <si>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</si>
  <si>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</si>
  <si>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a decrease in cardiac output and peripheral resistance, which in turn decreases peripheral vascular tone." }</t>
  </si>
  <si>
    <t>Which of the following anesthetic drugs is MOST likely to be associated with longer seizure duration when used for electroconvulsive therapy?</t>
  </si>
  <si>
    <t>A. Etomidate</t>
  </si>
  <si>
    <t>B. Methohexital</t>
  </si>
  <si>
    <t>C. Propofol</t>
  </si>
  <si>
    <t>{   "Answer": "A",   "Explain": "Etomidate is most likely to be associated with longer seizure duration when used for electroconvulsive therapy because it does not cause dose-related seizure inhibition during ECT, unlike methohexital or propofol, and is also associated with longer seizures in response to ECT compared to the other two anesthetic drugs."</t>
  </si>
  <si>
    <t>Which of the following drugs does NOT cause enhanced activity of the GABA receptor?</t>
  </si>
  <si>
    <t>B. Ketamine</t>
  </si>
  <si>
    <t>{   "Answer": "A",   "Explain": "Etomidate does not enhance activity of the GABA receptor, unlike other options such as propofol and ketamine, which are known to potentiate GABA receptors." }</t>
  </si>
  <si>
    <t>Which of the following components is MISPLACED in the circle system shown in the above illustration?</t>
  </si>
  <si>
    <t>A. Fresh gas inlet</t>
  </si>
  <si>
    <t>B. CO2 absorber</t>
  </si>
  <si>
    <t>C. Expiratory valve</t>
  </si>
  <si>
    <t>{   "Answer": "C",   "Explain": "The expiratory valve is closed during the inspiratory phase, which is not shown in the figure. The correct position of the expiratory valve is during the expiratory phase, not during the inspiratory phase." }</t>
  </si>
  <si>
    <t>A new IV anesthetic is found to have a very large volume of distribution. This drug is MOST likely to have which of the following properties?</t>
  </si>
  <si>
    <t>A. Low lipid solubility</t>
  </si>
  <si>
    <t>B. High rate of ionization</t>
  </si>
  <si>
    <t>C. Low plasma protein binding</t>
  </si>
  <si>
    <t>{   "Answer": "C",   "Explain": "A large volume of distribution is typically associated with a low plasma protein binding, as the drug is not being extensively bound to plasma proteins, allowing it to distribute widely throughout the body." }</t>
  </si>
  <si>
    <t>Which of the following drugs has the LONGEST duration of action in a patient with renal failure?</t>
  </si>
  <si>
    <t>A. Neostigmine</t>
  </si>
  <si>
    <t>B. Rocuronium</t>
  </si>
  <si>
    <t>C. Succinylcholine</t>
  </si>
  <si>
    <t>{   "Answer": "B",   "Explain": "Rocuronium has the longest duration of action in patients with renal failure due to an increase in its elimination half-life, which is increased in renal failure due to an increase in the volume of distribution with no change in clearance."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</si>
  <si>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</si>
  <si>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</si>
  <si>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</si>
  <si>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</si>
  <si>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sensation in the trachea and vocal cords." }</t>
  </si>
  <si>
    <t>Gagging that occurs during awake intubation is BEST prevented by local anesthetic block of which of the following nerves?</t>
  </si>
  <si>
    <t>A. Superior laryngeal</t>
  </si>
  <si>
    <t>B. Glossopharyngeal</t>
  </si>
  <si>
    <t>C. Hypoglossal</t>
  </si>
  <si>
    <t>{   "Answer": "A",   "Explain": "Gagging during awake intubation is best prevented by local anesthetic block of the superior laryngeal nerve, which is responsible for transmitting sensory information from the larynx to the brain and plays a crucial role in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</si>
  <si>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</si>
  <si>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</si>
  <si>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</si>
  <si>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</si>
  <si>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occurs when anesthetics bind to thermoreceptors in the hypothalamus, leading to a decrease in sympathetic tone and subsequent vasodilation. This reduces blood flow to the core, causing a rapid drop in core temperature."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</si>
  <si>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</si>
  <si>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</si>
  <si>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</si>
  <si>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</si>
  <si>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and then improved to 92% when FiO2 was increased to 1.0. This suggests that the hypoxemia was caused by a decrease in functional residual capacity (FRC), leading to intrapulmonary shunting and decreased oxygenation."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</si>
  <si>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</si>
  <si>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</si>
  <si>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</si>
  <si>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</si>
  <si>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which suggests that the brachial plexus is already blocked. The musculocutaneous nerve is a branch of the brachial plexus and is responsible for innervating the forearm muscles. Therefore, an additional block of the musculocutaneous nerve would be the most appropriate next step to ensure adequate anesthesia for the procedure."</t>
  </si>
  <si>
    <t>Which of the following mechanisms is PRIMARILY responsible for emergence after a single dose of propofol?</t>
  </si>
  <si>
    <t>A. Redistribution</t>
  </si>
  <si>
    <t>B. Metabolism</t>
  </si>
  <si>
    <t>C. Excretion</t>
  </si>
  <si>
    <t>{   "Answer": "A",   "Explain": "Redistribution is primarily responsible for emergence after a single dose of propofol, as it is a rapid process that occurs within minutes of cessation of propofol infusion, leading to a decrease in the concentration of propofol in the brain and a subsequent increase in arousal and consciousness."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</si>
  <si>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</si>
  <si>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</si>
  <si>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</si>
  <si>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</si>
  <si>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"The O2 analyzer reading decreased from 50% to 30% over 30 minutes, which suggests that the O2 being delivered is not being accurately measured. This could be due to accumulation of water on the O2 sensor membrane, which would cause a decrease in the O2 reading. Therefore, the most likely cause of the decrease in O2 analyzer reading is the accumulation of water on the O2 sensor membrane." }No relevant document was found, therefore the answer is based solely on the model trained parameters!!!</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</si>
  <si>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</si>
  <si>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</si>
  <si>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</si>
  <si>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</si>
  <si>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intense analgesia and amnesia, despite appearing to be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</si>
  <si>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</si>
  <si>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</si>
  <si>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</si>
  <si>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</si>
  <si>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the most likely explanation for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</si>
  <si>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</si>
  <si>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</si>
  <si>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</si>
  <si>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</si>
  <si>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shows the precision of the population mean, as it indicates the amount of variation in the sample means that would be expected if the sampling were repeated many times."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</si>
  <si>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</si>
  <si>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</si>
  <si>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</si>
  <si>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</si>
  <si>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 because carboxyhemoglobin has an absorbance of light that is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</si>
  <si>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</si>
  <si>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</si>
  <si>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</si>
  <si>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</si>
  <si>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initial fasting blood glucose level is 100 mg/dL, which is within the normal range. During the 4-hour general anesthetic, the patient's blood glucose level is likely to remain stable or slightly increase due to the anesthetic agents and the body's natural response to stress. Therefore, on emergence, the patient's blood glucose level is most likely to be mildly hyperglycemic."</t>
  </si>
  <si>
    <t>Which of the following drugs INCREASES gastric pH while decreasing gastric volume?</t>
  </si>
  <si>
    <t>A. Glycopyrrolate</t>
  </si>
  <si>
    <t>B. Metoclopramide</t>
  </si>
  <si>
    <t>C. Ranitidine</t>
  </si>
  <si>
    <t>{   "Answer": "C",   "Explain": "Ranitidine, an H2 receptor antagonist, increases gastric pH while decreasing gastric volume, making it the correct answer."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</si>
  <si>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</si>
  <si>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</si>
  <si>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</si>
  <si>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</si>
  <si>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"The lower blood gas solubility of nitrous oxide compared to desflurane allows for a more rapid equilibration of alveolar and inspired concentrations, as it is not as easily absorbed into the bloodstream, resulting in a faster rate of rise in alveolar concentration." }</t>
  </si>
  <si>
    <t>Which of the following goals is the PRIMARY purpose of denitrogenation prior to anesthetic induction?</t>
  </si>
  <si>
    <t>A. Improving matching of ventilation and perfusion</t>
  </si>
  <si>
    <t>B. Increasing O2 reserve in the FRC</t>
  </si>
  <si>
    <t>C. Maximizing arterial O2 content</t>
  </si>
  <si>
    <t>{   "Answer": "A",   "Explain": "Preoxygenation prior to anesthetic induction is primarily to improve matching of ventilation and perfusion, as it increases the time period a patient can safely be apneic, allowing for a longer window to secure the airway and resume ventilation."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</si>
  <si>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</si>
  <si>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</si>
  <si>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</si>
  <si>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</si>
  <si>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hoarseness (aphonia) due to the unopposed adduction of the left vocal cord, resulting in bilateral vocal cord paramedian positioning." }</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</si>
  <si>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</si>
  <si>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</si>
  <si>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</si>
  <si>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</si>
  <si>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low due to the increased oxygen extraction from the blood. This is because the body is trying to eliminate excess oxygen from the blood, resulting in a lower mixed venous O2 tension. A value of 45 mmHg is a reasonable estimate of the expected mixed venous O2 tension in a normal adult under these conditions."</t>
  </si>
  <si>
    <t>Which of the following drugs has the SHORTEST elimination half-life?</t>
  </si>
  <si>
    <t>B. Lorazepam</t>
  </si>
  <si>
    <t>C. Midazolam</t>
  </si>
  <si>
    <t>{   "Answer": "A",   "Explain": "According to the provided context, flumazenil has a very rapid clearance and short elimination half-life, making it the shortest-lived compound among the options." }</t>
  </si>
  <si>
    <t>TOTAL CORRECT ANSWERS</t>
  </si>
  <si>
    <t>TOTAL QUESTIONS</t>
  </si>
  <si>
    <t>RATIO</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</si>
  <si>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</si>
  <si>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</si>
  <si>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 }</t>
  </si>
  <si>
    <t>{   "Answer": "C",   "Explain": "The patient is experiencing right upper quadrant abdominal pain and nausea after receiving morphine and midazolam, which suggests that the pain may be related to spasm of the sphincter of Oddi. Naloxone is the most appropriate therapy for this patient's pain as it can reverse the effects of opioids and relieve the spasm of the sphincter of Oddi." }</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</si>
  <si>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}No relevant document was found, therefore the answer is based solely on the model trained parameters!!!</t>
  </si>
  <si>
    <t>{   "Answer": "C",   "Explain": "The caffeine-halothane contracture test is the most reliable test to predict the likelihood of a patient developing malignant hyperthermia, with the highest sensitivity and specificity." }</t>
  </si>
  <si>
    <t>{   "Answer": "B",   "Explain": "To find the delivered anesthetic concentration, we need to calculate the amount of anesthetic added to the fresh gas stream. The vaporizer adds 100 mL/min of anesthetic vapor to the oxygen flow, which is then mixed with the 5 L/min fresh gas flow. The anesthetic vapor pressure is 150 mmHg. To find the delivered concentration, we can use the formula: delivered concentration = (amount of anesthetic added / total gas flow) x 100. Substituting the values, we get: delivered concentration = (100 mL/min / (100 mL/min + 5000 mL/min)) x 100 = 2%. However, the correct answer is 0.5%, which is option B." }</t>
  </si>
  <si>
    <t>{   "Answer": "C",   "Explain": "Vasoconstriction is the most effective mechanism for maintaining body temperature in this patient because it reduces heat loss by convection and radiation, allowing the body to conserve heat and maintain its temperature." }</t>
  </si>
  <si>
    <t>{   "Answer": "A",   "Explain": "Flumazenil has low affinity for benzodiazepine receptors, which means it does not bind strongly to the receptors, allowing the patient to remain sedated and potentially experience rebound sedation and respiratory suppression if not monitored closely." }</t>
  </si>
  <si>
    <t>{   "Answer": "C",   "Explain": "The total dose of drug exerts the greatest effect on the extent of spread of local anesthetic following subarachnoid block with hyperbaric bupivacaine because it directly influences the amount of anesthetic solution that spreads throughout the cerebrospinal fluid, with higher doses resulting in a greater spread." }</t>
  </si>
  <si>
    <t>{   "Answer": "B",   "Explain": "The patient is experiencing pulmonary edema after resolution of postoperative laryngospasm, which is a non-cardiogenic cause. Furosemide is a diuretic that can help alleviate pulmonary edema by reducing fluid overload and improving oxygenation." }</t>
  </si>
  <si>
    <t>{   "Answer": "C",   "Explain": "The patient developed symptoms 45 minutes after the start of the procedure, which is a relatively late onset. The symptoms include nausea, diaphoresis, and sharp pain in the left shoulder, which are not typical of angina pectoris or bladder perforation. Therefore, the most likely cause is inadequate spinal sensory level, which may not have provided adequate anesthesia for the patient's entire body, leading to the development of symptoms." }</t>
  </si>
  <si>
    <t>{   "Answer": "B",   "Explain": "The patient is in the Trendelenburg position with CO2 insufflation, which can cause compression of the vena cava, leading to a decrease in SpO2. The increase in ETCO2 from 38 to 43 mmHg suggests that the insufflation is not the primary cause of the decrease in SpO2, as it would likely increase ETCO2 further. Therefore, compression of the vena cava is the most likely cause of the decrease in SpO2." }</t>
  </si>
  <si>
    <t>{   "Answer": "B",   "Explain": "The patient's SpO2 is 90% on room air, indicating mild hypoxemia. The most likely cause of this is hypoventilation, as mentioned in the context, which can lead to an increase in arterial partial pressure of carbon dioxide (PaCO2) and subsequent hypoxemia." }</t>
  </si>
  <si>
    <t>{   "Answer": "B",   "Explain": "During anesthesia induction, the increased heart rate from 60 bpm to 120 bpm increases myocardial oxygen demand. To satisfy this increased demand, the most likely factor to increase is increased coronary perfusion pressure, which would allow for more oxygen-rich blood to reach the myocardium." }</t>
  </si>
  <si>
    <t>{   "Answer": "B",   "Explain": "Prothrombin time (PT) is a test that measures the liver's ability to synthesize clotting factors, which have a short half-life. As a result, PT is a sensitive indicator of acute changes in liver synthetic function, making it the most likely laboratory value to confirm adequate synthetic hepatic function." }</t>
  </si>
  <si>
    <t>{   "Answer": "B",   "Explain": "Beta-adrenergic blockade is not mentioned in the context, epidural blockade to T4 is not relevant to preventing ventricular dysrhythmias. ECG synchronization is the best strategy to prevent ventricular dysrhythmias in a patient undergoing extracorporeal shock wave lithotripsy, as it helps to avoid cardiac dysrhythmias by timing the shock waves with the patient's ECG."</t>
  </si>
  <si>
    <t>{   "Answer": "C",   "Explain": "The patient is in the lateral position, which can cause the diaphragm to rise and compress the lungs, leading to a decrease in tidal volume and a more shallow inspiration, resulting in a waveform with a decreased height between point A and point B." }</t>
  </si>
  <si>
    <t>{   "Answer": "B",   "Explain": "The anesthesiologist should administer hydrocortisone, followed by cefazolin, as the patient has a history of rash with penicillin administration, indicating a possible allergy, and cefazolin is a cephalosporin, which may cause cross-reactivity."</t>
  </si>
  <si>
    <t>{   "Answer": "A",   "Explain": "After a single dose of propofol, the primary mechanism responsible for emergence is redistribution, which is the rapid redistribution of the drug from the brain and other highly perfused tissues to other areas of the body, leading to a decrease in its concentration in the brain and a subsequent decrease in its anesthetic effects." }</t>
  </si>
  <si>
    <t>{   "Answer": "A",   "Explain": "The standard error of the mean shows the precision of the population mean, as it represents the amount of uncertainty associated with the sample mean as an estimate of the population mean." }</t>
  </si>
  <si>
    <t>{   "Answer": "A",   "Explain": "After breathing 100% O2 for 10 minutes, the mixed venous O2 tension is expected to be 45 mmHg because the oxygen consumption (VO2) is reduced, and the cardiac output (Q) is increased, resulting in a decrease in the mixed venous O2 saturation (SvO2)."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</si>
  <si>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</si>
  <si>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</si>
  <si>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pain and nausea after receiving morphine and midazolam, which are both opioids. This suggests that the pain may be related to spasm of the sphincter of Oddi, which can be treated with naloxone, an opioid antagonist. Therefore, naloxone is the most appropriate therapy for this patient's pain." }</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</si>
  <si>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the risk of cardiac arrhythmias and other complications." }No relevant document was found, therefore the answer is based solely on the model trained parameters!!!</t>
  </si>
  <si>
    <t>{   "Answer": "C",   "Explain": "The caffeine-halothane contracture test has the highest sensitivity and specificity for malignant hyperthermia, making it the most reliable test to predict the likelihood of developing the condition." }</t>
  </si>
  <si>
    <t>{   "Answer": "B",   "Explain": "To find the delivered anesthetic concentration, we need to calculate the amount of anesthetic added to the fresh gas stream. The vaporizer adds 100 mL/min of anesthetic vapor to the oxygen flow, which is then mixed with the 5 L/min fresh gas flow. The anesthetic vapor pressure is 150 mmHg. To find the delivered concentration, we can use the formula: delivered concentration = (amount of anesthetic added / total gas flow) x 100%. In this case, the amount of anesthetic added is 100 mL/min, and the total gas flow is 5.1 L/min (100 mL/min + 5 L/min). So, the delivered concentration is (100 mL/min / 5.1 L/min) x 100% = 1.96%. This is closest to 0.5%, which is option B."</t>
  </si>
  <si>
    <t>{   "Answer": "C",   "Explain": "Vasoconstriction is the most effective mechanism for maintaining body temperature in this patient with mild hypothermia. This is because vasoconstriction reduces heat loss by decreasing blood flow to the skin and extremities, allowing the body to conserve heat and maintain its core temperature." }</t>
  </si>
  <si>
    <t>{   "Answer": "A",   "Explain": "Flumazenil has low affinity for benzodiazepine receptors, which means it does not bind strongly to the receptors, allowing the patient to recover from midazolam-induced sedation more quickly." }</t>
  </si>
  <si>
    <t>{   "Answer": "B",   "Explain": "The patient is experiencing pulmonary edema after resolution of postoperative laryngospasm, which is a non-cardiogenic cause. Furosemide is a diuretic that can help alleviate pulmonary edema by reducing fluid overload and improving oxygenation, making it the most appropriate management strategy in this case."</t>
  </si>
  <si>
    <t>{   "Answer": "C",   "Explain": "The patient developed symptoms 45 minutes after the start of the procedure, which is a relatively late onset. The symptoms include nausea, diaphoresis, and sharp pain in the left shoulder, which are not typical of angina pectoris or bladder perforation. Therefore, the most likely cause is inadequate spinal sensory level, which may not have provided adequate anesthesia for the patient's symptoms." }</t>
  </si>
  <si>
    <t>{   "Answer": "B",   "Explain": "The patient is receiving IV PCA with morphine, which can cause hypoventilation, and she has a history of obesity, which is also a risk factor for hypoventilation. Additionally, the patient's SpO2 is 90% on room air, which suggests that she may be experiencing some degree of hypoxemia. Therefore, the most likely cause of her hypoxemia is hypoventilation."</t>
  </si>
  <si>
    <t>{   "Answer": "A",   "Explain": "In pressure support ventilation, pressure support breaths are triggered by a decrease in airway pressure, as the ventilator senses the patient's inspiratory effort and provides additional pressure to assist with breathing." }</t>
  </si>
  <si>
    <t>{   "Answer": "B",   "Explain": "During anesthesia induction, the increased heart rate from 60 bpm to 120 bpm increases myocardial oxygen demand. To satisfy this increased demand, the most likely factor is an increase in coronary perfusion pressure, which would allow for increased oxygen delivery to the myocardium." }</t>
  </si>
  <si>
    <t>{   "Answer": "B",   "Explain": "Prothrombin time (PT) is a test of synthetic liver function, as it measures the time it takes for a clot to form in the blood. A prolonged PT indicates impaired liver function, which is a sign of inadequate synthetic function." }</t>
  </si>
  <si>
    <t>{   "Answer": "B",   "Explain": "Beta-adrenergic blockade is not mentioned in the context, but ECG synchronization is a strategy that prevents ventricular dysrhythmias in a patient undergoing extracorporeal shock wave lithotripsy by timing the shock waves with the patient's ECG to avoid cardiac dysrhythmias." }</t>
  </si>
  <si>
    <t>{   "Answer": "C",   "Explain": "The patient is in the lateral position, which can cause the capnograph waveform to be affected, resulting in a flat or absent waveform between points A and B." }</t>
  </si>
  <si>
    <t>{   "Answer": "B",   "Explain": "“Administer hydrocortisone, followed by cefazolin” is the most appropriate action because the patient developed a rash with past administration of penicillin, indicating a possible allergy. Hydrocortisone can help alleviate any potential allergic reaction, and then cefazolin can be administered if the patient does not have a severe allergy."</t>
  </si>
  <si>
    <t>{   "Answer": "A",   "Explain": "Bupivacaine blocks the release of norepinephrine, a neurotransmitter that plays a crucial role in increasing heart rate and blood pressure, leading to a decrease in blood pressure and cardiac output, which is the primary toxic effect on the cardiovascular system." }</t>
  </si>
  <si>
    <t>{   "Answer": "B",   "Explain": "Myocardial contractility is decreased in patients with clinical hypothyroidism due to the decreased levels of thyroid hormones, which play a crucial role in regulating cardiac function." }</t>
  </si>
  <si>
    <t>{   "Answer": "A",   "Explain": "Etomidate is most likely to be associated with longer seizure duration when used for electroconvulsive therapy because it does not cause dose-related seizure inhibition, unlike methohexital or propofol, and is more likely to lead to generalized activation, which can prolong seizure duration." }</t>
  </si>
  <si>
    <t>{   "Answer": "A",   "Explain": "Etomidate does not enhance activity of the GABA receptor, unlike the other options, which all have been shown to potentiate GABA receptors." }</t>
  </si>
  <si>
    <t>{   "Answer": "C",   "Explain": "The expiratory valve is closed during the inspiratory phase, but in the given circle system illustration, it is shown as open, which is incorrect." }</t>
  </si>
  <si>
    <t>{   "Answer": "C",   "Explain": "A large volume of distribution is typically associated with a low plasma protein binding, as the drug is not being bound to proteins in the bloodstream, allowing it to distribute widely throughout the body." }</t>
  </si>
  <si>
    <t>{   "Answer": "A",   "Explain": "Redistribution is primarily responsible for emergence after a single dose of propofol. This is because propofol is a rapidly redistributed anesthetic, meaning it is quickly absorbed and distributed throughout the body, leading to a rapid decrease in its concentration in the brain and subsequent emergence from anesthesia." }</t>
  </si>
  <si>
    <t>{   "Answer": "A",   "Explain": "The standard error of the mean shows the precision of the population mean, as it indicates the amount of variability in the sample means that can be expected due to random sampling." }</t>
  </si>
  <si>
    <t>{   "Answer": "B",   "Explain": "Pulse oximetry does not accurately reflect SaO2 in the presence of carboxyhemoglobin because carboxyhemoglobin has an absorbance of light that is similar to oxyhemoglobin, leading to a falsely high SpO2 reading." }</t>
  </si>
  <si>
    <t>{   "Answer": "B",   "Explain": "On emergence from anesthesia, the patient's blood glucose level is likely to be mildly elevated due to the anesthetic agents and the patient's normal response to stress. The fasting blood glucose level of 100 mg/dL is not significantly elevated, and the patient is not diabetic, so marked hypoglycemia or marked hyperglycemia is unlikely." }</t>
  </si>
  <si>
    <t>{   "Answer": "C",   "Explain": "Ranitidine, an H2 receptor antagonist, increases gastric pH while decreasing gastric volume, making it a suitable option for altering gastric contents to prevent pulmonary aspiration." }</t>
  </si>
  <si>
    <t>{   "Answer": "C",   "Explain": "The lower blood gas solubility of nitrous oxide compared to desflurane allows it to equilibrate more rapidly with alveolar and inspired concentrations, as it is not as easily absorbed into the bloodstream, resulting in a faster rate of rise in alveolar concentration." }</t>
  </si>
  <si>
    <t>{   "Answer": "A",   "Explain": "Preoxygenation is done to improve matching of ventilation and perfusion, as it increases the time period the patient can safely be apneic, providing an improved margin of safety while the anesthesiologist secures the airway and resumes ventilation." }</t>
  </si>
  <si>
    <t>{   "Answer": "B",   "Explain": "A 32-year-old woman sustains an injury to the left recurrent laryngeal nerve during thyroidectomy, which is likely to cause hoarseness (aphonia) due to the unopposed adduction of the left vocal cord, leading to bilateral vocal cord paramedian positioning." }</t>
  </si>
  <si>
    <t>{   "Answer": "A",   "Explain": "After breathing 100% O2 for 10 minutes, the mixed venous O2 tension is expected to be around 45 mmHg, as the oxygen consumption (VO2) is reduced and the oxygen delivery (DO2) is increased, resulting in a higher mixed venous O2 saturation."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</si>
  <si>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</si>
  <si>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</si>
  <si>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</si>
  <si>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"A prolonged prothrombin time (PT) is a laboratory value that is most likely to confirm adequate synthetic hepatic function, as it measures the time it takes for the liver to produce clotting factors, which is an indicator of liver synthetic function." }</t>
  </si>
  <si>
    <t>{   "Answer": "B",   "Explain": "Beta-adrenergic blockade is not mentioned as a prevention strategy, epidural blockade to T4 is not relevant to this context. ECG synchronization is the strategy that BEST prevents ventricular dysrhythmias in a patient undergoing extracorporeal shock wave lithotripsy, as it helps to avoid electrical discharges during the shock waves." }</t>
  </si>
  <si>
    <t>{   "Answer": "C",   "Explain": "The patient is in the lateral position, which can cause the capnograph waveform to be affected, resulting in a decrease in amplitude between point A and point B." }</t>
  </si>
  <si>
    <t>{   "Answer": "A",   "Explain": "Redistribution is primarily responsible for emergence after a single dose of propofol, as it is a rapid process that occurs within minutes of the cessation of propofol administration, allowing the body to eliminate the drug from the bloodstream and restore normal physiological functions." }</t>
  </si>
  <si>
    <t>{   "Answer": "A",   "Explain": "The standard error of the mean shows the precision of the population mean, as it measures how much the sample mean varies from the population mean, providing an estimate of the accuracy of the sample mean as a representative of the population mean."</t>
  </si>
  <si>
    <t>{   "Answer": "A",   "Explain": "According to the context, breathing 100% oxygen for 10 minutes will generally increase the mixed venous oxygen tension to around 40 mmHg. This is also supported by another source stating that oxygen tension in venous blood at sea level is between 30 mmHg and 40 mmHg, which is the normal range."</t>
  </si>
  <si>
    <t>{   "Answer": "A",   "Explain": "Flumazenil has a very rapid clearance and short elimination half-life compared to other benzodiazepine receptor agonists, making it the shortest-lived compound among the options."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</si>
  <si>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</si>
  <si>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</si>
  <si>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opioid-induced spasm of the sphincter of Oddi, which is causing her right upper quadrant abdominal pain and nausea. Naloxone is the most appropriate therapy to reverse this effect, as it is an opioid antagonist that can counteract the action of morphine and relieve the spasm." }</t>
  </si>
  <si>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such as muscle weakness, fatigue, and kidney stones." }No relevant document was found, therefore the answer is based solely on the model trained parameters!!!</t>
  </si>
  <si>
    <t>{   "Answer": "C",   "Explain": "The caffeine-halothane contracture test is the most reliable test to predict the likelihood of a patient developing malignant hyperthermia, with the highest sensitivity and specificity compared to calcium uptake assay in skeletal muscle biopsy and genetic testing of the ryanodine receptor." }</t>
  </si>
  <si>
    <t>{   "Answer": "B",   "Explain": "The vaporizer output is 25mL/min, which is calculated by subtracting the vapor pressure from the atmospheric pressure (760 mmHg - 150 mmHg = 25mL/min). This output is then mixed with the fresh gas flow of 5L/min, resulting in a delivered anesthetic concentration of 25mL/5L = 0.5%."</t>
  </si>
  <si>
    <t>{   "Answer": "A",   "Explain": "Flumazenil has low affinity for benzodiazepine receptors, which means it is less likely to cause rebound sedation and respiratory suppression, making it a better choice for reversing midazolam-induced sedation." }</t>
  </si>
  <si>
    <t>{   "Answer": "C",   "Explain": "The total dose of drug exerts the greatest effect on the extent of spread of local anesthetic following subarachnoid block with hyperbaric bupivacaine because a higher dose of the drug can spread further and more extensively throughout the cerebrospinal fluid, whereas added epinephrine and patient position have a relatively smaller impact on the spread of the anesthetic." }</t>
  </si>
  <si>
    <t>{   "Answer": "B",   "Explain": "The patient is experiencing pulmonary edema after resolution of postoperative laryngospasm, and the most appropriate management is to administer furosemide to reduce pulmonary hydrostatic pressures and alleviate the edema." }</t>
  </si>
  <si>
    <t>{   "Answer": "C",   "Explain": "The patient developed symptoms 45 minutes after the start of the procedure, which is within the expected timeframe for a spinal anesthetic to take effect. The symptoms of nausea, diaphoresis, and sharp pain in the left shoulder are more likely related to an inadequate sensory level rather than angina pectoris or bladder perforation." }</t>
  </si>
  <si>
    <t>{   "Answer": "B",   "Explain": "The patient is in the Trendelenburg position with CO2 insufflation, which can cause compression of the vena cava, leading to a decrease in SpO2. The increase in ETCO2 from 38 to 43 mmHg suggests that the patient is not ventilating adequately, which is not the most likely cause of the decrease in SpO2. Therefore, compression of the vena cava is the most likely cause of the decrease in SpO2." }</t>
  </si>
  <si>
    <t>{   "Answer": "B",   "Explain": "The patient is receiving IV PCA with morphine, which can cause hypoventilation. The patient's SpO2 is 90% on room air, indicating mild hypoxemia. The most likely cause of her hypoxemia is hypoventilation due to the effects of morphine." }</t>
  </si>
  <si>
    <t>{   "Answer": "B",   "Explain": "During an increase in heart rate from 60 bpm to 120 bpm, the myocardium's increased metabolic demand requires increased coronary perfusion pressure to maintain adequate oxygen supply. Therefore, increased coronary perfusion pressure is most likely to satisfy the increased metabolic demand of the myocardium." }</t>
  </si>
  <si>
    <t>{   "Answer": "B",   "Explain": "A prothrombin time (PT) is a test that measures the time it takes for the blood to clot, which is an indicator of liver synthetic function. The PT is more sensitive to liver dysfunction than albumin, making it a better test to confirm adequate synthetic hepatic function." }</t>
  </si>
  <si>
    <t>{   "Answer": "B",   "Explain": "During extracorporeal shock wave lithotripsy, shock waves are timed with the ECG to avoid cardiac dysrhythmias, so the best strategy to prevent ventricular dysrhythmias is to use ECG synchronization."</t>
  </si>
  <si>
    <t>{   "Answer": "A",   "Explain": "Compared to a semiclosed circle system, a Bain circuit exhibits less rebreathing of CO2 because the fresh gas enters the circuit at the patient's end, allowing for more efficient removal of exhaled gases and reducing the amount of rebreathing." }</t>
  </si>
  <si>
    <t>{   "Answer": "C",   "Explain": "The patient is in the lateral position, which can cause the patient to breathe more shallowly, resulting in a flat or depressed capnograph waveform between points A and B." }</t>
  </si>
  <si>
    <t>{   "Answer": "B",   "Explain": "“Administer hydrocortisone, followed by cefazolin” is the most appropriate action because the patient has a history of a rash with penicillin administration, indicating a possible allergy, and cefazolin is a cephalosporin, which may cause cross-reactivity. Hydrocortisone is given to counteract the allergic reaction, and then cefazolin can be administered if the patient does not exhibit any adverse reactions."</t>
  </si>
  <si>
    <t>{   "Answer": "A",   "Explain": "Bupivacaine blocks the release of norepinephrine, a neurotransmitter that plays a crucial role in the body's fight-or-flight response, leading to a decrease in blood pressure and cardiac output, causing cardiovascular depression." }</t>
  </si>
  <si>
    <t>{   "Answer": "C",   "Explain": "Hyperthermia causes a rightward shift in the oxyhemoglobin dissociation curve, allowing for more efficient release of oxygen to tissues." }</t>
  </si>
  <si>
    <t>{   "Answer": "B",   "Explain": "Hypothyroidism decreases myocardial contractility, leading to a decrease in cardiac output and peripheral resistance, making option B the most likely answer." }</t>
  </si>
  <si>
    <t>{   "Answer": "A",   "Explain": "Etomidate is most likely to be associated with longer seizure duration when used for electroconvulsive therapy because it does not cause dose-related seizure inhibition during ECT, unlike methohexital or propofol, and larger doses of etomidate can lead to generalized activation, which may prolong seizure duration." }</t>
  </si>
  <si>
    <t>{   "Answer": B,   "Explain": "Ketamine does not enhance the activity of GABA receptors, whereas etomidate and propofol do." }</t>
  </si>
  <si>
    <t>{   "Answer": "C",   "Explain": "The expiratory valve is closed during the inspiratory phase, which is not shown in the illustration. In a typical circle system, the expiratory valve is usually closed during inspiration and opens during expiration." }</t>
  </si>
  <si>
    <t>{   "Answer": "C",   "Explain": "A large volume of distribution is typically associated with a low rate of plasma protein binding, as the drug is not being held onto by proteins in the blood, allowing it to distribute widely throughout the body." }</t>
  </si>
  <si>
    <t>{   "Answer": "B",   "Explain": "Rocuronium has the longest duration of action in patients with renal failure due to an increase in its elimination half-life due to an increase in volume of distribution with no change in clearance." }</t>
  </si>
  <si>
    <t>{   "Answer": "C",   "Explain": "Instillation of local anesthetic into the trachea via the cricothyroid membrane is most likely to block the recurrent laryngeal nerve, which innervates the trachea and vocal cords." }</t>
  </si>
  <si>
    <t>{   "Answer": "A",   "Explain": "Gagging during awake intubation is best prevented by local anesthetic block of the superior laryngeal nerve, which is responsible for sensory innervation of the larynx and trachea." }</t>
  </si>
  <si>
    <t>{   "Answer": "A",   "Explain": "Ablation of thermoregulatory vasoconstriction occurs when general anesthesia suppresses the hypothalamic thermoregulatory centers, leading to a decrease in sympathetic tone and subsequent vasodilation. This results in a reduction in core temperature as blood flow is redistributed from the core to the periphery." }</t>
  </si>
  <si>
    <t>{   "Answer": "A",   "Explain": "The patient's SpO2 decreased from 98% to 84% and then improved to 92% when FiO2 was increased to 1.0, suggesting that the hypoxemia was due to a problem with oxygen delivery rather than a problem with oxygen consumption. This is consistent with decreased FRC, which can lead to intrapulmonary shunting and hypoxemia." }</t>
  </si>
  <si>
    <t>{   "Answer": "C",   "Explain": "The patient has complete anesthesia in the median, radial, and ulnar nerve distributions, which suggests that the brachial plexus is already blocked. The musculocutaneous nerve is a branch of the brachial plexus, so an additional block of the musculocutaneous nerve would be the most appropriate next step to ensure adequate anesthesia for the procedure."</t>
  </si>
  <si>
    <t>{   "Answer": "A",   "Explain": "Redistribution is primarily responsible for emergence after a single dose of propofol, as it allows the drug to be redistributed from the brain to other tissues and organs, leading to a decrease in its concentration and eventual termination of its effects." }</t>
  </si>
  <si>
    <t>{   "Answer": "B",   "Explain": "After 30 minutes of stable anesthesia, the O2 analyzer reading decreases from 50% to 30%. This could be due to the accumulation of water on the O2 sensor membrane, which would reduce the accuracy of the reading. As the sevoflurane is delivered, it may also contribute to the formation of condensation on the sensor, further decreasing the reading." }No relevant document was found, therefore the answer is based solely on the model trained parameters!!!</t>
  </si>
  <si>
    <t>{   "Answer": "A",   "Explain": "The standard error of the mean shows the precision of the population mean, which is the degree to which the sample mean is likely to differ from the true population mean." }</t>
  </si>
  <si>
    <t>{   "Answer": "B",   "Explain": "Pulse oximetry does not accurately reflect SaO2 in the presence of carboxyhemoglobinemia because carboxyhemoglobin has an absorbance of light that is similar to oxyhemoglobin, leading to falsely high SpO2 readings." }</t>
  </si>
  <si>
    <t>{   "Answer": "B",   "Explain": "A patient with a fasting blood glucose of 100 mg/dL is already within a normal range. During anesthesia, blood glucose levels often increase due to stress and altered glucose metabolism. Therefore, on emergence, it is likely that the patient's blood glucose level will be mildly elevated, making option B, mild hyperglycemia, the most likely expected outcome." }</t>
  </si>
  <si>
    <t>{   "Answer": "C",   "Explain": "Ranitidine, an H2 receptor antagonist, increases gastric pH in pregnant women approximately one hour after administration without producing adverse effects." }</t>
  </si>
  <si>
    <t>{   "Answer": "C",   "Explain": "The lower blood gas solubility of nitrous oxide compared to desflurane allows for more rapid equilibration of alveolar and inspired concentrations, as the gas is less soluble in blood and can diffuse out of the blood and into the alveoli more quickly." }</t>
  </si>
  <si>
    <t>{   "Answer": "A",   "Explain": "Preoxygenation prior to anesthetic induction is primarily aimed at improving matching of ventilation and perfusion, as it allows for a longer period of apnea before hemoglobin desaturation occurs, providing a safer margin of time for the anesthesiologist to secure the airway and resume ventilation."</t>
  </si>
  <si>
    <t>{   "Answer": "B",   "Explain": "A 32-year-old woman sustains an injury to the left recurrent laryngeal nerve during thyroidectomy, which is likely to cause hoarseness, not adduction of the left vocal cord at rest or aspiration caused by glottic incompetency." }</t>
  </si>
  <si>
    <t>{   "Answer": A,   "Explain": "According to the context, breathing 100% oxygen for 10 minutes allows for increased oxygenation of the blood, leading to a mixed venous oxygen tension of around 40 mmHg, which is the expected value in a normal adult."</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</si>
  <si>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</si>
  <si>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</si>
  <si>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femoral nerve can be blocked for operations at the medial aspect of the lower leg, as it supplies sensation to the medial thigh and medial leg." }</t>
  </si>
  <si>
    <t>{   "Answer": "C",   "Explain": "The patient has developed pain 30 minutes after receiving morphine, indicating that the patient may be experiencing opioid-induced spasm in the sphincter of Oddi. Naloxone is the most appropriate therapy for this situation, as it can reverse the effects of morphine and relieve the pain." }</t>
  </si>
  <si>
    <t>{   "Answer": "B",   "Explain": "The patient has primary hyperparathyroidism with a serum calcium level of 15 mg/dL, which is a hypercalcemic emergency. The initial management is to stop further bone resorption and reduce the plasma calcium concentration. Normal saline is the most appropriate initial management as it helps to reduce serum calcium levels by promoting diuresis, increasing renal excretion of calcium, and helping to restore normal serum osmolality. No relavent document was found, therefore the answer is based solely on the model trained parameters!!!"</t>
  </si>
  <si>
    <t>{ "Answer": "C", "Explain": "The caffeine-halothane contracture test has the highest sensitivity and specificity for MH, making it the most reliable test to predict the likelihood of a patient developing malignant hyperthermia." }</t>
  </si>
  <si>
    <t>{   "Answer": "B",   "Explain": "To find the delivered anesthetic concentration, we need to calculate the amount of anesthetic added to the fresh gas stream. The vaporizer adds 100 mL/min of oxygen with 150 mmHg of anesthetic vapor. The fresh gas flow is 5 L/min. To convert the vapor pressure to a percentage, divide 150 mmHg by 760 mmHg (standard pressure) which is approximately 0.197%. Multiply this by the volume of oxygen flowing into the vaporizer (100 mL/min) to get 0.197% * 100 mL/min = 19.7 mL/min. Then, divide this amount by the fresh gas flow (5 L/min) to get the delivered concentration, which is approximately 0.4%. This is closest to 0.5%."</t>
  </si>
  <si>
    <t>None</t>
  </si>
  <si>
    <t>I don't have enough evidence in the provided context to answer the question definitively.</t>
  </si>
  <si>
    <t>{     "Answer": "A",     "Explain": "Flumazenil has low affinity for benzodiazepine receptors, which means it binds weakly to the receptors, and therefore, the patient should remain hospitalized for observation to ensure the sedation effects of midazolam do not recur." }</t>
  </si>
  <si>
    <t>{   "Answer": "C",   "Explain": "Total dose of drug is the primary factor in determining the extent of spread of local anesthetic following subarachnoid block with hyperbaric bupivacaine, as it directly affects the amount of drug delivered to the cerebrospinal fluid and subsequently influences the spread of the anesthetic solution." }</t>
  </si>
  <si>
    <t>{ "Answer": B, "Explain": "Administration of furosemide is the most appropriate management as the patient is developing pulmonary edema after resolution of postoperative laryngospasm, which is a common complication of upper airway obstruction, and furosemide is often used to treat postobstructive pulmonary edema." }</t>
  </si>
  <si>
    <t>{ "Answer": C, "Explain": "The 61-year-old man suddenly develops symptoms like nausea, diaphoresis, and sharp pain in the left shoulder which are uncomfortable sensations that are not typically achieved by an adequate sensory level. A higher sensory level of C7 or higher can mask the symptoms of accidental epinephrine injection into the epidural space, which is a rare but potentially life-threatening complication. Therefore, the most likely cause is inadequate regional anesthesia or a high sensory level."</t>
  </si>
  <si>
    <t>{   "Answer": "B",   "Explain": "The patient is in the Trendelenburg position with CO2 insufflation, which can lead to compression of the vena cava, decreasing venous return and ultimately causing a decrease in SpO2." }</t>
  </si>
  <si>
    <t>{   "Answer": "B",   "Explain": "Two hours after a laparoscopic cholecystectomy, the patient is still receiving IV PCA with morphine, which can cause hypoventilation. Since the patient's SpO2 is 90% on room air, hypoxemia is most likely caused by hypoventilation from the anesthesia and/or residual neuromuscular blocking drugs." }</t>
  </si>
  <si>
    <t>{   "Answer": "A",   "Explain": "In pressure support ventilation, pressure support breaths are triggered by a decrease in airway pressure, as the ventilator senses a drop in airway pressure and delivers a breath to help maintain minute ventilation." }</t>
  </si>
  <si>
    <t>{     "Answer": "B",     "Explain": "Increased coronary perfusion pressure is most likely to satisfy the increased metabolic demand of the myocardium. This is because an increase in systemic vascular resistance would not directly increase coronary blood flow, whereas an increase in coronary perfusion pressure can increase coronary flow and meet the increased oxygen demands of the heart." }</t>
  </si>
  <si>
    <t>{   "Answer": "B",   "Explain": "A Prothrombin time (PT) is most likely to confirm adequate synthetic hepatic function because it is an indicator of the liver's ability to synthesize and release clotting factors, which are necessary for blood to clot properly. A normal PT result indicates that the liver is functioning properly and is able to produce the necessary clotting factors."</t>
  </si>
  <si>
    <t>{   "Answer": "B",   "Explain": "Shock waves can cause clinically insignificant dysrhythmias, and ECG synchronization, or cardiac monitoring, is the best strategy to prevent ventricular dysrhythmias in a patient undergoing extracorporeal shock wave lithotripsy."</t>
  </si>
  <si>
    <t>{   "Answer": "A",   "Explain": "compared to a semiclosed circle system, a Bain circuit exhibits less rebreathing of CO2 because it allows the fresh gas to enter the circuit at the patient's end, reducing the amount of rebreached gases." }</t>
  </si>
  <si>
    <t>{    "Answer": "C",    "Explain": "The patient was undergoing hip surgery in the lateral position, which can cause the patient's CO2 level to increase due to respiratory acidosis, leading to a change in the capnograph waveform between point A and point B." }</t>
  </si>
  <si>
    <t>{   "Answer": "B",   "Explain": "“The anesthesiologist should administer hydrocortisone, followed by cefazolin, as the patient had a rash after the administration of penicillin in the past, indicating the possibility of allergy, but since cephazolin is a different class of antibiotic, it might still be administered after taking precautions.”"</t>
  </si>
  <si>
    <t>{   "Answer": "C",   "Explain": "Symptomatic hyponatremia decreases the MAC of isoflurane because hyponatremia causes a decrease in serum osmolality, leading to a decrease in anesthetic requirements." }</t>
  </si>
  <si>
    <t>{   "Answer": A,   "Explain": "Bupivacaine primarily slows down norepinephrine release, leading to cardiovascular depression and toxicity, which is a toxic effect on the cardiovascular system." }</t>
  </si>
  <si>
    <t>{   "Answer": "C",   "Explain": "Hyperthermia causes a significant decrease in the affinity of hemoglobin for oxygen, leading to a rightward shift in the oxygen-hemoglobin dissociation curve, allowing for more efficient offloading of oxygen to tissues." }</t>
  </si>
  <si>
    <t>{   "Answer": "B",   "Explain": "Hypothyroidism causes a decrease in myocardial contractility, leading to reduced cardiac output and potentially compromising cardiovascular function." }</t>
  </si>
  <si>
    <t>{ "Answer": "A", "Explain": "Etomidate is most likely to be associated with longer seizure duration when used for electroconvulsive therapy (ECT) due to its ability to activate quiescent foci and generalised activation, as stated in the context."</t>
  </si>
  <si>
    <t>{ "Answer": "A", "Explain": "Etomidate does not enhance the activity of the GABA receptor." }</t>
  </si>
  <si>
    <t>{   "Answer": "C",   "Explain": "The expiratory valve should be in the 'open' position during the inspiratory phase, but it is shown as 'closed'." }</t>
  </si>
  <si>
    <t>{   "Answer": "C",   "Explain": "The large volume of distribution suggests that the anesthetic is not protein-bound, allowing it to readily distribute to peripheral tissues and have a much larger distribution volume, which is consistent with a low plasma protein binding." }</t>
  </si>
  <si>
    <t>{   "Answer": "B",   "Explain": "Rocuronium has a longer duration of action in patients with renal failure because its elimination half-life is increased due to an increase in volume of distribution with no change in clearance, according to the provided context." }</t>
  </si>
  <si>
    <t>{   "Answer": "C",   "Explain": "Instillation of local anesthetic into the trachea via the cricothyroid membrane is MOST likely to block the Recurrent laryngeal nerve, as it is the nerve responsible for supplying the vocal cords and the trachea."</t>
  </si>
  <si>
    <t>{ "Answer": "A", "Explain": "Local anesthetic block of the superior laryngeal nerve can prevent gagging that occurs during awake intubation." }</t>
  </si>
  <si>
    <t>{   "Answer": "A",   "Explain": "The initial reduction in core temperature during general anesthesia is most likely due to the rapid loss of thermoregulatory vasoconstriction, which allows for a rapid redistribution of heat from the core to the periphery, resulting in a decrease in core temperature." }</t>
  </si>
  <si>
    <t>{   "Answer": "A",   "Explain": "With a tidal volume of 350 mL and an SpO2 decreasing from 98% to 84% over 1 hour, the most likely cause of hypoxemia is decreased functional residual capacity (FRC), leading to increased CO2 retention and subsequent hypoxia. After increasing FiO2 to 1.0, the SpO2 improved to 92%, suggesting that oxygenation improved with increased inspired oxygen concentration."</t>
  </si>
  <si>
    <t>{   "Answer": "C",   "Explain": "The patient has complete anesthesia in the median, radial, and ulnar nerve distributions, indicating that all three nerves of the forearm (musculocutaneous, radial, and median) are affected. Therefore, the most appropriate next step would be to target the musculocutaneous nerve to maintain adequate anesthesia for the completion of the surgical procedure."</t>
  </si>
  <si>
    <t>{   "Answer": "A",   "Explain": "After a single dose of propofol, emergence is primarily due to redistribution of the medication from its peripheral storage sites, such as fatty tissues, back into the bloodstream, which leads to a rapid decline in its effects and a rapid awake state." }</t>
  </si>
  <si>
    <t>{   "Answer": "B,   "Explain": "The O2 analyzer reading decreased from 50% to 30% after 30 minutes of stable anesthesia. This indicates a drop in the fraction of inspired oxygen (FiO2), which may be due to condensation or accumulation of water on the O2 sensor membrane. This would not be caused by a leak in the ventilator bellows or the presence of the O2 analyzer in the expiratory limb." } No relevant document was found, therefore the answer is based solely on the model trained parameters!!!</t>
  </si>
  <si>
    <t>{ "Answer": A, "Explain": "After an induction dose of ketamine, patients appear to be in a cataleptic state with intense analgesia and amnesia, despite appearing awake, suggesting that induction doses of ketamine provide an intense analgesia." }</t>
  </si>
  <si>
    <t>{   "Answer": "C",   "Explain": "Fentanyl has a shorter elimination half-life as compared to morphine, which contributes to its decreased duration of action." }</t>
  </si>
  <si>
    <t>{ "Answer": "A", "Explain": "The standard error of the mean shows the precision of the population mean, meaning it measures how close the sample mean is likely to be to the population mean. It does this by showing the range within which the sample mean is likely to fall and giving an idea of the reliability of the sample mean as an estimate of the population mean."</t>
  </si>
  <si>
    <t>{   "Answer": "C",   "Explain": "A 4-hour general anesthetic induction dose of anesthesia would cause a normal physiological response, including insulin surges and glucose metabolism. This would lead to a minor decrease in blood glucose levels, making'mild hypoglycemia' a more likely outcome." }</t>
  </si>
  <si>
    <t>{   "Answer": "C",   "Explain": "Ranitidine, an H2 receptor antagonist, increases gastric pH while decreasing gastric volume in pregnant women approximately one hour after administration without producing adverse effects."</t>
  </si>
  <si>
    <t>{     "Answer": "C",     "Explain": "The slower equilibration of alveolar and inspired concentrations of desflurane compared to nitrous oxide is most likely due to its lower blood gas solubility, which leads to a slower rate of uptake and clearance, resulting in a slower equilibration of alveolar and inspired concentrations." }</t>
  </si>
  <si>
    <t>{ "Answer": "A", "Explain": "The primary purpose of denitrogenation prior to anesthetic induction is to improve matching of ventilation and perfusion, which is done by replacing the nitrogen in the lungs with oxygen, increasing the time before hemoglobin desaturation occurs in an apneic patient, and providing an improved margin of safety while securing the airway and resuming ventilation."</t>
  </si>
  <si>
    <t>{     "Answer": "B",     "Explain": "As the left recurrent laryngeal nerve was injured, the affected vocal cord would likely not function properly, resulting in aphonia or complete loss of voice." }</t>
  </si>
  <si>
    <t>{   "Answer": "A",   "Explain": "When a person breathes 100% O2 for 10 minutes, their oxygen consumption (VO2) increases, and their mixed venous oxygen saturation (SvO2) decreases. A normal mixed venous O2 tension is around 45 mmHg." }</t>
  </si>
  <si>
    <t>{   "Answer": A,   "Explain": "Flumazenil has a short and rapid clearance and a very short elimination half-life compared to midazolam and lorazepam, making it the shortest-lived compound among the given options."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</si>
  <si>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</si>
  <si>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</si>
  <si>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patient's serum calcium level is 15 mg/dL, which is significantly elevated. Normal saline is the most appropriate initial management to help lower the serum calcium level and alleviate symptoms. This is because normal saline can help dilute the excess calcium in the blood, reducing its concentration and alleviating symptoms such as muscle weakness, fatigue, and cardiac arrhythmias." }No relevant document was found, therefore the answer is based solely on the model trained parameters!!!</t>
  </si>
  <si>
    <t>{   "Answer": "B",   "Explain": "To find the delivered anesthetic concentration, we need to mix the 25 mL/min of anesthetic output from the vaporizer with the fresh gas flow of 5 L/min. The percentage of anesthetic concentration is calculated by dividing the anesthetic output by the total gas flow and multiplying by 100. 25 mL/min ÷ 5000 mL/min = 0.005 or 0.5%."</t>
  </si>
  <si>
    <t>{   "Answer": "A",   "Explain": "Flumazenil has low affinity for benzodiazepine receptors, which means it does not bind strongly to the receptors, allowing the patient to wake up quickly and safely." }</t>
  </si>
  <si>
    <t>{   "Answer": "C",   "Explain": "The total dose of drug exerts the greatest effect on the extent of spread of local anesthetic following subarachnoid block with hyperbaric bupivacaine because a higher dose of bupivacaine will spread further down the spinal cord, whereas added epinephrine and patient position have a relatively smaller impact on the spread of the anesthetic." }</t>
  </si>
  <si>
    <t>{   "Answer": "B",   "Explain": "The patient is experiencing pulmonary edema after resolution of postoperative laryngospasm, and the SpO2 is 80% despite breathing 100% O2. Furosemide is the most appropriate management strategy as it can help reduce pulmonary hydrostatic pressures and alleviate the edema." }</t>
  </si>
  <si>
    <t>{   "Answer": "C",   "Explain": "The patient developed symptoms 45 minutes after the start of the procedure, which is a relatively late onset. The symptoms include nausea, diaphoresis, and sharp pain in the left shoulder, which are not typical of angina pectoris or bladder perforation. Therefore, the most likely cause is inadequate spinal sensory level, which may not have provided adequate anesthesia for the patient's entire body, leading to awareness and discomfort." }</t>
  </si>
  <si>
    <t>{   "Answer": "B",   "Explain": "The patient is in the Trendelenburg position with CO2 insufflation, which can cause compression of the vena cava, leading to a decrease in SpO2. The increase in ETCO2 from 38 to 43 mmHg suggests that the patient is not adequately ventilated, which is not the most likely cause of the decrease in SpO2. Therefore, compression of the vena cava is the most likely cause of the decrease in SpO2." }</t>
  </si>
  <si>
    <t>{   "Answer": "B",   "Explain": "Prothrombin time (PT) is a test that assesses liver synthetic function, specifically the production of clotting factors. It is a sensitive test that can detect liver dysfunction in both acute and chronic liver failure, making it a more reliable indicator of liver synthetic function compared to serum albumin, which has a longer half-life and is more useful in assessing chronic liver failure." }</t>
  </si>
  <si>
    <t>{   "Answer": "C",   "Explain": "The patient is in the lateral position, which can cause the diaphragm to rise and compress the lungs, leading to a decrease in tidal volume and a flattened waveform between points A and B." }</t>
  </si>
  <si>
    <t>{   "Answer": "C",   "Explain": "Hyperthermia causes a rightward shift in the oxyhemoglobin dissociation curve, allowing for more efficient unloading of oxygen in the tissues." }</t>
  </si>
  <si>
    <t>{   "Answer": "A",   "Explain": "Gagging during awake intubation is best prevented by local anesthetic block of the superior laryngeal nerve, which is responsible for sensory innervation of the larynx and epiglottis, and is a key component of the gag reflex." }</t>
  </si>
  <si>
    <t>{   "Answer": "A",   "Explain": "Redistribution is primarily responsible for emergence after a single dose of propofol, as it is a rapid-onset and short-acting anesthetic agent that is redistributed from the brain to other tissues in the body, leading to a decrease in its concentration in the brain and a subsequent emergence from anesthesia." }</t>
  </si>
  <si>
    <t>{   "Answer": "A",   "Explain": "After breathing 100% O2 for 10 minutes, the mixed venous O2 tension is expected to be 45 mmHg, as the body's oxygen consumption (VO2) is not significantly affected by the increased inspired O2, and the cardiac output (Q) remains constant, resulting in a normal mixed venous O2 saturation." }</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</si>
  <si>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</si>
  <si>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</si>
  <si>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has suddenly developed right upper quadrant abdominal pain and nausea after receiving premedication with morphine, which can cause spasm in the sphincter of Oddi. Intraoperative spasm of the sphincter of Oddi can be treated with naloxone, so naloxone is the most appropriate therapy for this patient's pain." }</t>
  </si>
  <si>
    <t>{   "Answer": "B",   "Explain": "First, it is essential to manage the severe hypercalcemia by normal saline to lower the calcium level. Then, further management decisions can be made after the calcium level decreases." }No relevant document was found, therefore the answer is based solely on the model trained parameters!!!</t>
  </si>
  <si>
    <t>{ "Answer": "C", "Explain": "The Caffeine-halothane contracture test has the highest sensitivity and specificity for malignant hyperthermia diagnosis, making it the most reliable test in predicting the likelihood of a patient developing the condition." }</t>
  </si>
  <si>
    <t>{ "Answer": "B", "Explain": "To find the delivered anesthetic concentration, we need to find the ratio of the anesthetic output to the total gas flow. The anesthetic output is 100 mL/min of oxygen bubbling through the vaporizer, which has a vapor pressure of 150 mmHg. The total gas flow is 5 L/min. The anesthetic output can be converted to milliliters by dividing by 60 (since there are 60 minutes in an hour), giving 1.67 mL/min. This can then be divided by the total gas flow to give a ratio of 1.67 mL/min / 5 L/min = 0.33 mL/L. This can then be converted to a percentage by multiplying by 100 and dividing by the total volume (1L), giving 0.5%."</t>
  </si>
  <si>
    <t>{   "Answer": "C",   "Explain": "When a patient has mild hypothermia, vasoconstriction is the most effective physiologic mechanism to maintain body temperature. This is because it reduces blood flow to the skin and extremities, which minimizes heat loss and helps to conserve heat in the core body temperature." }</t>
  </si>
  <si>
    <t>{   "Answer": "A",   "Explain": "Although flumazenil is rapidly metabolically cleared, it does not necessarily mean the patient will quickly regain consciousness after receiving midazolam. Therefore, it is essential to observe the patient to ensure they are not left in a state of sedation or respiratory depression, which can occur if the midazolam has a longer duration of action than initially expected." }</t>
  </si>
  <si>
    <t>{   "Answer": "C",   "Explain": "C. Total dose of drug has the greatest effect on the extent of spread of local anesthetic following subarachnoid block with hyperbaric bupivacaine because increasing the dose of bupivacaine can cause a more rapid and widespread distribution throughout the CSF, resulting in a greater extent of spread."</t>
  </si>
  <si>
    <t>{ "Answer": B, "Explain": "Furosemide is the most appropriate management for the patient as the patient has developed pulmonary edema after resolution of postoperative laryngospasm, and the SpO2 is 80% despite receiving 100% O2. The goal is to reduce the pulmonary hydrostatic pressures and relieve the respiratory distress, which furosemide can help achieve."</t>
  </si>
  <si>
    <t>{   "Answer": "C",   "Explain": "The 61-year-old man developed symptoms such as nausea, diaphoresis, and sharp pain in the left shoulder 45 minutes after the start of the procedure, which is likely due to an unexpected high sensory level of anesthesia." }</t>
  </si>
  <si>
    <t>{   "Answer": "B",   "Explain": "The question states that the patient is in the Trendelenburg position with CO2 insufflation, which can cause compression of the vena cava, leading to decreased oxygen saturation. The increase in end-tidal CO2 is not a cause of the decrease in SpO2, but rather a result of it." }</t>
  </si>
  <si>
    <t>{   "Answer": "B",   "Explain": "Hypoventilation is the most likely cause of her hypoxemia, as it leads to a corresponding increase in arterial partial pressure of carbon dioxide (PaCO2), resulting in hypoxemia even when breathing room air at sea level, as stated in the provided context."</t>
  </si>
  <si>
    <t>{   "Answer": "A",   "Explain": "In pressure support ventilation, pressure support breaths are triggered by a decrease in airway pressure, as the ventilator relies on the patient's intrinsic respiratory drive and augments their tidal volume by a preset pressure." }</t>
  </si>
  <si>
    <t>{   "Answer": "B",   "Explain": "Increased coronary perfusion pressure is most likely to satisfy the increased metabolic demand of the myocardium in this scenario because a sudden increase in heart rate increases myocardial oxygen demand. The heart requires increased blood flow to meet this demand, and increased coronary perfusion pressure allows for greater oxygen delivery to the myocardium." }</t>
  </si>
  <si>
    <t>{   "Answer": "B",   "Explain": "As mentioned in the provided context, Prothrombin time (PT) is an important test to measure hepatic synthetic function, as it reflects the levels of Factor VII which has a short half-life, making it a useful indicator of both acute and chronic liver failure." }</t>
  </si>
  <si>
    <t>{   "Answer": "B",   "Explain": "Beta-adrenergic blockade is not relevant here, as ventricular dysrhythmias are a concern during ESWL. Epidural blockade to T4 is not indicated in this case. The correct answer is ECG synchronization, which is timed with the shock waves to avoid cardiac dysrhythmias." }</t>
  </si>
  <si>
    <t>{   "Answer": "A",   "Explain": "A Bain circuit exhibits less rebreathing of CO2 compared to a semiclosed circle system, as it features a coaxial design with fresh gas entering the circuit at the patient's end, allowing for a more efficient gas flow and minimal recirculation of exhaled gases." }</t>
  </si>
  <si>
    <t>{   "Answer": "C",   "Explain": "The capnograph waveform shown above shows a change in patient position from supine to lateral position between point A and point B, causing the waveforms to become irregular and less clear, leading to the described findings." }</t>
  </si>
  <si>
    <t>{   "Answer": "A",   "Explain": "Since the patient developed a rash after penicillin administration, the anesthesiologist should avoid administering cefazolin, which is a penicillin-derived antibiotic. Instead, the anesthesiologist should directly administer an alternative antibiotic without penicillin, without preceding it with hydrocortisone, and without switching to vancomycin."</t>
  </si>
  <si>
    <t>{   "Answer": "C",   "Explain": "Acute hyponatremia, as listed in the given context, decreases the MAC of isoflurane, whereas the other options - acute cocaine intoxication and chronic ethanol abuse - actually increase the MAC." }</t>
  </si>
  <si>
    <t>{   "Answer": "A",   "Explain": "Bupivacaine primarily blocks the release of norepinephrine, leading to a decrease in systemic vascular resistance and cardiac output, causing a reduction in blood pressure." }</t>
  </si>
  <si>
    <t>{   "Answer": "C",   "Explain": "Hyperthermia causes a rightward shift in the oxyhemoglobin dissociation curve by decreasing 2,3-diphosphoglycerate (2,3-DPG) levels, leading to increased affinity of hemoglobin for oxygen." }</t>
  </si>
  <si>
    <t>{   "Answer": "B",   "Explain": "In patients with clinical hypothyroidism, decreased levels of triiodothyronine (T3) and thyroxine (T4) lead to decreased cardiac contractility, resulting in decreased myocardial contractility." }</t>
  </si>
  <si>
    <t>{   "Answer": "A",   "Explain": "Etomidate is most likely to be associated with longer seizure duration when used for electroconvulsive therapy because it does not cause dose-related seizure inhibition during ECT, as demonstrated by larger doses of 0.15 to 0.3 mg/kg not causing seizure inhibition, unlike methohexital or propofol." }</t>
  </si>
  <si>
    <t>{   "Answer": "A",   "Explain": "Etomidate does not potentiate GABA receptors, unlike the other options, propofol and ketamine, which are both known to enhance GABA receptor activity." }</t>
  </si>
  <si>
    <t>{   "Answer": "C",   "Explain": "The expiratory valve is normally closed during the inspiratory phase of a spontaneous breathing circuit, but in the given illustration, it is mistakenly depicted as open." }</t>
  </si>
  <si>
    <t>{   "Answer": "C",   "Explain": "A new IV anesthetic with a very large volume of distribution is most likely to have low plasma protein binding because the volume of distribution is the amount of body fluid in which the anesthetic can dissolve and from which it can distribute to its site of action. If a drug binds extensively to plasma proteins, it would not be available to distribute to other parts of the body, thus having a smaller volume of distribution." }</t>
  </si>
  <si>
    <t>{   "Answer": "B",   "Explain": "Rocuronium has the longest duration of action in patients with renal failure because its elimination half-life is increased in these patients due to an increase in volume of distribution with no change in clearance." }</t>
  </si>
  <si>
    <t>{ "Answer": "C", "Explain": "Instillation of local anesthetic into the trachea via the cricothyroid membrane is MOST likely to block the Recurrent Laryngeal nerve, which is located near the cricothyroid membrane and is responsible for sensation in the trachea and vocal cords." }</t>
  </si>
  <si>
    <t>{   "Answer": "A",   "Explain": "Local anesthetic block of the superior laryngeal nerve is best prevented gagging that occurs during awake intubation, as it supplies sensory innervation to the larynx and trachea, and blocking it can reduce discomfort and gagging." }</t>
  </si>
  <si>
    <t>{   "Answer": "A",   "Explain": "During general anesthesia, a decrease in thermoregulatory vasoconstriction allows for increased blood flow to the skin and peripheral tissues, causing a redistribution of heat from the core to the periphery, leading to a drop in core temperature." }</t>
  </si>
  <si>
    <t>{   "Answer": "A",   "Explain": "The most likely cause of hypoxemia is decreased functional residual capacity (FRC) because the patient's SpO2 improved when the FiO2 was increased to 1.0, suggesting that the primary cause of hypoxemia was not dead space ventilation or room air admixture, but rather inadequate oxygenation due to decreased FRC." }</t>
  </si>
  <si>
    <t>{   "Answer": "C",   "Explain": "The patient has complete anesthesia in the median, radial, and ulnar nerve distributions, which are all branches of the brachial plexus. The most likely cause of this complete anesthesia is a high block above the division of the brachial plexus, requiring a musculocutaneous nerve block to provide adequate analgesia and prevent further motor and sensory deficits." }</t>
  </si>
  <si>
    <t>{   "Answer": "A",   "Explain": "The desired answer should be in formulated in JSON format. The JSON answer should contain 2 keys, key "Answer" correspond to answer choice (A, B or C) while key "Explain" contain the short step-by-step explaination." }</t>
  </si>
  <si>
    <t>{   "Answer": "B",   "Explain": "Since the O2 flowrate has not changed (2 L/min), the likely cause of the decrease in O2 analyzer reading from 50% to 30% is accumulation of water on the O2 sensor membrane, which would decrease the reading. Over time, the O2 reading may decrease due to condensation of water vapor in the gas samples flowing to the analyzer, leading to a falsely low reading." }No relevant document was found, therefore the answer is based solely on the model trained parameters!!!</t>
  </si>
  <si>
    <t>{   "Answer": "A",   "Explain": "After an induction dose of ketamine, patients appear to be in a cataleptic state with intense analgesia and amnesia, despite appearing awake, making analgesia a likely effect." }</t>
  </si>
  <si>
    <t>{   "Answer": "C",   "Explain": "Fentanyl has a shorter elimination half-life, which means it is cleared from the body more quickly than morphine, resulting in a shorter duration of action." }</t>
  </si>
  <si>
    <t>{ "Answer": "A", "Explain": "The standard error of the mean shows 'the precision of the population mean, especially important when carrying out tests for a population mean. A smaller SEM suggests that the sample mean is a more reliable estimate of the population mean, while a larger SEM indicates more variability and less reliability.'"</t>
  </si>
  <si>
    <t>{ "Answer": "A", "Explain": "Pulse oximetry accurately reflects SaO2 when there is tight placement of adhesive finger probes, no presence of carboxyhemoglobin, and no severe hyperbilirubinemia, as well as no significant concentrations of other Hb species or substances absorbing light at the used wavelengths."</t>
  </si>
  <si>
    <t>{   "Answer": "B",   "Explain": "On emergence from a 4-hour general anesthetic, blood glucose levels typically return to pre-operative levels. Given the patient's initial fasting blood glucose of 100 mg/dL, a 4-hour period of no food or fluid intake, and no indication of hypoglycemia, it is most likely that the patient's blood glucose level on emergence will be mildly elevated, within the range of mild hyperglycemia."</t>
  </si>
  <si>
    <t>{ "Answer": "C", "Explain": "Ranitidine is an H2 receptor antagonist that can increase gastric fluid pH in pregnant women approximately one hour after administration without producing adverse effects." }</t>
  </si>
  <si>
    <t>{   "Answer": "C",   "Explain": "Nitrous oxide has a lower blood gas solubility, which means it dissolves in blood at a slower rate compared to desflurane. This lower solubility allows its alveolar and inspired concentrations to equilibrate more rapidly." }</t>
  </si>
  <si>
    <t>{   "Answer": "A",   "Explain": "Preoxygenation, the primary purpose of denitrogenation prior to anesthetic induction, is to improve matching of ventilation and perfusion, allowing a longer time period for the patient to safely be apneic before oxygen desaturation occurs." }</t>
  </si>
  <si>
    <t>{   "Answer": "B",   "Explain": "The injury to the left recurrent laryngeal nerve will result in impaired movement of the left vocal cord, leading to hoarseness or aphonia." }</t>
  </si>
  <si>
    <t>{   "Answer": "A",   "Explain": "Mixed venous O2 tension is usually low after breathing 100% O2 for 10 minutes. This is because the lungs are extracting more oxygen from the air, which reduces the partial pressure of oxygen in the mixed venous blood, resulting in a lower mixed venous O2 tension. A value of 45 mmHg is a normal and expected mixed venous O2 tension after breathing 100% O2 for 10 minutes."</t>
  </si>
  <si>
    <t>{   "Answer": "A",   "Explain": "According to the text, flumazenil has a very rapid clearance and short elimination half-life compared to other benzodiazepine receptor agonists, making it the drug with the shortest elimination half-life among the given options."</t>
  </si>
  <si>
    <r>
      <rPr>
        <rFont val="Arial"/>
        <color theme="1"/>
      </rPr>
      <t>embed_model="</t>
    </r>
    <r>
      <rPr>
        <rFont val="Arial"/>
        <b/>
        <color rgb="FF3D85C6"/>
      </rPr>
      <t>dunzhang/stella_en_400M_v5</t>
    </r>
    <r>
      <rPr>
        <rFont val="Arial"/>
        <color theme="1"/>
      </rPr>
      <t>"
len = 500
k = 4
k_ws = 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</si>
  <si>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</si>
  <si>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"Since we are blocked for an operation on the medial aspect of the lower leg, the appropriate nerve to block is the femoral nerve, particularly blocked at the adductor canal, above the medical condyle, below the knee or above the medial malleolus, all according to different approaches."</t>
  </si>
  <si>
    <t>{   "Answer": C,   "Explain": "One of the causes of the patient's pain is most likely related to opioids, specifically morphine, directly acting on the sphincter of Oddi to produce increased pressure, which may be eased with administration of its reversed molecule Naloxone which can block opioid receptors." }</t>
  </si>
  <si>
    <t>{   Answer: "B",   "Explain": "The appropriate initial management for the hypervascular volume expansion due to the hypercalicuria and hyperalbuminuria should be the IV normal saline to lower serum calcium significantly and gradually before definitive surgical correction of hyperparathyroidism via thyroidectomy!!!" }</t>
  </si>
  <si>
    <t>{   "Answer": "C}",   "Explain": "According to both provided references, the best prediction can be from this testing methodology due to its high level of sensitivity and specificity reported as an 80&amp;#x25; to 100% accurate diagnosis rate under clinical evaluations, proving this process is considered reliable."}</t>
  </si>
  <si>
    <t>{    \"Answer\": C,    \"Explain\": \"To find the percentage of the anesthetic added to the freshly introduced gas, first, we need to calculate 100 * (Volume of CO2 released gas from chamber\/Total volume of air released), volume can be found through partial differential vaporization formula, and then the percentage will found out.\" }  (The given description corresponds completely to figure given and calculation for stepwise method to solve problem step 11 from anesthesia handbook 13, we can choose Answer 'D 'after examining flowchart (8.19.) to figure figure).")</t>
  </si>
  <si>
    <t>C.</t>
  </si>
  <si>
    <t>{     "Answer": "C.",      "Explain": "When an adult patient develops mild hypothermia, a most effective mechanism to maintain body temperature is to constrict blood vessels through local vasoconstriction as is used in this case by infusing an anesthetic to 1 MAC. Vasoconstriction would help in redirecting blood flow to deeper body tissues and conserving heat by reducing heat loss through the skin, making this mechanism the most appropriate for the patient at this stage."}</t>
  </si>
  <si>
    <t>{     "Answer": "A",     "Explain": "The chosen answer explains not that it has low overall binding selectivity for type A vs. type C GABAA receptor subunits versus midazolam."  }  (Note: Please comment, that a user need information for better explanation if they needs it) Noted : My best response with what has been given to me information. Maybe there should be some important point what the book/author not explain clearly to the readers? So for future purposes you should improve by reword, using it in other parts of your system where could possibly provide answers).</t>
  </si>
  <si>
    <t>{ "Answer": "B", "Explain": "The patient's position at the time of injection of hyperbaric bupivacae can exert extensive influence on its spread extent, as the rate and direction of settling will primarily determine the spread pattern and effectiveness. The degree and frequency of patient movement can also compromise the block's integrity by causing significant variations for distribution of solution following bupivaccine administration, thus determining extent distribution."</t>
  </si>
  <si>
    <t>{ "Answer": C, "Explain": "Pain after administration O2 as a breathing a tool is essential in the most. After the 17-year old's, Pulmonary edema that has been  postoperative edema after development is due to O2 administration."</t>
  </si>
  <si>
    <t>{ "Answer": A, "Explain": "40 minutes is a sufficient duration for general anaesthetisation to set in, so sudden onset nausea, diaphoresia and severe left shoulder pain should not attributed. Given that the man develops symptoms while still under general anaesthetization from spinal infusion and as these clinical manifestations are typical presentations for ischemitic episodes such as angina Pacer, Therefore "Angina P Pectoris” would be "</t>
  </si>
  <si>
    <t>{   "Answer": "B",   "Explain": "Since the increase in ETCO2 and partial airway pressure occurs with decrease in SpO2 and stable FiO2, the most likely cause of the decrease in SpO2 is compression of the vena cava likely secondary to body positioning change caused by Trendelenburg position, leading to decreases in peripheral oxygenation." }</t>
  </si>
  <si>
    <t>{  "Answer": B, "Explain": "Since the condition mentioned in the question says it appears two hours after a laparoscopic cholecystectomy (a relatively uncomplicated procedure) receiving IV PCA with morphine doesn't suggest coexisting pulmonary disease or mechanical constraints, hence factors causing postoperative hypoventilation could not be a feasible cause; considering no severe acute disease is listed that would cause increased minute respiratory consumption (as sepsis, for example), acute alveolar damage (transf- -)fusion related-)) Advanced age and obesity. In addition absence O2 support also increases this suspicion."</t>
  </si>
  <si>
    <t>{ "Answer": "A", "Explain": "In pressure support ventilation, breathing patterns vary, but generally, triggered breaths are driven by passive descent of the pressure transducer, signaling to the ventilator to resume ventilating once spontaneous breaths slow; hence, "A",")"; as there is a decrease in airway pressure".</t>
  </si>
  <si>
    <t>{   "Answer" : "B",   "Explain": "In order to satisfy the increased metabolic demands of the myocardium, a higher coronary perfusion pressure is needed to deliver adequate oxygen to meet its growing demand resulting from tachycardia, and anesthesiologists will optimize peri-operative cardiac hemodynamics to achieve this goal including maintaining effective cerebral perfusion, managing anesthesia induced hypotension and ensuring that coronary bedflow reserves are sustained to maintain heart rate."</t>
  </si>
  <si>
    <t>{   answered to answer in A, the reason for BPT, is "Partialthroboblatinetimes" is typically normal during the day" and Liver disease not.</t>
  </si>
  <si>
    <t>{   "Answer": "B,   "Explain": "Beta-adrenergic blockade and epidemicral blockade to T4 are options presented as well as shock wave timing and are relevant, but ECG Synchronization and monitoring for ECG is stated to'reduce the incidence of serious cardioventiLAR tachcards; timing of these electrothermic impulses to the underlying contractions to DEFEAR cardioventiUL arrests." }</t>
  </si>
  <si>
    <t>{ "Answer": A, "Explain": "Compared with a semiclosed circle, a Bain circuit experiences less breathing of recycled CO2 because fresh gas influx is near the patient's end, where CO2 absorbs from expired air, hence a greater difference forms." }</t>
  </si>
  <si>
    <t>Here is a potential and likely more accurate JSON answer based on providing only one step explain.  {"Answer": "C",  "Explain": "Patient position plays a minor role, so if there's no ventilator in place, only lateral recumberance can occur"}</t>
  </si>
  <si>
    <t>{ "Answer": A, "Explain": "Instead of considering hydrocortisone or vangmyccin, cefazolin can be recommended given that the patient's adverse reaction towards am penisilin doesn't necessarcy mean anaphylxsis, which reduces ce fazoles reaction potential, hence administration of cefazon is appropriete."</t>
  </si>
  <si>
    <t>{   "Answer": "C",   "Explain": "Symptomatic hyponatremia decreases MAC of isoflurane as per the provided knowledge." }</t>
  </si>
  <si>
    <t>{ "Answer": C, "Hurrying to give", "Rapidly intravenously inducing bupivacaine for emergency intravenous anesthesia with patients can show cardiotoxic effects on the cardiovascular system delayed venous contraction or heart rhythm disorders; which can further exacerbate hypoxia and acidic pH associated with the injection.</t>
  </si>
  <si>
    <t>{     "Answer": "Response: C. Hyperthermia",     "Explain" : "_The explanation: ""Hyperthermia would cause a shift in the oxyhemoglobin dissociation curve as body tissues release lactic acid during anaerobic respiration, making way for carbon dioxide to be increased.,"  }</t>
  </si>
  <si>
    <t>{   "Answer": "A",   "Explain": "Cardiac output may not increase much above its resting rate in patients with hypothyroidism due to decreased AV conduction, decreased venodal and junctional conduction rhythms, leading to myocrofluid, myocardial contractility or, if left venricular failuer is also presente." }</t>
  </si>
  <si>
    <t>{ "Answer": "A", "Explain": "Etomidate is more likely to be associated with longer seizure duration when used for electroconvulsive therapy due to its ability to generalise brain activity and its failure to potentiate sedation leading to stronger electrical bursts in patients." }</t>
  </si>
  <si>
    <t>{   "Answer": B,   "Explain": "According to the provided documents, 2 and 3, compounds including dexmedetomidine and ketamine enhance the potiytivity of the GABA receptor but not propofor because both were specifically mentioned that enhanced GABAA and GLyticly function, therefore C. propofol dose not fall into any criteria listed so the answer is choice be."</t>
  </si>
  <si>
    <t>[ Answer: "B", "Explain": As the gas enters through the gas sample port not connected to the reservoir, the air or nitrogen enters through the fresh gas inflow but is actually meant for CO2 sample testing only, therefore only "C" option A. Fresh gas outlet should not mix with expired gases which makes ( ) invalid.]."</t>
  </si>
  <si>
    <t>{   "Answer" :  "Answer",   "Explain": " \"This question is related to the size of the blood-air interface. To answer this answer, we draw a simple and reasonable answer set and we start explaining as such".    : 3. Since the description indicates a large volume</t>
  </si>
  <si>
    <t>{   "answer": "A,   "Explain":  Neostigmine has equal kinetic data for normally or uremic rentransplant patients therefore, suggesting the answer is more predictable compared other patients when it comnes to this question.")']</t>
  </si>
  <si>
    <t>{   "Answer": {" Answer": "B""",   "Explain": "Because it blocks the internal branch of the inferior brachial of superior laryngeal arteries around superior aspect of cricothyroid membrane".</t>
  </si>
  <si>
    <t>{   "Answer": "B",   "Explain": "Since gagging is due to the sensitivity of tongue surface and pharynx to sensations induced by tube insertion during awake intubation, blocking nerve responsible for afferent arc completing reflex, also called phaselarygastric reflex nerve (SMPN), will reduce gag reflex preventing gagging during awake intubation." }</t>
  </si>
  <si>
    <t>{ "Answer": "A", "Explain": "Ablating thermoregulatory vasoconstriction allows peripheral vasodilation to reduce blood pressure, whereas in normothermic state, temperature autoregulation increases peripheral resistance; this reduces heat loss through conduction, causing the core temperature to decrease."</t>
  </si>
  <si>
    <t>{ "Answer" : A, "Explain": "The patient's sudden improvement in SpO2 when FiO2 was increased from 0.5 to 1.0 suggests that hypoxemia was caused by a respiratory impairment, and not due to simple dead space ventilation or airway leakage." }</t>
  </si>
  <si>
    <t>Please consider another choice for your 30-sec read as I will try my best to supply the right conclusion based on your information provided to me.  The requested solution in the following is encapsuled in Java-style language:  {   "Answer" : "C",   "Explain" : "You were seeking to select a best course of action which best fits next situation to which this is associated. Consequently, for patients with surgical nerve ligation complications like median, radial and uhlen nerve, we recommend choosing an additional block using one from options presented." }</t>
  </si>
  <si>
    <t>{ "Answer": "A", "Explain": "Redistribution mechanism mainly refers to rapid equilibration process, as stated \"The context-sensitive half-life for infusion of propofol lasting up to 8 h is &amp;lt;forty minutes\", which explains that  even after prolonged anesthesia/sedation use, removal from plasma is relatively low resulting in prompt recovery or `emergence after removal'."</t>
  </si>
  <si>
    <t>{   Answer: "B",   "Explain": "Sevapoxylation reaction in the delivery tubes creates carbon dioxide, reacting with water, and forming an impermanent compound, thus reducing the reading of O[subscript 2]"  } No relevant document was found, therefore the answer is based solely on the model trained parameters!!!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</si>
</sst>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0" fillId="0" fontId="3" numFmtId="0" xfId="0" applyAlignment="1" applyFont="1">
      <alignment horizontal="center" readingOrder="0"/>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28</v>
      </c>
      <c r="C5" s="14">
        <f t="shared" si="1"/>
        <v>26</v>
      </c>
      <c r="D5" s="14">
        <f t="shared" si="1"/>
        <v>26</v>
      </c>
      <c r="E5" s="14">
        <f t="shared" si="1"/>
        <v>26</v>
      </c>
      <c r="F5" s="14">
        <f t="shared" si="1"/>
        <v>27</v>
      </c>
      <c r="G5" s="14">
        <f t="shared" si="1"/>
        <v>24</v>
      </c>
      <c r="H5" s="14">
        <f t="shared" si="1"/>
        <v>26</v>
      </c>
      <c r="I5" s="14">
        <f t="shared" si="1"/>
        <v>27</v>
      </c>
      <c r="J5" s="14">
        <f t="shared" si="1"/>
        <v>27</v>
      </c>
    </row>
    <row r="6">
      <c r="A6" s="13" t="s">
        <v>14</v>
      </c>
      <c r="B6" s="13">
        <v>46.0</v>
      </c>
      <c r="C6" s="13">
        <v>46.0</v>
      </c>
      <c r="D6" s="13">
        <v>46.0</v>
      </c>
      <c r="E6" s="13">
        <v>46.0</v>
      </c>
      <c r="F6" s="13">
        <v>46.0</v>
      </c>
      <c r="G6" s="13">
        <v>46.0</v>
      </c>
      <c r="H6" s="13">
        <v>46.0</v>
      </c>
      <c r="I6" s="13">
        <v>46.0</v>
      </c>
      <c r="J6" s="13">
        <v>46.0</v>
      </c>
    </row>
    <row r="7">
      <c r="A7" s="15" t="s">
        <v>15</v>
      </c>
      <c r="B7" s="16">
        <f t="shared" ref="B7:J7" si="2">B5/B6</f>
        <v>0.6086956522</v>
      </c>
      <c r="C7" s="16">
        <f t="shared" si="2"/>
        <v>0.5652173913</v>
      </c>
      <c r="D7" s="17">
        <f t="shared" si="2"/>
        <v>0.5652173913</v>
      </c>
      <c r="E7" s="17">
        <f t="shared" si="2"/>
        <v>0.5652173913</v>
      </c>
      <c r="F7" s="17">
        <f t="shared" si="2"/>
        <v>0.5869565217</v>
      </c>
      <c r="G7" s="17">
        <f t="shared" si="2"/>
        <v>0.5217391304</v>
      </c>
      <c r="H7" s="17">
        <f t="shared" si="2"/>
        <v>0.5652173913</v>
      </c>
      <c r="I7" s="17">
        <f t="shared" si="2"/>
        <v>0.5869565217</v>
      </c>
      <c r="J7" s="17">
        <f t="shared" si="2"/>
        <v>0.5869565217</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16</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16</v>
      </c>
      <c r="H12" s="27" t="s">
        <v>16</v>
      </c>
      <c r="I12" s="26" t="s">
        <v>16</v>
      </c>
      <c r="J12" s="26" t="s">
        <v>17</v>
      </c>
    </row>
    <row r="13">
      <c r="A13" s="19">
        <v>6.0</v>
      </c>
      <c r="B13" s="20" t="s">
        <v>16</v>
      </c>
      <c r="C13" s="21" t="s">
        <v>16</v>
      </c>
      <c r="D13" s="25" t="s">
        <v>16</v>
      </c>
      <c r="E13" s="26" t="s">
        <v>16</v>
      </c>
      <c r="F13" s="26" t="s">
        <v>16</v>
      </c>
      <c r="G13" s="26" t="s">
        <v>17</v>
      </c>
      <c r="H13" s="27" t="s">
        <v>16</v>
      </c>
      <c r="I13" s="26" t="s">
        <v>16</v>
      </c>
      <c r="J13" s="26" t="s">
        <v>17</v>
      </c>
    </row>
    <row r="14">
      <c r="A14" s="19">
        <v>7.0</v>
      </c>
      <c r="B14" s="20" t="s">
        <v>16</v>
      </c>
      <c r="C14" s="21" t="s">
        <v>17</v>
      </c>
      <c r="D14" s="25" t="s">
        <v>17</v>
      </c>
      <c r="E14" s="26" t="s">
        <v>17</v>
      </c>
      <c r="F14" s="26" t="s">
        <v>17</v>
      </c>
      <c r="G14" s="26" t="s">
        <v>17</v>
      </c>
      <c r="H14" s="27" t="s">
        <v>17</v>
      </c>
      <c r="I14" s="26" t="s">
        <v>17</v>
      </c>
      <c r="J14" s="26" t="s">
        <v>17</v>
      </c>
    </row>
    <row r="15">
      <c r="A15" s="19">
        <v>8.0</v>
      </c>
      <c r="B15" s="20" t="s">
        <v>17</v>
      </c>
      <c r="C15" s="21" t="s">
        <v>17</v>
      </c>
      <c r="D15" s="25" t="s">
        <v>17</v>
      </c>
      <c r="E15" s="26" t="s">
        <v>17</v>
      </c>
      <c r="F15" s="26" t="s">
        <v>17</v>
      </c>
      <c r="G15" s="26" t="s">
        <v>17</v>
      </c>
      <c r="H15" s="27" t="s">
        <v>17</v>
      </c>
      <c r="I15" s="26" t="s">
        <v>17</v>
      </c>
      <c r="J15" s="26" t="s">
        <v>16</v>
      </c>
    </row>
    <row r="16">
      <c r="A16" s="19">
        <v>9.0</v>
      </c>
      <c r="B16" s="20" t="s">
        <v>16</v>
      </c>
      <c r="C16" s="21" t="s">
        <v>17</v>
      </c>
      <c r="D16" s="25" t="s">
        <v>17</v>
      </c>
      <c r="E16" s="26" t="s">
        <v>17</v>
      </c>
      <c r="F16" s="26" t="s">
        <v>17</v>
      </c>
      <c r="G16" s="26" t="s">
        <v>17</v>
      </c>
      <c r="H16" s="27" t="s">
        <v>17</v>
      </c>
      <c r="I16" s="26" t="s">
        <v>17</v>
      </c>
      <c r="J16" s="26" t="s">
        <v>16</v>
      </c>
    </row>
    <row r="17">
      <c r="A17" s="19">
        <v>10.0</v>
      </c>
      <c r="B17" s="20" t="s">
        <v>17</v>
      </c>
      <c r="C17" s="21" t="s">
        <v>17</v>
      </c>
      <c r="D17" s="25" t="s">
        <v>17</v>
      </c>
      <c r="E17" s="26" t="s">
        <v>17</v>
      </c>
      <c r="F17" s="26" t="s">
        <v>17</v>
      </c>
      <c r="G17" s="26" t="s">
        <v>17</v>
      </c>
      <c r="H17" s="27" t="s">
        <v>17</v>
      </c>
      <c r="I17" s="26" t="s">
        <v>17</v>
      </c>
      <c r="J17" s="26" t="s">
        <v>17</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16</v>
      </c>
      <c r="E20" s="26" t="s">
        <v>16</v>
      </c>
      <c r="F20" s="26" t="s">
        <v>16</v>
      </c>
      <c r="G20" s="26" t="s">
        <v>16</v>
      </c>
      <c r="H20" s="27" t="s">
        <v>16</v>
      </c>
      <c r="I20" s="26" t="s">
        <v>16</v>
      </c>
      <c r="J20" s="26" t="s">
        <v>16</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17</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16</v>
      </c>
      <c r="J26" s="26" t="s">
        <v>16</v>
      </c>
    </row>
    <row r="27">
      <c r="A27" s="19">
        <v>20.0</v>
      </c>
      <c r="B27" s="20" t="s">
        <v>16</v>
      </c>
      <c r="C27" s="21" t="s">
        <v>16</v>
      </c>
      <c r="D27" s="25" t="s">
        <v>16</v>
      </c>
      <c r="E27" s="26" t="s">
        <v>16</v>
      </c>
      <c r="F27" s="26" t="s">
        <v>16</v>
      </c>
      <c r="G27" s="26" t="s">
        <v>16</v>
      </c>
      <c r="H27" s="27" t="s">
        <v>16</v>
      </c>
      <c r="I27" s="26" t="s">
        <v>16</v>
      </c>
      <c r="J27" s="26" t="s">
        <v>16</v>
      </c>
    </row>
    <row r="28">
      <c r="A28" s="19">
        <v>21.0</v>
      </c>
      <c r="B28" s="20" t="s">
        <v>17</v>
      </c>
      <c r="C28" s="21" t="s">
        <v>17</v>
      </c>
      <c r="D28" s="25" t="s">
        <v>17</v>
      </c>
      <c r="E28" s="26" t="s">
        <v>17</v>
      </c>
      <c r="F28" s="26" t="s">
        <v>17</v>
      </c>
      <c r="G28" s="26" t="s">
        <v>17</v>
      </c>
      <c r="H28" s="27" t="s">
        <v>17</v>
      </c>
      <c r="I28" s="26" t="s">
        <v>17</v>
      </c>
      <c r="J28" s="26" t="s">
        <v>16</v>
      </c>
    </row>
    <row r="29">
      <c r="A29" s="19">
        <v>22.0</v>
      </c>
      <c r="B29" s="20" t="s">
        <v>16</v>
      </c>
      <c r="C29" s="21" t="s">
        <v>16</v>
      </c>
      <c r="D29" s="25" t="s">
        <v>16</v>
      </c>
      <c r="E29" s="26" t="s">
        <v>16</v>
      </c>
      <c r="F29" s="26" t="s">
        <v>16</v>
      </c>
      <c r="G29" s="26" t="s">
        <v>16</v>
      </c>
      <c r="H29" s="27" t="s">
        <v>16</v>
      </c>
      <c r="I29" s="26" t="s">
        <v>16</v>
      </c>
      <c r="J29" s="26" t="s">
        <v>16</v>
      </c>
    </row>
    <row r="30">
      <c r="A30" s="19">
        <v>23.0</v>
      </c>
      <c r="B30" s="20" t="s">
        <v>16</v>
      </c>
      <c r="C30" s="21" t="s">
        <v>16</v>
      </c>
      <c r="D30" s="25" t="s">
        <v>16</v>
      </c>
      <c r="E30" s="26" t="s">
        <v>16</v>
      </c>
      <c r="F30" s="26" t="s">
        <v>16</v>
      </c>
      <c r="G30" s="26" t="s">
        <v>16</v>
      </c>
      <c r="H30" s="27" t="s">
        <v>16</v>
      </c>
      <c r="I30" s="26" t="s">
        <v>16</v>
      </c>
      <c r="J30" s="26" t="s">
        <v>17</v>
      </c>
    </row>
    <row r="31">
      <c r="A31" s="19">
        <v>24.0</v>
      </c>
      <c r="B31" s="20" t="s">
        <v>16</v>
      </c>
      <c r="C31" s="21" t="s">
        <v>16</v>
      </c>
      <c r="D31" s="25" t="s">
        <v>16</v>
      </c>
      <c r="E31" s="26" t="s">
        <v>16</v>
      </c>
      <c r="F31" s="26" t="s">
        <v>16</v>
      </c>
      <c r="G31" s="26" t="s">
        <v>16</v>
      </c>
      <c r="H31" s="27" t="s">
        <v>16</v>
      </c>
      <c r="I31" s="26" t="s">
        <v>16</v>
      </c>
      <c r="J31" s="26" t="s">
        <v>16</v>
      </c>
    </row>
    <row r="32">
      <c r="A32" s="19">
        <v>25.0</v>
      </c>
      <c r="B32" s="20" t="s">
        <v>17</v>
      </c>
      <c r="C32" s="21" t="s">
        <v>17</v>
      </c>
      <c r="D32" s="25" t="s">
        <v>17</v>
      </c>
      <c r="E32" s="26" t="s">
        <v>17</v>
      </c>
      <c r="F32" s="26" t="s">
        <v>16</v>
      </c>
      <c r="G32" s="26" t="s">
        <v>17</v>
      </c>
      <c r="H32" s="27" t="s">
        <v>17</v>
      </c>
      <c r="I32" s="26" t="s">
        <v>17</v>
      </c>
      <c r="J32" s="26" t="s">
        <v>16</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16</v>
      </c>
      <c r="H34" s="27" t="s">
        <v>16</v>
      </c>
      <c r="I34" s="26" t="s">
        <v>16</v>
      </c>
      <c r="J34" s="26" t="s">
        <v>17</v>
      </c>
    </row>
    <row r="35">
      <c r="A35" s="19">
        <v>28.0</v>
      </c>
      <c r="B35" s="20" t="s">
        <v>17</v>
      </c>
      <c r="C35" s="21" t="s">
        <v>17</v>
      </c>
      <c r="D35" s="25" t="s">
        <v>17</v>
      </c>
      <c r="E35" s="26" t="s">
        <v>17</v>
      </c>
      <c r="F35" s="26" t="s">
        <v>17</v>
      </c>
      <c r="G35" s="26" t="s">
        <v>17</v>
      </c>
      <c r="H35" s="27" t="s">
        <v>17</v>
      </c>
      <c r="I35" s="26" t="s">
        <v>17</v>
      </c>
      <c r="J35" s="26" t="s">
        <v>16</v>
      </c>
    </row>
    <row r="36">
      <c r="A36" s="19">
        <v>29.0</v>
      </c>
      <c r="B36" s="20" t="s">
        <v>16</v>
      </c>
      <c r="C36" s="21" t="s">
        <v>16</v>
      </c>
      <c r="D36" s="25" t="s">
        <v>16</v>
      </c>
      <c r="E36" s="26" t="s">
        <v>16</v>
      </c>
      <c r="F36" s="26" t="s">
        <v>16</v>
      </c>
      <c r="G36" s="26" t="s">
        <v>16</v>
      </c>
      <c r="H36" s="27" t="s">
        <v>16</v>
      </c>
      <c r="I36" s="26" t="s">
        <v>16</v>
      </c>
      <c r="J36" s="26" t="s">
        <v>17</v>
      </c>
    </row>
    <row r="37">
      <c r="A37" s="19">
        <v>30.0</v>
      </c>
      <c r="B37" s="20" t="s">
        <v>17</v>
      </c>
      <c r="C37" s="21" t="s">
        <v>17</v>
      </c>
      <c r="D37" s="25" t="s">
        <v>17</v>
      </c>
      <c r="E37" s="26" t="s">
        <v>17</v>
      </c>
      <c r="F37" s="26" t="s">
        <v>17</v>
      </c>
      <c r="G37" s="26" t="s">
        <v>17</v>
      </c>
      <c r="H37" s="27" t="s">
        <v>17</v>
      </c>
      <c r="I37" s="26" t="s">
        <v>17</v>
      </c>
      <c r="J37" s="26" t="s">
        <v>16</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16</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16</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17</v>
      </c>
      <c r="C44" s="21" t="s">
        <v>17</v>
      </c>
      <c r="D44" s="25" t="s">
        <v>17</v>
      </c>
      <c r="E44" s="26" t="s">
        <v>17</v>
      </c>
      <c r="F44" s="26" t="s">
        <v>17</v>
      </c>
      <c r="G44" s="26" t="s">
        <v>17</v>
      </c>
      <c r="H44" s="27" t="s">
        <v>17</v>
      </c>
      <c r="I44" s="26" t="s">
        <v>17</v>
      </c>
      <c r="J44" s="26" t="s">
        <v>17</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17</v>
      </c>
      <c r="H46" s="27" t="s">
        <v>17</v>
      </c>
      <c r="I46" s="26" t="s">
        <v>17</v>
      </c>
      <c r="J46" s="26" t="s">
        <v>17</v>
      </c>
    </row>
    <row r="47">
      <c r="A47" s="19">
        <v>40.0</v>
      </c>
      <c r="B47" s="20" t="s">
        <v>16</v>
      </c>
      <c r="C47" s="21" t="s">
        <v>16</v>
      </c>
      <c r="D47" s="25" t="s">
        <v>16</v>
      </c>
      <c r="E47" s="26" t="s">
        <v>16</v>
      </c>
      <c r="F47" s="26" t="s">
        <v>16</v>
      </c>
      <c r="G47" s="26" t="s">
        <v>17</v>
      </c>
      <c r="H47" s="27" t="s">
        <v>16</v>
      </c>
      <c r="I47" s="26" t="s">
        <v>16</v>
      </c>
      <c r="J47" s="26" t="s">
        <v>16</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17</v>
      </c>
      <c r="C50" s="21" t="s">
        <v>17</v>
      </c>
      <c r="D50" s="25" t="s">
        <v>17</v>
      </c>
      <c r="E50" s="26" t="s">
        <v>17</v>
      </c>
      <c r="F50" s="26" t="s">
        <v>17</v>
      </c>
      <c r="G50" s="26" t="s">
        <v>17</v>
      </c>
      <c r="H50" s="27" t="s">
        <v>17</v>
      </c>
      <c r="I50" s="26" t="s">
        <v>17</v>
      </c>
      <c r="J50" s="26" t="s">
        <v>17</v>
      </c>
    </row>
    <row r="51">
      <c r="A51" s="19">
        <v>44.0</v>
      </c>
      <c r="B51" s="20" t="s">
        <v>17</v>
      </c>
      <c r="C51" s="21" t="s">
        <v>17</v>
      </c>
      <c r="D51" s="25" t="s">
        <v>17</v>
      </c>
      <c r="E51" s="26" t="s">
        <v>17</v>
      </c>
      <c r="F51" s="26" t="s">
        <v>17</v>
      </c>
      <c r="G51" s="26" t="s">
        <v>17</v>
      </c>
      <c r="H51" s="27" t="s">
        <v>17</v>
      </c>
      <c r="I51" s="26" t="s">
        <v>17</v>
      </c>
      <c r="J51" s="26" t="s">
        <v>17</v>
      </c>
    </row>
    <row r="52">
      <c r="A52" s="19">
        <v>45.0</v>
      </c>
      <c r="B52" s="20" t="s">
        <v>16</v>
      </c>
      <c r="C52" s="21" t="s">
        <v>16</v>
      </c>
      <c r="D52" s="25" t="s">
        <v>16</v>
      </c>
      <c r="E52" s="26" t="s">
        <v>16</v>
      </c>
      <c r="F52" s="26" t="s">
        <v>16</v>
      </c>
      <c r="G52" s="26" t="s">
        <v>16</v>
      </c>
      <c r="H52" s="27" t="s">
        <v>16</v>
      </c>
      <c r="I52" s="26" t="s">
        <v>16</v>
      </c>
      <c r="J52" s="26" t="s">
        <v>16</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row>
    <row r="5" ht="60.0" customHeight="1">
      <c r="A5" s="40">
        <v>2.0</v>
      </c>
      <c r="B5" s="41" t="s">
        <v>38</v>
      </c>
      <c r="C5" s="41" t="s">
        <v>39</v>
      </c>
      <c r="D5" s="41" t="s">
        <v>40</v>
      </c>
      <c r="E5" s="41" t="s">
        <v>41</v>
      </c>
      <c r="F5" s="40" t="str">
        <f t="shared" si="1"/>
        <v>CORRECT</v>
      </c>
      <c r="G5" s="40" t="s">
        <v>42</v>
      </c>
      <c r="H5" s="42" t="s">
        <v>42</v>
      </c>
      <c r="I5" s="43" t="s">
        <v>43</v>
      </c>
      <c r="J5" s="44"/>
    </row>
    <row r="6" ht="60.0" customHeight="1">
      <c r="A6" s="40">
        <v>3.0</v>
      </c>
      <c r="B6" s="41" t="s">
        <v>44</v>
      </c>
      <c r="C6" s="41" t="s">
        <v>45</v>
      </c>
      <c r="D6" s="41" t="s">
        <v>46</v>
      </c>
      <c r="E6" s="41" t="s">
        <v>47</v>
      </c>
      <c r="F6" s="40" t="str">
        <f t="shared" si="1"/>
        <v>CORRECT</v>
      </c>
      <c r="G6" s="40" t="s">
        <v>48</v>
      </c>
      <c r="H6" s="42" t="s">
        <v>48</v>
      </c>
      <c r="I6" s="43" t="s">
        <v>49</v>
      </c>
      <c r="J6" s="44"/>
    </row>
    <row r="7" ht="60.0" customHeight="1">
      <c r="A7" s="40">
        <v>4.0</v>
      </c>
      <c r="B7" s="41" t="s">
        <v>50</v>
      </c>
      <c r="C7" s="41" t="s">
        <v>51</v>
      </c>
      <c r="D7" s="41" t="s">
        <v>52</v>
      </c>
      <c r="E7" s="41" t="s">
        <v>53</v>
      </c>
      <c r="F7" s="40" t="str">
        <f t="shared" si="1"/>
        <v>CORRECT</v>
      </c>
      <c r="G7" s="40" t="s">
        <v>42</v>
      </c>
      <c r="H7" s="44" t="s">
        <v>42</v>
      </c>
      <c r="I7" s="43" t="s">
        <v>54</v>
      </c>
      <c r="J7" s="44"/>
    </row>
    <row r="8" ht="60.0" customHeight="1">
      <c r="A8" s="40">
        <v>5.0</v>
      </c>
      <c r="B8" s="41" t="s">
        <v>55</v>
      </c>
      <c r="C8" s="41" t="s">
        <v>56</v>
      </c>
      <c r="D8" s="41" t="s">
        <v>57</v>
      </c>
      <c r="E8" s="41" t="s">
        <v>58</v>
      </c>
      <c r="F8" s="40" t="str">
        <f t="shared" si="1"/>
        <v>CORRECT</v>
      </c>
      <c r="G8" s="40" t="s">
        <v>48</v>
      </c>
      <c r="H8" s="42" t="s">
        <v>48</v>
      </c>
      <c r="I8" s="43" t="s">
        <v>59</v>
      </c>
      <c r="J8" s="44"/>
    </row>
    <row r="9" ht="60.0" customHeight="1">
      <c r="A9" s="40">
        <v>6.0</v>
      </c>
      <c r="B9" s="41" t="s">
        <v>60</v>
      </c>
      <c r="C9" s="41" t="s">
        <v>61</v>
      </c>
      <c r="D9" s="41" t="s">
        <v>62</v>
      </c>
      <c r="E9" s="41" t="s">
        <v>63</v>
      </c>
      <c r="F9" s="40" t="str">
        <f t="shared" si="1"/>
        <v>CORRECT</v>
      </c>
      <c r="G9" s="40" t="s">
        <v>42</v>
      </c>
      <c r="H9" s="44" t="s">
        <v>42</v>
      </c>
      <c r="I9" s="43" t="s">
        <v>64</v>
      </c>
      <c r="J9" s="44"/>
    </row>
    <row r="10" ht="60.0" customHeight="1">
      <c r="A10" s="40">
        <v>7.0</v>
      </c>
      <c r="B10" s="41" t="s">
        <v>65</v>
      </c>
      <c r="C10" s="41" t="s">
        <v>66</v>
      </c>
      <c r="D10" s="41" t="s">
        <v>67</v>
      </c>
      <c r="E10" s="41" t="s">
        <v>68</v>
      </c>
      <c r="F10" s="40" t="str">
        <f t="shared" si="1"/>
        <v>CORRECT</v>
      </c>
      <c r="G10" s="40" t="s">
        <v>42</v>
      </c>
      <c r="H10" s="44" t="s">
        <v>42</v>
      </c>
      <c r="I10" s="43" t="s">
        <v>69</v>
      </c>
      <c r="J10" s="44"/>
    </row>
    <row r="11" ht="60.0" customHeight="1">
      <c r="A11" s="40">
        <v>8.0</v>
      </c>
      <c r="B11" s="41" t="s">
        <v>70</v>
      </c>
      <c r="C11" s="41" t="s">
        <v>71</v>
      </c>
      <c r="D11" s="41" t="s">
        <v>72</v>
      </c>
      <c r="E11" s="41" t="s">
        <v>73</v>
      </c>
      <c r="F11" s="40" t="str">
        <f t="shared" si="1"/>
        <v>WRONG</v>
      </c>
      <c r="G11" s="40" t="s">
        <v>48</v>
      </c>
      <c r="H11" s="42" t="s">
        <v>42</v>
      </c>
      <c r="I11" s="43" t="s">
        <v>74</v>
      </c>
      <c r="J11" s="44"/>
    </row>
    <row r="12" ht="60.0" customHeight="1">
      <c r="A12" s="40">
        <v>9.0</v>
      </c>
      <c r="B12" s="41" t="s">
        <v>75</v>
      </c>
      <c r="C12" s="41" t="s">
        <v>76</v>
      </c>
      <c r="D12" s="41" t="s">
        <v>77</v>
      </c>
      <c r="E12" s="41" t="s">
        <v>78</v>
      </c>
      <c r="F12" s="40" t="str">
        <f t="shared" si="1"/>
        <v>CORRECT</v>
      </c>
      <c r="G12" s="40" t="s">
        <v>42</v>
      </c>
      <c r="H12" s="44" t="s">
        <v>42</v>
      </c>
      <c r="I12" s="43" t="s">
        <v>79</v>
      </c>
      <c r="J12" s="44"/>
    </row>
    <row r="13" ht="60.0" customHeight="1">
      <c r="A13" s="40">
        <v>10.0</v>
      </c>
      <c r="B13" s="41" t="s">
        <v>80</v>
      </c>
      <c r="C13" s="41" t="s">
        <v>81</v>
      </c>
      <c r="D13" s="41" t="s">
        <v>82</v>
      </c>
      <c r="E13" s="41" t="s">
        <v>83</v>
      </c>
      <c r="F13" s="40" t="str">
        <f t="shared" si="1"/>
        <v>WRONG</v>
      </c>
      <c r="G13" s="40" t="s">
        <v>48</v>
      </c>
      <c r="H13" s="42" t="s">
        <v>42</v>
      </c>
      <c r="I13" s="43" t="s">
        <v>84</v>
      </c>
      <c r="J13" s="44"/>
    </row>
    <row r="14" ht="60.0" customHeight="1">
      <c r="A14" s="40">
        <v>11.0</v>
      </c>
      <c r="B14" s="41" t="s">
        <v>85</v>
      </c>
      <c r="C14" s="41" t="s">
        <v>86</v>
      </c>
      <c r="D14" s="41" t="s">
        <v>87</v>
      </c>
      <c r="E14" s="41" t="s">
        <v>88</v>
      </c>
      <c r="F14" s="40" t="str">
        <f t="shared" si="1"/>
        <v>WRONG</v>
      </c>
      <c r="G14" s="40" t="s">
        <v>42</v>
      </c>
      <c r="H14" s="42" t="s">
        <v>48</v>
      </c>
      <c r="I14" s="43" t="s">
        <v>89</v>
      </c>
      <c r="J14" s="44"/>
    </row>
    <row r="15" ht="60.0" customHeight="1">
      <c r="A15" s="40">
        <v>12.0</v>
      </c>
      <c r="B15" s="41" t="s">
        <v>90</v>
      </c>
      <c r="C15" s="41" t="s">
        <v>91</v>
      </c>
      <c r="D15" s="41" t="s">
        <v>92</v>
      </c>
      <c r="E15" s="41" t="s">
        <v>93</v>
      </c>
      <c r="F15" s="40" t="str">
        <f t="shared" si="1"/>
        <v>CORRECT</v>
      </c>
      <c r="G15" s="40" t="s">
        <v>48</v>
      </c>
      <c r="H15" s="42" t="s">
        <v>48</v>
      </c>
      <c r="I15" s="43" t="s">
        <v>94</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104</v>
      </c>
      <c r="J17" s="44"/>
    </row>
    <row r="18" ht="60.0" customHeight="1">
      <c r="A18" s="40">
        <v>15.0</v>
      </c>
      <c r="B18" s="41" t="s">
        <v>105</v>
      </c>
      <c r="C18" s="41" t="s">
        <v>106</v>
      </c>
      <c r="D18" s="41" t="s">
        <v>107</v>
      </c>
      <c r="E18" s="41" t="s">
        <v>108</v>
      </c>
      <c r="F18" s="40" t="str">
        <f t="shared" si="1"/>
        <v>CORRECT</v>
      </c>
      <c r="G18" s="40" t="s">
        <v>48</v>
      </c>
      <c r="H18" s="42" t="s">
        <v>48</v>
      </c>
      <c r="I18" s="43" t="s">
        <v>109</v>
      </c>
      <c r="J18" s="44"/>
    </row>
    <row r="19" ht="60.0" customHeight="1">
      <c r="A19" s="40">
        <v>16.0</v>
      </c>
      <c r="B19" s="41" t="s">
        <v>110</v>
      </c>
      <c r="C19" s="41" t="s">
        <v>111</v>
      </c>
      <c r="D19" s="41" t="s">
        <v>112</v>
      </c>
      <c r="E19" s="41" t="s">
        <v>113</v>
      </c>
      <c r="F19" s="40" t="str">
        <f t="shared" si="1"/>
        <v>CORRECT</v>
      </c>
      <c r="G19" s="40" t="s">
        <v>48</v>
      </c>
      <c r="H19" s="42" t="s">
        <v>48</v>
      </c>
      <c r="I19" s="43" t="s">
        <v>114</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124</v>
      </c>
      <c r="J21" s="44"/>
    </row>
    <row r="22" ht="60.0" customHeight="1">
      <c r="A22" s="40">
        <v>19.0</v>
      </c>
      <c r="B22" s="41" t="s">
        <v>125</v>
      </c>
      <c r="C22" s="41" t="s">
        <v>126</v>
      </c>
      <c r="D22" s="41" t="s">
        <v>127</v>
      </c>
      <c r="E22" s="41" t="s">
        <v>128</v>
      </c>
      <c r="F22" s="40" t="str">
        <f t="shared" si="1"/>
        <v>WRONG</v>
      </c>
      <c r="G22" s="40" t="s">
        <v>36</v>
      </c>
      <c r="H22" s="42" t="s">
        <v>48</v>
      </c>
      <c r="I22" s="43" t="s">
        <v>129</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2"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2"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202</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222</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2" t="s">
        <v>36</v>
      </c>
      <c r="I48" s="43" t="s">
        <v>257</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28</v>
      </c>
      <c r="G50" s="47"/>
      <c r="H50" s="47"/>
      <c r="J50" s="48" t="str">
        <f>AVERAGE(J4:J49)</f>
        <v>#DIV/0!</v>
      </c>
    </row>
    <row r="51">
      <c r="A51" s="49" t="s">
        <v>263</v>
      </c>
      <c r="B51" s="2"/>
      <c r="C51" s="2"/>
      <c r="D51" s="2"/>
      <c r="E51" s="3"/>
      <c r="F51" s="50">
        <v>46.0</v>
      </c>
      <c r="G51" s="47"/>
      <c r="H51" s="47"/>
    </row>
    <row r="52">
      <c r="A52" s="45" t="s">
        <v>264</v>
      </c>
      <c r="B52" s="2"/>
      <c r="C52" s="2"/>
      <c r="D52" s="2"/>
      <c r="E52" s="3"/>
      <c r="F52" s="51">
        <f>F50/F51</f>
        <v>0.6086956522</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2"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4" t="s">
        <v>48</v>
      </c>
      <c r="I12" s="43" t="s">
        <v>275</v>
      </c>
      <c r="J12" s="44"/>
    </row>
    <row r="13" ht="60.0" customHeight="1">
      <c r="A13" s="40">
        <v>10.0</v>
      </c>
      <c r="B13" s="41" t="s">
        <v>80</v>
      </c>
      <c r="C13" s="41" t="s">
        <v>81</v>
      </c>
      <c r="D13" s="41" t="s">
        <v>82</v>
      </c>
      <c r="E13" s="41" t="s">
        <v>83</v>
      </c>
      <c r="F13" s="40" t="str">
        <f t="shared" si="1"/>
        <v>WRONG</v>
      </c>
      <c r="G13" s="40" t="s">
        <v>48</v>
      </c>
      <c r="H13" s="44" t="s">
        <v>42</v>
      </c>
      <c r="I13" s="43" t="s">
        <v>276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280</v>
      </c>
      <c r="J18" s="44"/>
    </row>
    <row r="19" ht="60.0" customHeight="1">
      <c r="A19" s="40">
        <v>16.0</v>
      </c>
      <c r="B19" s="41" t="s">
        <v>110</v>
      </c>
      <c r="C19" s="41" t="s">
        <v>111</v>
      </c>
      <c r="D19" s="41" t="s">
        <v>112</v>
      </c>
      <c r="E19" s="41" t="s">
        <v>113</v>
      </c>
      <c r="F19" s="40" t="str">
        <f t="shared" si="1"/>
        <v>CORRECT</v>
      </c>
      <c r="G19" s="40" t="s">
        <v>48</v>
      </c>
      <c r="H19" s="42" t="s">
        <v>48</v>
      </c>
      <c r="I19" s="43" t="s">
        <v>281</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282</v>
      </c>
      <c r="J21" s="44"/>
    </row>
    <row r="22" ht="60.0" customHeight="1">
      <c r="A22" s="40">
        <v>19.0</v>
      </c>
      <c r="B22" s="41" t="s">
        <v>125</v>
      </c>
      <c r="C22" s="41" t="s">
        <v>126</v>
      </c>
      <c r="D22" s="41" t="s">
        <v>127</v>
      </c>
      <c r="E22" s="41" t="s">
        <v>128</v>
      </c>
      <c r="F22" s="40" t="str">
        <f t="shared" si="1"/>
        <v>WRONG</v>
      </c>
      <c r="G22" s="40" t="s">
        <v>36</v>
      </c>
      <c r="H22" s="42" t="s">
        <v>48</v>
      </c>
      <c r="I22" s="43" t="s">
        <v>283</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2"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2"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284</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285</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286</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26</v>
      </c>
      <c r="G50" s="47"/>
      <c r="H50" s="47"/>
      <c r="J50" s="48" t="str">
        <f>AVERAGE(J4:J49)</f>
        <v>#DIV/0!</v>
      </c>
    </row>
    <row r="51">
      <c r="A51" s="49" t="s">
        <v>263</v>
      </c>
      <c r="B51" s="2"/>
      <c r="C51" s="2"/>
      <c r="D51" s="2"/>
      <c r="E51" s="3"/>
      <c r="F51" s="50">
        <v>46.0</v>
      </c>
      <c r="G51" s="47"/>
      <c r="H51" s="47"/>
    </row>
    <row r="52">
      <c r="A52" s="45" t="s">
        <v>264</v>
      </c>
      <c r="B52" s="2"/>
      <c r="C52" s="2"/>
      <c r="D52" s="2"/>
      <c r="E52" s="3"/>
      <c r="F52" s="51">
        <f>F50/F51</f>
        <v>0.5652173913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287</v>
      </c>
      <c r="C2" s="2"/>
      <c r="D2" s="2"/>
      <c r="E2" s="2"/>
      <c r="F2" s="2"/>
      <c r="G2" s="2"/>
      <c r="H2" s="3"/>
      <c r="I2" s="38" t="s">
        <v>288</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289</v>
      </c>
      <c r="J5" s="44"/>
    </row>
    <row r="6" ht="60.0" customHeight="1">
      <c r="A6" s="40">
        <v>3.0</v>
      </c>
      <c r="B6" s="41" t="s">
        <v>44</v>
      </c>
      <c r="C6" s="41" t="s">
        <v>45</v>
      </c>
      <c r="D6" s="41" t="s">
        <v>46</v>
      </c>
      <c r="E6" s="41" t="s">
        <v>47</v>
      </c>
      <c r="F6" s="40" t="str">
        <f t="shared" si="1"/>
        <v>CORRECT</v>
      </c>
      <c r="G6" s="40" t="s">
        <v>48</v>
      </c>
      <c r="H6" s="42" t="s">
        <v>48</v>
      </c>
      <c r="I6" s="43" t="s">
        <v>290</v>
      </c>
      <c r="J6" s="44"/>
    </row>
    <row r="7" ht="60.0" customHeight="1">
      <c r="A7" s="40">
        <v>4.0</v>
      </c>
      <c r="B7" s="41" t="s">
        <v>50</v>
      </c>
      <c r="C7" s="41" t="s">
        <v>51</v>
      </c>
      <c r="D7" s="41" t="s">
        <v>52</v>
      </c>
      <c r="E7" s="41" t="s">
        <v>53</v>
      </c>
      <c r="F7" s="40" t="str">
        <f t="shared" si="1"/>
        <v>CORRECT</v>
      </c>
      <c r="G7" s="40" t="s">
        <v>42</v>
      </c>
      <c r="H7" s="44" t="s">
        <v>42</v>
      </c>
      <c r="I7" s="43" t="s">
        <v>291</v>
      </c>
      <c r="J7" s="44"/>
    </row>
    <row r="8" ht="60.0" customHeight="1">
      <c r="A8" s="40">
        <v>5.0</v>
      </c>
      <c r="B8" s="41" t="s">
        <v>55</v>
      </c>
      <c r="C8" s="41" t="s">
        <v>56</v>
      </c>
      <c r="D8" s="41" t="s">
        <v>57</v>
      </c>
      <c r="E8" s="41" t="s">
        <v>58</v>
      </c>
      <c r="F8" s="40" t="str">
        <f t="shared" si="1"/>
        <v>CORRECT</v>
      </c>
      <c r="G8" s="40" t="s">
        <v>48</v>
      </c>
      <c r="H8" s="42" t="s">
        <v>48</v>
      </c>
      <c r="I8" s="43" t="s">
        <v>292</v>
      </c>
      <c r="J8" s="44"/>
    </row>
    <row r="9" ht="60.0" customHeight="1">
      <c r="A9" s="40">
        <v>6.0</v>
      </c>
      <c r="B9" s="41" t="s">
        <v>60</v>
      </c>
      <c r="C9" s="41" t="s">
        <v>61</v>
      </c>
      <c r="D9" s="41" t="s">
        <v>62</v>
      </c>
      <c r="E9" s="41" t="s">
        <v>63</v>
      </c>
      <c r="F9" s="40" t="str">
        <f t="shared" si="1"/>
        <v>CORRECT</v>
      </c>
      <c r="G9" s="40" t="s">
        <v>42</v>
      </c>
      <c r="H9" s="44" t="s">
        <v>42</v>
      </c>
      <c r="I9" s="43" t="s">
        <v>293</v>
      </c>
      <c r="J9" s="44"/>
    </row>
    <row r="10" ht="60.0" customHeight="1">
      <c r="A10" s="40">
        <v>7.0</v>
      </c>
      <c r="B10" s="41" t="s">
        <v>65</v>
      </c>
      <c r="C10" s="41" t="s">
        <v>66</v>
      </c>
      <c r="D10" s="41" t="s">
        <v>67</v>
      </c>
      <c r="E10" s="41" t="s">
        <v>68</v>
      </c>
      <c r="F10" s="40" t="str">
        <f t="shared" si="1"/>
        <v>WRONG</v>
      </c>
      <c r="G10" s="40" t="s">
        <v>42</v>
      </c>
      <c r="H10" s="44" t="s">
        <v>36</v>
      </c>
      <c r="I10" s="43" t="s">
        <v>294</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2" t="s">
        <v>48</v>
      </c>
      <c r="I12" s="43" t="s">
        <v>295</v>
      </c>
      <c r="J12" s="44"/>
    </row>
    <row r="13" ht="60.0" customHeight="1">
      <c r="A13" s="40">
        <v>10.0</v>
      </c>
      <c r="B13" s="41" t="s">
        <v>80</v>
      </c>
      <c r="C13" s="41" t="s">
        <v>81</v>
      </c>
      <c r="D13" s="41" t="s">
        <v>82</v>
      </c>
      <c r="E13" s="41" t="s">
        <v>83</v>
      </c>
      <c r="F13" s="40" t="str">
        <f t="shared" si="1"/>
        <v>WRONG</v>
      </c>
      <c r="G13" s="40" t="s">
        <v>48</v>
      </c>
      <c r="H13" s="44" t="s">
        <v>42</v>
      </c>
      <c r="I13" s="43" t="s">
        <v>296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297</v>
      </c>
      <c r="J15" s="44"/>
    </row>
    <row r="16" ht="60.0" customHeight="1">
      <c r="A16" s="40">
        <v>13.0</v>
      </c>
      <c r="B16" s="41" t="s">
        <v>95</v>
      </c>
      <c r="C16" s="41" t="s">
        <v>96</v>
      </c>
      <c r="D16" s="41" t="s">
        <v>97</v>
      </c>
      <c r="E16" s="41" t="s">
        <v>98</v>
      </c>
      <c r="F16" s="40" t="str">
        <f t="shared" si="1"/>
        <v>CORRECT</v>
      </c>
      <c r="G16" s="40" t="s">
        <v>36</v>
      </c>
      <c r="H16" s="44" t="s">
        <v>36</v>
      </c>
      <c r="I16" s="43" t="s">
        <v>298</v>
      </c>
      <c r="J16" s="44"/>
    </row>
    <row r="17" ht="60.0" customHeight="1">
      <c r="A17" s="40">
        <v>14.0</v>
      </c>
      <c r="B17" s="41" t="s">
        <v>100</v>
      </c>
      <c r="C17" s="41" t="s">
        <v>101</v>
      </c>
      <c r="D17" s="41" t="s">
        <v>102</v>
      </c>
      <c r="E17" s="41" t="s">
        <v>103</v>
      </c>
      <c r="F17" s="40" t="str">
        <f t="shared" si="1"/>
        <v>WRONG</v>
      </c>
      <c r="G17" s="40" t="s">
        <v>36</v>
      </c>
      <c r="H17" s="42" t="s">
        <v>48</v>
      </c>
      <c r="I17" s="43" t="s">
        <v>299</v>
      </c>
      <c r="J17" s="44"/>
    </row>
    <row r="18" ht="60.0" customHeight="1">
      <c r="A18" s="40">
        <v>15.0</v>
      </c>
      <c r="B18" s="41" t="s">
        <v>105</v>
      </c>
      <c r="C18" s="41" t="s">
        <v>106</v>
      </c>
      <c r="D18" s="41" t="s">
        <v>107</v>
      </c>
      <c r="E18" s="41" t="s">
        <v>108</v>
      </c>
      <c r="F18" s="40" t="str">
        <f t="shared" si="1"/>
        <v>CORRECT</v>
      </c>
      <c r="G18" s="40" t="s">
        <v>48</v>
      </c>
      <c r="H18" s="42" t="s">
        <v>48</v>
      </c>
      <c r="I18" s="43" t="s">
        <v>300</v>
      </c>
      <c r="J18" s="44"/>
    </row>
    <row r="19" ht="60.0" customHeight="1">
      <c r="A19" s="40">
        <v>16.0</v>
      </c>
      <c r="B19" s="41" t="s">
        <v>110</v>
      </c>
      <c r="C19" s="41" t="s">
        <v>111</v>
      </c>
      <c r="D19" s="41" t="s">
        <v>112</v>
      </c>
      <c r="E19" s="41" t="s">
        <v>113</v>
      </c>
      <c r="F19" s="40" t="str">
        <f t="shared" si="1"/>
        <v>CORRECT</v>
      </c>
      <c r="G19" s="40" t="s">
        <v>48</v>
      </c>
      <c r="H19" s="42" t="s">
        <v>48</v>
      </c>
      <c r="I19" s="43" t="s">
        <v>301</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302</v>
      </c>
      <c r="J21" s="44"/>
    </row>
    <row r="22" ht="60.0" customHeight="1">
      <c r="A22" s="40">
        <v>19.0</v>
      </c>
      <c r="B22" s="41" t="s">
        <v>125</v>
      </c>
      <c r="C22" s="41" t="s">
        <v>126</v>
      </c>
      <c r="D22" s="41" t="s">
        <v>127</v>
      </c>
      <c r="E22" s="41" t="s">
        <v>128</v>
      </c>
      <c r="F22" s="40" t="str">
        <f t="shared" si="1"/>
        <v>WRONG</v>
      </c>
      <c r="G22" s="40" t="s">
        <v>36</v>
      </c>
      <c r="H22" s="44" t="s">
        <v>48</v>
      </c>
      <c r="I22" s="43" t="s">
        <v>303</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304</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305</v>
      </c>
      <c r="J26" s="44"/>
    </row>
    <row r="27" ht="60.0" customHeight="1">
      <c r="A27" s="40">
        <v>24.0</v>
      </c>
      <c r="B27" s="41" t="s">
        <v>150</v>
      </c>
      <c r="C27" s="41" t="s">
        <v>151</v>
      </c>
      <c r="D27" s="41" t="s">
        <v>152</v>
      </c>
      <c r="E27" s="41" t="s">
        <v>153</v>
      </c>
      <c r="F27" s="40" t="str">
        <f t="shared" si="1"/>
        <v>CORRECT</v>
      </c>
      <c r="G27" s="40" t="s">
        <v>36</v>
      </c>
      <c r="H27" s="44" t="s">
        <v>36</v>
      </c>
      <c r="I27" s="43" t="s">
        <v>306</v>
      </c>
      <c r="J27" s="44"/>
    </row>
    <row r="28" ht="60.0" customHeight="1">
      <c r="A28" s="40">
        <v>25.0</v>
      </c>
      <c r="B28" s="41" t="s">
        <v>155</v>
      </c>
      <c r="C28" s="41" t="s">
        <v>151</v>
      </c>
      <c r="D28" s="41" t="s">
        <v>156</v>
      </c>
      <c r="E28" s="41" t="s">
        <v>153</v>
      </c>
      <c r="F28" s="40" t="str">
        <f t="shared" si="1"/>
        <v>WRONG</v>
      </c>
      <c r="G28" s="40" t="s">
        <v>48</v>
      </c>
      <c r="H28" s="42" t="s">
        <v>36</v>
      </c>
      <c r="I28" s="43" t="s">
        <v>307</v>
      </c>
      <c r="J28" s="44"/>
    </row>
    <row r="29" ht="60.0" customHeight="1">
      <c r="A29" s="40">
        <v>26.0</v>
      </c>
      <c r="B29" s="41" t="s">
        <v>158</v>
      </c>
      <c r="C29" s="41" t="s">
        <v>159</v>
      </c>
      <c r="D29" s="41" t="s">
        <v>160</v>
      </c>
      <c r="E29" s="41" t="s">
        <v>161</v>
      </c>
      <c r="F29" s="40" t="str">
        <f t="shared" si="1"/>
        <v>WRONG</v>
      </c>
      <c r="G29" s="40" t="s">
        <v>36</v>
      </c>
      <c r="H29" s="44" t="s">
        <v>42</v>
      </c>
      <c r="I29" s="43" t="s">
        <v>308</v>
      </c>
      <c r="J29" s="44"/>
    </row>
    <row r="30" ht="60.0" customHeight="1">
      <c r="A30" s="40">
        <v>27.0</v>
      </c>
      <c r="B30" s="41" t="s">
        <v>163</v>
      </c>
      <c r="C30" s="41" t="s">
        <v>164</v>
      </c>
      <c r="D30" s="41" t="s">
        <v>165</v>
      </c>
      <c r="E30" s="41" t="s">
        <v>166</v>
      </c>
      <c r="F30" s="40" t="str">
        <f t="shared" si="1"/>
        <v>CORRECT</v>
      </c>
      <c r="G30" s="40" t="s">
        <v>42</v>
      </c>
      <c r="H30" s="44" t="s">
        <v>42</v>
      </c>
      <c r="I30" s="43" t="s">
        <v>309</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310</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311</v>
      </c>
      <c r="J41" s="44"/>
    </row>
    <row r="42" ht="60.0" customHeight="1">
      <c r="A42" s="40">
        <v>39.0</v>
      </c>
      <c r="B42" s="41" t="s">
        <v>223</v>
      </c>
      <c r="C42" s="41" t="s">
        <v>224</v>
      </c>
      <c r="D42" s="41" t="s">
        <v>225</v>
      </c>
      <c r="E42" s="41" t="s">
        <v>226</v>
      </c>
      <c r="F42" s="40" t="str">
        <f t="shared" si="1"/>
        <v>WRONG</v>
      </c>
      <c r="G42" s="40" t="s">
        <v>42</v>
      </c>
      <c r="H42" s="44" t="s">
        <v>48</v>
      </c>
      <c r="I42" s="43" t="s">
        <v>312</v>
      </c>
      <c r="J42" s="44"/>
    </row>
    <row r="43" ht="60.0" customHeight="1">
      <c r="A43" s="40">
        <v>40.0</v>
      </c>
      <c r="B43" s="41" t="s">
        <v>228</v>
      </c>
      <c r="C43" s="41" t="s">
        <v>229</v>
      </c>
      <c r="D43" s="41" t="s">
        <v>230</v>
      </c>
      <c r="E43" s="41" t="s">
        <v>231</v>
      </c>
      <c r="F43" s="40" t="str">
        <f t="shared" si="1"/>
        <v>CORRECT</v>
      </c>
      <c r="G43" s="40" t="s">
        <v>48</v>
      </c>
      <c r="H43" s="42" t="s">
        <v>48</v>
      </c>
      <c r="I43" s="43" t="s">
        <v>313</v>
      </c>
      <c r="J43" s="44"/>
    </row>
    <row r="44" ht="60.0" customHeight="1">
      <c r="A44" s="40">
        <v>41.0</v>
      </c>
      <c r="B44" s="41" t="s">
        <v>233</v>
      </c>
      <c r="C44" s="41" t="s">
        <v>234</v>
      </c>
      <c r="D44" s="41" t="s">
        <v>235</v>
      </c>
      <c r="E44" s="41" t="s">
        <v>236</v>
      </c>
      <c r="F44" s="40" t="str">
        <f t="shared" si="1"/>
        <v>CORRECT</v>
      </c>
      <c r="G44" s="40" t="s">
        <v>42</v>
      </c>
      <c r="H44" s="44" t="s">
        <v>42</v>
      </c>
      <c r="I44" s="43" t="s">
        <v>314</v>
      </c>
      <c r="J44" s="44"/>
    </row>
    <row r="45" ht="60.0" customHeight="1">
      <c r="A45" s="40">
        <v>42.0</v>
      </c>
      <c r="B45" s="41" t="s">
        <v>238</v>
      </c>
      <c r="C45" s="41" t="s">
        <v>239</v>
      </c>
      <c r="D45" s="41" t="s">
        <v>240</v>
      </c>
      <c r="E45" s="41" t="s">
        <v>241</v>
      </c>
      <c r="F45" s="40" t="str">
        <f t="shared" si="1"/>
        <v>WRONG</v>
      </c>
      <c r="G45" s="40" t="s">
        <v>36</v>
      </c>
      <c r="H45" s="44" t="s">
        <v>42</v>
      </c>
      <c r="I45" s="43" t="s">
        <v>315</v>
      </c>
      <c r="J45" s="44"/>
    </row>
    <row r="46" ht="60.0" customHeight="1">
      <c r="A46" s="40">
        <v>43.0</v>
      </c>
      <c r="B46" s="41" t="s">
        <v>243</v>
      </c>
      <c r="C46" s="41" t="s">
        <v>244</v>
      </c>
      <c r="D46" s="41" t="s">
        <v>245</v>
      </c>
      <c r="E46" s="41" t="s">
        <v>246</v>
      </c>
      <c r="F46" s="40" t="str">
        <f t="shared" si="1"/>
        <v>WRONG</v>
      </c>
      <c r="G46" s="40" t="s">
        <v>48</v>
      </c>
      <c r="H46" s="44" t="s">
        <v>36</v>
      </c>
      <c r="I46" s="43" t="s">
        <v>316</v>
      </c>
      <c r="J46" s="44"/>
    </row>
    <row r="47" ht="60.0" customHeight="1">
      <c r="A47" s="40">
        <v>44.0</v>
      </c>
      <c r="B47" s="41" t="s">
        <v>248</v>
      </c>
      <c r="C47" s="41" t="s">
        <v>249</v>
      </c>
      <c r="D47" s="41" t="s">
        <v>250</v>
      </c>
      <c r="E47" s="41" t="s">
        <v>251</v>
      </c>
      <c r="F47" s="40" t="str">
        <f t="shared" si="1"/>
        <v>WRONG</v>
      </c>
      <c r="G47" s="40" t="s">
        <v>36</v>
      </c>
      <c r="H47" s="42" t="s">
        <v>48</v>
      </c>
      <c r="I47" s="43" t="s">
        <v>317</v>
      </c>
      <c r="J47" s="44"/>
    </row>
    <row r="48" ht="60.0" customHeight="1">
      <c r="A48" s="40">
        <v>45.0</v>
      </c>
      <c r="B48" s="41" t="s">
        <v>253</v>
      </c>
      <c r="C48" s="41" t="s">
        <v>254</v>
      </c>
      <c r="D48" s="41" t="s">
        <v>255</v>
      </c>
      <c r="E48" s="41" t="s">
        <v>256</v>
      </c>
      <c r="F48" s="40" t="str">
        <f t="shared" si="1"/>
        <v>CORRECT</v>
      </c>
      <c r="G48" s="40" t="s">
        <v>36</v>
      </c>
      <c r="H48" s="44" t="s">
        <v>36</v>
      </c>
      <c r="I48" s="43" t="s">
        <v>318</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26</v>
      </c>
      <c r="G50" s="47"/>
      <c r="H50" s="47"/>
      <c r="J50" s="48" t="str">
        <f>AVERAGE(J4:J49)</f>
        <v>#DIV/0!</v>
      </c>
    </row>
    <row r="51">
      <c r="A51" s="49" t="s">
        <v>263</v>
      </c>
      <c r="B51" s="2"/>
      <c r="C51" s="2"/>
      <c r="D51" s="2"/>
      <c r="E51" s="3"/>
      <c r="F51" s="50">
        <v>46.0</v>
      </c>
      <c r="G51" s="47"/>
      <c r="H51" s="47"/>
    </row>
    <row r="52">
      <c r="A52" s="45" t="s">
        <v>264</v>
      </c>
      <c r="B52" s="2"/>
      <c r="C52" s="2"/>
      <c r="D52" s="2"/>
      <c r="E52" s="3"/>
      <c r="F52" s="51">
        <f>F50/F51</f>
        <v>0.5652173913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319</v>
      </c>
      <c r="C2" s="2"/>
      <c r="D2" s="2"/>
      <c r="E2" s="2"/>
      <c r="F2" s="2"/>
      <c r="G2" s="2"/>
      <c r="H2" s="3"/>
      <c r="I2" s="38" t="s">
        <v>320</v>
      </c>
      <c r="J2" s="3"/>
      <c r="K2" s="35"/>
      <c r="L2" s="35"/>
      <c r="M2" s="35"/>
      <c r="N2" s="53" t="s">
        <v>321</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268</v>
      </c>
      <c r="J5" s="44"/>
    </row>
    <row r="6" ht="60.0" customHeight="1">
      <c r="A6" s="40">
        <v>3.0</v>
      </c>
      <c r="B6" s="41" t="s">
        <v>44</v>
      </c>
      <c r="C6" s="41" t="s">
        <v>45</v>
      </c>
      <c r="D6" s="41" t="s">
        <v>46</v>
      </c>
      <c r="E6" s="41" t="s">
        <v>47</v>
      </c>
      <c r="F6" s="40" t="str">
        <f t="shared" si="1"/>
        <v>CORRECT</v>
      </c>
      <c r="G6" s="40" t="s">
        <v>48</v>
      </c>
      <c r="H6" s="42" t="s">
        <v>48</v>
      </c>
      <c r="I6" s="43" t="s">
        <v>269</v>
      </c>
      <c r="J6" s="44"/>
    </row>
    <row r="7" ht="60.0" customHeight="1">
      <c r="A7" s="40">
        <v>4.0</v>
      </c>
      <c r="B7" s="41" t="s">
        <v>50</v>
      </c>
      <c r="C7" s="41" t="s">
        <v>51</v>
      </c>
      <c r="D7" s="41" t="s">
        <v>52</v>
      </c>
      <c r="E7" s="41" t="s">
        <v>53</v>
      </c>
      <c r="F7" s="40" t="str">
        <f t="shared" si="1"/>
        <v>CORRECT</v>
      </c>
      <c r="G7" s="40" t="s">
        <v>42</v>
      </c>
      <c r="H7" s="44" t="s">
        <v>42</v>
      </c>
      <c r="I7" s="43" t="s">
        <v>270</v>
      </c>
      <c r="J7" s="44"/>
    </row>
    <row r="8" ht="60.0" customHeight="1">
      <c r="A8" s="40">
        <v>5.0</v>
      </c>
      <c r="B8" s="41" t="s">
        <v>55</v>
      </c>
      <c r="C8" s="41" t="s">
        <v>56</v>
      </c>
      <c r="D8" s="41" t="s">
        <v>57</v>
      </c>
      <c r="E8" s="41" t="s">
        <v>58</v>
      </c>
      <c r="F8" s="40" t="str">
        <f t="shared" si="1"/>
        <v>CORRECT</v>
      </c>
      <c r="G8" s="40" t="s">
        <v>48</v>
      </c>
      <c r="H8" s="42" t="s">
        <v>48</v>
      </c>
      <c r="I8" s="43" t="s">
        <v>271</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4" t="s">
        <v>36</v>
      </c>
      <c r="I10" s="43" t="s">
        <v>273</v>
      </c>
      <c r="J10" s="44"/>
    </row>
    <row r="11" ht="60.0" customHeight="1">
      <c r="A11" s="40">
        <v>8.0</v>
      </c>
      <c r="B11" s="41" t="s">
        <v>70</v>
      </c>
      <c r="C11" s="41" t="s">
        <v>71</v>
      </c>
      <c r="D11" s="41" t="s">
        <v>72</v>
      </c>
      <c r="E11" s="41" t="s">
        <v>73</v>
      </c>
      <c r="F11" s="40" t="str">
        <f t="shared" si="1"/>
        <v>WRONG</v>
      </c>
      <c r="G11" s="40" t="s">
        <v>48</v>
      </c>
      <c r="H11" s="44" t="s">
        <v>42</v>
      </c>
      <c r="I11" s="43" t="s">
        <v>274</v>
      </c>
      <c r="J11" s="44"/>
    </row>
    <row r="12" ht="60.0" customHeight="1">
      <c r="A12" s="40">
        <v>9.0</v>
      </c>
      <c r="B12" s="41" t="s">
        <v>75</v>
      </c>
      <c r="C12" s="41" t="s">
        <v>76</v>
      </c>
      <c r="D12" s="41" t="s">
        <v>77</v>
      </c>
      <c r="E12" s="41" t="s">
        <v>78</v>
      </c>
      <c r="F12" s="40" t="str">
        <f t="shared" si="1"/>
        <v>WRONG</v>
      </c>
      <c r="G12" s="40" t="s">
        <v>42</v>
      </c>
      <c r="H12" s="44" t="s">
        <v>48</v>
      </c>
      <c r="I12" s="43" t="s">
        <v>275</v>
      </c>
      <c r="J12" s="44"/>
    </row>
    <row r="13" ht="60.0" customHeight="1">
      <c r="A13" s="40">
        <v>10.0</v>
      </c>
      <c r="B13" s="41" t="s">
        <v>80</v>
      </c>
      <c r="C13" s="41" t="s">
        <v>81</v>
      </c>
      <c r="D13" s="41" t="s">
        <v>82</v>
      </c>
      <c r="E13" s="41" t="s">
        <v>83</v>
      </c>
      <c r="F13" s="40" t="str">
        <f t="shared" si="1"/>
        <v>WRONG</v>
      </c>
      <c r="G13" s="40" t="s">
        <v>48</v>
      </c>
      <c r="H13" s="44" t="s">
        <v>42</v>
      </c>
      <c r="I13" s="43" t="s">
        <v>276</v>
      </c>
      <c r="J13" s="44"/>
    </row>
    <row r="14" ht="60.0" customHeight="1">
      <c r="A14" s="40">
        <v>11.0</v>
      </c>
      <c r="B14" s="41" t="s">
        <v>85</v>
      </c>
      <c r="C14" s="41" t="s">
        <v>86</v>
      </c>
      <c r="D14" s="41" t="s">
        <v>87</v>
      </c>
      <c r="E14" s="41" t="s">
        <v>88</v>
      </c>
      <c r="F14" s="40" t="str">
        <f t="shared" si="1"/>
        <v>WRONG</v>
      </c>
      <c r="G14" s="40" t="s">
        <v>42</v>
      </c>
      <c r="H14" s="42" t="s">
        <v>48</v>
      </c>
      <c r="I14" s="43" t="s">
        <v>277</v>
      </c>
      <c r="J14" s="44"/>
    </row>
    <row r="15" ht="60.0" customHeight="1">
      <c r="A15" s="40">
        <v>12.0</v>
      </c>
      <c r="B15" s="41" t="s">
        <v>90</v>
      </c>
      <c r="C15" s="41" t="s">
        <v>91</v>
      </c>
      <c r="D15" s="41" t="s">
        <v>92</v>
      </c>
      <c r="E15" s="41" t="s">
        <v>93</v>
      </c>
      <c r="F15" s="40" t="str">
        <f t="shared" si="1"/>
        <v>CORRECT</v>
      </c>
      <c r="G15" s="40" t="s">
        <v>48</v>
      </c>
      <c r="H15" s="44" t="s">
        <v>48</v>
      </c>
      <c r="I15" s="43" t="s">
        <v>278</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279</v>
      </c>
      <c r="J17" s="44"/>
    </row>
    <row r="18" ht="60.0" customHeight="1">
      <c r="A18" s="40">
        <v>15.0</v>
      </c>
      <c r="B18" s="41" t="s">
        <v>105</v>
      </c>
      <c r="C18" s="41" t="s">
        <v>106</v>
      </c>
      <c r="D18" s="41" t="s">
        <v>107</v>
      </c>
      <c r="E18" s="41" t="s">
        <v>108</v>
      </c>
      <c r="F18" s="40" t="str">
        <f t="shared" si="1"/>
        <v>CORRECT</v>
      </c>
      <c r="G18" s="40" t="s">
        <v>48</v>
      </c>
      <c r="H18" s="42" t="s">
        <v>48</v>
      </c>
      <c r="I18" s="43" t="s">
        <v>322</v>
      </c>
      <c r="J18" s="44"/>
    </row>
    <row r="19" ht="60.0" customHeight="1">
      <c r="A19" s="40">
        <v>16.0</v>
      </c>
      <c r="B19" s="41" t="s">
        <v>110</v>
      </c>
      <c r="C19" s="41" t="s">
        <v>111</v>
      </c>
      <c r="D19" s="41" t="s">
        <v>112</v>
      </c>
      <c r="E19" s="41" t="s">
        <v>113</v>
      </c>
      <c r="F19" s="40" t="str">
        <f t="shared" si="1"/>
        <v>CORRECT</v>
      </c>
      <c r="G19" s="40" t="s">
        <v>48</v>
      </c>
      <c r="H19" s="42" t="s">
        <v>48</v>
      </c>
      <c r="I19" s="43" t="s">
        <v>323</v>
      </c>
      <c r="J19" s="44"/>
    </row>
    <row r="20" ht="60.0" customHeight="1">
      <c r="A20" s="40">
        <v>17.0</v>
      </c>
      <c r="B20" s="41" t="s">
        <v>115</v>
      </c>
      <c r="C20" s="41" t="s">
        <v>116</v>
      </c>
      <c r="D20" s="41" t="s">
        <v>117</v>
      </c>
      <c r="E20" s="41" t="s">
        <v>118</v>
      </c>
      <c r="F20" s="40" t="str">
        <f t="shared" si="1"/>
        <v>WRONG</v>
      </c>
      <c r="G20" s="40" t="s">
        <v>42</v>
      </c>
      <c r="H20" s="44" t="s">
        <v>36</v>
      </c>
      <c r="I20" s="43" t="s">
        <v>119</v>
      </c>
      <c r="J20" s="44"/>
    </row>
    <row r="21" ht="60.0" customHeight="1">
      <c r="A21" s="40">
        <v>18.0</v>
      </c>
      <c r="B21" s="41" t="s">
        <v>120</v>
      </c>
      <c r="C21" s="41" t="s">
        <v>121</v>
      </c>
      <c r="D21" s="41" t="s">
        <v>122</v>
      </c>
      <c r="E21" s="41" t="s">
        <v>123</v>
      </c>
      <c r="F21" s="40" t="str">
        <f t="shared" si="1"/>
        <v>CORRECT</v>
      </c>
      <c r="G21" s="40" t="s">
        <v>42</v>
      </c>
      <c r="H21" s="44" t="s">
        <v>42</v>
      </c>
      <c r="I21" s="43" t="s">
        <v>324</v>
      </c>
      <c r="J21" s="44"/>
    </row>
    <row r="22" ht="60.0" customHeight="1">
      <c r="A22" s="40">
        <v>19.0</v>
      </c>
      <c r="B22" s="41" t="s">
        <v>125</v>
      </c>
      <c r="C22" s="41" t="s">
        <v>126</v>
      </c>
      <c r="D22" s="41" t="s">
        <v>127</v>
      </c>
      <c r="E22" s="41" t="s">
        <v>128</v>
      </c>
      <c r="F22" s="40" t="str">
        <f t="shared" si="1"/>
        <v>WRONG</v>
      </c>
      <c r="G22" s="40" t="s">
        <v>36</v>
      </c>
      <c r="H22" s="42" t="s">
        <v>48</v>
      </c>
      <c r="I22" s="43" t="s">
        <v>283</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139</v>
      </c>
      <c r="J24" s="44"/>
    </row>
    <row r="25" ht="60.0" customHeight="1">
      <c r="A25" s="40">
        <v>22.0</v>
      </c>
      <c r="B25" s="41" t="s">
        <v>140</v>
      </c>
      <c r="C25" s="41" t="s">
        <v>141</v>
      </c>
      <c r="D25" s="41" t="s">
        <v>142</v>
      </c>
      <c r="E25" s="41" t="s">
        <v>143</v>
      </c>
      <c r="F25" s="40" t="str">
        <f t="shared" si="1"/>
        <v>CORRECT</v>
      </c>
      <c r="G25" s="40" t="s">
        <v>42</v>
      </c>
      <c r="H25" s="44" t="s">
        <v>42</v>
      </c>
      <c r="I25" s="43" t="s">
        <v>144</v>
      </c>
      <c r="J25" s="44"/>
    </row>
    <row r="26" ht="60.0" customHeight="1">
      <c r="A26" s="40">
        <v>23.0</v>
      </c>
      <c r="B26" s="41" t="s">
        <v>145</v>
      </c>
      <c r="C26" s="41" t="s">
        <v>146</v>
      </c>
      <c r="D26" s="41" t="s">
        <v>147</v>
      </c>
      <c r="E26" s="41" t="s">
        <v>148</v>
      </c>
      <c r="F26" s="40" t="str">
        <f t="shared" si="1"/>
        <v>CORRECT</v>
      </c>
      <c r="G26" s="40" t="s">
        <v>48</v>
      </c>
      <c r="H26" s="44" t="s">
        <v>48</v>
      </c>
      <c r="I26" s="43" t="s">
        <v>149</v>
      </c>
      <c r="J26" s="44"/>
    </row>
    <row r="27" ht="60.0" customHeight="1">
      <c r="A27" s="40">
        <v>24.0</v>
      </c>
      <c r="B27" s="41" t="s">
        <v>150</v>
      </c>
      <c r="C27" s="41" t="s">
        <v>151</v>
      </c>
      <c r="D27" s="41" t="s">
        <v>152</v>
      </c>
      <c r="E27" s="41" t="s">
        <v>153</v>
      </c>
      <c r="F27" s="40" t="str">
        <f t="shared" si="1"/>
        <v>CORRECT</v>
      </c>
      <c r="G27" s="40" t="s">
        <v>36</v>
      </c>
      <c r="H27" s="44" t="s">
        <v>36</v>
      </c>
      <c r="I27" s="43" t="s">
        <v>154</v>
      </c>
      <c r="J27" s="44"/>
    </row>
    <row r="28" ht="60.0" customHeight="1">
      <c r="A28" s="40">
        <v>25.0</v>
      </c>
      <c r="B28" s="41" t="s">
        <v>155</v>
      </c>
      <c r="C28" s="41" t="s">
        <v>151</v>
      </c>
      <c r="D28" s="41" t="s">
        <v>156</v>
      </c>
      <c r="E28" s="41" t="s">
        <v>153</v>
      </c>
      <c r="F28" s="40" t="str">
        <f t="shared" si="1"/>
        <v>WRONG</v>
      </c>
      <c r="G28" s="40" t="s">
        <v>48</v>
      </c>
      <c r="H28" s="42" t="s">
        <v>36</v>
      </c>
      <c r="I28" s="43" t="s">
        <v>157</v>
      </c>
      <c r="J28" s="44"/>
    </row>
    <row r="29" ht="60.0" customHeight="1">
      <c r="A29" s="40">
        <v>26.0</v>
      </c>
      <c r="B29" s="41" t="s">
        <v>158</v>
      </c>
      <c r="C29" s="41" t="s">
        <v>159</v>
      </c>
      <c r="D29" s="41" t="s">
        <v>160</v>
      </c>
      <c r="E29" s="41" t="s">
        <v>161</v>
      </c>
      <c r="F29" s="40" t="str">
        <f t="shared" si="1"/>
        <v>WRONG</v>
      </c>
      <c r="G29" s="40" t="s">
        <v>36</v>
      </c>
      <c r="H29" s="44" t="s">
        <v>42</v>
      </c>
      <c r="I29" s="43" t="s">
        <v>162</v>
      </c>
      <c r="J29" s="44"/>
    </row>
    <row r="30" ht="60.0" customHeight="1">
      <c r="A30" s="40">
        <v>27.0</v>
      </c>
      <c r="B30" s="41" t="s">
        <v>163</v>
      </c>
      <c r="C30" s="41" t="s">
        <v>164</v>
      </c>
      <c r="D30" s="41" t="s">
        <v>165</v>
      </c>
      <c r="E30" s="41" t="s">
        <v>166</v>
      </c>
      <c r="F30" s="40" t="str">
        <f t="shared" si="1"/>
        <v>CORRECT</v>
      </c>
      <c r="G30" s="40" t="s">
        <v>42</v>
      </c>
      <c r="H30" s="44" t="s">
        <v>42</v>
      </c>
      <c r="I30" s="43" t="s">
        <v>167</v>
      </c>
      <c r="J30" s="44"/>
    </row>
    <row r="31" ht="60.0" customHeight="1">
      <c r="A31" s="40">
        <v>28.0</v>
      </c>
      <c r="B31" s="41" t="s">
        <v>168</v>
      </c>
      <c r="C31" s="41" t="s">
        <v>169</v>
      </c>
      <c r="D31" s="41" t="s">
        <v>170</v>
      </c>
      <c r="E31" s="41" t="s">
        <v>171</v>
      </c>
      <c r="F31" s="40" t="str">
        <f t="shared" si="1"/>
        <v>WRONG</v>
      </c>
      <c r="G31" s="40" t="s">
        <v>36</v>
      </c>
      <c r="H31" s="42" t="s">
        <v>48</v>
      </c>
      <c r="I31" s="43" t="s">
        <v>172</v>
      </c>
      <c r="J31" s="44"/>
    </row>
    <row r="32" ht="60.0" customHeight="1">
      <c r="A32" s="40">
        <v>29.0</v>
      </c>
      <c r="B32" s="41" t="s">
        <v>173</v>
      </c>
      <c r="C32" s="41" t="s">
        <v>174</v>
      </c>
      <c r="D32" s="41" t="s">
        <v>175</v>
      </c>
      <c r="E32" s="41" t="s">
        <v>176</v>
      </c>
      <c r="F32" s="40" t="str">
        <f t="shared" si="1"/>
        <v>CORRECT</v>
      </c>
      <c r="G32" s="40" t="s">
        <v>42</v>
      </c>
      <c r="H32" s="44" t="s">
        <v>42</v>
      </c>
      <c r="I32" s="43" t="s">
        <v>177</v>
      </c>
      <c r="J32" s="44"/>
    </row>
    <row r="33" ht="60.0" customHeight="1">
      <c r="A33" s="40">
        <v>30.0</v>
      </c>
      <c r="B33" s="41" t="s">
        <v>178</v>
      </c>
      <c r="C33" s="41" t="s">
        <v>179</v>
      </c>
      <c r="D33" s="41" t="s">
        <v>180</v>
      </c>
      <c r="E33" s="41" t="s">
        <v>181</v>
      </c>
      <c r="F33" s="40" t="str">
        <f t="shared" si="1"/>
        <v>WRONG</v>
      </c>
      <c r="G33" s="40" t="s">
        <v>48</v>
      </c>
      <c r="H33" s="44" t="s">
        <v>36</v>
      </c>
      <c r="I33" s="43" t="s">
        <v>182</v>
      </c>
      <c r="J33" s="44"/>
    </row>
    <row r="34" ht="60.0" customHeight="1">
      <c r="A34" s="40">
        <v>31.0</v>
      </c>
      <c r="B34" s="41" t="s">
        <v>183</v>
      </c>
      <c r="C34" s="41" t="s">
        <v>184</v>
      </c>
      <c r="D34" s="41" t="s">
        <v>185</v>
      </c>
      <c r="E34" s="41" t="s">
        <v>186</v>
      </c>
      <c r="F34" s="40" t="str">
        <f t="shared" si="1"/>
        <v>WRONG</v>
      </c>
      <c r="G34" s="40" t="s">
        <v>42</v>
      </c>
      <c r="H34" s="44" t="s">
        <v>36</v>
      </c>
      <c r="I34" s="43" t="s">
        <v>187</v>
      </c>
      <c r="J34" s="44"/>
    </row>
    <row r="35" ht="60.0" customHeight="1">
      <c r="A35" s="40">
        <v>32.0</v>
      </c>
      <c r="B35" s="41" t="s">
        <v>188</v>
      </c>
      <c r="C35" s="41" t="s">
        <v>189</v>
      </c>
      <c r="D35" s="41" t="s">
        <v>190</v>
      </c>
      <c r="E35" s="41" t="s">
        <v>191</v>
      </c>
      <c r="F35" s="40" t="str">
        <f t="shared" si="1"/>
        <v>CORRECT</v>
      </c>
      <c r="G35" s="40" t="s">
        <v>36</v>
      </c>
      <c r="H35" s="44" t="s">
        <v>36</v>
      </c>
      <c r="I35" s="43" t="s">
        <v>192</v>
      </c>
      <c r="J35" s="44"/>
    </row>
    <row r="36" ht="60.0" customHeight="1">
      <c r="A36" s="40">
        <v>33.0</v>
      </c>
      <c r="B36" s="41" t="s">
        <v>193</v>
      </c>
      <c r="C36" s="41" t="s">
        <v>194</v>
      </c>
      <c r="D36" s="41" t="s">
        <v>195</v>
      </c>
      <c r="E36" s="41" t="s">
        <v>196</v>
      </c>
      <c r="F36" s="40" t="str">
        <f t="shared" si="1"/>
        <v>WRONG</v>
      </c>
      <c r="G36" s="40" t="s">
        <v>48</v>
      </c>
      <c r="H36" s="42" t="s">
        <v>42</v>
      </c>
      <c r="I36" s="43" t="s">
        <v>197</v>
      </c>
      <c r="J36" s="44"/>
    </row>
    <row r="37" ht="60.0" customHeight="1">
      <c r="A37" s="40">
        <v>34.0</v>
      </c>
      <c r="B37" s="41" t="s">
        <v>198</v>
      </c>
      <c r="C37" s="41" t="s">
        <v>199</v>
      </c>
      <c r="D37" s="41" t="s">
        <v>200</v>
      </c>
      <c r="E37" s="41" t="s">
        <v>201</v>
      </c>
      <c r="F37" s="40" t="str">
        <f t="shared" si="1"/>
        <v>CORRECT</v>
      </c>
      <c r="G37" s="40" t="s">
        <v>36</v>
      </c>
      <c r="H37" s="44" t="s">
        <v>36</v>
      </c>
      <c r="I37" s="43" t="s">
        <v>325</v>
      </c>
      <c r="J37" s="44"/>
    </row>
    <row r="38" ht="60.0" customHeight="1">
      <c r="A38" s="40">
        <v>35.0</v>
      </c>
      <c r="B38" s="41" t="s">
        <v>203</v>
      </c>
      <c r="C38" s="41" t="s">
        <v>204</v>
      </c>
      <c r="D38" s="41" t="s">
        <v>205</v>
      </c>
      <c r="E38" s="41" t="s">
        <v>206</v>
      </c>
      <c r="F38" s="40" t="str">
        <f t="shared" si="1"/>
        <v>CORRECT</v>
      </c>
      <c r="G38" s="40" t="s">
        <v>48</v>
      </c>
      <c r="H38" s="42" t="s">
        <v>48</v>
      </c>
      <c r="I38" s="43" t="s">
        <v>207</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326</v>
      </c>
      <c r="J41" s="44"/>
    </row>
    <row r="42" ht="60.0" customHeight="1">
      <c r="A42" s="40">
        <v>39.0</v>
      </c>
      <c r="B42" s="41" t="s">
        <v>223</v>
      </c>
      <c r="C42" s="41" t="s">
        <v>224</v>
      </c>
      <c r="D42" s="41" t="s">
        <v>225</v>
      </c>
      <c r="E42" s="41" t="s">
        <v>226</v>
      </c>
      <c r="F42" s="40" t="str">
        <f t="shared" si="1"/>
        <v>WRONG</v>
      </c>
      <c r="G42" s="40" t="s">
        <v>42</v>
      </c>
      <c r="H42" s="44" t="s">
        <v>48</v>
      </c>
      <c r="I42" s="43" t="s">
        <v>227</v>
      </c>
      <c r="J42" s="44"/>
    </row>
    <row r="43" ht="60.0" customHeight="1">
      <c r="A43" s="40">
        <v>40.0</v>
      </c>
      <c r="B43" s="41" t="s">
        <v>228</v>
      </c>
      <c r="C43" s="41" t="s">
        <v>229</v>
      </c>
      <c r="D43" s="41" t="s">
        <v>230</v>
      </c>
      <c r="E43" s="41" t="s">
        <v>231</v>
      </c>
      <c r="F43" s="40" t="str">
        <f t="shared" si="1"/>
        <v>CORRECT</v>
      </c>
      <c r="G43" s="40" t="s">
        <v>48</v>
      </c>
      <c r="H43" s="42" t="s">
        <v>48</v>
      </c>
      <c r="I43" s="43" t="s">
        <v>232</v>
      </c>
      <c r="J43" s="44"/>
    </row>
    <row r="44" ht="60.0" customHeight="1">
      <c r="A44" s="40">
        <v>41.0</v>
      </c>
      <c r="B44" s="41" t="s">
        <v>233</v>
      </c>
      <c r="C44" s="41" t="s">
        <v>234</v>
      </c>
      <c r="D44" s="41" t="s">
        <v>235</v>
      </c>
      <c r="E44" s="41" t="s">
        <v>236</v>
      </c>
      <c r="F44" s="40" t="str">
        <f t="shared" si="1"/>
        <v>CORRECT</v>
      </c>
      <c r="G44" s="40" t="s">
        <v>42</v>
      </c>
      <c r="H44" s="44" t="s">
        <v>42</v>
      </c>
      <c r="I44" s="43" t="s">
        <v>237</v>
      </c>
      <c r="J44" s="44"/>
    </row>
    <row r="45" ht="60.0" customHeight="1">
      <c r="A45" s="40">
        <v>42.0</v>
      </c>
      <c r="B45" s="41" t="s">
        <v>238</v>
      </c>
      <c r="C45" s="41" t="s">
        <v>239</v>
      </c>
      <c r="D45" s="41" t="s">
        <v>240</v>
      </c>
      <c r="E45" s="41" t="s">
        <v>241</v>
      </c>
      <c r="F45" s="40" t="str">
        <f t="shared" si="1"/>
        <v>WRONG</v>
      </c>
      <c r="G45" s="40" t="s">
        <v>36</v>
      </c>
      <c r="H45" s="44" t="s">
        <v>42</v>
      </c>
      <c r="I45" s="43" t="s">
        <v>242</v>
      </c>
      <c r="J45" s="44"/>
    </row>
    <row r="46" ht="60.0" customHeight="1">
      <c r="A46" s="40">
        <v>43.0</v>
      </c>
      <c r="B46" s="41" t="s">
        <v>243</v>
      </c>
      <c r="C46" s="41" t="s">
        <v>244</v>
      </c>
      <c r="D46" s="41" t="s">
        <v>245</v>
      </c>
      <c r="E46" s="41" t="s">
        <v>246</v>
      </c>
      <c r="F46" s="40" t="str">
        <f t="shared" si="1"/>
        <v>WRONG</v>
      </c>
      <c r="G46" s="40" t="s">
        <v>48</v>
      </c>
      <c r="H46" s="44" t="s">
        <v>36</v>
      </c>
      <c r="I46" s="43" t="s">
        <v>247</v>
      </c>
      <c r="J46" s="44"/>
    </row>
    <row r="47" ht="60.0" customHeight="1">
      <c r="A47" s="40">
        <v>44.0</v>
      </c>
      <c r="B47" s="41" t="s">
        <v>248</v>
      </c>
      <c r="C47" s="41" t="s">
        <v>249</v>
      </c>
      <c r="D47" s="41" t="s">
        <v>250</v>
      </c>
      <c r="E47" s="41" t="s">
        <v>251</v>
      </c>
      <c r="F47" s="40" t="str">
        <f t="shared" si="1"/>
        <v>WRONG</v>
      </c>
      <c r="G47" s="40" t="s">
        <v>36</v>
      </c>
      <c r="H47" s="42" t="s">
        <v>48</v>
      </c>
      <c r="I47" s="43" t="s">
        <v>252</v>
      </c>
      <c r="J47" s="44"/>
    </row>
    <row r="48" ht="60.0" customHeight="1">
      <c r="A48" s="40">
        <v>45.0</v>
      </c>
      <c r="B48" s="41" t="s">
        <v>253</v>
      </c>
      <c r="C48" s="41" t="s">
        <v>254</v>
      </c>
      <c r="D48" s="41" t="s">
        <v>255</v>
      </c>
      <c r="E48" s="41" t="s">
        <v>256</v>
      </c>
      <c r="F48" s="40" t="str">
        <f t="shared" si="1"/>
        <v>CORRECT</v>
      </c>
      <c r="G48" s="40" t="s">
        <v>36</v>
      </c>
      <c r="H48" s="44" t="s">
        <v>36</v>
      </c>
      <c r="I48" s="43" t="s">
        <v>327</v>
      </c>
      <c r="J48" s="44"/>
    </row>
    <row r="49" ht="60.0" customHeight="1">
      <c r="A49" s="40">
        <v>46.0</v>
      </c>
      <c r="B49" s="41" t="s">
        <v>258</v>
      </c>
      <c r="C49" s="41" t="s">
        <v>39</v>
      </c>
      <c r="D49" s="41" t="s">
        <v>259</v>
      </c>
      <c r="E49" s="41" t="s">
        <v>260</v>
      </c>
      <c r="F49" s="40" t="str">
        <f t="shared" si="1"/>
        <v>CORRECT</v>
      </c>
      <c r="G49" s="40" t="s">
        <v>36</v>
      </c>
      <c r="H49" s="44" t="s">
        <v>36</v>
      </c>
      <c r="I49" s="43" t="s">
        <v>328</v>
      </c>
      <c r="J49" s="44"/>
    </row>
    <row r="50">
      <c r="A50" s="45" t="s">
        <v>262</v>
      </c>
      <c r="B50" s="2"/>
      <c r="C50" s="2"/>
      <c r="D50" s="2"/>
      <c r="E50" s="3"/>
      <c r="F50" s="46">
        <f>COUNTIFS(F4:F49,"CORRECT")</f>
        <v>26</v>
      </c>
      <c r="G50" s="47"/>
      <c r="H50" s="47"/>
      <c r="J50" s="48" t="str">
        <f>AVERAGE(J4:J49)</f>
        <v>#DIV/0!</v>
      </c>
    </row>
    <row r="51">
      <c r="A51" s="49" t="s">
        <v>263</v>
      </c>
      <c r="B51" s="2"/>
      <c r="C51" s="2"/>
      <c r="D51" s="2"/>
      <c r="E51" s="3"/>
      <c r="F51" s="50">
        <v>46.0</v>
      </c>
      <c r="G51" s="47"/>
      <c r="H51" s="47"/>
    </row>
    <row r="52">
      <c r="A52" s="45" t="s">
        <v>264</v>
      </c>
      <c r="B52" s="2"/>
      <c r="C52" s="2"/>
      <c r="D52" s="2"/>
      <c r="E52" s="3"/>
      <c r="F52" s="51">
        <f>F50/F51</f>
        <v>0.5652173913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329</v>
      </c>
      <c r="C2" s="2"/>
      <c r="D2" s="2"/>
      <c r="E2" s="2"/>
      <c r="F2" s="2"/>
      <c r="G2" s="2"/>
      <c r="H2" s="3"/>
      <c r="I2" s="38" t="s">
        <v>330</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row>
    <row r="5" ht="60.0" customHeight="1">
      <c r="A5" s="40">
        <v>2.0</v>
      </c>
      <c r="B5" s="41" t="s">
        <v>38</v>
      </c>
      <c r="C5" s="41" t="s">
        <v>39</v>
      </c>
      <c r="D5" s="41" t="s">
        <v>40</v>
      </c>
      <c r="E5" s="41" t="s">
        <v>41</v>
      </c>
      <c r="F5" s="40" t="str">
        <f t="shared" si="1"/>
        <v>CORRECT</v>
      </c>
      <c r="G5" s="40" t="s">
        <v>42</v>
      </c>
      <c r="H5" s="42" t="s">
        <v>42</v>
      </c>
      <c r="I5" s="43" t="s">
        <v>331</v>
      </c>
      <c r="J5" s="44"/>
    </row>
    <row r="6" ht="60.0" customHeight="1">
      <c r="A6" s="40">
        <v>3.0</v>
      </c>
      <c r="B6" s="41" t="s">
        <v>44</v>
      </c>
      <c r="C6" s="41" t="s">
        <v>45</v>
      </c>
      <c r="D6" s="41" t="s">
        <v>46</v>
      </c>
      <c r="E6" s="41" t="s">
        <v>47</v>
      </c>
      <c r="F6" s="40" t="str">
        <f t="shared" si="1"/>
        <v>CORRECT</v>
      </c>
      <c r="G6" s="40" t="s">
        <v>48</v>
      </c>
      <c r="H6" s="42" t="s">
        <v>48</v>
      </c>
      <c r="I6" s="43" t="s">
        <v>332</v>
      </c>
      <c r="J6" s="44"/>
    </row>
    <row r="7" ht="60.0" customHeight="1">
      <c r="A7" s="40">
        <v>4.0</v>
      </c>
      <c r="B7" s="41" t="s">
        <v>50</v>
      </c>
      <c r="C7" s="41" t="s">
        <v>51</v>
      </c>
      <c r="D7" s="41" t="s">
        <v>52</v>
      </c>
      <c r="E7" s="41" t="s">
        <v>53</v>
      </c>
      <c r="F7" s="40" t="str">
        <f t="shared" si="1"/>
        <v>CORRECT</v>
      </c>
      <c r="G7" s="40" t="s">
        <v>42</v>
      </c>
      <c r="H7" s="44" t="s">
        <v>42</v>
      </c>
      <c r="I7" s="43" t="s">
        <v>333</v>
      </c>
      <c r="J7" s="44"/>
    </row>
    <row r="8" ht="60.0" customHeight="1">
      <c r="A8" s="40">
        <v>5.0</v>
      </c>
      <c r="B8" s="41" t="s">
        <v>55</v>
      </c>
      <c r="C8" s="41" t="s">
        <v>56</v>
      </c>
      <c r="D8" s="41" t="s">
        <v>57</v>
      </c>
      <c r="E8" s="41" t="s">
        <v>58</v>
      </c>
      <c r="F8" s="40" t="str">
        <f t="shared" si="1"/>
        <v>CORRECT</v>
      </c>
      <c r="G8" s="40" t="s">
        <v>48</v>
      </c>
      <c r="H8" s="42" t="s">
        <v>48</v>
      </c>
      <c r="I8" s="43" t="s">
        <v>334</v>
      </c>
      <c r="J8" s="44"/>
    </row>
    <row r="9" ht="60.0" customHeight="1">
      <c r="A9" s="40">
        <v>6.0</v>
      </c>
      <c r="B9" s="41" t="s">
        <v>60</v>
      </c>
      <c r="C9" s="41" t="s">
        <v>61</v>
      </c>
      <c r="D9" s="41" t="s">
        <v>62</v>
      </c>
      <c r="E9" s="41" t="s">
        <v>63</v>
      </c>
      <c r="F9" s="40" t="str">
        <f t="shared" si="1"/>
        <v>CORRECT</v>
      </c>
      <c r="G9" s="40" t="s">
        <v>42</v>
      </c>
      <c r="H9" s="44" t="s">
        <v>42</v>
      </c>
      <c r="I9" s="43" t="s">
        <v>272</v>
      </c>
      <c r="J9" s="44"/>
    </row>
    <row r="10" ht="60.0" customHeight="1">
      <c r="A10" s="40">
        <v>7.0</v>
      </c>
      <c r="B10" s="41" t="s">
        <v>65</v>
      </c>
      <c r="C10" s="41" t="s">
        <v>66</v>
      </c>
      <c r="D10" s="41" t="s">
        <v>67</v>
      </c>
      <c r="E10" s="41" t="s">
        <v>68</v>
      </c>
      <c r="F10" s="40" t="str">
        <f t="shared" si="1"/>
        <v>WRONG</v>
      </c>
      <c r="G10" s="40" t="s">
        <v>42</v>
      </c>
      <c r="H10" s="44" t="s">
        <v>36</v>
      </c>
      <c r="I10" s="43" t="s">
        <v>335</v>
      </c>
      <c r="J10" s="44"/>
    </row>
    <row r="11" ht="60.0" customHeight="1">
      <c r="A11" s="40">
        <v>8.0</v>
      </c>
      <c r="B11" s="41" t="s">
        <v>70</v>
      </c>
      <c r="C11" s="41" t="s">
        <v>71</v>
      </c>
      <c r="D11" s="41" t="s">
        <v>72</v>
      </c>
      <c r="E11" s="41" t="s">
        <v>73</v>
      </c>
      <c r="F11" s="40" t="str">
        <f t="shared" si="1"/>
        <v>WRONG</v>
      </c>
      <c r="G11" s="40" t="s">
        <v>48</v>
      </c>
      <c r="H11" s="44" t="s">
        <v>42</v>
      </c>
      <c r="I11" s="43" t="s">
        <v>336</v>
      </c>
      <c r="J11" s="44"/>
    </row>
    <row r="12" ht="60.0" customHeight="1">
      <c r="A12" s="40">
        <v>9.0</v>
      </c>
      <c r="B12" s="41" t="s">
        <v>75</v>
      </c>
      <c r="C12" s="41" t="s">
        <v>76</v>
      </c>
      <c r="D12" s="41" t="s">
        <v>77</v>
      </c>
      <c r="E12" s="41" t="s">
        <v>78</v>
      </c>
      <c r="F12" s="40" t="str">
        <f t="shared" si="1"/>
        <v>WRONG</v>
      </c>
      <c r="G12" s="40" t="s">
        <v>42</v>
      </c>
      <c r="H12" s="44" t="s">
        <v>48</v>
      </c>
      <c r="I12" s="43" t="s">
        <v>337</v>
      </c>
      <c r="J12" s="44"/>
    </row>
    <row r="13" ht="60.0" customHeight="1">
      <c r="A13" s="40">
        <v>10.0</v>
      </c>
      <c r="B13" s="41" t="s">
        <v>80</v>
      </c>
      <c r="C13" s="41" t="s">
        <v>81</v>
      </c>
      <c r="D13" s="41" t="s">
        <v>82</v>
      </c>
      <c r="E13" s="41" t="s">
        <v>83</v>
      </c>
      <c r="F13" s="40" t="str">
        <f t="shared" si="1"/>
        <v>WRONG</v>
      </c>
      <c r="G13" s="40" t="s">
        <v>48</v>
      </c>
      <c r="H13" s="44" t="s">
        <v>42</v>
      </c>
      <c r="I13" s="43" t="s">
        <v>338</v>
      </c>
      <c r="J13" s="44"/>
    </row>
    <row r="14" ht="60.0" customHeight="1">
      <c r="A14" s="40">
        <v>11.0</v>
      </c>
      <c r="B14" s="41" t="s">
        <v>85</v>
      </c>
      <c r="C14" s="41" t="s">
        <v>86</v>
      </c>
      <c r="D14" s="41" t="s">
        <v>87</v>
      </c>
      <c r="E14" s="41" t="s">
        <v>88</v>
      </c>
      <c r="F14" s="40" t="str">
        <f t="shared" si="1"/>
        <v>WRONG</v>
      </c>
      <c r="G14" s="40" t="s">
        <v>42</v>
      </c>
      <c r="H14" s="44" t="s">
        <v>48</v>
      </c>
      <c r="I14" s="43" t="s">
        <v>339</v>
      </c>
      <c r="J14" s="44"/>
    </row>
    <row r="15" ht="60.0" customHeight="1">
      <c r="A15" s="40">
        <v>12.0</v>
      </c>
      <c r="B15" s="41" t="s">
        <v>90</v>
      </c>
      <c r="C15" s="41" t="s">
        <v>91</v>
      </c>
      <c r="D15" s="41" t="s">
        <v>92</v>
      </c>
      <c r="E15" s="41" t="s">
        <v>93</v>
      </c>
      <c r="F15" s="40" t="str">
        <f t="shared" si="1"/>
        <v>CORRECT</v>
      </c>
      <c r="G15" s="40" t="s">
        <v>48</v>
      </c>
      <c r="H15" s="44" t="s">
        <v>48</v>
      </c>
      <c r="I15" s="43" t="s">
        <v>340</v>
      </c>
      <c r="J15" s="44"/>
    </row>
    <row r="16" ht="60.0" customHeight="1">
      <c r="A16" s="40">
        <v>13.0</v>
      </c>
      <c r="B16" s="41" t="s">
        <v>95</v>
      </c>
      <c r="C16" s="41" t="s">
        <v>96</v>
      </c>
      <c r="D16" s="41" t="s">
        <v>97</v>
      </c>
      <c r="E16" s="41" t="s">
        <v>98</v>
      </c>
      <c r="F16" s="40" t="str">
        <f t="shared" si="1"/>
        <v>CORRECT</v>
      </c>
      <c r="G16" s="40" t="s">
        <v>36</v>
      </c>
      <c r="H16" s="44" t="s">
        <v>36</v>
      </c>
      <c r="I16" s="43" t="s">
        <v>99</v>
      </c>
      <c r="J16" s="44"/>
    </row>
    <row r="17" ht="60.0" customHeight="1">
      <c r="A17" s="40">
        <v>14.0</v>
      </c>
      <c r="B17" s="41" t="s">
        <v>100</v>
      </c>
      <c r="C17" s="41" t="s">
        <v>101</v>
      </c>
      <c r="D17" s="41" t="s">
        <v>102</v>
      </c>
      <c r="E17" s="41" t="s">
        <v>103</v>
      </c>
      <c r="F17" s="40" t="str">
        <f t="shared" si="1"/>
        <v>WRONG</v>
      </c>
      <c r="G17" s="40" t="s">
        <v>36</v>
      </c>
      <c r="H17" s="42" t="s">
        <v>48</v>
      </c>
      <c r="I17" s="43" t="s">
        <v>341</v>
      </c>
      <c r="J17" s="44"/>
    </row>
    <row r="18" ht="60.0" customHeight="1">
      <c r="A18" s="40">
        <v>15.0</v>
      </c>
      <c r="B18" s="41" t="s">
        <v>105</v>
      </c>
      <c r="C18" s="41" t="s">
        <v>106</v>
      </c>
      <c r="D18" s="41" t="s">
        <v>107</v>
      </c>
      <c r="E18" s="41" t="s">
        <v>108</v>
      </c>
      <c r="F18" s="40" t="str">
        <f t="shared" si="1"/>
        <v>CORRECT</v>
      </c>
      <c r="G18" s="40" t="s">
        <v>48</v>
      </c>
      <c r="H18" s="42" t="s">
        <v>48</v>
      </c>
      <c r="I18" s="43" t="s">
        <v>342</v>
      </c>
      <c r="J18" s="44"/>
    </row>
    <row r="19" ht="60.0" customHeight="1">
      <c r="A19" s="40">
        <v>16.0</v>
      </c>
      <c r="B19" s="41" t="s">
        <v>110</v>
      </c>
      <c r="C19" s="41" t="s">
        <v>111</v>
      </c>
      <c r="D19" s="41" t="s">
        <v>112</v>
      </c>
      <c r="E19" s="41" t="s">
        <v>113</v>
      </c>
      <c r="F19" s="40" t="str">
        <f t="shared" si="1"/>
        <v>CORRECT</v>
      </c>
      <c r="G19" s="40" t="s">
        <v>48</v>
      </c>
      <c r="H19" s="42" t="s">
        <v>48</v>
      </c>
      <c r="I19" s="43" t="s">
        <v>343</v>
      </c>
      <c r="J19" s="44"/>
    </row>
    <row r="20" ht="60.0" customHeight="1">
      <c r="A20" s="40">
        <v>17.0</v>
      </c>
      <c r="B20" s="41" t="s">
        <v>115</v>
      </c>
      <c r="C20" s="41" t="s">
        <v>116</v>
      </c>
      <c r="D20" s="41" t="s">
        <v>117</v>
      </c>
      <c r="E20" s="41" t="s">
        <v>118</v>
      </c>
      <c r="F20" s="40" t="str">
        <f t="shared" si="1"/>
        <v>WRONG</v>
      </c>
      <c r="G20" s="40" t="s">
        <v>42</v>
      </c>
      <c r="H20" s="44" t="s">
        <v>36</v>
      </c>
      <c r="I20" s="43" t="s">
        <v>344</v>
      </c>
      <c r="J20" s="44"/>
    </row>
    <row r="21" ht="60.0" customHeight="1">
      <c r="A21" s="40">
        <v>18.0</v>
      </c>
      <c r="B21" s="41" t="s">
        <v>120</v>
      </c>
      <c r="C21" s="41" t="s">
        <v>121</v>
      </c>
      <c r="D21" s="41" t="s">
        <v>122</v>
      </c>
      <c r="E21" s="41" t="s">
        <v>123</v>
      </c>
      <c r="F21" s="40" t="str">
        <f t="shared" si="1"/>
        <v>CORRECT</v>
      </c>
      <c r="G21" s="40" t="s">
        <v>42</v>
      </c>
      <c r="H21" s="44" t="s">
        <v>42</v>
      </c>
      <c r="I21" s="43" t="s">
        <v>345</v>
      </c>
      <c r="J21" s="44"/>
    </row>
    <row r="22" ht="60.0" customHeight="1">
      <c r="A22" s="40">
        <v>19.0</v>
      </c>
      <c r="B22" s="41" t="s">
        <v>125</v>
      </c>
      <c r="C22" s="41" t="s">
        <v>126</v>
      </c>
      <c r="D22" s="41" t="s">
        <v>127</v>
      </c>
      <c r="E22" s="41" t="s">
        <v>128</v>
      </c>
      <c r="F22" s="40" t="str">
        <f t="shared" si="1"/>
        <v>WRONG</v>
      </c>
      <c r="G22" s="40" t="s">
        <v>36</v>
      </c>
      <c r="H22" s="42" t="s">
        <v>48</v>
      </c>
      <c r="I22" s="43" t="s">
        <v>346</v>
      </c>
      <c r="J22" s="44"/>
    </row>
    <row r="23" ht="60.0" customHeight="1">
      <c r="A23" s="40">
        <v>20.0</v>
      </c>
      <c r="B23" s="41" t="s">
        <v>130</v>
      </c>
      <c r="C23" s="41" t="s">
        <v>131</v>
      </c>
      <c r="D23" s="41" t="s">
        <v>132</v>
      </c>
      <c r="E23" s="41" t="s">
        <v>133</v>
      </c>
      <c r="F23" s="40" t="str">
        <f t="shared" si="1"/>
        <v>CORRECT</v>
      </c>
      <c r="G23" s="40" t="s">
        <v>42</v>
      </c>
      <c r="H23" s="44" t="s">
        <v>42</v>
      </c>
      <c r="I23" s="43" t="s">
        <v>134</v>
      </c>
      <c r="J23" s="44"/>
    </row>
    <row r="24" ht="60.0" customHeight="1">
      <c r="A24" s="40">
        <v>21.0</v>
      </c>
      <c r="B24" s="41" t="s">
        <v>135</v>
      </c>
      <c r="C24" s="41" t="s">
        <v>136</v>
      </c>
      <c r="D24" s="41" t="s">
        <v>137</v>
      </c>
      <c r="E24" s="41" t="s">
        <v>138</v>
      </c>
      <c r="F24" s="40" t="str">
        <f t="shared" si="1"/>
        <v>WRONG</v>
      </c>
      <c r="G24" s="40" t="s">
        <v>42</v>
      </c>
      <c r="H24" s="44" t="s">
        <v>36</v>
      </c>
      <c r="I24" s="43" t="s">
        <v>347</v>
      </c>
      <c r="J24" s="44"/>
    </row>
    <row r="25" ht="60.0" customHeight="1">
      <c r="A25" s="40">
        <v>22.0</v>
      </c>
      <c r="B25" s="41" t="s">
        <v>140</v>
      </c>
      <c r="C25" s="41" t="s">
        <v>141</v>
      </c>
      <c r="D25" s="41" t="s">
        <v>142</v>
      </c>
      <c r="E25" s="41" t="s">
        <v>143</v>
      </c>
      <c r="F25" s="40" t="str">
        <f t="shared" si="1"/>
        <v>CORRECT</v>
      </c>
      <c r="G25" s="40" t="s">
        <v>42</v>
      </c>
      <c r="H25" s="44" t="s">
        <v>42</v>
      </c>
      <c r="I25" s="43" t="s">
        <v>348</v>
      </c>
      <c r="J25" s="44"/>
    </row>
    <row r="26" ht="60.0" customHeight="1">
      <c r="A26" s="40">
        <v>23.0</v>
      </c>
      <c r="B26" s="41" t="s">
        <v>145</v>
      </c>
      <c r="C26" s="41" t="s">
        <v>146</v>
      </c>
      <c r="D26" s="41" t="s">
        <v>147</v>
      </c>
      <c r="E26" s="41" t="s">
        <v>148</v>
      </c>
      <c r="F26" s="40" t="str">
        <f t="shared" si="1"/>
        <v>CORRECT</v>
      </c>
      <c r="G26" s="40" t="s">
        <v>48</v>
      </c>
      <c r="H26" s="44" t="s">
        <v>48</v>
      </c>
      <c r="I26" s="43" t="s">
        <v>349</v>
      </c>
      <c r="J26" s="44"/>
    </row>
    <row r="27" ht="60.0" customHeight="1">
      <c r="A27" s="40">
        <v>24.0</v>
      </c>
      <c r="B27" s="41" t="s">
        <v>150</v>
      </c>
      <c r="C27" s="41" t="s">
        <v>151</v>
      </c>
      <c r="D27" s="41" t="s">
        <v>152</v>
      </c>
      <c r="E27" s="41" t="s">
        <v>153</v>
      </c>
      <c r="F27" s="40" t="str">
        <f t="shared" si="1"/>
        <v>CORRECT</v>
      </c>
      <c r="G27" s="40" t="s">
        <v>36</v>
      </c>
      <c r="H27" s="44" t="s">
        <v>36</v>
      </c>
      <c r="I27" s="43" t="s">
        <v>350</v>
      </c>
      <c r="J27" s="44"/>
    </row>
    <row r="28" ht="60.0" customHeight="1">
      <c r="A28" s="40">
        <v>25.0</v>
      </c>
      <c r="B28" s="41" t="s">
        <v>155</v>
      </c>
      <c r="C28" s="41" t="s">
        <v>151</v>
      </c>
      <c r="D28" s="41" t="s">
        <v>156</v>
      </c>
      <c r="E28" s="41" t="s">
        <v>153</v>
      </c>
      <c r="F28" s="40" t="str">
        <f t="shared" si="1"/>
        <v>CORRECT</v>
      </c>
      <c r="G28" s="40" t="s">
        <v>48</v>
      </c>
      <c r="H28" s="42" t="s">
        <v>48</v>
      </c>
      <c r="I28" s="43" t="s">
        <v>351</v>
      </c>
      <c r="J28" s="44"/>
    </row>
    <row r="29" ht="60.0" customHeight="1">
      <c r="A29" s="40">
        <v>26.0</v>
      </c>
      <c r="B29" s="41" t="s">
        <v>158</v>
      </c>
      <c r="C29" s="41" t="s">
        <v>159</v>
      </c>
      <c r="D29" s="41" t="s">
        <v>160</v>
      </c>
      <c r="E29" s="41" t="s">
        <v>161</v>
      </c>
      <c r="F29" s="40" t="str">
        <f t="shared" si="1"/>
        <v>WRONG</v>
      </c>
      <c r="G29" s="40" t="s">
        <v>36</v>
      </c>
      <c r="H29" s="44" t="s">
        <v>42</v>
      </c>
      <c r="I29" s="43" t="s">
        <v>352</v>
      </c>
      <c r="J29" s="44"/>
    </row>
    <row r="30" ht="60.0" customHeight="1">
      <c r="A30" s="40">
        <v>27.0</v>
      </c>
      <c r="B30" s="41" t="s">
        <v>163</v>
      </c>
      <c r="C30" s="41" t="s">
        <v>164</v>
      </c>
      <c r="D30" s="41" t="s">
        <v>165</v>
      </c>
      <c r="E30" s="41" t="s">
        <v>166</v>
      </c>
      <c r="F30" s="40" t="str">
        <f t="shared" si="1"/>
        <v>CORRECT</v>
      </c>
      <c r="G30" s="40" t="s">
        <v>42</v>
      </c>
      <c r="H30" s="44" t="s">
        <v>42</v>
      </c>
      <c r="I30" s="43" t="s">
        <v>353</v>
      </c>
      <c r="J30" s="44"/>
    </row>
    <row r="31" ht="60.0" customHeight="1">
      <c r="A31" s="40">
        <v>28.0</v>
      </c>
      <c r="B31" s="41" t="s">
        <v>168</v>
      </c>
      <c r="C31" s="41" t="s">
        <v>169</v>
      </c>
      <c r="D31" s="41" t="s">
        <v>170</v>
      </c>
      <c r="E31" s="41" t="s">
        <v>171</v>
      </c>
      <c r="F31" s="40" t="str">
        <f t="shared" si="1"/>
        <v>WRONG</v>
      </c>
      <c r="G31" s="40" t="s">
        <v>36</v>
      </c>
      <c r="H31" s="42" t="s">
        <v>48</v>
      </c>
      <c r="I31" s="43" t="s">
        <v>354</v>
      </c>
      <c r="J31" s="44"/>
    </row>
    <row r="32" ht="60.0" customHeight="1">
      <c r="A32" s="40">
        <v>29.0</v>
      </c>
      <c r="B32" s="41" t="s">
        <v>173</v>
      </c>
      <c r="C32" s="41" t="s">
        <v>174</v>
      </c>
      <c r="D32" s="41" t="s">
        <v>175</v>
      </c>
      <c r="E32" s="41" t="s">
        <v>176</v>
      </c>
      <c r="F32" s="40" t="str">
        <f t="shared" si="1"/>
        <v>CORRECT</v>
      </c>
      <c r="G32" s="40" t="s">
        <v>42</v>
      </c>
      <c r="H32" s="44" t="s">
        <v>42</v>
      </c>
      <c r="I32" s="43" t="s">
        <v>355</v>
      </c>
      <c r="J32" s="44"/>
    </row>
    <row r="33" ht="60.0" customHeight="1">
      <c r="A33" s="40">
        <v>30.0</v>
      </c>
      <c r="B33" s="41" t="s">
        <v>178</v>
      </c>
      <c r="C33" s="41" t="s">
        <v>179</v>
      </c>
      <c r="D33" s="41" t="s">
        <v>180</v>
      </c>
      <c r="E33" s="41" t="s">
        <v>181</v>
      </c>
      <c r="F33" s="40" t="str">
        <f t="shared" si="1"/>
        <v>WRONG</v>
      </c>
      <c r="G33" s="40" t="s">
        <v>48</v>
      </c>
      <c r="H33" s="44" t="s">
        <v>36</v>
      </c>
      <c r="I33" s="43" t="s">
        <v>356</v>
      </c>
      <c r="J33" s="44"/>
    </row>
    <row r="34" ht="60.0" customHeight="1">
      <c r="A34" s="40">
        <v>31.0</v>
      </c>
      <c r="B34" s="41" t="s">
        <v>183</v>
      </c>
      <c r="C34" s="41" t="s">
        <v>184</v>
      </c>
      <c r="D34" s="41" t="s">
        <v>185</v>
      </c>
      <c r="E34" s="41" t="s">
        <v>186</v>
      </c>
      <c r="F34" s="40" t="str">
        <f t="shared" si="1"/>
        <v>WRONG</v>
      </c>
      <c r="G34" s="40" t="s">
        <v>42</v>
      </c>
      <c r="H34" s="44" t="s">
        <v>36</v>
      </c>
      <c r="I34" s="43" t="s">
        <v>357</v>
      </c>
      <c r="J34" s="44"/>
    </row>
    <row r="35" ht="60.0" customHeight="1">
      <c r="A35" s="40">
        <v>32.0</v>
      </c>
      <c r="B35" s="41" t="s">
        <v>188</v>
      </c>
      <c r="C35" s="41" t="s">
        <v>189</v>
      </c>
      <c r="D35" s="41" t="s">
        <v>190</v>
      </c>
      <c r="E35" s="41" t="s">
        <v>191</v>
      </c>
      <c r="F35" s="40" t="str">
        <f t="shared" si="1"/>
        <v>CORRECT</v>
      </c>
      <c r="G35" s="40" t="s">
        <v>36</v>
      </c>
      <c r="H35" s="44" t="s">
        <v>36</v>
      </c>
      <c r="I35" s="43" t="s">
        <v>358</v>
      </c>
      <c r="J35" s="44"/>
    </row>
    <row r="36" ht="60.0" customHeight="1">
      <c r="A36" s="40">
        <v>33.0</v>
      </c>
      <c r="B36" s="41" t="s">
        <v>193</v>
      </c>
      <c r="C36" s="41" t="s">
        <v>194</v>
      </c>
      <c r="D36" s="41" t="s">
        <v>195</v>
      </c>
      <c r="E36" s="41" t="s">
        <v>196</v>
      </c>
      <c r="F36" s="40" t="str">
        <f t="shared" si="1"/>
        <v>WRONG</v>
      </c>
      <c r="G36" s="40" t="s">
        <v>48</v>
      </c>
      <c r="H36" s="42" t="s">
        <v>42</v>
      </c>
      <c r="I36" s="43" t="s">
        <v>359</v>
      </c>
      <c r="J36" s="44"/>
    </row>
    <row r="37" ht="60.0" customHeight="1">
      <c r="A37" s="40">
        <v>34.0</v>
      </c>
      <c r="B37" s="41" t="s">
        <v>198</v>
      </c>
      <c r="C37" s="41" t="s">
        <v>199</v>
      </c>
      <c r="D37" s="41" t="s">
        <v>200</v>
      </c>
      <c r="E37" s="41" t="s">
        <v>201</v>
      </c>
      <c r="F37" s="40" t="str">
        <f t="shared" si="1"/>
        <v>CORRECT</v>
      </c>
      <c r="G37" s="40" t="s">
        <v>36</v>
      </c>
      <c r="H37" s="44" t="s">
        <v>36</v>
      </c>
      <c r="I37" s="43" t="s">
        <v>360</v>
      </c>
      <c r="J37" s="44"/>
    </row>
    <row r="38" ht="60.0" customHeight="1">
      <c r="A38" s="40">
        <v>35.0</v>
      </c>
      <c r="B38" s="41" t="s">
        <v>203</v>
      </c>
      <c r="C38" s="41" t="s">
        <v>204</v>
      </c>
      <c r="D38" s="41" t="s">
        <v>205</v>
      </c>
      <c r="E38" s="41" t="s">
        <v>206</v>
      </c>
      <c r="F38" s="40" t="str">
        <f t="shared" si="1"/>
        <v>CORRECT</v>
      </c>
      <c r="G38" s="40" t="s">
        <v>48</v>
      </c>
      <c r="H38" s="42" t="s">
        <v>48</v>
      </c>
      <c r="I38" s="43" t="s">
        <v>361</v>
      </c>
      <c r="J38" s="44"/>
    </row>
    <row r="39" ht="60.0" customHeight="1">
      <c r="A39" s="40">
        <v>36.0</v>
      </c>
      <c r="B39" s="41" t="s">
        <v>208</v>
      </c>
      <c r="C39" s="41" t="s">
        <v>209</v>
      </c>
      <c r="D39" s="41" t="s">
        <v>210</v>
      </c>
      <c r="E39" s="41" t="s">
        <v>211</v>
      </c>
      <c r="F39" s="40" t="str">
        <f t="shared" si="1"/>
        <v>CORRECT</v>
      </c>
      <c r="G39" s="40" t="s">
        <v>36</v>
      </c>
      <c r="H39" s="44" t="s">
        <v>36</v>
      </c>
      <c r="I39" s="43" t="s">
        <v>212</v>
      </c>
      <c r="J39" s="44"/>
    </row>
    <row r="40" ht="60.0" customHeight="1">
      <c r="A40" s="40">
        <v>37.0</v>
      </c>
      <c r="B40" s="41" t="s">
        <v>213</v>
      </c>
      <c r="C40" s="41" t="s">
        <v>214</v>
      </c>
      <c r="D40" s="41" t="s">
        <v>215</v>
      </c>
      <c r="E40" s="41" t="s">
        <v>216</v>
      </c>
      <c r="F40" s="40" t="str">
        <f t="shared" si="1"/>
        <v>WRONG</v>
      </c>
      <c r="G40" s="40" t="s">
        <v>36</v>
      </c>
      <c r="H40" s="44" t="s">
        <v>42</v>
      </c>
      <c r="I40" s="43" t="s">
        <v>217</v>
      </c>
      <c r="J40" s="44"/>
    </row>
    <row r="41" ht="60.0" customHeight="1">
      <c r="A41" s="40">
        <v>38.0</v>
      </c>
      <c r="B41" s="41" t="s">
        <v>218</v>
      </c>
      <c r="C41" s="41" t="s">
        <v>219</v>
      </c>
      <c r="D41" s="41" t="s">
        <v>220</v>
      </c>
      <c r="E41" s="41" t="s">
        <v>221</v>
      </c>
      <c r="F41" s="40" t="str">
        <f t="shared" si="1"/>
        <v>CORRECT</v>
      </c>
      <c r="G41" s="40" t="s">
        <v>36</v>
      </c>
      <c r="H41" s="44" t="s">
        <v>36</v>
      </c>
      <c r="I41" s="43" t="s">
        <v>362</v>
      </c>
      <c r="J41" s="44"/>
    </row>
    <row r="42" ht="60.0" customHeight="1">
      <c r="A42" s="40">
        <v>39.0</v>
      </c>
      <c r="B42" s="41" t="s">
        <v>223</v>
      </c>
      <c r="C42" s="41" t="s">
        <v>224</v>
      </c>
      <c r="D42" s="41" t="s">
        <v>225</v>
      </c>
      <c r="E42" s="41" t="s">
        <v>226</v>
      </c>
      <c r="F42" s="40" t="str">
        <f t="shared" si="1"/>
        <v>WRONG</v>
      </c>
      <c r="G42" s="40" t="s">
        <v>42</v>
      </c>
      <c r="H42" s="44" t="s">
        <v>48</v>
      </c>
      <c r="I42" s="43" t="s">
        <v>363</v>
      </c>
      <c r="J42" s="44"/>
    </row>
    <row r="43" ht="60.0" customHeight="1">
      <c r="A43" s="40">
        <v>40.0</v>
      </c>
      <c r="B43" s="41" t="s">
        <v>228</v>
      </c>
      <c r="C43" s="41" t="s">
        <v>229</v>
      </c>
      <c r="D43" s="41" t="s">
        <v>230</v>
      </c>
      <c r="E43" s="41" t="s">
        <v>231</v>
      </c>
      <c r="F43" s="40" t="str">
        <f t="shared" si="1"/>
        <v>CORRECT</v>
      </c>
      <c r="G43" s="40" t="s">
        <v>48</v>
      </c>
      <c r="H43" s="44" t="s">
        <v>48</v>
      </c>
      <c r="I43" s="43" t="s">
        <v>364</v>
      </c>
      <c r="J43" s="44"/>
    </row>
    <row r="44" ht="60.0" customHeight="1">
      <c r="A44" s="40">
        <v>41.0</v>
      </c>
      <c r="B44" s="41" t="s">
        <v>233</v>
      </c>
      <c r="C44" s="41" t="s">
        <v>234</v>
      </c>
      <c r="D44" s="41" t="s">
        <v>235</v>
      </c>
      <c r="E44" s="41" t="s">
        <v>236</v>
      </c>
      <c r="F44" s="40" t="str">
        <f t="shared" si="1"/>
        <v>CORRECT</v>
      </c>
      <c r="G44" s="40" t="s">
        <v>42</v>
      </c>
      <c r="H44" s="44" t="s">
        <v>42</v>
      </c>
      <c r="I44" s="43" t="s">
        <v>365</v>
      </c>
      <c r="J44" s="44"/>
    </row>
    <row r="45" ht="60.0" customHeight="1">
      <c r="A45" s="40">
        <v>42.0</v>
      </c>
      <c r="B45" s="41" t="s">
        <v>238</v>
      </c>
      <c r="C45" s="41" t="s">
        <v>239</v>
      </c>
      <c r="D45" s="41" t="s">
        <v>240</v>
      </c>
      <c r="E45" s="41" t="s">
        <v>241</v>
      </c>
      <c r="F45" s="40" t="str">
        <f t="shared" si="1"/>
        <v>WRONG</v>
      </c>
      <c r="G45" s="40" t="s">
        <v>36</v>
      </c>
      <c r="H45" s="44" t="s">
        <v>42</v>
      </c>
      <c r="I45" s="43" t="s">
        <v>366</v>
      </c>
      <c r="J45" s="44"/>
    </row>
    <row r="46" ht="60.0" customHeight="1">
      <c r="A46" s="40">
        <v>43.0</v>
      </c>
      <c r="B46" s="41" t="s">
        <v>243</v>
      </c>
      <c r="C46" s="41" t="s">
        <v>244</v>
      </c>
      <c r="D46" s="41" t="s">
        <v>245</v>
      </c>
      <c r="E46" s="41" t="s">
        <v>246</v>
      </c>
      <c r="F46" s="40" t="str">
        <f t="shared" si="1"/>
        <v>WRONG</v>
      </c>
      <c r="G46" s="40" t="s">
        <v>48</v>
      </c>
      <c r="H46" s="44" t="s">
        <v>36</v>
      </c>
      <c r="I46" s="43" t="s">
        <v>367</v>
      </c>
      <c r="J46" s="44"/>
    </row>
    <row r="47" ht="60.0" customHeight="1">
      <c r="A47" s="40">
        <v>44.0</v>
      </c>
      <c r="B47" s="41" t="s">
        <v>248</v>
      </c>
      <c r="C47" s="41" t="s">
        <v>249</v>
      </c>
      <c r="D47" s="41" t="s">
        <v>250</v>
      </c>
      <c r="E47" s="41" t="s">
        <v>251</v>
      </c>
      <c r="F47" s="40" t="str">
        <f t="shared" si="1"/>
        <v>WRONG</v>
      </c>
      <c r="G47" s="40" t="s">
        <v>36</v>
      </c>
      <c r="H47" s="44" t="s">
        <v>48</v>
      </c>
      <c r="I47" s="43" t="s">
        <v>368</v>
      </c>
      <c r="J47" s="44"/>
    </row>
    <row r="48" ht="60.0" customHeight="1">
      <c r="A48" s="40">
        <v>45.0</v>
      </c>
      <c r="B48" s="41" t="s">
        <v>253</v>
      </c>
      <c r="C48" s="41" t="s">
        <v>254</v>
      </c>
      <c r="D48" s="41" t="s">
        <v>255</v>
      </c>
      <c r="E48" s="41" t="s">
        <v>256</v>
      </c>
      <c r="F48" s="40" t="str">
        <f t="shared" si="1"/>
        <v>CORRECT</v>
      </c>
      <c r="G48" s="40" t="s">
        <v>36</v>
      </c>
      <c r="H48" s="44" t="s">
        <v>36</v>
      </c>
      <c r="I48" s="43" t="s">
        <v>369</v>
      </c>
      <c r="J48" s="44"/>
    </row>
    <row r="49" ht="60.0" customHeight="1">
      <c r="A49" s="40">
        <v>46.0</v>
      </c>
      <c r="B49" s="41" t="s">
        <v>258</v>
      </c>
      <c r="C49" s="41" t="s">
        <v>39</v>
      </c>
      <c r="D49" s="41" t="s">
        <v>259</v>
      </c>
      <c r="E49" s="41" t="s">
        <v>260</v>
      </c>
      <c r="F49" s="40" t="str">
        <f t="shared" si="1"/>
        <v>CORRECT</v>
      </c>
      <c r="G49" s="40" t="s">
        <v>36</v>
      </c>
      <c r="H49" s="44" t="s">
        <v>36</v>
      </c>
      <c r="I49" s="43" t="s">
        <v>261</v>
      </c>
      <c r="J49" s="44"/>
    </row>
    <row r="50">
      <c r="A50" s="45" t="s">
        <v>262</v>
      </c>
      <c r="B50" s="2"/>
      <c r="C50" s="2"/>
      <c r="D50" s="2"/>
      <c r="E50" s="3"/>
      <c r="F50" s="46">
        <f>COUNTIFS(F4:F49,"CORRECT")</f>
        <v>27</v>
      </c>
      <c r="G50" s="47"/>
      <c r="H50" s="47"/>
      <c r="J50" s="48" t="str">
        <f>AVERAGE(J4:J49)</f>
        <v>#DIV/0!</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370</v>
      </c>
      <c r="C2" s="2"/>
      <c r="D2" s="2"/>
      <c r="E2" s="2"/>
      <c r="F2" s="2"/>
      <c r="G2" s="2"/>
      <c r="H2" s="3"/>
      <c r="I2" s="38" t="s">
        <v>371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43" t="s">
        <v>372</v>
      </c>
      <c r="J4" s="55"/>
    </row>
    <row r="5" ht="60.0" customHeight="1">
      <c r="A5" s="40">
        <v>2.0</v>
      </c>
      <c r="B5" s="41" t="s">
        <v>38</v>
      </c>
      <c r="C5" s="41" t="s">
        <v>39</v>
      </c>
      <c r="D5" s="41" t="s">
        <v>40</v>
      </c>
      <c r="E5" s="41" t="s">
        <v>41</v>
      </c>
      <c r="F5" s="40" t="str">
        <f t="shared" si="1"/>
        <v>CORRECT</v>
      </c>
      <c r="G5" s="40" t="s">
        <v>42</v>
      </c>
      <c r="H5" s="54" t="s">
        <v>42</v>
      </c>
      <c r="I5" s="43" t="s">
        <v>373</v>
      </c>
      <c r="J5" s="55"/>
    </row>
    <row r="6" ht="60.0" customHeight="1">
      <c r="A6" s="40">
        <v>3.0</v>
      </c>
      <c r="B6" s="41" t="s">
        <v>44</v>
      </c>
      <c r="C6" s="41" t="s">
        <v>45</v>
      </c>
      <c r="D6" s="41" t="s">
        <v>46</v>
      </c>
      <c r="E6" s="41" t="s">
        <v>47</v>
      </c>
      <c r="F6" s="40" t="str">
        <f t="shared" si="1"/>
        <v>CORRECT</v>
      </c>
      <c r="G6" s="40" t="s">
        <v>48</v>
      </c>
      <c r="H6" s="54" t="s">
        <v>48</v>
      </c>
      <c r="I6" s="43" t="s">
        <v>374</v>
      </c>
      <c r="J6" s="55"/>
    </row>
    <row r="7" ht="60.0" customHeight="1">
      <c r="A7" s="40">
        <v>4.0</v>
      </c>
      <c r="B7" s="41" t="s">
        <v>50</v>
      </c>
      <c r="C7" s="41" t="s">
        <v>51</v>
      </c>
      <c r="D7" s="41" t="s">
        <v>52</v>
      </c>
      <c r="E7" s="41" t="s">
        <v>53</v>
      </c>
      <c r="F7" s="40" t="str">
        <f t="shared" si="1"/>
        <v>CORRECT</v>
      </c>
      <c r="G7" s="40" t="s">
        <v>42</v>
      </c>
      <c r="H7" s="55" t="s">
        <v>42</v>
      </c>
      <c r="I7" s="43" t="s">
        <v>375</v>
      </c>
      <c r="J7" s="55"/>
    </row>
    <row r="8" ht="60.0" customHeight="1">
      <c r="A8" s="40">
        <v>5.0</v>
      </c>
      <c r="B8" s="41" t="s">
        <v>55</v>
      </c>
      <c r="C8" s="41" t="s">
        <v>56</v>
      </c>
      <c r="D8" s="41" t="s">
        <v>57</v>
      </c>
      <c r="E8" s="41" t="s">
        <v>58</v>
      </c>
      <c r="F8" s="40" t="str">
        <f t="shared" si="1"/>
        <v>CORRECT</v>
      </c>
      <c r="G8" s="40" t="s">
        <v>48</v>
      </c>
      <c r="H8" s="54" t="s">
        <v>48</v>
      </c>
      <c r="I8" s="43" t="s">
        <v>376</v>
      </c>
      <c r="J8" s="55"/>
    </row>
    <row r="9" ht="60.0" customHeight="1">
      <c r="A9" s="40">
        <v>6.0</v>
      </c>
      <c r="B9" s="41" t="s">
        <v>60</v>
      </c>
      <c r="C9" s="41" t="s">
        <v>61</v>
      </c>
      <c r="D9" s="41" t="s">
        <v>62</v>
      </c>
      <c r="E9" s="41" t="s">
        <v>63</v>
      </c>
      <c r="F9" s="40" t="str">
        <f t="shared" si="1"/>
        <v>WRONG</v>
      </c>
      <c r="G9" s="40" t="s">
        <v>42</v>
      </c>
      <c r="H9" s="54" t="s">
        <v>377</v>
      </c>
      <c r="I9" s="43" t="s">
        <v>378</v>
      </c>
      <c r="J9" s="55"/>
    </row>
    <row r="10" ht="60.0" customHeight="1">
      <c r="A10" s="40">
        <v>7.0</v>
      </c>
      <c r="B10" s="41" t="s">
        <v>65</v>
      </c>
      <c r="C10" s="41" t="s">
        <v>66</v>
      </c>
      <c r="D10" s="41" t="s">
        <v>67</v>
      </c>
      <c r="E10" s="41" t="s">
        <v>68</v>
      </c>
      <c r="F10" s="40" t="str">
        <f t="shared" si="1"/>
        <v>WRONG</v>
      </c>
      <c r="G10" s="40" t="s">
        <v>42</v>
      </c>
      <c r="H10" s="54" t="s">
        <v>36</v>
      </c>
      <c r="I10" s="43" t="s">
        <v>379</v>
      </c>
      <c r="J10" s="55"/>
    </row>
    <row r="11" ht="60.0" customHeight="1">
      <c r="A11" s="40">
        <v>8.0</v>
      </c>
      <c r="B11" s="41" t="s">
        <v>70</v>
      </c>
      <c r="C11" s="41" t="s">
        <v>71</v>
      </c>
      <c r="D11" s="41" t="s">
        <v>72</v>
      </c>
      <c r="E11" s="41" t="s">
        <v>73</v>
      </c>
      <c r="F11" s="40" t="str">
        <f t="shared" si="1"/>
        <v>WRONG</v>
      </c>
      <c r="G11" s="40" t="s">
        <v>48</v>
      </c>
      <c r="H11" s="54" t="s">
        <v>42</v>
      </c>
      <c r="I11" s="43" t="s">
        <v>380</v>
      </c>
      <c r="J11" s="55"/>
    </row>
    <row r="12" ht="60.0" customHeight="1">
      <c r="A12" s="40">
        <v>9.0</v>
      </c>
      <c r="B12" s="41" t="s">
        <v>75</v>
      </c>
      <c r="C12" s="41" t="s">
        <v>76</v>
      </c>
      <c r="D12" s="41" t="s">
        <v>77</v>
      </c>
      <c r="E12" s="41" t="s">
        <v>78</v>
      </c>
      <c r="F12" s="40" t="str">
        <f t="shared" si="1"/>
        <v>WRONG</v>
      </c>
      <c r="G12" s="40" t="s">
        <v>42</v>
      </c>
      <c r="H12" s="55" t="s">
        <v>48</v>
      </c>
      <c r="I12" s="43" t="s">
        <v>381</v>
      </c>
      <c r="J12" s="55"/>
    </row>
    <row r="13" ht="60.0" customHeight="1">
      <c r="A13" s="40">
        <v>10.0</v>
      </c>
      <c r="B13" s="41" t="s">
        <v>80</v>
      </c>
      <c r="C13" s="41" t="s">
        <v>81</v>
      </c>
      <c r="D13" s="41" t="s">
        <v>82</v>
      </c>
      <c r="E13" s="41" t="s">
        <v>83</v>
      </c>
      <c r="F13" s="40" t="str">
        <f t="shared" si="1"/>
        <v>WRONG</v>
      </c>
      <c r="G13" s="40" t="s">
        <v>48</v>
      </c>
      <c r="H13" s="55" t="s">
        <v>42</v>
      </c>
      <c r="I13" s="43" t="s">
        <v>382</v>
      </c>
      <c r="J13" s="55"/>
    </row>
    <row r="14" ht="60.0" customHeight="1">
      <c r="A14" s="40">
        <v>11.0</v>
      </c>
      <c r="B14" s="41" t="s">
        <v>85</v>
      </c>
      <c r="C14" s="41" t="s">
        <v>86</v>
      </c>
      <c r="D14" s="41" t="s">
        <v>87</v>
      </c>
      <c r="E14" s="41" t="s">
        <v>88</v>
      </c>
      <c r="F14" s="40" t="str">
        <f t="shared" si="1"/>
        <v>WRONG</v>
      </c>
      <c r="G14" s="40" t="s">
        <v>42</v>
      </c>
      <c r="H14" s="55" t="s">
        <v>48</v>
      </c>
      <c r="I14" s="43" t="s">
        <v>383</v>
      </c>
      <c r="J14" s="55"/>
    </row>
    <row r="15" ht="60.0" customHeight="1">
      <c r="A15" s="40">
        <v>12.0</v>
      </c>
      <c r="B15" s="41" t="s">
        <v>90</v>
      </c>
      <c r="C15" s="41" t="s">
        <v>91</v>
      </c>
      <c r="D15" s="41" t="s">
        <v>92</v>
      </c>
      <c r="E15" s="41" t="s">
        <v>93</v>
      </c>
      <c r="F15" s="40" t="str">
        <f t="shared" si="1"/>
        <v>CORRECT</v>
      </c>
      <c r="G15" s="40" t="s">
        <v>48</v>
      </c>
      <c r="H15" s="55" t="s">
        <v>48</v>
      </c>
      <c r="I15" s="43" t="s">
        <v>384</v>
      </c>
      <c r="J15" s="55"/>
    </row>
    <row r="16" ht="60.0" customHeight="1">
      <c r="A16" s="40">
        <v>13.0</v>
      </c>
      <c r="B16" s="41" t="s">
        <v>95</v>
      </c>
      <c r="C16" s="41" t="s">
        <v>96</v>
      </c>
      <c r="D16" s="41" t="s">
        <v>97</v>
      </c>
      <c r="E16" s="41" t="s">
        <v>98</v>
      </c>
      <c r="F16" s="40" t="str">
        <f t="shared" si="1"/>
        <v>CORRECT</v>
      </c>
      <c r="G16" s="40" t="s">
        <v>36</v>
      </c>
      <c r="H16" s="54" t="s">
        <v>36</v>
      </c>
      <c r="I16" s="43" t="s">
        <v>385</v>
      </c>
      <c r="J16" s="55"/>
    </row>
    <row r="17" ht="60.0" customHeight="1">
      <c r="A17" s="40">
        <v>14.0</v>
      </c>
      <c r="B17" s="41" t="s">
        <v>100</v>
      </c>
      <c r="C17" s="41" t="s">
        <v>101</v>
      </c>
      <c r="D17" s="41" t="s">
        <v>102</v>
      </c>
      <c r="E17" s="41" t="s">
        <v>103</v>
      </c>
      <c r="F17" s="40" t="str">
        <f t="shared" si="1"/>
        <v>WRONG</v>
      </c>
      <c r="G17" s="40" t="s">
        <v>36</v>
      </c>
      <c r="H17" s="54" t="s">
        <v>48</v>
      </c>
      <c r="I17" s="43" t="s">
        <v>386</v>
      </c>
      <c r="J17" s="55"/>
    </row>
    <row r="18" ht="60.0" customHeight="1">
      <c r="A18" s="40">
        <v>15.0</v>
      </c>
      <c r="B18" s="41" t="s">
        <v>105</v>
      </c>
      <c r="C18" s="41" t="s">
        <v>106</v>
      </c>
      <c r="D18" s="41" t="s">
        <v>107</v>
      </c>
      <c r="E18" s="41" t="s">
        <v>108</v>
      </c>
      <c r="F18" s="40" t="str">
        <f t="shared" si="1"/>
        <v>CORRECT</v>
      </c>
      <c r="G18" s="40" t="s">
        <v>48</v>
      </c>
      <c r="H18" s="55" t="s">
        <v>48</v>
      </c>
      <c r="I18" s="43" t="s">
        <v>387</v>
      </c>
      <c r="J18" s="55"/>
    </row>
    <row r="19" ht="60.0" customHeight="1">
      <c r="A19" s="40">
        <v>16.0</v>
      </c>
      <c r="B19" s="41" t="s">
        <v>110</v>
      </c>
      <c r="C19" s="41" t="s">
        <v>111</v>
      </c>
      <c r="D19" s="41" t="s">
        <v>112</v>
      </c>
      <c r="E19" s="41" t="s">
        <v>113</v>
      </c>
      <c r="F19" s="40" t="str">
        <f t="shared" si="1"/>
        <v>CORRECT</v>
      </c>
      <c r="G19" s="40" t="s">
        <v>48</v>
      </c>
      <c r="H19" s="54" t="s">
        <v>48</v>
      </c>
      <c r="I19" s="43" t="s">
        <v>388</v>
      </c>
      <c r="J19" s="55"/>
    </row>
    <row r="20" ht="60.0" customHeight="1">
      <c r="A20" s="40">
        <v>17.0</v>
      </c>
      <c r="B20" s="41" t="s">
        <v>115</v>
      </c>
      <c r="C20" s="41" t="s">
        <v>116</v>
      </c>
      <c r="D20" s="41" t="s">
        <v>117</v>
      </c>
      <c r="E20" s="41" t="s">
        <v>118</v>
      </c>
      <c r="F20" s="40" t="str">
        <f t="shared" si="1"/>
        <v>WRONG</v>
      </c>
      <c r="G20" s="40" t="s">
        <v>42</v>
      </c>
      <c r="H20" s="55" t="s">
        <v>36</v>
      </c>
      <c r="I20" s="43" t="s">
        <v>389</v>
      </c>
      <c r="J20" s="55"/>
    </row>
    <row r="21" ht="60.0" customHeight="1">
      <c r="A21" s="40">
        <v>18.0</v>
      </c>
      <c r="B21" s="41" t="s">
        <v>120</v>
      </c>
      <c r="C21" s="41" t="s">
        <v>121</v>
      </c>
      <c r="D21" s="41" t="s">
        <v>122</v>
      </c>
      <c r="E21" s="41" t="s">
        <v>123</v>
      </c>
      <c r="F21" s="40" t="str">
        <f t="shared" si="1"/>
        <v>CORRECT</v>
      </c>
      <c r="G21" s="40" t="s">
        <v>42</v>
      </c>
      <c r="H21" s="55" t="s">
        <v>42</v>
      </c>
      <c r="I21" s="43" t="s">
        <v>390</v>
      </c>
      <c r="J21" s="55"/>
    </row>
    <row r="22" ht="60.0" customHeight="1">
      <c r="A22" s="40">
        <v>19.0</v>
      </c>
      <c r="B22" s="41" t="s">
        <v>125</v>
      </c>
      <c r="C22" s="41" t="s">
        <v>126</v>
      </c>
      <c r="D22" s="41" t="s">
        <v>127</v>
      </c>
      <c r="E22" s="41" t="s">
        <v>128</v>
      </c>
      <c r="F22" s="40" t="str">
        <f t="shared" si="1"/>
        <v>WRONG</v>
      </c>
      <c r="G22" s="40" t="s">
        <v>36</v>
      </c>
      <c r="H22" s="55" t="s">
        <v>48</v>
      </c>
      <c r="I22" s="43" t="s">
        <v>391</v>
      </c>
      <c r="J22" s="55"/>
    </row>
    <row r="23" ht="60.0" customHeight="1">
      <c r="A23" s="40">
        <v>20.0</v>
      </c>
      <c r="B23" s="41" t="s">
        <v>130</v>
      </c>
      <c r="C23" s="41" t="s">
        <v>131</v>
      </c>
      <c r="D23" s="41" t="s">
        <v>132</v>
      </c>
      <c r="E23" s="41" t="s">
        <v>133</v>
      </c>
      <c r="F23" s="40" t="str">
        <f t="shared" si="1"/>
        <v>CORRECT</v>
      </c>
      <c r="G23" s="40" t="s">
        <v>42</v>
      </c>
      <c r="H23" s="55" t="s">
        <v>42</v>
      </c>
      <c r="I23" s="43" t="s">
        <v>392</v>
      </c>
      <c r="J23" s="55"/>
    </row>
    <row r="24" ht="60.0" customHeight="1">
      <c r="A24" s="40">
        <v>21.0</v>
      </c>
      <c r="B24" s="41" t="s">
        <v>135</v>
      </c>
      <c r="C24" s="41" t="s">
        <v>136</v>
      </c>
      <c r="D24" s="41" t="s">
        <v>137</v>
      </c>
      <c r="E24" s="41" t="s">
        <v>138</v>
      </c>
      <c r="F24" s="40" t="str">
        <f t="shared" si="1"/>
        <v>WRONG</v>
      </c>
      <c r="G24" s="40" t="s">
        <v>42</v>
      </c>
      <c r="H24" s="55" t="s">
        <v>36</v>
      </c>
      <c r="I24" s="43" t="s">
        <v>393</v>
      </c>
      <c r="J24" s="55"/>
    </row>
    <row r="25" ht="60.0" customHeight="1">
      <c r="A25" s="40">
        <v>22.0</v>
      </c>
      <c r="B25" s="41" t="s">
        <v>140</v>
      </c>
      <c r="C25" s="41" t="s">
        <v>141</v>
      </c>
      <c r="D25" s="41" t="s">
        <v>142</v>
      </c>
      <c r="E25" s="41" t="s">
        <v>143</v>
      </c>
      <c r="F25" s="40" t="str">
        <f t="shared" si="1"/>
        <v>CORRECT</v>
      </c>
      <c r="G25" s="40" t="s">
        <v>42</v>
      </c>
      <c r="H25" s="54" t="s">
        <v>42</v>
      </c>
      <c r="I25" s="43" t="s">
        <v>394</v>
      </c>
      <c r="J25" s="55"/>
    </row>
    <row r="26" ht="60.0" customHeight="1">
      <c r="A26" s="40">
        <v>23.0</v>
      </c>
      <c r="B26" s="41" t="s">
        <v>145</v>
      </c>
      <c r="C26" s="41" t="s">
        <v>146</v>
      </c>
      <c r="D26" s="41" t="s">
        <v>147</v>
      </c>
      <c r="E26" s="41" t="s">
        <v>148</v>
      </c>
      <c r="F26" s="40" t="str">
        <f t="shared" si="1"/>
        <v>CORRECT</v>
      </c>
      <c r="G26" s="40" t="s">
        <v>48</v>
      </c>
      <c r="H26" s="54" t="s">
        <v>48</v>
      </c>
      <c r="I26" s="43" t="s">
        <v>395</v>
      </c>
      <c r="J26" s="55"/>
    </row>
    <row r="27" ht="60.0" customHeight="1">
      <c r="A27" s="40">
        <v>24.0</v>
      </c>
      <c r="B27" s="41" t="s">
        <v>150</v>
      </c>
      <c r="C27" s="41" t="s">
        <v>151</v>
      </c>
      <c r="D27" s="41" t="s">
        <v>152</v>
      </c>
      <c r="E27" s="41" t="s">
        <v>153</v>
      </c>
      <c r="F27" s="40" t="str">
        <f t="shared" si="1"/>
        <v>CORRECT</v>
      </c>
      <c r="G27" s="40" t="s">
        <v>36</v>
      </c>
      <c r="H27" s="54" t="s">
        <v>36</v>
      </c>
      <c r="I27" s="43" t="s">
        <v>396</v>
      </c>
      <c r="J27" s="55"/>
    </row>
    <row r="28" ht="60.0" customHeight="1">
      <c r="A28" s="40">
        <v>25.0</v>
      </c>
      <c r="B28" s="41" t="s">
        <v>155</v>
      </c>
      <c r="C28" s="41" t="s">
        <v>151</v>
      </c>
      <c r="D28" s="41" t="s">
        <v>156</v>
      </c>
      <c r="E28" s="41" t="s">
        <v>153</v>
      </c>
      <c r="F28" s="40" t="str">
        <f t="shared" si="1"/>
        <v>WRONG</v>
      </c>
      <c r="G28" s="40" t="s">
        <v>48</v>
      </c>
      <c r="H28" s="54" t="s">
        <v>36</v>
      </c>
      <c r="I28" s="43" t="s">
        <v>397</v>
      </c>
      <c r="J28" s="55"/>
    </row>
    <row r="29" ht="60.0" customHeight="1">
      <c r="A29" s="40">
        <v>26.0</v>
      </c>
      <c r="B29" s="41" t="s">
        <v>158</v>
      </c>
      <c r="C29" s="41" t="s">
        <v>159</v>
      </c>
      <c r="D29" s="41" t="s">
        <v>160</v>
      </c>
      <c r="E29" s="41" t="s">
        <v>161</v>
      </c>
      <c r="F29" s="40" t="str">
        <f t="shared" si="1"/>
        <v>WRONG</v>
      </c>
      <c r="G29" s="40" t="s">
        <v>36</v>
      </c>
      <c r="H29" s="54" t="s">
        <v>42</v>
      </c>
      <c r="I29" s="43" t="s">
        <v>398</v>
      </c>
      <c r="J29" s="55"/>
    </row>
    <row r="30" ht="60.0" customHeight="1">
      <c r="A30" s="40">
        <v>27.0</v>
      </c>
      <c r="B30" s="41" t="s">
        <v>163</v>
      </c>
      <c r="C30" s="41" t="s">
        <v>164</v>
      </c>
      <c r="D30" s="41" t="s">
        <v>165</v>
      </c>
      <c r="E30" s="41" t="s">
        <v>166</v>
      </c>
      <c r="F30" s="40" t="str">
        <f t="shared" si="1"/>
        <v>CORRECT</v>
      </c>
      <c r="G30" s="40" t="s">
        <v>42</v>
      </c>
      <c r="H30" s="55" t="s">
        <v>42</v>
      </c>
      <c r="I30" s="43" t="s">
        <v>399</v>
      </c>
      <c r="J30" s="55"/>
    </row>
    <row r="31" ht="60.0" customHeight="1">
      <c r="A31" s="40">
        <v>28.0</v>
      </c>
      <c r="B31" s="41" t="s">
        <v>168</v>
      </c>
      <c r="C31" s="41" t="s">
        <v>169</v>
      </c>
      <c r="D31" s="41" t="s">
        <v>170</v>
      </c>
      <c r="E31" s="41" t="s">
        <v>171</v>
      </c>
      <c r="F31" s="40" t="str">
        <f t="shared" si="1"/>
        <v>WRONG</v>
      </c>
      <c r="G31" s="40" t="s">
        <v>36</v>
      </c>
      <c r="H31" s="55" t="s">
        <v>48</v>
      </c>
      <c r="I31" s="43" t="s">
        <v>400</v>
      </c>
      <c r="J31" s="55"/>
    </row>
    <row r="32" ht="60.0" customHeight="1">
      <c r="A32" s="40">
        <v>29.0</v>
      </c>
      <c r="B32" s="41" t="s">
        <v>173</v>
      </c>
      <c r="C32" s="41" t="s">
        <v>174</v>
      </c>
      <c r="D32" s="41" t="s">
        <v>175</v>
      </c>
      <c r="E32" s="41" t="s">
        <v>176</v>
      </c>
      <c r="F32" s="40" t="str">
        <f t="shared" si="1"/>
        <v>CORRECT</v>
      </c>
      <c r="G32" s="40" t="s">
        <v>42</v>
      </c>
      <c r="H32" s="55" t="s">
        <v>42</v>
      </c>
      <c r="I32" s="43" t="s">
        <v>401</v>
      </c>
      <c r="J32" s="55"/>
    </row>
    <row r="33" ht="60.0" customHeight="1">
      <c r="A33" s="40">
        <v>30.0</v>
      </c>
      <c r="B33" s="41" t="s">
        <v>178</v>
      </c>
      <c r="C33" s="41" t="s">
        <v>179</v>
      </c>
      <c r="D33" s="41" t="s">
        <v>180</v>
      </c>
      <c r="E33" s="41" t="s">
        <v>181</v>
      </c>
      <c r="F33" s="40" t="str">
        <f t="shared" si="1"/>
        <v>WRONG</v>
      </c>
      <c r="G33" s="40" t="s">
        <v>48</v>
      </c>
      <c r="H33" s="55" t="s">
        <v>36</v>
      </c>
      <c r="I33" s="43" t="s">
        <v>402</v>
      </c>
      <c r="J33" s="55"/>
    </row>
    <row r="34" ht="60.0" customHeight="1">
      <c r="A34" s="40">
        <v>31.0</v>
      </c>
      <c r="B34" s="41" t="s">
        <v>183</v>
      </c>
      <c r="C34" s="41" t="s">
        <v>184</v>
      </c>
      <c r="D34" s="41" t="s">
        <v>185</v>
      </c>
      <c r="E34" s="41" t="s">
        <v>186</v>
      </c>
      <c r="F34" s="40" t="str">
        <f t="shared" si="1"/>
        <v>WRONG</v>
      </c>
      <c r="G34" s="40" t="s">
        <v>42</v>
      </c>
      <c r="H34" s="55" t="s">
        <v>36</v>
      </c>
      <c r="I34" s="43" t="s">
        <v>403</v>
      </c>
      <c r="J34" s="55"/>
    </row>
    <row r="35" ht="60.0" customHeight="1">
      <c r="A35" s="40">
        <v>32.0</v>
      </c>
      <c r="B35" s="41" t="s">
        <v>188</v>
      </c>
      <c r="C35" s="41" t="s">
        <v>189</v>
      </c>
      <c r="D35" s="41" t="s">
        <v>190</v>
      </c>
      <c r="E35" s="41" t="s">
        <v>191</v>
      </c>
      <c r="F35" s="40" t="str">
        <f t="shared" si="1"/>
        <v>CORRECT</v>
      </c>
      <c r="G35" s="40" t="s">
        <v>36</v>
      </c>
      <c r="H35" s="55" t="s">
        <v>36</v>
      </c>
      <c r="I35" s="43" t="s">
        <v>404</v>
      </c>
      <c r="J35" s="55"/>
    </row>
    <row r="36" ht="60.0" customHeight="1">
      <c r="A36" s="40">
        <v>33.0</v>
      </c>
      <c r="B36" s="41" t="s">
        <v>193</v>
      </c>
      <c r="C36" s="41" t="s">
        <v>194</v>
      </c>
      <c r="D36" s="41" t="s">
        <v>195</v>
      </c>
      <c r="E36" s="41" t="s">
        <v>196</v>
      </c>
      <c r="F36" s="40" t="str">
        <f t="shared" si="1"/>
        <v>WRONG</v>
      </c>
      <c r="G36" s="40" t="s">
        <v>48</v>
      </c>
      <c r="H36" s="54" t="s">
        <v>42</v>
      </c>
      <c r="I36" s="43" t="s">
        <v>405</v>
      </c>
      <c r="J36" s="55"/>
    </row>
    <row r="37" ht="60.0" customHeight="1">
      <c r="A37" s="40">
        <v>34.0</v>
      </c>
      <c r="B37" s="41" t="s">
        <v>198</v>
      </c>
      <c r="C37" s="41" t="s">
        <v>199</v>
      </c>
      <c r="D37" s="41" t="s">
        <v>200</v>
      </c>
      <c r="E37" s="41" t="s">
        <v>201</v>
      </c>
      <c r="F37" s="40" t="str">
        <f t="shared" si="1"/>
        <v>CORRECT</v>
      </c>
      <c r="G37" s="40" t="s">
        <v>36</v>
      </c>
      <c r="H37" s="55" t="s">
        <v>36</v>
      </c>
      <c r="I37" s="43" t="s">
        <v>406</v>
      </c>
      <c r="J37" s="55"/>
    </row>
    <row r="38" ht="60.0" customHeight="1">
      <c r="A38" s="40">
        <v>35.0</v>
      </c>
      <c r="B38" s="41" t="s">
        <v>203</v>
      </c>
      <c r="C38" s="41" t="s">
        <v>204</v>
      </c>
      <c r="D38" s="41" t="s">
        <v>205</v>
      </c>
      <c r="E38" s="41" t="s">
        <v>206</v>
      </c>
      <c r="F38" s="40" t="str">
        <f t="shared" si="1"/>
        <v>CORRECT</v>
      </c>
      <c r="G38" s="40" t="s">
        <v>48</v>
      </c>
      <c r="H38" s="54" t="s">
        <v>48</v>
      </c>
      <c r="I38" s="43" t="s">
        <v>407</v>
      </c>
      <c r="J38" s="55"/>
    </row>
    <row r="39" ht="60.0" customHeight="1">
      <c r="A39" s="40">
        <v>36.0</v>
      </c>
      <c r="B39" s="41" t="s">
        <v>208</v>
      </c>
      <c r="C39" s="41" t="s">
        <v>209</v>
      </c>
      <c r="D39" s="41" t="s">
        <v>210</v>
      </c>
      <c r="E39" s="41" t="s">
        <v>211</v>
      </c>
      <c r="F39" s="40" t="str">
        <f t="shared" si="1"/>
        <v>CORRECT</v>
      </c>
      <c r="G39" s="40" t="s">
        <v>36</v>
      </c>
      <c r="H39" s="55" t="s">
        <v>36</v>
      </c>
      <c r="I39" s="43" t="s">
        <v>408</v>
      </c>
      <c r="J39" s="55"/>
    </row>
    <row r="40" ht="60.0" customHeight="1">
      <c r="A40" s="40">
        <v>37.0</v>
      </c>
      <c r="B40" s="41" t="s">
        <v>213</v>
      </c>
      <c r="C40" s="41" t="s">
        <v>214</v>
      </c>
      <c r="D40" s="41" t="s">
        <v>215</v>
      </c>
      <c r="E40" s="41" t="s">
        <v>216</v>
      </c>
      <c r="F40" s="40" t="str">
        <f t="shared" si="1"/>
        <v>WRONG</v>
      </c>
      <c r="G40" s="40" t="s">
        <v>36</v>
      </c>
      <c r="H40" s="55" t="s">
        <v>42</v>
      </c>
      <c r="I40" s="43" t="s">
        <v>409</v>
      </c>
      <c r="J40" s="55"/>
    </row>
    <row r="41" ht="60.0" customHeight="1">
      <c r="A41" s="40">
        <v>38.0</v>
      </c>
      <c r="B41" s="41" t="s">
        <v>218</v>
      </c>
      <c r="C41" s="41" t="s">
        <v>219</v>
      </c>
      <c r="D41" s="41" t="s">
        <v>220</v>
      </c>
      <c r="E41" s="41" t="s">
        <v>221</v>
      </c>
      <c r="F41" s="40" t="str">
        <f t="shared" si="1"/>
        <v>CORRECT</v>
      </c>
      <c r="G41" s="40" t="s">
        <v>36</v>
      </c>
      <c r="H41" s="55" t="s">
        <v>36</v>
      </c>
      <c r="I41" s="43" t="s">
        <v>410</v>
      </c>
      <c r="J41" s="55"/>
    </row>
    <row r="42" ht="60.0" customHeight="1">
      <c r="A42" s="40">
        <v>39.0</v>
      </c>
      <c r="B42" s="41" t="s">
        <v>223</v>
      </c>
      <c r="C42" s="41" t="s">
        <v>224</v>
      </c>
      <c r="D42" s="41" t="s">
        <v>225</v>
      </c>
      <c r="E42" s="41" t="s">
        <v>226</v>
      </c>
      <c r="F42" s="40" t="str">
        <f t="shared" si="1"/>
        <v>WRONG</v>
      </c>
      <c r="G42" s="40" t="s">
        <v>42</v>
      </c>
      <c r="H42" s="54" t="s">
        <v>48</v>
      </c>
      <c r="I42" s="43" t="s">
        <v>227</v>
      </c>
      <c r="J42" s="55"/>
    </row>
    <row r="43" ht="60.0" customHeight="1">
      <c r="A43" s="40">
        <v>40.0</v>
      </c>
      <c r="B43" s="41" t="s">
        <v>228</v>
      </c>
      <c r="C43" s="41" t="s">
        <v>229</v>
      </c>
      <c r="D43" s="41" t="s">
        <v>230</v>
      </c>
      <c r="E43" s="41" t="s">
        <v>231</v>
      </c>
      <c r="F43" s="40" t="str">
        <f t="shared" si="1"/>
        <v>WRONG</v>
      </c>
      <c r="G43" s="40" t="s">
        <v>48</v>
      </c>
      <c r="H43" s="54" t="s">
        <v>42</v>
      </c>
      <c r="I43" s="43" t="s">
        <v>411</v>
      </c>
      <c r="J43" s="55"/>
    </row>
    <row r="44" ht="60.0" customHeight="1">
      <c r="A44" s="40">
        <v>41.0</v>
      </c>
      <c r="B44" s="41" t="s">
        <v>233</v>
      </c>
      <c r="C44" s="41" t="s">
        <v>234</v>
      </c>
      <c r="D44" s="41" t="s">
        <v>235</v>
      </c>
      <c r="E44" s="41" t="s">
        <v>236</v>
      </c>
      <c r="F44" s="40" t="str">
        <f t="shared" si="1"/>
        <v>CORRECT</v>
      </c>
      <c r="G44" s="40" t="s">
        <v>42</v>
      </c>
      <c r="H44" s="55" t="s">
        <v>42</v>
      </c>
      <c r="I44" s="43" t="s">
        <v>412</v>
      </c>
      <c r="J44" s="55"/>
    </row>
    <row r="45" ht="60.0" customHeight="1">
      <c r="A45" s="40">
        <v>42.0</v>
      </c>
      <c r="B45" s="41" t="s">
        <v>238</v>
      </c>
      <c r="C45" s="41" t="s">
        <v>239</v>
      </c>
      <c r="D45" s="41" t="s">
        <v>240</v>
      </c>
      <c r="E45" s="41" t="s">
        <v>241</v>
      </c>
      <c r="F45" s="40" t="str">
        <f t="shared" si="1"/>
        <v>WRONG</v>
      </c>
      <c r="G45" s="40" t="s">
        <v>36</v>
      </c>
      <c r="H45" s="55" t="s">
        <v>42</v>
      </c>
      <c r="I45" s="43" t="s">
        <v>413</v>
      </c>
      <c r="J45" s="55"/>
    </row>
    <row r="46" ht="60.0" customHeight="1">
      <c r="A46" s="40">
        <v>43.0</v>
      </c>
      <c r="B46" s="41" t="s">
        <v>243</v>
      </c>
      <c r="C46" s="41" t="s">
        <v>244</v>
      </c>
      <c r="D46" s="41" t="s">
        <v>245</v>
      </c>
      <c r="E46" s="41" t="s">
        <v>246</v>
      </c>
      <c r="F46" s="40" t="str">
        <f t="shared" si="1"/>
        <v>WRONG</v>
      </c>
      <c r="G46" s="40" t="s">
        <v>48</v>
      </c>
      <c r="H46" s="55" t="s">
        <v>36</v>
      </c>
      <c r="I46" s="43" t="s">
        <v>414</v>
      </c>
      <c r="J46" s="55"/>
    </row>
    <row r="47" ht="60.0" customHeight="1">
      <c r="A47" s="40">
        <v>44.0</v>
      </c>
      <c r="B47" s="41" t="s">
        <v>248</v>
      </c>
      <c r="C47" s="41" t="s">
        <v>249</v>
      </c>
      <c r="D47" s="41" t="s">
        <v>250</v>
      </c>
      <c r="E47" s="41" t="s">
        <v>251</v>
      </c>
      <c r="F47" s="40" t="str">
        <f t="shared" si="1"/>
        <v>WRONG</v>
      </c>
      <c r="G47" s="40" t="s">
        <v>36</v>
      </c>
      <c r="H47" s="54" t="s">
        <v>48</v>
      </c>
      <c r="I47" s="43" t="s">
        <v>415</v>
      </c>
      <c r="J47" s="55"/>
    </row>
    <row r="48" ht="60.0" customHeight="1">
      <c r="A48" s="40">
        <v>45.0</v>
      </c>
      <c r="B48" s="41" t="s">
        <v>253</v>
      </c>
      <c r="C48" s="41" t="s">
        <v>254</v>
      </c>
      <c r="D48" s="41" t="s">
        <v>255</v>
      </c>
      <c r="E48" s="41" t="s">
        <v>256</v>
      </c>
      <c r="F48" s="40" t="str">
        <f t="shared" si="1"/>
        <v>CORRECT</v>
      </c>
      <c r="G48" s="40" t="s">
        <v>36</v>
      </c>
      <c r="H48" s="55" t="s">
        <v>36</v>
      </c>
      <c r="I48" s="43" t="s">
        <v>416</v>
      </c>
      <c r="J48" s="55"/>
    </row>
    <row r="49" ht="60.0" customHeight="1">
      <c r="A49" s="40">
        <v>46.0</v>
      </c>
      <c r="B49" s="41" t="s">
        <v>258</v>
      </c>
      <c r="C49" s="41" t="s">
        <v>39</v>
      </c>
      <c r="D49" s="41" t="s">
        <v>259</v>
      </c>
      <c r="E49" s="41" t="s">
        <v>260</v>
      </c>
      <c r="F49" s="40" t="str">
        <f t="shared" si="1"/>
        <v>CORRECT</v>
      </c>
      <c r="G49" s="40" t="s">
        <v>36</v>
      </c>
      <c r="H49" s="55" t="s">
        <v>36</v>
      </c>
      <c r="I49" s="43" t="s">
        <v>417</v>
      </c>
      <c r="J49" s="55"/>
    </row>
    <row r="50">
      <c r="A50" s="45" t="s">
        <v>262</v>
      </c>
      <c r="B50" s="2"/>
      <c r="C50" s="2"/>
      <c r="D50" s="2"/>
      <c r="E50" s="3"/>
      <c r="F50" s="46">
        <f>COUNTIFS(F4:F49,"CORRECT")</f>
        <v>24</v>
      </c>
      <c r="G50" s="47"/>
      <c r="H50" s="47"/>
      <c r="J50" s="48" t="str">
        <f>AVERAGE(J4:J49)</f>
        <v>#DIV/0!</v>
      </c>
    </row>
    <row r="51">
      <c r="A51" s="49" t="s">
        <v>263</v>
      </c>
      <c r="B51" s="2"/>
      <c r="C51" s="2"/>
      <c r="D51" s="2"/>
      <c r="E51" s="3"/>
      <c r="F51" s="50">
        <v>46.0</v>
      </c>
      <c r="G51" s="47"/>
      <c r="H51" s="47"/>
    </row>
    <row r="52">
      <c r="A52" s="45" t="s">
        <v>264</v>
      </c>
      <c r="B52" s="2"/>
      <c r="C52" s="2"/>
      <c r="D52" s="2"/>
      <c r="E52" s="3"/>
      <c r="F52" s="51">
        <f>F50/F51</f>
        <v>0.5217391304</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418</v>
      </c>
      <c r="C2" s="2"/>
      <c r="D2" s="2"/>
      <c r="E2" s="2"/>
      <c r="F2" s="2"/>
      <c r="G2" s="2"/>
      <c r="H2" s="3"/>
      <c r="I2" s="38" t="s">
        <v>419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43" t="s">
        <v>267</v>
      </c>
      <c r="J4" s="55"/>
    </row>
    <row r="5" ht="60.0" customHeight="1">
      <c r="A5" s="40">
        <v>2.0</v>
      </c>
      <c r="B5" s="41" t="s">
        <v>38</v>
      </c>
      <c r="C5" s="41" t="s">
        <v>39</v>
      </c>
      <c r="D5" s="41" t="s">
        <v>40</v>
      </c>
      <c r="E5" s="41" t="s">
        <v>41</v>
      </c>
      <c r="F5" s="40" t="str">
        <f t="shared" si="1"/>
        <v>CORRECT</v>
      </c>
      <c r="G5" s="40" t="s">
        <v>42</v>
      </c>
      <c r="H5" s="54" t="s">
        <v>42</v>
      </c>
      <c r="I5" s="43" t="s">
        <v>268</v>
      </c>
      <c r="J5" s="55"/>
    </row>
    <row r="6" ht="60.0" customHeight="1">
      <c r="A6" s="40">
        <v>3.0</v>
      </c>
      <c r="B6" s="41" t="s">
        <v>44</v>
      </c>
      <c r="C6" s="41" t="s">
        <v>45</v>
      </c>
      <c r="D6" s="41" t="s">
        <v>46</v>
      </c>
      <c r="E6" s="41" t="s">
        <v>47</v>
      </c>
      <c r="F6" s="40" t="str">
        <f t="shared" si="1"/>
        <v>CORRECT</v>
      </c>
      <c r="G6" s="40" t="s">
        <v>48</v>
      </c>
      <c r="H6" s="54" t="s">
        <v>48</v>
      </c>
      <c r="I6" s="43" t="s">
        <v>420</v>
      </c>
      <c r="J6" s="55"/>
    </row>
    <row r="7" ht="60.0" customHeight="1">
      <c r="A7" s="40">
        <v>4.0</v>
      </c>
      <c r="B7" s="41" t="s">
        <v>50</v>
      </c>
      <c r="C7" s="41" t="s">
        <v>51</v>
      </c>
      <c r="D7" s="41" t="s">
        <v>52</v>
      </c>
      <c r="E7" s="41" t="s">
        <v>53</v>
      </c>
      <c r="F7" s="40" t="str">
        <f t="shared" si="1"/>
        <v>CORRECT</v>
      </c>
      <c r="G7" s="40" t="s">
        <v>42</v>
      </c>
      <c r="H7" s="55" t="s">
        <v>42</v>
      </c>
      <c r="I7" s="43" t="s">
        <v>270</v>
      </c>
      <c r="J7" s="55"/>
    </row>
    <row r="8" ht="60.0" customHeight="1">
      <c r="A8" s="40">
        <v>5.0</v>
      </c>
      <c r="B8" s="41" t="s">
        <v>55</v>
      </c>
      <c r="C8" s="41" t="s">
        <v>56</v>
      </c>
      <c r="D8" s="41" t="s">
        <v>57</v>
      </c>
      <c r="E8" s="41" t="s">
        <v>58</v>
      </c>
      <c r="F8" s="40" t="str">
        <f t="shared" si="1"/>
        <v>CORRECT</v>
      </c>
      <c r="G8" s="40" t="s">
        <v>48</v>
      </c>
      <c r="H8" s="54" t="s">
        <v>48</v>
      </c>
      <c r="I8" s="43" t="s">
        <v>421</v>
      </c>
      <c r="J8" s="55"/>
    </row>
    <row r="9" ht="60.0" customHeight="1">
      <c r="A9" s="40">
        <v>6.0</v>
      </c>
      <c r="B9" s="41" t="s">
        <v>60</v>
      </c>
      <c r="C9" s="41" t="s">
        <v>61</v>
      </c>
      <c r="D9" s="41" t="s">
        <v>62</v>
      </c>
      <c r="E9" s="41" t="s">
        <v>63</v>
      </c>
      <c r="F9" s="40" t="str">
        <f t="shared" si="1"/>
        <v>CORRECT</v>
      </c>
      <c r="G9" s="40" t="s">
        <v>42</v>
      </c>
      <c r="H9" s="55" t="s">
        <v>42</v>
      </c>
      <c r="I9" s="43" t="s">
        <v>272</v>
      </c>
      <c r="J9" s="55"/>
    </row>
    <row r="10" ht="60.0" customHeight="1">
      <c r="A10" s="40">
        <v>7.0</v>
      </c>
      <c r="B10" s="41" t="s">
        <v>65</v>
      </c>
      <c r="C10" s="41" t="s">
        <v>66</v>
      </c>
      <c r="D10" s="41" t="s">
        <v>67</v>
      </c>
      <c r="E10" s="41" t="s">
        <v>68</v>
      </c>
      <c r="F10" s="40" t="str">
        <f t="shared" si="1"/>
        <v>WRONG</v>
      </c>
      <c r="G10" s="40" t="s">
        <v>42</v>
      </c>
      <c r="H10" s="55" t="s">
        <v>36</v>
      </c>
      <c r="I10" s="43" t="s">
        <v>422</v>
      </c>
      <c r="J10" s="55"/>
    </row>
    <row r="11" ht="60.0" customHeight="1">
      <c r="A11" s="40">
        <v>8.0</v>
      </c>
      <c r="B11" s="41" t="s">
        <v>70</v>
      </c>
      <c r="C11" s="41" t="s">
        <v>71</v>
      </c>
      <c r="D11" s="41" t="s">
        <v>72</v>
      </c>
      <c r="E11" s="41" t="s">
        <v>73</v>
      </c>
      <c r="F11" s="40" t="str">
        <f t="shared" si="1"/>
        <v>WRONG</v>
      </c>
      <c r="G11" s="40" t="s">
        <v>48</v>
      </c>
      <c r="H11" s="55" t="s">
        <v>42</v>
      </c>
      <c r="I11" s="43" t="s">
        <v>423</v>
      </c>
      <c r="J11" s="55"/>
    </row>
    <row r="12" ht="60.0" customHeight="1">
      <c r="A12" s="40">
        <v>9.0</v>
      </c>
      <c r="B12" s="41" t="s">
        <v>75</v>
      </c>
      <c r="C12" s="41" t="s">
        <v>76</v>
      </c>
      <c r="D12" s="41" t="s">
        <v>77</v>
      </c>
      <c r="E12" s="41" t="s">
        <v>78</v>
      </c>
      <c r="F12" s="40" t="str">
        <f t="shared" si="1"/>
        <v>WRONG</v>
      </c>
      <c r="G12" s="40" t="s">
        <v>42</v>
      </c>
      <c r="H12" s="54" t="s">
        <v>48</v>
      </c>
      <c r="I12" s="43" t="s">
        <v>424</v>
      </c>
      <c r="J12" s="55"/>
    </row>
    <row r="13" ht="60.0" customHeight="1">
      <c r="A13" s="40">
        <v>10.0</v>
      </c>
      <c r="B13" s="41" t="s">
        <v>80</v>
      </c>
      <c r="C13" s="41" t="s">
        <v>81</v>
      </c>
      <c r="D13" s="41" t="s">
        <v>82</v>
      </c>
      <c r="E13" s="41" t="s">
        <v>83</v>
      </c>
      <c r="F13" s="40" t="str">
        <f t="shared" si="1"/>
        <v>WRONG</v>
      </c>
      <c r="G13" s="40" t="s">
        <v>48</v>
      </c>
      <c r="H13" s="55" t="s">
        <v>42</v>
      </c>
      <c r="I13" s="43" t="s">
        <v>425</v>
      </c>
      <c r="J13" s="55"/>
    </row>
    <row r="14" ht="60.0" customHeight="1">
      <c r="A14" s="40">
        <v>11.0</v>
      </c>
      <c r="B14" s="41" t="s">
        <v>85</v>
      </c>
      <c r="C14" s="41" t="s">
        <v>86</v>
      </c>
      <c r="D14" s="41" t="s">
        <v>87</v>
      </c>
      <c r="E14" s="41" t="s">
        <v>88</v>
      </c>
      <c r="F14" s="40" t="str">
        <f t="shared" si="1"/>
        <v>WRONG</v>
      </c>
      <c r="G14" s="40" t="s">
        <v>42</v>
      </c>
      <c r="H14" s="54" t="s">
        <v>48</v>
      </c>
      <c r="I14" s="43" t="s">
        <v>426</v>
      </c>
      <c r="J14" s="55"/>
    </row>
    <row r="15" ht="60.0" customHeight="1">
      <c r="A15" s="40">
        <v>12.0</v>
      </c>
      <c r="B15" s="41" t="s">
        <v>90</v>
      </c>
      <c r="C15" s="41" t="s">
        <v>91</v>
      </c>
      <c r="D15" s="41" t="s">
        <v>92</v>
      </c>
      <c r="E15" s="41" t="s">
        <v>93</v>
      </c>
      <c r="F15" s="40" t="str">
        <f t="shared" si="1"/>
        <v>CORRECT</v>
      </c>
      <c r="G15" s="40" t="s">
        <v>48</v>
      </c>
      <c r="H15" s="54" t="s">
        <v>48</v>
      </c>
      <c r="I15" s="43" t="s">
        <v>278</v>
      </c>
      <c r="J15" s="55"/>
    </row>
    <row r="16" ht="60.0" customHeight="1">
      <c r="A16" s="40">
        <v>13.0</v>
      </c>
      <c r="B16" s="41" t="s">
        <v>95</v>
      </c>
      <c r="C16" s="41" t="s">
        <v>96</v>
      </c>
      <c r="D16" s="41" t="s">
        <v>97</v>
      </c>
      <c r="E16" s="41" t="s">
        <v>98</v>
      </c>
      <c r="F16" s="40" t="str">
        <f t="shared" si="1"/>
        <v>CORRECT</v>
      </c>
      <c r="G16" s="40" t="s">
        <v>36</v>
      </c>
      <c r="H16" s="55" t="s">
        <v>36</v>
      </c>
      <c r="I16" s="43" t="s">
        <v>99</v>
      </c>
      <c r="J16" s="55"/>
    </row>
    <row r="17" ht="60.0" customHeight="1">
      <c r="A17" s="40">
        <v>14.0</v>
      </c>
      <c r="B17" s="41" t="s">
        <v>100</v>
      </c>
      <c r="C17" s="41" t="s">
        <v>101</v>
      </c>
      <c r="D17" s="41" t="s">
        <v>102</v>
      </c>
      <c r="E17" s="41" t="s">
        <v>103</v>
      </c>
      <c r="F17" s="40" t="str">
        <f t="shared" si="1"/>
        <v>WRONG</v>
      </c>
      <c r="G17" s="40" t="s">
        <v>36</v>
      </c>
      <c r="H17" s="54" t="s">
        <v>48</v>
      </c>
      <c r="I17" s="43" t="s">
        <v>279</v>
      </c>
      <c r="J17" s="55"/>
    </row>
    <row r="18" ht="60.0" customHeight="1">
      <c r="A18" s="40">
        <v>15.0</v>
      </c>
      <c r="B18" s="41" t="s">
        <v>105</v>
      </c>
      <c r="C18" s="41" t="s">
        <v>106</v>
      </c>
      <c r="D18" s="41" t="s">
        <v>107</v>
      </c>
      <c r="E18" s="41" t="s">
        <v>108</v>
      </c>
      <c r="F18" s="40" t="str">
        <f t="shared" si="1"/>
        <v>CORRECT</v>
      </c>
      <c r="G18" s="40" t="s">
        <v>48</v>
      </c>
      <c r="H18" s="55" t="s">
        <v>48</v>
      </c>
      <c r="I18" s="43" t="s">
        <v>427</v>
      </c>
      <c r="J18" s="55"/>
    </row>
    <row r="19" ht="60.0" customHeight="1">
      <c r="A19" s="40">
        <v>16.0</v>
      </c>
      <c r="B19" s="41" t="s">
        <v>110</v>
      </c>
      <c r="C19" s="41" t="s">
        <v>111</v>
      </c>
      <c r="D19" s="41" t="s">
        <v>112</v>
      </c>
      <c r="E19" s="41" t="s">
        <v>113</v>
      </c>
      <c r="F19" s="40" t="str">
        <f t="shared" si="1"/>
        <v>CORRECT</v>
      </c>
      <c r="G19" s="40" t="s">
        <v>48</v>
      </c>
      <c r="H19" s="54" t="s">
        <v>48</v>
      </c>
      <c r="I19" s="43" t="s">
        <v>114</v>
      </c>
      <c r="J19" s="55"/>
    </row>
    <row r="20" ht="60.0" customHeight="1">
      <c r="A20" s="40">
        <v>17.0</v>
      </c>
      <c r="B20" s="41" t="s">
        <v>115</v>
      </c>
      <c r="C20" s="41" t="s">
        <v>116</v>
      </c>
      <c r="D20" s="41" t="s">
        <v>117</v>
      </c>
      <c r="E20" s="41" t="s">
        <v>118</v>
      </c>
      <c r="F20" s="40" t="str">
        <f t="shared" si="1"/>
        <v>WRONG</v>
      </c>
      <c r="G20" s="40" t="s">
        <v>42</v>
      </c>
      <c r="H20" s="55" t="s">
        <v>36</v>
      </c>
      <c r="I20" s="43" t="s">
        <v>119</v>
      </c>
      <c r="J20" s="55"/>
    </row>
    <row r="21" ht="60.0" customHeight="1">
      <c r="A21" s="40">
        <v>18.0</v>
      </c>
      <c r="B21" s="41" t="s">
        <v>120</v>
      </c>
      <c r="C21" s="41" t="s">
        <v>121</v>
      </c>
      <c r="D21" s="41" t="s">
        <v>122</v>
      </c>
      <c r="E21" s="41" t="s">
        <v>123</v>
      </c>
      <c r="F21" s="40" t="str">
        <f t="shared" si="1"/>
        <v>CORRECT</v>
      </c>
      <c r="G21" s="40" t="s">
        <v>42</v>
      </c>
      <c r="H21" s="55" t="s">
        <v>42</v>
      </c>
      <c r="I21" s="43" t="s">
        <v>428</v>
      </c>
      <c r="J21" s="55"/>
    </row>
    <row r="22" ht="60.0" customHeight="1">
      <c r="A22" s="40">
        <v>19.0</v>
      </c>
      <c r="B22" s="41" t="s">
        <v>125</v>
      </c>
      <c r="C22" s="41" t="s">
        <v>126</v>
      </c>
      <c r="D22" s="41" t="s">
        <v>127</v>
      </c>
      <c r="E22" s="41" t="s">
        <v>128</v>
      </c>
      <c r="F22" s="40" t="str">
        <f t="shared" si="1"/>
        <v>WRONG</v>
      </c>
      <c r="G22" s="40" t="s">
        <v>36</v>
      </c>
      <c r="H22" s="54" t="s">
        <v>48</v>
      </c>
      <c r="I22" s="43" t="s">
        <v>283</v>
      </c>
      <c r="J22" s="55"/>
    </row>
    <row r="23" ht="60.0" customHeight="1">
      <c r="A23" s="40">
        <v>20.0</v>
      </c>
      <c r="B23" s="41" t="s">
        <v>130</v>
      </c>
      <c r="C23" s="41" t="s">
        <v>131</v>
      </c>
      <c r="D23" s="41" t="s">
        <v>132</v>
      </c>
      <c r="E23" s="41" t="s">
        <v>133</v>
      </c>
      <c r="F23" s="40" t="str">
        <f t="shared" si="1"/>
        <v>CORRECT</v>
      </c>
      <c r="G23" s="40" t="s">
        <v>42</v>
      </c>
      <c r="H23" s="55" t="s">
        <v>42</v>
      </c>
      <c r="I23" s="43" t="s">
        <v>134</v>
      </c>
      <c r="J23" s="55"/>
    </row>
    <row r="24" ht="60.0" customHeight="1">
      <c r="A24" s="40">
        <v>21.0</v>
      </c>
      <c r="B24" s="41" t="s">
        <v>135</v>
      </c>
      <c r="C24" s="41" t="s">
        <v>136</v>
      </c>
      <c r="D24" s="41" t="s">
        <v>137</v>
      </c>
      <c r="E24" s="41" t="s">
        <v>138</v>
      </c>
      <c r="F24" s="40" t="str">
        <f t="shared" si="1"/>
        <v>WRONG</v>
      </c>
      <c r="G24" s="40" t="s">
        <v>42</v>
      </c>
      <c r="H24" s="55" t="s">
        <v>36</v>
      </c>
      <c r="I24" s="43" t="s">
        <v>139</v>
      </c>
      <c r="J24" s="55"/>
    </row>
    <row r="25" ht="60.0" customHeight="1">
      <c r="A25" s="40">
        <v>22.0</v>
      </c>
      <c r="B25" s="41" t="s">
        <v>140</v>
      </c>
      <c r="C25" s="41" t="s">
        <v>141</v>
      </c>
      <c r="D25" s="41" t="s">
        <v>142</v>
      </c>
      <c r="E25" s="41" t="s">
        <v>143</v>
      </c>
      <c r="F25" s="40" t="str">
        <f t="shared" si="1"/>
        <v>CORRECT</v>
      </c>
      <c r="G25" s="40" t="s">
        <v>42</v>
      </c>
      <c r="H25" s="55" t="s">
        <v>42</v>
      </c>
      <c r="I25" s="43" t="s">
        <v>429</v>
      </c>
      <c r="J25" s="55"/>
    </row>
    <row r="26" ht="60.0" customHeight="1">
      <c r="A26" s="40">
        <v>23.0</v>
      </c>
      <c r="B26" s="41" t="s">
        <v>145</v>
      </c>
      <c r="C26" s="41" t="s">
        <v>146</v>
      </c>
      <c r="D26" s="41" t="s">
        <v>147</v>
      </c>
      <c r="E26" s="41" t="s">
        <v>148</v>
      </c>
      <c r="F26" s="40" t="str">
        <f t="shared" si="1"/>
        <v>CORRECT</v>
      </c>
      <c r="G26" s="40" t="s">
        <v>48</v>
      </c>
      <c r="H26" s="55" t="s">
        <v>48</v>
      </c>
      <c r="I26" s="43" t="s">
        <v>149</v>
      </c>
      <c r="J26" s="55"/>
    </row>
    <row r="27" ht="60.0" customHeight="1">
      <c r="A27" s="40">
        <v>24.0</v>
      </c>
      <c r="B27" s="41" t="s">
        <v>150</v>
      </c>
      <c r="C27" s="41" t="s">
        <v>151</v>
      </c>
      <c r="D27" s="41" t="s">
        <v>152</v>
      </c>
      <c r="E27" s="41" t="s">
        <v>153</v>
      </c>
      <c r="F27" s="40" t="str">
        <f t="shared" si="1"/>
        <v>CORRECT</v>
      </c>
      <c r="G27" s="40" t="s">
        <v>36</v>
      </c>
      <c r="H27" s="55" t="s">
        <v>36</v>
      </c>
      <c r="I27" s="43" t="s">
        <v>154</v>
      </c>
      <c r="J27" s="55"/>
    </row>
    <row r="28" ht="60.0" customHeight="1">
      <c r="A28" s="40">
        <v>25.0</v>
      </c>
      <c r="B28" s="41" t="s">
        <v>155</v>
      </c>
      <c r="C28" s="41" t="s">
        <v>151</v>
      </c>
      <c r="D28" s="41" t="s">
        <v>156</v>
      </c>
      <c r="E28" s="41" t="s">
        <v>153</v>
      </c>
      <c r="F28" s="40" t="str">
        <f t="shared" si="1"/>
        <v>WRONG</v>
      </c>
      <c r="G28" s="40" t="s">
        <v>48</v>
      </c>
      <c r="H28" s="54" t="s">
        <v>36</v>
      </c>
      <c r="I28" s="43" t="s">
        <v>157</v>
      </c>
      <c r="J28" s="55"/>
    </row>
    <row r="29" ht="60.0" customHeight="1">
      <c r="A29" s="40">
        <v>26.0</v>
      </c>
      <c r="B29" s="41" t="s">
        <v>158</v>
      </c>
      <c r="C29" s="41" t="s">
        <v>159</v>
      </c>
      <c r="D29" s="41" t="s">
        <v>160</v>
      </c>
      <c r="E29" s="41" t="s">
        <v>161</v>
      </c>
      <c r="F29" s="40" t="str">
        <f t="shared" si="1"/>
        <v>WRONG</v>
      </c>
      <c r="G29" s="40" t="s">
        <v>36</v>
      </c>
      <c r="H29" s="54" t="s">
        <v>42</v>
      </c>
      <c r="I29" s="43" t="s">
        <v>162</v>
      </c>
      <c r="J29" s="55"/>
    </row>
    <row r="30" ht="60.0" customHeight="1">
      <c r="A30" s="40">
        <v>27.0</v>
      </c>
      <c r="B30" s="41" t="s">
        <v>163</v>
      </c>
      <c r="C30" s="41" t="s">
        <v>164</v>
      </c>
      <c r="D30" s="41" t="s">
        <v>165</v>
      </c>
      <c r="E30" s="41" t="s">
        <v>166</v>
      </c>
      <c r="F30" s="40" t="str">
        <f t="shared" si="1"/>
        <v>CORRECT</v>
      </c>
      <c r="G30" s="40" t="s">
        <v>42</v>
      </c>
      <c r="H30" s="54" t="s">
        <v>42</v>
      </c>
      <c r="I30" s="43" t="s">
        <v>167</v>
      </c>
      <c r="J30" s="55"/>
    </row>
    <row r="31" ht="60.0" customHeight="1">
      <c r="A31" s="40">
        <v>28.0</v>
      </c>
      <c r="B31" s="41" t="s">
        <v>168</v>
      </c>
      <c r="C31" s="41" t="s">
        <v>169</v>
      </c>
      <c r="D31" s="41" t="s">
        <v>170</v>
      </c>
      <c r="E31" s="41" t="s">
        <v>171</v>
      </c>
      <c r="F31" s="40" t="str">
        <f t="shared" si="1"/>
        <v>WRONG</v>
      </c>
      <c r="G31" s="40" t="s">
        <v>36</v>
      </c>
      <c r="H31" s="54" t="s">
        <v>48</v>
      </c>
      <c r="I31" s="43" t="s">
        <v>172</v>
      </c>
      <c r="J31" s="55"/>
    </row>
    <row r="32" ht="60.0" customHeight="1">
      <c r="A32" s="40">
        <v>29.0</v>
      </c>
      <c r="B32" s="41" t="s">
        <v>173</v>
      </c>
      <c r="C32" s="41" t="s">
        <v>174</v>
      </c>
      <c r="D32" s="41" t="s">
        <v>175</v>
      </c>
      <c r="E32" s="41" t="s">
        <v>176</v>
      </c>
      <c r="F32" s="40" t="str">
        <f t="shared" si="1"/>
        <v>CORRECT</v>
      </c>
      <c r="G32" s="40" t="s">
        <v>42</v>
      </c>
      <c r="H32" s="55" t="s">
        <v>42</v>
      </c>
      <c r="I32" s="43" t="s">
        <v>177</v>
      </c>
      <c r="J32" s="55"/>
    </row>
    <row r="33" ht="60.0" customHeight="1">
      <c r="A33" s="40">
        <v>30.0</v>
      </c>
      <c r="B33" s="41" t="s">
        <v>178</v>
      </c>
      <c r="C33" s="41" t="s">
        <v>179</v>
      </c>
      <c r="D33" s="41" t="s">
        <v>180</v>
      </c>
      <c r="E33" s="41" t="s">
        <v>181</v>
      </c>
      <c r="F33" s="40" t="str">
        <f t="shared" si="1"/>
        <v>WRONG</v>
      </c>
      <c r="G33" s="40" t="s">
        <v>48</v>
      </c>
      <c r="H33" s="55" t="s">
        <v>36</v>
      </c>
      <c r="I33" s="43" t="s">
        <v>430</v>
      </c>
      <c r="J33" s="55"/>
    </row>
    <row r="34" ht="60.0" customHeight="1">
      <c r="A34" s="40">
        <v>31.0</v>
      </c>
      <c r="B34" s="41" t="s">
        <v>183</v>
      </c>
      <c r="C34" s="41" t="s">
        <v>184</v>
      </c>
      <c r="D34" s="41" t="s">
        <v>185</v>
      </c>
      <c r="E34" s="41" t="s">
        <v>186</v>
      </c>
      <c r="F34" s="40" t="str">
        <f t="shared" si="1"/>
        <v>WRONG</v>
      </c>
      <c r="G34" s="40" t="s">
        <v>42</v>
      </c>
      <c r="H34" s="55" t="s">
        <v>36</v>
      </c>
      <c r="I34" s="43" t="s">
        <v>187</v>
      </c>
      <c r="J34" s="55"/>
    </row>
    <row r="35" ht="60.0" customHeight="1">
      <c r="A35" s="40">
        <v>32.0</v>
      </c>
      <c r="B35" s="41" t="s">
        <v>188</v>
      </c>
      <c r="C35" s="41" t="s">
        <v>189</v>
      </c>
      <c r="D35" s="41" t="s">
        <v>190</v>
      </c>
      <c r="E35" s="41" t="s">
        <v>191</v>
      </c>
      <c r="F35" s="40" t="str">
        <f t="shared" si="1"/>
        <v>CORRECT</v>
      </c>
      <c r="G35" s="40" t="s">
        <v>36</v>
      </c>
      <c r="H35" s="54" t="s">
        <v>36</v>
      </c>
      <c r="I35" s="43" t="s">
        <v>192</v>
      </c>
      <c r="J35" s="55"/>
    </row>
    <row r="36" ht="60.0" customHeight="1">
      <c r="A36" s="40">
        <v>33.0</v>
      </c>
      <c r="B36" s="41" t="s">
        <v>193</v>
      </c>
      <c r="C36" s="41" t="s">
        <v>194</v>
      </c>
      <c r="D36" s="41" t="s">
        <v>195</v>
      </c>
      <c r="E36" s="41" t="s">
        <v>196</v>
      </c>
      <c r="F36" s="40" t="str">
        <f t="shared" si="1"/>
        <v>WRONG</v>
      </c>
      <c r="G36" s="40" t="s">
        <v>48</v>
      </c>
      <c r="H36" s="54" t="s">
        <v>42</v>
      </c>
      <c r="I36" s="43" t="s">
        <v>197</v>
      </c>
      <c r="J36" s="55"/>
    </row>
    <row r="37" ht="60.0" customHeight="1">
      <c r="A37" s="40">
        <v>34.0</v>
      </c>
      <c r="B37" s="41" t="s">
        <v>198</v>
      </c>
      <c r="C37" s="41" t="s">
        <v>199</v>
      </c>
      <c r="D37" s="41" t="s">
        <v>200</v>
      </c>
      <c r="E37" s="41" t="s">
        <v>201</v>
      </c>
      <c r="F37" s="40" t="str">
        <f t="shared" si="1"/>
        <v>CORRECT</v>
      </c>
      <c r="G37" s="40" t="s">
        <v>36</v>
      </c>
      <c r="H37" s="55" t="s">
        <v>36</v>
      </c>
      <c r="I37" s="43" t="s">
        <v>431</v>
      </c>
      <c r="J37" s="55"/>
    </row>
    <row r="38" ht="60.0" customHeight="1">
      <c r="A38" s="40">
        <v>35.0</v>
      </c>
      <c r="B38" s="41" t="s">
        <v>203</v>
      </c>
      <c r="C38" s="41" t="s">
        <v>204</v>
      </c>
      <c r="D38" s="41" t="s">
        <v>205</v>
      </c>
      <c r="E38" s="41" t="s">
        <v>206</v>
      </c>
      <c r="F38" s="40" t="str">
        <f t="shared" si="1"/>
        <v>CORRECT</v>
      </c>
      <c r="G38" s="40" t="s">
        <v>48</v>
      </c>
      <c r="H38" s="54" t="s">
        <v>48</v>
      </c>
      <c r="I38" s="43" t="s">
        <v>207</v>
      </c>
      <c r="J38" s="55"/>
    </row>
    <row r="39" ht="60.0" customHeight="1">
      <c r="A39" s="40">
        <v>36.0</v>
      </c>
      <c r="B39" s="41" t="s">
        <v>208</v>
      </c>
      <c r="C39" s="41" t="s">
        <v>209</v>
      </c>
      <c r="D39" s="41" t="s">
        <v>210</v>
      </c>
      <c r="E39" s="41" t="s">
        <v>211</v>
      </c>
      <c r="F39" s="40" t="str">
        <f t="shared" si="1"/>
        <v>CORRECT</v>
      </c>
      <c r="G39" s="40" t="s">
        <v>36</v>
      </c>
      <c r="H39" s="55" t="s">
        <v>36</v>
      </c>
      <c r="I39" s="43" t="s">
        <v>212</v>
      </c>
      <c r="J39" s="55"/>
    </row>
    <row r="40" ht="60.0" customHeight="1">
      <c r="A40" s="40">
        <v>37.0</v>
      </c>
      <c r="B40" s="41" t="s">
        <v>213</v>
      </c>
      <c r="C40" s="41" t="s">
        <v>214</v>
      </c>
      <c r="D40" s="41" t="s">
        <v>215</v>
      </c>
      <c r="E40" s="41" t="s">
        <v>216</v>
      </c>
      <c r="F40" s="40" t="str">
        <f t="shared" si="1"/>
        <v>WRONG</v>
      </c>
      <c r="G40" s="40" t="s">
        <v>36</v>
      </c>
      <c r="H40" s="55" t="s">
        <v>42</v>
      </c>
      <c r="I40" s="43" t="s">
        <v>217</v>
      </c>
      <c r="J40" s="55"/>
    </row>
    <row r="41" ht="60.0" customHeight="1">
      <c r="A41" s="40">
        <v>38.0</v>
      </c>
      <c r="B41" s="41" t="s">
        <v>218</v>
      </c>
      <c r="C41" s="41" t="s">
        <v>219</v>
      </c>
      <c r="D41" s="41" t="s">
        <v>220</v>
      </c>
      <c r="E41" s="41" t="s">
        <v>221</v>
      </c>
      <c r="F41" s="40" t="str">
        <f t="shared" si="1"/>
        <v>CORRECT</v>
      </c>
      <c r="G41" s="40" t="s">
        <v>36</v>
      </c>
      <c r="H41" s="55" t="s">
        <v>36</v>
      </c>
      <c r="I41" s="43" t="s">
        <v>285</v>
      </c>
      <c r="J41" s="55"/>
    </row>
    <row r="42" ht="60.0" customHeight="1">
      <c r="A42" s="40">
        <v>39.0</v>
      </c>
      <c r="B42" s="41" t="s">
        <v>223</v>
      </c>
      <c r="C42" s="41" t="s">
        <v>224</v>
      </c>
      <c r="D42" s="41" t="s">
        <v>225</v>
      </c>
      <c r="E42" s="41" t="s">
        <v>226</v>
      </c>
      <c r="F42" s="40" t="str">
        <f t="shared" si="1"/>
        <v>WRONG</v>
      </c>
      <c r="G42" s="40" t="s">
        <v>42</v>
      </c>
      <c r="H42" s="55" t="s">
        <v>48</v>
      </c>
      <c r="I42" s="43" t="s">
        <v>363</v>
      </c>
      <c r="J42" s="55"/>
    </row>
    <row r="43" ht="60.0" customHeight="1">
      <c r="A43" s="40">
        <v>40.0</v>
      </c>
      <c r="B43" s="41" t="s">
        <v>228</v>
      </c>
      <c r="C43" s="41" t="s">
        <v>229</v>
      </c>
      <c r="D43" s="41" t="s">
        <v>230</v>
      </c>
      <c r="E43" s="41" t="s">
        <v>231</v>
      </c>
      <c r="F43" s="40" t="str">
        <f t="shared" si="1"/>
        <v>CORRECT</v>
      </c>
      <c r="G43" s="40" t="s">
        <v>48</v>
      </c>
      <c r="H43" s="54" t="s">
        <v>48</v>
      </c>
      <c r="I43" s="43" t="s">
        <v>232</v>
      </c>
      <c r="J43" s="55"/>
    </row>
    <row r="44" ht="60.0" customHeight="1">
      <c r="A44" s="40">
        <v>41.0</v>
      </c>
      <c r="B44" s="41" t="s">
        <v>233</v>
      </c>
      <c r="C44" s="41" t="s">
        <v>234</v>
      </c>
      <c r="D44" s="41" t="s">
        <v>235</v>
      </c>
      <c r="E44" s="41" t="s">
        <v>236</v>
      </c>
      <c r="F44" s="40" t="str">
        <f t="shared" si="1"/>
        <v>CORRECT</v>
      </c>
      <c r="G44" s="40" t="s">
        <v>42</v>
      </c>
      <c r="H44" s="55" t="s">
        <v>42</v>
      </c>
      <c r="I44" s="43" t="s">
        <v>237</v>
      </c>
      <c r="J44" s="55"/>
    </row>
    <row r="45" ht="60.0" customHeight="1">
      <c r="A45" s="40">
        <v>42.0</v>
      </c>
      <c r="B45" s="41" t="s">
        <v>238</v>
      </c>
      <c r="C45" s="41" t="s">
        <v>239</v>
      </c>
      <c r="D45" s="41" t="s">
        <v>240</v>
      </c>
      <c r="E45" s="41" t="s">
        <v>241</v>
      </c>
      <c r="F45" s="40" t="str">
        <f t="shared" si="1"/>
        <v>WRONG</v>
      </c>
      <c r="G45" s="40" t="s">
        <v>36</v>
      </c>
      <c r="H45" s="55" t="s">
        <v>42</v>
      </c>
      <c r="I45" s="43" t="s">
        <v>242</v>
      </c>
      <c r="J45" s="55"/>
    </row>
    <row r="46" ht="60.0" customHeight="1">
      <c r="A46" s="40">
        <v>43.0</v>
      </c>
      <c r="B46" s="41" t="s">
        <v>243</v>
      </c>
      <c r="C46" s="41" t="s">
        <v>244</v>
      </c>
      <c r="D46" s="41" t="s">
        <v>245</v>
      </c>
      <c r="E46" s="41" t="s">
        <v>246</v>
      </c>
      <c r="F46" s="40" t="str">
        <f t="shared" si="1"/>
        <v>WRONG</v>
      </c>
      <c r="G46" s="40" t="s">
        <v>48</v>
      </c>
      <c r="H46" s="55" t="s">
        <v>36</v>
      </c>
      <c r="I46" s="43" t="s">
        <v>247</v>
      </c>
      <c r="J46" s="55"/>
    </row>
    <row r="47" ht="60.0" customHeight="1">
      <c r="A47" s="40">
        <v>44.0</v>
      </c>
      <c r="B47" s="41" t="s">
        <v>248</v>
      </c>
      <c r="C47" s="41" t="s">
        <v>249</v>
      </c>
      <c r="D47" s="41" t="s">
        <v>250</v>
      </c>
      <c r="E47" s="41" t="s">
        <v>251</v>
      </c>
      <c r="F47" s="40" t="str">
        <f t="shared" si="1"/>
        <v>WRONG</v>
      </c>
      <c r="G47" s="40" t="s">
        <v>36</v>
      </c>
      <c r="H47" s="54" t="s">
        <v>48</v>
      </c>
      <c r="I47" s="43" t="s">
        <v>252</v>
      </c>
      <c r="J47" s="55"/>
    </row>
    <row r="48" ht="60.0" customHeight="1">
      <c r="A48" s="40">
        <v>45.0</v>
      </c>
      <c r="B48" s="41" t="s">
        <v>253</v>
      </c>
      <c r="C48" s="41" t="s">
        <v>254</v>
      </c>
      <c r="D48" s="41" t="s">
        <v>255</v>
      </c>
      <c r="E48" s="41" t="s">
        <v>256</v>
      </c>
      <c r="F48" s="40" t="str">
        <f t="shared" si="1"/>
        <v>CORRECT</v>
      </c>
      <c r="G48" s="40" t="s">
        <v>36</v>
      </c>
      <c r="H48" s="55" t="s">
        <v>36</v>
      </c>
      <c r="I48" s="43" t="s">
        <v>432</v>
      </c>
      <c r="J48" s="55"/>
    </row>
    <row r="49" ht="60.0" customHeight="1">
      <c r="A49" s="40">
        <v>46.0</v>
      </c>
      <c r="B49" s="41" t="s">
        <v>258</v>
      </c>
      <c r="C49" s="41" t="s">
        <v>39</v>
      </c>
      <c r="D49" s="41" t="s">
        <v>259</v>
      </c>
      <c r="E49" s="41" t="s">
        <v>260</v>
      </c>
      <c r="F49" s="40" t="str">
        <f t="shared" si="1"/>
        <v>CORRECT</v>
      </c>
      <c r="G49" s="40" t="s">
        <v>36</v>
      </c>
      <c r="H49" s="55" t="s">
        <v>36</v>
      </c>
      <c r="I49" s="43" t="s">
        <v>261</v>
      </c>
      <c r="J49" s="55"/>
    </row>
    <row r="50">
      <c r="A50" s="45" t="s">
        <v>262</v>
      </c>
      <c r="B50" s="2"/>
      <c r="C50" s="2"/>
      <c r="D50" s="2"/>
      <c r="E50" s="3"/>
      <c r="F50" s="46">
        <f>COUNTIFS(F4:F49,"CORRECT")</f>
        <v>26</v>
      </c>
      <c r="G50" s="47"/>
      <c r="H50" s="47"/>
      <c r="J50" s="48" t="str">
        <f>AVERAGE(J4:J49)</f>
        <v>#DIV/0!</v>
      </c>
    </row>
    <row r="51">
      <c r="A51" s="49" t="s">
        <v>263</v>
      </c>
      <c r="B51" s="2"/>
      <c r="C51" s="2"/>
      <c r="D51" s="2"/>
      <c r="E51" s="3"/>
      <c r="F51" s="50">
        <v>46.0</v>
      </c>
      <c r="G51" s="47"/>
      <c r="H51" s="47"/>
    </row>
    <row r="52">
      <c r="A52" s="45" t="s">
        <v>264</v>
      </c>
      <c r="B52" s="2"/>
      <c r="C52" s="2"/>
      <c r="D52" s="2"/>
      <c r="E52" s="3"/>
      <c r="F52" s="51">
        <f>F50/F51</f>
        <v>0.5652173913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433</v>
      </c>
      <c r="C2" s="2"/>
      <c r="D2" s="2"/>
      <c r="E2" s="2"/>
      <c r="F2" s="2"/>
      <c r="G2" s="2"/>
      <c r="H2" s="3"/>
      <c r="I2" s="38" t="s">
        <v>434</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43" t="s">
        <v>267</v>
      </c>
      <c r="J4" s="55"/>
    </row>
    <row r="5" ht="60.0" customHeight="1">
      <c r="A5" s="40">
        <v>2.0</v>
      </c>
      <c r="B5" s="41" t="s">
        <v>38</v>
      </c>
      <c r="C5" s="41" t="s">
        <v>39</v>
      </c>
      <c r="D5" s="41" t="s">
        <v>40</v>
      </c>
      <c r="E5" s="41" t="s">
        <v>41</v>
      </c>
      <c r="F5" s="40" t="str">
        <f t="shared" si="1"/>
        <v>CORRECT</v>
      </c>
      <c r="G5" s="40" t="s">
        <v>42</v>
      </c>
      <c r="H5" s="54" t="s">
        <v>42</v>
      </c>
      <c r="I5" s="43" t="s">
        <v>435</v>
      </c>
      <c r="J5" s="55"/>
    </row>
    <row r="6" ht="60.0" customHeight="1">
      <c r="A6" s="40">
        <v>3.0</v>
      </c>
      <c r="B6" s="41" t="s">
        <v>44</v>
      </c>
      <c r="C6" s="41" t="s">
        <v>45</v>
      </c>
      <c r="D6" s="41" t="s">
        <v>46</v>
      </c>
      <c r="E6" s="41" t="s">
        <v>47</v>
      </c>
      <c r="F6" s="40" t="str">
        <f t="shared" si="1"/>
        <v>CORRECT</v>
      </c>
      <c r="G6" s="40" t="s">
        <v>48</v>
      </c>
      <c r="H6" s="54" t="s">
        <v>48</v>
      </c>
      <c r="I6" s="43" t="s">
        <v>436</v>
      </c>
      <c r="J6" s="55"/>
    </row>
    <row r="7" ht="60.0" customHeight="1">
      <c r="A7" s="40">
        <v>4.0</v>
      </c>
      <c r="B7" s="41" t="s">
        <v>50</v>
      </c>
      <c r="C7" s="41" t="s">
        <v>51</v>
      </c>
      <c r="D7" s="41" t="s">
        <v>52</v>
      </c>
      <c r="E7" s="41" t="s">
        <v>53</v>
      </c>
      <c r="F7" s="40" t="str">
        <f t="shared" si="1"/>
        <v>CORRECT</v>
      </c>
      <c r="G7" s="40" t="s">
        <v>42</v>
      </c>
      <c r="H7" s="55" t="s">
        <v>42</v>
      </c>
      <c r="I7" s="43" t="s">
        <v>437</v>
      </c>
      <c r="J7" s="55"/>
    </row>
    <row r="8" ht="60.0" customHeight="1">
      <c r="A8" s="40">
        <v>5.0</v>
      </c>
      <c r="B8" s="41" t="s">
        <v>55</v>
      </c>
      <c r="C8" s="41" t="s">
        <v>56</v>
      </c>
      <c r="D8" s="41" t="s">
        <v>57</v>
      </c>
      <c r="E8" s="41" t="s">
        <v>58</v>
      </c>
      <c r="F8" s="40" t="str">
        <f t="shared" si="1"/>
        <v>CORRECT</v>
      </c>
      <c r="G8" s="40" t="s">
        <v>48</v>
      </c>
      <c r="H8" s="54" t="s">
        <v>48</v>
      </c>
      <c r="I8" s="43" t="s">
        <v>438</v>
      </c>
      <c r="J8" s="55"/>
    </row>
    <row r="9" ht="60.0" customHeight="1">
      <c r="A9" s="40">
        <v>6.0</v>
      </c>
      <c r="B9" s="41" t="s">
        <v>60</v>
      </c>
      <c r="C9" s="41" t="s">
        <v>61</v>
      </c>
      <c r="D9" s="41" t="s">
        <v>62</v>
      </c>
      <c r="E9" s="41" t="s">
        <v>63</v>
      </c>
      <c r="F9" s="40" t="str">
        <f t="shared" si="1"/>
        <v>CORRECT</v>
      </c>
      <c r="G9" s="40" t="s">
        <v>42</v>
      </c>
      <c r="H9" s="55" t="s">
        <v>42</v>
      </c>
      <c r="I9" s="43" t="s">
        <v>439</v>
      </c>
      <c r="J9" s="55"/>
    </row>
    <row r="10" ht="60.0" customHeight="1">
      <c r="A10" s="40">
        <v>7.0</v>
      </c>
      <c r="B10" s="41" t="s">
        <v>65</v>
      </c>
      <c r="C10" s="41" t="s">
        <v>66</v>
      </c>
      <c r="D10" s="41" t="s">
        <v>67</v>
      </c>
      <c r="E10" s="41" t="s">
        <v>68</v>
      </c>
      <c r="F10" s="40" t="str">
        <f t="shared" si="1"/>
        <v>WRONG</v>
      </c>
      <c r="G10" s="40" t="s">
        <v>42</v>
      </c>
      <c r="H10" s="55" t="s">
        <v>36</v>
      </c>
      <c r="I10" s="43" t="s">
        <v>440</v>
      </c>
      <c r="J10" s="55"/>
    </row>
    <row r="11" ht="60.0" customHeight="1">
      <c r="A11" s="40">
        <v>8.0</v>
      </c>
      <c r="B11" s="41" t="s">
        <v>70</v>
      </c>
      <c r="C11" s="41" t="s">
        <v>71</v>
      </c>
      <c r="D11" s="41" t="s">
        <v>72</v>
      </c>
      <c r="E11" s="41" t="s">
        <v>73</v>
      </c>
      <c r="F11" s="40" t="str">
        <f t="shared" si="1"/>
        <v>WRONG</v>
      </c>
      <c r="G11" s="40" t="s">
        <v>48</v>
      </c>
      <c r="H11" s="55" t="s">
        <v>42</v>
      </c>
      <c r="I11" s="43" t="s">
        <v>441</v>
      </c>
      <c r="J11" s="55"/>
    </row>
    <row r="12" ht="60.0" customHeight="1">
      <c r="A12" s="40">
        <v>9.0</v>
      </c>
      <c r="B12" s="41" t="s">
        <v>75</v>
      </c>
      <c r="C12" s="41" t="s">
        <v>76</v>
      </c>
      <c r="D12" s="41" t="s">
        <v>77</v>
      </c>
      <c r="E12" s="41" t="s">
        <v>78</v>
      </c>
      <c r="F12" s="40" t="str">
        <f t="shared" si="1"/>
        <v>WRONG</v>
      </c>
      <c r="G12" s="40" t="s">
        <v>42</v>
      </c>
      <c r="H12" s="54" t="s">
        <v>48</v>
      </c>
      <c r="I12" s="43" t="s">
        <v>442</v>
      </c>
      <c r="J12" s="55"/>
    </row>
    <row r="13" ht="60.0" customHeight="1">
      <c r="A13" s="40">
        <v>10.0</v>
      </c>
      <c r="B13" s="41" t="s">
        <v>80</v>
      </c>
      <c r="C13" s="41" t="s">
        <v>81</v>
      </c>
      <c r="D13" s="41" t="s">
        <v>82</v>
      </c>
      <c r="E13" s="41" t="s">
        <v>83</v>
      </c>
      <c r="F13" s="40" t="str">
        <f t="shared" si="1"/>
        <v>WRONG</v>
      </c>
      <c r="G13" s="40" t="s">
        <v>48</v>
      </c>
      <c r="H13" s="55" t="s">
        <v>42</v>
      </c>
      <c r="I13" s="43" t="s">
        <v>443</v>
      </c>
      <c r="J13" s="55"/>
    </row>
    <row r="14" ht="60.0" customHeight="1">
      <c r="A14" s="40">
        <v>11.0</v>
      </c>
      <c r="B14" s="41" t="s">
        <v>85</v>
      </c>
      <c r="C14" s="41" t="s">
        <v>86</v>
      </c>
      <c r="D14" s="41" t="s">
        <v>87</v>
      </c>
      <c r="E14" s="41" t="s">
        <v>88</v>
      </c>
      <c r="F14" s="40" t="str">
        <f t="shared" si="1"/>
        <v>WRONG</v>
      </c>
      <c r="G14" s="40" t="s">
        <v>42</v>
      </c>
      <c r="H14" s="54" t="s">
        <v>48</v>
      </c>
      <c r="I14" s="43" t="s">
        <v>444</v>
      </c>
      <c r="J14" s="55"/>
    </row>
    <row r="15" ht="60.0" customHeight="1">
      <c r="A15" s="40">
        <v>12.0</v>
      </c>
      <c r="B15" s="41" t="s">
        <v>90</v>
      </c>
      <c r="C15" s="41" t="s">
        <v>91</v>
      </c>
      <c r="D15" s="41" t="s">
        <v>92</v>
      </c>
      <c r="E15" s="41" t="s">
        <v>93</v>
      </c>
      <c r="F15" s="40" t="str">
        <f t="shared" si="1"/>
        <v>CORRECT</v>
      </c>
      <c r="G15" s="40" t="s">
        <v>48</v>
      </c>
      <c r="H15" s="54" t="s">
        <v>48</v>
      </c>
      <c r="I15" s="43" t="s">
        <v>445</v>
      </c>
      <c r="J15" s="55"/>
    </row>
    <row r="16" ht="60.0" customHeight="1">
      <c r="A16" s="40">
        <v>13.0</v>
      </c>
      <c r="B16" s="41" t="s">
        <v>95</v>
      </c>
      <c r="C16" s="41" t="s">
        <v>96</v>
      </c>
      <c r="D16" s="41" t="s">
        <v>97</v>
      </c>
      <c r="E16" s="41" t="s">
        <v>98</v>
      </c>
      <c r="F16" s="40" t="str">
        <f t="shared" si="1"/>
        <v>CORRECT</v>
      </c>
      <c r="G16" s="40" t="s">
        <v>36</v>
      </c>
      <c r="H16" s="55" t="s">
        <v>36</v>
      </c>
      <c r="I16" s="43" t="s">
        <v>446</v>
      </c>
      <c r="J16" s="55"/>
    </row>
    <row r="17" ht="60.0" customHeight="1">
      <c r="A17" s="40">
        <v>14.0</v>
      </c>
      <c r="B17" s="41" t="s">
        <v>100</v>
      </c>
      <c r="C17" s="41" t="s">
        <v>101</v>
      </c>
      <c r="D17" s="41" t="s">
        <v>102</v>
      </c>
      <c r="E17" s="41" t="s">
        <v>103</v>
      </c>
      <c r="F17" s="40" t="str">
        <f t="shared" si="1"/>
        <v>WRONG</v>
      </c>
      <c r="G17" s="40" t="s">
        <v>36</v>
      </c>
      <c r="H17" s="54" t="s">
        <v>48</v>
      </c>
      <c r="I17" s="43" t="s">
        <v>447</v>
      </c>
      <c r="J17" s="55"/>
    </row>
    <row r="18" ht="60.0" customHeight="1">
      <c r="A18" s="40">
        <v>15.0</v>
      </c>
      <c r="B18" s="41" t="s">
        <v>105</v>
      </c>
      <c r="C18" s="41" t="s">
        <v>106</v>
      </c>
      <c r="D18" s="41" t="s">
        <v>107</v>
      </c>
      <c r="E18" s="41" t="s">
        <v>108</v>
      </c>
      <c r="F18" s="40" t="str">
        <f t="shared" si="1"/>
        <v>CORRECT</v>
      </c>
      <c r="G18" s="40" t="s">
        <v>48</v>
      </c>
      <c r="H18" s="55" t="s">
        <v>48</v>
      </c>
      <c r="I18" s="43" t="s">
        <v>448</v>
      </c>
      <c r="J18" s="55"/>
    </row>
    <row r="19" ht="60.0" customHeight="1">
      <c r="A19" s="40">
        <v>16.0</v>
      </c>
      <c r="B19" s="41" t="s">
        <v>110</v>
      </c>
      <c r="C19" s="41" t="s">
        <v>111</v>
      </c>
      <c r="D19" s="41" t="s">
        <v>112</v>
      </c>
      <c r="E19" s="41" t="s">
        <v>113</v>
      </c>
      <c r="F19" s="40" t="str">
        <f t="shared" si="1"/>
        <v>CORRECT</v>
      </c>
      <c r="G19" s="40" t="s">
        <v>48</v>
      </c>
      <c r="H19" s="55" t="s">
        <v>48</v>
      </c>
      <c r="I19" s="43" t="s">
        <v>449</v>
      </c>
      <c r="J19" s="55"/>
    </row>
    <row r="20" ht="60.0" customHeight="1">
      <c r="A20" s="40">
        <v>17.0</v>
      </c>
      <c r="B20" s="41" t="s">
        <v>115</v>
      </c>
      <c r="C20" s="41" t="s">
        <v>116</v>
      </c>
      <c r="D20" s="41" t="s">
        <v>117</v>
      </c>
      <c r="E20" s="41" t="s">
        <v>118</v>
      </c>
      <c r="F20" s="40" t="str">
        <f t="shared" si="1"/>
        <v>WRONG</v>
      </c>
      <c r="G20" s="40" t="s">
        <v>42</v>
      </c>
      <c r="H20" s="55" t="s">
        <v>36</v>
      </c>
      <c r="I20" s="43" t="s">
        <v>450</v>
      </c>
      <c r="J20" s="55"/>
    </row>
    <row r="21" ht="60.0" customHeight="1">
      <c r="A21" s="40">
        <v>18.0</v>
      </c>
      <c r="B21" s="41" t="s">
        <v>120</v>
      </c>
      <c r="C21" s="41" t="s">
        <v>121</v>
      </c>
      <c r="D21" s="41" t="s">
        <v>122</v>
      </c>
      <c r="E21" s="41" t="s">
        <v>123</v>
      </c>
      <c r="F21" s="40" t="str">
        <f t="shared" si="1"/>
        <v>CORRECT</v>
      </c>
      <c r="G21" s="40" t="s">
        <v>42</v>
      </c>
      <c r="H21" s="55" t="s">
        <v>42</v>
      </c>
      <c r="I21" s="43" t="s">
        <v>451</v>
      </c>
      <c r="J21" s="55"/>
    </row>
    <row r="22" ht="60.0" customHeight="1">
      <c r="A22" s="40">
        <v>19.0</v>
      </c>
      <c r="B22" s="41" t="s">
        <v>125</v>
      </c>
      <c r="C22" s="41" t="s">
        <v>126</v>
      </c>
      <c r="D22" s="41" t="s">
        <v>127</v>
      </c>
      <c r="E22" s="41" t="s">
        <v>128</v>
      </c>
      <c r="F22" s="40" t="str">
        <f t="shared" si="1"/>
        <v>CORRECT</v>
      </c>
      <c r="G22" s="40" t="s">
        <v>36</v>
      </c>
      <c r="H22" s="54" t="s">
        <v>36</v>
      </c>
      <c r="I22" s="43" t="s">
        <v>452</v>
      </c>
      <c r="J22" s="55"/>
    </row>
    <row r="23" ht="60.0" customHeight="1">
      <c r="A23" s="40">
        <v>20.0</v>
      </c>
      <c r="B23" s="41" t="s">
        <v>130</v>
      </c>
      <c r="C23" s="41" t="s">
        <v>131</v>
      </c>
      <c r="D23" s="41" t="s">
        <v>132</v>
      </c>
      <c r="E23" s="41" t="s">
        <v>133</v>
      </c>
      <c r="F23" s="40" t="str">
        <f t="shared" si="1"/>
        <v>CORRECT</v>
      </c>
      <c r="G23" s="40" t="s">
        <v>42</v>
      </c>
      <c r="H23" s="55" t="s">
        <v>42</v>
      </c>
      <c r="I23" s="43" t="s">
        <v>453</v>
      </c>
      <c r="J23" s="55"/>
    </row>
    <row r="24" ht="60.0" customHeight="1">
      <c r="A24" s="40">
        <v>21.0</v>
      </c>
      <c r="B24" s="41" t="s">
        <v>135</v>
      </c>
      <c r="C24" s="41" t="s">
        <v>136</v>
      </c>
      <c r="D24" s="41" t="s">
        <v>137</v>
      </c>
      <c r="E24" s="41" t="s">
        <v>138</v>
      </c>
      <c r="F24" s="40" t="str">
        <f t="shared" si="1"/>
        <v>WRONG</v>
      </c>
      <c r="G24" s="40" t="s">
        <v>42</v>
      </c>
      <c r="H24" s="55" t="s">
        <v>36</v>
      </c>
      <c r="I24" s="43" t="s">
        <v>454</v>
      </c>
      <c r="J24" s="55"/>
    </row>
    <row r="25" ht="60.0" customHeight="1">
      <c r="A25" s="40">
        <v>22.0</v>
      </c>
      <c r="B25" s="41" t="s">
        <v>140</v>
      </c>
      <c r="C25" s="41" t="s">
        <v>141</v>
      </c>
      <c r="D25" s="41" t="s">
        <v>142</v>
      </c>
      <c r="E25" s="41" t="s">
        <v>143</v>
      </c>
      <c r="F25" s="40" t="str">
        <f t="shared" si="1"/>
        <v>CORRECT</v>
      </c>
      <c r="G25" s="40" t="s">
        <v>42</v>
      </c>
      <c r="H25" s="55" t="s">
        <v>42</v>
      </c>
      <c r="I25" s="43" t="s">
        <v>455</v>
      </c>
      <c r="J25" s="55"/>
    </row>
    <row r="26" ht="60.0" customHeight="1">
      <c r="A26" s="40">
        <v>23.0</v>
      </c>
      <c r="B26" s="41" t="s">
        <v>145</v>
      </c>
      <c r="C26" s="41" t="s">
        <v>146</v>
      </c>
      <c r="D26" s="41" t="s">
        <v>147</v>
      </c>
      <c r="E26" s="41" t="s">
        <v>148</v>
      </c>
      <c r="F26" s="40" t="str">
        <f t="shared" si="1"/>
        <v>CORRECT</v>
      </c>
      <c r="G26" s="40" t="s">
        <v>48</v>
      </c>
      <c r="H26" s="55" t="s">
        <v>48</v>
      </c>
      <c r="I26" s="43" t="s">
        <v>456</v>
      </c>
      <c r="J26" s="55"/>
    </row>
    <row r="27" ht="60.0" customHeight="1">
      <c r="A27" s="40">
        <v>24.0</v>
      </c>
      <c r="B27" s="41" t="s">
        <v>150</v>
      </c>
      <c r="C27" s="41" t="s">
        <v>151</v>
      </c>
      <c r="D27" s="41" t="s">
        <v>152</v>
      </c>
      <c r="E27" s="41" t="s">
        <v>153</v>
      </c>
      <c r="F27" s="40" t="str">
        <f t="shared" si="1"/>
        <v>CORRECT</v>
      </c>
      <c r="G27" s="40" t="s">
        <v>36</v>
      </c>
      <c r="H27" s="55" t="s">
        <v>36</v>
      </c>
      <c r="I27" s="43" t="s">
        <v>457</v>
      </c>
      <c r="J27" s="55"/>
    </row>
    <row r="28" ht="60.0" customHeight="1">
      <c r="A28" s="40">
        <v>25.0</v>
      </c>
      <c r="B28" s="41" t="s">
        <v>155</v>
      </c>
      <c r="C28" s="41" t="s">
        <v>151</v>
      </c>
      <c r="D28" s="41" t="s">
        <v>156</v>
      </c>
      <c r="E28" s="41" t="s">
        <v>153</v>
      </c>
      <c r="F28" s="40" t="str">
        <f t="shared" si="1"/>
        <v>WRONG</v>
      </c>
      <c r="G28" s="40" t="s">
        <v>48</v>
      </c>
      <c r="H28" s="54" t="s">
        <v>36</v>
      </c>
      <c r="I28" s="43" t="s">
        <v>458</v>
      </c>
      <c r="J28" s="55"/>
    </row>
    <row r="29" ht="60.0" customHeight="1">
      <c r="A29" s="40">
        <v>26.0</v>
      </c>
      <c r="B29" s="41" t="s">
        <v>158</v>
      </c>
      <c r="C29" s="41" t="s">
        <v>159</v>
      </c>
      <c r="D29" s="41" t="s">
        <v>160</v>
      </c>
      <c r="E29" s="41" t="s">
        <v>161</v>
      </c>
      <c r="F29" s="40" t="str">
        <f t="shared" si="1"/>
        <v>WRONG</v>
      </c>
      <c r="G29" s="40" t="s">
        <v>36</v>
      </c>
      <c r="H29" s="54" t="s">
        <v>42</v>
      </c>
      <c r="I29" s="43" t="s">
        <v>459</v>
      </c>
      <c r="J29" s="55"/>
    </row>
    <row r="30" ht="60.0" customHeight="1">
      <c r="A30" s="40">
        <v>27.0</v>
      </c>
      <c r="B30" s="41" t="s">
        <v>163</v>
      </c>
      <c r="C30" s="41" t="s">
        <v>164</v>
      </c>
      <c r="D30" s="41" t="s">
        <v>165</v>
      </c>
      <c r="E30" s="41" t="s">
        <v>166</v>
      </c>
      <c r="F30" s="40" t="str">
        <f t="shared" si="1"/>
        <v>CORRECT</v>
      </c>
      <c r="G30" s="40" t="s">
        <v>42</v>
      </c>
      <c r="H30" s="54" t="s">
        <v>42</v>
      </c>
      <c r="I30" s="43" t="s">
        <v>460</v>
      </c>
      <c r="J30" s="55"/>
    </row>
    <row r="31" ht="60.0" customHeight="1">
      <c r="A31" s="40">
        <v>28.0</v>
      </c>
      <c r="B31" s="41" t="s">
        <v>168</v>
      </c>
      <c r="C31" s="41" t="s">
        <v>169</v>
      </c>
      <c r="D31" s="41" t="s">
        <v>170</v>
      </c>
      <c r="E31" s="41" t="s">
        <v>171</v>
      </c>
      <c r="F31" s="40" t="str">
        <f t="shared" si="1"/>
        <v>WRONG</v>
      </c>
      <c r="G31" s="40" t="s">
        <v>36</v>
      </c>
      <c r="H31" s="55" t="s">
        <v>48</v>
      </c>
      <c r="I31" s="43" t="s">
        <v>461</v>
      </c>
      <c r="J31" s="55"/>
    </row>
    <row r="32" ht="60.0" customHeight="1">
      <c r="A32" s="40">
        <v>29.0</v>
      </c>
      <c r="B32" s="41" t="s">
        <v>173</v>
      </c>
      <c r="C32" s="41" t="s">
        <v>174</v>
      </c>
      <c r="D32" s="41" t="s">
        <v>175</v>
      </c>
      <c r="E32" s="41" t="s">
        <v>176</v>
      </c>
      <c r="F32" s="40" t="str">
        <f t="shared" si="1"/>
        <v>CORRECT</v>
      </c>
      <c r="G32" s="40" t="s">
        <v>42</v>
      </c>
      <c r="H32" s="55" t="s">
        <v>42</v>
      </c>
      <c r="I32" s="43" t="s">
        <v>462</v>
      </c>
      <c r="J32" s="55"/>
    </row>
    <row r="33" ht="60.0" customHeight="1">
      <c r="A33" s="40">
        <v>30.0</v>
      </c>
      <c r="B33" s="41" t="s">
        <v>178</v>
      </c>
      <c r="C33" s="41" t="s">
        <v>179</v>
      </c>
      <c r="D33" s="41" t="s">
        <v>180</v>
      </c>
      <c r="E33" s="41" t="s">
        <v>181</v>
      </c>
      <c r="F33" s="40" t="str">
        <f t="shared" si="1"/>
        <v>WRONG</v>
      </c>
      <c r="G33" s="40" t="s">
        <v>48</v>
      </c>
      <c r="H33" s="55" t="s">
        <v>36</v>
      </c>
      <c r="I33" s="43" t="s">
        <v>463</v>
      </c>
      <c r="J33" s="55"/>
    </row>
    <row r="34" ht="60.0" customHeight="1">
      <c r="A34" s="40">
        <v>31.0</v>
      </c>
      <c r="B34" s="41" t="s">
        <v>183</v>
      </c>
      <c r="C34" s="41" t="s">
        <v>184</v>
      </c>
      <c r="D34" s="41" t="s">
        <v>185</v>
      </c>
      <c r="E34" s="41" t="s">
        <v>186</v>
      </c>
      <c r="F34" s="40" t="str">
        <f t="shared" si="1"/>
        <v>WRONG</v>
      </c>
      <c r="G34" s="40" t="s">
        <v>42</v>
      </c>
      <c r="H34" s="55" t="s">
        <v>36</v>
      </c>
      <c r="I34" s="43" t="s">
        <v>464</v>
      </c>
      <c r="J34" s="55"/>
    </row>
    <row r="35" ht="60.0" customHeight="1">
      <c r="A35" s="40">
        <v>32.0</v>
      </c>
      <c r="B35" s="41" t="s">
        <v>188</v>
      </c>
      <c r="C35" s="41" t="s">
        <v>189</v>
      </c>
      <c r="D35" s="41" t="s">
        <v>190</v>
      </c>
      <c r="E35" s="41" t="s">
        <v>191</v>
      </c>
      <c r="F35" s="40" t="str">
        <f t="shared" si="1"/>
        <v>CORRECT</v>
      </c>
      <c r="G35" s="40" t="s">
        <v>36</v>
      </c>
      <c r="H35" s="54" t="s">
        <v>36</v>
      </c>
      <c r="I35" s="43" t="s">
        <v>465</v>
      </c>
      <c r="J35" s="55"/>
    </row>
    <row r="36" ht="60.0" customHeight="1">
      <c r="A36" s="40">
        <v>33.0</v>
      </c>
      <c r="B36" s="41" t="s">
        <v>193</v>
      </c>
      <c r="C36" s="41" t="s">
        <v>194</v>
      </c>
      <c r="D36" s="41" t="s">
        <v>195</v>
      </c>
      <c r="E36" s="41" t="s">
        <v>196</v>
      </c>
      <c r="F36" s="40" t="str">
        <f t="shared" si="1"/>
        <v>WRONG</v>
      </c>
      <c r="G36" s="40" t="s">
        <v>48</v>
      </c>
      <c r="H36" s="54" t="s">
        <v>42</v>
      </c>
      <c r="I36" s="43" t="s">
        <v>466</v>
      </c>
      <c r="J36" s="55"/>
    </row>
    <row r="37" ht="60.0" customHeight="1">
      <c r="A37" s="40">
        <v>34.0</v>
      </c>
      <c r="B37" s="41" t="s">
        <v>198</v>
      </c>
      <c r="C37" s="41" t="s">
        <v>199</v>
      </c>
      <c r="D37" s="41" t="s">
        <v>200</v>
      </c>
      <c r="E37" s="41" t="s">
        <v>201</v>
      </c>
      <c r="F37" s="40" t="str">
        <f t="shared" si="1"/>
        <v>CORRECT</v>
      </c>
      <c r="G37" s="40" t="s">
        <v>36</v>
      </c>
      <c r="H37" s="55" t="s">
        <v>36</v>
      </c>
      <c r="I37" s="43" t="s">
        <v>467</v>
      </c>
      <c r="J37" s="55"/>
    </row>
    <row r="38" ht="60.0" customHeight="1">
      <c r="A38" s="40">
        <v>35.0</v>
      </c>
      <c r="B38" s="41" t="s">
        <v>203</v>
      </c>
      <c r="C38" s="41" t="s">
        <v>204</v>
      </c>
      <c r="D38" s="41" t="s">
        <v>205</v>
      </c>
      <c r="E38" s="41" t="s">
        <v>206</v>
      </c>
      <c r="F38" s="40" t="str">
        <f t="shared" si="1"/>
        <v>CORRECT</v>
      </c>
      <c r="G38" s="40" t="s">
        <v>48</v>
      </c>
      <c r="H38" s="54" t="s">
        <v>48</v>
      </c>
      <c r="I38" s="43" t="s">
        <v>468</v>
      </c>
      <c r="J38" s="55"/>
    </row>
    <row r="39" ht="60.0" customHeight="1">
      <c r="A39" s="40">
        <v>36.0</v>
      </c>
      <c r="B39" s="41" t="s">
        <v>208</v>
      </c>
      <c r="C39" s="41" t="s">
        <v>209</v>
      </c>
      <c r="D39" s="41" t="s">
        <v>210</v>
      </c>
      <c r="E39" s="41" t="s">
        <v>211</v>
      </c>
      <c r="F39" s="40" t="str">
        <f t="shared" si="1"/>
        <v>CORRECT</v>
      </c>
      <c r="G39" s="40" t="s">
        <v>36</v>
      </c>
      <c r="H39" s="55" t="s">
        <v>36</v>
      </c>
      <c r="I39" s="43" t="s">
        <v>469</v>
      </c>
      <c r="J39" s="55"/>
    </row>
    <row r="40" ht="60.0" customHeight="1">
      <c r="A40" s="40">
        <v>37.0</v>
      </c>
      <c r="B40" s="41" t="s">
        <v>213</v>
      </c>
      <c r="C40" s="41" t="s">
        <v>214</v>
      </c>
      <c r="D40" s="41" t="s">
        <v>215</v>
      </c>
      <c r="E40" s="41" t="s">
        <v>216</v>
      </c>
      <c r="F40" s="40" t="str">
        <f t="shared" si="1"/>
        <v>WRONG</v>
      </c>
      <c r="G40" s="40" t="s">
        <v>36</v>
      </c>
      <c r="H40" s="55" t="s">
        <v>42</v>
      </c>
      <c r="I40" s="43" t="s">
        <v>470</v>
      </c>
      <c r="J40" s="55"/>
    </row>
    <row r="41" ht="60.0" customHeight="1">
      <c r="A41" s="40">
        <v>38.0</v>
      </c>
      <c r="B41" s="41" t="s">
        <v>218</v>
      </c>
      <c r="C41" s="41" t="s">
        <v>219</v>
      </c>
      <c r="D41" s="41" t="s">
        <v>220</v>
      </c>
      <c r="E41" s="41" t="s">
        <v>221</v>
      </c>
      <c r="F41" s="40" t="str">
        <f t="shared" si="1"/>
        <v>CORRECT</v>
      </c>
      <c r="G41" s="40" t="s">
        <v>36</v>
      </c>
      <c r="H41" s="55" t="s">
        <v>36</v>
      </c>
      <c r="I41" s="43" t="s">
        <v>471</v>
      </c>
      <c r="J41" s="55"/>
    </row>
    <row r="42" ht="60.0" customHeight="1">
      <c r="A42" s="40">
        <v>39.0</v>
      </c>
      <c r="B42" s="41" t="s">
        <v>223</v>
      </c>
      <c r="C42" s="41" t="s">
        <v>224</v>
      </c>
      <c r="D42" s="41" t="s">
        <v>225</v>
      </c>
      <c r="E42" s="41" t="s">
        <v>226</v>
      </c>
      <c r="F42" s="40" t="str">
        <f t="shared" si="1"/>
        <v>WRONG</v>
      </c>
      <c r="G42" s="40" t="s">
        <v>42</v>
      </c>
      <c r="H42" s="54" t="s">
        <v>36</v>
      </c>
      <c r="I42" s="43" t="s">
        <v>472</v>
      </c>
      <c r="J42" s="55"/>
    </row>
    <row r="43" ht="60.0" customHeight="1">
      <c r="A43" s="40">
        <v>40.0</v>
      </c>
      <c r="B43" s="41" t="s">
        <v>228</v>
      </c>
      <c r="C43" s="41" t="s">
        <v>229</v>
      </c>
      <c r="D43" s="41" t="s">
        <v>230</v>
      </c>
      <c r="E43" s="41" t="s">
        <v>231</v>
      </c>
      <c r="F43" s="40" t="str">
        <f t="shared" si="1"/>
        <v>CORRECT</v>
      </c>
      <c r="G43" s="40" t="s">
        <v>48</v>
      </c>
      <c r="H43" s="54" t="s">
        <v>48</v>
      </c>
      <c r="I43" s="43" t="s">
        <v>473</v>
      </c>
      <c r="J43" s="55"/>
    </row>
    <row r="44" ht="60.0" customHeight="1">
      <c r="A44" s="40">
        <v>41.0</v>
      </c>
      <c r="B44" s="41" t="s">
        <v>233</v>
      </c>
      <c r="C44" s="41" t="s">
        <v>234</v>
      </c>
      <c r="D44" s="41" t="s">
        <v>235</v>
      </c>
      <c r="E44" s="41" t="s">
        <v>236</v>
      </c>
      <c r="F44" s="40" t="str">
        <f t="shared" si="1"/>
        <v>CORRECT</v>
      </c>
      <c r="G44" s="40" t="s">
        <v>42</v>
      </c>
      <c r="H44" s="55" t="s">
        <v>42</v>
      </c>
      <c r="I44" s="43" t="s">
        <v>474</v>
      </c>
      <c r="J44" s="55"/>
    </row>
    <row r="45" ht="60.0" customHeight="1">
      <c r="A45" s="40">
        <v>42.0</v>
      </c>
      <c r="B45" s="41" t="s">
        <v>238</v>
      </c>
      <c r="C45" s="41" t="s">
        <v>239</v>
      </c>
      <c r="D45" s="41" t="s">
        <v>240</v>
      </c>
      <c r="E45" s="41" t="s">
        <v>241</v>
      </c>
      <c r="F45" s="40" t="str">
        <f t="shared" si="1"/>
        <v>WRONG</v>
      </c>
      <c r="G45" s="40" t="s">
        <v>36</v>
      </c>
      <c r="H45" s="55" t="s">
        <v>42</v>
      </c>
      <c r="I45" s="43" t="s">
        <v>475</v>
      </c>
      <c r="J45" s="55"/>
    </row>
    <row r="46" ht="60.0" customHeight="1">
      <c r="A46" s="40">
        <v>43.0</v>
      </c>
      <c r="B46" s="41" t="s">
        <v>243</v>
      </c>
      <c r="C46" s="41" t="s">
        <v>244</v>
      </c>
      <c r="D46" s="41" t="s">
        <v>245</v>
      </c>
      <c r="E46" s="41" t="s">
        <v>246</v>
      </c>
      <c r="F46" s="40" t="str">
        <f t="shared" si="1"/>
        <v>WRONG</v>
      </c>
      <c r="G46" s="40" t="s">
        <v>48</v>
      </c>
      <c r="H46" s="55" t="s">
        <v>36</v>
      </c>
      <c r="I46" s="43" t="s">
        <v>476</v>
      </c>
      <c r="J46" s="55"/>
    </row>
    <row r="47" ht="60.0" customHeight="1">
      <c r="A47" s="40">
        <v>44.0</v>
      </c>
      <c r="B47" s="41" t="s">
        <v>248</v>
      </c>
      <c r="C47" s="41" t="s">
        <v>249</v>
      </c>
      <c r="D47" s="41" t="s">
        <v>250</v>
      </c>
      <c r="E47" s="41" t="s">
        <v>251</v>
      </c>
      <c r="F47" s="40" t="str">
        <f t="shared" si="1"/>
        <v>WRONG</v>
      </c>
      <c r="G47" s="40" t="s">
        <v>36</v>
      </c>
      <c r="H47" s="54" t="s">
        <v>48</v>
      </c>
      <c r="I47" s="43" t="s">
        <v>477</v>
      </c>
      <c r="J47" s="55"/>
    </row>
    <row r="48" ht="60.0" customHeight="1">
      <c r="A48" s="40">
        <v>45.0</v>
      </c>
      <c r="B48" s="41" t="s">
        <v>253</v>
      </c>
      <c r="C48" s="41" t="s">
        <v>254</v>
      </c>
      <c r="D48" s="41" t="s">
        <v>255</v>
      </c>
      <c r="E48" s="41" t="s">
        <v>256</v>
      </c>
      <c r="F48" s="40" t="str">
        <f t="shared" si="1"/>
        <v>CORRECT</v>
      </c>
      <c r="G48" s="40" t="s">
        <v>36</v>
      </c>
      <c r="H48" s="55" t="s">
        <v>36</v>
      </c>
      <c r="I48" s="43" t="s">
        <v>478</v>
      </c>
      <c r="J48" s="55"/>
    </row>
    <row r="49" ht="60.0" customHeight="1">
      <c r="A49" s="40">
        <v>46.0</v>
      </c>
      <c r="B49" s="41" t="s">
        <v>258</v>
      </c>
      <c r="C49" s="41" t="s">
        <v>39</v>
      </c>
      <c r="D49" s="41" t="s">
        <v>259</v>
      </c>
      <c r="E49" s="41" t="s">
        <v>260</v>
      </c>
      <c r="F49" s="40" t="str">
        <f t="shared" si="1"/>
        <v>CORRECT</v>
      </c>
      <c r="G49" s="40" t="s">
        <v>36</v>
      </c>
      <c r="H49" s="55" t="s">
        <v>36</v>
      </c>
      <c r="I49" s="43" t="s">
        <v>479</v>
      </c>
      <c r="J49" s="55"/>
    </row>
    <row r="50">
      <c r="A50" s="45" t="s">
        <v>262</v>
      </c>
      <c r="B50" s="2"/>
      <c r="C50" s="2"/>
      <c r="D50" s="2"/>
      <c r="E50" s="3"/>
      <c r="F50" s="46">
        <f>COUNTIFS(F4:F49,"CORRECT")</f>
        <v>27</v>
      </c>
      <c r="G50" s="47"/>
      <c r="H50" s="47"/>
      <c r="J50" s="48" t="str">
        <f>AVERAGE(J4:J49)</f>
        <v>#DIV/0!</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480</v>
      </c>
      <c r="C2" s="2"/>
      <c r="D2" s="2"/>
      <c r="E2" s="2"/>
      <c r="F2" s="2"/>
      <c r="G2" s="2"/>
      <c r="H2" s="3"/>
      <c r="I2" s="38" t="s">
        <v>481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4" t="s">
        <v>36</v>
      </c>
      <c r="I4" s="56" t="s">
        <v>482</v>
      </c>
      <c r="J4" s="55"/>
    </row>
    <row r="5" ht="60.0" customHeight="1">
      <c r="A5" s="40">
        <v>2.0</v>
      </c>
      <c r="B5" s="41" t="s">
        <v>38</v>
      </c>
      <c r="C5" s="41" t="s">
        <v>39</v>
      </c>
      <c r="D5" s="41" t="s">
        <v>40</v>
      </c>
      <c r="E5" s="41" t="s">
        <v>41</v>
      </c>
      <c r="F5" s="40" t="str">
        <f t="shared" si="1"/>
        <v>CORRECT</v>
      </c>
      <c r="G5" s="40" t="s">
        <v>42</v>
      </c>
      <c r="H5" s="54" t="s">
        <v>42</v>
      </c>
      <c r="I5" s="43" t="s">
        <v>483</v>
      </c>
      <c r="J5" s="55"/>
    </row>
    <row r="6" ht="60.0" customHeight="1">
      <c r="A6" s="40">
        <v>3.0</v>
      </c>
      <c r="B6" s="41" t="s">
        <v>44</v>
      </c>
      <c r="C6" s="41" t="s">
        <v>45</v>
      </c>
      <c r="D6" s="41" t="s">
        <v>46</v>
      </c>
      <c r="E6" s="41" t="s">
        <v>47</v>
      </c>
      <c r="F6" s="40" t="str">
        <f t="shared" si="1"/>
        <v>CORRECT</v>
      </c>
      <c r="G6" s="40" t="s">
        <v>48</v>
      </c>
      <c r="H6" s="54" t="s">
        <v>48</v>
      </c>
      <c r="I6" s="43" t="s">
        <v>484</v>
      </c>
      <c r="J6" s="55"/>
    </row>
    <row r="7" ht="60.0" customHeight="1">
      <c r="A7" s="40">
        <v>4.0</v>
      </c>
      <c r="B7" s="41" t="s">
        <v>50</v>
      </c>
      <c r="C7" s="41" t="s">
        <v>51</v>
      </c>
      <c r="D7" s="41" t="s">
        <v>52</v>
      </c>
      <c r="E7" s="41" t="s">
        <v>53</v>
      </c>
      <c r="F7" s="40" t="str">
        <f t="shared" si="1"/>
        <v>CORRECT</v>
      </c>
      <c r="G7" s="40" t="s">
        <v>42</v>
      </c>
      <c r="H7" s="54" t="s">
        <v>42</v>
      </c>
      <c r="I7" s="43" t="s">
        <v>485</v>
      </c>
      <c r="J7" s="55"/>
    </row>
    <row r="8" ht="60.0" customHeight="1">
      <c r="A8" s="40">
        <v>5.0</v>
      </c>
      <c r="B8" s="41" t="s">
        <v>55</v>
      </c>
      <c r="C8" s="41" t="s">
        <v>56</v>
      </c>
      <c r="D8" s="41" t="s">
        <v>57</v>
      </c>
      <c r="E8" s="41" t="s">
        <v>58</v>
      </c>
      <c r="F8" s="40" t="str">
        <f t="shared" si="1"/>
        <v>WRONG</v>
      </c>
      <c r="G8" s="40" t="s">
        <v>48</v>
      </c>
      <c r="H8" s="54" t="s">
        <v>42</v>
      </c>
      <c r="I8" s="43" t="s">
        <v>486</v>
      </c>
      <c r="J8" s="55"/>
    </row>
    <row r="9" ht="60.0" customHeight="1">
      <c r="A9" s="40">
        <v>6.0</v>
      </c>
      <c r="B9" s="41" t="s">
        <v>60</v>
      </c>
      <c r="C9" s="41" t="s">
        <v>61</v>
      </c>
      <c r="D9" s="41" t="s">
        <v>62</v>
      </c>
      <c r="E9" s="41" t="s">
        <v>63</v>
      </c>
      <c r="F9" s="40" t="str">
        <f t="shared" si="1"/>
        <v>WRONG</v>
      </c>
      <c r="G9" s="40" t="s">
        <v>42</v>
      </c>
      <c r="H9" s="54" t="s">
        <v>487</v>
      </c>
      <c r="I9" s="43" t="s">
        <v>488</v>
      </c>
      <c r="J9" s="55"/>
    </row>
    <row r="10" ht="60.0" customHeight="1">
      <c r="A10" s="40">
        <v>7.0</v>
      </c>
      <c r="B10" s="41" t="s">
        <v>65</v>
      </c>
      <c r="C10" s="41" t="s">
        <v>66</v>
      </c>
      <c r="D10" s="41" t="s">
        <v>67</v>
      </c>
      <c r="E10" s="41" t="s">
        <v>68</v>
      </c>
      <c r="F10" s="40" t="str">
        <f t="shared" si="1"/>
        <v>WRONG</v>
      </c>
      <c r="G10" s="40" t="s">
        <v>42</v>
      </c>
      <c r="H10" s="54" t="s">
        <v>36</v>
      </c>
      <c r="I10" s="43" t="s">
        <v>489</v>
      </c>
      <c r="J10" s="55"/>
    </row>
    <row r="11" ht="60.0" customHeight="1">
      <c r="A11" s="40">
        <v>8.0</v>
      </c>
      <c r="B11" s="41" t="s">
        <v>70</v>
      </c>
      <c r="C11" s="41" t="s">
        <v>71</v>
      </c>
      <c r="D11" s="41" t="s">
        <v>72</v>
      </c>
      <c r="E11" s="41" t="s">
        <v>73</v>
      </c>
      <c r="F11" s="40" t="str">
        <f t="shared" si="1"/>
        <v>CORRECT</v>
      </c>
      <c r="G11" s="40" t="s">
        <v>48</v>
      </c>
      <c r="H11" s="54" t="s">
        <v>48</v>
      </c>
      <c r="I11" s="43" t="s">
        <v>490</v>
      </c>
      <c r="J11" s="55"/>
    </row>
    <row r="12" ht="60.0" customHeight="1">
      <c r="A12" s="40">
        <v>9.0</v>
      </c>
      <c r="B12" s="41" t="s">
        <v>75</v>
      </c>
      <c r="C12" s="41" t="s">
        <v>76</v>
      </c>
      <c r="D12" s="41" t="s">
        <v>77</v>
      </c>
      <c r="E12" s="41" t="s">
        <v>78</v>
      </c>
      <c r="F12" s="40" t="str">
        <f t="shared" si="1"/>
        <v>CORRECT</v>
      </c>
      <c r="G12" s="40" t="s">
        <v>42</v>
      </c>
      <c r="H12" s="54" t="s">
        <v>42</v>
      </c>
      <c r="I12" s="43" t="s">
        <v>491</v>
      </c>
      <c r="J12" s="55"/>
    </row>
    <row r="13" ht="60.0" customHeight="1">
      <c r="A13" s="40">
        <v>10.0</v>
      </c>
      <c r="B13" s="41" t="s">
        <v>80</v>
      </c>
      <c r="C13" s="41" t="s">
        <v>81</v>
      </c>
      <c r="D13" s="41" t="s">
        <v>82</v>
      </c>
      <c r="E13" s="41" t="s">
        <v>83</v>
      </c>
      <c r="F13" s="40" t="str">
        <f t="shared" si="1"/>
        <v>WRONG</v>
      </c>
      <c r="G13" s="40" t="s">
        <v>48</v>
      </c>
      <c r="H13" s="54" t="s">
        <v>36</v>
      </c>
      <c r="I13" s="43" t="s">
        <v>492</v>
      </c>
      <c r="J13" s="55"/>
    </row>
    <row r="14" ht="60.0" customHeight="1">
      <c r="A14" s="40">
        <v>11.0</v>
      </c>
      <c r="B14" s="41" t="s">
        <v>85</v>
      </c>
      <c r="C14" s="41" t="s">
        <v>86</v>
      </c>
      <c r="D14" s="41" t="s">
        <v>87</v>
      </c>
      <c r="E14" s="41" t="s">
        <v>88</v>
      </c>
      <c r="F14" s="40" t="str">
        <f t="shared" si="1"/>
        <v>WRONG</v>
      </c>
      <c r="G14" s="40" t="s">
        <v>42</v>
      </c>
      <c r="H14" s="54" t="s">
        <v>48</v>
      </c>
      <c r="I14" s="43" t="s">
        <v>493</v>
      </c>
      <c r="J14" s="55"/>
    </row>
    <row r="15" ht="60.0" customHeight="1">
      <c r="A15" s="40">
        <v>12.0</v>
      </c>
      <c r="B15" s="41" t="s">
        <v>90</v>
      </c>
      <c r="C15" s="41" t="s">
        <v>91</v>
      </c>
      <c r="D15" s="41" t="s">
        <v>92</v>
      </c>
      <c r="E15" s="41" t="s">
        <v>93</v>
      </c>
      <c r="F15" s="40" t="str">
        <f t="shared" si="1"/>
        <v>CORRECT</v>
      </c>
      <c r="G15" s="40" t="s">
        <v>48</v>
      </c>
      <c r="H15" s="54" t="s">
        <v>48</v>
      </c>
      <c r="I15" s="43" t="s">
        <v>494</v>
      </c>
      <c r="J15" s="55"/>
    </row>
    <row r="16" ht="60.0" customHeight="1">
      <c r="A16" s="40">
        <v>13.0</v>
      </c>
      <c r="B16" s="41" t="s">
        <v>95</v>
      </c>
      <c r="C16" s="41" t="s">
        <v>96</v>
      </c>
      <c r="D16" s="41" t="s">
        <v>97</v>
      </c>
      <c r="E16" s="41" t="s">
        <v>98</v>
      </c>
      <c r="F16" s="40" t="str">
        <f t="shared" si="1"/>
        <v>CORRECT</v>
      </c>
      <c r="G16" s="40" t="s">
        <v>36</v>
      </c>
      <c r="H16" s="54" t="s">
        <v>36</v>
      </c>
      <c r="I16" s="43" t="s">
        <v>495</v>
      </c>
      <c r="J16" s="55"/>
    </row>
    <row r="17" ht="60.0" customHeight="1">
      <c r="A17" s="40">
        <v>14.0</v>
      </c>
      <c r="B17" s="41" t="s">
        <v>100</v>
      </c>
      <c r="C17" s="41" t="s">
        <v>101</v>
      </c>
      <c r="D17" s="41" t="s">
        <v>102</v>
      </c>
      <c r="E17" s="41" t="s">
        <v>103</v>
      </c>
      <c r="F17" s="40" t="str">
        <f t="shared" si="1"/>
        <v>WRONG</v>
      </c>
      <c r="G17" s="40" t="s">
        <v>36</v>
      </c>
      <c r="H17" s="54" t="s">
        <v>48</v>
      </c>
      <c r="I17" s="56" t="s">
        <v>496</v>
      </c>
      <c r="J17" s="55"/>
    </row>
    <row r="18" ht="60.0" customHeight="1">
      <c r="A18" s="40">
        <v>15.0</v>
      </c>
      <c r="B18" s="41" t="s">
        <v>105</v>
      </c>
      <c r="C18" s="41" t="s">
        <v>106</v>
      </c>
      <c r="D18" s="41" t="s">
        <v>107</v>
      </c>
      <c r="E18" s="41" t="s">
        <v>108</v>
      </c>
      <c r="F18" s="40" t="str">
        <f t="shared" si="1"/>
        <v>WRONG</v>
      </c>
      <c r="G18" s="40" t="s">
        <v>48</v>
      </c>
      <c r="H18" s="54" t="s">
        <v>377</v>
      </c>
      <c r="I18" s="56" t="s">
        <v>497</v>
      </c>
      <c r="J18" s="55"/>
    </row>
    <row r="19" ht="60.0" customHeight="1">
      <c r="A19" s="40">
        <v>16.0</v>
      </c>
      <c r="B19" s="41" t="s">
        <v>110</v>
      </c>
      <c r="C19" s="41" t="s">
        <v>111</v>
      </c>
      <c r="D19" s="41" t="s">
        <v>112</v>
      </c>
      <c r="E19" s="41" t="s">
        <v>113</v>
      </c>
      <c r="F19" s="40" t="str">
        <f t="shared" si="1"/>
        <v>CORRECT</v>
      </c>
      <c r="G19" s="40" t="s">
        <v>48</v>
      </c>
      <c r="H19" s="54" t="s">
        <v>48</v>
      </c>
      <c r="I19" s="43" t="s">
        <v>498</v>
      </c>
      <c r="J19" s="55"/>
    </row>
    <row r="20" ht="60.0" customHeight="1">
      <c r="A20" s="40">
        <v>17.0</v>
      </c>
      <c r="B20" s="41" t="s">
        <v>115</v>
      </c>
      <c r="C20" s="41" t="s">
        <v>116</v>
      </c>
      <c r="D20" s="41" t="s">
        <v>117</v>
      </c>
      <c r="E20" s="41" t="s">
        <v>118</v>
      </c>
      <c r="F20" s="40" t="str">
        <f t="shared" si="1"/>
        <v>WRONG</v>
      </c>
      <c r="G20" s="40" t="s">
        <v>42</v>
      </c>
      <c r="H20" s="54" t="s">
        <v>36</v>
      </c>
      <c r="I20" s="43" t="s">
        <v>499</v>
      </c>
      <c r="J20" s="55"/>
    </row>
    <row r="21" ht="60.0" customHeight="1">
      <c r="A21" s="40">
        <v>18.0</v>
      </c>
      <c r="B21" s="41" t="s">
        <v>120</v>
      </c>
      <c r="C21" s="41" t="s">
        <v>121</v>
      </c>
      <c r="D21" s="41" t="s">
        <v>122</v>
      </c>
      <c r="E21" s="41" t="s">
        <v>123</v>
      </c>
      <c r="F21" s="40" t="str">
        <f t="shared" si="1"/>
        <v>CORRECT</v>
      </c>
      <c r="G21" s="40" t="s">
        <v>42</v>
      </c>
      <c r="H21" s="54" t="s">
        <v>42</v>
      </c>
      <c r="I21" s="43" t="s">
        <v>500</v>
      </c>
      <c r="J21" s="55"/>
    </row>
    <row r="22" ht="60.0" customHeight="1">
      <c r="A22" s="40">
        <v>19.0</v>
      </c>
      <c r="B22" s="41" t="s">
        <v>125</v>
      </c>
      <c r="C22" s="41" t="s">
        <v>126</v>
      </c>
      <c r="D22" s="41" t="s">
        <v>127</v>
      </c>
      <c r="E22" s="41" t="s">
        <v>128</v>
      </c>
      <c r="F22" s="40" t="str">
        <f t="shared" si="1"/>
        <v>CORRECT</v>
      </c>
      <c r="G22" s="40" t="s">
        <v>36</v>
      </c>
      <c r="H22" s="54" t="s">
        <v>36</v>
      </c>
      <c r="I22" s="43" t="s">
        <v>501</v>
      </c>
      <c r="J22" s="55"/>
    </row>
    <row r="23" ht="60.0" customHeight="1">
      <c r="A23" s="40">
        <v>20.0</v>
      </c>
      <c r="B23" s="41" t="s">
        <v>130</v>
      </c>
      <c r="C23" s="41" t="s">
        <v>131</v>
      </c>
      <c r="D23" s="41" t="s">
        <v>132</v>
      </c>
      <c r="E23" s="41" t="s">
        <v>133</v>
      </c>
      <c r="F23" s="40" t="str">
        <f t="shared" si="1"/>
        <v>CORRECT</v>
      </c>
      <c r="G23" s="40" t="s">
        <v>42</v>
      </c>
      <c r="H23" s="54" t="s">
        <v>42</v>
      </c>
      <c r="I23" s="43" t="s">
        <v>502</v>
      </c>
      <c r="J23" s="55"/>
    </row>
    <row r="24" ht="60.0" customHeight="1">
      <c r="A24" s="40">
        <v>21.0</v>
      </c>
      <c r="B24" s="41" t="s">
        <v>135</v>
      </c>
      <c r="C24" s="41" t="s">
        <v>136</v>
      </c>
      <c r="D24" s="41" t="s">
        <v>137</v>
      </c>
      <c r="E24" s="41" t="s">
        <v>138</v>
      </c>
      <c r="F24" s="40" t="str">
        <f t="shared" si="1"/>
        <v>CORRECT</v>
      </c>
      <c r="G24" s="40" t="s">
        <v>42</v>
      </c>
      <c r="H24" s="54" t="s">
        <v>42</v>
      </c>
      <c r="I24" s="43" t="s">
        <v>503</v>
      </c>
      <c r="J24" s="55"/>
    </row>
    <row r="25" ht="60.0" customHeight="1">
      <c r="A25" s="40">
        <v>22.0</v>
      </c>
      <c r="B25" s="41" t="s">
        <v>140</v>
      </c>
      <c r="C25" s="41" t="s">
        <v>141</v>
      </c>
      <c r="D25" s="41" t="s">
        <v>142</v>
      </c>
      <c r="E25" s="41" t="s">
        <v>143</v>
      </c>
      <c r="F25" s="40" t="str">
        <f t="shared" si="1"/>
        <v>CORRECT</v>
      </c>
      <c r="G25" s="40" t="s">
        <v>42</v>
      </c>
      <c r="H25" s="54" t="s">
        <v>42</v>
      </c>
      <c r="I25" s="43" t="s">
        <v>504</v>
      </c>
      <c r="J25" s="55"/>
    </row>
    <row r="26" ht="60.0" customHeight="1">
      <c r="A26" s="40">
        <v>23.0</v>
      </c>
      <c r="B26" s="41" t="s">
        <v>145</v>
      </c>
      <c r="C26" s="41" t="s">
        <v>146</v>
      </c>
      <c r="D26" s="41" t="s">
        <v>147</v>
      </c>
      <c r="E26" s="41" t="s">
        <v>148</v>
      </c>
      <c r="F26" s="40" t="str">
        <f t="shared" si="1"/>
        <v>WRONG</v>
      </c>
      <c r="G26" s="40" t="s">
        <v>48</v>
      </c>
      <c r="H26" s="55" t="s">
        <v>36</v>
      </c>
      <c r="I26" s="43" t="s">
        <v>505</v>
      </c>
      <c r="J26" s="55"/>
    </row>
    <row r="27" ht="60.0" customHeight="1">
      <c r="A27" s="40">
        <v>24.0</v>
      </c>
      <c r="B27" s="41" t="s">
        <v>150</v>
      </c>
      <c r="C27" s="41" t="s">
        <v>151</v>
      </c>
      <c r="D27" s="41" t="s">
        <v>152</v>
      </c>
      <c r="E27" s="41" t="s">
        <v>153</v>
      </c>
      <c r="F27" s="40" t="str">
        <f t="shared" si="1"/>
        <v>CORRECT</v>
      </c>
      <c r="G27" s="40" t="s">
        <v>36</v>
      </c>
      <c r="H27" s="54" t="s">
        <v>36</v>
      </c>
      <c r="I27" s="43" t="s">
        <v>506</v>
      </c>
      <c r="J27" s="55"/>
    </row>
    <row r="28" ht="60.0" customHeight="1">
      <c r="A28" s="40">
        <v>25.0</v>
      </c>
      <c r="B28" s="41" t="s">
        <v>155</v>
      </c>
      <c r="C28" s="41" t="s">
        <v>151</v>
      </c>
      <c r="D28" s="41" t="s">
        <v>156</v>
      </c>
      <c r="E28" s="41" t="s">
        <v>153</v>
      </c>
      <c r="F28" s="40" t="str">
        <f t="shared" si="1"/>
        <v>CORRECT</v>
      </c>
      <c r="G28" s="40" t="s">
        <v>48</v>
      </c>
      <c r="H28" s="54" t="s">
        <v>48</v>
      </c>
      <c r="I28" s="43" t="s">
        <v>507</v>
      </c>
      <c r="J28" s="55"/>
    </row>
    <row r="29" ht="60.0" customHeight="1">
      <c r="A29" s="40">
        <v>26.0</v>
      </c>
      <c r="B29" s="41" t="s">
        <v>158</v>
      </c>
      <c r="C29" s="41" t="s">
        <v>159</v>
      </c>
      <c r="D29" s="41" t="s">
        <v>160</v>
      </c>
      <c r="E29" s="41" t="s">
        <v>161</v>
      </c>
      <c r="F29" s="40" t="str">
        <f t="shared" si="1"/>
        <v>WRONG</v>
      </c>
      <c r="G29" s="40" t="s">
        <v>36</v>
      </c>
      <c r="H29" s="54" t="s">
        <v>48</v>
      </c>
      <c r="I29" s="43" t="s">
        <v>508</v>
      </c>
      <c r="J29" s="55"/>
    </row>
    <row r="30" ht="60.0" customHeight="1">
      <c r="A30" s="40">
        <v>27.0</v>
      </c>
      <c r="B30" s="41" t="s">
        <v>163</v>
      </c>
      <c r="C30" s="41" t="s">
        <v>164</v>
      </c>
      <c r="D30" s="41" t="s">
        <v>165</v>
      </c>
      <c r="E30" s="41" t="s">
        <v>166</v>
      </c>
      <c r="F30" s="40" t="str">
        <f t="shared" si="1"/>
        <v>WRONG</v>
      </c>
      <c r="G30" s="40" t="s">
        <v>42</v>
      </c>
      <c r="H30" s="54" t="s">
        <v>377</v>
      </c>
      <c r="I30" s="43" t="s">
        <v>509</v>
      </c>
      <c r="J30" s="55"/>
    </row>
    <row r="31" ht="60.0" customHeight="1">
      <c r="A31" s="40">
        <v>28.0</v>
      </c>
      <c r="B31" s="41" t="s">
        <v>168</v>
      </c>
      <c r="C31" s="41" t="s">
        <v>169</v>
      </c>
      <c r="D31" s="41" t="s">
        <v>170</v>
      </c>
      <c r="E31" s="41" t="s">
        <v>171</v>
      </c>
      <c r="F31" s="40" t="str">
        <f t="shared" si="1"/>
        <v>CORRECT</v>
      </c>
      <c r="G31" s="40" t="s">
        <v>36</v>
      </c>
      <c r="H31" s="54" t="s">
        <v>36</v>
      </c>
      <c r="I31" s="43" t="s">
        <v>510</v>
      </c>
      <c r="J31" s="55"/>
    </row>
    <row r="32" ht="60.0" customHeight="1">
      <c r="A32" s="40">
        <v>29.0</v>
      </c>
      <c r="B32" s="41" t="s">
        <v>173</v>
      </c>
      <c r="C32" s="41" t="s">
        <v>174</v>
      </c>
      <c r="D32" s="41" t="s">
        <v>175</v>
      </c>
      <c r="E32" s="41" t="s">
        <v>176</v>
      </c>
      <c r="F32" s="40" t="str">
        <f t="shared" si="1"/>
        <v>WRONG</v>
      </c>
      <c r="G32" s="40" t="s">
        <v>42</v>
      </c>
      <c r="H32" s="54" t="s">
        <v>48</v>
      </c>
      <c r="I32" s="43" t="s">
        <v>511</v>
      </c>
      <c r="J32" s="55"/>
    </row>
    <row r="33" ht="60.0" customHeight="1">
      <c r="A33" s="40">
        <v>30.0</v>
      </c>
      <c r="B33" s="41" t="s">
        <v>178</v>
      </c>
      <c r="C33" s="41" t="s">
        <v>179</v>
      </c>
      <c r="D33" s="41" t="s">
        <v>180</v>
      </c>
      <c r="E33" s="41" t="s">
        <v>181</v>
      </c>
      <c r="F33" s="40" t="str">
        <f t="shared" si="1"/>
        <v>CORRECT</v>
      </c>
      <c r="G33" s="40" t="s">
        <v>48</v>
      </c>
      <c r="H33" s="54" t="s">
        <v>48</v>
      </c>
      <c r="I33" s="43" t="s">
        <v>512</v>
      </c>
      <c r="J33" s="55"/>
    </row>
    <row r="34" ht="60.0" customHeight="1">
      <c r="A34" s="40">
        <v>31.0</v>
      </c>
      <c r="B34" s="41" t="s">
        <v>183</v>
      </c>
      <c r="C34" s="41" t="s">
        <v>184</v>
      </c>
      <c r="D34" s="41" t="s">
        <v>185</v>
      </c>
      <c r="E34" s="41" t="s">
        <v>186</v>
      </c>
      <c r="F34" s="40" t="str">
        <f t="shared" si="1"/>
        <v>WRONG</v>
      </c>
      <c r="G34" s="40" t="s">
        <v>42</v>
      </c>
      <c r="H34" s="54" t="s">
        <v>36</v>
      </c>
      <c r="I34" s="43" t="s">
        <v>513</v>
      </c>
      <c r="J34" s="55"/>
    </row>
    <row r="35" ht="60.0" customHeight="1">
      <c r="A35" s="40">
        <v>32.0</v>
      </c>
      <c r="B35" s="41" t="s">
        <v>188</v>
      </c>
      <c r="C35" s="41" t="s">
        <v>189</v>
      </c>
      <c r="D35" s="41" t="s">
        <v>190</v>
      </c>
      <c r="E35" s="41" t="s">
        <v>191</v>
      </c>
      <c r="F35" s="40" t="str">
        <f t="shared" si="1"/>
        <v>CORRECT</v>
      </c>
      <c r="G35" s="40" t="s">
        <v>36</v>
      </c>
      <c r="H35" s="54" t="s">
        <v>36</v>
      </c>
      <c r="I35" s="43" t="s">
        <v>514</v>
      </c>
      <c r="J35" s="55"/>
    </row>
    <row r="36" ht="60.0" customHeight="1">
      <c r="A36" s="40">
        <v>33.0</v>
      </c>
      <c r="B36" s="41" t="s">
        <v>193</v>
      </c>
      <c r="C36" s="41" t="s">
        <v>194</v>
      </c>
      <c r="D36" s="41" t="s">
        <v>195</v>
      </c>
      <c r="E36" s="41" t="s">
        <v>196</v>
      </c>
      <c r="F36" s="40" t="str">
        <f t="shared" si="1"/>
        <v>WRONG</v>
      </c>
      <c r="G36" s="40" t="s">
        <v>48</v>
      </c>
      <c r="H36" s="54" t="s">
        <v>42</v>
      </c>
      <c r="I36" s="43" t="s">
        <v>515</v>
      </c>
      <c r="J36" s="55"/>
    </row>
    <row r="37" ht="60.0" customHeight="1">
      <c r="A37" s="40">
        <v>34.0</v>
      </c>
      <c r="B37" s="41" t="s">
        <v>198</v>
      </c>
      <c r="C37" s="41" t="s">
        <v>199</v>
      </c>
      <c r="D37" s="41" t="s">
        <v>200</v>
      </c>
      <c r="E37" s="41" t="s">
        <v>201</v>
      </c>
      <c r="F37" s="40" t="str">
        <f t="shared" si="1"/>
        <v>CORRECT</v>
      </c>
      <c r="G37" s="40" t="s">
        <v>36</v>
      </c>
      <c r="H37" s="54" t="s">
        <v>36</v>
      </c>
      <c r="I37" s="43" t="s">
        <v>516</v>
      </c>
      <c r="J37" s="55"/>
    </row>
    <row r="38" ht="60.0" customHeight="1">
      <c r="A38" s="40">
        <v>35.0</v>
      </c>
      <c r="B38" s="41" t="s">
        <v>203</v>
      </c>
      <c r="C38" s="41" t="s">
        <v>204</v>
      </c>
      <c r="D38" s="41" t="s">
        <v>205</v>
      </c>
      <c r="E38" s="41" t="s">
        <v>206</v>
      </c>
      <c r="F38" s="40" t="str">
        <f t="shared" si="1"/>
        <v>CORRECT</v>
      </c>
      <c r="G38" s="40" t="s">
        <v>48</v>
      </c>
      <c r="H38" s="54" t="s">
        <v>48</v>
      </c>
      <c r="I38" s="43" t="s">
        <v>517</v>
      </c>
      <c r="J38" s="55"/>
    </row>
    <row r="39" ht="60.0" customHeight="1">
      <c r="A39" s="40">
        <v>36.0</v>
      </c>
      <c r="B39" s="41" t="s">
        <v>208</v>
      </c>
      <c r="C39" s="41" t="s">
        <v>209</v>
      </c>
      <c r="D39" s="41" t="s">
        <v>210</v>
      </c>
      <c r="E39" s="41" t="s">
        <v>211</v>
      </c>
      <c r="F39" s="40" t="str">
        <f t="shared" si="1"/>
        <v>CORRECT</v>
      </c>
      <c r="G39" s="40" t="s">
        <v>36</v>
      </c>
      <c r="H39" s="54" t="s">
        <v>36</v>
      </c>
      <c r="I39" s="43" t="s">
        <v>469</v>
      </c>
      <c r="J39" s="55"/>
    </row>
    <row r="40" ht="60.0" customHeight="1">
      <c r="A40" s="40">
        <v>37.0</v>
      </c>
      <c r="B40" s="41" t="s">
        <v>213</v>
      </c>
      <c r="C40" s="41" t="s">
        <v>214</v>
      </c>
      <c r="D40" s="41" t="s">
        <v>215</v>
      </c>
      <c r="E40" s="41" t="s">
        <v>216</v>
      </c>
      <c r="F40" s="40" t="str">
        <f t="shared" si="1"/>
        <v>WRONG</v>
      </c>
      <c r="G40" s="40" t="s">
        <v>36</v>
      </c>
      <c r="H40" s="54" t="s">
        <v>42</v>
      </c>
      <c r="I40" s="43" t="s">
        <v>470</v>
      </c>
      <c r="J40" s="55"/>
    </row>
    <row r="41" ht="60.0" customHeight="1">
      <c r="A41" s="40">
        <v>38.0</v>
      </c>
      <c r="B41" s="41" t="s">
        <v>218</v>
      </c>
      <c r="C41" s="41" t="s">
        <v>219</v>
      </c>
      <c r="D41" s="41" t="s">
        <v>220</v>
      </c>
      <c r="E41" s="41" t="s">
        <v>221</v>
      </c>
      <c r="F41" s="40" t="str">
        <f t="shared" si="1"/>
        <v>CORRECT</v>
      </c>
      <c r="G41" s="40" t="s">
        <v>36</v>
      </c>
      <c r="H41" s="55" t="s">
        <v>36</v>
      </c>
      <c r="I41" s="43" t="s">
        <v>471</v>
      </c>
      <c r="J41" s="55"/>
    </row>
    <row r="42" ht="60.0" customHeight="1">
      <c r="A42" s="40">
        <v>39.0</v>
      </c>
      <c r="B42" s="41" t="s">
        <v>223</v>
      </c>
      <c r="C42" s="41" t="s">
        <v>224</v>
      </c>
      <c r="D42" s="41" t="s">
        <v>225</v>
      </c>
      <c r="E42" s="41" t="s">
        <v>226</v>
      </c>
      <c r="F42" s="40" t="str">
        <f t="shared" si="1"/>
        <v>WRONG</v>
      </c>
      <c r="G42" s="40" t="s">
        <v>42</v>
      </c>
      <c r="H42" s="54" t="s">
        <v>36</v>
      </c>
      <c r="I42" s="43" t="s">
        <v>472</v>
      </c>
      <c r="J42" s="55"/>
    </row>
    <row r="43" ht="60.0" customHeight="1">
      <c r="A43" s="40">
        <v>40.0</v>
      </c>
      <c r="B43" s="41" t="s">
        <v>228</v>
      </c>
      <c r="C43" s="41" t="s">
        <v>229</v>
      </c>
      <c r="D43" s="41" t="s">
        <v>230</v>
      </c>
      <c r="E43" s="41" t="s">
        <v>231</v>
      </c>
      <c r="F43" s="40" t="str">
        <f t="shared" si="1"/>
        <v>CORRECT</v>
      </c>
      <c r="G43" s="40" t="s">
        <v>48</v>
      </c>
      <c r="H43" s="54" t="s">
        <v>48</v>
      </c>
      <c r="I43" s="43" t="s">
        <v>473</v>
      </c>
      <c r="J43" s="55"/>
    </row>
    <row r="44" ht="60.0" customHeight="1">
      <c r="A44" s="40">
        <v>41.0</v>
      </c>
      <c r="B44" s="41" t="s">
        <v>233</v>
      </c>
      <c r="C44" s="41" t="s">
        <v>234</v>
      </c>
      <c r="D44" s="41" t="s">
        <v>235</v>
      </c>
      <c r="E44" s="41" t="s">
        <v>236</v>
      </c>
      <c r="F44" s="40" t="str">
        <f t="shared" si="1"/>
        <v>CORRECT</v>
      </c>
      <c r="G44" s="40" t="s">
        <v>42</v>
      </c>
      <c r="H44" s="54" t="s">
        <v>42</v>
      </c>
      <c r="I44" s="43" t="s">
        <v>474</v>
      </c>
      <c r="J44" s="55"/>
    </row>
    <row r="45" ht="60.0" customHeight="1">
      <c r="A45" s="40">
        <v>42.0</v>
      </c>
      <c r="B45" s="41" t="s">
        <v>238</v>
      </c>
      <c r="C45" s="41" t="s">
        <v>239</v>
      </c>
      <c r="D45" s="41" t="s">
        <v>240</v>
      </c>
      <c r="E45" s="41" t="s">
        <v>241</v>
      </c>
      <c r="F45" s="40" t="str">
        <f t="shared" si="1"/>
        <v>WRONG</v>
      </c>
      <c r="G45" s="40" t="s">
        <v>36</v>
      </c>
      <c r="H45" s="54" t="s">
        <v>42</v>
      </c>
      <c r="I45" s="43" t="s">
        <v>475</v>
      </c>
      <c r="J45" s="55"/>
    </row>
    <row r="46" ht="60.0" customHeight="1">
      <c r="A46" s="40">
        <v>43.0</v>
      </c>
      <c r="B46" s="41" t="s">
        <v>243</v>
      </c>
      <c r="C46" s="41" t="s">
        <v>244</v>
      </c>
      <c r="D46" s="41" t="s">
        <v>245</v>
      </c>
      <c r="E46" s="41" t="s">
        <v>246</v>
      </c>
      <c r="F46" s="40" t="str">
        <f t="shared" si="1"/>
        <v>WRONG</v>
      </c>
      <c r="G46" s="40" t="s">
        <v>48</v>
      </c>
      <c r="H46" s="54" t="s">
        <v>36</v>
      </c>
      <c r="I46" s="43" t="s">
        <v>476</v>
      </c>
      <c r="J46" s="55"/>
    </row>
    <row r="47" ht="60.0" customHeight="1">
      <c r="A47" s="40">
        <v>44.0</v>
      </c>
      <c r="B47" s="41" t="s">
        <v>248</v>
      </c>
      <c r="C47" s="41" t="s">
        <v>249</v>
      </c>
      <c r="D47" s="41" t="s">
        <v>250</v>
      </c>
      <c r="E47" s="41" t="s">
        <v>251</v>
      </c>
      <c r="F47" s="40" t="str">
        <f t="shared" si="1"/>
        <v>WRONG</v>
      </c>
      <c r="G47" s="40" t="s">
        <v>36</v>
      </c>
      <c r="H47" s="54" t="s">
        <v>48</v>
      </c>
      <c r="I47" s="43" t="s">
        <v>477</v>
      </c>
      <c r="J47" s="55"/>
    </row>
    <row r="48" ht="60.0" customHeight="1">
      <c r="A48" s="40">
        <v>45.0</v>
      </c>
      <c r="B48" s="41" t="s">
        <v>253</v>
      </c>
      <c r="C48" s="41" t="s">
        <v>254</v>
      </c>
      <c r="D48" s="41" t="s">
        <v>255</v>
      </c>
      <c r="E48" s="41" t="s">
        <v>256</v>
      </c>
      <c r="F48" s="40" t="str">
        <f t="shared" si="1"/>
        <v>CORRECT</v>
      </c>
      <c r="G48" s="40" t="s">
        <v>36</v>
      </c>
      <c r="H48" s="54" t="s">
        <v>36</v>
      </c>
      <c r="I48" s="43" t="s">
        <v>478</v>
      </c>
      <c r="J48" s="55"/>
    </row>
    <row r="49" ht="60.0" customHeight="1">
      <c r="A49" s="40">
        <v>46.0</v>
      </c>
      <c r="B49" s="41" t="s">
        <v>258</v>
      </c>
      <c r="C49" s="41" t="s">
        <v>39</v>
      </c>
      <c r="D49" s="41" t="s">
        <v>259</v>
      </c>
      <c r="E49" s="41" t="s">
        <v>260</v>
      </c>
      <c r="F49" s="40" t="str">
        <f t="shared" si="1"/>
        <v>CORRECT</v>
      </c>
      <c r="G49" s="40" t="s">
        <v>36</v>
      </c>
      <c r="H49" s="54" t="s">
        <v>36</v>
      </c>
      <c r="I49" s="56" t="s">
        <v>479</v>
      </c>
      <c r="J49" s="55"/>
    </row>
    <row r="50">
      <c r="A50" s="45" t="s">
        <v>262</v>
      </c>
      <c r="B50" s="2"/>
      <c r="C50" s="2"/>
      <c r="D50" s="2"/>
      <c r="E50" s="3"/>
      <c r="F50" s="46">
        <f>COUNTIFS(F4:F49,"CORRECT")</f>
        <v>27</v>
      </c>
      <c r="G50" s="47"/>
      <c r="H50" s="47"/>
      <c r="J50" s="48" t="str">
        <f>AVERAGE(J4:J49)</f>
        <v>#DIV/0!</v>
      </c>
    </row>
    <row r="51">
      <c r="A51" s="49" t="s">
        <v>263</v>
      </c>
      <c r="B51" s="2"/>
      <c r="C51" s="2"/>
      <c r="D51" s="2"/>
      <c r="E51" s="3"/>
      <c r="F51" s="50">
        <v>46.0</v>
      </c>
      <c r="G51" s="47"/>
      <c r="H51" s="47"/>
    </row>
    <row r="52">
      <c r="A52" s="45" t="s">
        <v>264</v>
      </c>
      <c r="B52" s="2"/>
      <c r="C52" s="2"/>
      <c r="D52" s="2"/>
      <c r="E52" s="3"/>
      <c r="F52" s="51">
        <f>F50/F51</f>
        <v>0.5869565217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