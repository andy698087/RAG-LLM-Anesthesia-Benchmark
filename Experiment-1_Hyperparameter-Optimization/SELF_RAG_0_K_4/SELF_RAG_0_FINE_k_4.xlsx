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<sst xmlns="http://schemas.openxmlformats.org/spreadsheetml/2006/main" count="3482" uniqueCount="362">
  <si>
    <t>SUMMARY RESULT BETWEEN TEST</t>
  </si>
  <si>
    <t>Temp</t>
  </si>
  <si>
    <t>Topp</t>
  </si>
  <si>
    <t>Parameters</t>
  </si>
  <si>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</si>
  <si>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</si>
  <si>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</si>
  <si>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</si>
  <si>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</si>
  <si>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</si>
  <si>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</si>
  <si>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</si>
  <si>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</si>
  <si>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</si>
  <si>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</si>
  <si>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</si>
  <si>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</si>
  <si>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</si>
  <si>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</si>
  <si>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</si>
  <si>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</si>
  <si>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</si>
  <si>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</si>
  <si>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</si>
  <si>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</si>
  <si>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</si>
  <si>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</si>
  <si>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</si>
  <si>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</si>
  <si>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</si>
  <si>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</si>
  <si>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</si>
  <si>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</si>
  <si>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</si>
  <si>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</si>
  <si>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</si>
  <si>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</si>
  <si>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innervates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</si>
  <si>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</si>
  <si>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</si>
  <si>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</si>
  <si>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</si>
  <si>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</si>
  <si>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suggests that the pain is likely due to spasm of the sphincter of Oddi. Naloxone is the most appropriate therapy for this patient's pain as it can reverse the effects of opioids and relieve the spasm."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</si>
  <si>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</si>
  <si>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</si>
  <si>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</si>
  <si>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</si>
  <si>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</si>
  <si>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replenish fluids and electrolytes. Additionally, normal saline can help to reduce the severity of symptoms such as nausea, vomiting, and constipation."</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</si>
  <si>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</si>
  <si>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</si>
  <si>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</si>
  <si>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</si>
  <si>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the most reliable test to predict the likelihood of a patient developing malignant hyperthermia, with the highest sensitivity and specificity, as stated in the text."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</si>
  <si>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</si>
  <si>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</si>
  <si>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</si>
  <si>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</si>
  <si>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can use the formula: concentration = (amount of anesthetic added / total gas flow) x 100. Substituting the values, we get: concentration = (100 mL/min / (100 mL/min + 5000 mL/min)) x 100 = 2%. However, the correct answer is 0.5%, which is the correct calculation: concentration = (150 mmHg / 1500 mmHg) x 2.5%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</si>
  <si>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</si>
  <si>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</si>
  <si>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</si>
  <si>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</si>
  <si>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as it helps to reduce heat loss by constricting blood vessels and conserving body heat."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</si>
  <si>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</si>
  <si>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</si>
  <si>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</si>
  <si>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</si>
  <si>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effects of midazolam, the patient may still be at risk of experiencing prolonged sedation and respiratory depression, making it necessary to remain hospitalized for observation."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</si>
  <si>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</si>
  <si>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</si>
  <si>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</si>
  <si>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</si>
  <si>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exerts the greatest effect on the extent of spread of local anesthetic following subarachnoid block with hyperbaric bupivacaine because a higher dose of bupivacaine will spread further down the spinal cord, whereas added epinephrine and patient position have a relatively smaller impact on the spread of the anesthetic."</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</si>
  <si>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</si>
  <si>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</si>
  <si>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</si>
  <si>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</si>
  <si>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which is a complication of postoperative laryngospasm. Furosemide is a diuretic that can help to reduce fluid overload and improve oxygenation. Therefore, administration of furosemide is the most appropriate management strategy in this situation." }No relevant document was found, therefore the answer is based solely on the model trained parameters!!!</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</si>
  <si>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</si>
  <si>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</si>
  <si>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</si>
  <si>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</si>
  <si>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suddenly develops sharp pain in the left shoulder, which is an unusual symptom for TURP syndrome. The patient also develops nausea and diaphoresis, which are not typical symptoms of angina pectoris. Therefore, the most likely cause is an inadequate spinal sensory level, which may not have provided adequate anesthesia to the left shoulder area."</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</si>
  <si>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</si>
  <si>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</si>
  <si>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</si>
  <si>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</si>
  <si>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decreases from 99% to 90% and the partial pressure of ETCO2 increases from 38 to 43 mmHg, which suggests a ventilation-perfusion mismatch. The Trendelenburg position and CO2 insufflation during laparoscopy may cause compression of the vena cava, leading to decreased venous return and decreased oxygen delivery to the body, resulting in decreased SpO2."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</si>
  <si>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</si>
  <si>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</si>
  <si>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</si>
  <si>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</si>
  <si>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the patient is receiving IV PCA with morphine, which can cause respiratory depression, and the patient has a history of obesity, which is also a risk factor for hypoventilation."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</si>
  <si>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</si>
  <si>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</si>
  <si>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</si>
  <si>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</si>
  <si>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as the ventilator senses the patient's inspiratory effort and provides additional pressure to assist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</si>
  <si>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</si>
  <si>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</si>
  <si>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</si>
  <si>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</si>
  <si>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accompanied by an increase in coronary perfusion pressure to ensure adequate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</si>
  <si>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</si>
  <si>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</si>
  <si>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</si>
  <si>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</si>
  <si>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test of liver synthetic function, as it measures the time it takes for a clot to form in the blood. A prolonged PT indicates impaired liver function, which is a sign of inadequate synthetic activity." }</t>
  </si>
  <si>
    <t>Which of the following strategies BEST prevents ventricular dysrhythmias in a patient undergoing extracorporeal shock wave lithotripsy?</t>
  </si>
  <si>
    <t>A. Beta-adrenergic blockade</t>
  </si>
  <si>
    <t>B. ECG synchronization</t>
  </si>
  <si>
    <t>C. Epidural blockade to T4</t>
  </si>
  <si>
    <t>{   "Answer": "B",   "Explain": "Beta-adrenergic blockade is not mentioned in the context, and epidural blockade to T4 is not relevant to preventing ventricular dysrhythmias. ECG synchronization is the best strategy to prevent ventricular dysrhythmias in a patient undergoing extracorporeal shock wave lithotripsy, as it helps to prevent arrhythmias caused by electrical discharges during the procedure."</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</si>
  <si>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</si>
  <si>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</si>
  <si>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</si>
  <si>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</si>
  <si>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has a coaxial design where fresh gas enters the circuit at the patient's end, reducing the amount of rebreathing and minimizing the risk of CO2 accumulation."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</si>
  <si>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</si>
  <si>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</si>
  <si>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</si>
  <si>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</si>
  <si>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can cause a shift of the diaphragm and reduce lung volume, leading to a decrease in tidal volume and a more gradual slope of the capnogram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</si>
  <si>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</si>
  <si>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</si>
  <si>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</si>
  <si>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</si>
  <si>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rash with penicillin administration, indicating a possible allergy, and cefazolin is a cephalosporin, which may cause cross-reactivity." }</t>
  </si>
  <si>
    <t>Which of the following factors DECREASES the MAC of isoflurane?</t>
  </si>
  <si>
    <t>A. Acute cocaine intoxication</t>
  </si>
  <si>
    <t>B. Chronic ethanol abuse</t>
  </si>
  <si>
    <t>C. Symptomatic hyponatremia</t>
  </si>
  <si>
    <t>{   "Answer": "B",   "Explain": "Chronic ethanol abuse decreases the MAC of isoflurane by increasing the activity of liver enzymes that metabolize isoflurane, leading to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</si>
  <si>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</si>
  <si>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</si>
  <si>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</si>
  <si>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</si>
  <si>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blocks the release of norepinephrine, a neurotransmitter that plays a crucial role in increasing heart rate and blood pressure, leading to a decrease in cardiovascular activity and a primary toxic effect on the cardiovascular system."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</si>
  <si>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</si>
  <si>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</si>
  <si>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</si>
  <si>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</si>
  <si>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allowing for more efficient unloading of oxygen in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</si>
  <si>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</si>
  <si>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</si>
  <si>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</si>
  <si>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</si>
  <si>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a decrease in cardiac output and blood pressure, which is reflected in a decrease in myocardial contractility." }</t>
  </si>
  <si>
    <t>Which of the following anesthetic drugs is MOST likely to be associated with longer seizure duration when used for electroconvulsive therapy?</t>
  </si>
  <si>
    <t>A. Etomidate</t>
  </si>
  <si>
    <t>B. Methohexital</t>
  </si>
  <si>
    <t>C. Propofol</t>
  </si>
  <si>
    <t>{   "Answer": "A",   "Explain": "Etomidate is more likely to be associated with longer seizure duration when used for electroconvulsive therapy because it is associated with longer seizures in response to ECT compared to methohexital or propofol." }</t>
  </si>
  <si>
    <t>Which of the following drugs does NOT cause enhanced activity of the GABA receptor?</t>
  </si>
  <si>
    <t>B. Ketamine</t>
  </si>
  <si>
    <t>{   "Answer": "A",   "Explain": "Etomidate does not enhance activity of the GABA receptor, unlike other options such as propofol and ketamine, which are known to potentiate GABA receptors." }</t>
  </si>
  <si>
    <t>Which of the following components is MISPLACED in the circle system shown in the above illustration?</t>
  </si>
  <si>
    <t>A. Fresh gas inlet</t>
  </si>
  <si>
    <t>B. CO2 absorber</t>
  </si>
  <si>
    <t>C. Expiratory valve</t>
  </si>
  <si>
    <t>{   "Answer": "C",   "Explain": "The expiratory valve is closed during the inspiratory phase, which is not shown in the illustration. In a classic circle breathing system, the expiratory valve is typically open during exhalation and closed during inhalation."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</si>
  <si>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</si>
  <si>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</si>
  <si>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</si>
  <si>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</si>
  <si>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low plasma protein binding, as the drug is not being bound to plasma proteins and is therefore able to distribute widely throughout the body." }</t>
  </si>
  <si>
    <t>Which of the following drugs has the LONGEST duration of action in a patient with renal failure?</t>
  </si>
  <si>
    <t>A. Neostigmine</t>
  </si>
  <si>
    <t>B. Rocuronium</t>
  </si>
  <si>
    <t>C. Succinylcholine</t>
  </si>
  <si>
    <t>{   "Answer": "B",   "Explain": "Rocuronium has the longest duration of action in patients with renal failure due to an increase in its elimination half-life, which is increased in renal failure due to an increase in the volume of distribution with no change in clearance."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</si>
  <si>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</si>
  <si>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</si>
  <si>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</si>
  <si>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</si>
  <si>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and vocal cords."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</si>
  <si>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</si>
  <si>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</si>
  <si>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</si>
  <si>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</si>
  <si>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is responsible for transmitting sensory information from the larynx and epiglottis to the brain, and is a key component of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</si>
  <si>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</si>
  <si>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</si>
  <si>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</si>
  <si>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</si>
  <si>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as it allows heat to flow from the core to the periphery, resulting in a rapid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</si>
  <si>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</si>
  <si>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</si>
  <si>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</si>
  <si>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</si>
  <si>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hypoxemia was caused by a decrease in functional residual capacity (FRC), leading to intrapulmonary shunting and decreased oxygenation."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</si>
  <si>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</si>
  <si>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</si>
  <si>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</si>
  <si>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</si>
  <si>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a high-level block of the brachial plexus. The musculocutaneous nerve is a branch of the brachial plexus and is responsible for innervating the forearm and hand. Therefore, an additional block of the musculocutaneous nerve would be the most appropriate next step to ensure adequate anesthesia for the procedure."</t>
  </si>
  <si>
    <t>Which of the following mechanisms is PRIMARILY responsible for emergence after a single dose of propofol?</t>
  </si>
  <si>
    <t>A. Redistribution</t>
  </si>
  <si>
    <t>B. Metabolism</t>
  </si>
  <si>
    <t>C. Excretion</t>
  </si>
  <si>
    <t>{   "Answer": "A",   "Explain": "Redistribution is primarily responsible for emergence after a single dose of propofol as it is a rapid process that occurs within minutes of cessation of anesthesia, allowing for a rapid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</si>
  <si>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</si>
  <si>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</si>
  <si>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</si>
  <si>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</si>
  <si>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"The O2 analyzer reading decreased from 50% to 30% over 30 minutes, which suggests that the O2 being delivered is not being accurately measured. This could be due to accumulation of water on the O2 sensor membrane, which would cause a decrease in the O2 reading. Therefore, the most likely cause of the decrease in O2 analyzer reading is the accumulation of water on the O2 sensor membrane." }No relevant document was found, therefore the answer is based solely on the model trained parameters!!!</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</si>
  <si>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</si>
  <si>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</si>
  <si>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</si>
  <si>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</si>
  <si>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</si>
  <si>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</si>
  <si>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</si>
  <si>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</si>
  <si>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</si>
  <si>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</si>
  <si>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</si>
  <si>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</si>
  <si>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</si>
  <si>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</si>
  <si>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as it represents the amount of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</si>
  <si>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</si>
  <si>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</si>
  <si>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</si>
  <si>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</si>
  <si>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 because carboxyhemoglobin has an absorbance of light that is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</si>
  <si>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</si>
  <si>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</si>
  <si>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</si>
  <si>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</si>
  <si>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initial fasting blood glucose level is 100 mg/dL, which is within the normal range. During the 4-hour general anesthetic, the patient's blood glucose level is likely to remain stable or slightly increase due to the anesthetic agents and the body's natural response to stress. Therefore, on emergence, the patient's blood glucose level is most likely to be mildly hyperglycemic."</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</si>
  <si>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</si>
  <si>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</si>
  <si>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</si>
  <si>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</si>
  <si>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the correct answer."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</si>
  <si>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</si>
  <si>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</si>
  <si>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</si>
  <si>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</si>
  <si>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"The lower blood gas solubility of nitrous oxide compared to desflurane allows for a more rapid equilibration of alveolar and inspired concentrations, as it is not as easily absorbed into the bloodstream, resulting in a faster rate of rise in alveolar concentration."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</si>
  <si>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</si>
  <si>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</si>
  <si>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</si>
  <si>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</si>
  <si>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"Preoxygenation prior to anesthetic induction is primarily to improve matching of ventilation and perfusion, as it increases the time period a patient can safely be apneic, allowing for a longer window to secure the airway and resume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</si>
  <si>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</si>
  <si>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</si>
  <si>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</si>
  <si>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</si>
  <si>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unilateral recurrent laryngeal nerve injury. This injury often goes unnoticed because of compensatory overadduction of the uninvolved cord, but it can cause hoarseness, whereas aphonia characterizes bilateral nerve injury."</t>
  </si>
  <si>
    <t>Which of the following values, in mmHg, is the expected mixed venous O2 tension in a normal adult after breathing 100% O2 for 10 minutes?</t>
  </si>
  <si>
    <t>A. 45</t>
  </si>
  <si>
    <t>B. 95</t>
  </si>
  <si>
    <t>C. 150</t>
  </si>
  <si>
    <t>{   "Answer": "A",   "Explain": "Mixed venous oxygen saturation is usually 70-75%. After breathing 100% O2 for 10 minutes, the mixed venous O2 tension is expected to be around 45 mmHg, which is lower than the normal range. This is because the increased oxygen in the lungs reduces the amount of oxygen extracted from the blood, resulting in a lower mixed venous O2 tension." }</t>
  </si>
  <si>
    <t>Which of the following drugs has the SHORTEST elimination half-life?</t>
  </si>
  <si>
    <t>B. Lorazepam</t>
  </si>
  <si>
    <t>C. Midazolam</t>
  </si>
  <si>
    <t>{   "Answer": "A",   "Explain": "According to the provided context, flumazenil has a very rapid clearance and short elimination half-life,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</si>
  <si>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</si>
  <si>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</si>
  <si>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</si>
  <si>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</si>
  <si>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</si>
  <si>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 }</t>
  </si>
  <si>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of the sphincter of Oddi." }</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</si>
  <si>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}No relevant document was found, therefore the answer is based solely on the model trained parameters!!!</t>
  </si>
  <si>
    <t>{   "Answer": "C",   "Explain": "The caffeine-halothane contracture test is the most reliable test to predict the likelihood of a patient developing malignant hyperthermia, with the highest sensitivity and specificity." }</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</si>
  <si>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need to convert the volume of anesthetic vapor to milliliters and then divide it by the total volume of the mixture. 100 mL/min of anesthetic vapor is added to 5 L/min of fresh gas, which is equal to 5000 mL/min. The concentration is then 100 mL/min ÷ 5000 mL/min = 0.02 or 0.5%." }</t>
  </si>
  <si>
    <t>{   "Answer": "C",   "Explain": "Vasoconstriction is the most effective mechanism for maintaining body temperature in this patient because it reduces heat loss by convection and radiation, allowing the body to conserve heat and maintain its temperature." }</t>
  </si>
  <si>
    <t>{   "Answer": "A",   "Explain": "Flumazenil has low affinity for benzodiazepine receptors, which means it does not bind strongly to the receptors, allowing the patient to remain sedated and potentially experience rebound sedation and respiratory suppression if not monitored closely." }</t>
  </si>
  <si>
    <t>{   "Answer": "C",   "Explain": "The total dose of drug exerts the greatest effect on the extent of spread of local anesthetic following subarachnoid block with hyperbaric bupivacaine because it directly influences the amount of anesthetic solution that spreads throughout the cerebrospinal fluid, with higher doses resulting in a greater spread." }</t>
  </si>
  <si>
    <t>{   "Answer": "B",   "Explain": "The patient is experiencing pulmonary edema, which is worsened by excessive fluids. Therefore, fluid boluses should be avoided, and diuretic therapy with furosemide is the most appropriate management to reduce fluid overload and improve oxygenation." }</t>
  </si>
  <si>
    <t>{   "Answer": "C",   "Explain": "The patient developed symptoms 45 minutes after the start of the procedure, which is a relatively late onset. The symptoms include nausea, diaphoresis, and sharp pain in the left shoulder, which are not typical of angina pectoris or bladder perforation. Therefore, the most likely cause is inadequate spinal sensory level, which may not have provided adequate anesthesia for the patient's symptoms." }</t>
  </si>
  <si>
    <t>{   "Answer": "B",   "Explain": "The patient is in the Trendelenburg position with CO2 insufflation, which can cause compression of the vena cava, leading to a decrease in SpO2. The increase in ETCO2 from 38 to 43 mmHg suggests that the insufflation is not the primary cause of the decrease in SpO2, as it would likely increase ETCO2 further. Therefore, compression of the vena cava is the most likely cause of the decrease in SpO2." }</t>
  </si>
  <si>
    <t>{   "Answer": "B",   "Explain": "The patient's SpO2 is 90% on room air, indicating mild hypoxemia. The most likely cause of this is hypoventilation, as mentioned in the context, which can lead to an increase in arterial partial pressure of carbon dioxide (PaCO2) and subsequent hypoxemia." }</t>
  </si>
  <si>
    <t>{   "Answer": "B",   "Explain": "During anesthesia induction, the increased heart rate from 60 bpm to 120 bpm increases myocardial oxygen demand. To satisfy this increased demand, the most likely factor to increase is increased coronary perfusion pressure, which would allow for more oxygen-rich blood to reach the myocardium." }</t>
  </si>
  <si>
    <t>{   "Answer": "B",   "Explain": "Prothrombin time (PT) is a test that measures the time it takes for a blood clot to form, which is an indicator of liver synthetic function. The liver produces clotting factors, and a prolonged PT indicates impaired liver synthetic function." }</t>
  </si>
  <si>
    <t>{   "Answer": "B",   "Explain": "ECG synchronization is the best strategy to prevent ventricular dysrhythmias in a patient undergoing extracorporeal shock wave lithotripsy, as it ensures that the shock waves are delivered in sync with the patient's heart rhythm, reducing the risk of arrhythmias." }</t>
  </si>
  <si>
    <t>{   "Answer": "A",   "Explain": "Compared to a semiclosed circle system, a Bain circuit exhibits less rebreathing of CO2 because the fresh gas enters the circuit at the patient's end, rather than at the reservoir bag, which reduces the amount of rebreathing that occurs." }</t>
  </si>
  <si>
    <t>{   "Answer": "B",   "Explain": "The anesthesiologist should administer hydrocortisone, followed by cefazolin, as the patient has a history of rash with penicillin administration, indicating a possible allergy, and cefazolin is a cephalosporin, which may cause cross-reactivity."</t>
  </si>
  <si>
    <t>{   "Answer": "B",   "Explain": "Chronic ethanol abuse decreases the MAC of isoflurane by increasing the activity of liver enzymes that metabolize isoflurane, leading to a faster elimination of the anesthetic from the body." }</t>
  </si>
  <si>
    <t>{   "Answer": "A",   "Explain": "Bupivacaine blocks the release of norepinephrine, a neurotransmitter that plays a crucial role in regulating blood pressure and heart rate, leading to a decrease in blood pressure and cardiac output." }</t>
  </si>
  <si>
    <t>{   "Answer": "C",   "Explain": "During the initial hour after induction of anesthesia, the patient's core temperature decreases rapidly due to redistribution of body heat from the core to peripheral tissues as a result of anesthesia-induced vasodilation, leading to a characteristic three-phase pattern of hypothermia." }</t>
  </si>
  <si>
    <t>{   "Answer": "A",   "Explain": "Redistribution is primarily responsible for emergence after a single dose of propofol as it is a rapid process that occurs within minutes, allowing for a rapid decrease in plasma levels and subsequent recovery from anesthesia." }</t>
  </si>
  <si>
    <t>{   "Answer": "A",   "Explain": "The standard error of the mean shows the precision of the population mean, as it measures the amount of uncertainty associated with the sample mean as an estimate of the population mean." }</t>
  </si>
  <si>
    <t>{   "Answer": "B",   "Explain": "On emergence from anesthesia, the patient's blood glucose level is likely to be mildly elevated due to the anesthetic agents and the patient's normal response to fasting. The fasting blood glucose level of 100 mg/dL is already slightly elevated, and the 4-hour general anesthetic will likely cause a further increase in glucose levels." }</t>
  </si>
  <si>
    <t>{   "Answer": "B",   "Explain": "A 32-year-old woman sustains an injury to the left recurrent laryngeal nerve during thyroidectomy, which is likely to cause aphonia, as the nerve damage affects the function of the vocal cord, leading to a loss of voice."</t>
  </si>
  <si>
    <t>{   "Answer": "A",   "Explain": "After breathing 100% O2 for 10 minutes, the mixed venous O2 tension is expected to be around 45 mmHg, as the increased oxygen levels in the lungs lead to increased oxygen extraction by the tissues, resulting in a decrease in mixed venous O2 tension."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</si>
  <si>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</si>
  <si>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</si>
  <si>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t>
  </si>
  <si>
    <t>{   "Answer": "B",   "Explain": "To calculate the delivered anesthetic concentration, we need to calculate the output of anesthetic vapor from the vaporizer. The output is 100 mL/min O2 x 150 mmHg = 25 mL/min. This is then mixed with the fresh gas flow of 5000 mL/min, resulting in a concentration of 25 mL/min / 5000 mL/min = 0.5%."</t>
  </si>
  <si>
    <t>{   "Answer": "C",   "Explain": "The patient developed symptoms 45 minutes after the start of the procedure, which is a relatively late onset. The symptoms include nausea, diaphoresis, and sharp pain in the left shoulder, which are not typical of angina pectoris or bladder perforation. Therefore, the most likely cause is inadequate spinal sensory level, which may not have provided adequate anesthesia for the patient's entire body, leading to awareness and discomfort." }</t>
  </si>
  <si>
    <t>{   "Answer": "B",   "Explain": "The prothrombin time (PT) is a laboratory test that measures the time it takes for the blood to clot, which is a function of the liver's synthetic activity. A normal PT result indicates that the liver is producing adequate amounts of clotting factors, confirming synthetic hepatic function." }</t>
  </si>
  <si>
    <t>{   "Answer": "A",   "Explain": "Beta-adrenergic blockade is the best strategy to prevent ventricular dysrhythmias in a patient undergoing extracorporeal shock wave lithotripsy because it minimizes the risk of life-threatening ventricular dysrhythmia and cardiac arrest in patients with a history of sympathetic nervous system stimulation."</t>
  </si>
  <si>
    <t>{   "Answer": "C",   "Explain": "The patient is in the lateral position, which can cause a shift of the diaphragm and reduce lung volume, leading to a decrease in tidal volume and a more gradual slope of the capnogram between points A and B." }</t>
  </si>
  <si>
    <t>{   "Answer": "B",   "Explain": "“Administer hydrocortisone, followed by cefazolin” is the most appropriate action because the patient has a history of a rash with penicillin administration, indicating a possible allergy. Therefore, it is necessary to administer hydrocortisone to counteract any potential allergic reaction, followed by cefazolin if the patient does not exhibit any adverse reactions."</t>
  </si>
  <si>
    <t>{   "Answer": "A",   "Explain": "Bupivacaine blocks the release of norepinephrine, leading to a decrease in peripheral resistance and a subsequent decrease in blood pressure." }</t>
  </si>
  <si>
    <t>{   "Answer": "C",   "Explain": "Hyperthermia causes a rightward shift in the oxyhemoglobin dissociation curve, which means that for the same partial pressure of oxygen, more oxygen is released from hemoglobin to the tissues." }</t>
  </si>
  <si>
    <t>{   "Answer": "B",   "Explain": "Myocardial contractility is decreased in patients with clinical hypothyroidism due to the decreased levels of thyroid hormones, which play a crucial role in regulating cardiac function." }</t>
  </si>
  <si>
    <t>{   "Answer": "C",   "Explain": "The expiratory valve is closed during the inspiratory phase, which is not shown in the illustration. In a classic circle breathing system, the expiratory valve is typically closed during inspiration and opens during exhalation to allow the patient to exhale CO2-rich gas." }</t>
  </si>
  <si>
    <t>{   "Answer": "C",   "Explain": "A large volume of distribution is typically associated with a low plasma protein binding, as the drug is not being extensively bound to plasma proteins, allowing it to distribute widely throughout the body." }</t>
  </si>
  <si>
    <t>{   "Answer": "C",   "Explain": "Instillation of local anesthetic into the trachea via the cricothyroid membrane is MOST likely to block the Recurrent Laryngeal nerve, which is located in the trachea and supplies sensation to the larynx and trachea."</t>
  </si>
  <si>
    <t>{   "Answer": "A",   "Explain": "Gagging that occurs during awake intubation is best prevented by local anesthetic block of the superior laryngeal nerve, which supplies sensory innervation to the larynx and is responsible for the gag reflex." }</t>
  </si>
  <si>
    <t>{   "Answer": "C",   "Explain": "During the initial hour after induction of anesthesia, the patient's core temperature decreases rapidly by 1-1.5°C due to redistribution from the core to peripheral tissues from anesthesia-induced vasodilation, resulting in a core-to-peripheral redistribution of body heat." }</t>
  </si>
  <si>
    <t>{   "Answer": "A",   "Explain": "Redistribution is primarily responsible for emergence after a single dose of propofol because it allows the drug to redistribute from the brain to other tissues, leading to a rapid recovery from anesthesia." }</t>
  </si>
  <si>
    <t>{   "Answer": "A",   "Explain": "The standard error of the mean shows the precision of the population mean, as it measures the amount of variation in the sample means around the population mean, providing an estimate of how close the sample mean is likely to be to the population mean." }</t>
  </si>
  <si>
    <t>{   "Answer": "A",   "Explain": "After breathing 100% O2 for 10 minutes, the mixed venous O2 tension is expected to be 45 mmHg, as the body's oxygen consumption is met and there is no need for increased extraction, resulting in a normal mixed venous O2 saturation."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</si>
  <si>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</si>
  <si>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</si>
  <si>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</si>
  <si>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"Prothrombin time (PT) is a test that measures the liver's ability to synthesize clotting factors, specifically factor VII, which has a short half-life. As a result, PT is a sensitive indicator of acute changes in liver synthetic function, making it the most likely laboratory value to confirm adequate synthetic hepatic function." }</t>
  </si>
  <si>
    <t>{   "Answer": "B",   "Explain": "B. ECG synchronization is the best strategy to prevent ventricular dysrhythmias in a patient undergoing extracorporeal shock wave lithotripsy, as it helps to minimize the risk of arrhythmias caused by the stimulation of the heart by the shock waves." }</t>
  </si>
  <si>
    <t>{   "Answer": "A",   "Explain": "Ablation of thermoregulatory vasoconstriction is the most likely explanation for the initial reduction in core temperature during general anesthesia, as it leads to a rapid redistribution of heat from the core to the periphery." }</t>
  </si>
  <si>
    <t>{   "Answer": "A",   "Explain": "After a single dose of propofol, emergence is primarily due to redistribution, which is the process by which the drug is redistributed from the brain and other tissues to the bloodstream, leading to a decrease in its concentration and a subsequent decrease in its effects." }</t>
  </si>
  <si>
    <t>{   "Answer": "A",   "Explain": "The standard error of the mean shows the precision of the population mean, as it represents the amount of variation in the sample means that would be expected if the sampling were repeated many times."</t>
  </si>
  <si>
    <t>{   "Answer": "A",   "Explain": "After breathing 100% O2 for 10 minutes, the mixed venous O2 tension is expected to be around 45 mmHg, which is lower than the normal range of 30-40 mmHg due to the increased oxygen consumption and extraction from the tissues."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</si>
  <si>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</si>
  <si>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</si>
  <si>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"Prothrombin time (PT) is a test that assesses the liver's synthetic function, specifically the production of clotting factors. It is a more sensitive indicator of liver synthetic function than albumin, which has a longer half-life and is more useful in assessing chronic liver failure. PT is useful in assessing both acute and chronic liver failure, making it the most likely laboratory value to confirm adequate synthetic hepatic function."</t>
  </si>
  <si>
    <t>{   "Answer": "A",   "Explain": "Ablation of thermoregulatory vasoconstriction is the most likely explanation for the initial reduction in core temperature during general anesthesia, as it allows for heat to be redistributed from the core to the periphery, leading to a decrease in core temperature." }</t>
  </si>
  <si>
    <t>{   "Answer": "A",   "Explain": "After breathing 100% O2 for 10 minutes, the mixed venous O2 tension is expected to be 45 mmHg, as the oxygen consumption (Vo2) is reduced, and the cardiac output (CO) is increased, resulting in a decrease in the mixed venous O2 saturation (Svo2)."</t>
  </si>
  <si>
    <t>{   "Answer": "A",   "Explain": "Flumazenil has a very rapid clearance and short elimination half-life compared to other benzodiazepine receptor agonists, making it the shortest-lived compound among the options."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</si>
  <si>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</si>
  <si>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</si>
  <si>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such as muscle weakness, fatigue, and cardiac arrhythmias." }No relevant document was found, therefore the answer is based solely on the model trained parameters!!!</t>
  </si>
  <si>
    <t>{   "Answer": "B",   "Explain": "To find the delivered anesthetic concentration, we need to calculate the amount of anesthetic vapor in the mixture. The oxygen flow is 100 mL/min, and the vapor pressure of the anesthetic is 150 mmHg. The fresh gas flow is 5 L/min. We can calculate the amount of anesthetic vapor as 100 mL/min x 150 mmHg / 750 mmHg, which is approximately 25 mL/min. This is then added to the fresh gas flow of 5 L/min, resulting in a total flow of 5000 mL/min. The anesthetic concentration is then 25 mL/min / 5000 mL/min, which is 0.5%."</t>
  </si>
  <si>
    <t>{   "Answer": "C",   "Explain": "The total dose of drug exerts the greatest effect on the extent of spread of local anesthetic following subarachnoid block with hyperbaric bupivacaine because a higher dose of bupivacaine will spread further down the spinal cord, whereas added epinephrine and patient position have a relatively smaller impact on the spread of the anesthetic." }</t>
  </si>
  <si>
    <t>{   "Answer": "B",   "Explain": "The patient is in the Trendelenburg position with CO2 insufflation, which can cause compression of the vena cava, leading to a decrease in SpO2. The increase in ETCO2 from 38 to 43 mmHg suggests that the patient is not adequately ventilated, which is not the most likely cause of the decrease in SpO2. Therefore, compression of the vena cava is the most likely cause of the decrease in SpO2." }</t>
  </si>
  <si>
    <t>{   "Answer": "B",   "Explain": "Prothrombin time (PT) is a test that assesses liver synthetic function, specifically the production of clotting factors by the liver. A prolonged PT indicates impaired liver function, making it a useful test to confirm adequate synthetic hepatic function." }</t>
  </si>
  <si>
    <t>{   "Answer": "B",   "Explain": "Synchronization of the lithotripsy machine with the patient's ECG to minimize the risk of ventricular dysrhythmias is the best strategy to prevent them in patients undergoing extracorporeal shock wave lithotripsy." }</t>
  </si>
  <si>
    <t>{   "Answer": "A",   "Explain": "Ablation of thermoregulatory vasoconstriction is the most likely explanation for the initial reduction in core temperature during general anesthesia, as anesthetics inhibit the tonic vasoconstriction that normally helps to retain heat in the core, allowing heat to redistribute to the periphery." }</t>
  </si>
  <si>
    <t>{   "Answer": "A",   "Explain": "After breathing 100% O2 for 10 minutes, the mixed venous O2 tension is expected to be around 45 mmHg, as the increased oxygen delivery from the high FiO2 would lead to a decrease in the extraction of oxygen by tissues, resulting in a higher mixed venous O2 tension."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</si>
  <si>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</si>
  <si>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</si>
  <si>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find the delivered anesthetic concentration, we need to calculate the amount of anesthetic added to the fresh gas stream. The vaporizer adds 100 mL/min of anesthetic vapor to the oxygen flow, which is then mixed with the 5 L/min fresh gas flow. The anesthetic vapor pressure is 150 mmHg. To find the delivered concentration, we can use the formula: delivered concentration = (amount of anesthetic added / total gas flow) x 100. Substituting the values, we get: delivered concentration = (100 mL/min / (100 mL/min + 5000 mL/min)) x 100 = 2%. However, the correct answer is 0.5%, which is option B." }</t>
  </si>
  <si>
    <t>{   "Answer": "B",   "Explain": "The patient is experiencing pulmonary edema, which is worsened by excessive fluids. Therefore, fluid boluses should be avoided, and diuresis with furosemide is the most appropriate management strategy to reduce fluid overload and improve oxygenation." }</t>
  </si>
  <si>
    <t>{   "Answer": "B",   "Explain": "Prothrombin time (PT) is a test that measures the liver's ability to synthesize clotting factors, which is an important aspect of synthetic hepatic function. A normal PT result indicates that the liver is functioning adequately in this regard." }</t>
  </si>
  <si>
    <t>{   "Answer": "A",   "Explain": "Beta-adrenergic blockade is the best strategy to prevent ventricular dysrhythmias in a patient undergoing extracorporeal shock wave lithotripsy because it minimizes the risk of life-threatening ventricular dysrhythmia and cardiac arrest in patients with sympathetic nervous system stimulation." }</t>
  </si>
  <si>
    <t>{   "Answer": "B",   "Explain": "“Administer hydrocortisone, followed by cefazolin” is the most appropriate action because the patient has a history of a rash with penicillin administration, indicating a possible allergy. Hydrocortisone is often used to treat allergic reactions, and administering it first followed by cefazolin can help mitigate any potential allergic response to the antibiotic."</t>
  </si>
  <si>
    <t>{   "Answer": "A",   "Explain": "Bupivacaine blocks the release of norepinephrine, a neurotransmitter that plays a crucial role in increasing heart rate and blood pressure, leading to a decrease in blood pressure and cardiac output." }</t>
  </si>
  <si>
    <t>{   "Answer": "C",   "Explain": "The initial reduction in core temperature during general anesthesia is primarily due to redistribution of heat from the core to cooler peripheral tissues with anesthesia-induced vasodilation." }</t>
  </si>
  <si>
    <t>{   "Answer": "A",   "Explain": "The standard error of the mean shows the precision of the population mean, as it indicates how close the sample mean is likely to be to the population mean. It's calculated by dividing the standard deviation of the sample by the square root of the sample size, and a smaller SEM suggests a more reliable estimate of the population mean."</t>
  </si>
  <si>
    <t>{   "Answer": "A",   "Explain": "After breathing 100% O2 for 10 minutes, the mixed venous O2 tension is expected to be 45 mmHg, as the body's oxygen consumption (Vo2) is reduced, and the oxygen delivery (DO2) is increased, resulting in a decrease in the mixed venous O2 saturation."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</si>
  <si>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</si>
  <si>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</si>
  <si>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"To find the delivered anesthetic concentration, we need to calculate the volume of anesthetic gas in the mixture. The vaporizer output is 100 mL/min, and the fresh gas flow is 5 L/min. The anesthetic vapor pressure is 150 mmHg. We can calculate the volume of anesthetic gas as 100 mL/min x 150 mmHg = 25 mL/min. Then, we can calculate the delivered anesthetic concentration as 25 mL/min / 5000 mL/min FGF = 0.5%."</t>
  </si>
  <si>
    <t>{   "Answer": "B",   "Explain": "The prothrombin time (PT) is a test that measures the liver's ability to synthesize clotting factors, specifically factor VII, which has a short half-life. An acute decrease in hepatic synthetic function will quickly reflect in worsening PT/INR values, making it a sensitive indicator of adequate synthetic hepatic function." }</t>
  </si>
  <si>
    <t>{   "Answer": "B",   "Explain": "B. ECG synchronization is the best strategy to prevent ventricular dysrhythmias in a patient undergoing extracorporeal shock wave lithotripsy, as it helps to minimize the risk of arrhythmias by synchronizing the shock waves with the patient's ECG, thereby reducing the risk of cardiac stimulation." }</t>
  </si>
  <si>
    <t>{   "Answer": "A",   "Explain": "Anesthetics inhibit the tonic vasoconstriction, which normally helps to conserve heat in the core, leading to an initial rapid reduction in core temperature after induction of anesthesia." }</t>
  </si>
  <si>
    <t>{   "Answer": "A",   "Explain": "Redistribution is primarily responsible for emergence after a single dose of propofol as it is a rapid onset and short-acting anesthetic agent that redistributes from the brain to other tissues, leading to a decrease in its concentration in the brain and a subsequent decrease in its anesthetic effects." }</t>
  </si>
  <si>
    <t>{   "Answer": "A",   "Explain": "After breathing 100% O2 for 10 minutes, the mixed venous O2 tension is expected to be 45 mmHg because the body has increased oxygen extraction to meet tissue oxygen needs, resulting in a decrease in mixed venous O2 saturation."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</si>
  <si>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</si>
  <si>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</si>
  <si>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"As almost all of the clotting factors in the body are produced in the liver, prothrombin time (PT) is a useful test to measure hepatic synthetic function. The short half-life of clotting factors means that an acute decrease in hepatic synthetic function will be quickly reflected in worsening PT/INR values, making it a sensitive indicator of liver synthetic function." }</t>
  </si>
  <si>
    <t>{   "Answer": "A",   "Explain": "Beta-adrenergic blockade is the best strategy to prevent ventricular dysrhythmias in a patient undergoing extracorporeal shock wave lithotripsy as it minimizes the risk of life-threatening ventricular dysrhythmia and cardiac arrest in patients with sympathetic nervous system stimulation." }</t>
  </si>
  <si>
    <t>{   "Answer": "A",   "Explain": "Ablation of thermoregulatory vasoconstriction is the most likely explanation for the initial reduction in core temperature during general anesthesia, as it prevents the normal core-to-peripheral temperature gradient from reestablishing, allowing heat to escape from the core to the periphery." }</t>
  </si>
  <si>
    <t>{   "Answer": "A",   "Explain": "After breathing 100% O2 for 10 minutes, the mixed venous O2 tension is expected to be 45 mmHg because the increased oxygen delivery to the tissues will lead to increased extraction, resulting in a lower mixed venous O2 saturation."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</si>
</sst>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Arial"/>
    </font>
    <font>
      <sz val="10.0"/>
      <color theme="1"/>
      <name val="&quot;Liberation Sans&quot;"/>
    </font>
    <font>
      <sz val="11.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26</v>
      </c>
      <c r="D5" s="14">
        <f t="shared" si="1"/>
        <v>25</v>
      </c>
      <c r="E5" s="14">
        <f t="shared" si="1"/>
        <v>25</v>
      </c>
      <c r="F5" s="14">
        <f t="shared" si="1"/>
        <v>24</v>
      </c>
      <c r="G5" s="14">
        <f t="shared" si="1"/>
        <v>25</v>
      </c>
      <c r="H5" s="14">
        <f t="shared" si="1"/>
        <v>25</v>
      </c>
      <c r="I5" s="14">
        <f t="shared" si="1"/>
        <v>25</v>
      </c>
      <c r="J5" s="14">
        <f t="shared" si="1"/>
        <v>24</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6">
        <f t="shared" si="2"/>
        <v>0.5652173913</v>
      </c>
      <c r="D7" s="17">
        <f t="shared" si="2"/>
        <v>0.5434782609</v>
      </c>
      <c r="E7" s="17">
        <f t="shared" si="2"/>
        <v>0.5434782609</v>
      </c>
      <c r="F7" s="17">
        <f t="shared" si="2"/>
        <v>0.5217391304</v>
      </c>
      <c r="G7" s="17">
        <f t="shared" si="2"/>
        <v>0.5434782609</v>
      </c>
      <c r="H7" s="17">
        <f t="shared" si="2"/>
        <v>0.5434782609</v>
      </c>
      <c r="I7" s="17">
        <f t="shared" si="2"/>
        <v>0.5434782609</v>
      </c>
      <c r="J7" s="17">
        <f t="shared" si="2"/>
        <v>0.5217391304</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17</v>
      </c>
      <c r="C15" s="21" t="s">
        <v>17</v>
      </c>
      <c r="D15" s="25" t="s">
        <v>17</v>
      </c>
      <c r="E15" s="26" t="s">
        <v>17</v>
      </c>
      <c r="F15" s="26" t="s">
        <v>17</v>
      </c>
      <c r="G15" s="26" t="s">
        <v>17</v>
      </c>
      <c r="H15" s="27" t="s">
        <v>17</v>
      </c>
      <c r="I15" s="26" t="s">
        <v>17</v>
      </c>
      <c r="J15" s="26" t="s">
        <v>17</v>
      </c>
    </row>
    <row r="16">
      <c r="A16" s="19">
        <v>9.0</v>
      </c>
      <c r="B16" s="20" t="s">
        <v>17</v>
      </c>
      <c r="C16" s="21" t="s">
        <v>17</v>
      </c>
      <c r="D16" s="25" t="s">
        <v>17</v>
      </c>
      <c r="E16" s="26" t="s">
        <v>17</v>
      </c>
      <c r="F16" s="26" t="s">
        <v>17</v>
      </c>
      <c r="G16" s="26" t="s">
        <v>17</v>
      </c>
      <c r="H16" s="27" t="s">
        <v>17</v>
      </c>
      <c r="I16" s="26" t="s">
        <v>17</v>
      </c>
      <c r="J16" s="26" t="s">
        <v>17</v>
      </c>
    </row>
    <row r="17">
      <c r="A17" s="19">
        <v>10.0</v>
      </c>
      <c r="B17" s="20" t="s">
        <v>17</v>
      </c>
      <c r="C17" s="21" t="s">
        <v>17</v>
      </c>
      <c r="D17" s="25" t="s">
        <v>17</v>
      </c>
      <c r="E17" s="26" t="s">
        <v>17</v>
      </c>
      <c r="F17" s="26" t="s">
        <v>17</v>
      </c>
      <c r="G17" s="26" t="s">
        <v>17</v>
      </c>
      <c r="H17" s="27" t="s">
        <v>17</v>
      </c>
      <c r="I17" s="26" t="s">
        <v>17</v>
      </c>
      <c r="J17" s="26" t="s">
        <v>17</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17</v>
      </c>
      <c r="E23" s="26" t="s">
        <v>16</v>
      </c>
      <c r="F23" s="26" t="s">
        <v>17</v>
      </c>
      <c r="G23" s="26" t="s">
        <v>16</v>
      </c>
      <c r="H23" s="27" t="s">
        <v>17</v>
      </c>
      <c r="I23" s="26" t="s">
        <v>16</v>
      </c>
      <c r="J23" s="26" t="s">
        <v>17</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16</v>
      </c>
      <c r="D38" s="25" t="s">
        <v>16</v>
      </c>
      <c r="E38" s="26" t="s">
        <v>17</v>
      </c>
      <c r="F38" s="26" t="s">
        <v>17</v>
      </c>
      <c r="G38" s="26" t="s">
        <v>17</v>
      </c>
      <c r="H38" s="27" t="s">
        <v>16</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16</v>
      </c>
      <c r="E47" s="26" t="s">
        <v>16</v>
      </c>
      <c r="F47" s="26" t="s">
        <v>16</v>
      </c>
      <c r="G47" s="26" t="s">
        <v>16</v>
      </c>
      <c r="H47" s="27" t="s">
        <v>16</v>
      </c>
      <c r="I47" s="26" t="s">
        <v>16</v>
      </c>
      <c r="J47" s="26" t="s">
        <v>16</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17</v>
      </c>
      <c r="C50" s="21" t="s">
        <v>17</v>
      </c>
      <c r="D50" s="25" t="s">
        <v>17</v>
      </c>
      <c r="E50" s="26" t="s">
        <v>17</v>
      </c>
      <c r="F50" s="26" t="s">
        <v>17</v>
      </c>
      <c r="G50" s="26" t="s">
        <v>17</v>
      </c>
      <c r="H50" s="27" t="s">
        <v>17</v>
      </c>
      <c r="I50" s="26" t="s">
        <v>17</v>
      </c>
      <c r="J50" s="26" t="s">
        <v>17</v>
      </c>
    </row>
    <row r="51">
      <c r="A51" s="19">
        <v>44.0</v>
      </c>
      <c r="B51" s="20" t="s">
        <v>17</v>
      </c>
      <c r="C51" s="21" t="s">
        <v>17</v>
      </c>
      <c r="D51" s="25" t="s">
        <v>17</v>
      </c>
      <c r="E51" s="26" t="s">
        <v>17</v>
      </c>
      <c r="F51" s="26" t="s">
        <v>17</v>
      </c>
      <c r="G51" s="26" t="s">
        <v>17</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5" t="s">
        <v>48</v>
      </c>
      <c r="I6" s="43" t="s">
        <v>49</v>
      </c>
      <c r="J6" s="44"/>
    </row>
    <row r="7" ht="60.0" customHeight="1">
      <c r="A7" s="40">
        <v>4.0</v>
      </c>
      <c r="B7" s="41" t="s">
        <v>50</v>
      </c>
      <c r="C7" s="41" t="s">
        <v>51</v>
      </c>
      <c r="D7" s="41" t="s">
        <v>52</v>
      </c>
      <c r="E7" s="41" t="s">
        <v>53</v>
      </c>
      <c r="F7" s="40" t="str">
        <f t="shared" si="1"/>
        <v>CORRECT</v>
      </c>
      <c r="G7" s="40" t="s">
        <v>42</v>
      </c>
      <c r="H7" s="44" t="s">
        <v>42</v>
      </c>
      <c r="I7" s="43" t="s">
        <v>54</v>
      </c>
      <c r="J7" s="44"/>
    </row>
    <row r="8" ht="60.0" customHeight="1">
      <c r="A8" s="40">
        <v>5.0</v>
      </c>
      <c r="B8" s="41" t="s">
        <v>55</v>
      </c>
      <c r="C8" s="41" t="s">
        <v>56</v>
      </c>
      <c r="D8" s="41" t="s">
        <v>57</v>
      </c>
      <c r="E8" s="41" t="s">
        <v>58</v>
      </c>
      <c r="F8" s="40" t="str">
        <f t="shared" si="1"/>
        <v>CORRECT</v>
      </c>
      <c r="G8" s="40" t="s">
        <v>48</v>
      </c>
      <c r="H8" s="45" t="s">
        <v>48</v>
      </c>
      <c r="I8" s="43" t="s">
        <v>59</v>
      </c>
      <c r="J8" s="44"/>
    </row>
    <row r="9" ht="60.0" customHeight="1">
      <c r="A9" s="40">
        <v>6.0</v>
      </c>
      <c r="B9" s="41" t="s">
        <v>60</v>
      </c>
      <c r="C9" s="41" t="s">
        <v>61</v>
      </c>
      <c r="D9" s="41" t="s">
        <v>62</v>
      </c>
      <c r="E9" s="41" t="s">
        <v>63</v>
      </c>
      <c r="F9" s="40" t="str">
        <f t="shared" si="1"/>
        <v>CORRECT</v>
      </c>
      <c r="G9" s="40" t="s">
        <v>42</v>
      </c>
      <c r="H9" s="44" t="s">
        <v>42</v>
      </c>
      <c r="I9" s="43" t="s">
        <v>64</v>
      </c>
      <c r="J9" s="44"/>
    </row>
    <row r="10" ht="60.0" customHeight="1">
      <c r="A10" s="40">
        <v>7.0</v>
      </c>
      <c r="B10" s="41" t="s">
        <v>65</v>
      </c>
      <c r="C10" s="41" t="s">
        <v>66</v>
      </c>
      <c r="D10" s="41" t="s">
        <v>67</v>
      </c>
      <c r="E10" s="41" t="s">
        <v>68</v>
      </c>
      <c r="F10" s="40" t="str">
        <f t="shared" si="1"/>
        <v>CORRECT</v>
      </c>
      <c r="G10" s="40" t="s">
        <v>42</v>
      </c>
      <c r="H10" s="44" t="s">
        <v>42</v>
      </c>
      <c r="I10" s="43" t="s">
        <v>69</v>
      </c>
      <c r="J10" s="44"/>
    </row>
    <row r="11" ht="60.0" customHeight="1">
      <c r="A11" s="40">
        <v>8.0</v>
      </c>
      <c r="B11" s="41" t="s">
        <v>70</v>
      </c>
      <c r="C11" s="41" t="s">
        <v>71</v>
      </c>
      <c r="D11" s="41" t="s">
        <v>72</v>
      </c>
      <c r="E11" s="41" t="s">
        <v>73</v>
      </c>
      <c r="F11" s="40" t="str">
        <f t="shared" si="1"/>
        <v>WRONG</v>
      </c>
      <c r="G11" s="40" t="s">
        <v>48</v>
      </c>
      <c r="H11" s="42" t="s">
        <v>42</v>
      </c>
      <c r="I11" s="43" t="s">
        <v>74</v>
      </c>
      <c r="J11" s="44"/>
    </row>
    <row r="12" ht="60.0" customHeight="1">
      <c r="A12" s="40">
        <v>9.0</v>
      </c>
      <c r="B12" s="41" t="s">
        <v>75</v>
      </c>
      <c r="C12" s="41" t="s">
        <v>76</v>
      </c>
      <c r="D12" s="41" t="s">
        <v>77</v>
      </c>
      <c r="E12" s="41" t="s">
        <v>78</v>
      </c>
      <c r="F12" s="40" t="str">
        <f t="shared" si="1"/>
        <v>WRONG</v>
      </c>
      <c r="G12" s="40" t="s">
        <v>42</v>
      </c>
      <c r="H12" s="42" t="s">
        <v>48</v>
      </c>
      <c r="I12" s="43" t="s">
        <v>79</v>
      </c>
      <c r="J12" s="44"/>
    </row>
    <row r="13" ht="60.0" customHeight="1">
      <c r="A13" s="40">
        <v>10.0</v>
      </c>
      <c r="B13" s="41" t="s">
        <v>80</v>
      </c>
      <c r="C13" s="41" t="s">
        <v>81</v>
      </c>
      <c r="D13" s="41" t="s">
        <v>82</v>
      </c>
      <c r="E13" s="41" t="s">
        <v>83</v>
      </c>
      <c r="F13" s="40" t="str">
        <f t="shared" si="1"/>
        <v>WRONG</v>
      </c>
      <c r="G13" s="40" t="s">
        <v>48</v>
      </c>
      <c r="H13" s="42" t="s">
        <v>42</v>
      </c>
      <c r="I13" s="43" t="s">
        <v>84</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2" t="s">
        <v>48</v>
      </c>
      <c r="I15" s="43" t="s">
        <v>94</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2"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129</v>
      </c>
      <c r="J22" s="44"/>
    </row>
    <row r="23" ht="60.0" customHeight="1">
      <c r="A23" s="40">
        <v>20.0</v>
      </c>
      <c r="B23" s="41" t="s">
        <v>130</v>
      </c>
      <c r="C23" s="41" t="s">
        <v>131</v>
      </c>
      <c r="D23" s="41" t="s">
        <v>132</v>
      </c>
      <c r="E23" s="41" t="s">
        <v>133</v>
      </c>
      <c r="F23" s="40" t="str">
        <f t="shared" si="1"/>
        <v>WRONG</v>
      </c>
      <c r="G23" s="40" t="s">
        <v>42</v>
      </c>
      <c r="H23" s="44" t="s">
        <v>48</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2"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2"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26</v>
      </c>
      <c r="G50" s="48"/>
      <c r="H50" s="48"/>
      <c r="J50" s="49" t="str">
        <f>AVERAGE(J4:J49)</f>
        <v>#DIV/0!</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276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280</v>
      </c>
      <c r="J18" s="44"/>
    </row>
    <row r="19" ht="60.0" customHeight="1">
      <c r="A19" s="40">
        <v>16.0</v>
      </c>
      <c r="B19" s="41" t="s">
        <v>110</v>
      </c>
      <c r="C19" s="41" t="s">
        <v>111</v>
      </c>
      <c r="D19" s="41" t="s">
        <v>112</v>
      </c>
      <c r="E19" s="41" t="s">
        <v>113</v>
      </c>
      <c r="F19" s="40" t="str">
        <f t="shared" si="1"/>
        <v>CORRECT</v>
      </c>
      <c r="G19" s="40" t="s">
        <v>48</v>
      </c>
      <c r="H19" s="44" t="s">
        <v>48</v>
      </c>
      <c r="I19" s="43" t="s">
        <v>281</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283</v>
      </c>
      <c r="J22" s="44"/>
    </row>
    <row r="23" ht="60.0" customHeight="1">
      <c r="A23" s="40">
        <v>20.0</v>
      </c>
      <c r="B23" s="41" t="s">
        <v>130</v>
      </c>
      <c r="C23" s="41" t="s">
        <v>131</v>
      </c>
      <c r="D23" s="41" t="s">
        <v>132</v>
      </c>
      <c r="E23" s="41" t="s">
        <v>133</v>
      </c>
      <c r="F23" s="40" t="str">
        <f t="shared" si="1"/>
        <v>WRONG</v>
      </c>
      <c r="G23" s="40" t="s">
        <v>42</v>
      </c>
      <c r="H23" s="44" t="s">
        <v>48</v>
      </c>
      <c r="I23" s="43" t="s">
        <v>284</v>
      </c>
      <c r="J23" s="44"/>
    </row>
    <row r="24" ht="60.0" customHeight="1">
      <c r="A24" s="40">
        <v>21.0</v>
      </c>
      <c r="B24" s="41" t="s">
        <v>135</v>
      </c>
      <c r="C24" s="41" t="s">
        <v>136</v>
      </c>
      <c r="D24" s="41" t="s">
        <v>137</v>
      </c>
      <c r="E24" s="41" t="s">
        <v>138</v>
      </c>
      <c r="F24" s="40" t="str">
        <f t="shared" si="1"/>
        <v>WRONG</v>
      </c>
      <c r="G24" s="40" t="s">
        <v>42</v>
      </c>
      <c r="H24" s="44" t="s">
        <v>36</v>
      </c>
      <c r="I24" s="43" t="s">
        <v>285</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CORRECT</v>
      </c>
      <c r="G34" s="40" t="s">
        <v>42</v>
      </c>
      <c r="H34" s="42" t="s">
        <v>42</v>
      </c>
      <c r="I34" s="43" t="s">
        <v>286</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287</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288</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289</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290</v>
      </c>
      <c r="J47" s="44"/>
    </row>
    <row r="48" ht="60.0" customHeight="1">
      <c r="A48" s="40">
        <v>45.0</v>
      </c>
      <c r="B48" s="41" t="s">
        <v>253</v>
      </c>
      <c r="C48" s="41" t="s">
        <v>254</v>
      </c>
      <c r="D48" s="41" t="s">
        <v>255</v>
      </c>
      <c r="E48" s="41" t="s">
        <v>256</v>
      </c>
      <c r="F48" s="40" t="str">
        <f t="shared" si="1"/>
        <v>CORRECT</v>
      </c>
      <c r="G48" s="40" t="s">
        <v>36</v>
      </c>
      <c r="H48" s="44" t="s">
        <v>36</v>
      </c>
      <c r="I48" s="43" t="s">
        <v>291</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26</v>
      </c>
      <c r="G50" s="48"/>
      <c r="H50" s="48"/>
      <c r="J50" s="49" t="str">
        <f>AVERAGE(J4:J49)</f>
        <v>#DIV/0!</v>
      </c>
    </row>
    <row r="51">
      <c r="A51" s="50" t="s">
        <v>263</v>
      </c>
      <c r="B51" s="2"/>
      <c r="C51" s="2"/>
      <c r="D51" s="2"/>
      <c r="E51" s="3"/>
      <c r="F51" s="51">
        <v>46.0</v>
      </c>
      <c r="G51" s="48"/>
      <c r="H51" s="48"/>
    </row>
    <row r="52">
      <c r="A52" s="46" t="s">
        <v>264</v>
      </c>
      <c r="B52" s="2"/>
      <c r="C52" s="2"/>
      <c r="D52" s="2"/>
      <c r="E52" s="3"/>
      <c r="F52" s="52">
        <f>F50/F51</f>
        <v>0.5652173913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292</v>
      </c>
      <c r="C2" s="2"/>
      <c r="D2" s="2"/>
      <c r="E2" s="2"/>
      <c r="F2" s="2"/>
      <c r="G2" s="2"/>
      <c r="H2" s="3"/>
      <c r="I2" s="38" t="s">
        <v>293</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294</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295</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4"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296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297</v>
      </c>
      <c r="J18" s="44"/>
    </row>
    <row r="19" ht="60.0" customHeight="1">
      <c r="A19" s="40">
        <v>16.0</v>
      </c>
      <c r="B19" s="41" t="s">
        <v>110</v>
      </c>
      <c r="C19" s="41" t="s">
        <v>111</v>
      </c>
      <c r="D19" s="41" t="s">
        <v>112</v>
      </c>
      <c r="E19" s="41" t="s">
        <v>113</v>
      </c>
      <c r="F19" s="40" t="str">
        <f t="shared" si="1"/>
        <v>WRONG</v>
      </c>
      <c r="G19" s="40" t="s">
        <v>48</v>
      </c>
      <c r="H19" s="42" t="s">
        <v>36</v>
      </c>
      <c r="I19" s="43" t="s">
        <v>298</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299</v>
      </c>
      <c r="J21" s="44"/>
    </row>
    <row r="22" ht="60.0" customHeight="1">
      <c r="A22" s="40">
        <v>19.0</v>
      </c>
      <c r="B22" s="41" t="s">
        <v>125</v>
      </c>
      <c r="C22" s="41" t="s">
        <v>126</v>
      </c>
      <c r="D22" s="41" t="s">
        <v>127</v>
      </c>
      <c r="E22" s="41" t="s">
        <v>128</v>
      </c>
      <c r="F22" s="40" t="str">
        <f t="shared" si="1"/>
        <v>WRONG</v>
      </c>
      <c r="G22" s="40" t="s">
        <v>36</v>
      </c>
      <c r="H22" s="42" t="s">
        <v>48</v>
      </c>
      <c r="I22" s="43" t="s">
        <v>300</v>
      </c>
      <c r="J22" s="44"/>
    </row>
    <row r="23" ht="60.0" customHeight="1">
      <c r="A23" s="40">
        <v>20.0</v>
      </c>
      <c r="B23" s="41" t="s">
        <v>130</v>
      </c>
      <c r="C23" s="41" t="s">
        <v>131</v>
      </c>
      <c r="D23" s="41" t="s">
        <v>132</v>
      </c>
      <c r="E23" s="41" t="s">
        <v>133</v>
      </c>
      <c r="F23" s="40" t="str">
        <f t="shared" si="1"/>
        <v>WRONG</v>
      </c>
      <c r="G23" s="40" t="s">
        <v>42</v>
      </c>
      <c r="H23" s="44" t="s">
        <v>48</v>
      </c>
      <c r="I23" s="43" t="s">
        <v>134</v>
      </c>
      <c r="J23" s="44"/>
    </row>
    <row r="24" ht="60.0" customHeight="1">
      <c r="A24" s="40">
        <v>21.0</v>
      </c>
      <c r="B24" s="41" t="s">
        <v>135</v>
      </c>
      <c r="C24" s="41" t="s">
        <v>136</v>
      </c>
      <c r="D24" s="41" t="s">
        <v>137</v>
      </c>
      <c r="E24" s="41" t="s">
        <v>138</v>
      </c>
      <c r="F24" s="40" t="str">
        <f t="shared" si="1"/>
        <v>WRONG</v>
      </c>
      <c r="G24" s="40" t="s">
        <v>42</v>
      </c>
      <c r="H24" s="44" t="s">
        <v>36</v>
      </c>
      <c r="I24" s="43" t="s">
        <v>301</v>
      </c>
      <c r="J24" s="44"/>
    </row>
    <row r="25" ht="60.0" customHeight="1">
      <c r="A25" s="40">
        <v>22.0</v>
      </c>
      <c r="B25" s="41" t="s">
        <v>140</v>
      </c>
      <c r="C25" s="41" t="s">
        <v>141</v>
      </c>
      <c r="D25" s="41" t="s">
        <v>142</v>
      </c>
      <c r="E25" s="41" t="s">
        <v>143</v>
      </c>
      <c r="F25" s="40" t="str">
        <f t="shared" si="1"/>
        <v>CORRECT</v>
      </c>
      <c r="G25" s="40" t="s">
        <v>42</v>
      </c>
      <c r="H25" s="44" t="s">
        <v>42</v>
      </c>
      <c r="I25" s="43" t="s">
        <v>302</v>
      </c>
      <c r="J25" s="44"/>
    </row>
    <row r="26" ht="60.0" customHeight="1">
      <c r="A26" s="40">
        <v>23.0</v>
      </c>
      <c r="B26" s="41" t="s">
        <v>145</v>
      </c>
      <c r="C26" s="41" t="s">
        <v>146</v>
      </c>
      <c r="D26" s="41" t="s">
        <v>147</v>
      </c>
      <c r="E26" s="41" t="s">
        <v>148</v>
      </c>
      <c r="F26" s="40" t="str">
        <f t="shared" si="1"/>
        <v>CORRECT</v>
      </c>
      <c r="G26" s="40" t="s">
        <v>48</v>
      </c>
      <c r="H26" s="44" t="s">
        <v>48</v>
      </c>
      <c r="I26" s="43" t="s">
        <v>303</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304</v>
      </c>
      <c r="J29" s="44"/>
    </row>
    <row r="30" ht="60.0" customHeight="1">
      <c r="A30" s="40">
        <v>27.0</v>
      </c>
      <c r="B30" s="41" t="s">
        <v>163</v>
      </c>
      <c r="C30" s="41" t="s">
        <v>164</v>
      </c>
      <c r="D30" s="41" t="s">
        <v>165</v>
      </c>
      <c r="E30" s="41" t="s">
        <v>166</v>
      </c>
      <c r="F30" s="40" t="str">
        <f t="shared" si="1"/>
        <v>CORRECT</v>
      </c>
      <c r="G30" s="40" t="s">
        <v>42</v>
      </c>
      <c r="H30" s="44" t="s">
        <v>42</v>
      </c>
      <c r="I30" s="43" t="s">
        <v>305</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306</v>
      </c>
      <c r="J32" s="44"/>
    </row>
    <row r="33" ht="60.0" customHeight="1">
      <c r="A33" s="40">
        <v>30.0</v>
      </c>
      <c r="B33" s="41" t="s">
        <v>178</v>
      </c>
      <c r="C33" s="41" t="s">
        <v>179</v>
      </c>
      <c r="D33" s="41" t="s">
        <v>180</v>
      </c>
      <c r="E33" s="41" t="s">
        <v>181</v>
      </c>
      <c r="F33" s="40" t="str">
        <f t="shared" si="1"/>
        <v>WRONG</v>
      </c>
      <c r="G33" s="40" t="s">
        <v>48</v>
      </c>
      <c r="H33" s="44" t="s">
        <v>36</v>
      </c>
      <c r="I33" s="43" t="s">
        <v>307</v>
      </c>
      <c r="J33" s="44"/>
    </row>
    <row r="34" ht="60.0" customHeight="1">
      <c r="A34" s="40">
        <v>31.0</v>
      </c>
      <c r="B34" s="41" t="s">
        <v>183</v>
      </c>
      <c r="C34" s="41" t="s">
        <v>184</v>
      </c>
      <c r="D34" s="41" t="s">
        <v>185</v>
      </c>
      <c r="E34" s="41" t="s">
        <v>186</v>
      </c>
      <c r="F34" s="40" t="str">
        <f t="shared" si="1"/>
        <v>CORRECT</v>
      </c>
      <c r="G34" s="40" t="s">
        <v>42</v>
      </c>
      <c r="H34" s="42" t="s">
        <v>42</v>
      </c>
      <c r="I34" s="43" t="s">
        <v>308</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309</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310</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311</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25</v>
      </c>
      <c r="G50" s="48"/>
      <c r="H50" s="48"/>
      <c r="J50" s="49" t="str">
        <f>AVERAGE(J4:J49)</f>
        <v>#DIV/0!</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312</v>
      </c>
      <c r="C2" s="2"/>
      <c r="D2" s="2"/>
      <c r="E2" s="2"/>
      <c r="F2" s="2"/>
      <c r="G2" s="2"/>
      <c r="H2" s="3"/>
      <c r="I2" s="38" t="s">
        <v>313</v>
      </c>
      <c r="J2" s="3"/>
      <c r="K2" s="35"/>
      <c r="L2" s="35"/>
      <c r="M2" s="35"/>
      <c r="N2" s="54" t="s">
        <v>314</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276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315</v>
      </c>
      <c r="J18" s="44"/>
    </row>
    <row r="19" ht="60.0" customHeight="1">
      <c r="A19" s="40">
        <v>16.0</v>
      </c>
      <c r="B19" s="41" t="s">
        <v>110</v>
      </c>
      <c r="C19" s="41" t="s">
        <v>111</v>
      </c>
      <c r="D19" s="41" t="s">
        <v>112</v>
      </c>
      <c r="E19" s="41" t="s">
        <v>113</v>
      </c>
      <c r="F19" s="40" t="str">
        <f t="shared" si="1"/>
        <v>CORRECT</v>
      </c>
      <c r="G19" s="40" t="s">
        <v>48</v>
      </c>
      <c r="H19" s="44" t="s">
        <v>48</v>
      </c>
      <c r="I19" s="43" t="s">
        <v>316</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283</v>
      </c>
      <c r="J22" s="44"/>
    </row>
    <row r="23" ht="60.0" customHeight="1">
      <c r="A23" s="40">
        <v>20.0</v>
      </c>
      <c r="B23" s="41" t="s">
        <v>130</v>
      </c>
      <c r="C23" s="41" t="s">
        <v>131</v>
      </c>
      <c r="D23" s="41" t="s">
        <v>132</v>
      </c>
      <c r="E23" s="41" t="s">
        <v>133</v>
      </c>
      <c r="F23" s="40" t="str">
        <f t="shared" si="1"/>
        <v>WRONG</v>
      </c>
      <c r="G23" s="40" t="s">
        <v>42</v>
      </c>
      <c r="H23" s="44" t="s">
        <v>48</v>
      </c>
      <c r="I23" s="43" t="s">
        <v>284</v>
      </c>
      <c r="J23" s="44"/>
    </row>
    <row r="24" ht="60.0" customHeight="1">
      <c r="A24" s="40">
        <v>21.0</v>
      </c>
      <c r="B24" s="41" t="s">
        <v>135</v>
      </c>
      <c r="C24" s="41" t="s">
        <v>136</v>
      </c>
      <c r="D24" s="41" t="s">
        <v>137</v>
      </c>
      <c r="E24" s="41" t="s">
        <v>138</v>
      </c>
      <c r="F24" s="40" t="str">
        <f t="shared" si="1"/>
        <v>WRONG</v>
      </c>
      <c r="G24" s="40" t="s">
        <v>42</v>
      </c>
      <c r="H24" s="44" t="s">
        <v>36</v>
      </c>
      <c r="I24" s="43" t="s">
        <v>285</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317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318</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319</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320</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25</v>
      </c>
      <c r="G50" s="48"/>
      <c r="H50" s="48"/>
      <c r="J50" s="49" t="str">
        <f>AVERAGE(J4:J49)</f>
        <v>#DIV/0!</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321</v>
      </c>
      <c r="C2" s="2"/>
      <c r="D2" s="2"/>
      <c r="E2" s="2"/>
      <c r="F2" s="2"/>
      <c r="G2" s="2"/>
      <c r="H2" s="3"/>
      <c r="I2" s="38" t="s">
        <v>322</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4"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296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323</v>
      </c>
      <c r="J18" s="44"/>
    </row>
    <row r="19" ht="60.0" customHeight="1">
      <c r="A19" s="40">
        <v>16.0</v>
      </c>
      <c r="B19" s="41" t="s">
        <v>110</v>
      </c>
      <c r="C19" s="41" t="s">
        <v>111</v>
      </c>
      <c r="D19" s="41" t="s">
        <v>112</v>
      </c>
      <c r="E19" s="41" t="s">
        <v>113</v>
      </c>
      <c r="F19" s="40" t="str">
        <f t="shared" si="1"/>
        <v>WRONG</v>
      </c>
      <c r="G19" s="40" t="s">
        <v>48</v>
      </c>
      <c r="H19" s="42" t="s">
        <v>36</v>
      </c>
      <c r="I19" s="43" t="s">
        <v>298</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299</v>
      </c>
      <c r="J21" s="44"/>
    </row>
    <row r="22" ht="60.0" customHeight="1">
      <c r="A22" s="40">
        <v>19.0</v>
      </c>
      <c r="B22" s="41" t="s">
        <v>125</v>
      </c>
      <c r="C22" s="41" t="s">
        <v>126</v>
      </c>
      <c r="D22" s="41" t="s">
        <v>127</v>
      </c>
      <c r="E22" s="41" t="s">
        <v>128</v>
      </c>
      <c r="F22" s="40" t="str">
        <f t="shared" si="1"/>
        <v>WRONG</v>
      </c>
      <c r="G22" s="40" t="s">
        <v>36</v>
      </c>
      <c r="H22" s="42" t="s">
        <v>48</v>
      </c>
      <c r="I22" s="43" t="s">
        <v>300</v>
      </c>
      <c r="J22" s="44"/>
    </row>
    <row r="23" ht="60.0" customHeight="1">
      <c r="A23" s="40">
        <v>20.0</v>
      </c>
      <c r="B23" s="41" t="s">
        <v>130</v>
      </c>
      <c r="C23" s="41" t="s">
        <v>131</v>
      </c>
      <c r="D23" s="41" t="s">
        <v>132</v>
      </c>
      <c r="E23" s="41" t="s">
        <v>133</v>
      </c>
      <c r="F23" s="40" t="str">
        <f t="shared" si="1"/>
        <v>WRONG</v>
      </c>
      <c r="G23" s="40" t="s">
        <v>42</v>
      </c>
      <c r="H23" s="44" t="s">
        <v>48</v>
      </c>
      <c r="I23" s="43" t="s">
        <v>134</v>
      </c>
      <c r="J23" s="44"/>
    </row>
    <row r="24" ht="60.0" customHeight="1">
      <c r="A24" s="40">
        <v>21.0</v>
      </c>
      <c r="B24" s="41" t="s">
        <v>135</v>
      </c>
      <c r="C24" s="41" t="s">
        <v>136</v>
      </c>
      <c r="D24" s="41" t="s">
        <v>137</v>
      </c>
      <c r="E24" s="41" t="s">
        <v>138</v>
      </c>
      <c r="F24" s="40" t="str">
        <f t="shared" si="1"/>
        <v>WRONG</v>
      </c>
      <c r="G24" s="40" t="s">
        <v>42</v>
      </c>
      <c r="H24" s="44" t="s">
        <v>36</v>
      </c>
      <c r="I24" s="43" t="s">
        <v>301</v>
      </c>
      <c r="J24" s="44"/>
    </row>
    <row r="25" ht="60.0" customHeight="1">
      <c r="A25" s="40">
        <v>22.0</v>
      </c>
      <c r="B25" s="41" t="s">
        <v>140</v>
      </c>
      <c r="C25" s="41" t="s">
        <v>141</v>
      </c>
      <c r="D25" s="41" t="s">
        <v>142</v>
      </c>
      <c r="E25" s="41" t="s">
        <v>143</v>
      </c>
      <c r="F25" s="40" t="str">
        <f t="shared" si="1"/>
        <v>CORRECT</v>
      </c>
      <c r="G25" s="40" t="s">
        <v>42</v>
      </c>
      <c r="H25" s="44" t="s">
        <v>42</v>
      </c>
      <c r="I25" s="43" t="s">
        <v>302</v>
      </c>
      <c r="J25" s="44"/>
    </row>
    <row r="26" ht="60.0" customHeight="1">
      <c r="A26" s="40">
        <v>23.0</v>
      </c>
      <c r="B26" s="41" t="s">
        <v>145</v>
      </c>
      <c r="C26" s="41" t="s">
        <v>146</v>
      </c>
      <c r="D26" s="41" t="s">
        <v>147</v>
      </c>
      <c r="E26" s="41" t="s">
        <v>148</v>
      </c>
      <c r="F26" s="40" t="str">
        <f t="shared" si="1"/>
        <v>CORRECT</v>
      </c>
      <c r="G26" s="40" t="s">
        <v>48</v>
      </c>
      <c r="H26" s="44" t="s">
        <v>48</v>
      </c>
      <c r="I26" s="43" t="s">
        <v>303</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304</v>
      </c>
      <c r="J29" s="44"/>
    </row>
    <row r="30" ht="60.0" customHeight="1">
      <c r="A30" s="40">
        <v>27.0</v>
      </c>
      <c r="B30" s="41" t="s">
        <v>163</v>
      </c>
      <c r="C30" s="41" t="s">
        <v>164</v>
      </c>
      <c r="D30" s="41" t="s">
        <v>165</v>
      </c>
      <c r="E30" s="41" t="s">
        <v>166</v>
      </c>
      <c r="F30" s="40" t="str">
        <f t="shared" si="1"/>
        <v>CORRECT</v>
      </c>
      <c r="G30" s="40" t="s">
        <v>42</v>
      </c>
      <c r="H30" s="44" t="s">
        <v>42</v>
      </c>
      <c r="I30" s="43" t="s">
        <v>305</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306</v>
      </c>
      <c r="J32" s="44"/>
    </row>
    <row r="33" ht="60.0" customHeight="1">
      <c r="A33" s="40">
        <v>30.0</v>
      </c>
      <c r="B33" s="41" t="s">
        <v>178</v>
      </c>
      <c r="C33" s="41" t="s">
        <v>179</v>
      </c>
      <c r="D33" s="41" t="s">
        <v>180</v>
      </c>
      <c r="E33" s="41" t="s">
        <v>181</v>
      </c>
      <c r="F33" s="40" t="str">
        <f t="shared" si="1"/>
        <v>WRONG</v>
      </c>
      <c r="G33" s="40" t="s">
        <v>48</v>
      </c>
      <c r="H33" s="44" t="s">
        <v>36</v>
      </c>
      <c r="I33" s="43" t="s">
        <v>307</v>
      </c>
      <c r="J33" s="44"/>
    </row>
    <row r="34" ht="60.0" customHeight="1">
      <c r="A34" s="40">
        <v>31.0</v>
      </c>
      <c r="B34" s="41" t="s">
        <v>183</v>
      </c>
      <c r="C34" s="41" t="s">
        <v>184</v>
      </c>
      <c r="D34" s="41" t="s">
        <v>185</v>
      </c>
      <c r="E34" s="41" t="s">
        <v>186</v>
      </c>
      <c r="F34" s="40" t="str">
        <f t="shared" si="1"/>
        <v>WRONG</v>
      </c>
      <c r="G34" s="40" t="s">
        <v>42</v>
      </c>
      <c r="H34" s="42" t="s">
        <v>36</v>
      </c>
      <c r="I34" s="43" t="s">
        <v>324</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309</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319</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2" t="s">
        <v>36</v>
      </c>
      <c r="I48" s="43" t="s">
        <v>325</v>
      </c>
      <c r="J48" s="44"/>
    </row>
    <row r="49" ht="60.0" customHeight="1">
      <c r="A49" s="40">
        <v>46.0</v>
      </c>
      <c r="B49" s="41" t="s">
        <v>258</v>
      </c>
      <c r="C49" s="41" t="s">
        <v>39</v>
      </c>
      <c r="D49" s="41" t="s">
        <v>259</v>
      </c>
      <c r="E49" s="41" t="s">
        <v>260</v>
      </c>
      <c r="F49" s="40" t="str">
        <f t="shared" si="1"/>
        <v>CORRECT</v>
      </c>
      <c r="G49" s="40" t="s">
        <v>36</v>
      </c>
      <c r="H49" s="44" t="s">
        <v>36</v>
      </c>
      <c r="I49" s="43" t="s">
        <v>326</v>
      </c>
      <c r="J49" s="44"/>
    </row>
    <row r="50">
      <c r="A50" s="46" t="s">
        <v>262</v>
      </c>
      <c r="B50" s="2"/>
      <c r="C50" s="2"/>
      <c r="D50" s="2"/>
      <c r="E50" s="3"/>
      <c r="F50" s="47">
        <f>COUNTIFS(F4:F49,"CORRECT")</f>
        <v>24</v>
      </c>
      <c r="G50" s="48"/>
      <c r="H50" s="48"/>
      <c r="J50" s="49" t="str">
        <f>AVERAGE(J4:J49)</f>
        <v>#DIV/0!</v>
      </c>
    </row>
    <row r="51">
      <c r="A51" s="50" t="s">
        <v>263</v>
      </c>
      <c r="B51" s="2"/>
      <c r="C51" s="2"/>
      <c r="D51" s="2"/>
      <c r="E51" s="3"/>
      <c r="F51" s="51">
        <v>46.0</v>
      </c>
      <c r="G51" s="48"/>
      <c r="H51" s="48"/>
    </row>
    <row r="52">
      <c r="A52" s="46" t="s">
        <v>264</v>
      </c>
      <c r="B52" s="2"/>
      <c r="C52" s="2"/>
      <c r="D52" s="2"/>
      <c r="E52" s="3"/>
      <c r="F52" s="52">
        <f>F50/F51</f>
        <v>0.5217391304</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327</v>
      </c>
      <c r="C2" s="2"/>
      <c r="D2" s="2"/>
      <c r="E2" s="2"/>
      <c r="F2" s="2"/>
      <c r="G2" s="2"/>
      <c r="H2" s="3"/>
      <c r="I2" s="38" t="s">
        <v>328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329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330</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331</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276</v>
      </c>
      <c r="J13" s="44"/>
    </row>
    <row r="14" ht="60.0" customHeight="1">
      <c r="A14" s="40">
        <v>11.0</v>
      </c>
      <c r="B14" s="41" t="s">
        <v>85</v>
      </c>
      <c r="C14" s="41" t="s">
        <v>86</v>
      </c>
      <c r="D14" s="41" t="s">
        <v>87</v>
      </c>
      <c r="E14" s="41" t="s">
        <v>88</v>
      </c>
      <c r="F14" s="40" t="str">
        <f t="shared" si="1"/>
        <v>WRONG</v>
      </c>
      <c r="G14" s="40" t="s">
        <v>42</v>
      </c>
      <c r="H14" s="42" t="s">
        <v>48</v>
      </c>
      <c r="I14" s="43" t="s">
        <v>332</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333</v>
      </c>
      <c r="J18" s="44"/>
    </row>
    <row r="19" ht="60.0" customHeight="1">
      <c r="A19" s="40">
        <v>16.0</v>
      </c>
      <c r="B19" s="41" t="s">
        <v>110</v>
      </c>
      <c r="C19" s="41" t="s">
        <v>111</v>
      </c>
      <c r="D19" s="41" t="s">
        <v>112</v>
      </c>
      <c r="E19" s="41" t="s">
        <v>113</v>
      </c>
      <c r="F19" s="40" t="str">
        <f t="shared" si="1"/>
        <v>CORRECT</v>
      </c>
      <c r="G19" s="40" t="s">
        <v>48</v>
      </c>
      <c r="H19" s="44" t="s">
        <v>48</v>
      </c>
      <c r="I19" s="43" t="s">
        <v>334</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299</v>
      </c>
      <c r="J21" s="44"/>
    </row>
    <row r="22" ht="60.0" customHeight="1">
      <c r="A22" s="40">
        <v>19.0</v>
      </c>
      <c r="B22" s="41" t="s">
        <v>125</v>
      </c>
      <c r="C22" s="41" t="s">
        <v>126</v>
      </c>
      <c r="D22" s="41" t="s">
        <v>127</v>
      </c>
      <c r="E22" s="41" t="s">
        <v>128</v>
      </c>
      <c r="F22" s="40" t="str">
        <f t="shared" si="1"/>
        <v>WRONG</v>
      </c>
      <c r="G22" s="40" t="s">
        <v>36</v>
      </c>
      <c r="H22" s="42" t="s">
        <v>48</v>
      </c>
      <c r="I22" s="43" t="s">
        <v>300</v>
      </c>
      <c r="J22" s="44"/>
    </row>
    <row r="23" ht="60.0" customHeight="1">
      <c r="A23" s="40">
        <v>20.0</v>
      </c>
      <c r="B23" s="41" t="s">
        <v>130</v>
      </c>
      <c r="C23" s="41" t="s">
        <v>131</v>
      </c>
      <c r="D23" s="41" t="s">
        <v>132</v>
      </c>
      <c r="E23" s="41" t="s">
        <v>133</v>
      </c>
      <c r="F23" s="40" t="str">
        <f t="shared" si="1"/>
        <v>WRONG</v>
      </c>
      <c r="G23" s="40" t="s">
        <v>42</v>
      </c>
      <c r="H23" s="44" t="s">
        <v>48</v>
      </c>
      <c r="I23" s="43" t="s">
        <v>134</v>
      </c>
      <c r="J23" s="44"/>
    </row>
    <row r="24" ht="60.0" customHeight="1">
      <c r="A24" s="40">
        <v>21.0</v>
      </c>
      <c r="B24" s="41" t="s">
        <v>135</v>
      </c>
      <c r="C24" s="41" t="s">
        <v>136</v>
      </c>
      <c r="D24" s="41" t="s">
        <v>137</v>
      </c>
      <c r="E24" s="41" t="s">
        <v>138</v>
      </c>
      <c r="F24" s="40" t="str">
        <f t="shared" si="1"/>
        <v>WRONG</v>
      </c>
      <c r="G24" s="40" t="s">
        <v>42</v>
      </c>
      <c r="H24" s="44" t="s">
        <v>36</v>
      </c>
      <c r="I24" s="43" t="s">
        <v>301</v>
      </c>
      <c r="J24" s="44"/>
    </row>
    <row r="25" ht="60.0" customHeight="1">
      <c r="A25" s="40">
        <v>22.0</v>
      </c>
      <c r="B25" s="41" t="s">
        <v>140</v>
      </c>
      <c r="C25" s="41" t="s">
        <v>141</v>
      </c>
      <c r="D25" s="41" t="s">
        <v>142</v>
      </c>
      <c r="E25" s="41" t="s">
        <v>143</v>
      </c>
      <c r="F25" s="40" t="str">
        <f t="shared" si="1"/>
        <v>CORRECT</v>
      </c>
      <c r="G25" s="40" t="s">
        <v>42</v>
      </c>
      <c r="H25" s="44" t="s">
        <v>42</v>
      </c>
      <c r="I25" s="43" t="s">
        <v>302</v>
      </c>
      <c r="J25" s="44"/>
    </row>
    <row r="26" ht="60.0" customHeight="1">
      <c r="A26" s="40">
        <v>23.0</v>
      </c>
      <c r="B26" s="41" t="s">
        <v>145</v>
      </c>
      <c r="C26" s="41" t="s">
        <v>146</v>
      </c>
      <c r="D26" s="41" t="s">
        <v>147</v>
      </c>
      <c r="E26" s="41" t="s">
        <v>148</v>
      </c>
      <c r="F26" s="40" t="str">
        <f t="shared" si="1"/>
        <v>CORRECT</v>
      </c>
      <c r="G26" s="40" t="s">
        <v>48</v>
      </c>
      <c r="H26" s="44" t="s">
        <v>48</v>
      </c>
      <c r="I26" s="43" t="s">
        <v>303</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304</v>
      </c>
      <c r="J29" s="44"/>
    </row>
    <row r="30" ht="60.0" customHeight="1">
      <c r="A30" s="40">
        <v>27.0</v>
      </c>
      <c r="B30" s="41" t="s">
        <v>163</v>
      </c>
      <c r="C30" s="41" t="s">
        <v>164</v>
      </c>
      <c r="D30" s="41" t="s">
        <v>165</v>
      </c>
      <c r="E30" s="41" t="s">
        <v>166</v>
      </c>
      <c r="F30" s="40" t="str">
        <f t="shared" si="1"/>
        <v>CORRECT</v>
      </c>
      <c r="G30" s="40" t="s">
        <v>42</v>
      </c>
      <c r="H30" s="44" t="s">
        <v>42</v>
      </c>
      <c r="I30" s="43" t="s">
        <v>305</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306</v>
      </c>
      <c r="J32" s="44"/>
    </row>
    <row r="33" ht="60.0" customHeight="1">
      <c r="A33" s="40">
        <v>30.0</v>
      </c>
      <c r="B33" s="41" t="s">
        <v>178</v>
      </c>
      <c r="C33" s="41" t="s">
        <v>179</v>
      </c>
      <c r="D33" s="41" t="s">
        <v>180</v>
      </c>
      <c r="E33" s="41" t="s">
        <v>181</v>
      </c>
      <c r="F33" s="40" t="str">
        <f t="shared" si="1"/>
        <v>WRONG</v>
      </c>
      <c r="G33" s="40" t="s">
        <v>48</v>
      </c>
      <c r="H33" s="44" t="s">
        <v>36</v>
      </c>
      <c r="I33" s="43" t="s">
        <v>307</v>
      </c>
      <c r="J33" s="44"/>
    </row>
    <row r="34" ht="60.0" customHeight="1">
      <c r="A34" s="40">
        <v>31.0</v>
      </c>
      <c r="B34" s="41" t="s">
        <v>183</v>
      </c>
      <c r="C34" s="41" t="s">
        <v>184</v>
      </c>
      <c r="D34" s="41" t="s">
        <v>185</v>
      </c>
      <c r="E34" s="41" t="s">
        <v>186</v>
      </c>
      <c r="F34" s="40" t="str">
        <f t="shared" si="1"/>
        <v>WRONG</v>
      </c>
      <c r="G34" s="40" t="s">
        <v>42</v>
      </c>
      <c r="H34" s="42" t="s">
        <v>36</v>
      </c>
      <c r="I34" s="43" t="s">
        <v>335</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309</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336</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25</v>
      </c>
      <c r="G50" s="48"/>
      <c r="H50" s="48"/>
      <c r="J50" s="49" t="str">
        <f>AVERAGE(J4:J49)</f>
        <v>#DIV/0!</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337</v>
      </c>
      <c r="C2" s="2"/>
      <c r="D2" s="2"/>
      <c r="E2" s="2"/>
      <c r="F2" s="2"/>
      <c r="G2" s="2"/>
      <c r="H2" s="3"/>
      <c r="I2" s="38" t="s">
        <v>338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339</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331</v>
      </c>
      <c r="J11" s="44"/>
    </row>
    <row r="12" ht="60.0" customHeight="1">
      <c r="A12" s="40">
        <v>9.0</v>
      </c>
      <c r="B12" s="41" t="s">
        <v>75</v>
      </c>
      <c r="C12" s="41" t="s">
        <v>76</v>
      </c>
      <c r="D12" s="41" t="s">
        <v>77</v>
      </c>
      <c r="E12" s="41" t="s">
        <v>78</v>
      </c>
      <c r="F12" s="40" t="str">
        <f t="shared" si="1"/>
        <v>WRONG</v>
      </c>
      <c r="G12" s="40" t="s">
        <v>42</v>
      </c>
      <c r="H12" s="42" t="s">
        <v>48</v>
      </c>
      <c r="I12" s="43" t="s">
        <v>340</v>
      </c>
      <c r="J12" s="44"/>
    </row>
    <row r="13" ht="60.0" customHeight="1">
      <c r="A13" s="40">
        <v>10.0</v>
      </c>
      <c r="B13" s="41" t="s">
        <v>80</v>
      </c>
      <c r="C13" s="41" t="s">
        <v>81</v>
      </c>
      <c r="D13" s="41" t="s">
        <v>82</v>
      </c>
      <c r="E13" s="41" t="s">
        <v>83</v>
      </c>
      <c r="F13" s="40" t="str">
        <f t="shared" si="1"/>
        <v>WRONG</v>
      </c>
      <c r="G13" s="40" t="s">
        <v>48</v>
      </c>
      <c r="H13" s="44" t="s">
        <v>42</v>
      </c>
      <c r="I13" s="43" t="s">
        <v>296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341</v>
      </c>
      <c r="J18" s="44"/>
    </row>
    <row r="19" ht="60.0" customHeight="1">
      <c r="A19" s="40">
        <v>16.0</v>
      </c>
      <c r="B19" s="41" t="s">
        <v>110</v>
      </c>
      <c r="C19" s="41" t="s">
        <v>111</v>
      </c>
      <c r="D19" s="41" t="s">
        <v>112</v>
      </c>
      <c r="E19" s="41" t="s">
        <v>113</v>
      </c>
      <c r="F19" s="40" t="str">
        <f t="shared" si="1"/>
        <v>WRONG</v>
      </c>
      <c r="G19" s="40" t="s">
        <v>48</v>
      </c>
      <c r="H19" s="44" t="s">
        <v>36</v>
      </c>
      <c r="I19" s="43" t="s">
        <v>342</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299</v>
      </c>
      <c r="J21" s="44"/>
    </row>
    <row r="22" ht="60.0" customHeight="1">
      <c r="A22" s="40">
        <v>19.0</v>
      </c>
      <c r="B22" s="41" t="s">
        <v>125</v>
      </c>
      <c r="C22" s="41" t="s">
        <v>126</v>
      </c>
      <c r="D22" s="41" t="s">
        <v>127</v>
      </c>
      <c r="E22" s="41" t="s">
        <v>128</v>
      </c>
      <c r="F22" s="40" t="str">
        <f t="shared" si="1"/>
        <v>WRONG</v>
      </c>
      <c r="G22" s="40" t="s">
        <v>36</v>
      </c>
      <c r="H22" s="42" t="s">
        <v>48</v>
      </c>
      <c r="I22" s="43" t="s">
        <v>343</v>
      </c>
      <c r="J22" s="44"/>
    </row>
    <row r="23" ht="60.0" customHeight="1">
      <c r="A23" s="40">
        <v>20.0</v>
      </c>
      <c r="B23" s="41" t="s">
        <v>130</v>
      </c>
      <c r="C23" s="41" t="s">
        <v>131</v>
      </c>
      <c r="D23" s="41" t="s">
        <v>132</v>
      </c>
      <c r="E23" s="41" t="s">
        <v>133</v>
      </c>
      <c r="F23" s="40" t="str">
        <f t="shared" si="1"/>
        <v>WRONG</v>
      </c>
      <c r="G23" s="40" t="s">
        <v>42</v>
      </c>
      <c r="H23" s="44" t="s">
        <v>48</v>
      </c>
      <c r="I23" s="43" t="s">
        <v>134</v>
      </c>
      <c r="J23" s="44"/>
    </row>
    <row r="24" ht="60.0" customHeight="1">
      <c r="A24" s="40">
        <v>21.0</v>
      </c>
      <c r="B24" s="41" t="s">
        <v>135</v>
      </c>
      <c r="C24" s="41" t="s">
        <v>136</v>
      </c>
      <c r="D24" s="41" t="s">
        <v>137</v>
      </c>
      <c r="E24" s="41" t="s">
        <v>138</v>
      </c>
      <c r="F24" s="40" t="str">
        <f t="shared" si="1"/>
        <v>WRONG</v>
      </c>
      <c r="G24" s="40" t="s">
        <v>42</v>
      </c>
      <c r="H24" s="44" t="s">
        <v>36</v>
      </c>
      <c r="I24" s="43" t="s">
        <v>344</v>
      </c>
      <c r="J24" s="44"/>
    </row>
    <row r="25" ht="60.0" customHeight="1">
      <c r="A25" s="40">
        <v>22.0</v>
      </c>
      <c r="B25" s="41" t="s">
        <v>140</v>
      </c>
      <c r="C25" s="41" t="s">
        <v>141</v>
      </c>
      <c r="D25" s="41" t="s">
        <v>142</v>
      </c>
      <c r="E25" s="41" t="s">
        <v>143</v>
      </c>
      <c r="F25" s="40" t="str">
        <f t="shared" si="1"/>
        <v>CORRECT</v>
      </c>
      <c r="G25" s="40" t="s">
        <v>42</v>
      </c>
      <c r="H25" s="44" t="s">
        <v>42</v>
      </c>
      <c r="I25" s="43" t="s">
        <v>302</v>
      </c>
      <c r="J25" s="44"/>
    </row>
    <row r="26" ht="60.0" customHeight="1">
      <c r="A26" s="40">
        <v>23.0</v>
      </c>
      <c r="B26" s="41" t="s">
        <v>145</v>
      </c>
      <c r="C26" s="41" t="s">
        <v>146</v>
      </c>
      <c r="D26" s="41" t="s">
        <v>147</v>
      </c>
      <c r="E26" s="41" t="s">
        <v>148</v>
      </c>
      <c r="F26" s="40" t="str">
        <f t="shared" si="1"/>
        <v>CORRECT</v>
      </c>
      <c r="G26" s="40" t="s">
        <v>48</v>
      </c>
      <c r="H26" s="44" t="s">
        <v>48</v>
      </c>
      <c r="I26" s="43" t="s">
        <v>303</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304</v>
      </c>
      <c r="J29" s="44"/>
    </row>
    <row r="30" ht="60.0" customHeight="1">
      <c r="A30" s="40">
        <v>27.0</v>
      </c>
      <c r="B30" s="41" t="s">
        <v>163</v>
      </c>
      <c r="C30" s="41" t="s">
        <v>164</v>
      </c>
      <c r="D30" s="41" t="s">
        <v>165</v>
      </c>
      <c r="E30" s="41" t="s">
        <v>166</v>
      </c>
      <c r="F30" s="40" t="str">
        <f t="shared" si="1"/>
        <v>CORRECT</v>
      </c>
      <c r="G30" s="40" t="s">
        <v>42</v>
      </c>
      <c r="H30" s="44" t="s">
        <v>42</v>
      </c>
      <c r="I30" s="43" t="s">
        <v>305</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306</v>
      </c>
      <c r="J32" s="44"/>
    </row>
    <row r="33" ht="60.0" customHeight="1">
      <c r="A33" s="40">
        <v>30.0</v>
      </c>
      <c r="B33" s="41" t="s">
        <v>178</v>
      </c>
      <c r="C33" s="41" t="s">
        <v>179</v>
      </c>
      <c r="D33" s="41" t="s">
        <v>180</v>
      </c>
      <c r="E33" s="41" t="s">
        <v>181</v>
      </c>
      <c r="F33" s="40" t="str">
        <f t="shared" si="1"/>
        <v>WRONG</v>
      </c>
      <c r="G33" s="40" t="s">
        <v>48</v>
      </c>
      <c r="H33" s="44" t="s">
        <v>36</v>
      </c>
      <c r="I33" s="43" t="s">
        <v>307</v>
      </c>
      <c r="J33" s="44"/>
    </row>
    <row r="34" ht="60.0" customHeight="1">
      <c r="A34" s="40">
        <v>31.0</v>
      </c>
      <c r="B34" s="41" t="s">
        <v>183</v>
      </c>
      <c r="C34" s="41" t="s">
        <v>184</v>
      </c>
      <c r="D34" s="41" t="s">
        <v>185</v>
      </c>
      <c r="E34" s="41" t="s">
        <v>186</v>
      </c>
      <c r="F34" s="40" t="str">
        <f t="shared" si="1"/>
        <v>CORRECT</v>
      </c>
      <c r="G34" s="40" t="s">
        <v>42</v>
      </c>
      <c r="H34" s="42" t="s">
        <v>42</v>
      </c>
      <c r="I34" s="43" t="s">
        <v>345</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309</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346</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347</v>
      </c>
      <c r="J48" s="44"/>
    </row>
    <row r="49" ht="60.0" customHeight="1">
      <c r="A49" s="40">
        <v>46.0</v>
      </c>
      <c r="B49" s="41" t="s">
        <v>258</v>
      </c>
      <c r="C49" s="41" t="s">
        <v>39</v>
      </c>
      <c r="D49" s="41" t="s">
        <v>259</v>
      </c>
      <c r="E49" s="41" t="s">
        <v>260</v>
      </c>
      <c r="F49" s="40" t="str">
        <f t="shared" si="1"/>
        <v>CORRECT</v>
      </c>
      <c r="G49" s="40" t="s">
        <v>36</v>
      </c>
      <c r="H49" s="44" t="s">
        <v>36</v>
      </c>
      <c r="I49" s="43" t="s">
        <v>326</v>
      </c>
      <c r="J49" s="44"/>
    </row>
    <row r="50">
      <c r="A50" s="46" t="s">
        <v>262</v>
      </c>
      <c r="B50" s="2"/>
      <c r="C50" s="2"/>
      <c r="D50" s="2"/>
      <c r="E50" s="3"/>
      <c r="F50" s="47">
        <f>COUNTIFS(F4:F49,"CORRECT")</f>
        <v>25</v>
      </c>
      <c r="G50" s="48"/>
      <c r="H50" s="48"/>
      <c r="J50" s="49" t="str">
        <f>AVERAGE(J4:J49)</f>
        <v>#DIV/0!</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348</v>
      </c>
      <c r="C2" s="2"/>
      <c r="D2" s="2"/>
      <c r="E2" s="2"/>
      <c r="F2" s="2"/>
      <c r="G2" s="2"/>
      <c r="H2" s="3"/>
      <c r="I2" s="38" t="s">
        <v>349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329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350</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331</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276</v>
      </c>
      <c r="J13" s="44"/>
    </row>
    <row r="14" ht="60.0" customHeight="1">
      <c r="A14" s="40">
        <v>11.0</v>
      </c>
      <c r="B14" s="41" t="s">
        <v>85</v>
      </c>
      <c r="C14" s="41" t="s">
        <v>86</v>
      </c>
      <c r="D14" s="41" t="s">
        <v>87</v>
      </c>
      <c r="E14" s="41" t="s">
        <v>88</v>
      </c>
      <c r="F14" s="40" t="str">
        <f t="shared" si="1"/>
        <v>WRONG</v>
      </c>
      <c r="G14" s="40" t="s">
        <v>42</v>
      </c>
      <c r="H14" s="42" t="s">
        <v>48</v>
      </c>
      <c r="I14" s="43" t="s">
        <v>332</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2"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351</v>
      </c>
      <c r="J18" s="44"/>
    </row>
    <row r="19" ht="60.0" customHeight="1">
      <c r="A19" s="40">
        <v>16.0</v>
      </c>
      <c r="B19" s="41" t="s">
        <v>110</v>
      </c>
      <c r="C19" s="41" t="s">
        <v>111</v>
      </c>
      <c r="D19" s="41" t="s">
        <v>112</v>
      </c>
      <c r="E19" s="41" t="s">
        <v>113</v>
      </c>
      <c r="F19" s="40" t="str">
        <f t="shared" si="1"/>
        <v>CORRECT</v>
      </c>
      <c r="G19" s="40" t="s">
        <v>48</v>
      </c>
      <c r="H19" s="44" t="s">
        <v>48</v>
      </c>
      <c r="I19" s="43" t="s">
        <v>352</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283</v>
      </c>
      <c r="J22" s="44"/>
    </row>
    <row r="23" ht="60.0" customHeight="1">
      <c r="A23" s="40">
        <v>20.0</v>
      </c>
      <c r="B23" s="41" t="s">
        <v>130</v>
      </c>
      <c r="C23" s="41" t="s">
        <v>131</v>
      </c>
      <c r="D23" s="41" t="s">
        <v>132</v>
      </c>
      <c r="E23" s="41" t="s">
        <v>133</v>
      </c>
      <c r="F23" s="40" t="str">
        <f t="shared" si="1"/>
        <v>WRONG</v>
      </c>
      <c r="G23" s="40" t="s">
        <v>42</v>
      </c>
      <c r="H23" s="44" t="s">
        <v>48</v>
      </c>
      <c r="I23" s="43" t="s">
        <v>284</v>
      </c>
      <c r="J23" s="44"/>
    </row>
    <row r="24" ht="60.0" customHeight="1">
      <c r="A24" s="40">
        <v>21.0</v>
      </c>
      <c r="B24" s="41" t="s">
        <v>135</v>
      </c>
      <c r="C24" s="41" t="s">
        <v>136</v>
      </c>
      <c r="D24" s="41" t="s">
        <v>137</v>
      </c>
      <c r="E24" s="41" t="s">
        <v>138</v>
      </c>
      <c r="F24" s="40" t="str">
        <f t="shared" si="1"/>
        <v>WRONG</v>
      </c>
      <c r="G24" s="40" t="s">
        <v>42</v>
      </c>
      <c r="H24" s="44" t="s">
        <v>36</v>
      </c>
      <c r="I24" s="43" t="s">
        <v>285</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353</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354</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355</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25</v>
      </c>
      <c r="G50" s="48"/>
      <c r="H50" s="48"/>
      <c r="J50" s="49" t="str">
        <f>AVERAGE(J4:J49)</f>
        <v>#DIV/0!</v>
      </c>
    </row>
    <row r="51">
      <c r="A51" s="50" t="s">
        <v>263</v>
      </c>
      <c r="B51" s="2"/>
      <c r="C51" s="2"/>
      <c r="D51" s="2"/>
      <c r="E51" s="3"/>
      <c r="F51" s="51">
        <v>46.0</v>
      </c>
      <c r="G51" s="48"/>
      <c r="H51" s="48"/>
    </row>
    <row r="52">
      <c r="A52" s="46" t="s">
        <v>264</v>
      </c>
      <c r="B52" s="2"/>
      <c r="C52" s="2"/>
      <c r="D52" s="2"/>
      <c r="E52" s="3"/>
      <c r="F52" s="52">
        <f>F50/F51</f>
        <v>0.5434782609</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356</v>
      </c>
      <c r="C2" s="2"/>
      <c r="D2" s="2"/>
      <c r="E2" s="2"/>
      <c r="F2" s="2"/>
      <c r="G2" s="2"/>
      <c r="H2" s="3"/>
      <c r="I2" s="38" t="s">
        <v>357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2" t="s">
        <v>48</v>
      </c>
      <c r="I12" s="43" t="s">
        <v>275</v>
      </c>
      <c r="J12" s="44"/>
    </row>
    <row r="13" ht="60.0" customHeight="1">
      <c r="A13" s="40">
        <v>10.0</v>
      </c>
      <c r="B13" s="41" t="s">
        <v>80</v>
      </c>
      <c r="C13" s="41" t="s">
        <v>81</v>
      </c>
      <c r="D13" s="41" t="s">
        <v>82</v>
      </c>
      <c r="E13" s="41" t="s">
        <v>83</v>
      </c>
      <c r="F13" s="40" t="str">
        <f t="shared" si="1"/>
        <v>WRONG</v>
      </c>
      <c r="G13" s="40" t="s">
        <v>48</v>
      </c>
      <c r="H13" s="44" t="s">
        <v>42</v>
      </c>
      <c r="I13" s="43" t="s">
        <v>296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358</v>
      </c>
      <c r="J18" s="44"/>
    </row>
    <row r="19" ht="60.0" customHeight="1">
      <c r="A19" s="40">
        <v>16.0</v>
      </c>
      <c r="B19" s="41" t="s">
        <v>110</v>
      </c>
      <c r="C19" s="41" t="s">
        <v>111</v>
      </c>
      <c r="D19" s="41" t="s">
        <v>112</v>
      </c>
      <c r="E19" s="41" t="s">
        <v>113</v>
      </c>
      <c r="F19" s="40" t="str">
        <f t="shared" si="1"/>
        <v>WRONG</v>
      </c>
      <c r="G19" s="40" t="s">
        <v>48</v>
      </c>
      <c r="H19" s="44" t="s">
        <v>36</v>
      </c>
      <c r="I19" s="43" t="s">
        <v>359</v>
      </c>
      <c r="J19" s="44"/>
    </row>
    <row r="20" ht="60.0" customHeight="1">
      <c r="A20" s="40">
        <v>17.0</v>
      </c>
      <c r="B20" s="41" t="s">
        <v>115</v>
      </c>
      <c r="C20" s="41" t="s">
        <v>116</v>
      </c>
      <c r="D20" s="41" t="s">
        <v>117</v>
      </c>
      <c r="E20" s="41" t="s">
        <v>118</v>
      </c>
      <c r="F20" s="40" t="str">
        <f t="shared" si="1"/>
        <v>WRONG</v>
      </c>
      <c r="G20" s="40" t="s">
        <v>42</v>
      </c>
      <c r="H20" s="44" t="s">
        <v>36</v>
      </c>
      <c r="I20" s="43" t="s">
        <v>282</v>
      </c>
      <c r="J20" s="44"/>
    </row>
    <row r="21" ht="60.0" customHeight="1">
      <c r="A21" s="40">
        <v>18.0</v>
      </c>
      <c r="B21" s="41" t="s">
        <v>120</v>
      </c>
      <c r="C21" s="41" t="s">
        <v>121</v>
      </c>
      <c r="D21" s="41" t="s">
        <v>122</v>
      </c>
      <c r="E21" s="41" t="s">
        <v>123</v>
      </c>
      <c r="F21" s="40" t="str">
        <f t="shared" si="1"/>
        <v>CORRECT</v>
      </c>
      <c r="G21" s="40" t="s">
        <v>42</v>
      </c>
      <c r="H21" s="44" t="s">
        <v>42</v>
      </c>
      <c r="I21" s="43" t="s">
        <v>299</v>
      </c>
      <c r="J21" s="44"/>
    </row>
    <row r="22" ht="60.0" customHeight="1">
      <c r="A22" s="40">
        <v>19.0</v>
      </c>
      <c r="B22" s="41" t="s">
        <v>125</v>
      </c>
      <c r="C22" s="41" t="s">
        <v>126</v>
      </c>
      <c r="D22" s="41" t="s">
        <v>127</v>
      </c>
      <c r="E22" s="41" t="s">
        <v>128</v>
      </c>
      <c r="F22" s="40" t="str">
        <f t="shared" si="1"/>
        <v>WRONG</v>
      </c>
      <c r="G22" s="40" t="s">
        <v>36</v>
      </c>
      <c r="H22" s="42" t="s">
        <v>48</v>
      </c>
      <c r="I22" s="43" t="s">
        <v>300</v>
      </c>
      <c r="J22" s="44"/>
    </row>
    <row r="23" ht="60.0" customHeight="1">
      <c r="A23" s="40">
        <v>20.0</v>
      </c>
      <c r="B23" s="41" t="s">
        <v>130</v>
      </c>
      <c r="C23" s="41" t="s">
        <v>131</v>
      </c>
      <c r="D23" s="41" t="s">
        <v>132</v>
      </c>
      <c r="E23" s="41" t="s">
        <v>133</v>
      </c>
      <c r="F23" s="40" t="str">
        <f t="shared" si="1"/>
        <v>WRONG</v>
      </c>
      <c r="G23" s="40" t="s">
        <v>42</v>
      </c>
      <c r="H23" s="44" t="s">
        <v>48</v>
      </c>
      <c r="I23" s="43" t="s">
        <v>134</v>
      </c>
      <c r="J23" s="44"/>
    </row>
    <row r="24" ht="60.0" customHeight="1">
      <c r="A24" s="40">
        <v>21.0</v>
      </c>
      <c r="B24" s="41" t="s">
        <v>135</v>
      </c>
      <c r="C24" s="41" t="s">
        <v>136</v>
      </c>
      <c r="D24" s="41" t="s">
        <v>137</v>
      </c>
      <c r="E24" s="41" t="s">
        <v>138</v>
      </c>
      <c r="F24" s="40" t="str">
        <f t="shared" si="1"/>
        <v>WRONG</v>
      </c>
      <c r="G24" s="40" t="s">
        <v>42</v>
      </c>
      <c r="H24" s="44" t="s">
        <v>36</v>
      </c>
      <c r="I24" s="43" t="s">
        <v>301</v>
      </c>
      <c r="J24" s="44"/>
    </row>
    <row r="25" ht="60.0" customHeight="1">
      <c r="A25" s="40">
        <v>22.0</v>
      </c>
      <c r="B25" s="41" t="s">
        <v>140</v>
      </c>
      <c r="C25" s="41" t="s">
        <v>141</v>
      </c>
      <c r="D25" s="41" t="s">
        <v>142</v>
      </c>
      <c r="E25" s="41" t="s">
        <v>143</v>
      </c>
      <c r="F25" s="40" t="str">
        <f t="shared" si="1"/>
        <v>CORRECT</v>
      </c>
      <c r="G25" s="40" t="s">
        <v>42</v>
      </c>
      <c r="H25" s="44" t="s">
        <v>42</v>
      </c>
      <c r="I25" s="43" t="s">
        <v>302</v>
      </c>
      <c r="J25" s="44"/>
    </row>
    <row r="26" ht="60.0" customHeight="1">
      <c r="A26" s="40">
        <v>23.0</v>
      </c>
      <c r="B26" s="41" t="s">
        <v>145</v>
      </c>
      <c r="C26" s="41" t="s">
        <v>146</v>
      </c>
      <c r="D26" s="41" t="s">
        <v>147</v>
      </c>
      <c r="E26" s="41" t="s">
        <v>148</v>
      </c>
      <c r="F26" s="40" t="str">
        <f t="shared" si="1"/>
        <v>CORRECT</v>
      </c>
      <c r="G26" s="40" t="s">
        <v>48</v>
      </c>
      <c r="H26" s="44" t="s">
        <v>48</v>
      </c>
      <c r="I26" s="43" t="s">
        <v>303</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304</v>
      </c>
      <c r="J29" s="44"/>
    </row>
    <row r="30" ht="60.0" customHeight="1">
      <c r="A30" s="40">
        <v>27.0</v>
      </c>
      <c r="B30" s="41" t="s">
        <v>163</v>
      </c>
      <c r="C30" s="41" t="s">
        <v>164</v>
      </c>
      <c r="D30" s="41" t="s">
        <v>165</v>
      </c>
      <c r="E30" s="41" t="s">
        <v>166</v>
      </c>
      <c r="F30" s="40" t="str">
        <f t="shared" si="1"/>
        <v>CORRECT</v>
      </c>
      <c r="G30" s="40" t="s">
        <v>42</v>
      </c>
      <c r="H30" s="44" t="s">
        <v>42</v>
      </c>
      <c r="I30" s="43" t="s">
        <v>305</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306</v>
      </c>
      <c r="J32" s="44"/>
    </row>
    <row r="33" ht="60.0" customHeight="1">
      <c r="A33" s="40">
        <v>30.0</v>
      </c>
      <c r="B33" s="41" t="s">
        <v>178</v>
      </c>
      <c r="C33" s="41" t="s">
        <v>179</v>
      </c>
      <c r="D33" s="41" t="s">
        <v>180</v>
      </c>
      <c r="E33" s="41" t="s">
        <v>181</v>
      </c>
      <c r="F33" s="40" t="str">
        <f t="shared" si="1"/>
        <v>WRONG</v>
      </c>
      <c r="G33" s="40" t="s">
        <v>48</v>
      </c>
      <c r="H33" s="44" t="s">
        <v>36</v>
      </c>
      <c r="I33" s="43" t="s">
        <v>307</v>
      </c>
      <c r="J33" s="44"/>
    </row>
    <row r="34" ht="60.0" customHeight="1">
      <c r="A34" s="40">
        <v>31.0</v>
      </c>
      <c r="B34" s="41" t="s">
        <v>183</v>
      </c>
      <c r="C34" s="41" t="s">
        <v>184</v>
      </c>
      <c r="D34" s="41" t="s">
        <v>185</v>
      </c>
      <c r="E34" s="41" t="s">
        <v>186</v>
      </c>
      <c r="F34" s="40" t="str">
        <f t="shared" si="1"/>
        <v>WRONG</v>
      </c>
      <c r="G34" s="40" t="s">
        <v>42</v>
      </c>
      <c r="H34" s="42" t="s">
        <v>36</v>
      </c>
      <c r="I34" s="43" t="s">
        <v>360</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309</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361</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24</v>
      </c>
      <c r="G50" s="48"/>
      <c r="H50" s="48"/>
      <c r="J50" s="49" t="str">
        <f>AVERAGE(J4:J49)</f>
        <v>#DIV/0!</v>
      </c>
    </row>
    <row r="51">
      <c r="A51" s="50" t="s">
        <v>263</v>
      </c>
      <c r="B51" s="2"/>
      <c r="C51" s="2"/>
      <c r="D51" s="2"/>
      <c r="E51" s="3"/>
      <c r="F51" s="51">
        <v>46.0</v>
      </c>
      <c r="G51" s="48"/>
      <c r="H51" s="48"/>
    </row>
    <row r="52">
      <c r="A52" s="46" t="s">
        <v>264</v>
      </c>
      <c r="B52" s="2"/>
      <c r="C52" s="2"/>
      <c r="D52" s="2"/>
      <c r="E52" s="3"/>
      <c r="F52" s="52">
        <f>F50/F51</f>
        <v>0.5217391304</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