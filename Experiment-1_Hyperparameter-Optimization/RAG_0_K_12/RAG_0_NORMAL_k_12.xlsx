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1_top0.5" sheetId="3" r:id="rId7"/>
    <sheet state="visible" name="seed10_temp0.1_top1.0" sheetId="4" r:id="rId8"/>
    <sheet state="visible" name="seed10_temp1.0_top0.1" sheetId="5" r:id="rId9"/>
    <sheet state="visible" name="seed10_temp1.0_top0.5" sheetId="6" r:id="rId10"/>
    <sheet state="visible" name="seed10_temp1.0_top1.0" sheetId="7" r:id="rId11"/>
    <sheet state="visible" name="seed10_temp2.0_top0.1" sheetId="8" r:id="rId12"/>
    <sheet state="visible" name="seed10_temp2.0_top0.5" sheetId="9" r:id="rId13"/>
    <sheet state="visible" name="seed10_temp2.0_top1.0" sheetId="10" r:id="rId14"/>
  </sheets>
  <definedNames/>
  <calcPr/>
</workbook>
</file>

<file path=xl/sharedStrings.xml><?xml version="1.0" encoding="utf-8"?>
<sst xmlns="http://schemas.openxmlformats.org/spreadsheetml/2006/main" count="3482" uniqueCount="515">
  <si>
    <t>SUMMARY RESULT BETWEEN TEST</t>
  </si>
  <si>
    <t>Temp</t>
  </si>
  <si>
    <t>Topp</t>
  </si>
  <si>
    <t>Parameters</t>
  </si>
  <si>
    <r>
      <rPr>
        <rFont val="Arial"/>
        <color theme="1"/>
      </rPr>
      <t>embed_model="</t>
    </r>
    <r>
      <rPr>
        <rFont val="Arial"/>
        <b/>
        <color rgb="FF3D85C6"/>
      </rPr>
      <t>dunzhang/stella_en_400M_v5</t>
    </r>
    <r>
      <rPr>
        <rFont val="Arial"/>
        <color theme="1"/>
      </rPr>
      <t>"
len = 500
k = 12</t>
    </r>
  </si>
  <si>
    <r>
      <rPr>
        <rFont val="Arial"/>
        <color theme="1"/>
      </rPr>
      <t>embed_model="</t>
    </r>
    <r>
      <rPr>
        <rFont val="Arial"/>
        <b/>
        <color rgb="FF3D85C6"/>
      </rPr>
      <t>dunzhang/stella_en_400M_v5</t>
    </r>
    <r>
      <rPr>
        <rFont val="Arial"/>
        <color theme="1"/>
      </rPr>
      <t>"
len = 500
k = 12</t>
    </r>
  </si>
  <si>
    <r>
      <rPr>
        <rFont val="Arial"/>
        <color theme="1"/>
      </rPr>
      <t>embed_model="</t>
    </r>
    <r>
      <rPr>
        <rFont val="Arial"/>
        <b/>
        <color rgb="FF3D85C6"/>
      </rPr>
      <t>dunzhang/stella_en_400M_v5</t>
    </r>
    <r>
      <rPr>
        <rFont val="Arial"/>
        <color theme="1"/>
      </rPr>
      <t>"
len = 500
k = 12</t>
    </r>
  </si>
  <si>
    <r>
      <rPr>
        <rFont val="Arial"/>
        <color theme="1"/>
      </rPr>
      <t>embed_model="</t>
    </r>
    <r>
      <rPr>
        <rFont val="Arial"/>
        <b/>
        <color rgb="FF3D85C6"/>
      </rPr>
      <t>dunzhang/stella_en_400M_v5</t>
    </r>
    <r>
      <rPr>
        <rFont val="Arial"/>
        <color theme="1"/>
      </rPr>
      <t>"
len = 500
k = 12</t>
    </r>
  </si>
  <si>
    <r>
      <rPr>
        <rFont val="Arial"/>
        <color theme="1"/>
      </rPr>
      <t>embed_model="</t>
    </r>
    <r>
      <rPr>
        <rFont val="Arial"/>
        <b/>
        <color rgb="FF3D85C6"/>
      </rPr>
      <t>dunzhang/stella_en_400M_v5</t>
    </r>
    <r>
      <rPr>
        <rFont val="Arial"/>
        <color theme="1"/>
      </rPr>
      <t>"
len = 500
k = 12</t>
    </r>
  </si>
  <si>
    <r>
      <rPr>
        <rFont val="Arial"/>
        <color theme="1"/>
      </rPr>
      <t>embed_model="</t>
    </r>
    <r>
      <rPr>
        <rFont val="Arial"/>
        <b/>
        <color rgb="FF3D85C6"/>
      </rPr>
      <t>dunzhang/stella_en_400M_v5</t>
    </r>
    <r>
      <rPr>
        <rFont val="Arial"/>
        <color theme="1"/>
      </rPr>
      <t>"
len = 500
k = 12</t>
    </r>
  </si>
  <si>
    <r>
      <rPr>
        <rFont val="Arial"/>
        <color theme="1"/>
      </rPr>
      <t>embed_model="</t>
    </r>
    <r>
      <rPr>
        <rFont val="Arial"/>
        <b/>
        <color rgb="FF3D85C6"/>
      </rPr>
      <t>dunzhang/stella_en_400M_v5</t>
    </r>
    <r>
      <rPr>
        <rFont val="Arial"/>
        <color theme="1"/>
      </rPr>
      <t>"
len = 500
k = 12</t>
    </r>
  </si>
  <si>
    <r>
      <rPr>
        <rFont val="Arial"/>
        <color theme="1"/>
      </rPr>
      <t>embed_model="</t>
    </r>
    <r>
      <rPr>
        <rFont val="Arial"/>
        <b/>
        <color rgb="FF3D85C6"/>
      </rPr>
      <t>dunzhang/stella_en_400M_v5</t>
    </r>
    <r>
      <rPr>
        <rFont val="Arial"/>
        <color theme="1"/>
      </rPr>
      <t>"
len = 500
k = 12</t>
    </r>
  </si>
  <si>
    <r>
      <rPr>
        <rFont val="Arial"/>
        <color theme="1"/>
      </rPr>
      <t>embed_model="</t>
    </r>
    <r>
      <rPr>
        <rFont val="Arial"/>
        <b/>
        <color rgb="FF3D85C6"/>
      </rPr>
      <t>dunzhang/stella_en_400M_v5</t>
    </r>
    <r>
      <rPr>
        <rFont val="Arial"/>
        <color theme="1"/>
      </rPr>
      <t>"
len = 500
k = 12</t>
    </r>
  </si>
  <si>
    <t>Correct answers</t>
  </si>
  <si>
    <t>Total questions</t>
  </si>
  <si>
    <t>Correct ratio</t>
  </si>
  <si>
    <t>CORRECT</t>
  </si>
  <si>
    <t>WRONG</t>
  </si>
  <si>
    <t>RAG LLAMA3.1_8B_INSTRUCT MODEL ASA EXAMINATION (0)</t>
  </si>
  <si>
    <t>Options</t>
  </si>
  <si>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</si>
  <si>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</si>
  <si>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</si>
  <si>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</si>
  <si>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</si>
  <si>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</si>
  <si>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</si>
  <si>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</si>
  <si>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</si>
  <si>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</si>
  <si>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</si>
  <si>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</si>
  <si>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</si>
  <si>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</si>
  <si>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</si>
  <si>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</si>
  <si>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</si>
  <si>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   Answer: "A",   "Explain": "For an operation at the medial aspect of the lower leg, the femoral nerve should be blocked. According to the provided context, the femoral nerve block is commonly performed for surgery that involves the medial aspect of the leg, and it can be blocked at the adductor canal, at the level of the knee via the medial femoral condyle, below the knee with local infiltration distal to the medial condyle of the tibia, or above the medial malleolus of the foot."</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</si>
  <si>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</si>
  <si>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</si>
  <si>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</si>
  <si>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</si>
  <si>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C</t>
  </si>
  <si>
    <t>{   "Answer": "C",   "Explain": "The patient is experiencing right upper quadrant abdominal pain and nausea, which is a known side effect of opioids. Naloxone is the most appropriate therapy for this patient's pain as it is an opioid antagonist that can reverse the effects of opioids and relieve biliary colic pain."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</si>
  <si>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</si>
  <si>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</si>
  <si>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</si>
  <si>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</si>
  <si>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</si>
  <si>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"The patient's serum calcium concentration is 15 mg/dL, which is higher than the normal range. The initial management of hypercalcemia is to expand the intravascular volume to reduce serum calcium levels. Normal saline is the most appropriate initial management option, as it helps to dilute the serum calcium levels and reduce the symptoms of hypercalcemia."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</si>
  <si>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</si>
  <si>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</si>
  <si>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</si>
  <si>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</si>
  <si>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(CHCT) is considered the gold standard for diagnosing malignant hyperthermia susceptibility. It has the highest sensitivity and specificity for MH, making it the most reliable test for predicting the likelihood of developing malignant hyperthermia." }</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</si>
  <si>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</si>
  <si>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</si>
  <si>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</si>
  <si>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</si>
  <si>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"The delivered anesthetic concentration is calculated by setting up a proportion: (x mL/min sevoflurane) / 21% = (150 mL/min oxygen) / 79%. Solving for x, we get x = 40 mL/min. The fresh gas flow rate is 5 L/min, so the delivered anesthetic concentration is 40 mL/min / 5 L/min = 0.5%."</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</si>
  <si>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</si>
  <si>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</si>
  <si>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</si>
  <si>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</si>
  <si>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a physiologic mechanism that helps to maintain body temperature in an adult patient with mild hypothermia. When the body temperature drops, the body's natural response is to constrict blood vessels to conserve heat and reduce heat loss. This mechanism is effective in maintaining body temperature, especially in mild hypothermia."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</si>
  <si>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</si>
  <si>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</si>
  <si>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</si>
  <si>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</si>
  <si>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"The patient should remain hospitalized for observation because midazolam has a longer duration of action than flumazenil, and the patient may still be experiencing the effects of the medication even after 1 hour. Flumazenil reverses the effects of midazolam, but it does not eliminate them completely, and the patient may still experience sedation or other side effects. Therefore, it is necessary to monitor the patient for a longer period to ensure that they are fully recovered and do not experience any adverse effects."</t>
  </si>
  <si>
    <t>Which of the following factors exerts the GREATEST effect on the extent of spread of local anesthetic following subarachnoid block with hyperbaric bupivacaine?</t>
  </si>
  <si>
    <t>A. Added epinephrine</t>
  </si>
  <si>
    <t>B. Patient position</t>
  </si>
  <si>
    <t>C. Total dose of drug</t>
  </si>
  <si>
    <t>{   "Answer": "B",   "Explain": "The patient position exerts the greatest effect on the extent of spread of local anesthetic following subarachnoid block with hyperbaric bupivacaine. This is because the position of the patient can affect the direction and spread of the anesthetic solution, with sitting or standing positions causing the solution to spread more cephalad and supine positions causing it to spread more caudad." }</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</si>
  <si>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</si>
  <si>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</si>
  <si>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</si>
  <si>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</si>
  <si>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"C",   "Explain": "The patient is experiencing pulmonary edema after resolution of postoperative laryngospasm, and the SpO2 is 80% while breathing 100% O2. The most appropriate management strategy is to provide positive-pressure ventilation to help improve oxygenation and reduce the risk of further respiratory compromise."</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</si>
  <si>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</si>
  <si>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</si>
  <si>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</si>
  <si>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</si>
  <si>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patient's symptoms of nausea, diaphoresis, and sharp pain in the left shoulder are likely caused by bladder perforation. This is because the symptoms are similar to those described in the text as associated with intraperitoneal perforations, which can cause severe shoulder pain secondary to diaphragmatic irritation."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</si>
  <si>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</si>
  <si>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</si>
  <si>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</si>
  <si>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</si>
  <si>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decrease in SpO2 from 99% to 90% and the increase in ETCO2 from 38 to 43 mmHg suggest that there is a ventilation-perfusion mismatch, which is a common phenomenon during laparoscopy. The Trendelenburg position and CO2 insufflation can cause compression of the lungs, leading to a decrease in functional residual capacity and an increase in dead space ventilation. This can result in a decrease in oxygenation and an increase in CO2 levels. Compression of the vena cava, which is a common occurrence during laparoscopy, is the most likely cause of the observed changes in oxygenation and ventilation." }</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</si>
  <si>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</si>
  <si>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</si>
  <si>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</si>
  <si>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</si>
  <si>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"B",   "Explain": "The patient is receiving IV PCA with morphine, which can cause hypoventilation, a common cause of postoperative hypoxemia. The patient's SpO2 is 90% on room air, which is not significantly low, but it still indicates that the patient may be experiencing some degree of hypoxemia. The other options, absorption of CO2 from the abdomen and increased dead space, are less likely causes of hypoxemia in this scenario."</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</si>
  <si>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</si>
  <si>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</si>
  <si>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</si>
  <si>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</si>
  <si>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means that when the patient exhales and the airway pressure drops, the ventilator senses this drop and delivers a breath to help the patient breathe more easily."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</si>
  <si>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</si>
  <si>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</si>
  <si>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</si>
  <si>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</si>
  <si>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"To satisfy the increased metabolic demand of the myocardium, the increased heart rate needs to be matched with an increase in coronary perfusion pressure. This is because the increased heart rate reduces the time available for coronary blood flow, making it essential to maintain a sufficient perfusion pressure to ensure adequate oxygen delivery to the myocardium." }</t>
  </si>
  <si>
    <t>Which of the following laboratory values is MOST likely to confirm adequate synthetic hepatic function?</t>
  </si>
  <si>
    <t>A. Partial thromboplastin time</t>
  </si>
  <si>
    <t>B. Prothrombin time</t>
  </si>
  <si>
    <t>C. Serum alanine aminotransferase concentration</t>
  </si>
  <si>
    <t>{   "Answer": "B",   "Explain": "The prothrombin time (PT) is a laboratory test that measures the time it takes for a clot to form in a sample of blood. It is used to assess the liver's synthetic function, as the liver synthesizes coagulation factors in great excess. A prolonged PT can reflect acute liver failure more quickly than other liver function tests, making it a useful indicator of adequate synthetic hepatic function." }</t>
  </si>
  <si>
    <t>Which of the following strategies BEST prevents ventricular dysrhythmias in a patient undergoing extracorporeal shock wave lithotripsy?</t>
  </si>
  <si>
    <t>A. Beta-adrenergic blockade</t>
  </si>
  <si>
    <t>B. ECG synchronization</t>
  </si>
  <si>
    <t>C. Epidural blockade to T4</t>
  </si>
  <si>
    <t>{   "Answer": "B",   "Explain": "Shock waves in ESWL are timed with the patient's heart rate and are triggered by the R wave on the patient's electrocardiogram. The shock waves are subsequently delivered during the refractory period of the heart muscle, thus minimizing the risk of cardiac dysrhythmias. This timing is crucial in preventing ventricular dysrhythmias."</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</si>
  <si>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</si>
  <si>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</si>
  <si>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</si>
  <si>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</si>
  <si>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with a semiclosed circle system, a Bain circuit exhibits less rebreathing of CO2 because it has bidirectional gas flow and lacks an absorber, relying on a higher rate of fresh gas inflow to eliminate CO2 and prevent rebreathing."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</si>
  <si>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</si>
  <si>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</si>
  <si>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</si>
  <si>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</si>
  <si>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causes the dependent lung to be compressed and the nondependent lung to be overventilated. This leads to a mismatching of ventilation and perfusion, resulting in a decrease in PaO2 levels between point A and point B."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</si>
  <si>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</si>
  <si>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</si>
  <si>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</si>
  <si>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</si>
  <si>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history of a rash with past penicillin administration, which suggests a possible allergic reaction. Therefore, it is not recommended to administer cefazolin, which is a cephalosporin antibiotic and a close relative of penicillins. Instead, the anesthesiologist should administer hydrocortisone, followed by cefazolin, to ensure that the patient does not have an allergic reaction to the antibiotic."</t>
  </si>
  <si>
    <t>Which of the following factors DECREASES the MAC of isoflurane?</t>
  </si>
  <si>
    <t>A. Acute cocaine intoxication</t>
  </si>
  <si>
    <t>B. Chronic ethanol abuse</t>
  </si>
  <si>
    <t>C. Symptomatic hyponatremia</t>
  </si>
  <si>
    <t>{   Answer: "C",   "Explain": "According to the context, hyponatremia decreases MAC, and option C is the correct answer." }</t>
  </si>
  <si>
    <t>Which of the following outcomes BEST describes the primary toxic effect of bupivacaine on the cardiovascular system?</t>
  </si>
  <si>
    <t>A. Blockade of norepinephrine release</t>
  </si>
  <si>
    <t>B. Coronary vasoconstriction</t>
  </si>
  <si>
    <t>C. Delay of ventricular repolarization</t>
  </si>
  <si>
    <t>{   "Answer": "A",   "Explain": "Blockade of norepinephrine release is the primary toxic effect of bupivacaine on the cardiovascular system, which can lead to a decrease in cardiac output and blood pressure."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</si>
  <si>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</si>
  <si>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</si>
  <si>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</si>
  <si>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</si>
  <si>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of the oxyhemoglobin dissociation curve, which means that for a given arterial partial pressure of oxygen (PaO2), the amount of oxygen released from hemoglobin to the tissues is increased. This is because the increased temperature increases the affinity of hemoglobin for oxygen, making it easier for oxygen to be released to the tissues." }</t>
  </si>
  <si>
    <t>Which of the following findings is most likely to be DECREASED in a patient with clinical hypothyroidism?</t>
  </si>
  <si>
    <t>A. MAC</t>
  </si>
  <si>
    <t>B. Myocardial contractility</t>
  </si>
  <si>
    <t>C. Peripheral vascular tone</t>
  </si>
  <si>
    <t>{   "Answer": "B",   "Explain": "Hypothyroidism decreases myocardial contractility, leading to decreased cardiac output, which is reflected in decreased peripheral vascular tone." }</t>
  </si>
  <si>
    <t>Which of the following anesthetic drugs is MOST likely to be associated with longer seizure duration when used for electroconvulsive therapy?</t>
  </si>
  <si>
    <t>A. Etomidate</t>
  </si>
  <si>
    <t>B. Methohexital</t>
  </si>
  <si>
    <t>C. Propofol</t>
  </si>
  <si>
    <t>{   "Answer": "B",   "Explain": "Methohexital is the drug of choice for providing anesthesia during electroconvulsive therapy, and it is associated with longer seizure duration compared to other anesthetic drugs. According to the text, etomidate is also associated with longer seizures in response to ECT than seizures that occur after the administration of methohexital or propofol."</t>
  </si>
  <si>
    <t>Which of the following drugs does NOT cause enhanced activity of the GABA receptor?</t>
  </si>
  <si>
    <t>B. Ketamine</t>
  </si>
  <si>
    <t>{   "Answer": "B",   "Explain": "Ketamine is known to directly activate the GABA receptor, whereas the other two options, etomidate and propofol, are known to modulate the GABA receptor in a different way. According to the provided context, ketamine's most important action is the inhibition of NMDAR-mediated glutamatergic input to the GABAergic system, leading to a changing excitatory activity in the cortex and limbic system, resulting in unconsciousness."</t>
  </si>
  <si>
    <t>Which of the following components is MISPLACED in the circle system shown in the above illustration?</t>
  </si>
  <si>
    <t>A. Fresh gas inlet</t>
  </si>
  <si>
    <t>B. CO2 absorber</t>
  </si>
  <si>
    <t>C. Expiratory valve</t>
  </si>
  <si>
    <t>{   "Answer": "C",   "Explain": "The Expiratory valve is misplaced in the circle system. According to the diagram, the Expiratory valve is shown as being located between the patient and the CO2 absorber, which is incorrect. In a traditional circle system, the unidirectional valves are essential components that prevent rebreathing of CO2, and the expiratory valve should be located between the patient and the reservoir bag, not between the patient and the CO2 absorber."</t>
  </si>
  <si>
    <t>A new IV anesthetic is found to have a very large volume of distribution. This drug is MOST likely to have which of the following properties?</t>
  </si>
  <si>
    <t>A. Low lipid solubility</t>
  </si>
  <si>
    <t>B. High rate of ionization</t>
  </si>
  <si>
    <t>C. Low plasma protein binding</t>
  </si>
  <si>
    <t>{   "Answer": "C",   "Explain": "A new IV anesthetic with a very large volume of distribution is most likely to have low plasma protein binding. This is because a large volume of distribution indicates that the drug is not being bound to plasma proteins, but rather is distributed throughout the body's tissues. Low plasma protein binding means that the drug is not being sequestered by proteins in the blood, allowing it to be more widely distributed and potentially causing a longer duration of action." }</t>
  </si>
  <si>
    <t>Which of the following drugs has the LONGEST duration of action in a patient with renal failure?</t>
  </si>
  <si>
    <t>A. Neostigmine</t>
  </si>
  <si>
    <t>B. Rocuronium</t>
  </si>
  <si>
    <t>C. Succinylcholine</t>
  </si>
  <si>
    <t>{   "Answer": "C",   "Explain": "According to the context, rocuronium has an elimination half-life that is increased in patients with renal failure because of an increase in the volume of distribution with no change in clearance. This may account for a longer duration of action in anephric patients, although its clinical significance is uncertain." }</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</si>
  <si>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</si>
  <si>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</si>
  <si>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</si>
  <si>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</si>
  <si>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responsible for sensation from the larynx and epiglottis."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</si>
  <si>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</si>
  <si>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</si>
  <si>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</si>
  <si>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</si>
  <si>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provides sensory input from the lower pharynx and the upper part of the larynx, including the glottic surface of the epiglottis and the aryepiglottic folds."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</si>
  <si>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</si>
  <si>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</si>
  <si>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</si>
  <si>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</si>
  <si>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As anesthesia induces vasodilation, the body's natural thermoregulatory mechanisms, such as vasoconstriction, are impaired, leading to a decrease in heat conservation and an increase in heat loss, resulting in a reduction in core temperature."</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</si>
  <si>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</si>
  <si>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</si>
  <si>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</si>
  <si>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</si>
  <si>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and then improved to 92% when FiO2 was increased to 1.0. This suggests that the patient's hypoxemia was caused by a decrease in functional residual capacity (FRC), leading to a decrease in alveolar ventilation and an increase in dead space ventilation. The patient's age and decreased lung elasticity may have contributed to this decrease in FRC."</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</si>
  <si>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</si>
  <si>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</si>
  <si>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</si>
  <si>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</si>
  <si>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"C",   "Explain": "The patient has complete anesthesia in the median, radial, and ulnar nerve distributions after a supraclavicular block, which suggests that the musculocutaneous nerve is not blocked. Therefore, the next step would be to perform a musculocutaneous nerve block to complete the anesthesia for the hand and forearm."</t>
  </si>
  <si>
    <t>Which of the following mechanisms is PRIMARILY responsible for emergence after a single dose of propofol?</t>
  </si>
  <si>
    <t>A. Redistribution</t>
  </si>
  <si>
    <t>B. Metabolism</t>
  </si>
  <si>
    <t>C. Excretion</t>
  </si>
  <si>
    <t>{   "Answer": "A",   "Explain": "The rapid clearance of propofol after a single dose is primarily due to redistribution, as its clearance exceeds hepatic blood flow. This is supported by the fact that extrahepatic sites of metabolism, such as the kidney, play a significant role in propofol's elimination."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</si>
  <si>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</si>
  <si>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</si>
  <si>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</si>
  <si>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</si>
  <si>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 decrease in O2 analyzer reading from 50% to 30% suggests that there is a decrease in the amount of oxygen being delivered to the patient. This could be due to a leak in the O2 sensor membrane (B), which would allow nitrous oxide to escape and dilute the oxygen signal, resulting in a lower reading." }</t>
  </si>
  <si>
    <t>An induction dose of ketamine is MOST likely to have which of the following effects?</t>
  </si>
  <si>
    <t>A. Analgesia</t>
  </si>
  <si>
    <t>B. Decreased cerebral metabolic rate</t>
  </si>
  <si>
    <t>C. Preservation of laryngeal reflexes</t>
  </si>
  <si>
    <t>{   "Answer": "A",   "Explain": "After an induction dose of ketamine, patients appear to be in a cataleptic state with eyes remaining open, slow nystagmic gaze, and moderate dilation of the pupils, among other effects. This is characterized as intense analgesia and amnesia despite appearing awake."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</si>
  <si>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</si>
  <si>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</si>
  <si>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</si>
  <si>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</si>
  <si>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"A",   "Explain": "Fentanyl has a greater lipid solubility than morphine, which allows it to cross the blood-brain barrier more quickly and reach its site of action faster, resulting in a shorter duration of action."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</si>
  <si>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</si>
  <si>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</si>
  <si>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</si>
  <si>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</si>
  <si>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(SEM) shows the precision of the sample mean as an estimate of the population mean. It is a measure of the amount of random error present in the sample mean, and it is used to construct confidence intervals and to determine the margin of error in statistical estimates." }</t>
  </si>
  <si>
    <t>Pulse oximetry accurately reflects SaO2 in which of the following situations?</t>
  </si>
  <si>
    <t>A. Administration of indocyanine green</t>
  </si>
  <si>
    <t>B. Carboxyhemoglobinemia</t>
  </si>
  <si>
    <t>C. 40% fetal hemoglobin concentration</t>
  </si>
  <si>
    <t>{   "Answer": "B",   "Explain": "Pulse oximetry does not accurately reflect SaO2 in the presence of carboxyhemoglobinemia, as carboxyhemoglobin has an absorbance of light that is similar to oxyhemoglobin, leading to a falsely high reading."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</si>
  <si>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</si>
  <si>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</si>
  <si>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</si>
  <si>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</si>
  <si>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"B",   "Explain": "A patient with a fasting blood glucose of 100 mg/dL is already at a relatively normal level. Given that they are receiving a 4-hour general anesthetic, their blood glucose level is unlikely to drop significantly. Therefore, on emergence, it is most likely that their blood glucose level will still be in the mild hyperglycemia range, which is around 140-180 mg/dL."</t>
  </si>
  <si>
    <t>Which of the following drugs INCREASES gastric pH while decreasing gastric volume?</t>
  </si>
  <si>
    <t>A. Glycopyrrolate</t>
  </si>
  <si>
    <t>B. Metoclopramide</t>
  </si>
  <si>
    <t>C. Ranitidine</t>
  </si>
  <si>
    <t>{   "Answer": "C",   "Explain": "Ranitidine, an H2 receptor antagonist, increases gastric fluid pH in pregnant women approximately one hour after administration without producing adverse effects."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</si>
  <si>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</si>
  <si>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</si>
  <si>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</si>
  <si>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</si>
  <si>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is more easily absorbed into the bloodstream and therefore equilibrates more rapidly with the alveolar and inspired concentrations." }</t>
  </si>
  <si>
    <t>Which of the following goals is the PRIMARY purpose of denitrogenation prior to anesthetic induction?</t>
  </si>
  <si>
    <t>A. Improving matching of ventilation and perfusion</t>
  </si>
  <si>
    <t>B. Increasing O2 reserve in the FRC</t>
  </si>
  <si>
    <t>C. Maximizing arterial O2 content</t>
  </si>
  <si>
    <t>{   "Answer": "B",   "Explain": "The primary purpose of denitrogenation prior to anesthetic induction is to increase the patient's reserve of oxygen while apneic, allowing for a longer period of safe apnea before oxygen desaturation occurs. This is achieved by replacing nitrogen in the lungs with oxygen, filling the functional residual capacity with oxygen, and increasing the patient's O2 reserve."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</si>
  <si>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</si>
  <si>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</si>
  <si>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</si>
  <si>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</si>
  <si>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As a result, she is likely to experience aphonia, which is characterized by the inability to speak or make any sounds. This is because the recurrent laryngeal nerve is responsible for controlling the movement of the vocal cords, and injury to this nerve can lead to paralysis of the affected cord, resulting in a complete loss of voice."</t>
  </si>
  <si>
    <t>Which of the following values, in mmHg, is the expected mixed venous O2 tension in a normal adult after breathing 100% O2 for 10 minutes?</t>
  </si>
  <si>
    <t>A. 45</t>
  </si>
  <si>
    <t>B. 95</t>
  </si>
  <si>
    <t>C. 150</t>
  </si>
  <si>
    <t>{   "Answer": B,   "Explain": "According to the context, normal mixed venous PO2 (Pvo2) is 40 mm Hg. Since the patient is breathing 100% O2 for 10 minutes, the expected mixed venous O2 tension would be higher than normal. The correct answer is B, 95, which is a reasonable increase from the normal value of 40 mm Hg." }</t>
  </si>
  <si>
    <t>Which of the following drugs has the SHORTEST elimination half-life?</t>
  </si>
  <si>
    <t>B. Lorazepam</t>
  </si>
  <si>
    <t>C. Midazolam</t>
  </si>
  <si>
    <t>{   Answer: A,   "Explain": "According to the provided context, flumazenil has a very rapid clearance and short elimination half-life compared to other benzodiazepines. This is stated in Box 23.2, which describes its pharmacokinetics. Additionally, it is mentioned that flumazenil has a high proportion of unbound drug, which also contributes to its rapid clearance. This makes it the shortest-lived of all benzodiazepines used in anesthetic practice, with a plasma half-life of approximately 1 hour." }</t>
  </si>
  <si>
    <t>TOTAL CORRECT ANSWERS</t>
  </si>
  <si>
    <t>TOTAL QUESTIONS</t>
  </si>
  <si>
    <t>RATIO</t>
  </si>
  <si>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</si>
  <si>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</si>
  <si>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an operation at the medial aspect of the lower leg, the femoral nerve should be blocked. According to the provided context, the femoral nerve provides innervation to the medial aspect of the leg and can be blocked at the adductor canal, at the level of the knee via the medial femoral condyle, below the knee with local infiltration distal to the medial condyle of the tibia, or above the medial malleolus of the foot."</t>
  </si>
  <si>
    <t>{   "Answer": "C",   "Explain": "The patient is experiencing right upper quadrant abdominal pain and nausea 30 minutes after receiving morphine and midazolam. Opioids can cause spasm of the sphincter of Oddi, leading to increased pressure in the common bile duct and pain. Naloxone is the most appropriate therapy for this patient's pain as it can reverse the effects of opioids and relieve biliary colic pain." }</t>
  </si>
  <si>
    <t>{   Answer: "B",   "Explain": "The patient's serum calcium concentration is 15 mg/dL, which is significantly elevated. The initial management of hypercalcemia is to expand intravascular volume to reduce serum calcium levels. Normal saline is the most appropriate initial management option, as it helps to dilute the elevated calcium levels and reduce the risk of cardiac and neurological complications." }</t>
  </si>
  <si>
    <t>{   Answer: "B",   "Explain": "The amount of sevoflurane added to the fresh gas stream is 40 mL/min, which is calculated by setting up a proportion: (x mL/min sevoflurane)/21% = (150 mL/min oxygen)/79%. The fresh gas flow rate is 5 L/min, and the sevoflurane vaporizer adds 40 mL/min of sevoflurane to the gas stream. Therefore, the delivered anesthetic concentration is 0.5%."</t>
  </si>
  <si>
    <t>{   "Answer": "C",   "Explain": "Vasoconstriction is the most effective physiologic mechanism for maintaining body temperature in an adult patient with mild hypothermia, as it helps to reduce heat loss through radiation, convection, and conduction. In this scenario, the patient is already anesthetized with 1 MAC of isoflurane, which may also contribute to thermoregulatory impairment, making vasoconstriction a more effective means of maintaining body temperature."</t>
  </si>
  <si>
    <t>{   Answer: "A",   "Explain": "Flumazenil has a short duration of action, and the patient may still be sedated 1 hour after the initial dose. Therefore, the patient should remain hospitalized for observation to ensure they do not experience recurrent sedation." }</t>
  </si>
  <si>
    <t>{   "Answer": "B",   "Explain": "The patient position exerts the greatest effect on the extent of spread of local anesthetic following subarachnoid block with hyperbaric bupivacaine. This is because the position of the patient can affect the spread of the anesthetic solution, with sitting position causing a greater spread than other positions."</t>
  </si>
  <si>
    <t>{   "Answer": "B",   "Explain": "The patient's symptoms of nausea, diaphoresis, and sharp pain in the left shoulder are likely caused by bladder perforation. This is because the symptoms are sudden in onset and are not typical of inadequate spinal sensory level or angina pectoris." }</t>
  </si>
  <si>
    <t>{   "Answer": "B",   "Explain": "The etiology of a decrease in SpO2 from 99% to 90% during a 15-minute period after induction of anesthesia in a patient in the Trendelenburg position with CO2 insufflation is likely due to compression of the vena cava. The patient's partial pressure of ETCO2 has increased from 38 to 43 mmHg, which suggests that the patient is not adequately ventilated. The Trendelenburg position can cause compression of the vena cava, leading to decreased venous return and hypoxemia. This is a more likely explanation than CO2 embolus or right mainstem endobronchial intubation, which would likely cause more severe and immediate changes in the patient's oxygen saturation."</t>
  </si>
  <si>
    <t>{   "Answer": "B",   "Explain": "The patient is receiving IV PCA with morphine, which can cause hypoventilation. Additionally, the patient has obesity, which is a known risk factor for postoperative hypoxemia. The patient's SpO2 is 90% on room air, which is not significantly low, but it is still a sign of potential hypoxemia. Therefore, hypoventilation is the most likely cause of the patient's hypoxemia."</t>
  </si>
  <si>
    <t>{   "Answer": "A",   "Explain": "In pressure support ventilation, pressure support breaths are triggered by a decrease in airway pressure, which means that the ventilator senses a drop in airway pressure and responds by delivering a breath to help the patient breathe more easily." }</t>
  </si>
  <si>
    <t>{   "Answer": "B",   "Explain": "Prothrombin time (PT) is a laboratory test that measures the time it takes for a clot to form in a sample of blood. It is used to assess the liver's synthetic function, as the liver synthesizes coagulation factors in great excess. A prolonged PT can reflect acute liver failure more quickly than other liver function tests, making it a more sensitive indicator of liver dysfunction." }</t>
  </si>
  <si>
    <t>{   "Answer": "B",   "Explain": "The patient has a history of a rash with previous penicillin administration, which suggests a possible allergic reaction. Therefore, it is not recommended to administer cefazolin, which is a cephalosporin antibiotic and a close relative of penicillins. Instead, the anesthesiologist should administer hydrocortisone, followed by cefazolin, to ensure that the patient does not have an allergic reaction to the antibiotic."</t>
  </si>
  <si>
    <t>{   "Answer": "B",   "Explain": "A decrease in O2 analyzer reading from 50% to 30% is likely caused by the accumulation of water on the O2 sensor membrane. This is because the anesthesia machine is set to deliver O2 at 2 L/min, and the O2 analyzer is not designed to handle high humidity levels. As a result, the water vapor in the exhaled gases can accumulate on the sensor membrane, reducing its ability to accurately measure the O2 concentration." }</t>
  </si>
  <si>
    <t>{   "Answer": B,   "Explain": "According to the context, normal mixed venous O2 tension in a normal adult is 40 mmHg. After breathing 100% O2 for 10 minutes, the mixed venous O2 tension is expected to increase. The correct answer is B, 95, which is a reasonable increase from the normal value of 40 mmHg." }</t>
  </si>
  <si>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</si>
  <si>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</si>
  <si>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an operation at the medial aspect of the lower leg, the femoral nerve should be blocked. According to the provided context, the femoral nerve provides innervation to the medial aspect of the leg and can be blocked at the level of the knee via the medial femoral condyle, below the knee with local infiltration distal to the medial condyle of the tibia, or above the medial malleolus of the foot."</t>
  </si>
  <si>
    <t>{   Answer: "B",   "Explain": "The patient's serum calcium concentration is 15 mg/dL, which is significantly elevated. The initial management of hypercalcemia is to expand intravascular volume to reduce serum calcium levels. Normal saline is the most appropriate initial management option, as it helps to dilute the elevated calcium levels and reduce the risk of cardiac complications." }</t>
  </si>
  <si>
    <t>{   "Answer": "C",   "Explain": "The caffeine-halothane contracture test (CHCT) has the highest sensitivity and specificity for malignant hyperthermia (MH) diagnosis. According to the text, the CHCT involves exposure of muscle biopsy samples to halothane, caffeine, and halothane plus caffeine, and the test is positive when either the halothane or caffeine test is positive, indicating susceptibility to MH." }</t>
  </si>
  <si>
    <t>{   Answer: "B",   "Explain": "The delivered anesthetic concentration is 0.5%. The amount of sevoflurane added to the fresh gas stream is 40 mL/min, and the fresh gas flow rate is 5 L/min. The percentage of sevoflurane in the delivered gas is calculated as (40 mL/min / 150 mL/min) x 100% = 26.7%. However, the vaporizer is calibrated to deliver 21% sevoflurane at 1 atm, so the actual delivered concentration is lower. To find the actual delivered concentration, we can use the formula: (21% x 150 mL/min) / (150 mL/min + 5 L/min) = 0.5%."</t>
  </si>
  <si>
    <t>{   "Answer": "C",   "Explain": "Vasoconstriction is the most effective physiologic mechanism for maintaining body temperature in an adult patient with mild hypothermia, as it helps to reduce heat loss through radiation, convection, and conduction. In this scenario, the patient is already anesthetized with 1 MAC of isoflurane, which may also contribute to thermoregulatory changes, including vasoconstriction."</t>
  </si>
  <si>
    <t>{   "Answer": "C",   "Explain": "According to the context, the extent of spread of local anesthetic following subarachnoid block with hyperbaric bupivacaine is most influenced by the total dose of drug. The text states that 'the dose, volume, and concentration are inextricably linked (Volume × Concentration = Dose), but dose is the most reliable determinant of local anesthetic spread (and thus block height) when compared with either volume or concentration for isobaric and hypobaric local anesthetic solutions.'"</t>
  </si>
  <si>
    <t>{   "Answer": "B",   "Explain": "The patient is experiencing sudden onset of nausea, diaphoresis, and sharp pain in the left shoulder, which are symptoms of TURP syndrome. This is a complication of transurethral resection of the prostate, and the most likely cause is bladder perforation, which is choice B." }</t>
  </si>
  <si>
    <t>{   "Answer": "B",   "Explain": "The etiology of a decrease in SpO2 from 99% to 90% during a 15-minute period after induction of anesthesia in a patient in the Trendelenburg position with CO2 insufflation is most likely due to compression of the vena cava. This is because the patient is in the Trendelenburg position, which can cause compression of the vena cava, leading to decreased venous return and subsequent hypoxemia. The increase in ETCO2 from 38 to 43 mmHg suggests that the patient is still being ventilated, making CO2 embolus and right mainstem endobronchial intubation less likely causes of the decrease in SpO2."</t>
  </si>
  <si>
    <t>{   "Answer": B,   "Explain": "The patient is receiving IV PCA with morphine, which can cause hypoventilation. Additionally, the patient has obesity, which is a known risk factor for postoperative hypoxemia. The patient's SpO2 is 90% on room air, which is not significantly low, but it still suggests that the patient may be at risk for hypoxemia. Therefore, hypoventilation is the most likely cause of the patient's hypoxemia."</t>
  </si>
  <si>
    <t>{   "Answer": B,   "Explain": "In pressure support ventilation, pressure support breaths are triggered by an increase in airway pressure, not a decrease. This means that when the patient's inspiratory effort increases, the ventilator senses the rise in airway pressure and provides a preset amount of pressure support to help the patient breathe more easily."</t>
  </si>
  <si>
    <t>{   "Answer": "B",   "Explain": "Increased coronary perfusion pressure is necessary to satisfy the increased metabolic demand of the myocardium due to tachycardia. The goal is to maintain a balance between myocardial oxygen supply and demand to minimize the risk of myocardial ischemia." }</t>
  </si>
  <si>
    <t>{   "Answer": "B",   "Explain": "The prothrombin time (PT) is a laboratory test that measures the time it takes for a clot to form in the blood after the removal of a small sample of blood. It is used to assess the synthetic function of the liver, as the liver synthesizes coagulation factors in great excess. A prolonged PT can reflect acute liver failure more quickly than can albumin, making it a more sensitive indicator of liver dysfunction." }</t>
  </si>
  <si>
    <t>{   "Answer": "B",   "Explain": "Shock waves in ESWL are timed with the patient's heart rate and are triggered by the R wave on the patient's electrocardiogram. The shock waves are subsequently delivered during the refractory period of the heart muscle, thus minimizing the risk of cardiac dysrhythmias." }</t>
  </si>
  <si>
    <t>{   "Answer": "C",   "Explain": "The patient is in the lateral position, which causes the dependent lung to be compressed and the nondependent lung to be overventilated. This leads to a mismatch between ventilation and perfusion, resulting in a decrease in PaO2 levels between points A and B." }</t>
  </si>
  <si>
    <t>{   "Answer": "B",   "Explain": "The patient has a history of a rash with previous penicillin administration, which suggests a possible allergic reaction. Therefore, it is not appropriate to administer cefazolin, a cephalosporin, which is a related antibiotic. Instead, the anesthesiologist should administer hydrocortisone, a corticosteroid, to help alleviate any potential allergic reaction, followed by cefazolin if necessary."</t>
  </si>
  <si>
    <t>{   "Answer": "C",   "Explain": "Hyperthermia causes a rightward shift of the oxyhemoglobin dissociation curve, which means that for the same partial pressure of oxygen, more oxygen is released from hemoglobin to the tissues." }</t>
  </si>
  <si>
    <t>{   "Answer": "B",   "Explain": "Hypothyroidism decreases myocardial contractility, leading to decreased cardiac output, which is reflected in a decrease in peripheral vascular tone." }</t>
  </si>
  <si>
    <t>{   "Answer": "A",   "Explain": "Etomidate is associated with longer seizure duration when used for electroconvulsive therapy, as stated in the document: 'Etomidate is also associated with longer seizures in response to ECT than seizures that occur after the administration of methohexital or propofol.'" }</t>
  </si>
  <si>
    <t>{   "Answer": "B",   "Explain": "The CO2 absorber is misplaced in the circle system. According to the diagram, the CO2 absorber is located after the expiratory valve, which is incorrect. In a traditional circle system, the CO2 absorber is typically located between the expiratory valve and the patient to absorb the exhaled CO2."</t>
  </si>
  <si>
    <t>{   "Answer": "C",   "Explain": "A new IV anesthetic with a very large volume of distribution is most likely to have low plasma protein binding. This is because a large volume of distribution indicates that the drug is not being bound to plasma proteins, but rather is being distributed throughout the body's tissues. This is in contrast to drugs with smaller volumes of distribution, which may be more likely to be bound to plasma proteins." }</t>
  </si>
  <si>
    <t>{   "Answer": "C",   "Explain": "According to the provided context, rocuronium has an elimination half-life that is increased in patients with renal failure because of an increase in the volume of distribution with no change in clearance. This may account for a longer duration of action in anephric patients, although its clinical significance is uncertain." }</t>
  </si>
  <si>
    <t>{   "Answer": "A",   "Explain": "Ablation of thermoregulatory vasoconstriction is the most likely explanation for the initial reduction in core temperature during general anesthesia. This is because general anesthesia causes vasodilation, which leads to a decrease in blood flow to the skin and other peripheral areas, resulting in a loss of heat and a drop in core temperature." }</t>
  </si>
  <si>
    <t>{   "Answer": "A",   "Explain": "As compared with an IV dose of morphine, the decreased duration of action of an IV dose of fentanyl is most likely due to its greater lipid solubility. This allows fentanyl to cross the blood-brain barrier more quickly, resulting in a more rapid onset of action and a shorter duration of action." }</t>
  </si>
  <si>
    <t>{   "Answer": "A",   "Explain": "The standard error of the mean (SEM) shows the precision of the sample mean as an estimate of the population mean, indicating how close the sample mean is likely to be to the true population mean. It is a measure of the amount of random error in the sample mean, and it is used to construct confidence intervals and to determine the margin of error in statistical estimates."</t>
  </si>
  <si>
    <t>{   "Answer": "B",   "Explain": "Pulse oximetry does not accurately reflect SaO2 in the presence of carboxyhemoglobinemia, as carboxyhemoglobin has an absorbance of light that is different from oxyhemoglobin, leading to falsely high SpO2 readings." }</t>
  </si>
  <si>
    <t>{   "Answer": "B",   "Explain": "A patient with a fasting blood glucose of 100 mg/dL is already at a relatively normal level. Given that they are receiving a 4-hour general anesthetic, it is unlikely that their blood glucose level will drop significantly. Therefore, it is most likely that their blood glucose concentration on emergence will be mildly hyperglycemic, which is choice B."</t>
  </si>
  <si>
    <t>{   "Answer": "B",   "Explain": "The primary purpose of denitrogenation prior to anesthetic induction is to increase the patient's reserve of oxygen while apneic, allowing for a longer period of safe apnea before oxygen desaturation occurs. This is achieved by replacing nitrogen in the lungs with oxygen, filling the functional residual capacity with oxygen, and increasing the patient's end-tidal oxygen level to above 90%."</t>
  </si>
  <si>
    <t>{   "Answer": B,   "Explain": "A 32-year-old woman sustains an injury to the left recurrent laryngeal nerve during thyroidectomy. As a result, she is likely to experience aphonia, which is characterized by the inability to speak or make any sounds, as opposed to adduction of the left vocal cord at rest, which would not be a direct consequence of a unilateral recurrent laryngeal nerve injury. Aspiration caused by glottic incompetency is also not a direct consequence of a recurrent laryngeal nerve injury, as it would require a more complex set of circumstances."</t>
  </si>
  <si>
    <t>{   "Answer": B,   "Explain": "According to the context, normal mixed venous PO2 (Pvo2) is 40 mm Hg. Since the patient is breathing 100% O2 for 10 minutes, the mixed venous O2 tension is expected to increase. The correct answer is B, 95, which is a reasonable increase from the normal value of 40 mm Hg." }</t>
  </si>
  <si>
    <t>{   Answer: A,   "Explain": "According to the provided context, flumazenil has a very rapid clearance and short elimination half-life compared to other benzodiazepines. This is stated in Box 23.2, which describes its pharmacokinetics. Additionally, it is mentioned that flumazenil is a short-lived compound, and its plasma half-life is not specified. This suggests that it has the shortest elimination half-life among the options, making choice A, flumazenil, the correct answer."</t>
  </si>
  <si>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</si>
  <si>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</si>
  <si>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</si>
  <si>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t>{   "Answer": "B",   "Explain": "The patient's symptoms of nausea, diaphoresis, and sharp pain in the left shoulder are likely caused by bladder perforation. This is because the symptoms are sudden in onset and are not typical of inadequate spinal sensory level or angina pectoris, which would not cause shoulder pain." }</t>
  </si>
  <si>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</si>
  <si>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</si>
  <si>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an operation at the medial aspect of the lower leg, the femoral nerve should be blocked. According to the provided context, the femoral nerve provides innervation to the medial aspect of the leg and can be blocked at the adductor canal, below the knee with local infiltration distal to the medial condyle of the tibia, or above the medial malleolus of the foot." }</t>
  </si>
  <si>
    <t>{   "Answer": "C",   "Explain": "Given that the patient has developed right upper quadrant abdominal pain and nausea 30 minutes after receiving morphine and midazolam, the most appropriate therapy for her pain is naloxone. This is because morphine can cause spasm of the sphincter of Oddi, leading to increased pressure in the common bile duct and pain. Naloxone is a competitive antagonist of opioids and can reverse the effects of morphine on the sphincter of Oddi, thus alleviating the patient's symptoms."</t>
  </si>
  <si>
    <t>{   Answer: "B",   "Explain": "The patient's serum calcium concentration is 15 mg/dL, which is higher than the normal range. In emergency situations, vigorous expansion of intravascular volume usually reduces serum calcium to a safe level (&lt;14 mg/dL). Normal saline is the most appropriate initial management to reduce the serum calcium level and alleviate symptoms." }</t>
  </si>
  <si>
    <t>{   "Answer": "C",   "Explain": "The caffeine-halothane contracture test (CHCT) is considered the gold standard for diagnosing malignant hyperthermia susceptibility. It has the highest sensitivity and specificity for MH susceptibility, making it the most reliable test for predicting the likelihood of developing malignant hyperthermia." }</t>
  </si>
  <si>
    <t>{   Answer: "B",   "Explain": "The amount of sevoflurane added to the fresh gas stream is 40 mL/min. The total gas flow rate is 5 L/min, and the percentage of sevoflurane in the output gas stream is the ratio of the amount of sevoflurane added to the total gas flow rate. Therefore, the percentage of sevoflurane in the output gas stream is 40 mL/min / 500 mL/min * 100% = 8%. Since the vapor pressure of sevoflurane is 157 mmHg, the delivered anesthetic concentration is 0.5%."</t>
  </si>
  <si>
    <t>{   "Answer": "C",   "Explain": "Vasoconstriction is the most effective physiologic mechanism for maintaining body temperature in an adult patient with mild hypothermia anesthetized with 1 MAC of isoflurane. This is because isoflurane is a volatile anesthetic that can cause vasodilation, leading to heat loss. Vasoconstriction, on the other hand, helps to reduce heat loss by constricting blood vessels and reducing blood flow to the skin, thereby conserving heat."</t>
  </si>
  <si>
    <t>{   Answer: "A",   "Explain": "Flumazenil has a short duration of action, and the patient may still be at risk of resedation within 1 hour after the initial dose. Therefore, the patient should remain hospitalized for observation to ensure they do not experience recurrent sedation." }</t>
  </si>
  <si>
    <t>{   "Answer": "B",   "Explain": "The patient position exerts the greatest effect on the extent of spread of local anesthetic following subarachnoid block with hyperbaric bupivacaine. The position of the patient, particularly during and for the first few minutes after administration, can significantly influence the distribution of the local anesthetic solution in the subarachnoid space." }</t>
  </si>
  <si>
    <t>{   Answer: "C",   "Explain": "The patient is experiencing pulmonary edema after resolution of postoperative laryngospasm, and is breathing 100% O2 with an SpO2 of 80%. The most appropriate management strategy is to provide positive-pressure ventilation to help improve oxygenation and reduce the severity of the edema."</t>
  </si>
  <si>
    <t>{   "Answer": "B",   "Explain": "The patient is experiencing sharp pain in the left shoulder, which is an unusual symptom for a spinal anesthetic. Bladder perforation is a possible cause of this pain, as it can lead to diaphragmatic irritation and referred pain to the shoulder." }</t>
  </si>
  <si>
    <t>{   "Answer": "B",   "Explain": "The etiology of the decrease in SpO2 from 99% to 90% and the increase in ETCO2 from 38 to 43 mmHg is likely due to compression of the vena cava. The patient is in the Trendelenburg position with CO2 insufflation, which can cause compression of the vena cava and lead to decreased venous return, hypoxemia, and hypercapnia."</t>
  </si>
  <si>
    <t>{   "Answer": "B",   "Explain": "The patient is receiving IV PCA with morphine, which can cause hypoventilation, a common cause of postoperative hypoxemia. The patient's SpO2 is 90% on room air, which is not significantly low, but it suggests that the patient may be experiencing some degree of hypoxemia. The other options, absorption of CO2 from the abdomen and increased dead space, are less likely causes of hypoxemia in this scenario."</t>
  </si>
  <si>
    <t>{   "Answer": B,   "Explain": "In pressure support ventilation, pressure support breaths are triggered by an increase in airway pressure, not a decrease. This means that when the patient's inspiratory effort increases, the ventilator provides additional pressure to support their breathing, helping to deliver a set tidal volume and minute ventilation." }</t>
  </si>
  <si>
    <t>{   "Answer": "B",   "Explain": "To satisfy the increased metabolic demand of the myocardium, the increased heart rate needs to be matched with an increase in coronary perfusion pressure. This is because the increased heart rate leads to a decrease in diastolic time, which reduces the time available for coronary blood flow. Therefore, an increase in coronary perfusion pressure is necessary to maintain adequate oxygen supply to the myocardium." }</t>
  </si>
  <si>
    <t>{   "Answer": "B",   "Explain": "Prothrombin time (PT) is a laboratory test that measures the time it takes for a sample of blood to clot. It is used to assess the liver's synthetic function, particularly the production of clotting factors. A prolonged PT can indicate impaired liver function, making it a reliable indicator of adequate synthetic hepatic function." }</t>
  </si>
  <si>
    <t>{   "Answer": "A",   "Explain": "Compared with a semiclosed circle system, a Bain circuit exhibits less rebreathing of CO2. This is because the Bain circuit relies on a higher rate of fresh gas inflow to eliminate CO2 and prevent rebreathing, whereas semiclosed circle systems allow for some rebreathing of gases." }</t>
  </si>
  <si>
    <t>{   "Answer": "C",   "Explain": "The patient is in the lateral position, which can cause a combination of factors that worsen ventilation-perfusion mismatching, potentially leading to arterial hypoxemia. The dependent lung is compressed, and the nondependent lung is overventilated, causing a mismatch between ventilation and perfusion. This is because the lateral weight of the mediastinum and the disproportionate cephalad pressure of abdominal contents on the dependent lung favor overventilation of the nondependent lung." }</t>
  </si>
  <si>
    <t>{   "Answer": "B",   "Explain": "The patient has a history of a rash with previous penicillin administration, which suggests a possible allergic reaction. Therefore, it is recommended to administer hydrocortisone, a corticosteroid, before administering cefazolin to reduce the risk of an allergic reaction. This is in accordance with the ASA Task Force guidelines for anaphylaxis prevention and treatment."</t>
  </si>
  <si>
    <t>{   Answer: "B",   "Explain": "Chronic ethanol abuse decreases the MAC of isoflurane, according to the provided context." }</t>
  </si>
  <si>
    <t>{   "Answer": "A",   "Explain": "Bupivacaine blocks the release of norepinephrine, which is a neurotransmitter that plays a crucial role in increasing blood pressure and heart rate. This blockade of norepinephrine release is a primary toxic effect of bupivacaine on the cardiovascular system, leading to a decrease in blood pressure and cardiac depression." }</t>
  </si>
  <si>
    <t>{   "Answer": "C",   "Explain": "Hyperthermia causes a rightward shift of the oxyhemoglobin dissociation curve, which means that for a given arterial partial pressure of oxygen (PaO2), the percentage of hemoglobin saturated with oxygen is increased. This is because the increased body temperature causes a decrease in the affinity of hemoglobin for oxygen, making it easier for oxygen to be released to the tissues." }</t>
  </si>
  <si>
    <t>{   "Answer": "B",   "Explain": "In hypothyroidism, there is a decrease in myocardial contractility, which is a characteristic feature of this condition. As a result, myocardial contractility is lessened, leading to a decrease in cardiac output and blood pressure." }</t>
  </si>
  <si>
    <t>{   "Answer": "A",   "Explain": "Etomidate is associated with longer seizure duration when used for electroconvulsive therapy. According to the provided context, etomidate is more likely to lead to prolonged seizure activity, whereas methohexital and propofol have been shown to have shorter seizure durations." }</t>
  </si>
  <si>
    <t>{   "Answer": "B",   "Explain": "Ketamine does not enhance activity of the GABA receptor, whereas etomidate and propofol do. According to the text, ketamine's most important action is the inhibition of NMDA-mediated glutamergic input to the GABAergic system, leading to a changing excitatory activity in the cortex and limbic system."</t>
  </si>
  <si>
    <t>{   "Answer": "C",   "Explain": "The Expiratory valve is misplaced in the circle system. According to the illustration, the expiratory valve is not located between the patient and the reservoir bag on both the inspiratory and expiratory limbs, which is a fundamental rule of a traditional circle breathing system." }</t>
  </si>
  <si>
    <t>{   "Answer": "C",   "Explain": "A new IV anesthetic with a very large volume of distribution is likely to have low plasma protein binding. This is because a large volume of distribution indicates that the drug is not being extensively bound to plasma proteins, allowing it to distribute widely throughout the body. This is in contrast to drugs with a smaller volume of distribution, which may be more likely to be bound to plasma proteins and have a smaller distribution."</t>
  </si>
  <si>
    <t>{   Answer: "C",   "Explain": "Instillation of local anesthetic into the trachea via the cricothyroid membrane is most likely to block the Recurrent Laryngeal Nerve, which is responsible for providing sensation to the larynx and epiglottis." }</t>
  </si>
  <si>
    <t>{   "Answer": "A",   "Explain": "Ablation of thermoregulatory vasoconstriction is the most likely explanation for the initial reduction in core temperature during general anesthesia. As anesthesia is induced, the brain's ability to regulate body temperature is impaired, leading to a decrease in vasoconstriction and a subsequent reduction in heat conservation, resulting in a decrease in core temperature."</t>
  </si>
  <si>
    <t>{   "Answer": "A",   "Explain": "The patient's SpO2 decreased from 98% to 84% and then improved to 92% when FiO2 was increased to 1.0. This suggests that the patient's hypoxemia was caused by a low partial pressure of oxygen in the alveoli, which is consistent with a decreased functional residual capacity (FRC). As the patient is 65 years old, age-related decrease in FRC is a likely cause of his hypoxemia."</t>
  </si>
  <si>
    <t>{   Answer: "C",   "Explain": "The patient has complete anesthesia in the median, radial, and ulnar nerve distributions after a supraclavicular block, which suggests that the musculocutaneous nerve is not blocked. The musculocutaneous nerve is not blocked by the axillary block, but it can be blocked with a subcutaneous injection in the axilla. Therefore, the next step would be to perform a musculocutaneous block to complete the anesthesia."</t>
  </si>
  <si>
    <t>{   "Answer": "A",   "Explain": "The rapid clearance of propofol after a single dose is primarily due to redistribution, not metabolism or excretion. According to the text, 'Propofol's clearance is actually greater than hepatic blood flow. This is only possible if, in addition to the robust ability of the liver to metabolize this drug, there are extrahepatic sites of drug metabolism.' This suggests that the liver is not the primary site of clearance, and therefore, redistribution is the primary mechanism responsible for the rapid emergence after a single dose of propofol."</t>
  </si>
  <si>
    <t>{   "Answer": "B",   "Explain": "A decrease in O2 analyzer reading from 50% to 30% could be caused by accumulation of water on the O2 sensor membrane. When the anesthesia machine is delivering O2 and nitrous oxide, the O2 flow is not being used by the patient, and the excess O2 is being absorbed by the water in the sensor membrane, leading to a decrease in the O2 reading."</t>
  </si>
  <si>
    <t>{   "Answer": "A",   "Explain": "After an induction dose of ketamine, patients appear to be in a cataleptic state with eyes remaining open, slow nystagmic gaze, and moderate dilation of the pupils, among other effects. This is due to the intense analgesia and amnesia provided by ketamine, making it an effective anesthetic agent." }</t>
  </si>
  <si>
    <t>{   "Answer": "A",   "Explain": "The standard error of the mean (SEM) shows the precision of the sample mean as an estimate of the population mean. It is a measure of the amount of random error present in the sample mean, and it provides a way to quantify the amount of uncertainty associated with the sample mean." }</t>
  </si>
  <si>
    <t>{   "Answer": "B",   "Explain": "Pulse oximetry does not accurately reflect SaO2 in the presence of carboxyhemoglobinemia because carboxyhemoglobin has an absorbance of light that is different from oxyhemoglobin, leading to a falsely high SpO2 reading." }</t>
  </si>
  <si>
    <t>{   "Answer": "B",   "Explain": "The patient's fasting blood glucose level is 100 mg/dL, which is not significantly elevated. During anesthesia, blood glucose levels can fluctuate, but it is unlikely to drop to hypoglycemic levels. Therefore, the patient is most likely to have mild hyperglycemia on emergence."</t>
  </si>
  <si>
    <t>{   "Answer": "C",   "Explain": "Ranitidine is an H2 receptor antagonist that increases gastric fluid pH in pregnant women approximately one hour after administration without producing adverse effects." }</t>
  </si>
  <si>
    <t>{   Answer: "C",   "Explain": "Nitrous oxide has a lower blood gas solubility compared to desflurane, which means it takes less time for the alveolar and inspired concentrations to equilibrate. This is because nitrous oxide is more easily absorbed into the bloodstream and tissues, resulting in a faster rate of uptake and clearance." }</t>
  </si>
  <si>
    <t>{   "Answer": "B",   "Explain": "Denitrogenation, also known as preoxygenation, is performed to increase the patient's reserve of oxygen while apneic. This is achieved by replacing nitrogen in the lungs with oxygen, increasing the time period the patient can safely be apneic. The goal is to increase the oxygen reserve in the functional residual capacity (FRC) to provide a margin of safety during induction of anesthesia, which can be a critical period when the patient is at risk of oxygen desaturation." }</t>
  </si>
  <si>
    <t>{   "Answer": B,   "Explain": "A 32-year-old woman sustains an injury to the left recurrent laryngeal nerve during thyroidectomy. As a result, she is likely to experience aphonia, which is characterized by the inability to speak or make any sounds, whereas adduction of the left vocal cord at rest is not a direct consequence of this specific injury. Aspiration caused by glottic incompetency is also not a direct result of this injury, as it is typically caused by bilateral vocal cord paralysis, not unilateral injury to the recurrent laryngeal nerve."</t>
  </si>
  <si>
    <t>{   "Answer": B,   "Explain": "Normal mixed venous O2 tension in a normal adult after breathing 100% O2 for 10 minutes is 95 mmHg. This is because 100% O2 increases the alveolar O2 tension, which increases the mixed venous O2 tension." }</t>
  </si>
  <si>
    <t>{   Answer: A,   "Explain": "According to the text, flumazenil has a very rapid clearance and short elimination half-life compared to other benzodiazepine receptor agonists. This is stated in Box 23.2, which describes its pharmacokinetics. Additionally, the text states that flumazenil is a short-lived compound, and its plasma half-life is described as 'I' which is the shortest of all benzodiazepines used in anesthetic practice." }</t>
  </si>
  <si>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</si>
  <si>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</si>
  <si>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"For an operation at the medial aspect of the lower leg, the femoral nerve should be blocked. According to the text, 'For procedures that also involve the medial aspect of the leg, the femoral nerve can be blocked, commonly at the adductor canal, at the level of the knee via the medial femoral condyle, below the knee with local infiltration distal to the medial condyle of the tibia, or above the medial malleolus of the foot.'"</t>
  </si>
  <si>
    <t>{   "Answer": "C",   "Explain": "Based on the provided context, intraoperative spasm of the sphincter of Oddi can be treated with naloxone, which is the most appropriate therapy for this patient's pain. The patient has developed right upper quadrant abdominal pain and nausea 30 minutes after receiving premedication with morphine and midazolam, which may be indicative of opioid-induced biliary colic. Naloxone can relieve this type of biliary colic pain." }</t>
  </si>
  <si>
    <t>{   Answer: "B",   "Explain": "Normal saline is the most appropriate initial management for a patient with hypercalcemia, as it can help to reduce the serum calcium level by increasing urinary calcium excretion." }</t>
  </si>
  <si>
    <t>{   "Answer": "C",   "Explain": "The caffeine-halothane contracture test (CCT) has the highest sensitivity and specificity for malignant hyperthermia (MH) susceptibility. The test is performed on a skeletal muscle biopsy sample, which is exposed to both halothane and caffeine, and the degree of muscle contracture is observed. A positive test indicates susceptibility to MH, making it the most reliable test for predicting the likelihood of developing MH."</t>
  </si>
  <si>
    <t>{   "Answer": C,   "Explain": "The amount of sevoflurane added to the fresh gas flow through the vaporizer is 40 mL/min. If the fresh gas flow rate is 5 L/min, the delivered anesthetic concentration is calculated by dividing the volume of sevoflurane added to the flow rate: 40 mL/min x 2% (since 2.5% is not an option) = 0.8%. The actual delivered concentration is 0.5%, which is the closest option to 0.8%. Therefore, the correct answer is B, 0.5%.")</t>
  </si>
  <si>
    <t>{   "Answer": "C",   "Explain": "Vasoconstriction is the most effective physiologic mechanism for maintaining body temperature in this patient, as isoflurane anesthesia at 1 MAC decreases thermoregulatory thresholds, leading to reduced vasoconstriction with core cooling." }</t>
  </si>
  <si>
    <t>{   Answer: "A,   "Flumazenil may precipitate withdrawal symptoms in patients physically dependent on benzodiazepine receptor agonists. However, this is not a problem when flumazenil is used to reverse clinical effects of benzodiazepine receptor agonists applied in the practice of anesthesia."</t>
  </si>
  <si>
    <t>{     "Answer": "C",     "Explain": "The dose of the local anesthetic is the most reliable determinant of local anesthetic spread and thus block height when compared with either volume or concentration for isobaric and hypobaric local anesthetic solutions." }</t>
  </si>
  <si>
    <t>{   Answer: "C",   "Explain": "Since the patient is experiencing pulmonary edema and the goal is to improve oxygenation, the most appropriate management strategy is to initiate positive-pressure ventilation. This will help to increase the patient's oxygen saturation and alleviate symptoms of hypoxemia."</t>
  </si>
  <si>
    <t>{   Answer: "B",   "Explain": "The sudden onset of nausea, diaphoresis, and sharp pain in the left shoulder suggests bladder perforation. This is a possible complication of TURP and can occur due to various reasons such as technical difficulties, instrument trauma, or incorrect positioning. The early warning signs of bladder perforation include sudden onset of pain, distension, and bleeding. In this case, the patient's symptoms are consistent with bladder perforation, making it the most likely cause."</t>
  </si>
  <si>
    <t>{   "Answer": "B,   "Explain": "The etiology of a decrease in SpO2 from 99% to 90% is likely related to compression of the vena cava, which occurs when the patient is in the Trendelenburg position. This position can cause compression of the vena cava, leading to decreased venous return and ultimately a decrease in mixed venous oxygen saturation. The increased ETCO2 from 38 to 43 mmHg is consistent with the increased metabolic demand caused by the Trendelenburg position and may also contribute to the decrease in peripheral oxygen saturation."</t>
  </si>
  <si>
    <t>{   Answer: "B",   "Explain": "The patient is experiencing hypoxemia with a SpO2 of 90% on room air, which is a common cause of postoperative hypoxemia. Alveolar hypoventilation is the most common cause of postoperative hypoxemia, and it is caused by a variety of factors, including residual effects of anesthetics and/or neuromuscular blocking drugs, pulmonary disease, and other medical conditions. In this case, the patient's obesity and history of abdominal surgery, which can cause hypoventilation, increase the likelihood of alveolar hypoventilation as the underlying cause of the patient's hypoxemia." }</t>
  </si>
  <si>
    <t>{   "Answer": "A",   "Explain": "Pressure support breaths in pressure support ventilation (PSV) are triggered by a decrease in airway pressure." }</t>
  </si>
  <si>
    <t>{   "Answer": B,   "Explain": "B. Increased coronary perfusion pressure is the most likely factor to satisfy the increased metabolic demand of the myocardium. This is because increased coronary perfusion pressure ensures that the heart is receiving the necessary oxygen and nutrients to meet its increased demands. As stated in the text, the coronary perfusion pressure for the left ventricle is the aortic blood pressure during diastole minus the left ventricular end-diastolic pressure, and maintaining a stable or increased aortic blood pressure during anesthesia is crucial to maintain adequate myocardial perfusion." }</t>
  </si>
  <si>
    <t>{   Answer: B,   "Explain": "The prothrombin time (PT) is a test used to assess the liver's synthetic function, as it measures the time it takes for blood to clot. In the liver, procoagulant proteins such as factors II, VII, IX, and X are synthesized. Vitamin K plays a crucial role in catalyzing the production of these factors. Impaired liver function will delay the production of these factors, causing the PT to increase. Therefore, the prothrombin time is a better indicator of liver synthetic function compared to other laboratory tests such as serum albumin concentration or aminotransferase levels."</t>
  </si>
  <si>
    <t>{   "Answer": "B",   "Explain": "B - ECG synchronization is the best strategy to prevent ventricular dysrhythmias during extracorporeal shock wave lithotripsy. The shock waves are timed with the patient's heart rate and triggered by the R wave on the patient's electrocardiogram, thus minimizing the risk of cardiac dysrhythmias."</t>
  </si>
  <si>
    <t>{   "Answer": A,   "Explain": "Compared with a semiclosed circle system, a Bain circuit exhibits less rebreathing of CO2, as it eliminates the need for an absorber to remove CO2 from the rebreathed gases, resulting in a lower CO2 rebreathing rate and potentially reduced respiratory acidosis." }</t>
  </si>
  <si>
    <t>{   "Answer": C,   "Explain": "Patient position plays a significant role in altering ventilation and perfusion during one-lung ventilation. When a patient is positioned in the lateral decubitus position, the dependent lung is compressed, leading to increased perfusion of this lung, while the non-dependent lung is overventilated. This results in a worsening of ventilation-perfusion mismatch, leading to arterial hypoxemia." }</t>
  </si>
  <si>
    <t>{   "Answer": B,   "Explain": "As the patient has a history of developing a rash with penicillin administration, it is suggested that hydrocortisone, followed by cefazolin, be administered. This is because corticosteroids, such as hydrocortisone, can help alleviate allergic reactions, whereas cephalosporins, which include cefazolin, are the most common causes of anaphylaxis."</t>
  </si>
  <si>
    <t>{   Answer: "A",   "Explain": "Acute cocaine intoxication increases the minimum alveolar concentration (MAC) of isoflurane, whereas the choices B and C, chronic ethanol abuse and symptomatic hyponatremia, have no specified effect on MAC in the provided context."</t>
  </si>
  <si>
    <t>{   "Answer": A,   "Explain": "Blockade of norepinephrine release is a key mechanism of bupivacaine's primary toxic effect on the cardiovascular system, which is to cause rapid and profound cardiovascular depression."</t>
  </si>
  <si>
    <t>{   "Answer": "C",   "Explain": "Hyperthermia causes a decrease in the concentration of 2,3-diphosphoglycerate, which shifts the oxyhemoglobin dissociation curve to the right. This means that for the same partial pressure of oxygen, the hemoglobin is less efficient at releasing oxygen to the tissues, resulting in a decrease in oxygen delivery to the tissues." }</t>
  </si>
  <si>
    <t>{ "Answer": "B", "Explain": "In clinical hypothyroidism, myocardial contractility is decreased, which means that the heart muscle contracts less forcefully and with less frequency. This can lead to a decrease in cardiac output and a feeling of fatigue or sluggishness in the cardiovascular system. Additionally, the decreased thyroid hormone levels can also cause a decrease in body temperature, leading to potential complications such as hypothermia." }</t>
  </si>
  <si>
    <t>{   Answer: "B",   "Explain": "Methohexital is the drug of choice for electroconvulsive therapy and has been shown to have a shorter duration of action compared to etomidate, which is more likely to be associated with longer seizure duration." }</t>
  </si>
  <si>
    <t>{   Answer: "B",   "Explain": "According to the context, ketamine is shown to have multiple effects on different receptors such as NMDA receptors, sigma opioid receptors, muscarinic receptors, and GABAA receptors. This is stated in document 769. This makes it less likely for ketamine to be the one that does not cause enhanced activity of the GABA receptor, unlike etomidate and propofol, which are mentioned as enhancing GABAA receptor activity in several documents."</t>
  </si>
  <si>
    <t>{ "Answer": "B", "Explain": "The CO2 absorber is not in its correct position in the circle system diagram. According to the diagram provided, the circle system has the components: Fresh gas inlet, Inspiratory and expiratory unidirectional valves, Inspiratory and expiratory corrugated tubing, Y-piece, APL valve, Reservoir bag, Canister containing carbon dioxide absorbent, Bag/vent selector switch, and Mechanical anesthesia ventilator. The CO2 absorber is not mentioned in this diagram." }</t>
  </si>
  <si>
    <t>{   "Answer": B,   "Explain": "The new IV anesthetic is likely to have high rate of ionization because a large volume of distribution is associated with high lipid solubility and high ionization. This is evident from the passage where it is mentioned that 'the high lipid solubility and greater nonionization allow for quicker crossing of the blood-brain barrier, quicker access to the central nervous system to exert its effects, and quicker redistribution to inactive tissue sites.' Additionally, the passage also talks about how ionization and lipid solubility influence the latency time to peak effect of opioids, further emphasizing the connection between ionization and lipid solubility."</t>
  </si>
  <si>
    <t>{ "Answer": "B", "Explain": "According to the provided context, Rocuronium's elimination half-life is increased by 30% in patients with renal failure because of an increase in the volume of distribution with no change in clearance. This suggests a longer duration of action in anephric patients, although its clinical significance is uncertain." }</t>
  </si>
  <si>
    <t>{   Answer: "C",   "Explain": "Instillation of local anesthetic into the trachea via the cricothyroid membrane is most likely to block the Recurrent Laryngeal nerve, which is a branch of the vagus nerve that provides sensory input from the lower pharynx and the upper part of the larynx, including the glottic surface of the epiglottis and the aryepiglottic folds." }</t>
  </si>
  <si>
    <t>{   "Answer": B,   "Explain": "Gagging during awake intubation is BEST prevented by local anesthetic block of the glossopharyngeal nerve, which supplies sensory innervation to the posterior third of the tongue, vallecula, the anterior surface of the epiglottis, and the posterior and lateral walls of the pharynx, and is the afferent pathway of the gag reflex." }</t>
  </si>
  <si>
    <t>{   "Answer": "A",   "Explain": "Ablation of thermoregulatory vasoconstriction is the most likely explanation for the initial reduction in core temperature during general anesthesia. Anesthesia can cause a decrease in the body's natural ability to vasoconstrict and conserve heat, leading to heat loss and a lower core temperature."</t>
  </si>
  <si>
    <t>{   "Answer": "A",   "Explain": "The patient's SpO2 decreased from 98% to 84% and then improved to 92% when FiO2 was increased to 1.0, indicating a hypoxemic episode. This could be caused by a physiologic shunt, which is more likely due to a decreased functional residual capacity (FRC) with decreased lung compliance, rather than increased dead space ventilation or room air admixture during inspiration. Decreased FRC can occur in elderly patients, and it can lead to hypoxemia."</t>
  </si>
  <si>
    <t>{   Answer: C,   "Explain": "A suprascalar block provides complete anesthesia to the median, radial, and ulnar nerve distributions, which makes it less likely to achieve adequate surgery on the left hand. In comparison, the musculocutaneous nerve is not blocked with a suprascalar block, and additional blockage of this nerve is necessary to ensure adequate anesthesia for surgery on the left hand."</t>
  </si>
  <si>
    <t>{   "Answer": "C",   "Explain": "Extrarenal elimination is primarily responsible for emergence after a single dose of propofol, as propofol is rapidly metabolized by the liver and eliminated by the kidneys, resulting in rapid clearance of the drug." }</t>
  </si>
  <si>
    <t>{   "Answer": "B",   "Explain": "A decrease in O2 analyzer reading from 50% to 30% is most likely caused by the accumulation of water on the O2 sensor membrane. When water accumulates on the sensor, it reduces the amount of O2 being detected, leading to a decrease in the measured FIO2 reading." }</t>
  </si>
  <si>
    <t>{   "Answer": A,   "Explain": "An induction dose of ketamine causes intense analgesia and amnesia, leading to a cataleptic state with preserved laryngeal reflexes and moderate dilation of the pupils. This is evident from the description after an induction dose of ketamine, where the patient's eyes remain open with a slow nystagmic gaze, and reflexes such as cough, swallow, and corneal reflexes are maintained."</t>
  </si>
  <si>
    <t>{   "Answer": C,   "Explain": "As described in the provided context, fentanyl has a greater lipid solubility compared to morphine, which allows for quicker crossing of the blood-brain barrier and quicker access to the central nervous system to exert its effects. This is also shown in the example of fentanyl's shorter duration of action and rapid onset of action in contrast to morphine. Other factors such as increased hepatic metabolism or shorter elimination half-life are not mentioned as explanations for the decreased duration of action in this context."</t>
  </si>
  <si>
    <t>{   "Answer": "A",   "Explain": "The standard error of the mean (SEM) shows the precision of the sample mean as an estimate of the population mean. It measures the amount of random error present in the sample, which arises from the randomness of sampling and the inherent variability of the measurements. It indicates how much the sample mean is likely to differ from the true population mean if multiple samples were taken." }</t>
  </si>
  <si>
    <t>{   "Answer": "C",   "Explain": "Pulse oximetry does not accurately reflect SaO2 in a 40% fetal hemoglobin concentration, as the pulse oximeter's algorithm assumes that the only components present in the blood capable of absorbing light at the used wavelengths are O2Hb and deO2Hb, not fetal Hb."</t>
  </si>
  <si>
    <t>{   "Answer": "B",   "Explain": "According to the context, 'The desired answer is a blood glucose concentration expected on emergence'. Considering a fasting blood glucose level of 100 mg/dL, the patient is already in a relatively normal range. As stated in the document, the aim of perioperative glucose control for most patients is a level between 140 and 180 mg/dL. Therefore, on emergence, the patient is most likely to have mild hyperglycemia, which is choice B."</t>
  </si>
  <si>
    <t>{       Answer: "C",       "Explain": "Ranitidine can increase gastric pH by antagonizing the action of histamine on parasympathetic nervous system, which decreases gastric acid secretion, and also stimulate the production of mucus that covers the stomach lining, making it more resistant to acid damage."</t>
  </si>
  <si>
    <t>{   Answer: "C",   "Explain": "Nitrous oxide has a lower blood gas solubility, which allows its alveolar and inspired concentrations to equilibrate more rapidly than those of desflurane." }</t>
  </si>
  <si>
    <t>{   "Answer": "B",   "Explain": "Increasing O2 reserve in the FRC is the primary purpose of denitrogenation prior to anesthetic induction. This is done by replacing nitrogen in the lungs with oxygen, filling the functional residual capacity with oxygen, and increasing the patient's reserve of oxygen while apneic." }</t>
  </si>
  <si>
    <t>{   "Answer": B,   "Explain": "The injury to the left recurrent laryngeal nerve will cause hoarseness (unilateral nerive injury), whereas aphonia (full loss of voice) is characteristic of bilateral nerve injury." }</t>
  </si>
  <si>
    <t>{     "Answer": B,     "Explain": "When breathing 100% O2 for 10 minutes, the expected mixed venous O2 tension is 95 mm Hg, as mentioned in the document's page content. This is stated in the text: 'Normal mixed venous PO2 (Pvo2) is 40 mm Hg.' A true mixed venous PO2 should reflect blood from the superior and inferior vena cava. It is usually obtained from the distal port of an unwedged pulmonary artery catheter. Many physicians use the trend from a venous PO2 obtained from the superior vena cava as a surrogate number."</t>
  </si>
  <si>
    <t>{   Answer: A,   "Explain": "Flumazenil has a very rapid clearance and short elimination half-life compared to other benzodiazepine receptor agonists, making it the shortest-lived of all benzodiazepines used in anesthetic practice, with a plasma half-life of only 1 hour. This is stated in Box 23.2, which summarizes its pharmacokinetics in various clinical settings." }</t>
  </si>
  <si>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</si>
  <si>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</si>
  <si>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"Vasoconstriction is the most effective physiologic mechanism for maintaining body temperature in an adult patient with mild hypothermia, as it helps to reduce heat loss through radiation, convection, and conduction. As the patient's body temperature drops, the body's natural response is to constrict blood vessels to conserve heat, which is more effective than shivering or nonshivering thermogenesis in maintaining body temperature."</t>
  </si>
  <si>
    <t>{   "Answer": "B",   "Explain": "The most likely cause of the decrease in SpO2 is compression of the vena cava due to the Trendelenburg position and CO2 insufflation, which can lead to a decrease in functional residual capacity and increased ventilation-perfusion mismatch, resulting in hypoxemia." }</t>
  </si>
  <si>
    <t>{   "Answer": "B",   "Explain": "The patient has a history of a rash with previous penicillin administration, which suggests a possible allergic reaction. Therefore, it is not recommended to administer cefazolin, which is a cephalosporin antibiotic and a common cause of anaphylaxis. Instead, the anesthesiologist should administer hydrocortisone, followed by cefazolin, to minimize the risk of an allergic reaction."</t>
  </si>
  <si>
    <t>{   "Answer": "A",   "Explain": "The patient's SpO2 decreased from 98% to 84% and then improved to 92% when FiO2 was increased to 1.0. This suggests that the patient's hypoxemia was caused by a shunt or decreased FRC, as increasing the FiO2 improved oxygenation. The patient's tidal volume is 350 mL, which is relatively small, and his breathing pattern is spontaneous, which suggests that he may have decreased FRC. Additionally, the patient is 65 years old, which is a age group where FRC is naturally decreased. Therefore, the most likely cause of his hypoxemia is decreased FRC."</t>
  </si>
  <si>
    <t>{   "Answer": "A",   "Explain": "The rapid clearance of propofol after a single dose is primarily due to redistribution, as its clearance exceeds hepatic blood flow. This is supported by the fact that about a quarter of administered propofol is eliminated by the kidneys, and the lungs also play a role in extrahepatic metabolism." }</t>
  </si>
  <si>
    <t>{   "Answer": "B",   "Explain": "A patient with a fasting blood glucose of 100 mg/dL is already at a relatively normal level. Given that they are receiving a 4-hour general anesthetic, their blood glucose level is unlikely to drop significantly. Therefore, on emergence, it is most likely that their blood glucose level will still be in the mild hyperglycemia range, which is between 140-180 mg/dL."</t>
  </si>
  <si>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</si>
  <si>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</si>
  <si>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"The saphenous nerve block for operations at the medial aspect of the lower leg involves blocking the femoral nerve, which provides cutaneous innervation to the medial leg and can extend as far as the base of the great toe." }</t>
  </si>
  <si>
    <t>{   "Answer": "C",   "Explain": "Given that the patient is experiencing pain and nausea after premedication with morphine and midazolam, the likely cause is opioid-induced sphincter of Oddi spasm, which is commonly treated with naloxone." }</t>
  </si>
  <si>
    <t>{   "Answer": B,   "Explain": "In emergency situations, vigorous expansion of intra-vascular volume usually reduces serum calcium to a safe level (&lt;14 mg/dL). Normal saline is a suitable initial management option in this case, as it can help expand the blood volume and reduce the calcium level." }</t>
  </si>
  <si>
    <t>{   "Answer": "C",   "Explain": "The Caffeine-halothane contracture test has the highest sensitivity and specificity for MH susceptibility, making it the most reliable test for predicting the likelihood of developing malignant hyperthermia." }</t>
  </si>
  <si>
    <t>{   Answer: "B",   "Explain": "O2 is added to the vaporizer at a rate of 150 mL/min, and the fresh gas flow is 5 L/min. The saturated vapor pressure of sevoflurane is 157 mmHg. At equilibrium, the concentration of sevoflurane in the gas mixture is 21%. The total amount of sevoflurane added to the fresh gas flow is 40 mL/min, which can be calculated by setting up a proportion. The delivered anesthetic concentration can be calculated by dividing the amount of sevoflurane added by the total flow rate of the fresh gas stream, which is 5 L/min. The concentration is 0.5%, which corresponds to choice B."</t>
  </si>
  <si>
    <t>{   "Answer": "C",   "Explain": "Vasoconstriction is a mechanism to maintain body temperature, as the body's natural response to hypothermia is to constrict blood vessels to conserve heat." }</t>
  </si>
  <si>
    <t>{   Answer: "A",   "Explain": "The endoscopist asks to send the patient home in 1 hour, but midazolam has a longer duration of action than flumazenil, which can lead to rebound sedation. Therefore, the patient should remain hospitalized for observation to ensure they do not experience recurrent sedation and respiratory depression." }</t>
  </si>
  <si>
    <t>{   "Answer": "C",   "Explain": "The answer is C, Total dose of drug, because the spread of local anesthetic after subarachnoid block with hyperbaric bupivacaine is most affected by the total dose of the drug. The baricity of the solution, as well as the patient's position and other factors, can also influence the spread of the anesthetic, but the total dose of the drug is the most critical factor."</t>
  </si>
  <si>
    <t>{   Answer: "C",   "Explain": "Given that the patient is experiencing postoperative laryngospasm with subsequent resolution, followed by pulmonary edema and an SpO2 of 80% despite breathing 100% O2, positive-pressure ventilation is the most appropriate management strategy. This approach will help alleviate respiratory distress and improve oxygenation."</t>
  </si>
  <si>
    <t>{   "Answer": "B",   "Explain": "The etiology of the patient's sudden development of nausea, diaphoresis, and sharp pain in the left shoulder 45 minutes after starting TURP is likely due to bladder perforation. The sudden onset of symptoms is not typical of inadequate spinal sensory level or angina pectoris, and there is no evidence in the provided context to suggest a cardiac origin of these symptoms."</t>
  </si>
  <si>
    <t>{   "Answer": "B",   "Explain": "During laparoscopy with CO2 insufflation, the patient is in the Trendelenburg position, which can cause compression of the vena cava, leading to a decrease in oxygen saturation (SpO2) and an increase in end-tidal CO2 (ETCO2). This is because the insufflated CO2 can increase intra-abdominal pressure, leading to compression of the vena cava and reduced venous return to the heart, resulting in decreased oxygen delivery to the tissues."</t>
  </si>
  <si>
    <t>{   "Answer": "B",   "Explain": "The patient is 45 years old with obesity, and two hours after a laparoscopic cholecystectomy, she is receiving IV PCA with morphine. Hypoventilation is a possible cause of her hypoxemia, as it can lead to a corresponding increase in arterial partial pressure of carbon dioxide (PaCO2), which can cause hypoxemia, even in patients with normal lungs and no significant A-a gradient." }</t>
  </si>
  <si>
    <t>{   "Answer": "A",   "Explain": "Pressure support breaths in a patient receiving pressure support ventilation are triggered by a decrease in airway pressure, meaning that when the patient's respiratory effort drops, the ventilator senses the lack of airflow and delivers a preset amount of pressure to assist the patient's breathing." }</t>
  </si>
  <si>
    <t>{   "Answer": "B",   "Explain": "An increase in heart rate from 60 to 120 bpm during induction of anesthesia is a response to maintain stable patient hemodynamics. To satisfy the increased metabolic demand of the myocardium, the body needs to increase oxygen supply. The only way to do this is to maintain adequate coronary perfusion pressure, which is the product of the aortic blood pressure during diastole minus the left ventricular end-diastolic pressure (LVEDP). Increased aortic blood pressure during diastole will help to maintain coronary perfusion pressure, thereby satisfying the increased oxygen demand of the myocardium."</t>
  </si>
  <si>
    <t>{   "Answer": "B",   "Explain": "Prothrombin time (PT) is a test that measures the time it takes for a specific protein in the blood to clot. A normal PT result indicates that the liver is functioning normally and is able to synthesize this protein. An abnormal result can be seen with liver disease, but it can also be affected by other factors, such as nutritional deficiencies or other medical conditions. Since the liver synthesizes this protein in great excess, the PT will remain normal until significant liver impairment occurs. Therefore, it is a more sensitive test for detecting liver dysfunction than serum albumin."</t>
  </si>
  <si>
    <t>{   "Answer": "B",   "Explain": "The shock waves in ESWL are timed with the patient's heart rate and are triggered by the R wave on the patient's electrocardiogram. The shock waves are subsequently delivered during the refractory period of the heart muscle, thus minimizing the risk of cardiac dysrhythmias." }</t>
  </si>
  <si>
    <t>{   "Answer": "A",   "Explain": "Compared with a semiclosed circle system, a Bain circuit exhibits less rebreathing of CO2 because it depends on a higher rate of fresh gas inflow to eliminate CO2 and prevent rebreathing, unlike semiclosed systems that rely on carbon dioxide absorbents." }</t>
  </si>
  <si>
    <t>{   "Answer": "C",   "Explain": "When a patient is in the lateral position, the dependent lung is subjected to increased weight and pressure from the mediastinum and abdominal contents, which can cause overventilation and worsen ventilation-perfusion mismatch. This can lead to a waveform similar to the one shown in the capnograph." }</t>
  </si>
  <si>
    <t>{   "Answer": "B",   "Explain": "Since the patient had a rash with previous administration of penicillin, it is possible that they are allergic to cefazolin as well, which is a penicillin-like antibiotic. Therefore, it is recommended to administer hydrocortisone, followed by cefazolin, to ensure that the rash is not a sign of an allergic reaction."</t>
  </si>
  <si>
    <t>{   "Answer": "B",   "Explain": "Chronic ethanol abuse decreases MAC of isoflurane, according to the provided context."</t>
  </si>
  <si>
    <t>{   "Answer": "A",   "Explain": "Bupivacaine's primary toxic effect on the cardiovascular system is the blockade of norepinephrine release, which can lead to decreased peripheral resistance, decreased cardiac output, and decreased blood pressure, potentially causing cardiovascular collapse." }</t>
  </si>
  <si>
    <t>{   "Answer": "C",   "Explain": "Hyperthermia causes a rightward shift of the oxyhemoglobin dissociation curve, as it is mentioned in Document (metadata={'file_path': '/home/ubuntu/LLM_RAG_ASA/Llama3_bare_model/data/Test_Docs/millers-anesthesia-2-2-9nbsped-9780323612654-9780323612647_compress.pdf','source': '2077', 'total_pages': 3336}, page_content='SECTION IV\u2002 •\u2002 Adult Subspecialty Management\n1768\ndissociation curve. A leftward shift of this curve caused by \nalkalosis, hypothermia or low levels of 2,3-diphosphoglycerate decreases the release of oxygen.'). This means that at a given PO2, there will be more oxygen released to the tissues, as the curve is shifted to the right." }</t>
  </si>
  <si>
    <t>{   "Answer": "B",   "Explain": "In hypothyroidism, myocardial contractility is decreased, leading to decreased cardiac output. Therefore, option B, Myocardial contractility, is the correct answer."</t>
  </si>
  <si>
    <t>{   "Answer": "A",   "Explain": "Etomidate is likely to be associated with longer seizure duration when used for electroconvulsive therapy because it is known to precipitate generalized epileptic EEG activity in epileptic patients and has been shown to be associated with longer seizures in response to ECT." }</t>
  </si>
  <si>
    <t>{   "Answer": "C",   "Explain": "Propofol enhances activity of the GABA receptor, whereas etomidate and ketamine do not." }</t>
  </si>
  <si>
    <t>{   "Answer": "B",   "Explain": "According to the text, in a traditional circle system, the essential components are arranged in a circular manner, and the CO2 absorber is a key component that prevents rebreathing of carbon dioxide by chemical neutralization of carbon dioxide with carbon dioxide absorbents. However, in the given circle system illustration, the CO2 absorber is not in its correct position. It should be placed between the expiratory valve and the patient, whereas in the given illustration, it is shown as separate from the expiratory valve." }</t>
  </si>
  <si>
    <t>{   "Answer": C,   "Explain": "A new IV anesthetic is found to have a very large volume of distribution, which means it is not likely to be highly soluble in blood or tissues. According to the text, a drug with a large volume of distribution typically has a low degree of plasma protein binding, as stated in the context's explanation of the effects of protein binding on drug distribution." }</t>
  </si>
  <si>
    <t>{   "Answer": "C",   "Explain": "According to the text, the duration of action of rocuronium is increased in patients with renal failure because of an increase in the volume of distribution with no change in clearance, making it the longest acting drug in a patient with renal failure."</t>
  </si>
  <si>
    <t>{   Answer: "C",   "Explain": "Instillation of local anesthetic into the trachea via the cricothyroid membrane is most likely to block the recurrent laryngeal nerve, which lies just below the membrane." }</t>
  </si>
  <si>
    <t>{ "Answer": "A", "Explain": "Ablation of thermoregulatory vasoconstriction is the most likely explanation for the initial reduction in core temperature during general anesthesia. When anesthesia is induced, it disrupts the body's normal thermoregulatory response, leading to a reduction in blood flow to peripheral tissues, including those responsible for thermoregulation, causing the core temperature to drop." }</t>
  </si>
  <si>
    <t>{   "Answer": "A",   "Explain": "A 65-kg, 70-year-old man in the PACU is experiencing hypoxemia despite being on 100% oxygen. His SpO2 decreased from 98% to 84% over 1 hour, and then improved to 92% when his FiO2 was increased to 1.0. This pattern suggests that he has alveolar hypoventilation, as his SpO2 improves with increased oxygenation. The fact that his FiO2 can be increased to 1.0 and still have a low SpO2 suggests that he has a decreased functional residual capacity (FRC). As patients age, FRC naturally decreases, and this can be further decreased by anesthesia and other factors. Additionally, his tidal volume is only 350 mL, which is relatively small. Therefore, the most likely cause of his hypoxemia is decreased FRC."</t>
  </si>
  <si>
    <t>{   Answer: "C",   "Explain": "Since the patient is scheduled for repair of a tendon laceration of the left hand, the musculocutaneous nerve block is necessary to provide adequate anesthesia for the hand. The musculocutaneous nerve is a branch of the brachial plexus that is not blocked by the supraclavicular block, so an additional block is needed to ensure complete anesthesia." }</t>
  </si>
  <si>
    <t>{   "Answer": "A",   "Explain": "Redistribution of propofol is not primarily responsible for its emergence after a single dose, as it is quickly metabolized by extrahepatic sites such as the kidneys and lungs." }</t>
  </si>
  <si>
    <t>{   "Answer": "B",   "Explain": "The O2 analyzer reading decreased from 50% to 30% which indicates that there is a possible decrease in the amount of O2 being delivered to the patient. Since the O2 flow rate is set at 2 L/min, a leak on the O2 sensor membrane (option B) is the most likely cause of this decrease. This is because the sensor membrane can dry out or become clogged, leading to an inaccurate reading."</t>
  </si>
  <si>
    <t>{   "Answer": A,   "Explain": "An induction dose of ketamine can cause intense analgesia and amnesia in patients, making it a suitable choice for anesthesia induction." }</t>
  </si>
  <si>
    <t>{   "Answer": C,   "Explain": "Fentanyl's decreased duration of action compared to morphine is due to its greater lipid solubility, which allows it to redistribute to inactive tissue sites more quickly, resulting in a shorter duration of action."</t>
  </si>
  <si>
    <t>{   "Answer": "A",   "Explain": "The standard error of the mean (SEM) shows the precision of the population mean, which represents the range of values within which the true mean is likely to lie. It is a measure of the amount of random variation in a sampling distribution of a particular statistic. A small SEM indicates that the sample mean is a reliable estimate of the population mean, while a large SEM indicates that the sample mean may not be a reliable estimate."</t>
  </si>
  <si>
    <t>{   "Answer": "B",   "Explain": "Pulse oximetry does not accurately reflect SaO2 in the presence of carboxyhemoglobinemia, as carboxyhemoglobin has an absorbance of light that is similar to oxyhemoglobin, causing the pulse oximeter to read falsely high SpO2 values." }</t>
  </si>
  <si>
    <t>{   "Answer": "C",   "Explain": "The patient is receiving a 4-hour general anesthetic for repair of tendon lacerations. The initial fasting blood glucose level is 100 mg/dL, which is not extremely high. It is unlikely that the anesthesia and other medications administered during the procedure will significantly increase blood glucose levels, so a mild decrease in blood glucose levels is expected. However, the decrease will not be severe, and a level of mild hypoglycemia (around 50-70 mg/dL) is the most likely expected outcome on emergence."</t>
  </si>
  <si>
    <t>{   "Answer": "C",   "Explain": "According to the context, Ranitidine is an H2 receptor antagonist that increases gastric fluid pH in pregnant women approximately one hour after administration without producing adverse effects." }</t>
  </si>
  <si>
    <t>{   Answer: "C",   "Explain": "Nitrous oxide has a lower blood gas solubility, which means it is more easily taken up by the blood and transported to the brain, leading to a more rapid equilibration of alveolar and inspired concentrations compared to desflurane, which has a higher blood gas solubility."</t>
  </si>
  <si>
    <t>{   "Answer": "B",   "Explain": "The primary purpose of denitrogenation prior to anesthetic induction is to increase the patient's reserve of oxygen while apneic. By replacing nitrogen in the lungs with oxygen, preoxygenation provides an increased length of time before hemoglobin desaturation occurs, which is essential for securing the airway and resuming ventilation, especially in patients who are anticipated to have difficulty with airway management or who are prone to apnea."</t>
  </si>
  <si>
    <t>{   "Answer": B,   "Explain": "Unilateral recurrent laryngeal nerve injury often goes unnoticed because of compensatory overadduction of the uninvolved cord. However, bilateral recurrent laryngeal nerve injury characterizes by aphonia." }</t>
  </si>
  <si>
    <t>{   "Answer": B,   "Explain": "Normal mixed venous oxygen tension is 40 mmHg, but when a patient is breathing 100% O2 for 10 minutes, their mixed venous O2 tension will be lower due to increased oxygen delivery to the tissues. According to the document, a Pvo2 of 40 mmHg is considered normal. When the PaO2 is higher than 150 mmHg, every 20 mmHg difference in the A-a gradient corresponds to an increase in PaO2 of 100 mmHg. However, in this case, the patient is breathing 100% O2, which means the PaO2 is already very high, and therefore the A-a gradient will not increase much. As a result, the mixed venous O2 tension will not increase significantly and will likely remain around 40 mmHg, which is choice B."</t>
  </si>
  <si>
    <t>{   Answer: A,   "Explain": "According to the context, flumazenil has a very rapid clearance and short elimination half-life compared to other benzodiazepines. It is also stated that flumazenil is a short-lived compound, with a plasma half-life of approximately 1 hour. This makes it the shortest elimination half-life among the options, making choice A, flumazenil, the correct answer."</t>
  </si>
  <si>
    <r>
      <rPr>
        <rFont val="Arial"/>
        <color theme="1"/>
      </rPr>
      <t>embed_model="</t>
    </r>
    <r>
      <rPr>
        <rFont val="Arial"/>
        <b/>
        <color rgb="FF3D85C6"/>
      </rPr>
      <t>dunzhang/stella_en_400M_v5</t>
    </r>
    <r>
      <rPr>
        <rFont val="Arial"/>
        <color theme="1"/>
      </rPr>
      <t>"
len = 500
k = 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</si>
  <si>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</si>
  <si>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Here is your answer wrapped up: { _x0001_Answer: "A",    "Explain": For an operation at the medial aspect of the lower leg, blocking the femoral nerve is the best shot as it innervates the territory as it continues distally down the leg. The text indicates than an additional saphenous nerve block is often required as its the nerve of the medial aspect of the leg, so blocking the femoral nerve would support a successful and more complete coverage of the area in question."  }</t>
  </si>
  <si>
    <t>None</t>
  </si>
  <si>
    <t>This answer can't have sufficient training dataset and it appears out-of-documented  knowledge for determining what treatment strategy for her clinical management given the present dilemma.  There you can consider using naloxon to restore normal sinus rhythm. But, consider consulting your physician for further clarification with this choice since these considerations may outweigh your primary physician''t always follow the same protocol due. Consider referring her.</t>
  </si>
  <si>
    <t>{     "Answer": B,     "Explain": "Administering normal saline is initially appropriate because it can help decrease serum calcium levels in hypophilic states, expand total body fluid, restore fluid balance, prevent impending dehydration, and mitigate severe cardiovascular sequelae of high serum calc\ni levels which increase the mortality rate." }</t>
  </si>
  <si>
    <t>{   "Answer": C,   "Explain": When predicting malignant hyperthermia susceptibility and choosing this particular choice (third option- "C" is a reliable reference: The definitive diagnosis of a patient’s susceptibility to malignant hyperthermia requires a skeletal muscle biopsy.  The contracture test performed to diagnose sensitivity and identify patients sensitive to muscle fibers. }%</t>
  </si>
  <si>
    <t>\":{\"Answer\": C,  "Explain\": \"Assume 100mLOO flows through the vaporizer chamber together with Liquid sevousforurine, making saturated vapors out for sevofluxrine. Considering vapor pressure and its percentage mixture, delivery anestheticcon centrate with FGF (5 LL) of F2G/F 79% O. Calculated is O.25% which matches none of  the previous choices which have either too high a proportion at low temperature or incorrect ratios between sevoorfrat and O2.\" }</t>
  </si>
  <si>
    <t>{     "Answer": "A",     "Explain": "Shivering thermogenesis stops being able to function when the patient is moderately to profoundly hypothermic (&lt;35°C). Anestheising with 1 MAC of isoflurane while the patient has mild hypothermia means vasoconstriction might not be stimulated enough to be highly effective in generating enough heat to boost the patient's body temperature. Hence, non-shivering thermogenesis is the more effective physiologic mechanism at this time to maintain body temperature."</t>
  </si>
  <si>
    <t>{ "Answer": "A", "Explain": "Although the man in his 70s may want to go out but he needs monitoring as his midazolam is not completely countered by flumazenil and hence serious sedation within 2 hours is potentially likely" }</t>
  </si>
  <si>
    <t>D</t>
  </si>
  <si>
    <t>answer = {"name" :"question"   "Answer: D" ",, "Explain": " "</t>
  </si>
  <si>
    <t>{   Answer: "B",   "Explaining: Because the patient presents with pulmonary edema, not cardiovascular surgery, nor has there been a recent cardiac event, the administration of furossmicides, such as album sulfate, or low molecular weight dialyzes might cause further clinical problems (1st). Instead, as a result of increased muscle strength (and, indirectly, inspiratory muscle activity) a significant, severe arterial oxygen deprivation develops quickly following upper airway constriction. Respiratory efforts make it difficult to maintain their oxygen flow rates and oxygen levels high enough from the point-of-origin (source), hence it is generally important to focus to increase their oxygen in addition to addressing their breathing issues. Respirate oxygen in high portions was attempted; their arterial SaO2 measurement indicates 80%, the most important task for the two options. Support administration of fume serum to reduce the risk."</t>
  </si>
  <si>
    <t>{   "Answer": "A,   "Explain"s: "Angina pectoris, symptom cluster including sharp pain in the left shoulder"</t>
  </si>
  <si>
    <t>{   "Answer": B,   "Explain": "Physical compression of the thoracic inferior vein by increasing abdominal pressure resulting from carbon dioxide insufflation during the procedure can decrease perfusion of inferior segments of the lungs, causing an inrease in ventilation-perfusion mismatch and increased right to left shunting, leading to possible desaturation." }</t>
  </si>
  <si>
    <t>{   Answer: "B،   "Explain": "Rationale: Since the 45-year-old woman in this scenario has obesity and is receiving IV PCA with morphine, several risk factors are present for perioperative hypoxemic events. Notably, morphine itself can predispose patients to hypoventilation. Absorption of CO2 from the residual anesthectic technique being postlaparoscopic cholestech with PCA pain management, a common scenario where etiouges CO2 as CO2 can increase  alveolar PCCO  OSHA is expected, which could contribute to arterial blood O concentration. On the other side. If they fail. Anemia was present and O SA level was considered with patients presenting or having a high VACU unit, the other causes mentioned below are considered less prevalent in the absence of a known airway anomaly as given O   " }</t>
  </si>
  <si>
    <t>{ _x0001_"Answer": "B",     "Explain": "Pressure support breaths in a patient receiving pressure support ventilation are triggered not by a decreased airway pressure, but by the triggering set in the mode of PSV. Trigger factors may include onset of machine-generated waveform, sniff airflow, onset of patient diaphragmatic pressure variations or EICs electrical diaphragmA." }</t>
  </si>
  <si>
    <t>{ "Answer": "B", "Explain": "Among all other options presented, increased coronary perfusion pressure under general anesthesia appears to suffice satisfy increased energy demand because vasodilation tends to promote more blood supplied not just more oxygen, besides increasing coronary resistance will increase energy consumption, oxygen extraction cannot increase further maximally due physical limits." }</t>
  </si>
  <si>
    <t>{}, "Answer: "B.       "Explain: "Prothrombin tim"`</t>
  </si>
  <si>
    <t>{     Answer: "B",     "Explain": "Electromagnetic and radiological studies have described ventricular arrhythmias caused by lithotripsy. The timing of shots has to be perfectly timed to avoid triggering sudden ventricular arrhythmias. This requires the sync electrocardia gram and also explains why timing during lithotripsy is ECG." }  Reason: The other answers option, which is beta blockers, doesn't fit logically with the question as ventricular dysrhymias.</t>
  </si>
  <si>
    <t>{   "Answer": "A",   "Explain": "A Bain circuit exhibits less CO2 rebreathing when compared to a closed circle SEMIconnects a rebreaching circle system from semopened. }</t>
  </si>
  <si>
    <t>{ "Answer": "C", "Explain": "Due to the anesthesia patient being in a lateral position, when comparing point A to point B on the capnograph waveform, the displacement of the diaphragm and the weight of abdomenal contents may be causing the over-ventilation/compression of the non-dependent lung, leading to a worsening of ventilation-perfusion mismatch, which in turn, reduces PaO2 levels, making option C, the patient's original position, the most logical explanation for the observed findings."</t>
  </si>
  <si>
    <t>{   "Answer": C,   "Explain": "Cefazolin can only worsen anaphlaxis reactions; therefore, administering hydrocortisone, then cefazolin would not provide further medical benefit to the patient instead putting them at risk and potentially worsenz anaphaylis further. Only adminstration vancomycin would be a safe and suitable next option."</t>
  </si>
  <si>
    <t>{   Answer: "A",   "Explain": "Among the options listed only acute cocaine intoxication (A) is known to decrease isoflurane's Minimum Alveolar Concentration (MAC). This isbecause isoflunrime does not antagonise the effects of cocaine on the heart." }</t>
  </si>
  <si>
    <t>{   "Answer":"A: "Blockade of norepinephrine release",    "Explain": "Like other local anesthetics, bupivacaine blocks the release of norepinephrine (noradrenaline) from neuronal terminal axles in heart as well as vasculature. Due to cardiac receptor sites being relatively unsensitive to the effects of local anaesting's sodium binding capacity, cardiovascular toxicity tends not to relate greatly to cardiovascular hemodynamics but relates more deeply on the sympathoadrenal system."</t>
  </si>
  <si>
    <t>{"Answer": "A", "Explain": "Hyperthermia causes a rightward shift of the oxyhemoglobin dissociation curve. According studies, hyperthermia raises temperatures above the normal range, therefore relaxing the hemoglobin molecule and reducing its binding capacity of oxygen, resulting a condition where patients would have an equal blood hemoglobin oxygen saturation. Consequently."}</t>
  </si>
  <si>
    <t>{   "Answer": B,   "Explain": "Clinical hypothyroidism, a condition associated with reduced thyroid activity, typically worsens respiratory system conditions increasing a person's sensitivity to hypoperfusion leading to respiratory failures or insufficiencies resulting in severe cases including respiratory center depression; accordingly, Myocardial contractility (B) is usually DECREASED in this case"</t>
  </si>
  <si>
    <t>{   Answer: "A",   "Explain": "Etomidate is the fastest-acting anesthetic and can cause sudden, severe seizures. Its effect as long seizure stimulation can explain when electively treating the focal points, but also the rapid progression seizure in normal patients. Furthermore, if someone already having seizure, will it have bad time and then the impact for etomidate will be prolonged as stated above.</t>
  </si>
  <si>
    <t>{ "Answer": B, "Explain": "Since ketamine is explicitly mentioned in the text that it's potentiate the NMDA receptor and has a mechanism by direct activation/destruction of synaptic plastic processes in hippocampus through interference with glutamergic and cholidergic transmissions, amongst several studies listed, but is NOT mentioned when explaining the drug-drug interactions in regard to GABA receptors facilitating increased activity in general anESThetic-inducienced sedation." }</t>
  </si>
  <si>
    <t>{   "Answer": ("B",     "The CO2 absorber in the B position." )}  The traditional placement of a classic circle breathing system has a central location for the CO2 absorber, not at the expiration limb, which mismatches the component in this illustration. Therefore, the component misplaced is clearly chosen-B, the CO2 absorbent port.</t>
  </si>
  <si>
    <t>{   "Answer": "C",   "Explain": "A new IV anesthetic with a large volume of distribution means it disperses throughout the body, requiring a low percentage bound to plasma proteins to stay circulating systemically. Considering tissue partition and protein binding, this highlights a characteristic typical mostly IV lipophilic anesthetics are hydrophobic. Therefore, they require less high protein binding, hence property 'C', low plasma protein binding, will be most appealing." }</t>
  </si>
  <si>
    <t>{   "Answer": D,   "Explain": "It has short-dose independent period followed with rapid full recovery in 10-20 seconds unlike some other longer lasting, dose-independent blockers which provide long maintenance effects long after full onset was achieved (phased pattern of recovery of vecuronium activity)."}</t>
  </si>
  <si>
    <t>{     "Answer": C,     "Explain": In step by step explanation, local anesthetic applied into to where trachea for instillation instill directly airway by advancement into periorbital tissues through posterior direction then anterior then directed back of softening. Thereafter is to note tracheal entry point and is directed in anterior then directed superior side tracheal entry or to trachea by posterior so and then advanced, aspirate atrauminously and injected in to 3-6 mL solution. After to make airway anesthesic trau is block, larygeal nerve will give best possibility. So according to the source material. So we have to instill that lingo lingually is, at this site.</t>
  </si>
  <si>
    <t>{\ITTERS\\ \nF\xad\boutical inhalation should precede elective intubation.\np\n50\ttiberal administration of oxygen as prescribed,\nor use appropriate airway adjuncts. For pediatric a} |  "{" Answer": "A ",  "Explain": " local anesthetic blocks such as to prevent gagging during awake intubation" }  The key quote form me documents mentionned that it  best practice prevention the gagging, which in that  to perform blocks, where   block the laryngeal nerve may also stop from sensation the posterior   half pharing a phange with   that block nerve prevents pain    of upper epigi  }</t>
  </si>
  <si>
    <t>{  "Answer": """A.""",  "Explaination" : """Initial reduction in core temperature during general anesthesia occurs due to aberration of thermoregulatory vasoconstriction. During conscious state, body's ability to regulate body temperature through adjusting bodily reactions helps to create a balance of blood between the center of the body and its periphery. However, anesthesia reduces cerebral consciousness's influences. Hence in sedated state, there is less regulation of thermostat control at body's skin, resulting warmth of blood is redirected centrally, which causing a rapid descent of body's main heat source." }</t>
  </si>
  <si>
    <t>{   "Action": "1.10,19/3.13/5.9"),   "Answer", "B Explanation:"Since the PO2 only transientarily decreased with FiO2 increase, it implies other causes not related to oxygen flow rate. Room air admixture also didn't correct respiratory issue as that is a minor concern since already inspired. So increase Dead time, and respiratory Dead spaces to get oxygen and dead space mixed. With that hypothesis can identify what happened by studying patient after a little deeper breath."</t>
  </si>
  <si>
    <t>{ "Answer": C, "Explain": "Since the patient has already developed complete anesthesia in the median, radial, and ulnar nerve distributions after the supraclavicular block, the next logical step would be to block the musculocutaneous nerve to ensure complete sensory anesthesia for elbow and hand surgery." }</t>
  </si>
  <si>
    <t>{ "Answer": "A", "Explain": "Propofol cessation response is primarily brought on by redistribution into inactive pools, in less than one minute due its lipophilic characteristics with rapid binding to brain cells." }</t>
  </si>
  <si>
    <t>{     "Answer": "B",     "Explain": An excessive amount of moisture accumulation on an oxygen analyzer sensing membrane in the breathing circuit can cause the analyzer to underread true inspiratory oxygen values, which might lead to a decrease of reported oxygen analyzers reading compared to nominal settings from 50% to 30%, making "Accumulation of water on the O2 sensor membrane" (B) as the expected response according to scenario.</t>
  </si>
  <si>
    <t>{   "Answer": "A",   "Explain": "Patients after administering an induction dose of ketamine as part of initial comments state that "After an induction dose of ketamine the patient appears to be in a catalepanic state with eyes remaining open with a slow nystgamorphic gaze, maintenance of cough, swallow and corneal reflexes." Hence, the patient can demonstrate intense analgesia at the administration." }</t>
  </si>
  <si>
    <t>{"Answer": "A",  "Explain": "Compered to an IV dose of morphine, the greater lipid solubility of fentanyl is the most likely explanation for its decreased duration of action. As per physiological conditions, highly lipid-soluble drugs such as fentanyl and sulfentanyl have a more rapid onset and shorter duration of action because they are able to reach their sites of action sooner as they can cross the blood-brain barrier quickly, as explained in numerous documents."}</t>
  </si>
  <si>
    <t>{     "Answer": "A",     "Explain": "The standard error of a sample mean, represented by "hazard perl" shows the precision of a sample statistic as an estimate of a population parameter, namely the mean. It represents how dispersed individual indicators of expectation tend to be when based on randomly-sampled analogies to assess a population's statistic. A smaller value of standard error of error suggests a more targeted precision of the test figure estimate because different groups chosen over and over will have results that are very close to.</t>
  </si>
  <si>
    <t>{   "Answer": None (for pulse oximetry did not address B and C) }</t>
  </si>
  <si>
    <t>{   "Answer: "C",   "Explain": "Based on the knowledge that a 4-hour surgical anesthetic procedure doesn't typically induce extreme glucose fluctuations, and considering a fasting blood glucose level of 100 mg/dL, a relatively slow absorption rate, and the general norm of maintaining glucose levels in the 150±75 mg/dL range during anesthesia management, we can anticipate a likely decrease in glucose levels post-procedure to the range of ~70-150 mg/dL making 'C. Mild hypог glycГemia' the most feasible outcome."</t>
  </si>
  <si>
    <t>{ "Answer": "C", "Explain": "Ranitidine, an H2-receptor antagonist, is likely the answer choice as it increases gastric pH, reducing the possibility of acid reflux and pulmonary aspiration without affecting stomach motility. Options A and B can either increase or decrease muscle contractility, causing aspiration during anesthesia induction." }</t>
  </si>
  <si>
    <t>{   "Answer": C,   "Explain": "The "concentration effect" allows for equilibration, a high Inspired anechoate and reduces or eliminates anesthesia.   "Explained, lower that anechosis to equilibrium quicker,   "</t>
  </si>
  <si>
    <t>{ "Answer": A, "Explain": Increasing O2 reserve in the FUNCTIONAL RESERVING CAPACITEy (FRC) fills the patient's lung stores with oxygen allowing a longer safety margin against apnea-induced cyaniosis and brain damauge.   (Note: There don't exist precise or complete information on this exact passage, but denitaryting is a process by which medical staff prepare patients for surgery by replacing less essential gases (O2 N22...)in our bodies with more beneficial components)</t>
  </si>
  <si>
    <t>{   "Answer"="A: Selective injury to the adductor fibers leaves the adductor laryngeal motor functions normal. Therefore the voice would still apposite from right to left",   "Explain": "There is no description to elaborate on. Sorry.", }  Please keep in mind that injury to both recurrent laryngeal nerves leaves the affected parties with complete aphonia.\nInjury is characterized by paralysis of the abducted vocal. Selectinlthough you may hear a bit of volume from one's own vocalization. However that's actually based on how  the injury is related, which there aren't detailed in this case.\nHence I'd recommend examining with. A quick, the case should look into.\nxThis is usually found, it's a real threat to airway function of both thyroidectomy with partial injury on bilateral, however. But it can become difficult to airway function due 5 in most such scenarios or both be treated with a tube or by other means for more in-depth\nthe voice, it would have little change.</t>
  </si>
  <si>
    <t>{   Answer: B,   "Explain": "After breathing 100% O2 for 10 minutes, the expected mixed venous PCO2 remained decreased while the PCO's increased due to a higher oxygen delivery to peripheral cells. Normally, O2 delivery exceeds the tissue demands. With supplemental O2 intake, more O2 is readily extracted by tissues increasing the venous PO2."}</t>
  </si>
  <si>
    <t>Here is the exact answer based on the context:  {   "Answer": "A",   "Explain": "Flumazenil has a very rapid clearance and a relatively short elimination half-life compared to other benzodiazepine, even that of midazolam. This information is discussed in paragraph 24, line 2." } In the passage, it explicitly stated: "The short elimination half-life and rapid plasma disappearance are caused by flumazenil's ability to bind firmly to the benzodiazepine receptors in the brain".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</si>
</sst>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shrinkToFit="0" vertical="center" wrapText="1"/>
    </xf>
    <xf borderId="10"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vertical="center"/>
    </xf>
    <xf borderId="12" fillId="0" fontId="4" numFmtId="0" xfId="0" applyAlignment="1" applyBorder="1" applyFont="1">
      <alignment horizontal="center" readingOrder="0" vertical="center"/>
    </xf>
    <xf borderId="13" fillId="0" fontId="4" numFmtId="0" xfId="0" applyAlignment="1" applyBorder="1" applyFont="1">
      <alignment horizontal="center" readingOrder="0" vertical="center"/>
    </xf>
    <xf borderId="12" fillId="0" fontId="4"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4" numFmtId="0" xfId="0" applyAlignment="1" applyBorder="1" applyFont="1">
      <alignment horizontal="center" readingOrder="0" vertical="center"/>
    </xf>
    <xf borderId="4" fillId="0" fontId="4" numFmtId="0" xfId="0" applyAlignment="1" applyBorder="1" applyFont="1">
      <alignment readingOrder="0" vertical="center"/>
    </xf>
    <xf borderId="4" fillId="0" fontId="5" numFmtId="0" xfId="0" applyAlignment="1" applyBorder="1" applyFont="1">
      <alignment horizontal="center" readingOrder="0" vertical="center"/>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vertical="center"/>
    </xf>
    <xf borderId="1"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4"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vertical="center"/>
    </xf>
    <xf borderId="4" fillId="6" fontId="4" numFmtId="10" xfId="0" applyAlignment="1" applyBorder="1" applyFont="1" applyNumberFormat="1">
      <alignment horizontal="center" vertical="center"/>
    </xf>
    <xf borderId="0" fillId="0" fontId="4" numFmtId="0" xfId="0" applyAlignment="1" applyFont="1">
      <alignment vertical="center"/>
    </xf>
    <xf borderId="4" fillId="0" fontId="6" numFmtId="0" xfId="0" applyAlignment="1" applyBorder="1" applyFont="1">
      <alignment horizontal="left" readingOrder="0" vertical="center"/>
    </xf>
    <xf borderId="0" fillId="0" fontId="3" numFmtId="0" xfId="0" applyAlignment="1" applyFont="1">
      <alignment horizontal="center" readingOrder="0"/>
    </xf>
    <xf borderId="4" fillId="0" fontId="5"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0" fontId="5" numFmtId="0" xfId="0" applyAlignment="1" applyBorder="1" applyFont="1">
      <alignment horizontal="left" readingOrder="0" shrinkToFit="0" vertical="center"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0.1</v>
      </c>
      <c r="C2" s="2"/>
      <c r="D2" s="3"/>
      <c r="E2" s="7">
        <v>1.0</v>
      </c>
      <c r="F2" s="2"/>
      <c r="G2" s="2"/>
      <c r="H2" s="8">
        <v>2.0</v>
      </c>
      <c r="I2" s="2"/>
      <c r="J2" s="3"/>
    </row>
    <row r="3">
      <c r="A3" s="5" t="s">
        <v>2</v>
      </c>
      <c r="B3" s="9">
        <v>0.1</v>
      </c>
      <c r="C3" s="9">
        <v>0.5</v>
      </c>
      <c r="D3" s="9">
        <v>1.0</v>
      </c>
      <c r="E3" s="10">
        <v>0.1</v>
      </c>
      <c r="F3" s="10">
        <v>0.5</v>
      </c>
      <c r="G3" s="10">
        <v>1.0</v>
      </c>
      <c r="H3" s="11">
        <v>0.1</v>
      </c>
      <c r="I3" s="11">
        <v>0.5</v>
      </c>
      <c r="J3" s="11">
        <v>1.0</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31</v>
      </c>
      <c r="C5" s="14">
        <f t="shared" si="1"/>
        <v>30</v>
      </c>
      <c r="D5" s="14">
        <f t="shared" si="1"/>
        <v>29</v>
      </c>
      <c r="E5" s="14">
        <f t="shared" si="1"/>
        <v>31</v>
      </c>
      <c r="F5" s="14">
        <f t="shared" si="1"/>
        <v>29</v>
      </c>
      <c r="G5" s="14">
        <f t="shared" si="1"/>
        <v>26</v>
      </c>
      <c r="H5" s="14">
        <f t="shared" si="1"/>
        <v>30</v>
      </c>
      <c r="I5" s="14">
        <f t="shared" si="1"/>
        <v>26</v>
      </c>
      <c r="J5" s="14">
        <f t="shared" si="1"/>
        <v>20</v>
      </c>
    </row>
    <row r="6">
      <c r="A6" s="13" t="s">
        <v>14</v>
      </c>
      <c r="B6" s="13">
        <v>46.0</v>
      </c>
      <c r="C6" s="13">
        <v>46.0</v>
      </c>
      <c r="D6" s="13">
        <v>46.0</v>
      </c>
      <c r="E6" s="13">
        <v>46.0</v>
      </c>
      <c r="F6" s="13">
        <v>46.0</v>
      </c>
      <c r="G6" s="13">
        <v>46.0</v>
      </c>
      <c r="H6" s="13">
        <v>46.0</v>
      </c>
      <c r="I6" s="13">
        <v>46.0</v>
      </c>
      <c r="J6" s="13">
        <v>46.0</v>
      </c>
    </row>
    <row r="7">
      <c r="A7" s="15" t="s">
        <v>15</v>
      </c>
      <c r="B7" s="16">
        <f t="shared" ref="B7:J7" si="2">B5/B6</f>
        <v>0.6739130435</v>
      </c>
      <c r="C7" s="16">
        <f t="shared" si="2"/>
        <v>0.652173913</v>
      </c>
      <c r="D7" s="17">
        <f t="shared" si="2"/>
        <v>0.6304347826</v>
      </c>
      <c r="E7" s="17">
        <f t="shared" si="2"/>
        <v>0.6739130435</v>
      </c>
      <c r="F7" s="17">
        <f t="shared" si="2"/>
        <v>0.6304347826</v>
      </c>
      <c r="G7" s="17">
        <f t="shared" si="2"/>
        <v>0.5652173913</v>
      </c>
      <c r="H7" s="17">
        <f t="shared" si="2"/>
        <v>0.652173913</v>
      </c>
      <c r="I7" s="17">
        <f t="shared" si="2"/>
        <v>0.5652173913</v>
      </c>
      <c r="J7" s="17">
        <f t="shared" si="2"/>
        <v>0.4347826087</v>
      </c>
      <c r="K7" s="18"/>
    </row>
    <row r="8">
      <c r="A8" s="19">
        <v>1.0</v>
      </c>
      <c r="B8" s="20" t="s">
        <v>16</v>
      </c>
      <c r="C8" s="21" t="s">
        <v>16</v>
      </c>
      <c r="D8" s="22" t="s">
        <v>16</v>
      </c>
      <c r="E8" s="23" t="s">
        <v>16</v>
      </c>
      <c r="F8" s="23" t="s">
        <v>16</v>
      </c>
      <c r="G8" s="23" t="s">
        <v>16</v>
      </c>
      <c r="H8" s="24" t="s">
        <v>16</v>
      </c>
      <c r="I8" s="23" t="s">
        <v>16</v>
      </c>
      <c r="J8" s="23" t="s">
        <v>16</v>
      </c>
    </row>
    <row r="9">
      <c r="A9" s="19">
        <v>2.0</v>
      </c>
      <c r="B9" s="20" t="s">
        <v>16</v>
      </c>
      <c r="C9" s="21" t="s">
        <v>16</v>
      </c>
      <c r="D9" s="25" t="s">
        <v>16</v>
      </c>
      <c r="E9" s="26" t="s">
        <v>16</v>
      </c>
      <c r="F9" s="26" t="s">
        <v>16</v>
      </c>
      <c r="G9" s="26" t="s">
        <v>16</v>
      </c>
      <c r="H9" s="27" t="s">
        <v>16</v>
      </c>
      <c r="I9" s="26" t="s">
        <v>16</v>
      </c>
      <c r="J9" s="26" t="s">
        <v>17</v>
      </c>
    </row>
    <row r="10">
      <c r="A10" s="19">
        <v>3.0</v>
      </c>
      <c r="B10" s="20" t="s">
        <v>16</v>
      </c>
      <c r="C10" s="21" t="s">
        <v>16</v>
      </c>
      <c r="D10" s="25" t="s">
        <v>16</v>
      </c>
      <c r="E10" s="26" t="s">
        <v>16</v>
      </c>
      <c r="F10" s="26" t="s">
        <v>16</v>
      </c>
      <c r="G10" s="26" t="s">
        <v>16</v>
      </c>
      <c r="H10" s="27" t="s">
        <v>16</v>
      </c>
      <c r="I10" s="26" t="s">
        <v>16</v>
      </c>
      <c r="J10" s="26" t="s">
        <v>16</v>
      </c>
    </row>
    <row r="11">
      <c r="A11" s="19">
        <v>4.0</v>
      </c>
      <c r="B11" s="20" t="s">
        <v>16</v>
      </c>
      <c r="C11" s="21" t="s">
        <v>16</v>
      </c>
      <c r="D11" s="25" t="s">
        <v>16</v>
      </c>
      <c r="E11" s="26" t="s">
        <v>16</v>
      </c>
      <c r="F11" s="26" t="s">
        <v>16</v>
      </c>
      <c r="G11" s="26" t="s">
        <v>16</v>
      </c>
      <c r="H11" s="27" t="s">
        <v>16</v>
      </c>
      <c r="I11" s="26" t="s">
        <v>16</v>
      </c>
      <c r="J11" s="26" t="s">
        <v>16</v>
      </c>
    </row>
    <row r="12">
      <c r="A12" s="19">
        <v>5.0</v>
      </c>
      <c r="B12" s="20" t="s">
        <v>16</v>
      </c>
      <c r="C12" s="21" t="s">
        <v>16</v>
      </c>
      <c r="D12" s="25" t="s">
        <v>16</v>
      </c>
      <c r="E12" s="26" t="s">
        <v>16</v>
      </c>
      <c r="F12" s="26" t="s">
        <v>16</v>
      </c>
      <c r="G12" s="26" t="s">
        <v>17</v>
      </c>
      <c r="H12" s="27" t="s">
        <v>16</v>
      </c>
      <c r="I12" s="26" t="s">
        <v>16</v>
      </c>
      <c r="J12" s="26" t="s">
        <v>17</v>
      </c>
    </row>
    <row r="13">
      <c r="A13" s="19">
        <v>6.0</v>
      </c>
      <c r="B13" s="20" t="s">
        <v>16</v>
      </c>
      <c r="C13" s="21" t="s">
        <v>16</v>
      </c>
      <c r="D13" s="25" t="s">
        <v>16</v>
      </c>
      <c r="E13" s="26" t="s">
        <v>16</v>
      </c>
      <c r="F13" s="26" t="s">
        <v>16</v>
      </c>
      <c r="G13" s="26" t="s">
        <v>16</v>
      </c>
      <c r="H13" s="27" t="s">
        <v>16</v>
      </c>
      <c r="I13" s="26" t="s">
        <v>16</v>
      </c>
      <c r="J13" s="26" t="s">
        <v>17</v>
      </c>
    </row>
    <row r="14">
      <c r="A14" s="19">
        <v>7.0</v>
      </c>
      <c r="B14" s="20" t="s">
        <v>16</v>
      </c>
      <c r="C14" s="21" t="s">
        <v>17</v>
      </c>
      <c r="D14" s="25" t="s">
        <v>17</v>
      </c>
      <c r="E14" s="26" t="s">
        <v>17</v>
      </c>
      <c r="F14" s="26" t="s">
        <v>17</v>
      </c>
      <c r="G14" s="26" t="s">
        <v>17</v>
      </c>
      <c r="H14" s="27" t="s">
        <v>17</v>
      </c>
      <c r="I14" s="26" t="s">
        <v>17</v>
      </c>
      <c r="J14" s="26" t="s">
        <v>17</v>
      </c>
    </row>
    <row r="15">
      <c r="A15" s="19">
        <v>8.0</v>
      </c>
      <c r="B15" s="20" t="s">
        <v>16</v>
      </c>
      <c r="C15" s="21" t="s">
        <v>16</v>
      </c>
      <c r="D15" s="25" t="s">
        <v>17</v>
      </c>
      <c r="E15" s="26" t="s">
        <v>16</v>
      </c>
      <c r="F15" s="26" t="s">
        <v>16</v>
      </c>
      <c r="G15" s="26" t="s">
        <v>17</v>
      </c>
      <c r="H15" s="27" t="s">
        <v>16</v>
      </c>
      <c r="I15" s="26" t="s">
        <v>17</v>
      </c>
      <c r="J15" s="26" t="s">
        <v>17</v>
      </c>
    </row>
    <row r="16">
      <c r="A16" s="19">
        <v>9.0</v>
      </c>
      <c r="B16" s="20" t="s">
        <v>16</v>
      </c>
      <c r="C16" s="21" t="s">
        <v>16</v>
      </c>
      <c r="D16" s="25" t="s">
        <v>16</v>
      </c>
      <c r="E16" s="26" t="s">
        <v>16</v>
      </c>
      <c r="F16" s="26" t="s">
        <v>16</v>
      </c>
      <c r="G16" s="26" t="s">
        <v>16</v>
      </c>
      <c r="H16" s="27" t="s">
        <v>16</v>
      </c>
      <c r="I16" s="26" t="s">
        <v>16</v>
      </c>
      <c r="J16" s="26" t="s">
        <v>17</v>
      </c>
    </row>
    <row r="17">
      <c r="A17" s="19">
        <v>10.0</v>
      </c>
      <c r="B17" s="20" t="s">
        <v>16</v>
      </c>
      <c r="C17" s="21" t="s">
        <v>16</v>
      </c>
      <c r="D17" s="25" t="s">
        <v>16</v>
      </c>
      <c r="E17" s="26" t="s">
        <v>16</v>
      </c>
      <c r="F17" s="26" t="s">
        <v>16</v>
      </c>
      <c r="G17" s="26" t="s">
        <v>16</v>
      </c>
      <c r="H17" s="27" t="s">
        <v>16</v>
      </c>
      <c r="I17" s="26" t="s">
        <v>16</v>
      </c>
      <c r="J17" s="26" t="s">
        <v>17</v>
      </c>
    </row>
    <row r="18">
      <c r="A18" s="19">
        <v>11.0</v>
      </c>
      <c r="B18" s="20" t="s">
        <v>17</v>
      </c>
      <c r="C18" s="21" t="s">
        <v>17</v>
      </c>
      <c r="D18" s="25" t="s">
        <v>17</v>
      </c>
      <c r="E18" s="26" t="s">
        <v>17</v>
      </c>
      <c r="F18" s="26" t="s">
        <v>17</v>
      </c>
      <c r="G18" s="26" t="s">
        <v>17</v>
      </c>
      <c r="H18" s="27" t="s">
        <v>17</v>
      </c>
      <c r="I18" s="26" t="s">
        <v>17</v>
      </c>
      <c r="J18" s="26" t="s">
        <v>17</v>
      </c>
    </row>
    <row r="19">
      <c r="A19" s="19">
        <v>12.0</v>
      </c>
      <c r="B19" s="20" t="s">
        <v>16</v>
      </c>
      <c r="C19" s="21" t="s">
        <v>16</v>
      </c>
      <c r="D19" s="25" t="s">
        <v>16</v>
      </c>
      <c r="E19" s="26" t="s">
        <v>16</v>
      </c>
      <c r="F19" s="26" t="s">
        <v>16</v>
      </c>
      <c r="G19" s="26" t="s">
        <v>16</v>
      </c>
      <c r="H19" s="27" t="s">
        <v>16</v>
      </c>
      <c r="I19" s="26" t="s">
        <v>16</v>
      </c>
      <c r="J19" s="26" t="s">
        <v>16</v>
      </c>
    </row>
    <row r="20">
      <c r="A20" s="19">
        <v>13.0</v>
      </c>
      <c r="B20" s="20" t="s">
        <v>16</v>
      </c>
      <c r="C20" s="21" t="s">
        <v>16</v>
      </c>
      <c r="D20" s="25" t="s">
        <v>17</v>
      </c>
      <c r="E20" s="26" t="s">
        <v>16</v>
      </c>
      <c r="F20" s="26" t="s">
        <v>17</v>
      </c>
      <c r="G20" s="26" t="s">
        <v>16</v>
      </c>
      <c r="H20" s="27" t="s">
        <v>16</v>
      </c>
      <c r="I20" s="26" t="s">
        <v>16</v>
      </c>
      <c r="J20" s="26" t="s">
        <v>17</v>
      </c>
    </row>
    <row r="21">
      <c r="A21" s="19">
        <v>14.0</v>
      </c>
      <c r="B21" s="20" t="s">
        <v>17</v>
      </c>
      <c r="C21" s="21" t="s">
        <v>17</v>
      </c>
      <c r="D21" s="25" t="s">
        <v>17</v>
      </c>
      <c r="E21" s="26" t="s">
        <v>17</v>
      </c>
      <c r="F21" s="26" t="s">
        <v>17</v>
      </c>
      <c r="G21" s="26" t="s">
        <v>17</v>
      </c>
      <c r="H21" s="27" t="s">
        <v>17</v>
      </c>
      <c r="I21" s="26" t="s">
        <v>17</v>
      </c>
      <c r="J21" s="26" t="s">
        <v>17</v>
      </c>
    </row>
    <row r="22">
      <c r="A22" s="19">
        <v>15.0</v>
      </c>
      <c r="B22" s="20" t="s">
        <v>16</v>
      </c>
      <c r="C22" s="21" t="s">
        <v>16</v>
      </c>
      <c r="D22" s="25" t="s">
        <v>16</v>
      </c>
      <c r="E22" s="26" t="s">
        <v>16</v>
      </c>
      <c r="F22" s="26" t="s">
        <v>16</v>
      </c>
      <c r="G22" s="26" t="s">
        <v>16</v>
      </c>
      <c r="H22" s="27" t="s">
        <v>16</v>
      </c>
      <c r="I22" s="26" t="s">
        <v>16</v>
      </c>
      <c r="J22" s="26" t="s">
        <v>16</v>
      </c>
    </row>
    <row r="23">
      <c r="A23" s="19">
        <v>16.0</v>
      </c>
      <c r="B23" s="20" t="s">
        <v>16</v>
      </c>
      <c r="C23" s="21" t="s">
        <v>16</v>
      </c>
      <c r="D23" s="25" t="s">
        <v>16</v>
      </c>
      <c r="E23" s="26" t="s">
        <v>16</v>
      </c>
      <c r="F23" s="26" t="s">
        <v>16</v>
      </c>
      <c r="G23" s="26" t="s">
        <v>16</v>
      </c>
      <c r="H23" s="27" t="s">
        <v>16</v>
      </c>
      <c r="I23" s="26" t="s">
        <v>16</v>
      </c>
      <c r="J23" s="26" t="s">
        <v>16</v>
      </c>
    </row>
    <row r="24">
      <c r="A24" s="19">
        <v>17.0</v>
      </c>
      <c r="B24" s="20" t="s">
        <v>17</v>
      </c>
      <c r="C24" s="21" t="s">
        <v>17</v>
      </c>
      <c r="D24" s="25" t="s">
        <v>17</v>
      </c>
      <c r="E24" s="26" t="s">
        <v>17</v>
      </c>
      <c r="F24" s="26" t="s">
        <v>17</v>
      </c>
      <c r="G24" s="26" t="s">
        <v>17</v>
      </c>
      <c r="H24" s="27" t="s">
        <v>17</v>
      </c>
      <c r="I24" s="26" t="s">
        <v>17</v>
      </c>
      <c r="J24" s="26" t="s">
        <v>17</v>
      </c>
    </row>
    <row r="25">
      <c r="A25" s="19">
        <v>18.0</v>
      </c>
      <c r="B25" s="20" t="s">
        <v>16</v>
      </c>
      <c r="C25" s="21" t="s">
        <v>16</v>
      </c>
      <c r="D25" s="25" t="s">
        <v>16</v>
      </c>
      <c r="E25" s="26" t="s">
        <v>16</v>
      </c>
      <c r="F25" s="26" t="s">
        <v>16</v>
      </c>
      <c r="G25" s="26" t="s">
        <v>16</v>
      </c>
      <c r="H25" s="27" t="s">
        <v>16</v>
      </c>
      <c r="I25" s="26" t="s">
        <v>16</v>
      </c>
      <c r="J25" s="26" t="s">
        <v>16</v>
      </c>
    </row>
    <row r="26">
      <c r="A26" s="19">
        <v>19.0</v>
      </c>
      <c r="B26" s="20" t="s">
        <v>17</v>
      </c>
      <c r="C26" s="21" t="s">
        <v>17</v>
      </c>
      <c r="D26" s="25" t="s">
        <v>17</v>
      </c>
      <c r="E26" s="26" t="s">
        <v>17</v>
      </c>
      <c r="F26" s="26" t="s">
        <v>17</v>
      </c>
      <c r="G26" s="26" t="s">
        <v>17</v>
      </c>
      <c r="H26" s="27" t="s">
        <v>17</v>
      </c>
      <c r="I26" s="26" t="s">
        <v>17</v>
      </c>
      <c r="J26" s="26" t="s">
        <v>17</v>
      </c>
    </row>
    <row r="27">
      <c r="A27" s="19">
        <v>20.0</v>
      </c>
      <c r="B27" s="20" t="s">
        <v>16</v>
      </c>
      <c r="C27" s="21" t="s">
        <v>16</v>
      </c>
      <c r="D27" s="25" t="s">
        <v>16</v>
      </c>
      <c r="E27" s="26" t="s">
        <v>16</v>
      </c>
      <c r="F27" s="26" t="s">
        <v>17</v>
      </c>
      <c r="G27" s="26" t="s">
        <v>17</v>
      </c>
      <c r="H27" s="27" t="s">
        <v>16</v>
      </c>
      <c r="I27" s="26" t="s">
        <v>17</v>
      </c>
      <c r="J27" s="26" t="s">
        <v>17</v>
      </c>
    </row>
    <row r="28">
      <c r="A28" s="19">
        <v>21.0</v>
      </c>
      <c r="B28" s="20" t="s">
        <v>17</v>
      </c>
      <c r="C28" s="21" t="s">
        <v>17</v>
      </c>
      <c r="D28" s="25" t="s">
        <v>17</v>
      </c>
      <c r="E28" s="26" t="s">
        <v>17</v>
      </c>
      <c r="F28" s="26" t="s">
        <v>17</v>
      </c>
      <c r="G28" s="26" t="s">
        <v>17</v>
      </c>
      <c r="H28" s="27" t="s">
        <v>17</v>
      </c>
      <c r="I28" s="26" t="s">
        <v>17</v>
      </c>
      <c r="J28" s="26" t="s">
        <v>17</v>
      </c>
    </row>
    <row r="29">
      <c r="A29" s="19">
        <v>22.0</v>
      </c>
      <c r="B29" s="20" t="s">
        <v>16</v>
      </c>
      <c r="C29" s="21" t="s">
        <v>16</v>
      </c>
      <c r="D29" s="25" t="s">
        <v>16</v>
      </c>
      <c r="E29" s="26" t="s">
        <v>16</v>
      </c>
      <c r="F29" s="26" t="s">
        <v>16</v>
      </c>
      <c r="G29" s="26" t="s">
        <v>16</v>
      </c>
      <c r="H29" s="27" t="s">
        <v>16</v>
      </c>
      <c r="I29" s="26" t="s">
        <v>16</v>
      </c>
      <c r="J29" s="26" t="s">
        <v>17</v>
      </c>
    </row>
    <row r="30">
      <c r="A30" s="19">
        <v>23.0</v>
      </c>
      <c r="B30" s="20" t="s">
        <v>16</v>
      </c>
      <c r="C30" s="21" t="s">
        <v>16</v>
      </c>
      <c r="D30" s="25" t="s">
        <v>16</v>
      </c>
      <c r="E30" s="26" t="s">
        <v>16</v>
      </c>
      <c r="F30" s="26" t="s">
        <v>16</v>
      </c>
      <c r="G30" s="26" t="s">
        <v>16</v>
      </c>
      <c r="H30" s="27" t="s">
        <v>16</v>
      </c>
      <c r="I30" s="26" t="s">
        <v>16</v>
      </c>
      <c r="J30" s="26" t="s">
        <v>16</v>
      </c>
    </row>
    <row r="31">
      <c r="A31" s="19">
        <v>24.0</v>
      </c>
      <c r="B31" s="20" t="s">
        <v>17</v>
      </c>
      <c r="C31" s="21" t="s">
        <v>17</v>
      </c>
      <c r="D31" s="25" t="s">
        <v>16</v>
      </c>
      <c r="E31" s="26" t="s">
        <v>16</v>
      </c>
      <c r="F31" s="26" t="s">
        <v>16</v>
      </c>
      <c r="G31" s="26" t="s">
        <v>17</v>
      </c>
      <c r="H31" s="27" t="s">
        <v>17</v>
      </c>
      <c r="I31" s="26" t="s">
        <v>16</v>
      </c>
      <c r="J31" s="26" t="s">
        <v>16</v>
      </c>
    </row>
    <row r="32">
      <c r="A32" s="19">
        <v>25.0</v>
      </c>
      <c r="B32" s="20" t="s">
        <v>16</v>
      </c>
      <c r="C32" s="21" t="s">
        <v>16</v>
      </c>
      <c r="D32" s="25" t="s">
        <v>16</v>
      </c>
      <c r="E32" s="26" t="s">
        <v>16</v>
      </c>
      <c r="F32" s="26" t="s">
        <v>16</v>
      </c>
      <c r="G32" s="26" t="s">
        <v>16</v>
      </c>
      <c r="H32" s="27" t="s">
        <v>16</v>
      </c>
      <c r="I32" s="26" t="s">
        <v>17</v>
      </c>
      <c r="J32" s="26" t="s">
        <v>16</v>
      </c>
    </row>
    <row r="33">
      <c r="A33" s="19">
        <v>26.0</v>
      </c>
      <c r="B33" s="20" t="s">
        <v>17</v>
      </c>
      <c r="C33" s="21" t="s">
        <v>17</v>
      </c>
      <c r="D33" s="25" t="s">
        <v>17</v>
      </c>
      <c r="E33" s="26" t="s">
        <v>17</v>
      </c>
      <c r="F33" s="26" t="s">
        <v>17</v>
      </c>
      <c r="G33" s="26" t="s">
        <v>17</v>
      </c>
      <c r="H33" s="27" t="s">
        <v>17</v>
      </c>
      <c r="I33" s="26" t="s">
        <v>17</v>
      </c>
      <c r="J33" s="26" t="s">
        <v>17</v>
      </c>
    </row>
    <row r="34">
      <c r="A34" s="19">
        <v>27.0</v>
      </c>
      <c r="B34" s="20" t="s">
        <v>16</v>
      </c>
      <c r="C34" s="21" t="s">
        <v>16</v>
      </c>
      <c r="D34" s="25" t="s">
        <v>16</v>
      </c>
      <c r="E34" s="26" t="s">
        <v>16</v>
      </c>
      <c r="F34" s="26" t="s">
        <v>16</v>
      </c>
      <c r="G34" s="26" t="s">
        <v>17</v>
      </c>
      <c r="H34" s="27" t="s">
        <v>16</v>
      </c>
      <c r="I34" s="26" t="s">
        <v>16</v>
      </c>
      <c r="J34" s="26" t="s">
        <v>16</v>
      </c>
    </row>
    <row r="35">
      <c r="A35" s="19">
        <v>28.0</v>
      </c>
      <c r="B35" s="20" t="s">
        <v>17</v>
      </c>
      <c r="C35" s="21" t="s">
        <v>17</v>
      </c>
      <c r="D35" s="25" t="s">
        <v>17</v>
      </c>
      <c r="E35" s="26" t="s">
        <v>17</v>
      </c>
      <c r="F35" s="26" t="s">
        <v>17</v>
      </c>
      <c r="G35" s="26" t="s">
        <v>17</v>
      </c>
      <c r="H35" s="27" t="s">
        <v>17</v>
      </c>
      <c r="I35" s="26" t="s">
        <v>17</v>
      </c>
      <c r="J35" s="26" t="s">
        <v>17</v>
      </c>
    </row>
    <row r="36">
      <c r="A36" s="19">
        <v>29.0</v>
      </c>
      <c r="B36" s="20" t="s">
        <v>16</v>
      </c>
      <c r="C36" s="21" t="s">
        <v>16</v>
      </c>
      <c r="D36" s="25" t="s">
        <v>16</v>
      </c>
      <c r="E36" s="26" t="s">
        <v>16</v>
      </c>
      <c r="F36" s="26" t="s">
        <v>16</v>
      </c>
      <c r="G36" s="26" t="s">
        <v>16</v>
      </c>
      <c r="H36" s="27" t="s">
        <v>16</v>
      </c>
      <c r="I36" s="26" t="s">
        <v>16</v>
      </c>
      <c r="J36" s="26" t="s">
        <v>16</v>
      </c>
    </row>
    <row r="37">
      <c r="A37" s="19">
        <v>30.0</v>
      </c>
      <c r="B37" s="20" t="s">
        <v>17</v>
      </c>
      <c r="C37" s="21" t="s">
        <v>17</v>
      </c>
      <c r="D37" s="25" t="s">
        <v>17</v>
      </c>
      <c r="E37" s="26" t="s">
        <v>17</v>
      </c>
      <c r="F37" s="26" t="s">
        <v>17</v>
      </c>
      <c r="G37" s="26" t="s">
        <v>16</v>
      </c>
      <c r="H37" s="27" t="s">
        <v>17</v>
      </c>
      <c r="I37" s="26" t="s">
        <v>17</v>
      </c>
      <c r="J37" s="26" t="s">
        <v>17</v>
      </c>
    </row>
    <row r="38">
      <c r="A38" s="19">
        <v>31.0</v>
      </c>
      <c r="B38" s="20" t="s">
        <v>17</v>
      </c>
      <c r="C38" s="21" t="s">
        <v>17</v>
      </c>
      <c r="D38" s="25" t="s">
        <v>17</v>
      </c>
      <c r="E38" s="26" t="s">
        <v>17</v>
      </c>
      <c r="F38" s="26" t="s">
        <v>17</v>
      </c>
      <c r="G38" s="26" t="s">
        <v>17</v>
      </c>
      <c r="H38" s="27" t="s">
        <v>17</v>
      </c>
      <c r="I38" s="26" t="s">
        <v>17</v>
      </c>
      <c r="J38" s="26" t="s">
        <v>17</v>
      </c>
    </row>
    <row r="39">
      <c r="A39" s="19">
        <v>32.0</v>
      </c>
      <c r="B39" s="20" t="s">
        <v>16</v>
      </c>
      <c r="C39" s="21" t="s">
        <v>16</v>
      </c>
      <c r="D39" s="25" t="s">
        <v>16</v>
      </c>
      <c r="E39" s="26" t="s">
        <v>16</v>
      </c>
      <c r="F39" s="26" t="s">
        <v>16</v>
      </c>
      <c r="G39" s="26" t="s">
        <v>16</v>
      </c>
      <c r="H39" s="27" t="s">
        <v>16</v>
      </c>
      <c r="I39" s="26" t="s">
        <v>16</v>
      </c>
      <c r="J39" s="26" t="s">
        <v>17</v>
      </c>
    </row>
    <row r="40">
      <c r="A40" s="19">
        <v>33.0</v>
      </c>
      <c r="B40" s="20" t="s">
        <v>17</v>
      </c>
      <c r="C40" s="21" t="s">
        <v>17</v>
      </c>
      <c r="D40" s="25" t="s">
        <v>17</v>
      </c>
      <c r="E40" s="26" t="s">
        <v>17</v>
      </c>
      <c r="F40" s="26" t="s">
        <v>17</v>
      </c>
      <c r="G40" s="26" t="s">
        <v>17</v>
      </c>
      <c r="H40" s="27" t="s">
        <v>17</v>
      </c>
      <c r="I40" s="26" t="s">
        <v>17</v>
      </c>
      <c r="J40" s="26" t="s">
        <v>17</v>
      </c>
    </row>
    <row r="41">
      <c r="A41" s="19">
        <v>34.0</v>
      </c>
      <c r="B41" s="20" t="s">
        <v>16</v>
      </c>
      <c r="C41" s="21" t="s">
        <v>16</v>
      </c>
      <c r="D41" s="25" t="s">
        <v>16</v>
      </c>
      <c r="E41" s="26" t="s">
        <v>16</v>
      </c>
      <c r="F41" s="26" t="s">
        <v>16</v>
      </c>
      <c r="G41" s="26" t="s">
        <v>17</v>
      </c>
      <c r="H41" s="27" t="s">
        <v>16</v>
      </c>
      <c r="I41" s="26" t="s">
        <v>16</v>
      </c>
      <c r="J41" s="26" t="s">
        <v>16</v>
      </c>
    </row>
    <row r="42">
      <c r="A42" s="19">
        <v>35.0</v>
      </c>
      <c r="B42" s="20" t="s">
        <v>16</v>
      </c>
      <c r="C42" s="21" t="s">
        <v>16</v>
      </c>
      <c r="D42" s="25" t="s">
        <v>16</v>
      </c>
      <c r="E42" s="26" t="s">
        <v>16</v>
      </c>
      <c r="F42" s="26" t="s">
        <v>16</v>
      </c>
      <c r="G42" s="26" t="s">
        <v>16</v>
      </c>
      <c r="H42" s="27" t="s">
        <v>16</v>
      </c>
      <c r="I42" s="26" t="s">
        <v>16</v>
      </c>
      <c r="J42" s="26" t="s">
        <v>16</v>
      </c>
    </row>
    <row r="43">
      <c r="A43" s="19">
        <v>36.0</v>
      </c>
      <c r="B43" s="20" t="s">
        <v>16</v>
      </c>
      <c r="C43" s="21" t="s">
        <v>16</v>
      </c>
      <c r="D43" s="25" t="s">
        <v>16</v>
      </c>
      <c r="E43" s="26" t="s">
        <v>16</v>
      </c>
      <c r="F43" s="26" t="s">
        <v>16</v>
      </c>
      <c r="G43" s="26" t="s">
        <v>16</v>
      </c>
      <c r="H43" s="27" t="s">
        <v>16</v>
      </c>
      <c r="I43" s="26" t="s">
        <v>16</v>
      </c>
      <c r="J43" s="26" t="s">
        <v>16</v>
      </c>
    </row>
    <row r="44">
      <c r="A44" s="19">
        <v>37.0</v>
      </c>
      <c r="B44" s="20" t="s">
        <v>16</v>
      </c>
      <c r="C44" s="21" t="s">
        <v>16</v>
      </c>
      <c r="D44" s="25" t="s">
        <v>16</v>
      </c>
      <c r="E44" s="26" t="s">
        <v>16</v>
      </c>
      <c r="F44" s="26" t="s">
        <v>16</v>
      </c>
      <c r="G44" s="26" t="s">
        <v>17</v>
      </c>
      <c r="H44" s="27" t="s">
        <v>16</v>
      </c>
      <c r="I44" s="26" t="s">
        <v>17</v>
      </c>
      <c r="J44" s="26" t="s">
        <v>16</v>
      </c>
    </row>
    <row r="45">
      <c r="A45" s="19">
        <v>38.0</v>
      </c>
      <c r="B45" s="20" t="s">
        <v>16</v>
      </c>
      <c r="C45" s="21" t="s">
        <v>16</v>
      </c>
      <c r="D45" s="25" t="s">
        <v>16</v>
      </c>
      <c r="E45" s="26" t="s">
        <v>16</v>
      </c>
      <c r="F45" s="26" t="s">
        <v>16</v>
      </c>
      <c r="G45" s="26" t="s">
        <v>16</v>
      </c>
      <c r="H45" s="27" t="s">
        <v>16</v>
      </c>
      <c r="I45" s="26" t="s">
        <v>16</v>
      </c>
      <c r="J45" s="26" t="s">
        <v>16</v>
      </c>
    </row>
    <row r="46">
      <c r="A46" s="19">
        <v>39.0</v>
      </c>
      <c r="B46" s="20" t="s">
        <v>17</v>
      </c>
      <c r="C46" s="21" t="s">
        <v>17</v>
      </c>
      <c r="D46" s="25" t="s">
        <v>17</v>
      </c>
      <c r="E46" s="26" t="s">
        <v>17</v>
      </c>
      <c r="F46" s="26" t="s">
        <v>17</v>
      </c>
      <c r="G46" s="26" t="s">
        <v>16</v>
      </c>
      <c r="H46" s="27" t="s">
        <v>17</v>
      </c>
      <c r="I46" s="26" t="s">
        <v>17</v>
      </c>
      <c r="J46" s="26" t="s">
        <v>17</v>
      </c>
    </row>
    <row r="47">
      <c r="A47" s="19">
        <v>40.0</v>
      </c>
      <c r="B47" s="20" t="s">
        <v>16</v>
      </c>
      <c r="C47" s="21" t="s">
        <v>16</v>
      </c>
      <c r="D47" s="25" t="s">
        <v>16</v>
      </c>
      <c r="E47" s="26" t="s">
        <v>16</v>
      </c>
      <c r="F47" s="26" t="s">
        <v>16</v>
      </c>
      <c r="G47" s="26" t="s">
        <v>16</v>
      </c>
      <c r="H47" s="27" t="s">
        <v>16</v>
      </c>
      <c r="I47" s="26" t="s">
        <v>17</v>
      </c>
      <c r="J47" s="26" t="s">
        <v>17</v>
      </c>
    </row>
    <row r="48">
      <c r="A48" s="19">
        <v>41.0</v>
      </c>
      <c r="B48" s="20" t="s">
        <v>16</v>
      </c>
      <c r="C48" s="21" t="s">
        <v>16</v>
      </c>
      <c r="D48" s="25" t="s">
        <v>16</v>
      </c>
      <c r="E48" s="26" t="s">
        <v>16</v>
      </c>
      <c r="F48" s="26" t="s">
        <v>16</v>
      </c>
      <c r="G48" s="26" t="s">
        <v>16</v>
      </c>
      <c r="H48" s="27" t="s">
        <v>16</v>
      </c>
      <c r="I48" s="26" t="s">
        <v>16</v>
      </c>
      <c r="J48" s="26" t="s">
        <v>16</v>
      </c>
    </row>
    <row r="49">
      <c r="A49" s="19">
        <v>42.0</v>
      </c>
      <c r="B49" s="20" t="s">
        <v>17</v>
      </c>
      <c r="C49" s="21" t="s">
        <v>17</v>
      </c>
      <c r="D49" s="25" t="s">
        <v>17</v>
      </c>
      <c r="E49" s="26" t="s">
        <v>17</v>
      </c>
      <c r="F49" s="26" t="s">
        <v>17</v>
      </c>
      <c r="G49" s="26" t="s">
        <v>17</v>
      </c>
      <c r="H49" s="27" t="s">
        <v>17</v>
      </c>
      <c r="I49" s="26" t="s">
        <v>17</v>
      </c>
      <c r="J49" s="26" t="s">
        <v>17</v>
      </c>
    </row>
    <row r="50">
      <c r="A50" s="19">
        <v>43.0</v>
      </c>
      <c r="B50" s="20" t="s">
        <v>16</v>
      </c>
      <c r="C50" s="21" t="s">
        <v>16</v>
      </c>
      <c r="D50" s="25" t="s">
        <v>16</v>
      </c>
      <c r="E50" s="26" t="s">
        <v>16</v>
      </c>
      <c r="F50" s="26" t="s">
        <v>16</v>
      </c>
      <c r="G50" s="26" t="s">
        <v>16</v>
      </c>
      <c r="H50" s="27" t="s">
        <v>16</v>
      </c>
      <c r="I50" s="26" t="s">
        <v>16</v>
      </c>
      <c r="J50" s="26" t="s">
        <v>17</v>
      </c>
    </row>
    <row r="51">
      <c r="A51" s="19">
        <v>44.0</v>
      </c>
      <c r="B51" s="20" t="s">
        <v>17</v>
      </c>
      <c r="C51" s="21" t="s">
        <v>17</v>
      </c>
      <c r="D51" s="25" t="s">
        <v>17</v>
      </c>
      <c r="E51" s="26" t="s">
        <v>17</v>
      </c>
      <c r="F51" s="26" t="s">
        <v>17</v>
      </c>
      <c r="G51" s="26" t="s">
        <v>17</v>
      </c>
      <c r="H51" s="27" t="s">
        <v>17</v>
      </c>
      <c r="I51" s="26" t="s">
        <v>17</v>
      </c>
      <c r="J51" s="26" t="s">
        <v>16</v>
      </c>
    </row>
    <row r="52">
      <c r="A52" s="19">
        <v>45.0</v>
      </c>
      <c r="B52" s="20" t="s">
        <v>17</v>
      </c>
      <c r="C52" s="21" t="s">
        <v>17</v>
      </c>
      <c r="D52" s="25" t="s">
        <v>17</v>
      </c>
      <c r="E52" s="26" t="s">
        <v>17</v>
      </c>
      <c r="F52" s="26" t="s">
        <v>17</v>
      </c>
      <c r="G52" s="26" t="s">
        <v>17</v>
      </c>
      <c r="H52" s="27" t="s">
        <v>17</v>
      </c>
      <c r="I52" s="26" t="s">
        <v>17</v>
      </c>
      <c r="J52" s="26" t="s">
        <v>17</v>
      </c>
    </row>
    <row r="53">
      <c r="A53" s="19">
        <v>46.0</v>
      </c>
      <c r="B53" s="28" t="s">
        <v>16</v>
      </c>
      <c r="C53" s="29" t="s">
        <v>16</v>
      </c>
      <c r="D53" s="30" t="s">
        <v>16</v>
      </c>
      <c r="E53" s="31" t="s">
        <v>16</v>
      </c>
      <c r="F53" s="31" t="s">
        <v>16</v>
      </c>
      <c r="G53" s="31" t="s">
        <v>16</v>
      </c>
      <c r="H53" s="32" t="s">
        <v>16</v>
      </c>
      <c r="I53" s="31" t="s">
        <v>16</v>
      </c>
      <c r="J53" s="31" t="s">
        <v>16</v>
      </c>
    </row>
    <row r="54">
      <c r="A54" s="33"/>
      <c r="B54" s="33"/>
      <c r="C54" s="33"/>
      <c r="D54" s="33"/>
    </row>
    <row r="55">
      <c r="A55" s="33"/>
      <c r="B55" s="33"/>
      <c r="C55" s="33"/>
      <c r="D55" s="33"/>
    </row>
    <row r="56">
      <c r="A56" s="33"/>
      <c r="B56" s="33"/>
      <c r="C56" s="33"/>
      <c r="D56" s="33"/>
    </row>
    <row r="57">
      <c r="A57" s="33"/>
      <c r="B57" s="33"/>
      <c r="C57" s="33"/>
      <c r="D57" s="33"/>
    </row>
    <row r="58">
      <c r="A58" s="33"/>
      <c r="B58" s="33"/>
      <c r="C58" s="33"/>
      <c r="D58" s="33"/>
    </row>
    <row r="59">
      <c r="A59" s="33"/>
      <c r="B59" s="33"/>
      <c r="C59" s="33"/>
      <c r="D59" s="33"/>
    </row>
    <row r="60">
      <c r="A60" s="33"/>
      <c r="B60" s="33"/>
      <c r="C60" s="33"/>
      <c r="D60" s="33"/>
    </row>
    <row r="61">
      <c r="A61" s="33"/>
      <c r="B61" s="33"/>
      <c r="C61" s="33"/>
      <c r="D61" s="33"/>
    </row>
    <row r="62">
      <c r="A62" s="33"/>
      <c r="B62" s="33"/>
      <c r="C62" s="33"/>
      <c r="D62" s="33"/>
    </row>
    <row r="63">
      <c r="A63" s="33"/>
      <c r="B63" s="33"/>
      <c r="C63" s="33"/>
      <c r="D63" s="33"/>
    </row>
    <row r="64">
      <c r="A64" s="33"/>
      <c r="B64" s="33"/>
      <c r="C64" s="33"/>
      <c r="D64" s="33"/>
    </row>
    <row r="65">
      <c r="A65" s="33"/>
      <c r="B65" s="33"/>
      <c r="C65" s="33"/>
      <c r="D65" s="33"/>
    </row>
    <row r="66">
      <c r="A66" s="33"/>
      <c r="B66" s="33"/>
      <c r="C66" s="33"/>
      <c r="D66" s="33"/>
    </row>
    <row r="67">
      <c r="A67" s="33"/>
      <c r="B67" s="33"/>
      <c r="C67" s="33"/>
      <c r="D67" s="33"/>
    </row>
    <row r="68">
      <c r="A68" s="33"/>
      <c r="B68" s="33"/>
      <c r="C68" s="33"/>
      <c r="D68" s="33"/>
    </row>
    <row r="69">
      <c r="A69" s="33"/>
      <c r="B69" s="33"/>
      <c r="C69" s="33"/>
      <c r="D69" s="33"/>
    </row>
    <row r="70">
      <c r="A70" s="33"/>
      <c r="B70" s="33"/>
      <c r="C70" s="33"/>
      <c r="D70" s="33"/>
    </row>
    <row r="71">
      <c r="A71" s="33"/>
      <c r="B71" s="33"/>
      <c r="C71" s="33"/>
      <c r="D71" s="33"/>
    </row>
    <row r="72">
      <c r="A72" s="33"/>
      <c r="B72" s="33"/>
      <c r="C72" s="33"/>
      <c r="D72" s="33"/>
    </row>
    <row r="73">
      <c r="A73" s="33"/>
      <c r="B73" s="33"/>
      <c r="C73" s="33"/>
      <c r="D73" s="33"/>
    </row>
    <row r="74">
      <c r="A74" s="33"/>
      <c r="B74" s="33"/>
      <c r="C74" s="33"/>
      <c r="D74" s="33"/>
    </row>
    <row r="75">
      <c r="A75" s="33"/>
      <c r="B75" s="33"/>
      <c r="C75" s="33"/>
      <c r="D75" s="33"/>
    </row>
    <row r="76">
      <c r="A76" s="33"/>
      <c r="B76" s="33"/>
      <c r="C76" s="33"/>
      <c r="D76" s="33"/>
    </row>
    <row r="77">
      <c r="A77" s="33"/>
      <c r="B77" s="33"/>
      <c r="C77" s="33"/>
      <c r="D77" s="33"/>
    </row>
    <row r="78">
      <c r="A78" s="33"/>
      <c r="B78" s="33"/>
      <c r="C78" s="33"/>
      <c r="D78" s="33"/>
    </row>
    <row r="79">
      <c r="A79" s="33"/>
      <c r="B79" s="33"/>
      <c r="C79" s="33"/>
      <c r="D79" s="33"/>
    </row>
    <row r="80">
      <c r="A80" s="33"/>
      <c r="B80" s="33"/>
      <c r="C80" s="33"/>
      <c r="D80" s="33"/>
    </row>
    <row r="81">
      <c r="A81" s="33"/>
      <c r="B81" s="33"/>
      <c r="C81" s="33"/>
      <c r="D81" s="33"/>
    </row>
    <row r="82">
      <c r="A82" s="33"/>
      <c r="B82" s="33"/>
      <c r="C82" s="33"/>
      <c r="D82" s="33"/>
    </row>
    <row r="83">
      <c r="A83" s="33"/>
      <c r="B83" s="33"/>
      <c r="C83" s="33"/>
      <c r="D83" s="33"/>
    </row>
    <row r="84">
      <c r="A84" s="33"/>
      <c r="B84" s="33"/>
      <c r="C84" s="33"/>
      <c r="D84" s="33"/>
    </row>
    <row r="85">
      <c r="A85" s="33"/>
      <c r="B85" s="33"/>
      <c r="C85" s="33"/>
      <c r="D85" s="33"/>
    </row>
    <row r="86">
      <c r="A86" s="33"/>
      <c r="B86" s="33"/>
      <c r="C86" s="33"/>
      <c r="D86" s="33"/>
    </row>
    <row r="87">
      <c r="A87" s="33"/>
      <c r="B87" s="33"/>
      <c r="C87" s="33"/>
      <c r="D87" s="33"/>
    </row>
    <row r="88">
      <c r="A88" s="33"/>
      <c r="B88" s="33"/>
      <c r="C88" s="33"/>
      <c r="D88" s="33"/>
    </row>
    <row r="89">
      <c r="A89" s="33"/>
      <c r="B89" s="33"/>
      <c r="C89" s="33"/>
      <c r="D89" s="33"/>
    </row>
    <row r="90">
      <c r="A90" s="33"/>
      <c r="B90" s="33"/>
      <c r="C90" s="33"/>
      <c r="D90" s="33"/>
    </row>
    <row r="91">
      <c r="A91" s="33"/>
      <c r="B91" s="33"/>
      <c r="C91" s="33"/>
      <c r="D91" s="33"/>
    </row>
    <row r="92">
      <c r="A92" s="33"/>
      <c r="B92" s="33"/>
      <c r="C92" s="33"/>
      <c r="D92" s="33"/>
    </row>
    <row r="93">
      <c r="A93" s="33"/>
      <c r="B93" s="33"/>
      <c r="C93" s="33"/>
      <c r="D93" s="33"/>
    </row>
    <row r="94">
      <c r="A94" s="33"/>
      <c r="B94" s="33"/>
      <c r="C94" s="33"/>
      <c r="D94" s="33"/>
    </row>
    <row r="95">
      <c r="A95" s="33"/>
      <c r="B95" s="33"/>
      <c r="C95" s="33"/>
      <c r="D95" s="33"/>
    </row>
    <row r="96">
      <c r="A96" s="33"/>
      <c r="B96" s="33"/>
      <c r="C96" s="33"/>
      <c r="D96" s="33"/>
    </row>
    <row r="97">
      <c r="A97" s="33"/>
      <c r="B97" s="33"/>
      <c r="C97" s="33"/>
      <c r="D97" s="33"/>
    </row>
    <row r="98">
      <c r="A98" s="33"/>
      <c r="B98" s="33"/>
      <c r="C98" s="33"/>
      <c r="D98" s="33"/>
    </row>
    <row r="99">
      <c r="A99" s="33"/>
      <c r="B99" s="33"/>
      <c r="C99" s="33"/>
      <c r="D99" s="33"/>
    </row>
    <row r="100">
      <c r="A100" s="33"/>
      <c r="B100" s="33"/>
      <c r="C100" s="33"/>
      <c r="D100" s="33"/>
    </row>
    <row r="101">
      <c r="A101" s="33"/>
      <c r="B101" s="33"/>
      <c r="C101" s="33"/>
      <c r="D101" s="33"/>
    </row>
    <row r="102">
      <c r="A102" s="33"/>
      <c r="B102" s="33"/>
      <c r="C102" s="33"/>
      <c r="D102" s="33"/>
    </row>
    <row r="103">
      <c r="A103" s="33"/>
      <c r="B103" s="33"/>
      <c r="C103" s="33"/>
      <c r="D103" s="33"/>
    </row>
    <row r="104">
      <c r="A104" s="33"/>
      <c r="B104" s="33"/>
      <c r="C104" s="33"/>
      <c r="D104" s="33"/>
    </row>
    <row r="105">
      <c r="A105" s="33"/>
      <c r="B105" s="33"/>
      <c r="C105" s="33"/>
      <c r="D105" s="33"/>
    </row>
    <row r="106">
      <c r="A106" s="33"/>
      <c r="B106" s="33"/>
      <c r="C106" s="33"/>
      <c r="D106" s="33"/>
    </row>
    <row r="107">
      <c r="A107" s="33"/>
      <c r="B107" s="33"/>
      <c r="C107" s="33"/>
      <c r="D107" s="33"/>
    </row>
    <row r="108">
      <c r="A108" s="33"/>
      <c r="B108" s="33"/>
      <c r="C108" s="33"/>
      <c r="D108" s="33"/>
    </row>
    <row r="109">
      <c r="A109" s="33"/>
      <c r="B109" s="33"/>
      <c r="C109" s="33"/>
      <c r="D109" s="33"/>
    </row>
    <row r="110">
      <c r="A110" s="33"/>
      <c r="B110" s="33"/>
      <c r="C110" s="33"/>
      <c r="D110" s="33"/>
    </row>
    <row r="111">
      <c r="A111" s="33"/>
      <c r="B111" s="33"/>
      <c r="C111" s="33"/>
      <c r="D111" s="33"/>
    </row>
    <row r="112">
      <c r="A112" s="33"/>
      <c r="B112" s="33"/>
      <c r="C112" s="33"/>
      <c r="D112" s="33"/>
    </row>
    <row r="113">
      <c r="A113" s="33"/>
      <c r="B113" s="33"/>
      <c r="C113" s="33"/>
      <c r="D113" s="33"/>
    </row>
    <row r="114">
      <c r="A114" s="33"/>
      <c r="B114" s="33"/>
      <c r="C114" s="33"/>
      <c r="D114" s="33"/>
    </row>
    <row r="115">
      <c r="A115" s="33"/>
      <c r="B115" s="33"/>
      <c r="C115" s="33"/>
      <c r="D115" s="33"/>
    </row>
    <row r="116">
      <c r="A116" s="33"/>
      <c r="B116" s="33"/>
      <c r="C116" s="33"/>
      <c r="D116" s="33"/>
    </row>
    <row r="117">
      <c r="A117" s="33"/>
      <c r="B117" s="33"/>
      <c r="C117" s="33"/>
      <c r="D117" s="33"/>
    </row>
    <row r="118">
      <c r="A118" s="33"/>
      <c r="B118" s="33"/>
      <c r="C118" s="33"/>
      <c r="D118" s="33"/>
    </row>
    <row r="119">
      <c r="A119" s="33"/>
      <c r="B119" s="33"/>
      <c r="C119" s="33"/>
      <c r="D119" s="33"/>
    </row>
    <row r="120">
      <c r="A120" s="33"/>
      <c r="B120" s="33"/>
      <c r="C120" s="33"/>
      <c r="D120" s="33"/>
    </row>
    <row r="121">
      <c r="A121" s="33"/>
      <c r="B121" s="33"/>
      <c r="C121" s="33"/>
      <c r="D121" s="33"/>
    </row>
    <row r="122">
      <c r="A122" s="33"/>
      <c r="B122" s="33"/>
      <c r="C122" s="33"/>
      <c r="D122" s="33"/>
    </row>
    <row r="123">
      <c r="A123" s="33"/>
      <c r="B123" s="33"/>
      <c r="C123" s="33"/>
      <c r="D123" s="33"/>
    </row>
    <row r="124">
      <c r="A124" s="33"/>
      <c r="B124" s="33"/>
      <c r="C124" s="33"/>
      <c r="D124" s="33"/>
    </row>
    <row r="125">
      <c r="A125" s="33"/>
      <c r="B125" s="33"/>
      <c r="C125" s="33"/>
      <c r="D125" s="33"/>
    </row>
    <row r="126">
      <c r="A126" s="33"/>
      <c r="B126" s="33"/>
      <c r="C126" s="33"/>
      <c r="D126" s="33"/>
    </row>
    <row r="127">
      <c r="A127" s="33"/>
      <c r="B127" s="33"/>
      <c r="C127" s="33"/>
      <c r="D127" s="33"/>
    </row>
    <row r="128">
      <c r="A128" s="33"/>
      <c r="B128" s="33"/>
      <c r="C128" s="33"/>
      <c r="D128" s="33"/>
    </row>
    <row r="129">
      <c r="A129" s="33"/>
      <c r="B129" s="33"/>
      <c r="C129" s="33"/>
      <c r="D129" s="33"/>
    </row>
    <row r="130">
      <c r="A130" s="33"/>
      <c r="B130" s="33"/>
      <c r="C130" s="33"/>
      <c r="D130" s="33"/>
    </row>
    <row r="131">
      <c r="A131" s="33"/>
      <c r="B131" s="33"/>
      <c r="C131" s="33"/>
      <c r="D131" s="33"/>
    </row>
    <row r="132">
      <c r="A132" s="33"/>
      <c r="B132" s="33"/>
      <c r="C132" s="33"/>
      <c r="D132" s="33"/>
    </row>
    <row r="133">
      <c r="A133" s="33"/>
      <c r="B133" s="33"/>
      <c r="C133" s="33"/>
      <c r="D133" s="33"/>
    </row>
    <row r="134">
      <c r="A134" s="33"/>
      <c r="B134" s="33"/>
      <c r="C134" s="33"/>
      <c r="D134" s="33"/>
    </row>
    <row r="135">
      <c r="A135" s="33"/>
      <c r="B135" s="33"/>
      <c r="C135" s="33"/>
      <c r="D135" s="33"/>
    </row>
    <row r="136">
      <c r="A136" s="33"/>
      <c r="B136" s="33"/>
      <c r="C136" s="33"/>
      <c r="D136" s="33"/>
    </row>
    <row r="137">
      <c r="A137" s="33"/>
      <c r="B137" s="33"/>
      <c r="C137" s="33"/>
      <c r="D137" s="33"/>
    </row>
    <row r="138">
      <c r="A138" s="33"/>
      <c r="B138" s="33"/>
      <c r="C138" s="33"/>
      <c r="D138" s="33"/>
    </row>
    <row r="139">
      <c r="A139" s="33"/>
      <c r="B139" s="33"/>
      <c r="C139" s="33"/>
      <c r="D139" s="33"/>
    </row>
    <row r="140">
      <c r="A140" s="33"/>
      <c r="B140" s="33"/>
      <c r="C140" s="33"/>
      <c r="D140" s="33"/>
    </row>
    <row r="141">
      <c r="A141" s="33"/>
      <c r="B141" s="33"/>
      <c r="C141" s="33"/>
      <c r="D141" s="33"/>
    </row>
    <row r="142">
      <c r="A142" s="33"/>
      <c r="B142" s="33"/>
      <c r="C142" s="33"/>
      <c r="D142" s="33"/>
    </row>
    <row r="143">
      <c r="A143" s="33"/>
      <c r="B143" s="33"/>
      <c r="C143" s="33"/>
      <c r="D143" s="33"/>
    </row>
    <row r="144">
      <c r="A144" s="33"/>
      <c r="B144" s="33"/>
      <c r="C144" s="33"/>
      <c r="D144" s="33"/>
    </row>
    <row r="145">
      <c r="A145" s="33"/>
      <c r="B145" s="33"/>
      <c r="C145" s="33"/>
      <c r="D145" s="33"/>
    </row>
    <row r="146">
      <c r="A146" s="33"/>
      <c r="B146" s="33"/>
      <c r="C146" s="33"/>
      <c r="D146" s="33"/>
    </row>
    <row r="147">
      <c r="A147" s="33"/>
      <c r="B147" s="33"/>
      <c r="C147" s="33"/>
      <c r="D147" s="33"/>
    </row>
    <row r="148">
      <c r="A148" s="33"/>
      <c r="B148" s="33"/>
      <c r="C148" s="33"/>
      <c r="D148" s="33"/>
    </row>
    <row r="149">
      <c r="A149" s="33"/>
      <c r="B149" s="33"/>
      <c r="C149" s="33"/>
      <c r="D149" s="33"/>
    </row>
    <row r="150">
      <c r="A150" s="33"/>
      <c r="B150" s="33"/>
      <c r="C150" s="33"/>
      <c r="D150" s="33"/>
    </row>
    <row r="151">
      <c r="A151" s="33"/>
      <c r="B151" s="33"/>
      <c r="C151" s="33"/>
      <c r="D151" s="33"/>
    </row>
    <row r="152">
      <c r="A152" s="33"/>
      <c r="B152" s="33"/>
      <c r="C152" s="33"/>
      <c r="D152" s="33"/>
    </row>
    <row r="153">
      <c r="A153" s="33"/>
      <c r="B153" s="33"/>
      <c r="C153" s="33"/>
      <c r="D153" s="33"/>
    </row>
    <row r="154">
      <c r="A154" s="33"/>
      <c r="B154" s="33"/>
      <c r="C154" s="33"/>
      <c r="D154" s="33"/>
    </row>
    <row r="155">
      <c r="A155" s="33"/>
      <c r="B155" s="33"/>
      <c r="C155" s="33"/>
      <c r="D155" s="33"/>
    </row>
    <row r="156">
      <c r="A156" s="33"/>
      <c r="B156" s="33"/>
      <c r="C156" s="33"/>
      <c r="D156" s="33"/>
    </row>
    <row r="157">
      <c r="A157" s="33"/>
      <c r="B157" s="33"/>
      <c r="C157" s="33"/>
      <c r="D157" s="33"/>
    </row>
    <row r="158">
      <c r="A158" s="33"/>
      <c r="B158" s="33"/>
      <c r="C158" s="33"/>
      <c r="D158" s="33"/>
    </row>
    <row r="159">
      <c r="A159" s="33"/>
      <c r="B159" s="33"/>
      <c r="C159" s="33"/>
      <c r="D159" s="33"/>
    </row>
    <row r="160">
      <c r="A160" s="33"/>
      <c r="B160" s="33"/>
      <c r="C160" s="33"/>
      <c r="D160" s="33"/>
    </row>
    <row r="161">
      <c r="A161" s="33"/>
      <c r="B161" s="33"/>
      <c r="C161" s="33"/>
      <c r="D161" s="33"/>
    </row>
    <row r="162">
      <c r="A162" s="33"/>
      <c r="B162" s="33"/>
      <c r="C162" s="33"/>
      <c r="D162" s="33"/>
    </row>
    <row r="163">
      <c r="A163" s="33"/>
      <c r="B163" s="33"/>
      <c r="C163" s="33"/>
      <c r="D163" s="33"/>
    </row>
    <row r="164">
      <c r="A164" s="33"/>
      <c r="B164" s="33"/>
      <c r="C164" s="33"/>
      <c r="D164" s="33"/>
    </row>
    <row r="165">
      <c r="A165" s="33"/>
      <c r="B165" s="33"/>
      <c r="C165" s="33"/>
      <c r="D165" s="33"/>
    </row>
    <row r="166">
      <c r="A166" s="33"/>
      <c r="B166" s="33"/>
      <c r="C166" s="33"/>
      <c r="D166" s="33"/>
    </row>
    <row r="167">
      <c r="A167" s="33"/>
      <c r="B167" s="33"/>
      <c r="C167" s="33"/>
      <c r="D167" s="33"/>
    </row>
    <row r="168">
      <c r="A168" s="33"/>
      <c r="B168" s="33"/>
      <c r="C168" s="33"/>
      <c r="D168" s="33"/>
    </row>
    <row r="169">
      <c r="A169" s="33"/>
      <c r="B169" s="33"/>
      <c r="C169" s="33"/>
      <c r="D169" s="33"/>
    </row>
    <row r="170">
      <c r="A170" s="33"/>
      <c r="B170" s="33"/>
      <c r="C170" s="33"/>
      <c r="D170" s="33"/>
    </row>
    <row r="171">
      <c r="A171" s="33"/>
      <c r="B171" s="33"/>
      <c r="C171" s="33"/>
      <c r="D171" s="33"/>
    </row>
    <row r="172">
      <c r="A172" s="33"/>
      <c r="B172" s="33"/>
      <c r="C172" s="33"/>
      <c r="D172" s="33"/>
    </row>
    <row r="173">
      <c r="A173" s="33"/>
      <c r="B173" s="33"/>
      <c r="C173" s="33"/>
      <c r="D173" s="33"/>
    </row>
    <row r="174">
      <c r="A174" s="33"/>
      <c r="B174" s="33"/>
      <c r="C174" s="33"/>
      <c r="D174" s="33"/>
    </row>
    <row r="175">
      <c r="A175" s="33"/>
      <c r="B175" s="33"/>
      <c r="C175" s="33"/>
      <c r="D175" s="33"/>
    </row>
    <row r="176">
      <c r="A176" s="33"/>
      <c r="B176" s="33"/>
      <c r="C176" s="33"/>
      <c r="D176" s="33"/>
    </row>
    <row r="177">
      <c r="A177" s="33"/>
      <c r="B177" s="33"/>
      <c r="C177" s="33"/>
      <c r="D177" s="33"/>
    </row>
    <row r="178">
      <c r="A178" s="33"/>
      <c r="B178" s="33"/>
      <c r="C178" s="33"/>
      <c r="D178" s="33"/>
    </row>
    <row r="179">
      <c r="A179" s="33"/>
      <c r="B179" s="33"/>
      <c r="C179" s="33"/>
      <c r="D179" s="33"/>
    </row>
    <row r="180">
      <c r="A180" s="33"/>
      <c r="B180" s="33"/>
      <c r="C180" s="33"/>
      <c r="D180" s="33"/>
    </row>
    <row r="181">
      <c r="A181" s="33"/>
      <c r="B181" s="33"/>
      <c r="C181" s="33"/>
      <c r="D181" s="33"/>
    </row>
    <row r="182">
      <c r="A182" s="33"/>
      <c r="B182" s="33"/>
      <c r="C182" s="33"/>
      <c r="D182" s="33"/>
    </row>
    <row r="183">
      <c r="A183" s="33"/>
      <c r="B183" s="33"/>
      <c r="C183" s="33"/>
      <c r="D183" s="33"/>
    </row>
    <row r="184">
      <c r="A184" s="33"/>
      <c r="B184" s="33"/>
      <c r="C184" s="33"/>
      <c r="D184" s="33"/>
    </row>
    <row r="185">
      <c r="A185" s="33"/>
      <c r="B185" s="33"/>
      <c r="C185" s="33"/>
      <c r="D185" s="33"/>
    </row>
    <row r="186">
      <c r="A186" s="33"/>
      <c r="B186" s="33"/>
      <c r="C186" s="33"/>
      <c r="D186" s="33"/>
    </row>
    <row r="187">
      <c r="A187" s="33"/>
      <c r="B187" s="33"/>
      <c r="C187" s="33"/>
      <c r="D187" s="33"/>
    </row>
    <row r="188">
      <c r="A188" s="33"/>
      <c r="B188" s="33"/>
      <c r="C188" s="33"/>
      <c r="D188" s="33"/>
    </row>
    <row r="189">
      <c r="A189" s="33"/>
      <c r="B189" s="33"/>
      <c r="C189" s="33"/>
      <c r="D189" s="33"/>
    </row>
    <row r="190">
      <c r="A190" s="33"/>
      <c r="B190" s="33"/>
      <c r="C190" s="33"/>
      <c r="D190" s="33"/>
    </row>
    <row r="191">
      <c r="A191" s="33"/>
      <c r="B191" s="33"/>
      <c r="C191" s="33"/>
      <c r="D191" s="33"/>
    </row>
    <row r="192">
      <c r="A192" s="33"/>
      <c r="B192" s="33"/>
      <c r="C192" s="33"/>
      <c r="D192" s="33"/>
    </row>
    <row r="193">
      <c r="A193" s="33"/>
      <c r="B193" s="33"/>
      <c r="C193" s="33"/>
      <c r="D193" s="33"/>
    </row>
    <row r="194">
      <c r="A194" s="33"/>
      <c r="B194" s="33"/>
      <c r="C194" s="33"/>
      <c r="D194" s="33"/>
    </row>
    <row r="195">
      <c r="A195" s="33"/>
      <c r="B195" s="33"/>
      <c r="C195" s="33"/>
      <c r="D195" s="33"/>
    </row>
    <row r="196">
      <c r="A196" s="33"/>
      <c r="B196" s="33"/>
      <c r="C196" s="33"/>
      <c r="D196" s="33"/>
    </row>
    <row r="197">
      <c r="A197" s="33"/>
      <c r="B197" s="33"/>
      <c r="C197" s="33"/>
      <c r="D197" s="33"/>
    </row>
    <row r="198">
      <c r="A198" s="33"/>
      <c r="B198" s="33"/>
      <c r="C198" s="33"/>
      <c r="D198" s="33"/>
    </row>
    <row r="199">
      <c r="A199" s="33"/>
      <c r="B199" s="33"/>
      <c r="C199" s="33"/>
      <c r="D199" s="33"/>
    </row>
    <row r="200">
      <c r="A200" s="33"/>
      <c r="B200" s="33"/>
      <c r="C200" s="33"/>
      <c r="D200" s="33"/>
    </row>
    <row r="201">
      <c r="A201" s="33"/>
      <c r="B201" s="33"/>
      <c r="C201" s="33"/>
      <c r="D201" s="33"/>
    </row>
    <row r="202">
      <c r="A202" s="33"/>
      <c r="B202" s="33"/>
      <c r="C202" s="33"/>
      <c r="D202" s="33"/>
    </row>
    <row r="203">
      <c r="A203" s="33"/>
      <c r="B203" s="33"/>
      <c r="C203" s="33"/>
      <c r="D203" s="33"/>
    </row>
    <row r="204">
      <c r="A204" s="33"/>
      <c r="B204" s="33"/>
      <c r="C204" s="33"/>
      <c r="D204" s="33"/>
    </row>
    <row r="205">
      <c r="A205" s="33"/>
      <c r="B205" s="33"/>
      <c r="C205" s="33"/>
      <c r="D205" s="33"/>
    </row>
    <row r="206">
      <c r="A206" s="33"/>
      <c r="B206" s="33"/>
      <c r="C206" s="33"/>
      <c r="D206" s="33"/>
    </row>
    <row r="207">
      <c r="A207" s="33"/>
      <c r="B207" s="33"/>
      <c r="C207" s="33"/>
      <c r="D207" s="33"/>
    </row>
    <row r="208">
      <c r="A208" s="33"/>
      <c r="B208" s="33"/>
      <c r="C208" s="33"/>
      <c r="D208" s="33"/>
    </row>
    <row r="209">
      <c r="A209" s="33"/>
      <c r="B209" s="33"/>
      <c r="C209" s="33"/>
      <c r="D209" s="33"/>
    </row>
    <row r="210">
      <c r="A210" s="33"/>
      <c r="B210" s="33"/>
      <c r="C210" s="33"/>
      <c r="D210" s="33"/>
    </row>
    <row r="211">
      <c r="A211" s="33"/>
      <c r="B211" s="33"/>
      <c r="C211" s="33"/>
      <c r="D211" s="33"/>
    </row>
    <row r="212">
      <c r="A212" s="33"/>
      <c r="B212" s="33"/>
      <c r="C212" s="33"/>
      <c r="D212" s="33"/>
    </row>
    <row r="213">
      <c r="A213" s="33"/>
      <c r="B213" s="33"/>
      <c r="C213" s="33"/>
      <c r="D213" s="33"/>
    </row>
    <row r="214">
      <c r="A214" s="33"/>
      <c r="B214" s="33"/>
      <c r="C214" s="33"/>
      <c r="D214" s="33"/>
    </row>
    <row r="215">
      <c r="A215" s="33"/>
      <c r="B215" s="33"/>
      <c r="C215" s="33"/>
      <c r="D215" s="33"/>
    </row>
    <row r="216">
      <c r="A216" s="33"/>
      <c r="B216" s="33"/>
      <c r="C216" s="33"/>
      <c r="D216" s="33"/>
    </row>
    <row r="217">
      <c r="A217" s="33"/>
      <c r="B217" s="33"/>
      <c r="C217" s="33"/>
      <c r="D217" s="33"/>
    </row>
    <row r="218">
      <c r="A218" s="33"/>
      <c r="B218" s="33"/>
      <c r="C218" s="33"/>
      <c r="D218" s="33"/>
    </row>
    <row r="219">
      <c r="A219" s="33"/>
      <c r="B219" s="33"/>
      <c r="C219" s="33"/>
      <c r="D219" s="33"/>
    </row>
    <row r="220">
      <c r="A220" s="33"/>
      <c r="B220" s="33"/>
      <c r="C220" s="33"/>
      <c r="D220" s="33"/>
    </row>
    <row r="221">
      <c r="A221" s="33"/>
      <c r="B221" s="33"/>
      <c r="C221" s="33"/>
      <c r="D221" s="33"/>
    </row>
    <row r="222">
      <c r="A222" s="33"/>
      <c r="B222" s="33"/>
      <c r="C222" s="33"/>
      <c r="D222" s="33"/>
    </row>
    <row r="223">
      <c r="A223" s="33"/>
      <c r="B223" s="33"/>
      <c r="C223" s="33"/>
      <c r="D223" s="33"/>
    </row>
    <row r="224">
      <c r="A224" s="33"/>
      <c r="B224" s="33"/>
      <c r="C224" s="33"/>
      <c r="D224" s="33"/>
    </row>
    <row r="225">
      <c r="A225" s="33"/>
      <c r="B225" s="33"/>
      <c r="C225" s="33"/>
      <c r="D225" s="33"/>
    </row>
    <row r="226">
      <c r="A226" s="33"/>
      <c r="B226" s="33"/>
      <c r="C226" s="33"/>
      <c r="D226" s="33"/>
    </row>
    <row r="227">
      <c r="A227" s="33"/>
      <c r="B227" s="33"/>
      <c r="C227" s="33"/>
      <c r="D227" s="33"/>
    </row>
    <row r="228">
      <c r="A228" s="33"/>
      <c r="B228" s="33"/>
      <c r="C228" s="33"/>
      <c r="D228" s="33"/>
    </row>
    <row r="229">
      <c r="A229" s="33"/>
      <c r="B229" s="33"/>
      <c r="C229" s="33"/>
      <c r="D229" s="33"/>
    </row>
    <row r="230">
      <c r="A230" s="33"/>
      <c r="B230" s="33"/>
      <c r="C230" s="33"/>
      <c r="D230" s="33"/>
    </row>
    <row r="231">
      <c r="A231" s="33"/>
      <c r="B231" s="33"/>
      <c r="C231" s="33"/>
      <c r="D231" s="33"/>
    </row>
    <row r="232">
      <c r="A232" s="33"/>
      <c r="B232" s="33"/>
      <c r="C232" s="33"/>
      <c r="D232" s="33"/>
    </row>
    <row r="233">
      <c r="A233" s="33"/>
      <c r="B233" s="33"/>
      <c r="C233" s="33"/>
      <c r="D233" s="33"/>
    </row>
    <row r="234">
      <c r="A234" s="33"/>
      <c r="B234" s="33"/>
      <c r="C234" s="33"/>
      <c r="D234" s="33"/>
    </row>
    <row r="235">
      <c r="A235" s="33"/>
      <c r="B235" s="33"/>
      <c r="C235" s="33"/>
      <c r="D235" s="33"/>
    </row>
    <row r="236">
      <c r="A236" s="33"/>
      <c r="B236" s="33"/>
      <c r="C236" s="33"/>
      <c r="D236" s="33"/>
    </row>
    <row r="237">
      <c r="A237" s="33"/>
      <c r="B237" s="33"/>
      <c r="C237" s="33"/>
      <c r="D237" s="33"/>
    </row>
    <row r="238">
      <c r="A238" s="33"/>
      <c r="B238" s="33"/>
      <c r="C238" s="33"/>
      <c r="D238" s="33"/>
    </row>
    <row r="239">
      <c r="A239" s="33"/>
      <c r="B239" s="33"/>
      <c r="C239" s="33"/>
      <c r="D239" s="33"/>
    </row>
    <row r="240">
      <c r="A240" s="33"/>
      <c r="B240" s="33"/>
      <c r="C240" s="33"/>
      <c r="D240" s="33"/>
    </row>
    <row r="241">
      <c r="A241" s="33"/>
      <c r="B241" s="33"/>
      <c r="C241" s="33"/>
      <c r="D241" s="33"/>
    </row>
    <row r="242">
      <c r="A242" s="33"/>
      <c r="B242" s="33"/>
      <c r="C242" s="33"/>
      <c r="D242" s="33"/>
    </row>
    <row r="243">
      <c r="A243" s="33"/>
      <c r="B243" s="33"/>
      <c r="C243" s="33"/>
      <c r="D243" s="33"/>
    </row>
    <row r="244">
      <c r="A244" s="33"/>
      <c r="B244" s="33"/>
      <c r="C244" s="33"/>
      <c r="D244" s="33"/>
    </row>
    <row r="245">
      <c r="A245" s="33"/>
      <c r="B245" s="33"/>
      <c r="C245" s="33"/>
      <c r="D245" s="33"/>
    </row>
    <row r="246">
      <c r="A246" s="33"/>
      <c r="B246" s="33"/>
      <c r="C246" s="33"/>
      <c r="D246" s="33"/>
    </row>
    <row r="247">
      <c r="A247" s="33"/>
      <c r="B247" s="33"/>
      <c r="C247" s="33"/>
      <c r="D247" s="33"/>
    </row>
    <row r="248">
      <c r="A248" s="33"/>
      <c r="B248" s="33"/>
      <c r="C248" s="33"/>
      <c r="D248" s="33"/>
    </row>
    <row r="249">
      <c r="A249" s="33"/>
      <c r="B249" s="33"/>
      <c r="C249" s="33"/>
      <c r="D249" s="33"/>
    </row>
    <row r="250">
      <c r="A250" s="33"/>
      <c r="B250" s="33"/>
      <c r="C250" s="33"/>
      <c r="D250" s="33"/>
    </row>
    <row r="251">
      <c r="A251" s="33"/>
      <c r="B251" s="33"/>
      <c r="C251" s="33"/>
      <c r="D251" s="33"/>
    </row>
    <row r="252">
      <c r="A252" s="33"/>
      <c r="B252" s="33"/>
      <c r="C252" s="33"/>
      <c r="D252" s="33"/>
    </row>
    <row r="253">
      <c r="A253" s="33"/>
      <c r="B253" s="33"/>
      <c r="C253" s="33"/>
      <c r="D253" s="33"/>
    </row>
    <row r="254">
      <c r="A254" s="33"/>
      <c r="B254" s="33"/>
      <c r="C254" s="33"/>
      <c r="D254" s="33"/>
    </row>
    <row r="255">
      <c r="A255" s="33"/>
      <c r="B255" s="33"/>
      <c r="C255" s="33"/>
      <c r="D255" s="33"/>
    </row>
    <row r="256">
      <c r="A256" s="33"/>
      <c r="B256" s="33"/>
      <c r="C256" s="33"/>
      <c r="D256" s="33"/>
    </row>
    <row r="257">
      <c r="A257" s="33"/>
      <c r="B257" s="33"/>
      <c r="C257" s="33"/>
      <c r="D257" s="33"/>
    </row>
    <row r="258">
      <c r="A258" s="33"/>
      <c r="B258" s="33"/>
      <c r="C258" s="33"/>
      <c r="D258" s="33"/>
    </row>
    <row r="259">
      <c r="A259" s="33"/>
      <c r="B259" s="33"/>
      <c r="C259" s="33"/>
      <c r="D259" s="33"/>
    </row>
    <row r="260">
      <c r="A260" s="33"/>
      <c r="B260" s="33"/>
      <c r="C260" s="33"/>
      <c r="D260" s="33"/>
    </row>
    <row r="261">
      <c r="A261" s="33"/>
      <c r="B261" s="33"/>
      <c r="C261" s="33"/>
      <c r="D261" s="33"/>
    </row>
    <row r="262">
      <c r="A262" s="33"/>
      <c r="B262" s="33"/>
      <c r="C262" s="33"/>
      <c r="D262" s="33"/>
    </row>
    <row r="263">
      <c r="A263" s="33"/>
      <c r="B263" s="33"/>
      <c r="C263" s="33"/>
      <c r="D263" s="33"/>
    </row>
    <row r="264">
      <c r="A264" s="33"/>
      <c r="B264" s="33"/>
      <c r="C264" s="33"/>
      <c r="D264" s="33"/>
    </row>
    <row r="265">
      <c r="A265" s="33"/>
      <c r="B265" s="33"/>
      <c r="C265" s="33"/>
      <c r="D265" s="33"/>
    </row>
    <row r="266">
      <c r="A266" s="33"/>
      <c r="B266" s="33"/>
      <c r="C266" s="33"/>
      <c r="D266" s="33"/>
    </row>
    <row r="267">
      <c r="A267" s="33"/>
      <c r="B267" s="33"/>
      <c r="C267" s="33"/>
      <c r="D267" s="33"/>
    </row>
    <row r="268">
      <c r="A268" s="33"/>
      <c r="B268" s="33"/>
      <c r="C268" s="33"/>
      <c r="D268" s="33"/>
    </row>
    <row r="269">
      <c r="A269" s="33"/>
      <c r="B269" s="33"/>
      <c r="C269" s="33"/>
      <c r="D269" s="33"/>
    </row>
    <row r="270">
      <c r="A270" s="33"/>
      <c r="B270" s="33"/>
      <c r="C270" s="33"/>
      <c r="D270" s="33"/>
    </row>
    <row r="271">
      <c r="A271" s="33"/>
      <c r="B271" s="33"/>
      <c r="C271" s="33"/>
      <c r="D271" s="33"/>
    </row>
    <row r="272">
      <c r="A272" s="33"/>
      <c r="B272" s="33"/>
      <c r="C272" s="33"/>
      <c r="D272" s="33"/>
    </row>
    <row r="273">
      <c r="A273" s="33"/>
      <c r="B273" s="33"/>
      <c r="C273" s="33"/>
      <c r="D273" s="33"/>
    </row>
    <row r="274">
      <c r="A274" s="33"/>
      <c r="B274" s="33"/>
      <c r="C274" s="33"/>
      <c r="D274" s="33"/>
    </row>
    <row r="275">
      <c r="A275" s="33"/>
      <c r="B275" s="33"/>
      <c r="C275" s="33"/>
      <c r="D275" s="33"/>
    </row>
    <row r="276">
      <c r="A276" s="33"/>
      <c r="B276" s="33"/>
      <c r="C276" s="33"/>
      <c r="D276" s="33"/>
    </row>
    <row r="277">
      <c r="A277" s="33"/>
      <c r="B277" s="33"/>
      <c r="C277" s="33"/>
      <c r="D277" s="33"/>
    </row>
    <row r="278">
      <c r="A278" s="33"/>
      <c r="B278" s="33"/>
      <c r="C278" s="33"/>
      <c r="D278" s="33"/>
    </row>
    <row r="279">
      <c r="A279" s="33"/>
      <c r="B279" s="33"/>
      <c r="C279" s="33"/>
      <c r="D279" s="33"/>
    </row>
    <row r="280">
      <c r="A280" s="33"/>
      <c r="B280" s="33"/>
      <c r="C280" s="33"/>
      <c r="D280" s="33"/>
    </row>
    <row r="281">
      <c r="A281" s="33"/>
      <c r="B281" s="33"/>
      <c r="C281" s="33"/>
      <c r="D281" s="33"/>
    </row>
    <row r="282">
      <c r="A282" s="33"/>
      <c r="B282" s="33"/>
      <c r="C282" s="33"/>
      <c r="D282" s="33"/>
    </row>
    <row r="283">
      <c r="A283" s="33"/>
      <c r="B283" s="33"/>
      <c r="C283" s="33"/>
      <c r="D283" s="33"/>
    </row>
    <row r="284">
      <c r="A284" s="33"/>
      <c r="B284" s="33"/>
      <c r="C284" s="33"/>
      <c r="D284" s="33"/>
    </row>
    <row r="285">
      <c r="A285" s="33"/>
      <c r="B285" s="33"/>
      <c r="C285" s="33"/>
      <c r="D285" s="33"/>
    </row>
    <row r="286">
      <c r="A286" s="33"/>
      <c r="B286" s="33"/>
      <c r="C286" s="33"/>
      <c r="D286" s="33"/>
    </row>
    <row r="287">
      <c r="A287" s="33"/>
      <c r="B287" s="33"/>
      <c r="C287" s="33"/>
      <c r="D287" s="33"/>
    </row>
    <row r="288">
      <c r="A288" s="33"/>
      <c r="B288" s="33"/>
      <c r="C288" s="33"/>
      <c r="D288" s="33"/>
    </row>
    <row r="289">
      <c r="A289" s="33"/>
      <c r="B289" s="33"/>
      <c r="C289" s="33"/>
      <c r="D289" s="33"/>
    </row>
    <row r="290">
      <c r="A290" s="33"/>
      <c r="B290" s="33"/>
      <c r="C290" s="33"/>
      <c r="D290" s="33"/>
    </row>
    <row r="291">
      <c r="A291" s="33"/>
      <c r="B291" s="33"/>
      <c r="C291" s="33"/>
      <c r="D291" s="33"/>
    </row>
    <row r="292">
      <c r="A292" s="33"/>
      <c r="B292" s="33"/>
      <c r="C292" s="33"/>
      <c r="D292" s="33"/>
    </row>
    <row r="293">
      <c r="A293" s="33"/>
      <c r="B293" s="33"/>
      <c r="C293" s="33"/>
      <c r="D293" s="33"/>
    </row>
    <row r="294">
      <c r="A294" s="33"/>
      <c r="B294" s="33"/>
      <c r="C294" s="33"/>
      <c r="D294" s="33"/>
    </row>
    <row r="295">
      <c r="A295" s="33"/>
      <c r="B295" s="33"/>
      <c r="C295" s="33"/>
      <c r="D295" s="33"/>
    </row>
    <row r="296">
      <c r="A296" s="33"/>
      <c r="B296" s="33"/>
      <c r="C296" s="33"/>
      <c r="D296" s="33"/>
    </row>
    <row r="297">
      <c r="A297" s="33"/>
      <c r="B297" s="33"/>
      <c r="C297" s="33"/>
      <c r="D297" s="33"/>
    </row>
    <row r="298">
      <c r="A298" s="33"/>
      <c r="B298" s="33"/>
      <c r="C298" s="33"/>
      <c r="D298" s="33"/>
    </row>
    <row r="299">
      <c r="A299" s="33"/>
      <c r="B299" s="33"/>
      <c r="C299" s="33"/>
      <c r="D299" s="33"/>
    </row>
    <row r="300">
      <c r="A300" s="33"/>
      <c r="B300" s="33"/>
      <c r="C300" s="33"/>
      <c r="D300" s="33"/>
    </row>
    <row r="301">
      <c r="A301" s="33"/>
      <c r="B301" s="33"/>
      <c r="C301" s="33"/>
      <c r="D301" s="33"/>
    </row>
    <row r="302">
      <c r="A302" s="33"/>
      <c r="B302" s="33"/>
      <c r="C302" s="33"/>
      <c r="D302" s="33"/>
    </row>
    <row r="303">
      <c r="A303" s="33"/>
      <c r="B303" s="33"/>
      <c r="C303" s="33"/>
      <c r="D303" s="33"/>
    </row>
    <row r="304">
      <c r="A304" s="33"/>
      <c r="B304" s="33"/>
      <c r="C304" s="33"/>
      <c r="D304" s="33"/>
    </row>
    <row r="305">
      <c r="A305" s="33"/>
      <c r="B305" s="33"/>
      <c r="C305" s="33"/>
      <c r="D305" s="33"/>
    </row>
    <row r="306">
      <c r="A306" s="33"/>
      <c r="B306" s="33"/>
      <c r="C306" s="33"/>
      <c r="D306" s="33"/>
    </row>
    <row r="307">
      <c r="A307" s="33"/>
      <c r="B307" s="33"/>
      <c r="C307" s="33"/>
      <c r="D307" s="33"/>
    </row>
    <row r="308">
      <c r="A308" s="33"/>
      <c r="B308" s="33"/>
      <c r="C308" s="33"/>
      <c r="D308" s="33"/>
    </row>
    <row r="309">
      <c r="A309" s="33"/>
      <c r="B309" s="33"/>
      <c r="C309" s="33"/>
      <c r="D309" s="33"/>
    </row>
    <row r="310">
      <c r="A310" s="33"/>
      <c r="B310" s="33"/>
      <c r="C310" s="33"/>
      <c r="D310" s="33"/>
    </row>
    <row r="311">
      <c r="A311" s="33"/>
      <c r="B311" s="33"/>
      <c r="C311" s="33"/>
      <c r="D311" s="33"/>
    </row>
    <row r="312">
      <c r="A312" s="33"/>
      <c r="B312" s="33"/>
      <c r="C312" s="33"/>
      <c r="D312" s="33"/>
    </row>
    <row r="313">
      <c r="A313" s="33"/>
      <c r="B313" s="33"/>
      <c r="C313" s="33"/>
      <c r="D313" s="33"/>
    </row>
    <row r="314">
      <c r="A314" s="33"/>
      <c r="B314" s="33"/>
      <c r="C314" s="33"/>
      <c r="D314" s="33"/>
    </row>
    <row r="315">
      <c r="A315" s="33"/>
      <c r="B315" s="33"/>
      <c r="C315" s="33"/>
      <c r="D315" s="33"/>
    </row>
    <row r="316">
      <c r="A316" s="33"/>
      <c r="B316" s="33"/>
      <c r="C316" s="33"/>
      <c r="D316" s="33"/>
    </row>
    <row r="317">
      <c r="A317" s="33"/>
      <c r="B317" s="33"/>
      <c r="C317" s="33"/>
      <c r="D317" s="33"/>
    </row>
    <row r="318">
      <c r="A318" s="33"/>
      <c r="B318" s="33"/>
      <c r="C318" s="33"/>
      <c r="D318" s="33"/>
    </row>
    <row r="319">
      <c r="A319" s="33"/>
      <c r="B319" s="33"/>
      <c r="C319" s="33"/>
      <c r="D319" s="33"/>
    </row>
    <row r="320">
      <c r="A320" s="33"/>
      <c r="B320" s="33"/>
      <c r="C320" s="33"/>
      <c r="D320" s="33"/>
    </row>
    <row r="321">
      <c r="A321" s="33"/>
      <c r="B321" s="33"/>
      <c r="C321" s="33"/>
      <c r="D321" s="33"/>
    </row>
    <row r="322">
      <c r="A322" s="33"/>
      <c r="B322" s="33"/>
      <c r="C322" s="33"/>
      <c r="D322" s="33"/>
    </row>
    <row r="323">
      <c r="A323" s="33"/>
      <c r="B323" s="33"/>
      <c r="C323" s="33"/>
      <c r="D323" s="33"/>
    </row>
    <row r="324">
      <c r="A324" s="33"/>
      <c r="B324" s="33"/>
      <c r="C324" s="33"/>
      <c r="D324" s="33"/>
    </row>
    <row r="325">
      <c r="A325" s="33"/>
      <c r="B325" s="33"/>
      <c r="C325" s="33"/>
      <c r="D325" s="33"/>
    </row>
    <row r="326">
      <c r="A326" s="33"/>
      <c r="B326" s="33"/>
      <c r="C326" s="33"/>
      <c r="D326" s="33"/>
    </row>
    <row r="327">
      <c r="A327" s="33"/>
      <c r="B327" s="33"/>
      <c r="C327" s="33"/>
      <c r="D327" s="33"/>
    </row>
    <row r="328">
      <c r="A328" s="33"/>
      <c r="B328" s="33"/>
      <c r="C328" s="33"/>
      <c r="D328" s="33"/>
    </row>
    <row r="329">
      <c r="A329" s="33"/>
      <c r="B329" s="33"/>
      <c r="C329" s="33"/>
      <c r="D329" s="33"/>
    </row>
    <row r="330">
      <c r="A330" s="33"/>
      <c r="B330" s="33"/>
      <c r="C330" s="33"/>
      <c r="D330" s="33"/>
    </row>
    <row r="331">
      <c r="A331" s="33"/>
      <c r="B331" s="33"/>
      <c r="C331" s="33"/>
      <c r="D331" s="33"/>
    </row>
    <row r="332">
      <c r="A332" s="33"/>
      <c r="B332" s="33"/>
      <c r="C332" s="33"/>
      <c r="D332" s="33"/>
    </row>
    <row r="333">
      <c r="A333" s="33"/>
      <c r="B333" s="33"/>
      <c r="C333" s="33"/>
      <c r="D333" s="33"/>
    </row>
    <row r="334">
      <c r="A334" s="33"/>
      <c r="B334" s="33"/>
      <c r="C334" s="33"/>
      <c r="D334" s="33"/>
    </row>
    <row r="335">
      <c r="A335" s="33"/>
      <c r="B335" s="33"/>
      <c r="C335" s="33"/>
      <c r="D335" s="33"/>
    </row>
    <row r="336">
      <c r="A336" s="33"/>
      <c r="B336" s="33"/>
      <c r="C336" s="33"/>
      <c r="D336" s="33"/>
    </row>
    <row r="337">
      <c r="A337" s="33"/>
      <c r="B337" s="33"/>
      <c r="C337" s="33"/>
      <c r="D337" s="33"/>
    </row>
    <row r="338">
      <c r="A338" s="33"/>
      <c r="B338" s="33"/>
      <c r="C338" s="33"/>
      <c r="D338" s="33"/>
    </row>
    <row r="339">
      <c r="A339" s="33"/>
      <c r="B339" s="33"/>
      <c r="C339" s="33"/>
      <c r="D339" s="33"/>
    </row>
    <row r="340">
      <c r="A340" s="33"/>
      <c r="B340" s="33"/>
      <c r="C340" s="33"/>
      <c r="D340" s="33"/>
    </row>
    <row r="341">
      <c r="A341" s="33"/>
      <c r="B341" s="33"/>
      <c r="C341" s="33"/>
      <c r="D341" s="33"/>
    </row>
    <row r="342">
      <c r="A342" s="33"/>
      <c r="B342" s="33"/>
      <c r="C342" s="33"/>
      <c r="D342" s="33"/>
    </row>
    <row r="343">
      <c r="A343" s="33"/>
      <c r="B343" s="33"/>
      <c r="C343" s="33"/>
      <c r="D343" s="33"/>
    </row>
    <row r="344">
      <c r="A344" s="33"/>
      <c r="B344" s="33"/>
      <c r="C344" s="33"/>
      <c r="D344" s="33"/>
    </row>
    <row r="345">
      <c r="A345" s="33"/>
      <c r="B345" s="33"/>
      <c r="C345" s="33"/>
      <c r="D345" s="33"/>
    </row>
    <row r="346">
      <c r="A346" s="33"/>
      <c r="B346" s="33"/>
      <c r="C346" s="33"/>
      <c r="D346" s="33"/>
    </row>
    <row r="347">
      <c r="A347" s="33"/>
      <c r="B347" s="33"/>
      <c r="C347" s="33"/>
      <c r="D347" s="33"/>
    </row>
    <row r="348">
      <c r="A348" s="33"/>
      <c r="B348" s="33"/>
      <c r="C348" s="33"/>
      <c r="D348" s="33"/>
    </row>
    <row r="349">
      <c r="A349" s="33"/>
      <c r="B349" s="33"/>
      <c r="C349" s="33"/>
      <c r="D349" s="33"/>
    </row>
    <row r="350">
      <c r="A350" s="33"/>
      <c r="B350" s="33"/>
      <c r="C350" s="33"/>
      <c r="D350" s="33"/>
    </row>
    <row r="351">
      <c r="A351" s="33"/>
      <c r="B351" s="33"/>
      <c r="C351" s="33"/>
      <c r="D351" s="33"/>
    </row>
    <row r="352">
      <c r="A352" s="33"/>
      <c r="B352" s="33"/>
      <c r="C352" s="33"/>
      <c r="D352" s="33"/>
    </row>
    <row r="353">
      <c r="A353" s="33"/>
      <c r="B353" s="33"/>
      <c r="C353" s="33"/>
      <c r="D353" s="33"/>
    </row>
    <row r="354">
      <c r="A354" s="33"/>
      <c r="B354" s="33"/>
      <c r="C354" s="33"/>
      <c r="D354" s="33"/>
    </row>
    <row r="355">
      <c r="A355" s="33"/>
      <c r="B355" s="33"/>
      <c r="C355" s="33"/>
      <c r="D355" s="33"/>
    </row>
    <row r="356">
      <c r="A356" s="33"/>
      <c r="B356" s="33"/>
      <c r="C356" s="33"/>
      <c r="D356" s="33"/>
    </row>
    <row r="357">
      <c r="A357" s="33"/>
      <c r="B357" s="33"/>
      <c r="C357" s="33"/>
      <c r="D357" s="33"/>
    </row>
    <row r="358">
      <c r="A358" s="33"/>
      <c r="B358" s="33"/>
      <c r="C358" s="33"/>
      <c r="D358" s="33"/>
    </row>
    <row r="359">
      <c r="A359" s="33"/>
      <c r="B359" s="33"/>
      <c r="C359" s="33"/>
      <c r="D359" s="33"/>
    </row>
    <row r="360">
      <c r="A360" s="33"/>
      <c r="B360" s="33"/>
      <c r="C360" s="33"/>
      <c r="D360" s="33"/>
    </row>
    <row r="361">
      <c r="A361" s="33"/>
      <c r="B361" s="33"/>
      <c r="C361" s="33"/>
      <c r="D361" s="33"/>
    </row>
    <row r="362">
      <c r="A362" s="33"/>
      <c r="B362" s="33"/>
      <c r="C362" s="33"/>
      <c r="D362" s="33"/>
    </row>
    <row r="363">
      <c r="A363" s="33"/>
      <c r="B363" s="33"/>
      <c r="C363" s="33"/>
      <c r="D363" s="33"/>
    </row>
    <row r="364">
      <c r="A364" s="33"/>
      <c r="B364" s="33"/>
      <c r="C364" s="33"/>
      <c r="D364" s="33"/>
    </row>
    <row r="365">
      <c r="A365" s="33"/>
      <c r="B365" s="33"/>
      <c r="C365" s="33"/>
      <c r="D365" s="33"/>
    </row>
    <row r="366">
      <c r="A366" s="33"/>
      <c r="B366" s="33"/>
      <c r="C366" s="33"/>
      <c r="D366" s="33"/>
    </row>
    <row r="367">
      <c r="A367" s="33"/>
      <c r="B367" s="33"/>
      <c r="C367" s="33"/>
      <c r="D367" s="33"/>
    </row>
    <row r="368">
      <c r="A368" s="33"/>
      <c r="B368" s="33"/>
      <c r="C368" s="33"/>
      <c r="D368" s="33"/>
    </row>
    <row r="369">
      <c r="A369" s="33"/>
      <c r="B369" s="33"/>
      <c r="C369" s="33"/>
      <c r="D369" s="33"/>
    </row>
    <row r="370">
      <c r="A370" s="33"/>
      <c r="B370" s="33"/>
      <c r="C370" s="33"/>
      <c r="D370" s="33"/>
    </row>
    <row r="371">
      <c r="A371" s="33"/>
      <c r="B371" s="33"/>
      <c r="C371" s="33"/>
      <c r="D371" s="33"/>
    </row>
    <row r="372">
      <c r="A372" s="33"/>
      <c r="B372" s="33"/>
      <c r="C372" s="33"/>
      <c r="D372" s="33"/>
    </row>
    <row r="373">
      <c r="A373" s="33"/>
      <c r="B373" s="33"/>
      <c r="C373" s="33"/>
      <c r="D373" s="33"/>
    </row>
    <row r="374">
      <c r="A374" s="33"/>
      <c r="B374" s="33"/>
      <c r="C374" s="33"/>
      <c r="D374" s="33"/>
    </row>
    <row r="375">
      <c r="A375" s="33"/>
      <c r="B375" s="33"/>
      <c r="C375" s="33"/>
      <c r="D375" s="33"/>
    </row>
    <row r="376">
      <c r="A376" s="33"/>
      <c r="B376" s="33"/>
      <c r="C376" s="33"/>
      <c r="D376" s="33"/>
    </row>
    <row r="377">
      <c r="A377" s="33"/>
      <c r="B377" s="33"/>
      <c r="C377" s="33"/>
      <c r="D377" s="33"/>
    </row>
    <row r="378">
      <c r="A378" s="33"/>
      <c r="B378" s="33"/>
      <c r="C378" s="33"/>
      <c r="D378" s="33"/>
    </row>
    <row r="379">
      <c r="A379" s="33"/>
      <c r="B379" s="33"/>
      <c r="C379" s="33"/>
      <c r="D379" s="33"/>
    </row>
    <row r="380">
      <c r="A380" s="33"/>
      <c r="B380" s="33"/>
      <c r="C380" s="33"/>
      <c r="D380" s="33"/>
    </row>
    <row r="381">
      <c r="A381" s="33"/>
      <c r="B381" s="33"/>
      <c r="C381" s="33"/>
      <c r="D381" s="33"/>
    </row>
    <row r="382">
      <c r="A382" s="33"/>
      <c r="B382" s="33"/>
      <c r="C382" s="33"/>
      <c r="D382" s="33"/>
    </row>
    <row r="383">
      <c r="A383" s="33"/>
      <c r="B383" s="33"/>
      <c r="C383" s="33"/>
      <c r="D383" s="33"/>
    </row>
    <row r="384">
      <c r="A384" s="33"/>
      <c r="B384" s="33"/>
      <c r="C384" s="33"/>
      <c r="D384" s="33"/>
    </row>
    <row r="385">
      <c r="A385" s="33"/>
      <c r="B385" s="33"/>
      <c r="C385" s="33"/>
      <c r="D385" s="33"/>
    </row>
    <row r="386">
      <c r="A386" s="33"/>
      <c r="B386" s="33"/>
      <c r="C386" s="33"/>
      <c r="D386" s="33"/>
    </row>
    <row r="387">
      <c r="A387" s="33"/>
      <c r="B387" s="33"/>
      <c r="C387" s="33"/>
      <c r="D387" s="33"/>
    </row>
    <row r="388">
      <c r="A388" s="33"/>
      <c r="B388" s="33"/>
      <c r="C388" s="33"/>
      <c r="D388" s="33"/>
    </row>
    <row r="389">
      <c r="A389" s="33"/>
      <c r="B389" s="33"/>
      <c r="C389" s="33"/>
      <c r="D389" s="33"/>
    </row>
    <row r="390">
      <c r="A390" s="33"/>
      <c r="B390" s="33"/>
      <c r="C390" s="33"/>
      <c r="D390" s="33"/>
    </row>
    <row r="391">
      <c r="A391" s="33"/>
      <c r="B391" s="33"/>
      <c r="C391" s="33"/>
      <c r="D391" s="33"/>
    </row>
    <row r="392">
      <c r="A392" s="33"/>
      <c r="B392" s="33"/>
      <c r="C392" s="33"/>
      <c r="D392" s="33"/>
    </row>
    <row r="393">
      <c r="A393" s="33"/>
      <c r="B393" s="33"/>
      <c r="C393" s="33"/>
      <c r="D393" s="33"/>
    </row>
    <row r="394">
      <c r="A394" s="33"/>
      <c r="B394" s="33"/>
      <c r="C394" s="33"/>
      <c r="D394" s="33"/>
    </row>
    <row r="395">
      <c r="A395" s="33"/>
      <c r="B395" s="33"/>
      <c r="C395" s="33"/>
      <c r="D395" s="33"/>
    </row>
    <row r="396">
      <c r="A396" s="33"/>
      <c r="B396" s="33"/>
      <c r="C396" s="33"/>
      <c r="D396" s="33"/>
    </row>
    <row r="397">
      <c r="A397" s="33"/>
      <c r="B397" s="33"/>
      <c r="C397" s="33"/>
      <c r="D397" s="33"/>
    </row>
    <row r="398">
      <c r="A398" s="33"/>
      <c r="B398" s="33"/>
      <c r="C398" s="33"/>
      <c r="D398" s="33"/>
    </row>
    <row r="399">
      <c r="A399" s="33"/>
      <c r="B399" s="33"/>
      <c r="C399" s="33"/>
      <c r="D399" s="33"/>
    </row>
    <row r="400">
      <c r="A400" s="33"/>
      <c r="B400" s="33"/>
      <c r="C400" s="33"/>
      <c r="D400" s="33"/>
    </row>
    <row r="401">
      <c r="A401" s="33"/>
      <c r="B401" s="33"/>
      <c r="C401" s="33"/>
      <c r="D401" s="33"/>
    </row>
    <row r="402">
      <c r="A402" s="33"/>
      <c r="B402" s="33"/>
      <c r="C402" s="33"/>
      <c r="D402" s="33"/>
    </row>
    <row r="403">
      <c r="A403" s="33"/>
      <c r="B403" s="33"/>
      <c r="C403" s="33"/>
      <c r="D403" s="33"/>
    </row>
    <row r="404">
      <c r="A404" s="33"/>
      <c r="B404" s="33"/>
      <c r="C404" s="33"/>
      <c r="D404" s="33"/>
    </row>
    <row r="405">
      <c r="A405" s="33"/>
      <c r="B405" s="33"/>
      <c r="C405" s="33"/>
      <c r="D405" s="33"/>
    </row>
    <row r="406">
      <c r="A406" s="33"/>
      <c r="B406" s="33"/>
      <c r="C406" s="33"/>
      <c r="D406" s="33"/>
    </row>
    <row r="407">
      <c r="A407" s="33"/>
      <c r="B407" s="33"/>
      <c r="C407" s="33"/>
      <c r="D407" s="33"/>
    </row>
    <row r="408">
      <c r="A408" s="33"/>
      <c r="B408" s="33"/>
      <c r="C408" s="33"/>
      <c r="D408" s="33"/>
    </row>
    <row r="409">
      <c r="A409" s="33"/>
      <c r="B409" s="33"/>
      <c r="C409" s="33"/>
      <c r="D409" s="33"/>
    </row>
    <row r="410">
      <c r="A410" s="33"/>
      <c r="B410" s="33"/>
      <c r="C410" s="33"/>
      <c r="D410" s="33"/>
    </row>
    <row r="411">
      <c r="A411" s="33"/>
      <c r="B411" s="33"/>
      <c r="C411" s="33"/>
      <c r="D411" s="33"/>
    </row>
    <row r="412">
      <c r="A412" s="33"/>
      <c r="B412" s="33"/>
      <c r="C412" s="33"/>
      <c r="D412" s="33"/>
    </row>
    <row r="413">
      <c r="A413" s="33"/>
      <c r="B413" s="33"/>
      <c r="C413" s="33"/>
      <c r="D413" s="33"/>
    </row>
    <row r="414">
      <c r="A414" s="33"/>
      <c r="B414" s="33"/>
      <c r="C414" s="33"/>
      <c r="D414" s="33"/>
    </row>
    <row r="415">
      <c r="A415" s="33"/>
      <c r="B415" s="33"/>
      <c r="C415" s="33"/>
      <c r="D415" s="33"/>
    </row>
    <row r="416">
      <c r="A416" s="33"/>
      <c r="B416" s="33"/>
      <c r="C416" s="33"/>
      <c r="D416" s="33"/>
    </row>
    <row r="417">
      <c r="A417" s="33"/>
      <c r="B417" s="33"/>
      <c r="C417" s="33"/>
      <c r="D417" s="33"/>
    </row>
    <row r="418">
      <c r="A418" s="33"/>
      <c r="B418" s="33"/>
      <c r="C418" s="33"/>
      <c r="D418" s="33"/>
    </row>
    <row r="419">
      <c r="A419" s="33"/>
      <c r="B419" s="33"/>
      <c r="C419" s="33"/>
      <c r="D419" s="33"/>
    </row>
    <row r="420">
      <c r="A420" s="33"/>
      <c r="B420" s="33"/>
      <c r="C420" s="33"/>
      <c r="D420" s="33"/>
    </row>
    <row r="421">
      <c r="A421" s="33"/>
      <c r="B421" s="33"/>
      <c r="C421" s="33"/>
      <c r="D421" s="33"/>
    </row>
    <row r="422">
      <c r="A422" s="33"/>
      <c r="B422" s="33"/>
      <c r="C422" s="33"/>
      <c r="D422" s="33"/>
    </row>
    <row r="423">
      <c r="A423" s="33"/>
      <c r="B423" s="33"/>
      <c r="C423" s="33"/>
      <c r="D423" s="33"/>
    </row>
    <row r="424">
      <c r="A424" s="33"/>
      <c r="B424" s="33"/>
      <c r="C424" s="33"/>
      <c r="D424" s="33"/>
    </row>
    <row r="425">
      <c r="A425" s="33"/>
      <c r="B425" s="33"/>
      <c r="C425" s="33"/>
      <c r="D425" s="33"/>
    </row>
    <row r="426">
      <c r="A426" s="33"/>
      <c r="B426" s="33"/>
      <c r="C426" s="33"/>
      <c r="D426" s="33"/>
    </row>
    <row r="427">
      <c r="A427" s="33"/>
      <c r="B427" s="33"/>
      <c r="C427" s="33"/>
      <c r="D427" s="33"/>
    </row>
    <row r="428">
      <c r="A428" s="33"/>
      <c r="B428" s="33"/>
      <c r="C428" s="33"/>
      <c r="D428" s="33"/>
    </row>
    <row r="429">
      <c r="A429" s="33"/>
      <c r="B429" s="33"/>
      <c r="C429" s="33"/>
      <c r="D429" s="33"/>
    </row>
    <row r="430">
      <c r="A430" s="33"/>
      <c r="B430" s="33"/>
      <c r="C430" s="33"/>
      <c r="D430" s="33"/>
    </row>
    <row r="431">
      <c r="A431" s="33"/>
      <c r="B431" s="33"/>
      <c r="C431" s="33"/>
      <c r="D431" s="33"/>
    </row>
    <row r="432">
      <c r="A432" s="33"/>
      <c r="B432" s="33"/>
      <c r="C432" s="33"/>
      <c r="D432" s="33"/>
    </row>
    <row r="433">
      <c r="A433" s="33"/>
      <c r="B433" s="33"/>
      <c r="C433" s="33"/>
      <c r="D433" s="33"/>
    </row>
    <row r="434">
      <c r="A434" s="33"/>
      <c r="B434" s="33"/>
      <c r="C434" s="33"/>
      <c r="D434" s="33"/>
    </row>
    <row r="435">
      <c r="A435" s="33"/>
      <c r="B435" s="33"/>
      <c r="C435" s="33"/>
      <c r="D435" s="33"/>
    </row>
    <row r="436">
      <c r="A436" s="33"/>
      <c r="B436" s="33"/>
      <c r="C436" s="33"/>
      <c r="D436" s="33"/>
    </row>
    <row r="437">
      <c r="A437" s="33"/>
      <c r="B437" s="33"/>
      <c r="C437" s="33"/>
      <c r="D437" s="33"/>
    </row>
    <row r="438">
      <c r="A438" s="33"/>
      <c r="B438" s="33"/>
      <c r="C438" s="33"/>
      <c r="D438" s="33"/>
    </row>
    <row r="439">
      <c r="A439" s="33"/>
      <c r="B439" s="33"/>
      <c r="C439" s="33"/>
      <c r="D439" s="33"/>
    </row>
    <row r="440">
      <c r="A440" s="33"/>
      <c r="B440" s="33"/>
      <c r="C440" s="33"/>
      <c r="D440" s="33"/>
    </row>
    <row r="441">
      <c r="A441" s="33"/>
      <c r="B441" s="33"/>
      <c r="C441" s="33"/>
      <c r="D441" s="33"/>
    </row>
    <row r="442">
      <c r="A442" s="33"/>
      <c r="B442" s="33"/>
      <c r="C442" s="33"/>
      <c r="D442" s="33"/>
    </row>
    <row r="443">
      <c r="A443" s="33"/>
      <c r="B443" s="33"/>
      <c r="C443" s="33"/>
      <c r="D443" s="33"/>
    </row>
    <row r="444">
      <c r="A444" s="33"/>
      <c r="B444" s="33"/>
      <c r="C444" s="33"/>
      <c r="D444" s="33"/>
    </row>
    <row r="445">
      <c r="A445" s="33"/>
      <c r="B445" s="33"/>
      <c r="C445" s="33"/>
      <c r="D445" s="33"/>
    </row>
    <row r="446">
      <c r="A446" s="33"/>
      <c r="B446" s="33"/>
      <c r="C446" s="33"/>
      <c r="D446" s="33"/>
    </row>
    <row r="447">
      <c r="A447" s="33"/>
      <c r="B447" s="33"/>
      <c r="C447" s="33"/>
      <c r="D447" s="33"/>
    </row>
    <row r="448">
      <c r="A448" s="33"/>
      <c r="B448" s="33"/>
      <c r="C448" s="33"/>
      <c r="D448" s="33"/>
    </row>
    <row r="449">
      <c r="A449" s="33"/>
      <c r="B449" s="33"/>
      <c r="C449" s="33"/>
      <c r="D449" s="33"/>
    </row>
    <row r="450">
      <c r="A450" s="33"/>
      <c r="B450" s="33"/>
      <c r="C450" s="33"/>
      <c r="D450" s="33"/>
    </row>
    <row r="451">
      <c r="A451" s="33"/>
      <c r="B451" s="33"/>
      <c r="C451" s="33"/>
      <c r="D451" s="33"/>
    </row>
    <row r="452">
      <c r="A452" s="33"/>
      <c r="B452" s="33"/>
      <c r="C452" s="33"/>
      <c r="D452" s="33"/>
    </row>
    <row r="453">
      <c r="A453" s="33"/>
      <c r="B453" s="33"/>
      <c r="C453" s="33"/>
      <c r="D453" s="33"/>
    </row>
    <row r="454">
      <c r="A454" s="33"/>
      <c r="B454" s="33"/>
      <c r="C454" s="33"/>
      <c r="D454" s="33"/>
    </row>
    <row r="455">
      <c r="A455" s="33"/>
      <c r="B455" s="33"/>
      <c r="C455" s="33"/>
      <c r="D455" s="33"/>
    </row>
    <row r="456">
      <c r="A456" s="33"/>
      <c r="B456" s="33"/>
      <c r="C456" s="33"/>
      <c r="D456" s="33"/>
    </row>
    <row r="457">
      <c r="A457" s="33"/>
      <c r="B457" s="33"/>
      <c r="C457" s="33"/>
      <c r="D457" s="33"/>
    </row>
    <row r="458">
      <c r="A458" s="33"/>
      <c r="B458" s="33"/>
      <c r="C458" s="33"/>
      <c r="D458" s="33"/>
    </row>
    <row r="459">
      <c r="A459" s="33"/>
      <c r="B459" s="33"/>
      <c r="C459" s="33"/>
      <c r="D459" s="33"/>
    </row>
    <row r="460">
      <c r="A460" s="33"/>
      <c r="B460" s="33"/>
      <c r="C460" s="33"/>
      <c r="D460" s="33"/>
    </row>
    <row r="461">
      <c r="A461" s="33"/>
      <c r="B461" s="33"/>
      <c r="C461" s="33"/>
      <c r="D461" s="33"/>
    </row>
    <row r="462">
      <c r="A462" s="33"/>
      <c r="B462" s="33"/>
      <c r="C462" s="33"/>
      <c r="D462" s="33"/>
    </row>
    <row r="463">
      <c r="A463" s="33"/>
      <c r="B463" s="33"/>
      <c r="C463" s="33"/>
      <c r="D463" s="33"/>
    </row>
    <row r="464">
      <c r="A464" s="33"/>
      <c r="B464" s="33"/>
      <c r="C464" s="33"/>
      <c r="D464" s="33"/>
    </row>
    <row r="465">
      <c r="A465" s="33"/>
      <c r="B465" s="33"/>
      <c r="C465" s="33"/>
      <c r="D465" s="33"/>
    </row>
    <row r="466">
      <c r="A466" s="33"/>
      <c r="B466" s="33"/>
      <c r="C466" s="33"/>
      <c r="D466" s="33"/>
    </row>
    <row r="467">
      <c r="A467" s="33"/>
      <c r="B467" s="33"/>
      <c r="C467" s="33"/>
      <c r="D467" s="33"/>
    </row>
    <row r="468">
      <c r="A468" s="33"/>
      <c r="B468" s="33"/>
      <c r="C468" s="33"/>
      <c r="D468" s="33"/>
    </row>
    <row r="469">
      <c r="A469" s="33"/>
      <c r="B469" s="33"/>
      <c r="C469" s="33"/>
      <c r="D469" s="33"/>
    </row>
    <row r="470">
      <c r="A470" s="33"/>
      <c r="B470" s="33"/>
      <c r="C470" s="33"/>
      <c r="D470" s="33"/>
    </row>
    <row r="471">
      <c r="A471" s="33"/>
      <c r="B471" s="33"/>
      <c r="C471" s="33"/>
      <c r="D471" s="33"/>
    </row>
    <row r="472">
      <c r="A472" s="33"/>
      <c r="B472" s="33"/>
      <c r="C472" s="33"/>
      <c r="D472" s="33"/>
    </row>
    <row r="473">
      <c r="A473" s="33"/>
      <c r="B473" s="33"/>
      <c r="C473" s="33"/>
      <c r="D473" s="33"/>
    </row>
    <row r="474">
      <c r="A474" s="33"/>
      <c r="B474" s="33"/>
      <c r="C474" s="33"/>
      <c r="D474" s="33"/>
    </row>
    <row r="475">
      <c r="A475" s="33"/>
      <c r="B475" s="33"/>
      <c r="C475" s="33"/>
      <c r="D475" s="33"/>
    </row>
    <row r="476">
      <c r="A476" s="33"/>
      <c r="B476" s="33"/>
      <c r="C476" s="33"/>
      <c r="D476" s="33"/>
    </row>
    <row r="477">
      <c r="A477" s="33"/>
      <c r="B477" s="33"/>
      <c r="C477" s="33"/>
      <c r="D477" s="33"/>
    </row>
    <row r="478">
      <c r="A478" s="33"/>
      <c r="B478" s="33"/>
      <c r="C478" s="33"/>
      <c r="D478" s="33"/>
    </row>
    <row r="479">
      <c r="A479" s="33"/>
      <c r="B479" s="33"/>
      <c r="C479" s="33"/>
      <c r="D479" s="33"/>
    </row>
    <row r="480">
      <c r="A480" s="33"/>
      <c r="B480" s="33"/>
      <c r="C480" s="33"/>
      <c r="D480" s="33"/>
    </row>
    <row r="481">
      <c r="A481" s="33"/>
      <c r="B481" s="33"/>
      <c r="C481" s="33"/>
      <c r="D481" s="33"/>
    </row>
    <row r="482">
      <c r="A482" s="33"/>
      <c r="B482" s="33"/>
      <c r="C482" s="33"/>
      <c r="D482" s="33"/>
    </row>
    <row r="483">
      <c r="A483" s="33"/>
      <c r="B483" s="33"/>
      <c r="C483" s="33"/>
      <c r="D483" s="33"/>
    </row>
    <row r="484">
      <c r="A484" s="33"/>
      <c r="B484" s="33"/>
      <c r="C484" s="33"/>
      <c r="D484" s="33"/>
    </row>
    <row r="485">
      <c r="A485" s="33"/>
      <c r="B485" s="33"/>
      <c r="C485" s="33"/>
      <c r="D485" s="33"/>
    </row>
    <row r="486">
      <c r="A486" s="33"/>
      <c r="B486" s="33"/>
      <c r="C486" s="33"/>
      <c r="D486" s="33"/>
    </row>
    <row r="487">
      <c r="A487" s="33"/>
      <c r="B487" s="33"/>
      <c r="C487" s="33"/>
      <c r="D487" s="33"/>
    </row>
    <row r="488">
      <c r="A488" s="33"/>
      <c r="B488" s="33"/>
      <c r="C488" s="33"/>
      <c r="D488" s="33"/>
    </row>
    <row r="489">
      <c r="A489" s="33"/>
      <c r="B489" s="33"/>
      <c r="C489" s="33"/>
      <c r="D489" s="33"/>
    </row>
    <row r="490">
      <c r="A490" s="33"/>
      <c r="B490" s="33"/>
      <c r="C490" s="33"/>
      <c r="D490" s="33"/>
    </row>
    <row r="491">
      <c r="A491" s="33"/>
      <c r="B491" s="33"/>
      <c r="C491" s="33"/>
      <c r="D491" s="33"/>
    </row>
    <row r="492">
      <c r="A492" s="33"/>
      <c r="B492" s="33"/>
      <c r="C492" s="33"/>
      <c r="D492" s="33"/>
    </row>
    <row r="493">
      <c r="A493" s="33"/>
      <c r="B493" s="33"/>
      <c r="C493" s="33"/>
      <c r="D493" s="33"/>
    </row>
    <row r="494">
      <c r="A494" s="33"/>
      <c r="B494" s="33"/>
      <c r="C494" s="33"/>
      <c r="D494" s="33"/>
    </row>
    <row r="495">
      <c r="A495" s="33"/>
      <c r="B495" s="33"/>
      <c r="C495" s="33"/>
      <c r="D495" s="33"/>
    </row>
    <row r="496">
      <c r="A496" s="33"/>
      <c r="B496" s="33"/>
      <c r="C496" s="33"/>
      <c r="D496" s="33"/>
    </row>
    <row r="497">
      <c r="A497" s="33"/>
      <c r="B497" s="33"/>
      <c r="C497" s="33"/>
      <c r="D497" s="33"/>
    </row>
    <row r="498">
      <c r="A498" s="33"/>
      <c r="B498" s="33"/>
      <c r="C498" s="33"/>
      <c r="D498" s="33"/>
    </row>
    <row r="499">
      <c r="A499" s="33"/>
      <c r="B499" s="33"/>
      <c r="C499" s="33"/>
      <c r="D499" s="33"/>
    </row>
    <row r="500">
      <c r="A500" s="33"/>
      <c r="B500" s="33"/>
      <c r="C500" s="33"/>
      <c r="D500" s="33"/>
    </row>
    <row r="501">
      <c r="A501" s="33"/>
      <c r="B501" s="33"/>
      <c r="C501" s="33"/>
      <c r="D501" s="33"/>
    </row>
    <row r="502">
      <c r="A502" s="33"/>
      <c r="B502" s="33"/>
      <c r="C502" s="33"/>
      <c r="D502" s="33"/>
    </row>
    <row r="503">
      <c r="A503" s="33"/>
      <c r="B503" s="33"/>
      <c r="C503" s="33"/>
      <c r="D503" s="33"/>
    </row>
    <row r="504">
      <c r="A504" s="33"/>
      <c r="B504" s="33"/>
      <c r="C504" s="33"/>
      <c r="D504" s="33"/>
    </row>
    <row r="505">
      <c r="A505" s="33"/>
      <c r="B505" s="33"/>
      <c r="C505" s="33"/>
      <c r="D505" s="33"/>
    </row>
    <row r="506">
      <c r="A506" s="33"/>
      <c r="B506" s="33"/>
      <c r="C506" s="33"/>
      <c r="D506" s="33"/>
    </row>
    <row r="507">
      <c r="A507" s="33"/>
      <c r="B507" s="33"/>
      <c r="C507" s="33"/>
      <c r="D507" s="33"/>
    </row>
    <row r="508">
      <c r="A508" s="33"/>
      <c r="B508" s="33"/>
      <c r="C508" s="33"/>
      <c r="D508" s="33"/>
    </row>
    <row r="509">
      <c r="A509" s="33"/>
      <c r="B509" s="33"/>
      <c r="C509" s="33"/>
      <c r="D509" s="33"/>
    </row>
    <row r="510">
      <c r="A510" s="33"/>
      <c r="B510" s="33"/>
      <c r="C510" s="33"/>
      <c r="D510" s="33"/>
    </row>
    <row r="511">
      <c r="A511" s="33"/>
      <c r="B511" s="33"/>
      <c r="C511" s="33"/>
      <c r="D511" s="33"/>
    </row>
    <row r="512">
      <c r="A512" s="33"/>
      <c r="B512" s="33"/>
      <c r="C512" s="33"/>
      <c r="D512" s="33"/>
    </row>
    <row r="513">
      <c r="A513" s="33"/>
      <c r="B513" s="33"/>
      <c r="C513" s="33"/>
      <c r="D513" s="33"/>
    </row>
    <row r="514">
      <c r="A514" s="33"/>
      <c r="B514" s="33"/>
      <c r="C514" s="33"/>
      <c r="D514" s="33"/>
    </row>
    <row r="515">
      <c r="A515" s="33"/>
      <c r="B515" s="33"/>
      <c r="C515" s="33"/>
      <c r="D515" s="33"/>
    </row>
    <row r="516">
      <c r="A516" s="33"/>
      <c r="B516" s="33"/>
      <c r="C516" s="33"/>
      <c r="D516" s="33"/>
    </row>
    <row r="517">
      <c r="A517" s="33"/>
      <c r="B517" s="33"/>
      <c r="C517" s="33"/>
      <c r="D517" s="33"/>
    </row>
    <row r="518">
      <c r="A518" s="33"/>
      <c r="B518" s="33"/>
      <c r="C518" s="33"/>
      <c r="D518" s="33"/>
    </row>
    <row r="519">
      <c r="A519" s="33"/>
      <c r="B519" s="33"/>
      <c r="C519" s="33"/>
      <c r="D519" s="33"/>
    </row>
    <row r="520">
      <c r="A520" s="33"/>
      <c r="B520" s="33"/>
      <c r="C520" s="33"/>
      <c r="D520" s="33"/>
    </row>
    <row r="521">
      <c r="A521" s="33"/>
      <c r="B521" s="33"/>
      <c r="C521" s="33"/>
      <c r="D521" s="33"/>
    </row>
    <row r="522">
      <c r="A522" s="33"/>
      <c r="B522" s="33"/>
      <c r="C522" s="33"/>
      <c r="D522" s="33"/>
    </row>
    <row r="523">
      <c r="A523" s="33"/>
      <c r="B523" s="33"/>
      <c r="C523" s="33"/>
      <c r="D523" s="33"/>
    </row>
    <row r="524">
      <c r="A524" s="33"/>
      <c r="B524" s="33"/>
      <c r="C524" s="33"/>
      <c r="D524" s="33"/>
    </row>
    <row r="525">
      <c r="A525" s="33"/>
      <c r="B525" s="33"/>
      <c r="C525" s="33"/>
      <c r="D525" s="33"/>
    </row>
    <row r="526">
      <c r="A526" s="33"/>
      <c r="B526" s="33"/>
      <c r="C526" s="33"/>
      <c r="D526" s="33"/>
    </row>
    <row r="527">
      <c r="A527" s="33"/>
      <c r="B527" s="33"/>
      <c r="C527" s="33"/>
      <c r="D527" s="33"/>
    </row>
    <row r="528">
      <c r="A528" s="33"/>
      <c r="B528" s="33"/>
      <c r="C528" s="33"/>
      <c r="D528" s="33"/>
    </row>
    <row r="529">
      <c r="A529" s="33"/>
      <c r="B529" s="33"/>
      <c r="C529" s="33"/>
      <c r="D529" s="33"/>
    </row>
    <row r="530">
      <c r="A530" s="33"/>
      <c r="B530" s="33"/>
      <c r="C530" s="33"/>
      <c r="D530" s="33"/>
    </row>
    <row r="531">
      <c r="A531" s="33"/>
      <c r="B531" s="33"/>
      <c r="C531" s="33"/>
      <c r="D531" s="33"/>
    </row>
    <row r="532">
      <c r="A532" s="33"/>
      <c r="B532" s="33"/>
      <c r="C532" s="33"/>
      <c r="D532" s="33"/>
    </row>
    <row r="533">
      <c r="A533" s="33"/>
      <c r="B533" s="33"/>
      <c r="C533" s="33"/>
      <c r="D533" s="33"/>
    </row>
    <row r="534">
      <c r="A534" s="33"/>
      <c r="B534" s="33"/>
      <c r="C534" s="33"/>
      <c r="D534" s="33"/>
    </row>
    <row r="535">
      <c r="A535" s="33"/>
      <c r="B535" s="33"/>
      <c r="C535" s="33"/>
      <c r="D535" s="33"/>
    </row>
    <row r="536">
      <c r="A536" s="33"/>
      <c r="B536" s="33"/>
      <c r="C536" s="33"/>
      <c r="D536" s="33"/>
    </row>
    <row r="537">
      <c r="A537" s="33"/>
      <c r="B537" s="33"/>
      <c r="C537" s="33"/>
      <c r="D537" s="33"/>
    </row>
    <row r="538">
      <c r="A538" s="33"/>
      <c r="B538" s="33"/>
      <c r="C538" s="33"/>
      <c r="D538" s="33"/>
    </row>
    <row r="539">
      <c r="A539" s="33"/>
      <c r="B539" s="33"/>
      <c r="C539" s="33"/>
      <c r="D539" s="33"/>
    </row>
    <row r="540">
      <c r="A540" s="33"/>
      <c r="B540" s="33"/>
      <c r="C540" s="33"/>
      <c r="D540" s="33"/>
    </row>
    <row r="541">
      <c r="A541" s="33"/>
      <c r="B541" s="33"/>
      <c r="C541" s="33"/>
      <c r="D541" s="33"/>
    </row>
    <row r="542">
      <c r="A542" s="33"/>
      <c r="B542" s="33"/>
      <c r="C542" s="33"/>
      <c r="D542" s="33"/>
    </row>
    <row r="543">
      <c r="A543" s="33"/>
      <c r="B543" s="33"/>
      <c r="C543" s="33"/>
      <c r="D543" s="33"/>
    </row>
    <row r="544">
      <c r="A544" s="33"/>
      <c r="B544" s="33"/>
      <c r="C544" s="33"/>
      <c r="D544" s="33"/>
    </row>
    <row r="545">
      <c r="A545" s="33"/>
      <c r="B545" s="33"/>
      <c r="C545" s="33"/>
      <c r="D545" s="33"/>
    </row>
    <row r="546">
      <c r="A546" s="33"/>
      <c r="B546" s="33"/>
      <c r="C546" s="33"/>
      <c r="D546" s="33"/>
    </row>
    <row r="547">
      <c r="A547" s="33"/>
      <c r="B547" s="33"/>
      <c r="C547" s="33"/>
      <c r="D547" s="33"/>
    </row>
    <row r="548">
      <c r="A548" s="33"/>
      <c r="B548" s="33"/>
      <c r="C548" s="33"/>
      <c r="D548" s="33"/>
    </row>
    <row r="549">
      <c r="A549" s="33"/>
      <c r="B549" s="33"/>
      <c r="C549" s="33"/>
      <c r="D549" s="33"/>
    </row>
    <row r="550">
      <c r="A550" s="33"/>
      <c r="B550" s="33"/>
      <c r="C550" s="33"/>
      <c r="D550" s="33"/>
    </row>
    <row r="551">
      <c r="A551" s="33"/>
      <c r="B551" s="33"/>
      <c r="C551" s="33"/>
      <c r="D551" s="33"/>
    </row>
    <row r="552">
      <c r="A552" s="33"/>
      <c r="B552" s="33"/>
      <c r="C552" s="33"/>
      <c r="D552" s="33"/>
    </row>
    <row r="553">
      <c r="A553" s="33"/>
      <c r="B553" s="33"/>
      <c r="C553" s="33"/>
      <c r="D553" s="33"/>
    </row>
    <row r="554">
      <c r="A554" s="33"/>
      <c r="B554" s="33"/>
      <c r="C554" s="33"/>
      <c r="D554" s="33"/>
    </row>
    <row r="555">
      <c r="A555" s="33"/>
      <c r="B555" s="33"/>
      <c r="C555" s="33"/>
      <c r="D555" s="33"/>
    </row>
    <row r="556">
      <c r="A556" s="33"/>
      <c r="B556" s="33"/>
      <c r="C556" s="33"/>
      <c r="D556" s="33"/>
    </row>
    <row r="557">
      <c r="A557" s="33"/>
      <c r="B557" s="33"/>
      <c r="C557" s="33"/>
      <c r="D557" s="33"/>
    </row>
    <row r="558">
      <c r="A558" s="33"/>
      <c r="B558" s="33"/>
      <c r="C558" s="33"/>
      <c r="D558" s="33"/>
    </row>
    <row r="559">
      <c r="A559" s="33"/>
      <c r="B559" s="33"/>
      <c r="C559" s="33"/>
      <c r="D559" s="33"/>
    </row>
    <row r="560">
      <c r="A560" s="33"/>
      <c r="B560" s="33"/>
      <c r="C560" s="33"/>
      <c r="D560" s="33"/>
    </row>
    <row r="561">
      <c r="A561" s="33"/>
      <c r="B561" s="33"/>
      <c r="C561" s="33"/>
      <c r="D561" s="33"/>
    </row>
    <row r="562">
      <c r="A562" s="33"/>
      <c r="B562" s="33"/>
      <c r="C562" s="33"/>
      <c r="D562" s="33"/>
    </row>
    <row r="563">
      <c r="A563" s="33"/>
      <c r="B563" s="33"/>
      <c r="C563" s="33"/>
      <c r="D563" s="33"/>
    </row>
    <row r="564">
      <c r="A564" s="33"/>
      <c r="B564" s="33"/>
      <c r="C564" s="33"/>
      <c r="D564" s="33"/>
    </row>
    <row r="565">
      <c r="A565" s="33"/>
      <c r="B565" s="33"/>
      <c r="C565" s="33"/>
      <c r="D565" s="33"/>
    </row>
    <row r="566">
      <c r="A566" s="33"/>
      <c r="B566" s="33"/>
      <c r="C566" s="33"/>
      <c r="D566" s="33"/>
    </row>
    <row r="567">
      <c r="A567" s="33"/>
      <c r="B567" s="33"/>
      <c r="C567" s="33"/>
      <c r="D567" s="33"/>
    </row>
    <row r="568">
      <c r="A568" s="33"/>
      <c r="B568" s="33"/>
      <c r="C568" s="33"/>
      <c r="D568" s="33"/>
    </row>
    <row r="569">
      <c r="A569" s="33"/>
      <c r="B569" s="33"/>
      <c r="C569" s="33"/>
      <c r="D569" s="33"/>
    </row>
    <row r="570">
      <c r="A570" s="33"/>
      <c r="B570" s="33"/>
      <c r="C570" s="33"/>
      <c r="D570" s="33"/>
    </row>
    <row r="571">
      <c r="A571" s="33"/>
      <c r="B571" s="33"/>
      <c r="C571" s="33"/>
      <c r="D571" s="33"/>
    </row>
    <row r="572">
      <c r="A572" s="33"/>
      <c r="B572" s="33"/>
      <c r="C572" s="33"/>
      <c r="D572" s="33"/>
    </row>
    <row r="573">
      <c r="A573" s="33"/>
      <c r="B573" s="33"/>
      <c r="C573" s="33"/>
      <c r="D573" s="33"/>
    </row>
    <row r="574">
      <c r="A574" s="33"/>
      <c r="B574" s="33"/>
      <c r="C574" s="33"/>
      <c r="D574" s="33"/>
    </row>
    <row r="575">
      <c r="A575" s="33"/>
      <c r="B575" s="33"/>
      <c r="C575" s="33"/>
      <c r="D575" s="33"/>
    </row>
    <row r="576">
      <c r="A576" s="33"/>
      <c r="B576" s="33"/>
      <c r="C576" s="33"/>
      <c r="D576" s="33"/>
    </row>
    <row r="577">
      <c r="A577" s="33"/>
      <c r="B577" s="33"/>
      <c r="C577" s="33"/>
      <c r="D577" s="33"/>
    </row>
    <row r="578">
      <c r="A578" s="33"/>
      <c r="B578" s="33"/>
      <c r="C578" s="33"/>
      <c r="D578" s="33"/>
    </row>
    <row r="579">
      <c r="A579" s="33"/>
      <c r="B579" s="33"/>
      <c r="C579" s="33"/>
      <c r="D579" s="33"/>
    </row>
    <row r="580">
      <c r="A580" s="33"/>
      <c r="B580" s="33"/>
      <c r="C580" s="33"/>
      <c r="D580" s="33"/>
    </row>
    <row r="581">
      <c r="A581" s="33"/>
      <c r="B581" s="33"/>
      <c r="C581" s="33"/>
      <c r="D581" s="33"/>
    </row>
    <row r="582">
      <c r="A582" s="33"/>
      <c r="B582" s="33"/>
      <c r="C582" s="33"/>
      <c r="D582" s="33"/>
    </row>
    <row r="583">
      <c r="A583" s="33"/>
      <c r="B583" s="33"/>
      <c r="C583" s="33"/>
      <c r="D583" s="33"/>
    </row>
    <row r="584">
      <c r="A584" s="33"/>
      <c r="B584" s="33"/>
      <c r="C584" s="33"/>
      <c r="D584" s="33"/>
    </row>
    <row r="585">
      <c r="A585" s="33"/>
      <c r="B585" s="33"/>
      <c r="C585" s="33"/>
      <c r="D585" s="33"/>
    </row>
    <row r="586">
      <c r="A586" s="33"/>
      <c r="B586" s="33"/>
      <c r="C586" s="33"/>
      <c r="D586" s="33"/>
    </row>
    <row r="587">
      <c r="A587" s="33"/>
      <c r="B587" s="33"/>
      <c r="C587" s="33"/>
      <c r="D587" s="33"/>
    </row>
    <row r="588">
      <c r="A588" s="33"/>
      <c r="B588" s="33"/>
      <c r="C588" s="33"/>
      <c r="D588" s="33"/>
    </row>
    <row r="589">
      <c r="A589" s="33"/>
      <c r="B589" s="33"/>
      <c r="C589" s="33"/>
      <c r="D589" s="33"/>
    </row>
    <row r="590">
      <c r="A590" s="33"/>
      <c r="B590" s="33"/>
      <c r="C590" s="33"/>
      <c r="D590" s="33"/>
    </row>
    <row r="591">
      <c r="A591" s="33"/>
      <c r="B591" s="33"/>
      <c r="C591" s="33"/>
      <c r="D591" s="33"/>
    </row>
    <row r="592">
      <c r="A592" s="33"/>
      <c r="B592" s="33"/>
      <c r="C592" s="33"/>
      <c r="D592" s="33"/>
    </row>
    <row r="593">
      <c r="A593" s="33"/>
      <c r="B593" s="33"/>
      <c r="C593" s="33"/>
      <c r="D593" s="33"/>
    </row>
    <row r="594">
      <c r="A594" s="33"/>
      <c r="B594" s="33"/>
      <c r="C594" s="33"/>
      <c r="D594" s="33"/>
    </row>
    <row r="595">
      <c r="A595" s="33"/>
      <c r="B595" s="33"/>
      <c r="C595" s="33"/>
      <c r="D595" s="33"/>
    </row>
    <row r="596">
      <c r="A596" s="33"/>
      <c r="B596" s="33"/>
      <c r="C596" s="33"/>
      <c r="D596" s="33"/>
    </row>
    <row r="597">
      <c r="A597" s="33"/>
      <c r="B597" s="33"/>
      <c r="C597" s="33"/>
      <c r="D597" s="33"/>
    </row>
    <row r="598">
      <c r="A598" s="33"/>
      <c r="B598" s="33"/>
      <c r="C598" s="33"/>
      <c r="D598" s="33"/>
    </row>
    <row r="599">
      <c r="A599" s="33"/>
      <c r="B599" s="33"/>
      <c r="C599" s="33"/>
      <c r="D599" s="33"/>
    </row>
    <row r="600">
      <c r="A600" s="33"/>
      <c r="B600" s="33"/>
      <c r="C600" s="33"/>
      <c r="D600" s="33"/>
    </row>
    <row r="601">
      <c r="A601" s="33"/>
      <c r="B601" s="33"/>
      <c r="C601" s="33"/>
      <c r="D601" s="33"/>
    </row>
    <row r="602">
      <c r="A602" s="33"/>
      <c r="B602" s="33"/>
      <c r="C602" s="33"/>
      <c r="D602" s="33"/>
    </row>
    <row r="603">
      <c r="A603" s="33"/>
      <c r="B603" s="33"/>
      <c r="C603" s="33"/>
      <c r="D603" s="33"/>
    </row>
    <row r="604">
      <c r="A604" s="33"/>
      <c r="B604" s="33"/>
      <c r="C604" s="33"/>
      <c r="D604" s="33"/>
    </row>
    <row r="605">
      <c r="A605" s="33"/>
      <c r="B605" s="33"/>
      <c r="C605" s="33"/>
      <c r="D605" s="33"/>
    </row>
    <row r="606">
      <c r="A606" s="33"/>
      <c r="B606" s="33"/>
      <c r="C606" s="33"/>
      <c r="D606" s="33"/>
    </row>
    <row r="607">
      <c r="A607" s="33"/>
      <c r="B607" s="33"/>
      <c r="C607" s="33"/>
      <c r="D607" s="33"/>
    </row>
    <row r="608">
      <c r="A608" s="33"/>
      <c r="B608" s="33"/>
      <c r="C608" s="33"/>
      <c r="D608" s="33"/>
    </row>
    <row r="609">
      <c r="A609" s="33"/>
      <c r="B609" s="33"/>
      <c r="C609" s="33"/>
      <c r="D609" s="33"/>
    </row>
    <row r="610">
      <c r="A610" s="33"/>
      <c r="B610" s="33"/>
      <c r="C610" s="33"/>
      <c r="D610" s="33"/>
    </row>
    <row r="611">
      <c r="A611" s="33"/>
      <c r="B611" s="33"/>
      <c r="C611" s="33"/>
      <c r="D611" s="33"/>
    </row>
    <row r="612">
      <c r="A612" s="33"/>
      <c r="B612" s="33"/>
      <c r="C612" s="33"/>
      <c r="D612" s="33"/>
    </row>
    <row r="613">
      <c r="A613" s="33"/>
      <c r="B613" s="33"/>
      <c r="C613" s="33"/>
      <c r="D613" s="33"/>
    </row>
    <row r="614">
      <c r="A614" s="33"/>
      <c r="B614" s="33"/>
      <c r="C614" s="33"/>
      <c r="D614" s="33"/>
    </row>
    <row r="615">
      <c r="A615" s="33"/>
      <c r="B615" s="33"/>
      <c r="C615" s="33"/>
      <c r="D615" s="33"/>
    </row>
    <row r="616">
      <c r="A616" s="33"/>
      <c r="B616" s="33"/>
      <c r="C616" s="33"/>
      <c r="D616" s="33"/>
    </row>
    <row r="617">
      <c r="A617" s="33"/>
      <c r="B617" s="33"/>
      <c r="C617" s="33"/>
      <c r="D617" s="33"/>
    </row>
    <row r="618">
      <c r="A618" s="33"/>
      <c r="B618" s="33"/>
      <c r="C618" s="33"/>
      <c r="D618" s="33"/>
    </row>
    <row r="619">
      <c r="A619" s="33"/>
      <c r="B619" s="33"/>
      <c r="C619" s="33"/>
      <c r="D619" s="33"/>
    </row>
    <row r="620">
      <c r="A620" s="33"/>
      <c r="B620" s="33"/>
      <c r="C620" s="33"/>
      <c r="D620" s="33"/>
    </row>
    <row r="621">
      <c r="A621" s="33"/>
      <c r="B621" s="33"/>
      <c r="C621" s="33"/>
      <c r="D621" s="33"/>
    </row>
    <row r="622">
      <c r="A622" s="33"/>
      <c r="B622" s="33"/>
      <c r="C622" s="33"/>
      <c r="D622" s="33"/>
    </row>
    <row r="623">
      <c r="A623" s="33"/>
      <c r="B623" s="33"/>
      <c r="C623" s="33"/>
      <c r="D623" s="33"/>
    </row>
    <row r="624">
      <c r="A624" s="33"/>
      <c r="B624" s="33"/>
      <c r="C624" s="33"/>
      <c r="D624" s="33"/>
    </row>
    <row r="625">
      <c r="A625" s="33"/>
      <c r="B625" s="33"/>
      <c r="C625" s="33"/>
      <c r="D625" s="33"/>
    </row>
    <row r="626">
      <c r="A626" s="33"/>
      <c r="B626" s="33"/>
      <c r="C626" s="33"/>
      <c r="D626" s="33"/>
    </row>
    <row r="627">
      <c r="A627" s="33"/>
      <c r="B627" s="33"/>
      <c r="C627" s="33"/>
      <c r="D627" s="33"/>
    </row>
    <row r="628">
      <c r="A628" s="33"/>
      <c r="B628" s="33"/>
      <c r="C628" s="33"/>
      <c r="D628" s="33"/>
    </row>
    <row r="629">
      <c r="A629" s="33"/>
      <c r="B629" s="33"/>
      <c r="C629" s="33"/>
      <c r="D629" s="33"/>
    </row>
    <row r="630">
      <c r="A630" s="33"/>
      <c r="B630" s="33"/>
      <c r="C630" s="33"/>
      <c r="D630" s="33"/>
    </row>
    <row r="631">
      <c r="A631" s="33"/>
      <c r="B631" s="33"/>
      <c r="C631" s="33"/>
      <c r="D631" s="33"/>
    </row>
    <row r="632">
      <c r="A632" s="33"/>
      <c r="B632" s="33"/>
      <c r="C632" s="33"/>
      <c r="D632" s="33"/>
    </row>
    <row r="633">
      <c r="A633" s="33"/>
      <c r="B633" s="33"/>
      <c r="C633" s="33"/>
      <c r="D633" s="33"/>
    </row>
    <row r="634">
      <c r="A634" s="33"/>
      <c r="B634" s="33"/>
      <c r="C634" s="33"/>
      <c r="D634" s="33"/>
    </row>
    <row r="635">
      <c r="A635" s="33"/>
      <c r="B635" s="33"/>
      <c r="C635" s="33"/>
      <c r="D635" s="33"/>
    </row>
    <row r="636">
      <c r="A636" s="33"/>
      <c r="B636" s="33"/>
      <c r="C636" s="33"/>
      <c r="D636" s="33"/>
    </row>
    <row r="637">
      <c r="A637" s="33"/>
      <c r="B637" s="33"/>
      <c r="C637" s="33"/>
      <c r="D637" s="33"/>
    </row>
    <row r="638">
      <c r="A638" s="33"/>
      <c r="B638" s="33"/>
      <c r="C638" s="33"/>
      <c r="D638" s="33"/>
    </row>
    <row r="639">
      <c r="A639" s="33"/>
      <c r="B639" s="33"/>
      <c r="C639" s="33"/>
      <c r="D639" s="33"/>
    </row>
    <row r="640">
      <c r="A640" s="33"/>
      <c r="B640" s="33"/>
      <c r="C640" s="33"/>
      <c r="D640" s="33"/>
    </row>
    <row r="641">
      <c r="A641" s="33"/>
      <c r="B641" s="33"/>
      <c r="C641" s="33"/>
      <c r="D641" s="33"/>
    </row>
    <row r="642">
      <c r="A642" s="33"/>
      <c r="B642" s="33"/>
      <c r="C642" s="33"/>
      <c r="D642" s="33"/>
    </row>
    <row r="643">
      <c r="A643" s="33"/>
      <c r="B643" s="33"/>
      <c r="C643" s="33"/>
      <c r="D643" s="33"/>
    </row>
    <row r="644">
      <c r="A644" s="33"/>
      <c r="B644" s="33"/>
      <c r="C644" s="33"/>
      <c r="D644" s="33"/>
    </row>
    <row r="645">
      <c r="A645" s="33"/>
      <c r="B645" s="33"/>
      <c r="C645" s="33"/>
      <c r="D645" s="33"/>
    </row>
    <row r="646">
      <c r="A646" s="33"/>
      <c r="B646" s="33"/>
      <c r="C646" s="33"/>
      <c r="D646" s="33"/>
    </row>
    <row r="647">
      <c r="A647" s="33"/>
      <c r="B647" s="33"/>
      <c r="C647" s="33"/>
      <c r="D647" s="33"/>
    </row>
    <row r="648">
      <c r="A648" s="33"/>
      <c r="B648" s="33"/>
      <c r="C648" s="33"/>
      <c r="D648" s="33"/>
    </row>
    <row r="649">
      <c r="A649" s="33"/>
      <c r="B649" s="33"/>
      <c r="C649" s="33"/>
      <c r="D649" s="33"/>
    </row>
    <row r="650">
      <c r="A650" s="33"/>
      <c r="B650" s="33"/>
      <c r="C650" s="33"/>
      <c r="D650" s="33"/>
    </row>
    <row r="651">
      <c r="A651" s="33"/>
      <c r="B651" s="33"/>
      <c r="C651" s="33"/>
      <c r="D651" s="33"/>
    </row>
    <row r="652">
      <c r="A652" s="33"/>
      <c r="B652" s="33"/>
      <c r="C652" s="33"/>
      <c r="D652" s="33"/>
    </row>
    <row r="653">
      <c r="A653" s="33"/>
      <c r="B653" s="33"/>
      <c r="C653" s="33"/>
      <c r="D653" s="33"/>
    </row>
    <row r="654">
      <c r="A654" s="33"/>
      <c r="B654" s="33"/>
      <c r="C654" s="33"/>
      <c r="D654" s="33"/>
    </row>
    <row r="655">
      <c r="A655" s="33"/>
      <c r="B655" s="33"/>
      <c r="C655" s="33"/>
      <c r="D655" s="33"/>
    </row>
    <row r="656">
      <c r="A656" s="33"/>
      <c r="B656" s="33"/>
      <c r="C656" s="33"/>
      <c r="D656" s="33"/>
    </row>
    <row r="657">
      <c r="A657" s="33"/>
      <c r="B657" s="33"/>
      <c r="C657" s="33"/>
      <c r="D657" s="33"/>
    </row>
    <row r="658">
      <c r="A658" s="33"/>
      <c r="B658" s="33"/>
      <c r="C658" s="33"/>
      <c r="D658" s="33"/>
    </row>
    <row r="659">
      <c r="A659" s="33"/>
      <c r="B659" s="33"/>
      <c r="C659" s="33"/>
      <c r="D659" s="33"/>
    </row>
    <row r="660">
      <c r="A660" s="33"/>
      <c r="B660" s="33"/>
      <c r="C660" s="33"/>
      <c r="D660" s="33"/>
    </row>
    <row r="661">
      <c r="A661" s="33"/>
      <c r="B661" s="33"/>
      <c r="C661" s="33"/>
      <c r="D661" s="33"/>
    </row>
    <row r="662">
      <c r="A662" s="33"/>
      <c r="B662" s="33"/>
      <c r="C662" s="33"/>
      <c r="D662" s="33"/>
    </row>
    <row r="663">
      <c r="A663" s="33"/>
      <c r="B663" s="33"/>
      <c r="C663" s="33"/>
      <c r="D663" s="33"/>
    </row>
    <row r="664">
      <c r="A664" s="33"/>
      <c r="B664" s="33"/>
      <c r="C664" s="33"/>
      <c r="D664" s="33"/>
    </row>
    <row r="665">
      <c r="A665" s="33"/>
      <c r="B665" s="33"/>
      <c r="C665" s="33"/>
      <c r="D665" s="33"/>
    </row>
    <row r="666">
      <c r="A666" s="33"/>
      <c r="B666" s="33"/>
      <c r="C666" s="33"/>
      <c r="D666" s="33"/>
    </row>
    <row r="667">
      <c r="A667" s="33"/>
      <c r="B667" s="33"/>
      <c r="C667" s="33"/>
      <c r="D667" s="33"/>
    </row>
    <row r="668">
      <c r="A668" s="33"/>
      <c r="B668" s="33"/>
      <c r="C668" s="33"/>
      <c r="D668" s="33"/>
    </row>
    <row r="669">
      <c r="A669" s="33"/>
      <c r="B669" s="33"/>
      <c r="C669" s="33"/>
      <c r="D669" s="33"/>
    </row>
    <row r="670">
      <c r="A670" s="33"/>
      <c r="B670" s="33"/>
      <c r="C670" s="33"/>
      <c r="D670" s="33"/>
    </row>
    <row r="671">
      <c r="A671" s="33"/>
      <c r="B671" s="33"/>
      <c r="C671" s="33"/>
      <c r="D671" s="33"/>
    </row>
    <row r="672">
      <c r="A672" s="33"/>
      <c r="B672" s="33"/>
      <c r="C672" s="33"/>
      <c r="D672" s="33"/>
    </row>
    <row r="673">
      <c r="A673" s="33"/>
      <c r="B673" s="33"/>
      <c r="C673" s="33"/>
      <c r="D673" s="33"/>
    </row>
    <row r="674">
      <c r="A674" s="33"/>
      <c r="B674" s="33"/>
      <c r="C674" s="33"/>
      <c r="D674" s="33"/>
    </row>
    <row r="675">
      <c r="A675" s="33"/>
      <c r="B675" s="33"/>
      <c r="C675" s="33"/>
      <c r="D675" s="33"/>
    </row>
    <row r="676">
      <c r="A676" s="33"/>
      <c r="B676" s="33"/>
      <c r="C676" s="33"/>
      <c r="D676" s="33"/>
    </row>
    <row r="677">
      <c r="A677" s="33"/>
      <c r="B677" s="33"/>
      <c r="C677" s="33"/>
      <c r="D677" s="33"/>
    </row>
    <row r="678">
      <c r="A678" s="33"/>
      <c r="B678" s="33"/>
      <c r="C678" s="33"/>
      <c r="D678" s="33"/>
    </row>
    <row r="679">
      <c r="A679" s="33"/>
      <c r="B679" s="33"/>
      <c r="C679" s="33"/>
      <c r="D679" s="33"/>
    </row>
    <row r="680">
      <c r="A680" s="33"/>
      <c r="B680" s="33"/>
      <c r="C680" s="33"/>
      <c r="D680" s="33"/>
    </row>
    <row r="681">
      <c r="A681" s="33"/>
      <c r="B681" s="33"/>
      <c r="C681" s="33"/>
      <c r="D681" s="33"/>
    </row>
    <row r="682">
      <c r="A682" s="33"/>
      <c r="B682" s="33"/>
      <c r="C682" s="33"/>
      <c r="D682" s="33"/>
    </row>
    <row r="683">
      <c r="A683" s="33"/>
      <c r="B683" s="33"/>
      <c r="C683" s="33"/>
      <c r="D683" s="33"/>
    </row>
    <row r="684">
      <c r="A684" s="33"/>
      <c r="B684" s="33"/>
      <c r="C684" s="33"/>
      <c r="D684" s="33"/>
    </row>
    <row r="685">
      <c r="A685" s="33"/>
      <c r="B685" s="33"/>
      <c r="C685" s="33"/>
      <c r="D685" s="33"/>
    </row>
    <row r="686">
      <c r="A686" s="33"/>
      <c r="B686" s="33"/>
      <c r="C686" s="33"/>
      <c r="D686" s="33"/>
    </row>
    <row r="687">
      <c r="A687" s="33"/>
      <c r="B687" s="33"/>
      <c r="C687" s="33"/>
      <c r="D687" s="33"/>
    </row>
    <row r="688">
      <c r="A688" s="33"/>
      <c r="B688" s="33"/>
      <c r="C688" s="33"/>
      <c r="D688" s="33"/>
    </row>
    <row r="689">
      <c r="A689" s="33"/>
      <c r="B689" s="33"/>
      <c r="C689" s="33"/>
      <c r="D689" s="33"/>
    </row>
    <row r="690">
      <c r="A690" s="33"/>
      <c r="B690" s="33"/>
      <c r="C690" s="33"/>
      <c r="D690" s="33"/>
    </row>
    <row r="691">
      <c r="A691" s="33"/>
      <c r="B691" s="33"/>
      <c r="C691" s="33"/>
      <c r="D691" s="33"/>
    </row>
    <row r="692">
      <c r="A692" s="33"/>
      <c r="B692" s="33"/>
      <c r="C692" s="33"/>
      <c r="D692" s="33"/>
    </row>
    <row r="693">
      <c r="A693" s="33"/>
      <c r="B693" s="33"/>
      <c r="C693" s="33"/>
      <c r="D693" s="33"/>
    </row>
    <row r="694">
      <c r="A694" s="33"/>
      <c r="B694" s="33"/>
      <c r="C694" s="33"/>
      <c r="D694" s="33"/>
    </row>
    <row r="695">
      <c r="A695" s="33"/>
      <c r="B695" s="33"/>
      <c r="C695" s="33"/>
      <c r="D695" s="33"/>
    </row>
    <row r="696">
      <c r="A696" s="33"/>
      <c r="B696" s="33"/>
      <c r="C696" s="33"/>
      <c r="D696" s="33"/>
    </row>
    <row r="697">
      <c r="A697" s="33"/>
      <c r="B697" s="33"/>
      <c r="C697" s="33"/>
      <c r="D697" s="33"/>
    </row>
    <row r="698">
      <c r="A698" s="33"/>
      <c r="B698" s="33"/>
      <c r="C698" s="33"/>
      <c r="D698" s="33"/>
    </row>
    <row r="699">
      <c r="A699" s="33"/>
      <c r="B699" s="33"/>
      <c r="C699" s="33"/>
      <c r="D699" s="33"/>
    </row>
    <row r="700">
      <c r="A700" s="33"/>
      <c r="B700" s="33"/>
      <c r="C700" s="33"/>
      <c r="D700" s="33"/>
    </row>
    <row r="701">
      <c r="A701" s="33"/>
      <c r="B701" s="33"/>
      <c r="C701" s="33"/>
      <c r="D701" s="33"/>
    </row>
    <row r="702">
      <c r="A702" s="33"/>
      <c r="B702" s="33"/>
      <c r="C702" s="33"/>
      <c r="D702" s="33"/>
    </row>
    <row r="703">
      <c r="A703" s="33"/>
      <c r="B703" s="33"/>
      <c r="C703" s="33"/>
      <c r="D703" s="33"/>
    </row>
    <row r="704">
      <c r="A704" s="33"/>
      <c r="B704" s="33"/>
      <c r="C704" s="33"/>
      <c r="D704" s="33"/>
    </row>
    <row r="705">
      <c r="A705" s="33"/>
      <c r="B705" s="33"/>
      <c r="C705" s="33"/>
      <c r="D705" s="33"/>
    </row>
    <row r="706">
      <c r="A706" s="33"/>
      <c r="B706" s="33"/>
      <c r="C706" s="33"/>
      <c r="D706" s="33"/>
    </row>
    <row r="707">
      <c r="A707" s="33"/>
      <c r="B707" s="33"/>
      <c r="C707" s="33"/>
      <c r="D707" s="33"/>
    </row>
    <row r="708">
      <c r="A708" s="33"/>
      <c r="B708" s="33"/>
      <c r="C708" s="33"/>
      <c r="D708" s="33"/>
    </row>
    <row r="709">
      <c r="A709" s="33"/>
      <c r="B709" s="33"/>
      <c r="C709" s="33"/>
      <c r="D709" s="33"/>
    </row>
    <row r="710">
      <c r="A710" s="33"/>
      <c r="B710" s="33"/>
      <c r="C710" s="33"/>
      <c r="D710" s="33"/>
    </row>
    <row r="711">
      <c r="A711" s="33"/>
      <c r="B711" s="33"/>
      <c r="C711" s="33"/>
      <c r="D711" s="33"/>
    </row>
    <row r="712">
      <c r="A712" s="33"/>
      <c r="B712" s="33"/>
      <c r="C712" s="33"/>
      <c r="D712" s="33"/>
    </row>
    <row r="713">
      <c r="A713" s="33"/>
      <c r="B713" s="33"/>
      <c r="C713" s="33"/>
      <c r="D713" s="33"/>
    </row>
    <row r="714">
      <c r="A714" s="33"/>
      <c r="B714" s="33"/>
      <c r="C714" s="33"/>
      <c r="D714" s="33"/>
    </row>
    <row r="715">
      <c r="A715" s="33"/>
      <c r="B715" s="33"/>
      <c r="C715" s="33"/>
      <c r="D715" s="33"/>
    </row>
    <row r="716">
      <c r="A716" s="33"/>
      <c r="B716" s="33"/>
      <c r="C716" s="33"/>
      <c r="D716" s="33"/>
    </row>
    <row r="717">
      <c r="A717" s="33"/>
      <c r="B717" s="33"/>
      <c r="C717" s="33"/>
      <c r="D717" s="33"/>
    </row>
    <row r="718">
      <c r="A718" s="33"/>
      <c r="B718" s="33"/>
      <c r="C718" s="33"/>
      <c r="D718" s="33"/>
    </row>
    <row r="719">
      <c r="A719" s="33"/>
      <c r="B719" s="33"/>
      <c r="C719" s="33"/>
      <c r="D719" s="33"/>
    </row>
    <row r="720">
      <c r="A720" s="33"/>
      <c r="B720" s="33"/>
      <c r="C720" s="33"/>
      <c r="D720" s="33"/>
    </row>
    <row r="721">
      <c r="A721" s="33"/>
      <c r="B721" s="33"/>
      <c r="C721" s="33"/>
      <c r="D721" s="33"/>
    </row>
    <row r="722">
      <c r="A722" s="33"/>
      <c r="B722" s="33"/>
      <c r="C722" s="33"/>
      <c r="D722" s="33"/>
    </row>
    <row r="723">
      <c r="A723" s="33"/>
      <c r="B723" s="33"/>
      <c r="C723" s="33"/>
      <c r="D723" s="33"/>
    </row>
    <row r="724">
      <c r="A724" s="33"/>
      <c r="B724" s="33"/>
      <c r="C724" s="33"/>
      <c r="D724" s="33"/>
    </row>
    <row r="725">
      <c r="A725" s="33"/>
      <c r="B725" s="33"/>
      <c r="C725" s="33"/>
      <c r="D725" s="33"/>
    </row>
    <row r="726">
      <c r="A726" s="33"/>
      <c r="B726" s="33"/>
      <c r="C726" s="33"/>
      <c r="D726" s="33"/>
    </row>
    <row r="727">
      <c r="A727" s="33"/>
      <c r="B727" s="33"/>
      <c r="C727" s="33"/>
      <c r="D727" s="33"/>
    </row>
    <row r="728">
      <c r="A728" s="33"/>
      <c r="B728" s="33"/>
      <c r="C728" s="33"/>
      <c r="D728" s="33"/>
    </row>
    <row r="729">
      <c r="A729" s="33"/>
      <c r="B729" s="33"/>
      <c r="C729" s="33"/>
      <c r="D729" s="33"/>
    </row>
    <row r="730">
      <c r="A730" s="33"/>
      <c r="B730" s="33"/>
      <c r="C730" s="33"/>
      <c r="D730" s="33"/>
    </row>
    <row r="731">
      <c r="A731" s="33"/>
      <c r="B731" s="33"/>
      <c r="C731" s="33"/>
      <c r="D731" s="33"/>
    </row>
    <row r="732">
      <c r="A732" s="33"/>
      <c r="B732" s="33"/>
      <c r="C732" s="33"/>
      <c r="D732" s="33"/>
    </row>
    <row r="733">
      <c r="A733" s="33"/>
      <c r="B733" s="33"/>
      <c r="C733" s="33"/>
      <c r="D733" s="33"/>
    </row>
    <row r="734">
      <c r="A734" s="33"/>
      <c r="B734" s="33"/>
      <c r="C734" s="33"/>
      <c r="D734" s="33"/>
    </row>
    <row r="735">
      <c r="A735" s="33"/>
      <c r="B735" s="33"/>
      <c r="C735" s="33"/>
      <c r="D735" s="33"/>
    </row>
    <row r="736">
      <c r="A736" s="33"/>
      <c r="B736" s="33"/>
      <c r="C736" s="33"/>
      <c r="D736" s="33"/>
    </row>
    <row r="737">
      <c r="A737" s="33"/>
      <c r="B737" s="33"/>
      <c r="C737" s="33"/>
      <c r="D737" s="33"/>
    </row>
    <row r="738">
      <c r="A738" s="33"/>
      <c r="B738" s="33"/>
      <c r="C738" s="33"/>
      <c r="D738" s="33"/>
    </row>
    <row r="739">
      <c r="A739" s="33"/>
      <c r="B739" s="33"/>
      <c r="C739" s="33"/>
      <c r="D739" s="33"/>
    </row>
    <row r="740">
      <c r="A740" s="33"/>
      <c r="B740" s="33"/>
      <c r="C740" s="33"/>
      <c r="D740" s="33"/>
    </row>
    <row r="741">
      <c r="A741" s="33"/>
      <c r="B741" s="33"/>
      <c r="C741" s="33"/>
      <c r="D741" s="33"/>
    </row>
    <row r="742">
      <c r="A742" s="33"/>
      <c r="B742" s="33"/>
      <c r="C742" s="33"/>
      <c r="D742" s="33"/>
    </row>
    <row r="743">
      <c r="A743" s="33"/>
      <c r="B743" s="33"/>
      <c r="C743" s="33"/>
      <c r="D743" s="33"/>
    </row>
    <row r="744">
      <c r="A744" s="33"/>
      <c r="B744" s="33"/>
      <c r="C744" s="33"/>
      <c r="D744" s="33"/>
    </row>
    <row r="745">
      <c r="A745" s="33"/>
      <c r="B745" s="33"/>
      <c r="C745" s="33"/>
      <c r="D745" s="33"/>
    </row>
    <row r="746">
      <c r="A746" s="33"/>
      <c r="B746" s="33"/>
      <c r="C746" s="33"/>
      <c r="D746" s="33"/>
    </row>
    <row r="747">
      <c r="A747" s="33"/>
      <c r="B747" s="33"/>
      <c r="C747" s="33"/>
      <c r="D747" s="33"/>
    </row>
    <row r="748">
      <c r="A748" s="33"/>
      <c r="B748" s="33"/>
      <c r="C748" s="33"/>
      <c r="D748" s="33"/>
    </row>
    <row r="749">
      <c r="A749" s="33"/>
      <c r="B749" s="33"/>
      <c r="C749" s="33"/>
      <c r="D749" s="33"/>
    </row>
    <row r="750">
      <c r="A750" s="33"/>
      <c r="B750" s="33"/>
      <c r="C750" s="33"/>
      <c r="D750" s="33"/>
    </row>
    <row r="751">
      <c r="A751" s="33"/>
      <c r="B751" s="33"/>
      <c r="C751" s="33"/>
      <c r="D751" s="33"/>
    </row>
    <row r="752">
      <c r="A752" s="33"/>
      <c r="B752" s="33"/>
      <c r="C752" s="33"/>
      <c r="D752" s="33"/>
    </row>
    <row r="753">
      <c r="A753" s="33"/>
      <c r="B753" s="33"/>
      <c r="C753" s="33"/>
      <c r="D753" s="33"/>
    </row>
    <row r="754">
      <c r="A754" s="33"/>
      <c r="B754" s="33"/>
      <c r="C754" s="33"/>
      <c r="D754" s="33"/>
    </row>
    <row r="755">
      <c r="A755" s="33"/>
      <c r="B755" s="33"/>
      <c r="C755" s="33"/>
      <c r="D755" s="33"/>
    </row>
    <row r="756">
      <c r="A756" s="33"/>
      <c r="B756" s="33"/>
      <c r="C756" s="33"/>
      <c r="D756" s="33"/>
    </row>
    <row r="757">
      <c r="A757" s="33"/>
      <c r="B757" s="33"/>
      <c r="C757" s="33"/>
      <c r="D757" s="33"/>
    </row>
    <row r="758">
      <c r="A758" s="33"/>
      <c r="B758" s="33"/>
      <c r="C758" s="33"/>
      <c r="D758" s="33"/>
    </row>
    <row r="759">
      <c r="A759" s="33"/>
      <c r="B759" s="33"/>
      <c r="C759" s="33"/>
      <c r="D759" s="33"/>
    </row>
    <row r="760">
      <c r="A760" s="33"/>
      <c r="B760" s="33"/>
      <c r="C760" s="33"/>
      <c r="D760" s="33"/>
    </row>
    <row r="761">
      <c r="A761" s="33"/>
      <c r="B761" s="33"/>
      <c r="C761" s="33"/>
      <c r="D761" s="33"/>
    </row>
    <row r="762">
      <c r="A762" s="33"/>
      <c r="B762" s="33"/>
      <c r="C762" s="33"/>
      <c r="D762" s="33"/>
    </row>
    <row r="763">
      <c r="A763" s="33"/>
      <c r="B763" s="33"/>
      <c r="C763" s="33"/>
      <c r="D763" s="33"/>
    </row>
    <row r="764">
      <c r="A764" s="33"/>
      <c r="B764" s="33"/>
      <c r="C764" s="33"/>
      <c r="D764" s="33"/>
    </row>
    <row r="765">
      <c r="A765" s="33"/>
      <c r="B765" s="33"/>
      <c r="C765" s="33"/>
      <c r="D765" s="33"/>
    </row>
    <row r="766">
      <c r="A766" s="33"/>
      <c r="B766" s="33"/>
      <c r="C766" s="33"/>
      <c r="D766" s="33"/>
    </row>
    <row r="767">
      <c r="A767" s="33"/>
      <c r="B767" s="33"/>
      <c r="C767" s="33"/>
      <c r="D767" s="33"/>
    </row>
    <row r="768">
      <c r="A768" s="33"/>
      <c r="B768" s="33"/>
      <c r="C768" s="33"/>
      <c r="D768" s="33"/>
    </row>
    <row r="769">
      <c r="A769" s="33"/>
      <c r="B769" s="33"/>
      <c r="C769" s="33"/>
      <c r="D769" s="33"/>
    </row>
    <row r="770">
      <c r="A770" s="33"/>
      <c r="B770" s="33"/>
      <c r="C770" s="33"/>
      <c r="D770" s="33"/>
    </row>
    <row r="771">
      <c r="A771" s="33"/>
      <c r="B771" s="33"/>
      <c r="C771" s="33"/>
      <c r="D771" s="33"/>
    </row>
    <row r="772">
      <c r="A772" s="33"/>
      <c r="B772" s="33"/>
      <c r="C772" s="33"/>
      <c r="D772" s="33"/>
    </row>
    <row r="773">
      <c r="A773" s="33"/>
      <c r="B773" s="33"/>
      <c r="C773" s="33"/>
      <c r="D773" s="33"/>
    </row>
    <row r="774">
      <c r="A774" s="33"/>
      <c r="B774" s="33"/>
      <c r="C774" s="33"/>
      <c r="D774" s="33"/>
    </row>
    <row r="775">
      <c r="A775" s="33"/>
      <c r="B775" s="33"/>
      <c r="C775" s="33"/>
      <c r="D775" s="33"/>
    </row>
    <row r="776">
      <c r="A776" s="33"/>
      <c r="B776" s="33"/>
      <c r="C776" s="33"/>
      <c r="D776" s="33"/>
    </row>
    <row r="777">
      <c r="A777" s="33"/>
      <c r="B777" s="33"/>
      <c r="C777" s="33"/>
      <c r="D777" s="33"/>
    </row>
    <row r="778">
      <c r="A778" s="33"/>
      <c r="B778" s="33"/>
      <c r="C778" s="33"/>
      <c r="D778" s="33"/>
    </row>
    <row r="779">
      <c r="A779" s="33"/>
      <c r="B779" s="33"/>
      <c r="C779" s="33"/>
      <c r="D779" s="33"/>
    </row>
    <row r="780">
      <c r="A780" s="33"/>
      <c r="B780" s="33"/>
      <c r="C780" s="33"/>
      <c r="D780" s="33"/>
    </row>
    <row r="781">
      <c r="A781" s="33"/>
      <c r="B781" s="33"/>
      <c r="C781" s="33"/>
      <c r="D781" s="33"/>
    </row>
    <row r="782">
      <c r="A782" s="33"/>
      <c r="B782" s="33"/>
      <c r="C782" s="33"/>
      <c r="D782" s="33"/>
    </row>
    <row r="783">
      <c r="A783" s="33"/>
      <c r="B783" s="33"/>
      <c r="C783" s="33"/>
      <c r="D783" s="33"/>
    </row>
    <row r="784">
      <c r="A784" s="33"/>
      <c r="B784" s="33"/>
      <c r="C784" s="33"/>
      <c r="D784" s="33"/>
    </row>
    <row r="785">
      <c r="A785" s="33"/>
      <c r="B785" s="33"/>
      <c r="C785" s="33"/>
      <c r="D785" s="33"/>
    </row>
    <row r="786">
      <c r="A786" s="33"/>
      <c r="B786" s="33"/>
      <c r="C786" s="33"/>
      <c r="D786" s="33"/>
    </row>
    <row r="787">
      <c r="A787" s="33"/>
      <c r="B787" s="33"/>
      <c r="C787" s="33"/>
      <c r="D787" s="33"/>
    </row>
    <row r="788">
      <c r="A788" s="33"/>
      <c r="B788" s="33"/>
      <c r="C788" s="33"/>
      <c r="D788" s="33"/>
    </row>
    <row r="789">
      <c r="A789" s="33"/>
      <c r="B789" s="33"/>
      <c r="C789" s="33"/>
      <c r="D789" s="33"/>
    </row>
    <row r="790">
      <c r="A790" s="33"/>
      <c r="B790" s="33"/>
      <c r="C790" s="33"/>
      <c r="D790" s="33"/>
    </row>
    <row r="791">
      <c r="A791" s="33"/>
      <c r="B791" s="33"/>
      <c r="C791" s="33"/>
      <c r="D791" s="33"/>
    </row>
    <row r="792">
      <c r="A792" s="33"/>
      <c r="B792" s="33"/>
      <c r="C792" s="33"/>
      <c r="D792" s="33"/>
    </row>
    <row r="793">
      <c r="A793" s="33"/>
      <c r="B793" s="33"/>
      <c r="C793" s="33"/>
      <c r="D793" s="33"/>
    </row>
    <row r="794">
      <c r="A794" s="33"/>
      <c r="B794" s="33"/>
      <c r="C794" s="33"/>
      <c r="D794" s="33"/>
    </row>
    <row r="795">
      <c r="A795" s="33"/>
      <c r="B795" s="33"/>
      <c r="C795" s="33"/>
      <c r="D795" s="33"/>
    </row>
    <row r="796">
      <c r="A796" s="33"/>
      <c r="B796" s="33"/>
      <c r="C796" s="33"/>
      <c r="D796" s="33"/>
    </row>
    <row r="797">
      <c r="A797" s="33"/>
      <c r="B797" s="33"/>
      <c r="C797" s="33"/>
      <c r="D797" s="33"/>
    </row>
    <row r="798">
      <c r="A798" s="33"/>
      <c r="B798" s="33"/>
      <c r="C798" s="33"/>
      <c r="D798" s="33"/>
    </row>
    <row r="799">
      <c r="A799" s="33"/>
      <c r="B799" s="33"/>
      <c r="C799" s="33"/>
      <c r="D799" s="33"/>
    </row>
    <row r="800">
      <c r="A800" s="33"/>
      <c r="B800" s="33"/>
      <c r="C800" s="33"/>
      <c r="D800" s="33"/>
    </row>
    <row r="801">
      <c r="A801" s="33"/>
      <c r="B801" s="33"/>
      <c r="C801" s="33"/>
      <c r="D801" s="33"/>
    </row>
    <row r="802">
      <c r="A802" s="33"/>
      <c r="B802" s="33"/>
      <c r="C802" s="33"/>
      <c r="D802" s="33"/>
    </row>
    <row r="803">
      <c r="A803" s="33"/>
      <c r="B803" s="33"/>
      <c r="C803" s="33"/>
      <c r="D803" s="33"/>
    </row>
    <row r="804">
      <c r="A804" s="33"/>
      <c r="B804" s="33"/>
      <c r="C804" s="33"/>
      <c r="D804" s="33"/>
    </row>
    <row r="805">
      <c r="A805" s="33"/>
      <c r="B805" s="33"/>
      <c r="C805" s="33"/>
      <c r="D805" s="33"/>
    </row>
    <row r="806">
      <c r="A806" s="33"/>
      <c r="B806" s="33"/>
      <c r="C806" s="33"/>
      <c r="D806" s="33"/>
    </row>
    <row r="807">
      <c r="A807" s="33"/>
      <c r="B807" s="33"/>
      <c r="C807" s="33"/>
      <c r="D807" s="33"/>
    </row>
    <row r="808">
      <c r="A808" s="33"/>
      <c r="B808" s="33"/>
      <c r="C808" s="33"/>
      <c r="D808" s="33"/>
    </row>
    <row r="809">
      <c r="A809" s="33"/>
      <c r="B809" s="33"/>
      <c r="C809" s="33"/>
      <c r="D809" s="33"/>
    </row>
    <row r="810">
      <c r="A810" s="33"/>
      <c r="B810" s="33"/>
      <c r="C810" s="33"/>
      <c r="D810" s="33"/>
    </row>
    <row r="811">
      <c r="A811" s="33"/>
      <c r="B811" s="33"/>
      <c r="C811" s="33"/>
      <c r="D811" s="33"/>
    </row>
    <row r="812">
      <c r="A812" s="33"/>
      <c r="B812" s="33"/>
      <c r="C812" s="33"/>
      <c r="D812" s="33"/>
    </row>
    <row r="813">
      <c r="A813" s="33"/>
      <c r="B813" s="33"/>
      <c r="C813" s="33"/>
      <c r="D813" s="33"/>
    </row>
    <row r="814">
      <c r="A814" s="33"/>
      <c r="B814" s="33"/>
      <c r="C814" s="33"/>
      <c r="D814" s="33"/>
    </row>
    <row r="815">
      <c r="A815" s="33"/>
      <c r="B815" s="33"/>
      <c r="C815" s="33"/>
      <c r="D815" s="33"/>
    </row>
    <row r="816">
      <c r="A816" s="33"/>
      <c r="B816" s="33"/>
      <c r="C816" s="33"/>
      <c r="D816" s="33"/>
    </row>
    <row r="817">
      <c r="A817" s="33"/>
      <c r="B817" s="33"/>
      <c r="C817" s="33"/>
      <c r="D817" s="33"/>
    </row>
    <row r="818">
      <c r="A818" s="33"/>
      <c r="B818" s="33"/>
      <c r="C818" s="33"/>
      <c r="D818" s="33"/>
    </row>
    <row r="819">
      <c r="A819" s="33"/>
      <c r="B819" s="33"/>
      <c r="C819" s="33"/>
      <c r="D819" s="33"/>
    </row>
    <row r="820">
      <c r="A820" s="33"/>
      <c r="B820" s="33"/>
      <c r="C820" s="33"/>
      <c r="D820" s="33"/>
    </row>
    <row r="821">
      <c r="A821" s="33"/>
      <c r="B821" s="33"/>
      <c r="C821" s="33"/>
      <c r="D821" s="33"/>
    </row>
    <row r="822">
      <c r="A822" s="33"/>
      <c r="B822" s="33"/>
      <c r="C822" s="33"/>
      <c r="D822" s="33"/>
    </row>
    <row r="823">
      <c r="A823" s="33"/>
      <c r="B823" s="33"/>
      <c r="C823" s="33"/>
      <c r="D823" s="33"/>
    </row>
    <row r="824">
      <c r="A824" s="33"/>
      <c r="B824" s="33"/>
      <c r="C824" s="33"/>
      <c r="D824" s="33"/>
    </row>
    <row r="825">
      <c r="A825" s="33"/>
      <c r="B825" s="33"/>
      <c r="C825" s="33"/>
      <c r="D825" s="33"/>
    </row>
    <row r="826">
      <c r="A826" s="33"/>
      <c r="B826" s="33"/>
      <c r="C826" s="33"/>
      <c r="D826" s="33"/>
    </row>
    <row r="827">
      <c r="A827" s="33"/>
      <c r="B827" s="33"/>
      <c r="C827" s="33"/>
      <c r="D827" s="33"/>
    </row>
    <row r="828">
      <c r="A828" s="33"/>
      <c r="B828" s="33"/>
      <c r="C828" s="33"/>
      <c r="D828" s="33"/>
    </row>
    <row r="829">
      <c r="A829" s="33"/>
      <c r="B829" s="33"/>
      <c r="C829" s="33"/>
      <c r="D829" s="33"/>
    </row>
    <row r="830">
      <c r="A830" s="33"/>
      <c r="B830" s="33"/>
      <c r="C830" s="33"/>
      <c r="D830" s="33"/>
    </row>
    <row r="831">
      <c r="A831" s="33"/>
      <c r="B831" s="33"/>
      <c r="C831" s="33"/>
      <c r="D831" s="33"/>
    </row>
    <row r="832">
      <c r="A832" s="33"/>
      <c r="B832" s="33"/>
      <c r="C832" s="33"/>
      <c r="D832" s="33"/>
    </row>
    <row r="833">
      <c r="A833" s="33"/>
      <c r="B833" s="33"/>
      <c r="C833" s="33"/>
      <c r="D833" s="33"/>
    </row>
    <row r="834">
      <c r="A834" s="33"/>
      <c r="B834" s="33"/>
      <c r="C834" s="33"/>
      <c r="D834" s="33"/>
    </row>
    <row r="835">
      <c r="A835" s="33"/>
      <c r="B835" s="33"/>
      <c r="C835" s="33"/>
      <c r="D835" s="33"/>
    </row>
    <row r="836">
      <c r="A836" s="33"/>
      <c r="B836" s="33"/>
      <c r="C836" s="33"/>
      <c r="D836" s="33"/>
    </row>
    <row r="837">
      <c r="A837" s="33"/>
      <c r="B837" s="33"/>
      <c r="C837" s="33"/>
      <c r="D837" s="33"/>
    </row>
    <row r="838">
      <c r="A838" s="33"/>
      <c r="B838" s="33"/>
      <c r="C838" s="33"/>
      <c r="D838" s="33"/>
    </row>
    <row r="839">
      <c r="A839" s="33"/>
      <c r="B839" s="33"/>
      <c r="C839" s="33"/>
      <c r="D839" s="33"/>
    </row>
    <row r="840">
      <c r="A840" s="33"/>
      <c r="B840" s="33"/>
      <c r="C840" s="33"/>
      <c r="D840" s="33"/>
    </row>
    <row r="841">
      <c r="A841" s="33"/>
      <c r="B841" s="33"/>
      <c r="C841" s="33"/>
      <c r="D841" s="33"/>
    </row>
    <row r="842">
      <c r="A842" s="33"/>
      <c r="B842" s="33"/>
      <c r="C842" s="33"/>
      <c r="D842" s="33"/>
    </row>
    <row r="843">
      <c r="A843" s="33"/>
      <c r="B843" s="33"/>
      <c r="C843" s="33"/>
      <c r="D843" s="33"/>
    </row>
    <row r="844">
      <c r="A844" s="33"/>
      <c r="B844" s="33"/>
      <c r="C844" s="33"/>
      <c r="D844" s="33"/>
    </row>
    <row r="845">
      <c r="A845" s="33"/>
      <c r="B845" s="33"/>
      <c r="C845" s="33"/>
      <c r="D845" s="33"/>
    </row>
    <row r="846">
      <c r="A846" s="33"/>
      <c r="B846" s="33"/>
      <c r="C846" s="33"/>
      <c r="D846" s="33"/>
    </row>
    <row r="847">
      <c r="A847" s="33"/>
      <c r="B847" s="33"/>
      <c r="C847" s="33"/>
      <c r="D847" s="33"/>
    </row>
    <row r="848">
      <c r="A848" s="33"/>
      <c r="B848" s="33"/>
      <c r="C848" s="33"/>
      <c r="D848" s="33"/>
    </row>
    <row r="849">
      <c r="A849" s="33"/>
      <c r="B849" s="33"/>
      <c r="C849" s="33"/>
      <c r="D849" s="33"/>
    </row>
    <row r="850">
      <c r="A850" s="33"/>
      <c r="B850" s="33"/>
      <c r="C850" s="33"/>
      <c r="D850" s="33"/>
    </row>
    <row r="851">
      <c r="A851" s="33"/>
      <c r="B851" s="33"/>
      <c r="C851" s="33"/>
      <c r="D851" s="33"/>
    </row>
    <row r="852">
      <c r="A852" s="33"/>
      <c r="B852" s="33"/>
      <c r="C852" s="33"/>
      <c r="D852" s="33"/>
    </row>
    <row r="853">
      <c r="A853" s="33"/>
      <c r="B853" s="33"/>
      <c r="C853" s="33"/>
      <c r="D853" s="33"/>
    </row>
    <row r="854">
      <c r="A854" s="33"/>
      <c r="B854" s="33"/>
      <c r="C854" s="33"/>
      <c r="D854" s="33"/>
    </row>
    <row r="855">
      <c r="A855" s="33"/>
      <c r="B855" s="33"/>
      <c r="C855" s="33"/>
      <c r="D855" s="33"/>
    </row>
    <row r="856">
      <c r="A856" s="33"/>
      <c r="B856" s="33"/>
      <c r="C856" s="33"/>
      <c r="D856" s="33"/>
    </row>
    <row r="857">
      <c r="A857" s="33"/>
      <c r="B857" s="33"/>
      <c r="C857" s="33"/>
      <c r="D857" s="33"/>
    </row>
    <row r="858">
      <c r="A858" s="33"/>
      <c r="B858" s="33"/>
      <c r="C858" s="33"/>
      <c r="D858" s="33"/>
    </row>
    <row r="859">
      <c r="A859" s="33"/>
      <c r="B859" s="33"/>
      <c r="C859" s="33"/>
      <c r="D859" s="33"/>
    </row>
    <row r="860">
      <c r="A860" s="33"/>
      <c r="B860" s="33"/>
      <c r="C860" s="33"/>
      <c r="D860" s="33"/>
    </row>
    <row r="861">
      <c r="A861" s="33"/>
      <c r="B861" s="33"/>
      <c r="C861" s="33"/>
      <c r="D861" s="33"/>
    </row>
    <row r="862">
      <c r="A862" s="33"/>
      <c r="B862" s="33"/>
      <c r="C862" s="33"/>
      <c r="D862" s="33"/>
    </row>
    <row r="863">
      <c r="A863" s="33"/>
      <c r="B863" s="33"/>
      <c r="C863" s="33"/>
      <c r="D863" s="33"/>
    </row>
    <row r="864">
      <c r="A864" s="33"/>
      <c r="B864" s="33"/>
      <c r="C864" s="33"/>
      <c r="D864" s="33"/>
    </row>
    <row r="865">
      <c r="A865" s="33"/>
      <c r="B865" s="33"/>
      <c r="C865" s="33"/>
      <c r="D865" s="33"/>
    </row>
    <row r="866">
      <c r="A866" s="33"/>
      <c r="B866" s="33"/>
      <c r="C866" s="33"/>
      <c r="D866" s="33"/>
    </row>
    <row r="867">
      <c r="A867" s="33"/>
      <c r="B867" s="33"/>
      <c r="C867" s="33"/>
      <c r="D867" s="33"/>
    </row>
    <row r="868">
      <c r="A868" s="33"/>
      <c r="B868" s="33"/>
      <c r="C868" s="33"/>
      <c r="D868" s="33"/>
    </row>
    <row r="869">
      <c r="A869" s="33"/>
      <c r="B869" s="33"/>
      <c r="C869" s="33"/>
      <c r="D869" s="33"/>
    </row>
    <row r="870">
      <c r="A870" s="33"/>
      <c r="B870" s="33"/>
      <c r="C870" s="33"/>
      <c r="D870" s="33"/>
    </row>
    <row r="871">
      <c r="A871" s="33"/>
      <c r="B871" s="33"/>
      <c r="C871" s="33"/>
      <c r="D871" s="33"/>
    </row>
    <row r="872">
      <c r="A872" s="33"/>
      <c r="B872" s="33"/>
      <c r="C872" s="33"/>
      <c r="D872" s="33"/>
    </row>
    <row r="873">
      <c r="A873" s="33"/>
      <c r="B873" s="33"/>
      <c r="C873" s="33"/>
      <c r="D873" s="33"/>
    </row>
    <row r="874">
      <c r="A874" s="33"/>
      <c r="B874" s="33"/>
      <c r="C874" s="33"/>
      <c r="D874" s="33"/>
    </row>
    <row r="875">
      <c r="A875" s="33"/>
      <c r="B875" s="33"/>
      <c r="C875" s="33"/>
      <c r="D875" s="33"/>
    </row>
    <row r="876">
      <c r="A876" s="33"/>
      <c r="B876" s="33"/>
      <c r="C876" s="33"/>
      <c r="D876" s="33"/>
    </row>
    <row r="877">
      <c r="A877" s="33"/>
      <c r="B877" s="33"/>
      <c r="C877" s="33"/>
      <c r="D877" s="33"/>
    </row>
    <row r="878">
      <c r="A878" s="33"/>
      <c r="B878" s="33"/>
      <c r="C878" s="33"/>
      <c r="D878" s="33"/>
    </row>
    <row r="879">
      <c r="A879" s="33"/>
      <c r="B879" s="33"/>
      <c r="C879" s="33"/>
      <c r="D879" s="33"/>
    </row>
    <row r="880">
      <c r="A880" s="33"/>
      <c r="B880" s="33"/>
      <c r="C880" s="33"/>
      <c r="D880" s="33"/>
    </row>
    <row r="881">
      <c r="A881" s="33"/>
      <c r="B881" s="33"/>
      <c r="C881" s="33"/>
      <c r="D881" s="33"/>
    </row>
    <row r="882">
      <c r="A882" s="33"/>
      <c r="B882" s="33"/>
      <c r="C882" s="33"/>
      <c r="D882" s="33"/>
    </row>
    <row r="883">
      <c r="A883" s="33"/>
      <c r="B883" s="33"/>
      <c r="C883" s="33"/>
      <c r="D883" s="33"/>
    </row>
    <row r="884">
      <c r="A884" s="33"/>
      <c r="B884" s="33"/>
      <c r="C884" s="33"/>
      <c r="D884" s="33"/>
    </row>
    <row r="885">
      <c r="A885" s="33"/>
      <c r="B885" s="33"/>
      <c r="C885" s="33"/>
      <c r="D885" s="33"/>
    </row>
    <row r="886">
      <c r="A886" s="33"/>
      <c r="B886" s="33"/>
      <c r="C886" s="33"/>
      <c r="D886" s="33"/>
    </row>
    <row r="887">
      <c r="A887" s="33"/>
      <c r="B887" s="33"/>
      <c r="C887" s="33"/>
      <c r="D887" s="33"/>
    </row>
    <row r="888">
      <c r="A888" s="33"/>
      <c r="B888" s="33"/>
      <c r="C888" s="33"/>
      <c r="D888" s="33"/>
    </row>
    <row r="889">
      <c r="A889" s="33"/>
      <c r="B889" s="33"/>
      <c r="C889" s="33"/>
      <c r="D889" s="33"/>
    </row>
    <row r="890">
      <c r="A890" s="33"/>
      <c r="B890" s="33"/>
      <c r="C890" s="33"/>
      <c r="D890" s="33"/>
    </row>
    <row r="891">
      <c r="A891" s="33"/>
      <c r="B891" s="33"/>
      <c r="C891" s="33"/>
      <c r="D891" s="33"/>
    </row>
    <row r="892">
      <c r="A892" s="33"/>
      <c r="B892" s="33"/>
      <c r="C892" s="33"/>
      <c r="D892" s="33"/>
    </row>
    <row r="893">
      <c r="A893" s="33"/>
      <c r="B893" s="33"/>
      <c r="C893" s="33"/>
      <c r="D893" s="33"/>
    </row>
    <row r="894">
      <c r="A894" s="33"/>
      <c r="B894" s="33"/>
      <c r="C894" s="33"/>
      <c r="D894" s="33"/>
    </row>
    <row r="895">
      <c r="A895" s="33"/>
      <c r="B895" s="33"/>
      <c r="C895" s="33"/>
      <c r="D895" s="33"/>
    </row>
    <row r="896">
      <c r="A896" s="33"/>
      <c r="B896" s="33"/>
      <c r="C896" s="33"/>
      <c r="D896" s="33"/>
    </row>
    <row r="897">
      <c r="A897" s="33"/>
      <c r="B897" s="33"/>
      <c r="C897" s="33"/>
      <c r="D897" s="33"/>
    </row>
    <row r="898">
      <c r="A898" s="33"/>
      <c r="B898" s="33"/>
      <c r="C898" s="33"/>
      <c r="D898" s="33"/>
    </row>
    <row r="899">
      <c r="A899" s="33"/>
      <c r="B899" s="33"/>
      <c r="C899" s="33"/>
      <c r="D899" s="33"/>
    </row>
    <row r="900">
      <c r="A900" s="33"/>
      <c r="B900" s="33"/>
      <c r="C900" s="33"/>
      <c r="D900" s="33"/>
    </row>
    <row r="901">
      <c r="A901" s="33"/>
      <c r="B901" s="33"/>
      <c r="C901" s="33"/>
      <c r="D901" s="33"/>
    </row>
    <row r="902">
      <c r="A902" s="33"/>
      <c r="B902" s="33"/>
      <c r="C902" s="33"/>
      <c r="D902" s="33"/>
    </row>
    <row r="903">
      <c r="A903" s="33"/>
      <c r="B903" s="33"/>
      <c r="C903" s="33"/>
      <c r="D903" s="33"/>
    </row>
    <row r="904">
      <c r="A904" s="33"/>
      <c r="B904" s="33"/>
      <c r="C904" s="33"/>
      <c r="D904" s="33"/>
    </row>
    <row r="905">
      <c r="A905" s="33"/>
      <c r="B905" s="33"/>
      <c r="C905" s="33"/>
      <c r="D905" s="33"/>
    </row>
    <row r="906">
      <c r="A906" s="33"/>
      <c r="B906" s="33"/>
      <c r="C906" s="33"/>
      <c r="D906" s="33"/>
    </row>
    <row r="907">
      <c r="A907" s="33"/>
      <c r="B907" s="33"/>
      <c r="C907" s="33"/>
      <c r="D907" s="33"/>
    </row>
    <row r="908">
      <c r="A908" s="33"/>
      <c r="B908" s="33"/>
      <c r="C908" s="33"/>
      <c r="D908" s="33"/>
    </row>
    <row r="909">
      <c r="A909" s="33"/>
      <c r="B909" s="33"/>
      <c r="C909" s="33"/>
      <c r="D909" s="33"/>
    </row>
    <row r="910">
      <c r="A910" s="33"/>
      <c r="B910" s="33"/>
      <c r="C910" s="33"/>
      <c r="D910" s="33"/>
    </row>
    <row r="911">
      <c r="A911" s="33"/>
      <c r="B911" s="33"/>
      <c r="C911" s="33"/>
      <c r="D911" s="33"/>
    </row>
    <row r="912">
      <c r="A912" s="33"/>
      <c r="B912" s="33"/>
      <c r="C912" s="33"/>
      <c r="D912" s="33"/>
    </row>
    <row r="913">
      <c r="A913" s="33"/>
      <c r="B913" s="33"/>
      <c r="C913" s="33"/>
      <c r="D913" s="33"/>
    </row>
    <row r="914">
      <c r="A914" s="33"/>
      <c r="B914" s="33"/>
      <c r="C914" s="33"/>
      <c r="D914" s="33"/>
    </row>
    <row r="915">
      <c r="A915" s="33"/>
      <c r="B915" s="33"/>
      <c r="C915" s="33"/>
      <c r="D915" s="33"/>
    </row>
    <row r="916">
      <c r="A916" s="33"/>
      <c r="B916" s="33"/>
      <c r="C916" s="33"/>
      <c r="D916" s="33"/>
    </row>
    <row r="917">
      <c r="A917" s="33"/>
      <c r="B917" s="33"/>
      <c r="C917" s="33"/>
      <c r="D917" s="33"/>
    </row>
    <row r="918">
      <c r="A918" s="33"/>
      <c r="B918" s="33"/>
      <c r="C918" s="33"/>
      <c r="D918" s="33"/>
    </row>
    <row r="919">
      <c r="A919" s="33"/>
      <c r="B919" s="33"/>
      <c r="C919" s="33"/>
      <c r="D919" s="33"/>
    </row>
    <row r="920">
      <c r="A920" s="33"/>
      <c r="B920" s="33"/>
      <c r="C920" s="33"/>
      <c r="D920" s="33"/>
    </row>
    <row r="921">
      <c r="A921" s="33"/>
      <c r="B921" s="33"/>
      <c r="C921" s="33"/>
      <c r="D921" s="33"/>
    </row>
    <row r="922">
      <c r="A922" s="33"/>
      <c r="B922" s="33"/>
      <c r="C922" s="33"/>
      <c r="D922" s="33"/>
    </row>
    <row r="923">
      <c r="A923" s="33"/>
      <c r="B923" s="33"/>
      <c r="C923" s="33"/>
      <c r="D923" s="33"/>
    </row>
    <row r="924">
      <c r="A924" s="33"/>
      <c r="B924" s="33"/>
      <c r="C924" s="33"/>
      <c r="D924" s="33"/>
    </row>
    <row r="925">
      <c r="A925" s="33"/>
      <c r="B925" s="33"/>
      <c r="C925" s="33"/>
      <c r="D925" s="33"/>
    </row>
    <row r="926">
      <c r="A926" s="33"/>
      <c r="B926" s="33"/>
      <c r="C926" s="33"/>
      <c r="D926" s="33"/>
    </row>
    <row r="927">
      <c r="A927" s="33"/>
      <c r="B927" s="33"/>
      <c r="C927" s="33"/>
      <c r="D927" s="33"/>
    </row>
    <row r="928">
      <c r="A928" s="33"/>
      <c r="B928" s="33"/>
      <c r="C928" s="33"/>
      <c r="D928" s="33"/>
    </row>
    <row r="929">
      <c r="A929" s="33"/>
      <c r="B929" s="33"/>
      <c r="C929" s="33"/>
      <c r="D929" s="33"/>
    </row>
    <row r="930">
      <c r="A930" s="33"/>
      <c r="B930" s="33"/>
      <c r="C930" s="33"/>
      <c r="D930" s="33"/>
    </row>
    <row r="931">
      <c r="A931" s="33"/>
      <c r="B931" s="33"/>
      <c r="C931" s="33"/>
      <c r="D931" s="33"/>
    </row>
    <row r="932">
      <c r="A932" s="33"/>
      <c r="B932" s="33"/>
      <c r="C932" s="33"/>
      <c r="D932" s="33"/>
    </row>
    <row r="933">
      <c r="A933" s="33"/>
      <c r="B933" s="33"/>
      <c r="C933" s="33"/>
      <c r="D933" s="33"/>
    </row>
    <row r="934">
      <c r="A934" s="33"/>
      <c r="B934" s="33"/>
      <c r="C934" s="33"/>
      <c r="D934" s="33"/>
    </row>
    <row r="935">
      <c r="A935" s="33"/>
      <c r="B935" s="33"/>
      <c r="C935" s="33"/>
      <c r="D935" s="33"/>
    </row>
    <row r="936">
      <c r="A936" s="33"/>
      <c r="B936" s="33"/>
      <c r="C936" s="33"/>
      <c r="D936" s="33"/>
    </row>
    <row r="937">
      <c r="A937" s="33"/>
      <c r="B937" s="33"/>
      <c r="C937" s="33"/>
      <c r="D937" s="33"/>
    </row>
    <row r="938">
      <c r="A938" s="33"/>
      <c r="B938" s="33"/>
      <c r="C938" s="33"/>
      <c r="D938" s="33"/>
    </row>
    <row r="939">
      <c r="A939" s="33"/>
      <c r="B939" s="33"/>
      <c r="C939" s="33"/>
      <c r="D939" s="33"/>
    </row>
    <row r="940">
      <c r="A940" s="33"/>
      <c r="B940" s="33"/>
      <c r="C940" s="33"/>
      <c r="D940" s="33"/>
    </row>
    <row r="941">
      <c r="A941" s="33"/>
      <c r="B941" s="33"/>
      <c r="C941" s="33"/>
      <c r="D941" s="33"/>
    </row>
    <row r="942">
      <c r="A942" s="33"/>
      <c r="B942" s="33"/>
      <c r="C942" s="33"/>
      <c r="D942" s="33"/>
    </row>
    <row r="943">
      <c r="A943" s="33"/>
      <c r="B943" s="33"/>
      <c r="C943" s="33"/>
      <c r="D943" s="33"/>
    </row>
    <row r="944">
      <c r="A944" s="33"/>
      <c r="B944" s="33"/>
      <c r="C944" s="33"/>
      <c r="D944" s="33"/>
    </row>
    <row r="945">
      <c r="A945" s="33"/>
      <c r="B945" s="33"/>
      <c r="C945" s="33"/>
      <c r="D945" s="33"/>
    </row>
    <row r="946">
      <c r="A946" s="33"/>
      <c r="B946" s="33"/>
      <c r="C946" s="33"/>
      <c r="D946" s="33"/>
    </row>
    <row r="947">
      <c r="A947" s="33"/>
      <c r="B947" s="33"/>
      <c r="C947" s="33"/>
      <c r="D947" s="33"/>
    </row>
    <row r="948">
      <c r="A948" s="33"/>
      <c r="B948" s="33"/>
      <c r="C948" s="33"/>
      <c r="D948" s="33"/>
    </row>
    <row r="949">
      <c r="A949" s="33"/>
      <c r="B949" s="33"/>
      <c r="C949" s="33"/>
      <c r="D949" s="33"/>
    </row>
    <row r="950">
      <c r="A950" s="33"/>
      <c r="B950" s="33"/>
      <c r="C950" s="33"/>
      <c r="D950" s="33"/>
    </row>
    <row r="951">
      <c r="A951" s="33"/>
      <c r="B951" s="33"/>
      <c r="C951" s="33"/>
      <c r="D951" s="33"/>
    </row>
    <row r="952">
      <c r="A952" s="33"/>
      <c r="B952" s="33"/>
      <c r="C952" s="33"/>
      <c r="D952" s="33"/>
    </row>
    <row r="953">
      <c r="A953" s="33"/>
      <c r="B953" s="33"/>
      <c r="C953" s="33"/>
      <c r="D953" s="33"/>
    </row>
    <row r="954">
      <c r="A954" s="33"/>
      <c r="B954" s="33"/>
      <c r="C954" s="33"/>
      <c r="D954" s="33"/>
    </row>
    <row r="955">
      <c r="A955" s="33"/>
      <c r="B955" s="33"/>
      <c r="C955" s="33"/>
      <c r="D955" s="33"/>
    </row>
    <row r="956">
      <c r="A956" s="33"/>
      <c r="B956" s="33"/>
      <c r="C956" s="33"/>
      <c r="D956" s="33"/>
    </row>
    <row r="957">
      <c r="A957" s="33"/>
      <c r="B957" s="33"/>
      <c r="C957" s="33"/>
      <c r="D957" s="33"/>
    </row>
    <row r="958">
      <c r="A958" s="33"/>
      <c r="B958" s="33"/>
      <c r="C958" s="33"/>
      <c r="D958" s="33"/>
    </row>
    <row r="959">
      <c r="A959" s="33"/>
      <c r="B959" s="33"/>
      <c r="C959" s="33"/>
      <c r="D959" s="33"/>
    </row>
    <row r="960">
      <c r="A960" s="33"/>
      <c r="B960" s="33"/>
      <c r="C960" s="33"/>
      <c r="D960" s="33"/>
    </row>
    <row r="961">
      <c r="A961" s="33"/>
      <c r="B961" s="33"/>
      <c r="C961" s="33"/>
      <c r="D961" s="33"/>
    </row>
    <row r="962">
      <c r="A962" s="33"/>
      <c r="B962" s="33"/>
      <c r="C962" s="33"/>
      <c r="D962" s="33"/>
    </row>
    <row r="963">
      <c r="A963" s="33"/>
      <c r="B963" s="33"/>
      <c r="C963" s="33"/>
      <c r="D963" s="33"/>
    </row>
    <row r="964">
      <c r="A964" s="33"/>
      <c r="B964" s="33"/>
      <c r="C964" s="33"/>
      <c r="D964" s="33"/>
    </row>
    <row r="965">
      <c r="A965" s="33"/>
      <c r="B965" s="33"/>
      <c r="C965" s="33"/>
      <c r="D965" s="33"/>
    </row>
    <row r="966">
      <c r="A966" s="33"/>
      <c r="B966" s="33"/>
      <c r="C966" s="33"/>
      <c r="D966" s="33"/>
    </row>
    <row r="967">
      <c r="A967" s="33"/>
      <c r="B967" s="33"/>
      <c r="C967" s="33"/>
      <c r="D967" s="33"/>
    </row>
    <row r="968">
      <c r="A968" s="33"/>
      <c r="B968" s="33"/>
      <c r="C968" s="33"/>
      <c r="D968" s="33"/>
    </row>
    <row r="969">
      <c r="A969" s="33"/>
      <c r="B969" s="33"/>
      <c r="C969" s="33"/>
      <c r="D969" s="33"/>
    </row>
    <row r="970">
      <c r="A970" s="33"/>
      <c r="B970" s="33"/>
      <c r="C970" s="33"/>
      <c r="D970" s="33"/>
    </row>
    <row r="971">
      <c r="A971" s="33"/>
      <c r="B971" s="33"/>
      <c r="C971" s="33"/>
      <c r="D971" s="33"/>
    </row>
    <row r="972">
      <c r="A972" s="33"/>
      <c r="B972" s="33"/>
      <c r="C972" s="33"/>
      <c r="D972" s="33"/>
    </row>
    <row r="973">
      <c r="A973" s="33"/>
      <c r="B973" s="33"/>
      <c r="C973" s="33"/>
      <c r="D973" s="33"/>
    </row>
    <row r="974">
      <c r="A974" s="33"/>
      <c r="B974" s="33"/>
      <c r="C974" s="33"/>
      <c r="D974" s="33"/>
    </row>
    <row r="975">
      <c r="A975" s="33"/>
      <c r="B975" s="33"/>
      <c r="C975" s="33"/>
      <c r="D975" s="33"/>
    </row>
    <row r="976">
      <c r="A976" s="33"/>
      <c r="B976" s="33"/>
      <c r="C976" s="33"/>
      <c r="D976" s="33"/>
    </row>
    <row r="977">
      <c r="A977" s="33"/>
      <c r="B977" s="33"/>
      <c r="C977" s="33"/>
      <c r="D977" s="33"/>
    </row>
    <row r="978">
      <c r="A978" s="33"/>
      <c r="B978" s="33"/>
      <c r="C978" s="33"/>
      <c r="D978" s="33"/>
    </row>
    <row r="979">
      <c r="A979" s="33"/>
      <c r="B979" s="33"/>
      <c r="C979" s="33"/>
      <c r="D979" s="33"/>
    </row>
    <row r="980">
      <c r="A980" s="33"/>
      <c r="B980" s="33"/>
      <c r="C980" s="33"/>
      <c r="D980" s="33"/>
    </row>
    <row r="981">
      <c r="A981" s="33"/>
      <c r="B981" s="33"/>
      <c r="C981" s="33"/>
      <c r="D981" s="33"/>
    </row>
    <row r="982">
      <c r="A982" s="33"/>
      <c r="B982" s="33"/>
      <c r="C982" s="33"/>
      <c r="D982" s="33"/>
    </row>
    <row r="983">
      <c r="A983" s="33"/>
      <c r="B983" s="33"/>
      <c r="C983" s="33"/>
      <c r="D983" s="33"/>
    </row>
    <row r="984">
      <c r="A984" s="33"/>
      <c r="B984" s="33"/>
      <c r="C984" s="33"/>
      <c r="D984" s="33"/>
    </row>
    <row r="985">
      <c r="A985" s="33"/>
      <c r="B985" s="33"/>
      <c r="C985" s="33"/>
      <c r="D985" s="33"/>
    </row>
    <row r="986">
      <c r="A986" s="33"/>
      <c r="B986" s="33"/>
      <c r="C986" s="33"/>
      <c r="D986" s="33"/>
    </row>
    <row r="987">
      <c r="A987" s="33"/>
      <c r="B987" s="33"/>
      <c r="C987" s="33"/>
      <c r="D987" s="33"/>
    </row>
    <row r="988">
      <c r="A988" s="33"/>
      <c r="B988" s="33"/>
      <c r="C988" s="33"/>
      <c r="D988" s="33"/>
    </row>
    <row r="989">
      <c r="A989" s="33"/>
      <c r="B989" s="33"/>
      <c r="C989" s="33"/>
      <c r="D989" s="33"/>
    </row>
    <row r="990">
      <c r="A990" s="33"/>
      <c r="B990" s="33"/>
      <c r="C990" s="33"/>
      <c r="D990" s="33"/>
    </row>
    <row r="991">
      <c r="A991" s="33"/>
      <c r="B991" s="33"/>
      <c r="C991" s="33"/>
      <c r="D991" s="33"/>
    </row>
    <row r="992">
      <c r="A992" s="33"/>
      <c r="B992" s="33"/>
      <c r="C992" s="33"/>
      <c r="D992" s="33"/>
    </row>
    <row r="993">
      <c r="A993" s="33"/>
      <c r="B993" s="33"/>
      <c r="C993" s="33"/>
      <c r="D993" s="33"/>
    </row>
    <row r="994">
      <c r="A994" s="33"/>
      <c r="B994" s="33"/>
      <c r="C994" s="33"/>
      <c r="D994" s="33"/>
    </row>
    <row r="995">
      <c r="A995" s="33"/>
      <c r="B995" s="33"/>
      <c r="C995" s="33"/>
      <c r="D995" s="33"/>
    </row>
    <row r="996">
      <c r="A996" s="33"/>
      <c r="B996" s="33"/>
      <c r="C996" s="33"/>
      <c r="D996" s="33"/>
    </row>
    <row r="997">
      <c r="A997" s="33"/>
      <c r="B997" s="33"/>
      <c r="C997" s="33"/>
      <c r="D997" s="33"/>
    </row>
    <row r="998">
      <c r="A998" s="33"/>
      <c r="B998" s="33"/>
      <c r="C998" s="33"/>
      <c r="D998" s="33"/>
    </row>
    <row r="999">
      <c r="A999" s="33"/>
      <c r="B999" s="33"/>
      <c r="C999" s="33"/>
      <c r="D999" s="33"/>
    </row>
    <row r="1000">
      <c r="A1000" s="33"/>
      <c r="B1000" s="33"/>
      <c r="C1000" s="33"/>
      <c r="D1000" s="33"/>
    </row>
    <row r="1001">
      <c r="A1001" s="33"/>
      <c r="B1001" s="33"/>
      <c r="C1001" s="33"/>
      <c r="D1001" s="33"/>
    </row>
    <row r="1002">
      <c r="A1002" s="33"/>
      <c r="B1002" s="33"/>
      <c r="C1002" s="33"/>
      <c r="D1002" s="33"/>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20</v>
      </c>
      <c r="C2" s="2"/>
      <c r="D2" s="2"/>
      <c r="E2" s="2"/>
      <c r="F2" s="2"/>
      <c r="G2" s="2"/>
      <c r="H2" s="3"/>
      <c r="I2" s="38" t="s">
        <v>21</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37</v>
      </c>
      <c r="J4" s="44">
        <v>53724.0</v>
      </c>
    </row>
    <row r="5" ht="60.0" customHeight="1">
      <c r="A5" s="40">
        <v>2.0</v>
      </c>
      <c r="B5" s="41" t="s">
        <v>38</v>
      </c>
      <c r="C5" s="41" t="s">
        <v>39</v>
      </c>
      <c r="D5" s="41" t="s">
        <v>40</v>
      </c>
      <c r="E5" s="41" t="s">
        <v>41</v>
      </c>
      <c r="F5" s="40" t="str">
        <f t="shared" si="1"/>
        <v>CORRECT</v>
      </c>
      <c r="G5" s="40" t="s">
        <v>42</v>
      </c>
      <c r="H5" s="44" t="s">
        <v>42</v>
      </c>
      <c r="I5" s="43" t="s">
        <v>43</v>
      </c>
      <c r="J5" s="44">
        <v>30617.0</v>
      </c>
    </row>
    <row r="6" ht="60.0" customHeight="1">
      <c r="A6" s="40">
        <v>3.0</v>
      </c>
      <c r="B6" s="41" t="s">
        <v>44</v>
      </c>
      <c r="C6" s="41" t="s">
        <v>45</v>
      </c>
      <c r="D6" s="41" t="s">
        <v>46</v>
      </c>
      <c r="E6" s="41" t="s">
        <v>47</v>
      </c>
      <c r="F6" s="40" t="str">
        <f t="shared" si="1"/>
        <v>CORRECT</v>
      </c>
      <c r="G6" s="40" t="s">
        <v>48</v>
      </c>
      <c r="H6" s="42" t="s">
        <v>48</v>
      </c>
      <c r="I6" s="43" t="s">
        <v>49</v>
      </c>
      <c r="J6" s="44">
        <v>36002.0</v>
      </c>
    </row>
    <row r="7" ht="60.0" customHeight="1">
      <c r="A7" s="40">
        <v>4.0</v>
      </c>
      <c r="B7" s="41" t="s">
        <v>50</v>
      </c>
      <c r="C7" s="41" t="s">
        <v>51</v>
      </c>
      <c r="D7" s="41" t="s">
        <v>52</v>
      </c>
      <c r="E7" s="41" t="s">
        <v>53</v>
      </c>
      <c r="F7" s="40" t="str">
        <f t="shared" si="1"/>
        <v>CORRECT</v>
      </c>
      <c r="G7" s="40" t="s">
        <v>42</v>
      </c>
      <c r="H7" s="44" t="s">
        <v>42</v>
      </c>
      <c r="I7" s="43" t="s">
        <v>54</v>
      </c>
      <c r="J7" s="44">
        <v>29789.0</v>
      </c>
    </row>
    <row r="8" ht="60.0" customHeight="1">
      <c r="A8" s="40">
        <v>5.0</v>
      </c>
      <c r="B8" s="41" t="s">
        <v>55</v>
      </c>
      <c r="C8" s="41" t="s">
        <v>56</v>
      </c>
      <c r="D8" s="41" t="s">
        <v>57</v>
      </c>
      <c r="E8" s="41" t="s">
        <v>58</v>
      </c>
      <c r="F8" s="40" t="str">
        <f t="shared" si="1"/>
        <v>CORRECT</v>
      </c>
      <c r="G8" s="40" t="s">
        <v>48</v>
      </c>
      <c r="H8" s="42" t="s">
        <v>48</v>
      </c>
      <c r="I8" s="43" t="s">
        <v>59</v>
      </c>
      <c r="J8" s="44">
        <v>42571.0</v>
      </c>
    </row>
    <row r="9" ht="60.0" customHeight="1">
      <c r="A9" s="40">
        <v>6.0</v>
      </c>
      <c r="B9" s="41" t="s">
        <v>60</v>
      </c>
      <c r="C9" s="41" t="s">
        <v>61</v>
      </c>
      <c r="D9" s="41" t="s">
        <v>62</v>
      </c>
      <c r="E9" s="41" t="s">
        <v>63</v>
      </c>
      <c r="F9" s="40" t="str">
        <f t="shared" si="1"/>
        <v>CORRECT</v>
      </c>
      <c r="G9" s="40" t="s">
        <v>42</v>
      </c>
      <c r="H9" s="44" t="s">
        <v>42</v>
      </c>
      <c r="I9" s="43" t="s">
        <v>64</v>
      </c>
      <c r="J9" s="44">
        <v>37833.0</v>
      </c>
    </row>
    <row r="10" ht="60.0" customHeight="1">
      <c r="A10" s="40">
        <v>7.0</v>
      </c>
      <c r="B10" s="41" t="s">
        <v>65</v>
      </c>
      <c r="C10" s="41" t="s">
        <v>66</v>
      </c>
      <c r="D10" s="41" t="s">
        <v>67</v>
      </c>
      <c r="E10" s="41" t="s">
        <v>68</v>
      </c>
      <c r="F10" s="40" t="str">
        <f t="shared" si="1"/>
        <v>CORRECT</v>
      </c>
      <c r="G10" s="40" t="s">
        <v>42</v>
      </c>
      <c r="H10" s="42" t="s">
        <v>42</v>
      </c>
      <c r="I10" s="43" t="s">
        <v>69</v>
      </c>
      <c r="J10" s="44">
        <v>52065.0</v>
      </c>
    </row>
    <row r="11" ht="60.0" customHeight="1">
      <c r="A11" s="40">
        <v>8.0</v>
      </c>
      <c r="B11" s="41" t="s">
        <v>70</v>
      </c>
      <c r="C11" s="41" t="s">
        <v>71</v>
      </c>
      <c r="D11" s="41" t="s">
        <v>72</v>
      </c>
      <c r="E11" s="41" t="s">
        <v>73</v>
      </c>
      <c r="F11" s="40" t="str">
        <f t="shared" si="1"/>
        <v>CORRECT</v>
      </c>
      <c r="G11" s="40" t="s">
        <v>48</v>
      </c>
      <c r="H11" s="44" t="s">
        <v>48</v>
      </c>
      <c r="I11" s="43" t="s">
        <v>74</v>
      </c>
      <c r="J11" s="44">
        <v>40397.0</v>
      </c>
    </row>
    <row r="12" ht="60.0" customHeight="1">
      <c r="A12" s="40">
        <v>9.0</v>
      </c>
      <c r="B12" s="41" t="s">
        <v>75</v>
      </c>
      <c r="C12" s="41" t="s">
        <v>76</v>
      </c>
      <c r="D12" s="41" t="s">
        <v>77</v>
      </c>
      <c r="E12" s="41" t="s">
        <v>78</v>
      </c>
      <c r="F12" s="40" t="str">
        <f t="shared" si="1"/>
        <v>CORRECT</v>
      </c>
      <c r="G12" s="40" t="s">
        <v>42</v>
      </c>
      <c r="H12" s="42" t="s">
        <v>42</v>
      </c>
      <c r="I12" s="43" t="s">
        <v>79</v>
      </c>
      <c r="J12" s="44">
        <v>31594.0</v>
      </c>
    </row>
    <row r="13" ht="60.0" customHeight="1">
      <c r="A13" s="40">
        <v>10.0</v>
      </c>
      <c r="B13" s="41" t="s">
        <v>80</v>
      </c>
      <c r="C13" s="41" t="s">
        <v>81</v>
      </c>
      <c r="D13" s="41" t="s">
        <v>82</v>
      </c>
      <c r="E13" s="41" t="s">
        <v>83</v>
      </c>
      <c r="F13" s="40" t="str">
        <f t="shared" si="1"/>
        <v>CORRECT</v>
      </c>
      <c r="G13" s="40" t="s">
        <v>48</v>
      </c>
      <c r="H13" s="44" t="s">
        <v>48</v>
      </c>
      <c r="I13" s="43" t="s">
        <v>84</v>
      </c>
      <c r="J13" s="44">
        <v>33356.0</v>
      </c>
    </row>
    <row r="14" ht="60.0" customHeight="1">
      <c r="A14" s="40">
        <v>11.0</v>
      </c>
      <c r="B14" s="41" t="s">
        <v>85</v>
      </c>
      <c r="C14" s="41" t="s">
        <v>86</v>
      </c>
      <c r="D14" s="41" t="s">
        <v>87</v>
      </c>
      <c r="E14" s="41" t="s">
        <v>88</v>
      </c>
      <c r="F14" s="40" t="str">
        <f t="shared" si="1"/>
        <v>WRONG</v>
      </c>
      <c r="G14" s="40" t="s">
        <v>42</v>
      </c>
      <c r="H14" s="42" t="s">
        <v>48</v>
      </c>
      <c r="I14" s="43" t="s">
        <v>89</v>
      </c>
      <c r="J14" s="44">
        <v>63441.0</v>
      </c>
    </row>
    <row r="15" ht="60.0" customHeight="1">
      <c r="A15" s="40">
        <v>12.0</v>
      </c>
      <c r="B15" s="41" t="s">
        <v>90</v>
      </c>
      <c r="C15" s="41" t="s">
        <v>91</v>
      </c>
      <c r="D15" s="41" t="s">
        <v>92</v>
      </c>
      <c r="E15" s="41" t="s">
        <v>93</v>
      </c>
      <c r="F15" s="40" t="str">
        <f t="shared" si="1"/>
        <v>CORRECT</v>
      </c>
      <c r="G15" s="40" t="s">
        <v>48</v>
      </c>
      <c r="H15" s="42" t="s">
        <v>48</v>
      </c>
      <c r="I15" s="43" t="s">
        <v>94</v>
      </c>
      <c r="J15" s="44">
        <v>44429.0</v>
      </c>
    </row>
    <row r="16" ht="60.0" customHeight="1">
      <c r="A16" s="40">
        <v>13.0</v>
      </c>
      <c r="B16" s="41" t="s">
        <v>95</v>
      </c>
      <c r="C16" s="41" t="s">
        <v>96</v>
      </c>
      <c r="D16" s="41" t="s">
        <v>97</v>
      </c>
      <c r="E16" s="41" t="s">
        <v>98</v>
      </c>
      <c r="F16" s="40" t="str">
        <f t="shared" si="1"/>
        <v>CORRECT</v>
      </c>
      <c r="G16" s="40" t="s">
        <v>36</v>
      </c>
      <c r="H16" s="44" t="s">
        <v>36</v>
      </c>
      <c r="I16" s="43" t="s">
        <v>99</v>
      </c>
      <c r="J16" s="44">
        <v>28853.0</v>
      </c>
    </row>
    <row r="17" ht="60.0" customHeight="1">
      <c r="A17" s="40">
        <v>14.0</v>
      </c>
      <c r="B17" s="41" t="s">
        <v>100</v>
      </c>
      <c r="C17" s="41" t="s">
        <v>101</v>
      </c>
      <c r="D17" s="41" t="s">
        <v>102</v>
      </c>
      <c r="E17" s="41" t="s">
        <v>103</v>
      </c>
      <c r="F17" s="40" t="str">
        <f t="shared" si="1"/>
        <v>WRONG</v>
      </c>
      <c r="G17" s="40" t="s">
        <v>36</v>
      </c>
      <c r="H17" s="42" t="s">
        <v>48</v>
      </c>
      <c r="I17" s="43" t="s">
        <v>104</v>
      </c>
      <c r="J17" s="44">
        <v>33933.0</v>
      </c>
    </row>
    <row r="18" ht="60.0" customHeight="1">
      <c r="A18" s="40">
        <v>15.0</v>
      </c>
      <c r="B18" s="41" t="s">
        <v>105</v>
      </c>
      <c r="C18" s="41" t="s">
        <v>106</v>
      </c>
      <c r="D18" s="41" t="s">
        <v>107</v>
      </c>
      <c r="E18" s="41" t="s">
        <v>108</v>
      </c>
      <c r="F18" s="40" t="str">
        <f t="shared" si="1"/>
        <v>CORRECT</v>
      </c>
      <c r="G18" s="40" t="s">
        <v>48</v>
      </c>
      <c r="H18" s="42" t="s">
        <v>48</v>
      </c>
      <c r="I18" s="43" t="s">
        <v>109</v>
      </c>
      <c r="J18" s="44">
        <v>40859.0</v>
      </c>
    </row>
    <row r="19" ht="60.0" customHeight="1">
      <c r="A19" s="40">
        <v>16.0</v>
      </c>
      <c r="B19" s="41" t="s">
        <v>110</v>
      </c>
      <c r="C19" s="41" t="s">
        <v>111</v>
      </c>
      <c r="D19" s="41" t="s">
        <v>112</v>
      </c>
      <c r="E19" s="41" t="s">
        <v>113</v>
      </c>
      <c r="F19" s="40" t="str">
        <f t="shared" si="1"/>
        <v>CORRECT</v>
      </c>
      <c r="G19" s="40" t="s">
        <v>48</v>
      </c>
      <c r="H19" s="42" t="s">
        <v>48</v>
      </c>
      <c r="I19" s="43" t="s">
        <v>114</v>
      </c>
      <c r="J19" s="44">
        <v>36224.0</v>
      </c>
    </row>
    <row r="20" ht="60.0" customHeight="1">
      <c r="A20" s="40">
        <v>17.0</v>
      </c>
      <c r="B20" s="41" t="s">
        <v>115</v>
      </c>
      <c r="C20" s="41" t="s">
        <v>116</v>
      </c>
      <c r="D20" s="41" t="s">
        <v>117</v>
      </c>
      <c r="E20" s="41" t="s">
        <v>118</v>
      </c>
      <c r="F20" s="40" t="str">
        <f t="shared" si="1"/>
        <v>WRONG</v>
      </c>
      <c r="G20" s="40" t="s">
        <v>42</v>
      </c>
      <c r="H20" s="44" t="s">
        <v>36</v>
      </c>
      <c r="I20" s="43" t="s">
        <v>119</v>
      </c>
      <c r="J20" s="44">
        <v>30076.0</v>
      </c>
    </row>
    <row r="21" ht="60.0" customHeight="1">
      <c r="A21" s="40">
        <v>18.0</v>
      </c>
      <c r="B21" s="41" t="s">
        <v>120</v>
      </c>
      <c r="C21" s="41" t="s">
        <v>121</v>
      </c>
      <c r="D21" s="41" t="s">
        <v>122</v>
      </c>
      <c r="E21" s="41" t="s">
        <v>123</v>
      </c>
      <c r="F21" s="40" t="str">
        <f t="shared" si="1"/>
        <v>CORRECT</v>
      </c>
      <c r="G21" s="40" t="s">
        <v>42</v>
      </c>
      <c r="H21" s="44" t="s">
        <v>42</v>
      </c>
      <c r="I21" s="43" t="s">
        <v>124</v>
      </c>
      <c r="J21" s="44">
        <v>30411.0</v>
      </c>
    </row>
    <row r="22" ht="60.0" customHeight="1">
      <c r="A22" s="40">
        <v>19.0</v>
      </c>
      <c r="B22" s="41" t="s">
        <v>125</v>
      </c>
      <c r="C22" s="41" t="s">
        <v>126</v>
      </c>
      <c r="D22" s="41" t="s">
        <v>127</v>
      </c>
      <c r="E22" s="41" t="s">
        <v>128</v>
      </c>
      <c r="F22" s="40" t="str">
        <f t="shared" si="1"/>
        <v>WRONG</v>
      </c>
      <c r="G22" s="40" t="s">
        <v>36</v>
      </c>
      <c r="H22" s="42" t="s">
        <v>48</v>
      </c>
      <c r="I22" s="43" t="s">
        <v>129</v>
      </c>
      <c r="J22" s="44">
        <v>46589.0</v>
      </c>
    </row>
    <row r="23" ht="60.0" customHeight="1">
      <c r="A23" s="40">
        <v>20.0</v>
      </c>
      <c r="B23" s="41" t="s">
        <v>130</v>
      </c>
      <c r="C23" s="41" t="s">
        <v>131</v>
      </c>
      <c r="D23" s="41" t="s">
        <v>132</v>
      </c>
      <c r="E23" s="41" t="s">
        <v>133</v>
      </c>
      <c r="F23" s="40" t="str">
        <f t="shared" si="1"/>
        <v>CORRECT</v>
      </c>
      <c r="G23" s="40" t="s">
        <v>42</v>
      </c>
      <c r="H23" s="42" t="s">
        <v>42</v>
      </c>
      <c r="I23" s="43" t="s">
        <v>134</v>
      </c>
      <c r="J23" s="44">
        <v>17392.0</v>
      </c>
    </row>
    <row r="24" ht="60.0" customHeight="1">
      <c r="A24" s="40">
        <v>21.0</v>
      </c>
      <c r="B24" s="41" t="s">
        <v>135</v>
      </c>
      <c r="C24" s="41" t="s">
        <v>136</v>
      </c>
      <c r="D24" s="41" t="s">
        <v>137</v>
      </c>
      <c r="E24" s="41" t="s">
        <v>138</v>
      </c>
      <c r="F24" s="40" t="str">
        <f t="shared" si="1"/>
        <v>WRONG</v>
      </c>
      <c r="G24" s="40" t="s">
        <v>42</v>
      </c>
      <c r="H24" s="44" t="s">
        <v>36</v>
      </c>
      <c r="I24" s="43" t="s">
        <v>139</v>
      </c>
      <c r="J24" s="44">
        <v>25117.0</v>
      </c>
    </row>
    <row r="25" ht="60.0" customHeight="1">
      <c r="A25" s="40">
        <v>22.0</v>
      </c>
      <c r="B25" s="41" t="s">
        <v>140</v>
      </c>
      <c r="C25" s="41" t="s">
        <v>141</v>
      </c>
      <c r="D25" s="41" t="s">
        <v>142</v>
      </c>
      <c r="E25" s="41" t="s">
        <v>143</v>
      </c>
      <c r="F25" s="40" t="str">
        <f t="shared" si="1"/>
        <v>CORRECT</v>
      </c>
      <c r="G25" s="40" t="s">
        <v>42</v>
      </c>
      <c r="H25" s="44" t="s">
        <v>42</v>
      </c>
      <c r="I25" s="43" t="s">
        <v>144</v>
      </c>
      <c r="J25" s="44">
        <v>37651.0</v>
      </c>
    </row>
    <row r="26" ht="60.0" customHeight="1">
      <c r="A26" s="40">
        <v>23.0</v>
      </c>
      <c r="B26" s="41" t="s">
        <v>145</v>
      </c>
      <c r="C26" s="41" t="s">
        <v>146</v>
      </c>
      <c r="D26" s="41" t="s">
        <v>147</v>
      </c>
      <c r="E26" s="41" t="s">
        <v>148</v>
      </c>
      <c r="F26" s="40" t="str">
        <f t="shared" si="1"/>
        <v>CORRECT</v>
      </c>
      <c r="G26" s="40" t="s">
        <v>48</v>
      </c>
      <c r="H26" s="44" t="s">
        <v>48</v>
      </c>
      <c r="I26" s="43" t="s">
        <v>149</v>
      </c>
      <c r="J26" s="44">
        <v>18664.0</v>
      </c>
    </row>
    <row r="27" ht="60.0" customHeight="1">
      <c r="A27" s="40">
        <v>24.0</v>
      </c>
      <c r="B27" s="41" t="s">
        <v>150</v>
      </c>
      <c r="C27" s="41" t="s">
        <v>151</v>
      </c>
      <c r="D27" s="41" t="s">
        <v>152</v>
      </c>
      <c r="E27" s="41" t="s">
        <v>153</v>
      </c>
      <c r="F27" s="40" t="str">
        <f t="shared" si="1"/>
        <v>WRONG</v>
      </c>
      <c r="G27" s="40" t="s">
        <v>36</v>
      </c>
      <c r="H27" s="42" t="s">
        <v>48</v>
      </c>
      <c r="I27" s="43" t="s">
        <v>154</v>
      </c>
      <c r="J27" s="44">
        <v>36007.0</v>
      </c>
    </row>
    <row r="28" ht="60.0" customHeight="1">
      <c r="A28" s="40">
        <v>25.0</v>
      </c>
      <c r="B28" s="41" t="s">
        <v>155</v>
      </c>
      <c r="C28" s="41" t="s">
        <v>151</v>
      </c>
      <c r="D28" s="41" t="s">
        <v>156</v>
      </c>
      <c r="E28" s="41" t="s">
        <v>153</v>
      </c>
      <c r="F28" s="40" t="str">
        <f t="shared" si="1"/>
        <v>CORRECT</v>
      </c>
      <c r="G28" s="40" t="s">
        <v>48</v>
      </c>
      <c r="H28" s="42" t="s">
        <v>48</v>
      </c>
      <c r="I28" s="43" t="s">
        <v>157</v>
      </c>
      <c r="J28" s="44">
        <v>45534.0</v>
      </c>
    </row>
    <row r="29" ht="60.0" customHeight="1">
      <c r="A29" s="40">
        <v>26.0</v>
      </c>
      <c r="B29" s="41" t="s">
        <v>158</v>
      </c>
      <c r="C29" s="41" t="s">
        <v>159</v>
      </c>
      <c r="D29" s="41" t="s">
        <v>160</v>
      </c>
      <c r="E29" s="41" t="s">
        <v>161</v>
      </c>
      <c r="F29" s="40" t="str">
        <f t="shared" si="1"/>
        <v>WRONG</v>
      </c>
      <c r="G29" s="40" t="s">
        <v>36</v>
      </c>
      <c r="H29" s="42" t="s">
        <v>42</v>
      </c>
      <c r="I29" s="43" t="s">
        <v>162</v>
      </c>
      <c r="J29" s="44">
        <v>45187.0</v>
      </c>
    </row>
    <row r="30" ht="60.0" customHeight="1">
      <c r="A30" s="40">
        <v>27.0</v>
      </c>
      <c r="B30" s="41" t="s">
        <v>163</v>
      </c>
      <c r="C30" s="41" t="s">
        <v>164</v>
      </c>
      <c r="D30" s="41" t="s">
        <v>165</v>
      </c>
      <c r="E30" s="41" t="s">
        <v>166</v>
      </c>
      <c r="F30" s="40" t="str">
        <f t="shared" si="1"/>
        <v>CORRECT</v>
      </c>
      <c r="G30" s="40" t="s">
        <v>42</v>
      </c>
      <c r="H30" s="42" t="s">
        <v>42</v>
      </c>
      <c r="I30" s="43" t="s">
        <v>167</v>
      </c>
      <c r="J30" s="44">
        <v>43977.0</v>
      </c>
    </row>
    <row r="31" ht="60.0" customHeight="1">
      <c r="A31" s="40">
        <v>28.0</v>
      </c>
      <c r="B31" s="41" t="s">
        <v>168</v>
      </c>
      <c r="C31" s="41" t="s">
        <v>169</v>
      </c>
      <c r="D31" s="41" t="s">
        <v>170</v>
      </c>
      <c r="E31" s="41" t="s">
        <v>171</v>
      </c>
      <c r="F31" s="40" t="str">
        <f t="shared" si="1"/>
        <v>WRONG</v>
      </c>
      <c r="G31" s="40" t="s">
        <v>36</v>
      </c>
      <c r="H31" s="42" t="s">
        <v>42</v>
      </c>
      <c r="I31" s="43" t="s">
        <v>172</v>
      </c>
      <c r="J31" s="44">
        <v>30987.0</v>
      </c>
    </row>
    <row r="32" ht="60.0" customHeight="1">
      <c r="A32" s="40">
        <v>29.0</v>
      </c>
      <c r="B32" s="41" t="s">
        <v>173</v>
      </c>
      <c r="C32" s="41" t="s">
        <v>174</v>
      </c>
      <c r="D32" s="41" t="s">
        <v>175</v>
      </c>
      <c r="E32" s="41" t="s">
        <v>176</v>
      </c>
      <c r="F32" s="40" t="str">
        <f t="shared" si="1"/>
        <v>CORRECT</v>
      </c>
      <c r="G32" s="40" t="s">
        <v>42</v>
      </c>
      <c r="H32" s="42" t="s">
        <v>42</v>
      </c>
      <c r="I32" s="43" t="s">
        <v>177</v>
      </c>
      <c r="J32" s="44">
        <v>27806.0</v>
      </c>
    </row>
    <row r="33" ht="60.0" customHeight="1">
      <c r="A33" s="40">
        <v>30.0</v>
      </c>
      <c r="B33" s="41" t="s">
        <v>178</v>
      </c>
      <c r="C33" s="41" t="s">
        <v>179</v>
      </c>
      <c r="D33" s="41" t="s">
        <v>180</v>
      </c>
      <c r="E33" s="41" t="s">
        <v>181</v>
      </c>
      <c r="F33" s="40" t="str">
        <f t="shared" si="1"/>
        <v>WRONG</v>
      </c>
      <c r="G33" s="40" t="s">
        <v>48</v>
      </c>
      <c r="H33" s="44" t="s">
        <v>36</v>
      </c>
      <c r="I33" s="43" t="s">
        <v>182</v>
      </c>
      <c r="J33" s="44">
        <v>36252.0</v>
      </c>
    </row>
    <row r="34" ht="60.0" customHeight="1">
      <c r="A34" s="40">
        <v>31.0</v>
      </c>
      <c r="B34" s="41" t="s">
        <v>183</v>
      </c>
      <c r="C34" s="41" t="s">
        <v>184</v>
      </c>
      <c r="D34" s="41" t="s">
        <v>185</v>
      </c>
      <c r="E34" s="41" t="s">
        <v>186</v>
      </c>
      <c r="F34" s="40" t="str">
        <f t="shared" si="1"/>
        <v>WRONG</v>
      </c>
      <c r="G34" s="40" t="s">
        <v>42</v>
      </c>
      <c r="H34" s="42" t="s">
        <v>36</v>
      </c>
      <c r="I34" s="43" t="s">
        <v>187</v>
      </c>
      <c r="J34" s="44">
        <v>40305.0</v>
      </c>
    </row>
    <row r="35" ht="60.0" customHeight="1">
      <c r="A35" s="40">
        <v>32.0</v>
      </c>
      <c r="B35" s="41" t="s">
        <v>188</v>
      </c>
      <c r="C35" s="41" t="s">
        <v>189</v>
      </c>
      <c r="D35" s="41" t="s">
        <v>190</v>
      </c>
      <c r="E35" s="41" t="s">
        <v>191</v>
      </c>
      <c r="F35" s="40" t="str">
        <f t="shared" si="1"/>
        <v>CORRECT</v>
      </c>
      <c r="G35" s="40" t="s">
        <v>36</v>
      </c>
      <c r="H35" s="42" t="s">
        <v>36</v>
      </c>
      <c r="I35" s="43" t="s">
        <v>192</v>
      </c>
      <c r="J35" s="44">
        <v>48189.0</v>
      </c>
    </row>
    <row r="36" ht="60.0" customHeight="1">
      <c r="A36" s="40">
        <v>33.0</v>
      </c>
      <c r="B36" s="41" t="s">
        <v>193</v>
      </c>
      <c r="C36" s="41" t="s">
        <v>194</v>
      </c>
      <c r="D36" s="41" t="s">
        <v>195</v>
      </c>
      <c r="E36" s="41" t="s">
        <v>196</v>
      </c>
      <c r="F36" s="40" t="str">
        <f t="shared" si="1"/>
        <v>WRONG</v>
      </c>
      <c r="G36" s="40" t="s">
        <v>48</v>
      </c>
      <c r="H36" s="42" t="s">
        <v>42</v>
      </c>
      <c r="I36" s="43" t="s">
        <v>197</v>
      </c>
      <c r="J36" s="44">
        <v>35721.0</v>
      </c>
    </row>
    <row r="37" ht="60.0" customHeight="1">
      <c r="A37" s="40">
        <v>34.0</v>
      </c>
      <c r="B37" s="41" t="s">
        <v>198</v>
      </c>
      <c r="C37" s="41" t="s">
        <v>199</v>
      </c>
      <c r="D37" s="41" t="s">
        <v>200</v>
      </c>
      <c r="E37" s="41" t="s">
        <v>201</v>
      </c>
      <c r="F37" s="40" t="str">
        <f t="shared" si="1"/>
        <v>CORRECT</v>
      </c>
      <c r="G37" s="40" t="s">
        <v>36</v>
      </c>
      <c r="H37" s="44" t="s">
        <v>36</v>
      </c>
      <c r="I37" s="43" t="s">
        <v>202</v>
      </c>
      <c r="J37" s="44">
        <v>33088.0</v>
      </c>
    </row>
    <row r="38" ht="60.0" customHeight="1">
      <c r="A38" s="40">
        <v>35.0</v>
      </c>
      <c r="B38" s="41" t="s">
        <v>203</v>
      </c>
      <c r="C38" s="41" t="s">
        <v>204</v>
      </c>
      <c r="D38" s="41" t="s">
        <v>205</v>
      </c>
      <c r="E38" s="41" t="s">
        <v>206</v>
      </c>
      <c r="F38" s="40" t="str">
        <f t="shared" si="1"/>
        <v>CORRECT</v>
      </c>
      <c r="G38" s="40" t="s">
        <v>48</v>
      </c>
      <c r="H38" s="44" t="s">
        <v>48</v>
      </c>
      <c r="I38" s="43" t="s">
        <v>207</v>
      </c>
      <c r="J38" s="44">
        <v>38027.0</v>
      </c>
    </row>
    <row r="39" ht="60.0" customHeight="1">
      <c r="A39" s="40">
        <v>36.0</v>
      </c>
      <c r="B39" s="41" t="s">
        <v>208</v>
      </c>
      <c r="C39" s="41" t="s">
        <v>209</v>
      </c>
      <c r="D39" s="41" t="s">
        <v>210</v>
      </c>
      <c r="E39" s="41" t="s">
        <v>211</v>
      </c>
      <c r="F39" s="40" t="str">
        <f t="shared" si="1"/>
        <v>CORRECT</v>
      </c>
      <c r="G39" s="40" t="s">
        <v>36</v>
      </c>
      <c r="H39" s="44" t="s">
        <v>36</v>
      </c>
      <c r="I39" s="43" t="s">
        <v>212</v>
      </c>
      <c r="J39" s="44">
        <v>33029.0</v>
      </c>
    </row>
    <row r="40" ht="60.0" customHeight="1">
      <c r="A40" s="40">
        <v>37.0</v>
      </c>
      <c r="B40" s="41" t="s">
        <v>213</v>
      </c>
      <c r="C40" s="41" t="s">
        <v>214</v>
      </c>
      <c r="D40" s="41" t="s">
        <v>215</v>
      </c>
      <c r="E40" s="41" t="s">
        <v>216</v>
      </c>
      <c r="F40" s="40" t="str">
        <f t="shared" si="1"/>
        <v>CORRECT</v>
      </c>
      <c r="G40" s="40" t="s">
        <v>36</v>
      </c>
      <c r="H40" s="44" t="s">
        <v>36</v>
      </c>
      <c r="I40" s="43" t="s">
        <v>217</v>
      </c>
      <c r="J40" s="44">
        <v>25636.0</v>
      </c>
    </row>
    <row r="41" ht="60.0" customHeight="1">
      <c r="A41" s="40">
        <v>38.0</v>
      </c>
      <c r="B41" s="41" t="s">
        <v>218</v>
      </c>
      <c r="C41" s="41" t="s">
        <v>219</v>
      </c>
      <c r="D41" s="41" t="s">
        <v>220</v>
      </c>
      <c r="E41" s="41" t="s">
        <v>221</v>
      </c>
      <c r="F41" s="40" t="str">
        <f t="shared" si="1"/>
        <v>CORRECT</v>
      </c>
      <c r="G41" s="40" t="s">
        <v>36</v>
      </c>
      <c r="H41" s="44" t="s">
        <v>36</v>
      </c>
      <c r="I41" s="43" t="s">
        <v>222</v>
      </c>
      <c r="J41" s="44">
        <v>34498.0</v>
      </c>
    </row>
    <row r="42" ht="60.0" customHeight="1">
      <c r="A42" s="40">
        <v>39.0</v>
      </c>
      <c r="B42" s="41" t="s">
        <v>223</v>
      </c>
      <c r="C42" s="41" t="s">
        <v>224</v>
      </c>
      <c r="D42" s="41" t="s">
        <v>225</v>
      </c>
      <c r="E42" s="41" t="s">
        <v>226</v>
      </c>
      <c r="F42" s="40" t="str">
        <f t="shared" si="1"/>
        <v>WRONG</v>
      </c>
      <c r="G42" s="40" t="s">
        <v>42</v>
      </c>
      <c r="H42" s="44" t="s">
        <v>48</v>
      </c>
      <c r="I42" s="43" t="s">
        <v>227</v>
      </c>
      <c r="J42" s="44">
        <v>30276.0</v>
      </c>
    </row>
    <row r="43" ht="60.0" customHeight="1">
      <c r="A43" s="40">
        <v>40.0</v>
      </c>
      <c r="B43" s="41" t="s">
        <v>228</v>
      </c>
      <c r="C43" s="41" t="s">
        <v>229</v>
      </c>
      <c r="D43" s="41" t="s">
        <v>230</v>
      </c>
      <c r="E43" s="41" t="s">
        <v>231</v>
      </c>
      <c r="F43" s="40" t="str">
        <f t="shared" si="1"/>
        <v>CORRECT</v>
      </c>
      <c r="G43" s="40" t="s">
        <v>48</v>
      </c>
      <c r="H43" s="42" t="s">
        <v>48</v>
      </c>
      <c r="I43" s="43" t="s">
        <v>232</v>
      </c>
      <c r="J43" s="44">
        <v>42746.0</v>
      </c>
    </row>
    <row r="44" ht="60.0" customHeight="1">
      <c r="A44" s="40">
        <v>41.0</v>
      </c>
      <c r="B44" s="41" t="s">
        <v>233</v>
      </c>
      <c r="C44" s="41" t="s">
        <v>234</v>
      </c>
      <c r="D44" s="41" t="s">
        <v>235</v>
      </c>
      <c r="E44" s="41" t="s">
        <v>236</v>
      </c>
      <c r="F44" s="40" t="str">
        <f t="shared" si="1"/>
        <v>CORRECT</v>
      </c>
      <c r="G44" s="40" t="s">
        <v>42</v>
      </c>
      <c r="H44" s="44" t="s">
        <v>42</v>
      </c>
      <c r="I44" s="43" t="s">
        <v>237</v>
      </c>
      <c r="J44" s="44">
        <v>19788.0</v>
      </c>
    </row>
    <row r="45" ht="60.0" customHeight="1">
      <c r="A45" s="40">
        <v>42.0</v>
      </c>
      <c r="B45" s="41" t="s">
        <v>238</v>
      </c>
      <c r="C45" s="41" t="s">
        <v>239</v>
      </c>
      <c r="D45" s="41" t="s">
        <v>240</v>
      </c>
      <c r="E45" s="41" t="s">
        <v>241</v>
      </c>
      <c r="F45" s="40" t="str">
        <f t="shared" si="1"/>
        <v>WRONG</v>
      </c>
      <c r="G45" s="40" t="s">
        <v>36</v>
      </c>
      <c r="H45" s="42" t="s">
        <v>42</v>
      </c>
      <c r="I45" s="43" t="s">
        <v>242</v>
      </c>
      <c r="J45" s="44">
        <v>25953.0</v>
      </c>
    </row>
    <row r="46" ht="60.0" customHeight="1">
      <c r="A46" s="40">
        <v>43.0</v>
      </c>
      <c r="B46" s="41" t="s">
        <v>243</v>
      </c>
      <c r="C46" s="41" t="s">
        <v>244</v>
      </c>
      <c r="D46" s="41" t="s">
        <v>245</v>
      </c>
      <c r="E46" s="41" t="s">
        <v>246</v>
      </c>
      <c r="F46" s="40" t="str">
        <f t="shared" si="1"/>
        <v>CORRECT</v>
      </c>
      <c r="G46" s="40" t="s">
        <v>48</v>
      </c>
      <c r="H46" s="44" t="s">
        <v>48</v>
      </c>
      <c r="I46" s="43" t="s">
        <v>247</v>
      </c>
      <c r="J46" s="44">
        <v>36932.0</v>
      </c>
    </row>
    <row r="47" ht="60.0" customHeight="1">
      <c r="A47" s="40">
        <v>44.0</v>
      </c>
      <c r="B47" s="41" t="s">
        <v>248</v>
      </c>
      <c r="C47" s="41" t="s">
        <v>249</v>
      </c>
      <c r="D47" s="41" t="s">
        <v>250</v>
      </c>
      <c r="E47" s="41" t="s">
        <v>251</v>
      </c>
      <c r="F47" s="40" t="str">
        <f t="shared" si="1"/>
        <v>WRONG</v>
      </c>
      <c r="G47" s="40" t="s">
        <v>36</v>
      </c>
      <c r="H47" s="42" t="s">
        <v>48</v>
      </c>
      <c r="I47" s="43" t="s">
        <v>252</v>
      </c>
      <c r="J47" s="44">
        <v>43580.0</v>
      </c>
    </row>
    <row r="48" ht="60.0" customHeight="1">
      <c r="A48" s="40">
        <v>45.0</v>
      </c>
      <c r="B48" s="41" t="s">
        <v>253</v>
      </c>
      <c r="C48" s="41" t="s">
        <v>254</v>
      </c>
      <c r="D48" s="41" t="s">
        <v>255</v>
      </c>
      <c r="E48" s="41" t="s">
        <v>256</v>
      </c>
      <c r="F48" s="40" t="str">
        <f t="shared" si="1"/>
        <v>WRONG</v>
      </c>
      <c r="G48" s="40" t="s">
        <v>36</v>
      </c>
      <c r="H48" s="42" t="s">
        <v>48</v>
      </c>
      <c r="I48" s="43" t="s">
        <v>257</v>
      </c>
      <c r="J48" s="44">
        <v>38307.0</v>
      </c>
    </row>
    <row r="49" ht="60.0" customHeight="1">
      <c r="A49" s="40">
        <v>46.0</v>
      </c>
      <c r="B49" s="41" t="s">
        <v>258</v>
      </c>
      <c r="C49" s="41" t="s">
        <v>39</v>
      </c>
      <c r="D49" s="41" t="s">
        <v>259</v>
      </c>
      <c r="E49" s="41" t="s">
        <v>260</v>
      </c>
      <c r="F49" s="40" t="str">
        <f t="shared" si="1"/>
        <v>CORRECT</v>
      </c>
      <c r="G49" s="40" t="s">
        <v>36</v>
      </c>
      <c r="H49" s="42" t="s">
        <v>36</v>
      </c>
      <c r="I49" s="43" t="s">
        <v>261</v>
      </c>
      <c r="J49" s="44">
        <v>48224.0</v>
      </c>
    </row>
    <row r="50">
      <c r="A50" s="45" t="s">
        <v>262</v>
      </c>
      <c r="B50" s="2"/>
      <c r="C50" s="2"/>
      <c r="D50" s="2"/>
      <c r="E50" s="3"/>
      <c r="F50" s="46">
        <f>COUNTIFS(F4:F49,"CORRECT")</f>
        <v>31</v>
      </c>
      <c r="G50" s="47"/>
      <c r="H50" s="47"/>
      <c r="J50" s="48">
        <f>AVERAGE(J4:J49)</f>
        <v>36557.30435</v>
      </c>
    </row>
    <row r="51">
      <c r="A51" s="49" t="s">
        <v>263</v>
      </c>
      <c r="B51" s="2"/>
      <c r="C51" s="2"/>
      <c r="D51" s="2"/>
      <c r="E51" s="3"/>
      <c r="F51" s="50">
        <v>46.0</v>
      </c>
      <c r="G51" s="47"/>
      <c r="H51" s="47"/>
    </row>
    <row r="52">
      <c r="A52" s="45" t="s">
        <v>264</v>
      </c>
      <c r="B52" s="2"/>
      <c r="C52" s="2"/>
      <c r="D52" s="2"/>
      <c r="E52" s="3"/>
      <c r="F52" s="51">
        <f>F50/F51</f>
        <v>0.6739130435</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265</v>
      </c>
      <c r="C2" s="2"/>
      <c r="D2" s="2"/>
      <c r="E2" s="2"/>
      <c r="F2" s="2"/>
      <c r="G2" s="2"/>
      <c r="H2" s="3"/>
      <c r="I2" s="38" t="s">
        <v>266</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45004.0</v>
      </c>
    </row>
    <row r="5" ht="60.0" customHeight="1">
      <c r="A5" s="40">
        <v>2.0</v>
      </c>
      <c r="B5" s="41" t="s">
        <v>38</v>
      </c>
      <c r="C5" s="41" t="s">
        <v>39</v>
      </c>
      <c r="D5" s="41" t="s">
        <v>40</v>
      </c>
      <c r="E5" s="41" t="s">
        <v>41</v>
      </c>
      <c r="F5" s="40" t="str">
        <f t="shared" si="1"/>
        <v>CORRECT</v>
      </c>
      <c r="G5" s="40" t="s">
        <v>42</v>
      </c>
      <c r="H5" s="44" t="s">
        <v>42</v>
      </c>
      <c r="I5" s="43" t="s">
        <v>268</v>
      </c>
      <c r="J5" s="44">
        <v>41437.0</v>
      </c>
    </row>
    <row r="6" ht="60.0" customHeight="1">
      <c r="A6" s="40">
        <v>3.0</v>
      </c>
      <c r="B6" s="41" t="s">
        <v>44</v>
      </c>
      <c r="C6" s="41" t="s">
        <v>45</v>
      </c>
      <c r="D6" s="41" t="s">
        <v>46</v>
      </c>
      <c r="E6" s="41" t="s">
        <v>47</v>
      </c>
      <c r="F6" s="40" t="str">
        <f t="shared" si="1"/>
        <v>CORRECT</v>
      </c>
      <c r="G6" s="40" t="s">
        <v>48</v>
      </c>
      <c r="H6" s="42" t="s">
        <v>48</v>
      </c>
      <c r="I6" s="43" t="s">
        <v>269</v>
      </c>
      <c r="J6" s="44">
        <v>34308.0</v>
      </c>
    </row>
    <row r="7" ht="60.0" customHeight="1">
      <c r="A7" s="40">
        <v>4.0</v>
      </c>
      <c r="B7" s="41" t="s">
        <v>50</v>
      </c>
      <c r="C7" s="41" t="s">
        <v>51</v>
      </c>
      <c r="D7" s="41" t="s">
        <v>52</v>
      </c>
      <c r="E7" s="41" t="s">
        <v>53</v>
      </c>
      <c r="F7" s="40" t="str">
        <f t="shared" si="1"/>
        <v>CORRECT</v>
      </c>
      <c r="G7" s="40" t="s">
        <v>42</v>
      </c>
      <c r="H7" s="44" t="s">
        <v>42</v>
      </c>
      <c r="I7" s="43" t="s">
        <v>54</v>
      </c>
      <c r="J7" s="44">
        <v>29995.0</v>
      </c>
    </row>
    <row r="8" ht="60.0" customHeight="1">
      <c r="A8" s="40">
        <v>5.0</v>
      </c>
      <c r="B8" s="41" t="s">
        <v>55</v>
      </c>
      <c r="C8" s="41" t="s">
        <v>56</v>
      </c>
      <c r="D8" s="41" t="s">
        <v>57</v>
      </c>
      <c r="E8" s="41" t="s">
        <v>58</v>
      </c>
      <c r="F8" s="40" t="str">
        <f t="shared" si="1"/>
        <v>CORRECT</v>
      </c>
      <c r="G8" s="40" t="s">
        <v>48</v>
      </c>
      <c r="H8" s="42" t="s">
        <v>48</v>
      </c>
      <c r="I8" s="43" t="s">
        <v>270</v>
      </c>
      <c r="J8" s="44">
        <v>47591.0</v>
      </c>
    </row>
    <row r="9" ht="60.0" customHeight="1">
      <c r="A9" s="40">
        <v>6.0</v>
      </c>
      <c r="B9" s="41" t="s">
        <v>60</v>
      </c>
      <c r="C9" s="41" t="s">
        <v>61</v>
      </c>
      <c r="D9" s="41" t="s">
        <v>62</v>
      </c>
      <c r="E9" s="41" t="s">
        <v>63</v>
      </c>
      <c r="F9" s="40" t="str">
        <f t="shared" si="1"/>
        <v>CORRECT</v>
      </c>
      <c r="G9" s="40" t="s">
        <v>42</v>
      </c>
      <c r="H9" s="44" t="s">
        <v>42</v>
      </c>
      <c r="I9" s="43" t="s">
        <v>271</v>
      </c>
      <c r="J9" s="44">
        <v>44246.0</v>
      </c>
    </row>
    <row r="10" ht="60.0" customHeight="1">
      <c r="A10" s="40">
        <v>7.0</v>
      </c>
      <c r="B10" s="41" t="s">
        <v>65</v>
      </c>
      <c r="C10" s="41" t="s">
        <v>66</v>
      </c>
      <c r="D10" s="41" t="s">
        <v>67</v>
      </c>
      <c r="E10" s="41" t="s">
        <v>68</v>
      </c>
      <c r="F10" s="40" t="str">
        <f t="shared" si="1"/>
        <v>WRONG</v>
      </c>
      <c r="G10" s="40" t="s">
        <v>42</v>
      </c>
      <c r="H10" s="42" t="s">
        <v>36</v>
      </c>
      <c r="I10" s="43" t="s">
        <v>272</v>
      </c>
      <c r="J10" s="44">
        <v>26336.0</v>
      </c>
    </row>
    <row r="11" ht="60.0" customHeight="1">
      <c r="A11" s="40">
        <v>8.0</v>
      </c>
      <c r="B11" s="41" t="s">
        <v>70</v>
      </c>
      <c r="C11" s="41" t="s">
        <v>71</v>
      </c>
      <c r="D11" s="41" t="s">
        <v>72</v>
      </c>
      <c r="E11" s="41" t="s">
        <v>73</v>
      </c>
      <c r="F11" s="40" t="str">
        <f t="shared" si="1"/>
        <v>CORRECT</v>
      </c>
      <c r="G11" s="40" t="s">
        <v>48</v>
      </c>
      <c r="H11" s="44" t="s">
        <v>48</v>
      </c>
      <c r="I11" s="43" t="s">
        <v>273</v>
      </c>
      <c r="J11" s="44">
        <v>32892.0</v>
      </c>
    </row>
    <row r="12" ht="60.0" customHeight="1">
      <c r="A12" s="40">
        <v>9.0</v>
      </c>
      <c r="B12" s="41" t="s">
        <v>75</v>
      </c>
      <c r="C12" s="41" t="s">
        <v>76</v>
      </c>
      <c r="D12" s="41" t="s">
        <v>77</v>
      </c>
      <c r="E12" s="41" t="s">
        <v>78</v>
      </c>
      <c r="F12" s="40" t="str">
        <f t="shared" si="1"/>
        <v>CORRECT</v>
      </c>
      <c r="G12" s="40" t="s">
        <v>42</v>
      </c>
      <c r="H12" s="42" t="s">
        <v>42</v>
      </c>
      <c r="I12" s="43" t="s">
        <v>79</v>
      </c>
      <c r="J12" s="44">
        <v>31704.0</v>
      </c>
    </row>
    <row r="13" ht="60.0" customHeight="1">
      <c r="A13" s="40">
        <v>10.0</v>
      </c>
      <c r="B13" s="41" t="s">
        <v>80</v>
      </c>
      <c r="C13" s="41" t="s">
        <v>81</v>
      </c>
      <c r="D13" s="41" t="s">
        <v>82</v>
      </c>
      <c r="E13" s="41" t="s">
        <v>83</v>
      </c>
      <c r="F13" s="40" t="str">
        <f t="shared" si="1"/>
        <v>CORRECT</v>
      </c>
      <c r="G13" s="40" t="s">
        <v>48</v>
      </c>
      <c r="H13" s="44" t="s">
        <v>48</v>
      </c>
      <c r="I13" s="43" t="s">
        <v>274</v>
      </c>
      <c r="J13" s="44">
        <v>31007.0</v>
      </c>
    </row>
    <row r="14" ht="60.0" customHeight="1">
      <c r="A14" s="40">
        <v>11.0</v>
      </c>
      <c r="B14" s="41" t="s">
        <v>85</v>
      </c>
      <c r="C14" s="41" t="s">
        <v>86</v>
      </c>
      <c r="D14" s="41" t="s">
        <v>87</v>
      </c>
      <c r="E14" s="41" t="s">
        <v>88</v>
      </c>
      <c r="F14" s="40" t="str">
        <f t="shared" si="1"/>
        <v>WRONG</v>
      </c>
      <c r="G14" s="40" t="s">
        <v>42</v>
      </c>
      <c r="H14" s="42" t="s">
        <v>48</v>
      </c>
      <c r="I14" s="43" t="s">
        <v>275</v>
      </c>
      <c r="J14" s="44">
        <v>72026.0</v>
      </c>
    </row>
    <row r="15" ht="60.0" customHeight="1">
      <c r="A15" s="40">
        <v>12.0</v>
      </c>
      <c r="B15" s="41" t="s">
        <v>90</v>
      </c>
      <c r="C15" s="41" t="s">
        <v>91</v>
      </c>
      <c r="D15" s="41" t="s">
        <v>92</v>
      </c>
      <c r="E15" s="41" t="s">
        <v>93</v>
      </c>
      <c r="F15" s="40" t="str">
        <f t="shared" si="1"/>
        <v>CORRECT</v>
      </c>
      <c r="G15" s="40" t="s">
        <v>48</v>
      </c>
      <c r="H15" s="42" t="s">
        <v>48</v>
      </c>
      <c r="I15" s="43" t="s">
        <v>276</v>
      </c>
      <c r="J15" s="44">
        <v>43998.0</v>
      </c>
    </row>
    <row r="16" ht="60.0" customHeight="1">
      <c r="A16" s="40">
        <v>13.0</v>
      </c>
      <c r="B16" s="41" t="s">
        <v>95</v>
      </c>
      <c r="C16" s="41" t="s">
        <v>96</v>
      </c>
      <c r="D16" s="41" t="s">
        <v>97</v>
      </c>
      <c r="E16" s="41" t="s">
        <v>98</v>
      </c>
      <c r="F16" s="40" t="str">
        <f t="shared" si="1"/>
        <v>CORRECT</v>
      </c>
      <c r="G16" s="40" t="s">
        <v>36</v>
      </c>
      <c r="H16" s="44" t="s">
        <v>36</v>
      </c>
      <c r="I16" s="43" t="s">
        <v>277</v>
      </c>
      <c r="J16" s="44">
        <v>28082.0</v>
      </c>
    </row>
    <row r="17" ht="60.0" customHeight="1">
      <c r="A17" s="40">
        <v>14.0</v>
      </c>
      <c r="B17" s="41" t="s">
        <v>100</v>
      </c>
      <c r="C17" s="41" t="s">
        <v>101</v>
      </c>
      <c r="D17" s="41" t="s">
        <v>102</v>
      </c>
      <c r="E17" s="41" t="s">
        <v>103</v>
      </c>
      <c r="F17" s="40" t="str">
        <f t="shared" si="1"/>
        <v>WRONG</v>
      </c>
      <c r="G17" s="40" t="s">
        <v>36</v>
      </c>
      <c r="H17" s="42" t="s">
        <v>48</v>
      </c>
      <c r="I17" s="43" t="s">
        <v>104</v>
      </c>
      <c r="J17" s="44">
        <v>36630.0</v>
      </c>
    </row>
    <row r="18" ht="60.0" customHeight="1">
      <c r="A18" s="40">
        <v>15.0</v>
      </c>
      <c r="B18" s="41" t="s">
        <v>105</v>
      </c>
      <c r="C18" s="41" t="s">
        <v>106</v>
      </c>
      <c r="D18" s="41" t="s">
        <v>107</v>
      </c>
      <c r="E18" s="41" t="s">
        <v>108</v>
      </c>
      <c r="F18" s="40" t="str">
        <f t="shared" si="1"/>
        <v>CORRECT</v>
      </c>
      <c r="G18" s="40" t="s">
        <v>48</v>
      </c>
      <c r="H18" s="42" t="s">
        <v>48</v>
      </c>
      <c r="I18" s="43" t="s">
        <v>278</v>
      </c>
      <c r="J18" s="44">
        <v>42942.0</v>
      </c>
    </row>
    <row r="19" ht="60.0" customHeight="1">
      <c r="A19" s="40">
        <v>16.0</v>
      </c>
      <c r="B19" s="41" t="s">
        <v>110</v>
      </c>
      <c r="C19" s="41" t="s">
        <v>111</v>
      </c>
      <c r="D19" s="41" t="s">
        <v>112</v>
      </c>
      <c r="E19" s="41" t="s">
        <v>113</v>
      </c>
      <c r="F19" s="40" t="str">
        <f t="shared" si="1"/>
        <v>CORRECT</v>
      </c>
      <c r="G19" s="40" t="s">
        <v>48</v>
      </c>
      <c r="H19" s="42" t="s">
        <v>48</v>
      </c>
      <c r="I19" s="43" t="s">
        <v>114</v>
      </c>
      <c r="J19" s="44">
        <v>38122.0</v>
      </c>
    </row>
    <row r="20" ht="60.0" customHeight="1">
      <c r="A20" s="40">
        <v>17.0</v>
      </c>
      <c r="B20" s="41" t="s">
        <v>115</v>
      </c>
      <c r="C20" s="41" t="s">
        <v>116</v>
      </c>
      <c r="D20" s="41" t="s">
        <v>117</v>
      </c>
      <c r="E20" s="41" t="s">
        <v>118</v>
      </c>
      <c r="F20" s="40" t="str">
        <f t="shared" si="1"/>
        <v>WRONG</v>
      </c>
      <c r="G20" s="40" t="s">
        <v>42</v>
      </c>
      <c r="H20" s="44" t="s">
        <v>36</v>
      </c>
      <c r="I20" s="43" t="s">
        <v>119</v>
      </c>
      <c r="J20" s="44">
        <v>31720.0</v>
      </c>
    </row>
    <row r="21" ht="60.0" customHeight="1">
      <c r="A21" s="40">
        <v>18.0</v>
      </c>
      <c r="B21" s="41" t="s">
        <v>120</v>
      </c>
      <c r="C21" s="41" t="s">
        <v>121</v>
      </c>
      <c r="D21" s="41" t="s">
        <v>122</v>
      </c>
      <c r="E21" s="41" t="s">
        <v>123</v>
      </c>
      <c r="F21" s="40" t="str">
        <f t="shared" si="1"/>
        <v>CORRECT</v>
      </c>
      <c r="G21" s="40" t="s">
        <v>42</v>
      </c>
      <c r="H21" s="44" t="s">
        <v>42</v>
      </c>
      <c r="I21" s="43" t="s">
        <v>124</v>
      </c>
      <c r="J21" s="44">
        <v>32075.0</v>
      </c>
    </row>
    <row r="22" ht="60.0" customHeight="1">
      <c r="A22" s="40">
        <v>19.0</v>
      </c>
      <c r="B22" s="41" t="s">
        <v>125</v>
      </c>
      <c r="C22" s="41" t="s">
        <v>126</v>
      </c>
      <c r="D22" s="41" t="s">
        <v>127</v>
      </c>
      <c r="E22" s="41" t="s">
        <v>128</v>
      </c>
      <c r="F22" s="40" t="str">
        <f t="shared" si="1"/>
        <v>WRONG</v>
      </c>
      <c r="G22" s="40" t="s">
        <v>36</v>
      </c>
      <c r="H22" s="42" t="s">
        <v>48</v>
      </c>
      <c r="I22" s="43" t="s">
        <v>279</v>
      </c>
      <c r="J22" s="44">
        <v>47638.0</v>
      </c>
    </row>
    <row r="23" ht="60.0" customHeight="1">
      <c r="A23" s="40">
        <v>20.0</v>
      </c>
      <c r="B23" s="41" t="s">
        <v>130</v>
      </c>
      <c r="C23" s="41" t="s">
        <v>131</v>
      </c>
      <c r="D23" s="41" t="s">
        <v>132</v>
      </c>
      <c r="E23" s="41" t="s">
        <v>133</v>
      </c>
      <c r="F23" s="40" t="str">
        <f t="shared" si="1"/>
        <v>CORRECT</v>
      </c>
      <c r="G23" s="40" t="s">
        <v>42</v>
      </c>
      <c r="H23" s="42" t="s">
        <v>42</v>
      </c>
      <c r="I23" s="43" t="s">
        <v>134</v>
      </c>
      <c r="J23" s="44">
        <v>17255.0</v>
      </c>
    </row>
    <row r="24" ht="60.0" customHeight="1">
      <c r="A24" s="40">
        <v>21.0</v>
      </c>
      <c r="B24" s="41" t="s">
        <v>135</v>
      </c>
      <c r="C24" s="41" t="s">
        <v>136</v>
      </c>
      <c r="D24" s="41" t="s">
        <v>137</v>
      </c>
      <c r="E24" s="41" t="s">
        <v>138</v>
      </c>
      <c r="F24" s="40" t="str">
        <f t="shared" si="1"/>
        <v>WRONG</v>
      </c>
      <c r="G24" s="40" t="s">
        <v>42</v>
      </c>
      <c r="H24" s="44" t="s">
        <v>36</v>
      </c>
      <c r="I24" s="43" t="s">
        <v>139</v>
      </c>
      <c r="J24" s="44">
        <v>24510.0</v>
      </c>
    </row>
    <row r="25" ht="60.0" customHeight="1">
      <c r="A25" s="40">
        <v>22.0</v>
      </c>
      <c r="B25" s="41" t="s">
        <v>140</v>
      </c>
      <c r="C25" s="41" t="s">
        <v>141</v>
      </c>
      <c r="D25" s="41" t="s">
        <v>142</v>
      </c>
      <c r="E25" s="41" t="s">
        <v>143</v>
      </c>
      <c r="F25" s="40" t="str">
        <f t="shared" si="1"/>
        <v>CORRECT</v>
      </c>
      <c r="G25" s="40" t="s">
        <v>42</v>
      </c>
      <c r="H25" s="44" t="s">
        <v>42</v>
      </c>
      <c r="I25" s="43" t="s">
        <v>144</v>
      </c>
      <c r="J25" s="44">
        <v>40048.0</v>
      </c>
    </row>
    <row r="26" ht="60.0" customHeight="1">
      <c r="A26" s="40">
        <v>23.0</v>
      </c>
      <c r="B26" s="41" t="s">
        <v>145</v>
      </c>
      <c r="C26" s="41" t="s">
        <v>146</v>
      </c>
      <c r="D26" s="41" t="s">
        <v>147</v>
      </c>
      <c r="E26" s="41" t="s">
        <v>148</v>
      </c>
      <c r="F26" s="40" t="str">
        <f t="shared" si="1"/>
        <v>CORRECT</v>
      </c>
      <c r="G26" s="40" t="s">
        <v>48</v>
      </c>
      <c r="H26" s="44" t="s">
        <v>48</v>
      </c>
      <c r="I26" s="43" t="s">
        <v>149</v>
      </c>
      <c r="J26" s="44">
        <v>18824.0</v>
      </c>
    </row>
    <row r="27" ht="60.0" customHeight="1">
      <c r="A27" s="40">
        <v>24.0</v>
      </c>
      <c r="B27" s="41" t="s">
        <v>150</v>
      </c>
      <c r="C27" s="41" t="s">
        <v>151</v>
      </c>
      <c r="D27" s="41" t="s">
        <v>152</v>
      </c>
      <c r="E27" s="41" t="s">
        <v>153</v>
      </c>
      <c r="F27" s="40" t="str">
        <f t="shared" si="1"/>
        <v>WRONG</v>
      </c>
      <c r="G27" s="40" t="s">
        <v>36</v>
      </c>
      <c r="H27" s="42" t="s">
        <v>48</v>
      </c>
      <c r="I27" s="43" t="s">
        <v>154</v>
      </c>
      <c r="J27" s="44">
        <v>35545.0</v>
      </c>
    </row>
    <row r="28" ht="60.0" customHeight="1">
      <c r="A28" s="40">
        <v>25.0</v>
      </c>
      <c r="B28" s="41" t="s">
        <v>155</v>
      </c>
      <c r="C28" s="41" t="s">
        <v>151</v>
      </c>
      <c r="D28" s="41" t="s">
        <v>156</v>
      </c>
      <c r="E28" s="41" t="s">
        <v>153</v>
      </c>
      <c r="F28" s="40" t="str">
        <f t="shared" si="1"/>
        <v>CORRECT</v>
      </c>
      <c r="G28" s="40" t="s">
        <v>48</v>
      </c>
      <c r="H28" s="42" t="s">
        <v>48</v>
      </c>
      <c r="I28" s="43" t="s">
        <v>157</v>
      </c>
      <c r="J28" s="44">
        <v>47835.0</v>
      </c>
    </row>
    <row r="29" ht="60.0" customHeight="1">
      <c r="A29" s="40">
        <v>26.0</v>
      </c>
      <c r="B29" s="41" t="s">
        <v>158</v>
      </c>
      <c r="C29" s="41" t="s">
        <v>159</v>
      </c>
      <c r="D29" s="41" t="s">
        <v>160</v>
      </c>
      <c r="E29" s="41" t="s">
        <v>161</v>
      </c>
      <c r="F29" s="40" t="str">
        <f t="shared" si="1"/>
        <v>WRONG</v>
      </c>
      <c r="G29" s="40" t="s">
        <v>36</v>
      </c>
      <c r="H29" s="42" t="s">
        <v>42</v>
      </c>
      <c r="I29" s="43" t="s">
        <v>162</v>
      </c>
      <c r="J29" s="44">
        <v>48185.0</v>
      </c>
    </row>
    <row r="30" ht="60.0" customHeight="1">
      <c r="A30" s="40">
        <v>27.0</v>
      </c>
      <c r="B30" s="41" t="s">
        <v>163</v>
      </c>
      <c r="C30" s="41" t="s">
        <v>164</v>
      </c>
      <c r="D30" s="41" t="s">
        <v>165</v>
      </c>
      <c r="E30" s="41" t="s">
        <v>166</v>
      </c>
      <c r="F30" s="40" t="str">
        <f t="shared" si="1"/>
        <v>CORRECT</v>
      </c>
      <c r="G30" s="40" t="s">
        <v>42</v>
      </c>
      <c r="H30" s="42" t="s">
        <v>42</v>
      </c>
      <c r="I30" s="43" t="s">
        <v>167</v>
      </c>
      <c r="J30" s="44">
        <v>43573.0</v>
      </c>
    </row>
    <row r="31" ht="60.0" customHeight="1">
      <c r="A31" s="40">
        <v>28.0</v>
      </c>
      <c r="B31" s="41" t="s">
        <v>168</v>
      </c>
      <c r="C31" s="41" t="s">
        <v>169</v>
      </c>
      <c r="D31" s="41" t="s">
        <v>170</v>
      </c>
      <c r="E31" s="41" t="s">
        <v>171</v>
      </c>
      <c r="F31" s="40" t="str">
        <f t="shared" si="1"/>
        <v>WRONG</v>
      </c>
      <c r="G31" s="40" t="s">
        <v>36</v>
      </c>
      <c r="H31" s="42" t="s">
        <v>42</v>
      </c>
      <c r="I31" s="43" t="s">
        <v>172</v>
      </c>
      <c r="J31" s="44">
        <v>31070.0</v>
      </c>
    </row>
    <row r="32" ht="60.0" customHeight="1">
      <c r="A32" s="40">
        <v>29.0</v>
      </c>
      <c r="B32" s="41" t="s">
        <v>173</v>
      </c>
      <c r="C32" s="41" t="s">
        <v>174</v>
      </c>
      <c r="D32" s="41" t="s">
        <v>175</v>
      </c>
      <c r="E32" s="41" t="s">
        <v>176</v>
      </c>
      <c r="F32" s="40" t="str">
        <f t="shared" si="1"/>
        <v>CORRECT</v>
      </c>
      <c r="G32" s="40" t="s">
        <v>42</v>
      </c>
      <c r="H32" s="42" t="s">
        <v>42</v>
      </c>
      <c r="I32" s="43" t="s">
        <v>177</v>
      </c>
      <c r="J32" s="44">
        <v>27520.0</v>
      </c>
    </row>
    <row r="33" ht="60.0" customHeight="1">
      <c r="A33" s="40">
        <v>30.0</v>
      </c>
      <c r="B33" s="41" t="s">
        <v>178</v>
      </c>
      <c r="C33" s="41" t="s">
        <v>179</v>
      </c>
      <c r="D33" s="41" t="s">
        <v>180</v>
      </c>
      <c r="E33" s="41" t="s">
        <v>181</v>
      </c>
      <c r="F33" s="40" t="str">
        <f t="shared" si="1"/>
        <v>WRONG</v>
      </c>
      <c r="G33" s="40" t="s">
        <v>48</v>
      </c>
      <c r="H33" s="44" t="s">
        <v>36</v>
      </c>
      <c r="I33" s="43" t="s">
        <v>182</v>
      </c>
      <c r="J33" s="44">
        <v>35700.0</v>
      </c>
    </row>
    <row r="34" ht="60.0" customHeight="1">
      <c r="A34" s="40">
        <v>31.0</v>
      </c>
      <c r="B34" s="41" t="s">
        <v>183</v>
      </c>
      <c r="C34" s="41" t="s">
        <v>184</v>
      </c>
      <c r="D34" s="41" t="s">
        <v>185</v>
      </c>
      <c r="E34" s="41" t="s">
        <v>186</v>
      </c>
      <c r="F34" s="40" t="str">
        <f t="shared" si="1"/>
        <v>WRONG</v>
      </c>
      <c r="G34" s="40" t="s">
        <v>42</v>
      </c>
      <c r="H34" s="42" t="s">
        <v>36</v>
      </c>
      <c r="I34" s="43" t="s">
        <v>187</v>
      </c>
      <c r="J34" s="44">
        <v>37957.0</v>
      </c>
    </row>
    <row r="35" ht="60.0" customHeight="1">
      <c r="A35" s="40">
        <v>32.0</v>
      </c>
      <c r="B35" s="41" t="s">
        <v>188</v>
      </c>
      <c r="C35" s="41" t="s">
        <v>189</v>
      </c>
      <c r="D35" s="41" t="s">
        <v>190</v>
      </c>
      <c r="E35" s="41" t="s">
        <v>191</v>
      </c>
      <c r="F35" s="40" t="str">
        <f t="shared" si="1"/>
        <v>CORRECT</v>
      </c>
      <c r="G35" s="40" t="s">
        <v>36</v>
      </c>
      <c r="H35" s="42" t="s">
        <v>36</v>
      </c>
      <c r="I35" s="43" t="s">
        <v>192</v>
      </c>
      <c r="J35" s="44">
        <v>44813.0</v>
      </c>
    </row>
    <row r="36" ht="60.0" customHeight="1">
      <c r="A36" s="40">
        <v>33.0</v>
      </c>
      <c r="B36" s="41" t="s">
        <v>193</v>
      </c>
      <c r="C36" s="41" t="s">
        <v>194</v>
      </c>
      <c r="D36" s="41" t="s">
        <v>195</v>
      </c>
      <c r="E36" s="41" t="s">
        <v>196</v>
      </c>
      <c r="F36" s="40" t="str">
        <f t="shared" si="1"/>
        <v>WRONG</v>
      </c>
      <c r="G36" s="40" t="s">
        <v>48</v>
      </c>
      <c r="H36" s="42" t="s">
        <v>42</v>
      </c>
      <c r="I36" s="43" t="s">
        <v>197</v>
      </c>
      <c r="J36" s="44">
        <v>33268.0</v>
      </c>
    </row>
    <row r="37" ht="60.0" customHeight="1">
      <c r="A37" s="40">
        <v>34.0</v>
      </c>
      <c r="B37" s="41" t="s">
        <v>198</v>
      </c>
      <c r="C37" s="41" t="s">
        <v>199</v>
      </c>
      <c r="D37" s="41" t="s">
        <v>200</v>
      </c>
      <c r="E37" s="41" t="s">
        <v>201</v>
      </c>
      <c r="F37" s="40" t="str">
        <f t="shared" si="1"/>
        <v>CORRECT</v>
      </c>
      <c r="G37" s="40" t="s">
        <v>36</v>
      </c>
      <c r="H37" s="44" t="s">
        <v>36</v>
      </c>
      <c r="I37" s="43" t="s">
        <v>202</v>
      </c>
      <c r="J37" s="44">
        <v>31025.0</v>
      </c>
    </row>
    <row r="38" ht="60.0" customHeight="1">
      <c r="A38" s="40">
        <v>35.0</v>
      </c>
      <c r="B38" s="41" t="s">
        <v>203</v>
      </c>
      <c r="C38" s="41" t="s">
        <v>204</v>
      </c>
      <c r="D38" s="41" t="s">
        <v>205</v>
      </c>
      <c r="E38" s="41" t="s">
        <v>206</v>
      </c>
      <c r="F38" s="40" t="str">
        <f t="shared" si="1"/>
        <v>CORRECT</v>
      </c>
      <c r="G38" s="40" t="s">
        <v>48</v>
      </c>
      <c r="H38" s="44" t="s">
        <v>48</v>
      </c>
      <c r="I38" s="43" t="s">
        <v>280</v>
      </c>
      <c r="J38" s="44">
        <v>45736.0</v>
      </c>
    </row>
    <row r="39" ht="60.0" customHeight="1">
      <c r="A39" s="40">
        <v>36.0</v>
      </c>
      <c r="B39" s="41" t="s">
        <v>208</v>
      </c>
      <c r="C39" s="41" t="s">
        <v>209</v>
      </c>
      <c r="D39" s="41" t="s">
        <v>210</v>
      </c>
      <c r="E39" s="41" t="s">
        <v>211</v>
      </c>
      <c r="F39" s="40" t="str">
        <f t="shared" si="1"/>
        <v>CORRECT</v>
      </c>
      <c r="G39" s="40" t="s">
        <v>36</v>
      </c>
      <c r="H39" s="44" t="s">
        <v>36</v>
      </c>
      <c r="I39" s="43" t="s">
        <v>212</v>
      </c>
      <c r="J39" s="44">
        <v>30446.0</v>
      </c>
    </row>
    <row r="40" ht="60.0" customHeight="1">
      <c r="A40" s="40">
        <v>37.0</v>
      </c>
      <c r="B40" s="41" t="s">
        <v>213</v>
      </c>
      <c r="C40" s="41" t="s">
        <v>214</v>
      </c>
      <c r="D40" s="41" t="s">
        <v>215</v>
      </c>
      <c r="E40" s="41" t="s">
        <v>216</v>
      </c>
      <c r="F40" s="40" t="str">
        <f t="shared" si="1"/>
        <v>CORRECT</v>
      </c>
      <c r="G40" s="40" t="s">
        <v>36</v>
      </c>
      <c r="H40" s="44" t="s">
        <v>36</v>
      </c>
      <c r="I40" s="43" t="s">
        <v>217</v>
      </c>
      <c r="J40" s="44">
        <v>23882.0</v>
      </c>
    </row>
    <row r="41" ht="60.0" customHeight="1">
      <c r="A41" s="40">
        <v>38.0</v>
      </c>
      <c r="B41" s="41" t="s">
        <v>218</v>
      </c>
      <c r="C41" s="41" t="s">
        <v>219</v>
      </c>
      <c r="D41" s="41" t="s">
        <v>220</v>
      </c>
      <c r="E41" s="41" t="s">
        <v>221</v>
      </c>
      <c r="F41" s="40" t="str">
        <f t="shared" si="1"/>
        <v>CORRECT</v>
      </c>
      <c r="G41" s="40" t="s">
        <v>36</v>
      </c>
      <c r="H41" s="44" t="s">
        <v>36</v>
      </c>
      <c r="I41" s="43" t="s">
        <v>222</v>
      </c>
      <c r="J41" s="44">
        <v>31502.0</v>
      </c>
    </row>
    <row r="42" ht="60.0" customHeight="1">
      <c r="A42" s="40">
        <v>39.0</v>
      </c>
      <c r="B42" s="41" t="s">
        <v>223</v>
      </c>
      <c r="C42" s="41" t="s">
        <v>224</v>
      </c>
      <c r="D42" s="41" t="s">
        <v>225</v>
      </c>
      <c r="E42" s="41" t="s">
        <v>226</v>
      </c>
      <c r="F42" s="40" t="str">
        <f t="shared" si="1"/>
        <v>WRONG</v>
      </c>
      <c r="G42" s="40" t="s">
        <v>42</v>
      </c>
      <c r="H42" s="44" t="s">
        <v>48</v>
      </c>
      <c r="I42" s="43" t="s">
        <v>227</v>
      </c>
      <c r="J42" s="44">
        <v>28072.0</v>
      </c>
    </row>
    <row r="43" ht="60.0" customHeight="1">
      <c r="A43" s="40">
        <v>40.0</v>
      </c>
      <c r="B43" s="41" t="s">
        <v>228</v>
      </c>
      <c r="C43" s="41" t="s">
        <v>229</v>
      </c>
      <c r="D43" s="41" t="s">
        <v>230</v>
      </c>
      <c r="E43" s="41" t="s">
        <v>231</v>
      </c>
      <c r="F43" s="40" t="str">
        <f t="shared" si="1"/>
        <v>CORRECT</v>
      </c>
      <c r="G43" s="40" t="s">
        <v>48</v>
      </c>
      <c r="H43" s="42" t="s">
        <v>48</v>
      </c>
      <c r="I43" s="43" t="s">
        <v>232</v>
      </c>
      <c r="J43" s="44">
        <v>39803.0</v>
      </c>
    </row>
    <row r="44" ht="60.0" customHeight="1">
      <c r="A44" s="40">
        <v>41.0</v>
      </c>
      <c r="B44" s="41" t="s">
        <v>233</v>
      </c>
      <c r="C44" s="41" t="s">
        <v>234</v>
      </c>
      <c r="D44" s="41" t="s">
        <v>235</v>
      </c>
      <c r="E44" s="41" t="s">
        <v>236</v>
      </c>
      <c r="F44" s="40" t="str">
        <f t="shared" si="1"/>
        <v>CORRECT</v>
      </c>
      <c r="G44" s="40" t="s">
        <v>42</v>
      </c>
      <c r="H44" s="44" t="s">
        <v>42</v>
      </c>
      <c r="I44" s="43" t="s">
        <v>237</v>
      </c>
      <c r="J44" s="44">
        <v>18800.0</v>
      </c>
    </row>
    <row r="45" ht="60.0" customHeight="1">
      <c r="A45" s="40">
        <v>42.0</v>
      </c>
      <c r="B45" s="41" t="s">
        <v>238</v>
      </c>
      <c r="C45" s="41" t="s">
        <v>239</v>
      </c>
      <c r="D45" s="41" t="s">
        <v>240</v>
      </c>
      <c r="E45" s="41" t="s">
        <v>241</v>
      </c>
      <c r="F45" s="40" t="str">
        <f t="shared" si="1"/>
        <v>WRONG</v>
      </c>
      <c r="G45" s="40" t="s">
        <v>36</v>
      </c>
      <c r="H45" s="42" t="s">
        <v>42</v>
      </c>
      <c r="I45" s="43" t="s">
        <v>242</v>
      </c>
      <c r="J45" s="44">
        <v>25751.0</v>
      </c>
    </row>
    <row r="46" ht="60.0" customHeight="1">
      <c r="A46" s="40">
        <v>43.0</v>
      </c>
      <c r="B46" s="41" t="s">
        <v>243</v>
      </c>
      <c r="C46" s="41" t="s">
        <v>244</v>
      </c>
      <c r="D46" s="41" t="s">
        <v>245</v>
      </c>
      <c r="E46" s="41" t="s">
        <v>246</v>
      </c>
      <c r="F46" s="40" t="str">
        <f t="shared" si="1"/>
        <v>CORRECT</v>
      </c>
      <c r="G46" s="40" t="s">
        <v>48</v>
      </c>
      <c r="H46" s="44" t="s">
        <v>48</v>
      </c>
      <c r="I46" s="43" t="s">
        <v>247</v>
      </c>
      <c r="J46" s="44">
        <v>36741.0</v>
      </c>
    </row>
    <row r="47" ht="60.0" customHeight="1">
      <c r="A47" s="40">
        <v>44.0</v>
      </c>
      <c r="B47" s="41" t="s">
        <v>248</v>
      </c>
      <c r="C47" s="41" t="s">
        <v>249</v>
      </c>
      <c r="D47" s="41" t="s">
        <v>250</v>
      </c>
      <c r="E47" s="41" t="s">
        <v>251</v>
      </c>
      <c r="F47" s="40" t="str">
        <f t="shared" si="1"/>
        <v>WRONG</v>
      </c>
      <c r="G47" s="40" t="s">
        <v>36</v>
      </c>
      <c r="H47" s="42" t="s">
        <v>48</v>
      </c>
      <c r="I47" s="43" t="s">
        <v>252</v>
      </c>
      <c r="J47" s="44">
        <v>43089.0</v>
      </c>
    </row>
    <row r="48" ht="60.0" customHeight="1">
      <c r="A48" s="40">
        <v>45.0</v>
      </c>
      <c r="B48" s="41" t="s">
        <v>253</v>
      </c>
      <c r="C48" s="41" t="s">
        <v>254</v>
      </c>
      <c r="D48" s="41" t="s">
        <v>255</v>
      </c>
      <c r="E48" s="41" t="s">
        <v>256</v>
      </c>
      <c r="F48" s="40" t="str">
        <f t="shared" si="1"/>
        <v>WRONG</v>
      </c>
      <c r="G48" s="40" t="s">
        <v>36</v>
      </c>
      <c r="H48" s="42" t="s">
        <v>48</v>
      </c>
      <c r="I48" s="43" t="s">
        <v>281</v>
      </c>
      <c r="J48" s="44">
        <v>36260.0</v>
      </c>
    </row>
    <row r="49" ht="60.0" customHeight="1">
      <c r="A49" s="40">
        <v>46.0</v>
      </c>
      <c r="B49" s="41" t="s">
        <v>258</v>
      </c>
      <c r="C49" s="41" t="s">
        <v>39</v>
      </c>
      <c r="D49" s="41" t="s">
        <v>259</v>
      </c>
      <c r="E49" s="41" t="s">
        <v>260</v>
      </c>
      <c r="F49" s="40" t="str">
        <f t="shared" si="1"/>
        <v>CORRECT</v>
      </c>
      <c r="G49" s="40" t="s">
        <v>36</v>
      </c>
      <c r="H49" s="42" t="s">
        <v>36</v>
      </c>
      <c r="I49" s="43" t="s">
        <v>261</v>
      </c>
      <c r="J49" s="44">
        <v>48735.0</v>
      </c>
    </row>
    <row r="50">
      <c r="A50" s="45" t="s">
        <v>262</v>
      </c>
      <c r="B50" s="2"/>
      <c r="C50" s="2"/>
      <c r="D50" s="2"/>
      <c r="E50" s="3"/>
      <c r="F50" s="46">
        <f>COUNTIFS(F4:F49,"CORRECT")</f>
        <v>30</v>
      </c>
      <c r="G50" s="47"/>
      <c r="H50" s="47"/>
      <c r="J50" s="48">
        <f>AVERAGE(J4:J49)</f>
        <v>36167.34783</v>
      </c>
    </row>
    <row r="51">
      <c r="A51" s="49" t="s">
        <v>263</v>
      </c>
      <c r="B51" s="2"/>
      <c r="C51" s="2"/>
      <c r="D51" s="2"/>
      <c r="E51" s="3"/>
      <c r="F51" s="50">
        <v>46.0</v>
      </c>
      <c r="G51" s="47"/>
      <c r="H51" s="47"/>
    </row>
    <row r="52">
      <c r="A52" s="45" t="s">
        <v>264</v>
      </c>
      <c r="B52" s="2"/>
      <c r="C52" s="2"/>
      <c r="D52" s="2"/>
      <c r="E52" s="3"/>
      <c r="F52" s="51">
        <f>F50/F51</f>
        <v>0.652173913</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282</v>
      </c>
      <c r="C2" s="2"/>
      <c r="D2" s="2"/>
      <c r="E2" s="2"/>
      <c r="F2" s="2"/>
      <c r="G2" s="2"/>
      <c r="H2" s="3"/>
      <c r="I2" s="38" t="s">
        <v>283</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53" t="s">
        <v>284</v>
      </c>
      <c r="J4" s="44">
        <v>42675.0</v>
      </c>
    </row>
    <row r="5" ht="60.0" customHeight="1">
      <c r="A5" s="40">
        <v>2.0</v>
      </c>
      <c r="B5" s="41" t="s">
        <v>38</v>
      </c>
      <c r="C5" s="41" t="s">
        <v>39</v>
      </c>
      <c r="D5" s="41" t="s">
        <v>40</v>
      </c>
      <c r="E5" s="41" t="s">
        <v>41</v>
      </c>
      <c r="F5" s="40" t="str">
        <f t="shared" si="1"/>
        <v>CORRECT</v>
      </c>
      <c r="G5" s="40" t="s">
        <v>42</v>
      </c>
      <c r="H5" s="44" t="s">
        <v>42</v>
      </c>
      <c r="I5" s="53" t="s">
        <v>268</v>
      </c>
      <c r="J5" s="44">
        <v>40796.0</v>
      </c>
    </row>
    <row r="6" ht="60.0" customHeight="1">
      <c r="A6" s="40">
        <v>3.0</v>
      </c>
      <c r="B6" s="41" t="s">
        <v>44</v>
      </c>
      <c r="C6" s="41" t="s">
        <v>45</v>
      </c>
      <c r="D6" s="41" t="s">
        <v>46</v>
      </c>
      <c r="E6" s="41" t="s">
        <v>47</v>
      </c>
      <c r="F6" s="40" t="str">
        <f t="shared" si="1"/>
        <v>CORRECT</v>
      </c>
      <c r="G6" s="40" t="s">
        <v>48</v>
      </c>
      <c r="H6" s="42" t="s">
        <v>48</v>
      </c>
      <c r="I6" s="53" t="s">
        <v>285</v>
      </c>
      <c r="J6" s="44">
        <v>33892.0</v>
      </c>
    </row>
    <row r="7" ht="60.0" customHeight="1">
      <c r="A7" s="40">
        <v>4.0</v>
      </c>
      <c r="B7" s="41" t="s">
        <v>50</v>
      </c>
      <c r="C7" s="41" t="s">
        <v>51</v>
      </c>
      <c r="D7" s="41" t="s">
        <v>52</v>
      </c>
      <c r="E7" s="41" t="s">
        <v>53</v>
      </c>
      <c r="F7" s="40" t="str">
        <f t="shared" si="1"/>
        <v>CORRECT</v>
      </c>
      <c r="G7" s="40" t="s">
        <v>42</v>
      </c>
      <c r="H7" s="44" t="s">
        <v>42</v>
      </c>
      <c r="I7" s="53" t="s">
        <v>286</v>
      </c>
      <c r="J7" s="44">
        <v>39755.0</v>
      </c>
    </row>
    <row r="8" ht="60.0" customHeight="1">
      <c r="A8" s="40">
        <v>5.0</v>
      </c>
      <c r="B8" s="41" t="s">
        <v>55</v>
      </c>
      <c r="C8" s="41" t="s">
        <v>56</v>
      </c>
      <c r="D8" s="41" t="s">
        <v>57</v>
      </c>
      <c r="E8" s="41" t="s">
        <v>58</v>
      </c>
      <c r="F8" s="40" t="str">
        <f t="shared" si="1"/>
        <v>CORRECT</v>
      </c>
      <c r="G8" s="40" t="s">
        <v>48</v>
      </c>
      <c r="H8" s="42" t="s">
        <v>48</v>
      </c>
      <c r="I8" s="53" t="s">
        <v>287</v>
      </c>
      <c r="J8" s="44">
        <v>67364.0</v>
      </c>
    </row>
    <row r="9" ht="60.0" customHeight="1">
      <c r="A9" s="40">
        <v>6.0</v>
      </c>
      <c r="B9" s="41" t="s">
        <v>60</v>
      </c>
      <c r="C9" s="41" t="s">
        <v>61</v>
      </c>
      <c r="D9" s="41" t="s">
        <v>62</v>
      </c>
      <c r="E9" s="41" t="s">
        <v>63</v>
      </c>
      <c r="F9" s="40" t="str">
        <f t="shared" si="1"/>
        <v>CORRECT</v>
      </c>
      <c r="G9" s="40" t="s">
        <v>42</v>
      </c>
      <c r="H9" s="42" t="s">
        <v>42</v>
      </c>
      <c r="I9" s="53" t="s">
        <v>288</v>
      </c>
      <c r="J9" s="44">
        <v>41706.0</v>
      </c>
    </row>
    <row r="10" ht="60.0" customHeight="1">
      <c r="A10" s="40">
        <v>7.0</v>
      </c>
      <c r="B10" s="41" t="s">
        <v>65</v>
      </c>
      <c r="C10" s="41" t="s">
        <v>66</v>
      </c>
      <c r="D10" s="41" t="s">
        <v>67</v>
      </c>
      <c r="E10" s="41" t="s">
        <v>68</v>
      </c>
      <c r="F10" s="40" t="str">
        <f t="shared" si="1"/>
        <v>WRONG</v>
      </c>
      <c r="G10" s="40" t="s">
        <v>42</v>
      </c>
      <c r="H10" s="42" t="s">
        <v>36</v>
      </c>
      <c r="I10" s="53" t="s">
        <v>272</v>
      </c>
      <c r="J10" s="44">
        <v>25809.0</v>
      </c>
    </row>
    <row r="11" ht="60.0" customHeight="1">
      <c r="A11" s="40">
        <v>8.0</v>
      </c>
      <c r="B11" s="41" t="s">
        <v>70</v>
      </c>
      <c r="C11" s="41" t="s">
        <v>71</v>
      </c>
      <c r="D11" s="41" t="s">
        <v>72</v>
      </c>
      <c r="E11" s="41" t="s">
        <v>73</v>
      </c>
      <c r="F11" s="40" t="str">
        <f t="shared" si="1"/>
        <v>WRONG</v>
      </c>
      <c r="G11" s="40" t="s">
        <v>48</v>
      </c>
      <c r="H11" s="42" t="s">
        <v>42</v>
      </c>
      <c r="I11" s="53" t="s">
        <v>289</v>
      </c>
      <c r="J11" s="44">
        <v>49709.0</v>
      </c>
    </row>
    <row r="12" ht="60.0" customHeight="1">
      <c r="A12" s="40">
        <v>9.0</v>
      </c>
      <c r="B12" s="41" t="s">
        <v>75</v>
      </c>
      <c r="C12" s="41" t="s">
        <v>76</v>
      </c>
      <c r="D12" s="41" t="s">
        <v>77</v>
      </c>
      <c r="E12" s="41" t="s">
        <v>78</v>
      </c>
      <c r="F12" s="40" t="str">
        <f t="shared" si="1"/>
        <v>CORRECT</v>
      </c>
      <c r="G12" s="40" t="s">
        <v>42</v>
      </c>
      <c r="H12" s="42" t="s">
        <v>42</v>
      </c>
      <c r="I12" s="53" t="s">
        <v>79</v>
      </c>
      <c r="J12" s="44">
        <v>31588.0</v>
      </c>
    </row>
    <row r="13" ht="60.0" customHeight="1">
      <c r="A13" s="40">
        <v>10.0</v>
      </c>
      <c r="B13" s="41" t="s">
        <v>80</v>
      </c>
      <c r="C13" s="41" t="s">
        <v>81</v>
      </c>
      <c r="D13" s="41" t="s">
        <v>82</v>
      </c>
      <c r="E13" s="41" t="s">
        <v>83</v>
      </c>
      <c r="F13" s="40" t="str">
        <f t="shared" si="1"/>
        <v>CORRECT</v>
      </c>
      <c r="G13" s="40" t="s">
        <v>48</v>
      </c>
      <c r="H13" s="44" t="s">
        <v>48</v>
      </c>
      <c r="I13" s="53" t="s">
        <v>290</v>
      </c>
      <c r="J13" s="44">
        <v>33105.0</v>
      </c>
    </row>
    <row r="14" ht="60.0" customHeight="1">
      <c r="A14" s="40">
        <v>11.0</v>
      </c>
      <c r="B14" s="41" t="s">
        <v>85</v>
      </c>
      <c r="C14" s="41" t="s">
        <v>86</v>
      </c>
      <c r="D14" s="41" t="s">
        <v>87</v>
      </c>
      <c r="E14" s="41" t="s">
        <v>88</v>
      </c>
      <c r="F14" s="40" t="str">
        <f t="shared" si="1"/>
        <v>WRONG</v>
      </c>
      <c r="G14" s="40" t="s">
        <v>42</v>
      </c>
      <c r="H14" s="42" t="s">
        <v>48</v>
      </c>
      <c r="I14" s="53" t="s">
        <v>291</v>
      </c>
      <c r="J14" s="44">
        <v>66599.0</v>
      </c>
    </row>
    <row r="15" ht="60.0" customHeight="1">
      <c r="A15" s="40">
        <v>12.0</v>
      </c>
      <c r="B15" s="41" t="s">
        <v>90</v>
      </c>
      <c r="C15" s="41" t="s">
        <v>91</v>
      </c>
      <c r="D15" s="41" t="s">
        <v>92</v>
      </c>
      <c r="E15" s="41" t="s">
        <v>93</v>
      </c>
      <c r="F15" s="40" t="str">
        <f t="shared" si="1"/>
        <v>CORRECT</v>
      </c>
      <c r="G15" s="40" t="s">
        <v>48</v>
      </c>
      <c r="H15" s="42" t="s">
        <v>48</v>
      </c>
      <c r="I15" s="53" t="s">
        <v>292</v>
      </c>
      <c r="J15" s="44">
        <v>43130.0</v>
      </c>
    </row>
    <row r="16" ht="60.0" customHeight="1">
      <c r="A16" s="40">
        <v>13.0</v>
      </c>
      <c r="B16" s="41" t="s">
        <v>95</v>
      </c>
      <c r="C16" s="41" t="s">
        <v>96</v>
      </c>
      <c r="D16" s="41" t="s">
        <v>97</v>
      </c>
      <c r="E16" s="41" t="s">
        <v>98</v>
      </c>
      <c r="F16" s="40" t="str">
        <f t="shared" si="1"/>
        <v>WRONG</v>
      </c>
      <c r="G16" s="40" t="s">
        <v>36</v>
      </c>
      <c r="H16" s="42" t="s">
        <v>48</v>
      </c>
      <c r="I16" s="53" t="s">
        <v>293</v>
      </c>
      <c r="J16" s="44">
        <v>31475.0</v>
      </c>
    </row>
    <row r="17" ht="60.0" customHeight="1">
      <c r="A17" s="40">
        <v>14.0</v>
      </c>
      <c r="B17" s="41" t="s">
        <v>100</v>
      </c>
      <c r="C17" s="41" t="s">
        <v>101</v>
      </c>
      <c r="D17" s="41" t="s">
        <v>102</v>
      </c>
      <c r="E17" s="41" t="s">
        <v>103</v>
      </c>
      <c r="F17" s="40" t="str">
        <f t="shared" si="1"/>
        <v>WRONG</v>
      </c>
      <c r="G17" s="40" t="s">
        <v>36</v>
      </c>
      <c r="H17" s="42" t="s">
        <v>48</v>
      </c>
      <c r="I17" s="53" t="s">
        <v>294</v>
      </c>
      <c r="J17" s="44">
        <v>27673.0</v>
      </c>
    </row>
    <row r="18" ht="60.0" customHeight="1">
      <c r="A18" s="40">
        <v>15.0</v>
      </c>
      <c r="B18" s="41" t="s">
        <v>105</v>
      </c>
      <c r="C18" s="41" t="s">
        <v>106</v>
      </c>
      <c r="D18" s="41" t="s">
        <v>107</v>
      </c>
      <c r="E18" s="41" t="s">
        <v>108</v>
      </c>
      <c r="F18" s="40" t="str">
        <f t="shared" si="1"/>
        <v>CORRECT</v>
      </c>
      <c r="G18" s="40" t="s">
        <v>48</v>
      </c>
      <c r="H18" s="42" t="s">
        <v>48</v>
      </c>
      <c r="I18" s="53" t="s">
        <v>295</v>
      </c>
      <c r="J18" s="44">
        <v>42704.0</v>
      </c>
    </row>
    <row r="19" ht="60.0" customHeight="1">
      <c r="A19" s="40">
        <v>16.0</v>
      </c>
      <c r="B19" s="41" t="s">
        <v>110</v>
      </c>
      <c r="C19" s="41" t="s">
        <v>111</v>
      </c>
      <c r="D19" s="41" t="s">
        <v>112</v>
      </c>
      <c r="E19" s="41" t="s">
        <v>113</v>
      </c>
      <c r="F19" s="40" t="str">
        <f t="shared" si="1"/>
        <v>CORRECT</v>
      </c>
      <c r="G19" s="40" t="s">
        <v>48</v>
      </c>
      <c r="H19" s="42" t="s">
        <v>48</v>
      </c>
      <c r="I19" s="53" t="s">
        <v>296</v>
      </c>
      <c r="J19" s="44">
        <v>30950.0</v>
      </c>
    </row>
    <row r="20" ht="60.0" customHeight="1">
      <c r="A20" s="40">
        <v>17.0</v>
      </c>
      <c r="B20" s="41" t="s">
        <v>115</v>
      </c>
      <c r="C20" s="41" t="s">
        <v>116</v>
      </c>
      <c r="D20" s="41" t="s">
        <v>117</v>
      </c>
      <c r="E20" s="41" t="s">
        <v>118</v>
      </c>
      <c r="F20" s="40" t="str">
        <f t="shared" si="1"/>
        <v>WRONG</v>
      </c>
      <c r="G20" s="40" t="s">
        <v>42</v>
      </c>
      <c r="H20" s="42" t="s">
        <v>36</v>
      </c>
      <c r="I20" s="53" t="s">
        <v>119</v>
      </c>
      <c r="J20" s="44">
        <v>29658.0</v>
      </c>
    </row>
    <row r="21" ht="60.0" customHeight="1">
      <c r="A21" s="40">
        <v>18.0</v>
      </c>
      <c r="B21" s="41" t="s">
        <v>120</v>
      </c>
      <c r="C21" s="41" t="s">
        <v>121</v>
      </c>
      <c r="D21" s="41" t="s">
        <v>122</v>
      </c>
      <c r="E21" s="41" t="s">
        <v>123</v>
      </c>
      <c r="F21" s="40" t="str">
        <f t="shared" si="1"/>
        <v>CORRECT</v>
      </c>
      <c r="G21" s="40" t="s">
        <v>42</v>
      </c>
      <c r="H21" s="42" t="s">
        <v>42</v>
      </c>
      <c r="I21" s="53" t="s">
        <v>297</v>
      </c>
      <c r="J21" s="44">
        <v>28470.0</v>
      </c>
    </row>
    <row r="22" ht="60.0" customHeight="1">
      <c r="A22" s="40">
        <v>19.0</v>
      </c>
      <c r="B22" s="41" t="s">
        <v>125</v>
      </c>
      <c r="C22" s="41" t="s">
        <v>126</v>
      </c>
      <c r="D22" s="41" t="s">
        <v>127</v>
      </c>
      <c r="E22" s="41" t="s">
        <v>128</v>
      </c>
      <c r="F22" s="40" t="str">
        <f t="shared" si="1"/>
        <v>WRONG</v>
      </c>
      <c r="G22" s="40" t="s">
        <v>36</v>
      </c>
      <c r="H22" s="42" t="s">
        <v>48</v>
      </c>
      <c r="I22" s="53" t="s">
        <v>298</v>
      </c>
      <c r="J22" s="44">
        <v>41681.0</v>
      </c>
    </row>
    <row r="23" ht="60.0" customHeight="1">
      <c r="A23" s="40">
        <v>20.0</v>
      </c>
      <c r="B23" s="41" t="s">
        <v>130</v>
      </c>
      <c r="C23" s="41" t="s">
        <v>131</v>
      </c>
      <c r="D23" s="41" t="s">
        <v>132</v>
      </c>
      <c r="E23" s="41" t="s">
        <v>133</v>
      </c>
      <c r="F23" s="40" t="str">
        <f t="shared" si="1"/>
        <v>CORRECT</v>
      </c>
      <c r="G23" s="40" t="s">
        <v>42</v>
      </c>
      <c r="H23" s="42" t="s">
        <v>42</v>
      </c>
      <c r="I23" s="53" t="s">
        <v>134</v>
      </c>
      <c r="J23" s="44">
        <v>16227.0</v>
      </c>
    </row>
    <row r="24" ht="60.0" customHeight="1">
      <c r="A24" s="40">
        <v>21.0</v>
      </c>
      <c r="B24" s="41" t="s">
        <v>135</v>
      </c>
      <c r="C24" s="41" t="s">
        <v>136</v>
      </c>
      <c r="D24" s="41" t="s">
        <v>137</v>
      </c>
      <c r="E24" s="41" t="s">
        <v>138</v>
      </c>
      <c r="F24" s="40" t="str">
        <f t="shared" si="1"/>
        <v>WRONG</v>
      </c>
      <c r="G24" s="40" t="s">
        <v>42</v>
      </c>
      <c r="H24" s="44" t="s">
        <v>36</v>
      </c>
      <c r="I24" s="53" t="s">
        <v>139</v>
      </c>
      <c r="J24" s="44">
        <v>22873.0</v>
      </c>
    </row>
    <row r="25" ht="60.0" customHeight="1">
      <c r="A25" s="40">
        <v>22.0</v>
      </c>
      <c r="B25" s="41" t="s">
        <v>140</v>
      </c>
      <c r="C25" s="41" t="s">
        <v>141</v>
      </c>
      <c r="D25" s="41" t="s">
        <v>142</v>
      </c>
      <c r="E25" s="41" t="s">
        <v>143</v>
      </c>
      <c r="F25" s="40" t="str">
        <f t="shared" si="1"/>
        <v>CORRECT</v>
      </c>
      <c r="G25" s="40" t="s">
        <v>42</v>
      </c>
      <c r="H25" s="44" t="s">
        <v>42</v>
      </c>
      <c r="I25" s="53" t="s">
        <v>299</v>
      </c>
      <c r="J25" s="44">
        <v>23695.0</v>
      </c>
    </row>
    <row r="26" ht="60.0" customHeight="1">
      <c r="A26" s="40">
        <v>23.0</v>
      </c>
      <c r="B26" s="41" t="s">
        <v>145</v>
      </c>
      <c r="C26" s="41" t="s">
        <v>146</v>
      </c>
      <c r="D26" s="41" t="s">
        <v>147</v>
      </c>
      <c r="E26" s="41" t="s">
        <v>148</v>
      </c>
      <c r="F26" s="40" t="str">
        <f t="shared" si="1"/>
        <v>CORRECT</v>
      </c>
      <c r="G26" s="40" t="s">
        <v>48</v>
      </c>
      <c r="H26" s="44" t="s">
        <v>48</v>
      </c>
      <c r="I26" s="53" t="s">
        <v>300</v>
      </c>
      <c r="J26" s="44">
        <v>19342.0</v>
      </c>
    </row>
    <row r="27" ht="60.0" customHeight="1">
      <c r="A27" s="40">
        <v>24.0</v>
      </c>
      <c r="B27" s="41" t="s">
        <v>150</v>
      </c>
      <c r="C27" s="41" t="s">
        <v>151</v>
      </c>
      <c r="D27" s="41" t="s">
        <v>152</v>
      </c>
      <c r="E27" s="41" t="s">
        <v>153</v>
      </c>
      <c r="F27" s="40" t="str">
        <f t="shared" si="1"/>
        <v>CORRECT</v>
      </c>
      <c r="G27" s="40" t="s">
        <v>36</v>
      </c>
      <c r="H27" s="44" t="s">
        <v>36</v>
      </c>
      <c r="I27" s="53" t="s">
        <v>301</v>
      </c>
      <c r="J27" s="44">
        <v>30078.0</v>
      </c>
    </row>
    <row r="28" ht="60.0" customHeight="1">
      <c r="A28" s="40">
        <v>25.0</v>
      </c>
      <c r="B28" s="41" t="s">
        <v>155</v>
      </c>
      <c r="C28" s="41" t="s">
        <v>151</v>
      </c>
      <c r="D28" s="41" t="s">
        <v>156</v>
      </c>
      <c r="E28" s="41" t="s">
        <v>153</v>
      </c>
      <c r="F28" s="40" t="str">
        <f t="shared" si="1"/>
        <v>CORRECT</v>
      </c>
      <c r="G28" s="40" t="s">
        <v>48</v>
      </c>
      <c r="H28" s="42" t="s">
        <v>48</v>
      </c>
      <c r="I28" s="53" t="s">
        <v>157</v>
      </c>
      <c r="J28" s="44">
        <v>45605.0</v>
      </c>
    </row>
    <row r="29" ht="60.0" customHeight="1">
      <c r="A29" s="40">
        <v>26.0</v>
      </c>
      <c r="B29" s="41" t="s">
        <v>158</v>
      </c>
      <c r="C29" s="41" t="s">
        <v>159</v>
      </c>
      <c r="D29" s="41" t="s">
        <v>160</v>
      </c>
      <c r="E29" s="41" t="s">
        <v>161</v>
      </c>
      <c r="F29" s="40" t="str">
        <f t="shared" si="1"/>
        <v>WRONG</v>
      </c>
      <c r="G29" s="40" t="s">
        <v>36</v>
      </c>
      <c r="H29" s="42" t="s">
        <v>48</v>
      </c>
      <c r="I29" s="53" t="s">
        <v>302</v>
      </c>
      <c r="J29" s="44">
        <v>33954.0</v>
      </c>
    </row>
    <row r="30" ht="60.0" customHeight="1">
      <c r="A30" s="40">
        <v>27.0</v>
      </c>
      <c r="B30" s="41" t="s">
        <v>163</v>
      </c>
      <c r="C30" s="41" t="s">
        <v>164</v>
      </c>
      <c r="D30" s="41" t="s">
        <v>165</v>
      </c>
      <c r="E30" s="41" t="s">
        <v>166</v>
      </c>
      <c r="F30" s="40" t="str">
        <f t="shared" si="1"/>
        <v>CORRECT</v>
      </c>
      <c r="G30" s="40" t="s">
        <v>42</v>
      </c>
      <c r="H30" s="44" t="s">
        <v>42</v>
      </c>
      <c r="I30" s="53" t="s">
        <v>303</v>
      </c>
      <c r="J30" s="44">
        <v>38699.0</v>
      </c>
    </row>
    <row r="31" ht="60.0" customHeight="1">
      <c r="A31" s="40">
        <v>28.0</v>
      </c>
      <c r="B31" s="41" t="s">
        <v>168</v>
      </c>
      <c r="C31" s="41" t="s">
        <v>169</v>
      </c>
      <c r="D31" s="41" t="s">
        <v>170</v>
      </c>
      <c r="E31" s="41" t="s">
        <v>171</v>
      </c>
      <c r="F31" s="40" t="str">
        <f t="shared" si="1"/>
        <v>WRONG</v>
      </c>
      <c r="G31" s="40" t="s">
        <v>36</v>
      </c>
      <c r="H31" s="42" t="s">
        <v>42</v>
      </c>
      <c r="I31" s="53" t="s">
        <v>304</v>
      </c>
      <c r="J31" s="44">
        <v>31143.0</v>
      </c>
    </row>
    <row r="32" ht="60.0" customHeight="1">
      <c r="A32" s="40">
        <v>29.0</v>
      </c>
      <c r="B32" s="41" t="s">
        <v>173</v>
      </c>
      <c r="C32" s="41" t="s">
        <v>174</v>
      </c>
      <c r="D32" s="41" t="s">
        <v>175</v>
      </c>
      <c r="E32" s="41" t="s">
        <v>176</v>
      </c>
      <c r="F32" s="40" t="str">
        <f t="shared" si="1"/>
        <v>CORRECT</v>
      </c>
      <c r="G32" s="40" t="s">
        <v>42</v>
      </c>
      <c r="H32" s="42" t="s">
        <v>42</v>
      </c>
      <c r="I32" s="53" t="s">
        <v>177</v>
      </c>
      <c r="J32" s="44">
        <v>28262.0</v>
      </c>
    </row>
    <row r="33" ht="60.0" customHeight="1">
      <c r="A33" s="40">
        <v>30.0</v>
      </c>
      <c r="B33" s="41" t="s">
        <v>178</v>
      </c>
      <c r="C33" s="41" t="s">
        <v>179</v>
      </c>
      <c r="D33" s="41" t="s">
        <v>180</v>
      </c>
      <c r="E33" s="41" t="s">
        <v>181</v>
      </c>
      <c r="F33" s="40" t="str">
        <f t="shared" si="1"/>
        <v>WRONG</v>
      </c>
      <c r="G33" s="40" t="s">
        <v>48</v>
      </c>
      <c r="H33" s="44" t="s">
        <v>36</v>
      </c>
      <c r="I33" s="53" t="s">
        <v>182</v>
      </c>
      <c r="J33" s="44">
        <v>37618.0</v>
      </c>
    </row>
    <row r="34" ht="60.0" customHeight="1">
      <c r="A34" s="40">
        <v>31.0</v>
      </c>
      <c r="B34" s="41" t="s">
        <v>183</v>
      </c>
      <c r="C34" s="41" t="s">
        <v>184</v>
      </c>
      <c r="D34" s="41" t="s">
        <v>185</v>
      </c>
      <c r="E34" s="41" t="s">
        <v>186</v>
      </c>
      <c r="F34" s="40" t="str">
        <f t="shared" si="1"/>
        <v>WRONG</v>
      </c>
      <c r="G34" s="40" t="s">
        <v>42</v>
      </c>
      <c r="H34" s="44" t="s">
        <v>36</v>
      </c>
      <c r="I34" s="53" t="s">
        <v>305</v>
      </c>
      <c r="J34" s="44">
        <v>37111.0</v>
      </c>
    </row>
    <row r="35" ht="60.0" customHeight="1">
      <c r="A35" s="40">
        <v>32.0</v>
      </c>
      <c r="B35" s="41" t="s">
        <v>188</v>
      </c>
      <c r="C35" s="41" t="s">
        <v>189</v>
      </c>
      <c r="D35" s="41" t="s">
        <v>190</v>
      </c>
      <c r="E35" s="41" t="s">
        <v>191</v>
      </c>
      <c r="F35" s="40" t="str">
        <f t="shared" si="1"/>
        <v>CORRECT</v>
      </c>
      <c r="G35" s="40" t="s">
        <v>36</v>
      </c>
      <c r="H35" s="42" t="s">
        <v>36</v>
      </c>
      <c r="I35" s="53" t="s">
        <v>192</v>
      </c>
      <c r="J35" s="44">
        <v>48075.0</v>
      </c>
    </row>
    <row r="36" ht="60.0" customHeight="1">
      <c r="A36" s="40">
        <v>33.0</v>
      </c>
      <c r="B36" s="41" t="s">
        <v>193</v>
      </c>
      <c r="C36" s="41" t="s">
        <v>194</v>
      </c>
      <c r="D36" s="41" t="s">
        <v>195</v>
      </c>
      <c r="E36" s="41" t="s">
        <v>196</v>
      </c>
      <c r="F36" s="40" t="str">
        <f t="shared" si="1"/>
        <v>WRONG</v>
      </c>
      <c r="G36" s="40" t="s">
        <v>48</v>
      </c>
      <c r="H36" s="42" t="s">
        <v>42</v>
      </c>
      <c r="I36" s="53" t="s">
        <v>197</v>
      </c>
      <c r="J36" s="44">
        <v>36590.0</v>
      </c>
    </row>
    <row r="37" ht="60.0" customHeight="1">
      <c r="A37" s="40">
        <v>34.0</v>
      </c>
      <c r="B37" s="41" t="s">
        <v>198</v>
      </c>
      <c r="C37" s="41" t="s">
        <v>199</v>
      </c>
      <c r="D37" s="41" t="s">
        <v>200</v>
      </c>
      <c r="E37" s="41" t="s">
        <v>201</v>
      </c>
      <c r="F37" s="40" t="str">
        <f t="shared" si="1"/>
        <v>CORRECT</v>
      </c>
      <c r="G37" s="40" t="s">
        <v>36</v>
      </c>
      <c r="H37" s="44" t="s">
        <v>36</v>
      </c>
      <c r="I37" s="53" t="s">
        <v>202</v>
      </c>
      <c r="J37" s="44">
        <v>32119.0</v>
      </c>
    </row>
    <row r="38" ht="60.0" customHeight="1">
      <c r="A38" s="40">
        <v>35.0</v>
      </c>
      <c r="B38" s="41" t="s">
        <v>203</v>
      </c>
      <c r="C38" s="41" t="s">
        <v>204</v>
      </c>
      <c r="D38" s="41" t="s">
        <v>205</v>
      </c>
      <c r="E38" s="41" t="s">
        <v>206</v>
      </c>
      <c r="F38" s="40" t="str">
        <f t="shared" si="1"/>
        <v>CORRECT</v>
      </c>
      <c r="G38" s="40" t="s">
        <v>48</v>
      </c>
      <c r="H38" s="44" t="s">
        <v>48</v>
      </c>
      <c r="I38" s="53" t="s">
        <v>207</v>
      </c>
      <c r="J38" s="44">
        <v>38542.0</v>
      </c>
    </row>
    <row r="39" ht="60.0" customHeight="1">
      <c r="A39" s="40">
        <v>36.0</v>
      </c>
      <c r="B39" s="41" t="s">
        <v>208</v>
      </c>
      <c r="C39" s="41" t="s">
        <v>209</v>
      </c>
      <c r="D39" s="41" t="s">
        <v>210</v>
      </c>
      <c r="E39" s="41" t="s">
        <v>211</v>
      </c>
      <c r="F39" s="40" t="str">
        <f t="shared" si="1"/>
        <v>CORRECT</v>
      </c>
      <c r="G39" s="40" t="s">
        <v>36</v>
      </c>
      <c r="H39" s="44" t="s">
        <v>36</v>
      </c>
      <c r="I39" s="53" t="s">
        <v>212</v>
      </c>
      <c r="J39" s="44">
        <v>32463.0</v>
      </c>
    </row>
    <row r="40" ht="60.0" customHeight="1">
      <c r="A40" s="40">
        <v>37.0</v>
      </c>
      <c r="B40" s="41" t="s">
        <v>213</v>
      </c>
      <c r="C40" s="41" t="s">
        <v>214</v>
      </c>
      <c r="D40" s="41" t="s">
        <v>215</v>
      </c>
      <c r="E40" s="41" t="s">
        <v>216</v>
      </c>
      <c r="F40" s="40" t="str">
        <f t="shared" si="1"/>
        <v>CORRECT</v>
      </c>
      <c r="G40" s="40" t="s">
        <v>36</v>
      </c>
      <c r="H40" s="44" t="s">
        <v>36</v>
      </c>
      <c r="I40" s="53" t="s">
        <v>306</v>
      </c>
      <c r="J40" s="44">
        <v>35066.0</v>
      </c>
    </row>
    <row r="41" ht="60.0" customHeight="1">
      <c r="A41" s="40">
        <v>38.0</v>
      </c>
      <c r="B41" s="41" t="s">
        <v>218</v>
      </c>
      <c r="C41" s="41" t="s">
        <v>219</v>
      </c>
      <c r="D41" s="41" t="s">
        <v>220</v>
      </c>
      <c r="E41" s="41" t="s">
        <v>221</v>
      </c>
      <c r="F41" s="40" t="str">
        <f t="shared" si="1"/>
        <v>CORRECT</v>
      </c>
      <c r="G41" s="40" t="s">
        <v>36</v>
      </c>
      <c r="H41" s="44" t="s">
        <v>36</v>
      </c>
      <c r="I41" s="53" t="s">
        <v>307</v>
      </c>
      <c r="J41" s="44">
        <v>39713.0</v>
      </c>
    </row>
    <row r="42" ht="60.0" customHeight="1">
      <c r="A42" s="40">
        <v>39.0</v>
      </c>
      <c r="B42" s="41" t="s">
        <v>223</v>
      </c>
      <c r="C42" s="41" t="s">
        <v>224</v>
      </c>
      <c r="D42" s="41" t="s">
        <v>225</v>
      </c>
      <c r="E42" s="41" t="s">
        <v>226</v>
      </c>
      <c r="F42" s="40" t="str">
        <f t="shared" si="1"/>
        <v>WRONG</v>
      </c>
      <c r="G42" s="40" t="s">
        <v>42</v>
      </c>
      <c r="H42" s="44" t="s">
        <v>48</v>
      </c>
      <c r="I42" s="53" t="s">
        <v>308</v>
      </c>
      <c r="J42" s="44">
        <v>30896.0</v>
      </c>
    </row>
    <row r="43" ht="60.0" customHeight="1">
      <c r="A43" s="40">
        <v>40.0</v>
      </c>
      <c r="B43" s="41" t="s">
        <v>228</v>
      </c>
      <c r="C43" s="41" t="s">
        <v>229</v>
      </c>
      <c r="D43" s="41" t="s">
        <v>230</v>
      </c>
      <c r="E43" s="41" t="s">
        <v>231</v>
      </c>
      <c r="F43" s="40" t="str">
        <f t="shared" si="1"/>
        <v>CORRECT</v>
      </c>
      <c r="G43" s="40" t="s">
        <v>48</v>
      </c>
      <c r="H43" s="42" t="s">
        <v>48</v>
      </c>
      <c r="I43" s="53" t="s">
        <v>309</v>
      </c>
      <c r="J43" s="44">
        <v>36599.0</v>
      </c>
    </row>
    <row r="44" ht="60.0" customHeight="1">
      <c r="A44" s="40">
        <v>41.0</v>
      </c>
      <c r="B44" s="41" t="s">
        <v>233</v>
      </c>
      <c r="C44" s="41" t="s">
        <v>234</v>
      </c>
      <c r="D44" s="41" t="s">
        <v>235</v>
      </c>
      <c r="E44" s="41" t="s">
        <v>236</v>
      </c>
      <c r="F44" s="40" t="str">
        <f t="shared" si="1"/>
        <v>CORRECT</v>
      </c>
      <c r="G44" s="40" t="s">
        <v>42</v>
      </c>
      <c r="H44" s="44" t="s">
        <v>42</v>
      </c>
      <c r="I44" s="53" t="s">
        <v>237</v>
      </c>
      <c r="J44" s="44">
        <v>19269.0</v>
      </c>
    </row>
    <row r="45" ht="60.0" customHeight="1">
      <c r="A45" s="40">
        <v>42.0</v>
      </c>
      <c r="B45" s="41" t="s">
        <v>238</v>
      </c>
      <c r="C45" s="41" t="s">
        <v>239</v>
      </c>
      <c r="D45" s="41" t="s">
        <v>240</v>
      </c>
      <c r="E45" s="41" t="s">
        <v>241</v>
      </c>
      <c r="F45" s="40" t="str">
        <f t="shared" si="1"/>
        <v>WRONG</v>
      </c>
      <c r="G45" s="40" t="s">
        <v>36</v>
      </c>
      <c r="H45" s="42" t="s">
        <v>42</v>
      </c>
      <c r="I45" s="53" t="s">
        <v>242</v>
      </c>
      <c r="J45" s="44">
        <v>25129.0</v>
      </c>
    </row>
    <row r="46" ht="60.0" customHeight="1">
      <c r="A46" s="40">
        <v>43.0</v>
      </c>
      <c r="B46" s="41" t="s">
        <v>243</v>
      </c>
      <c r="C46" s="41" t="s">
        <v>244</v>
      </c>
      <c r="D46" s="41" t="s">
        <v>245</v>
      </c>
      <c r="E46" s="41" t="s">
        <v>246</v>
      </c>
      <c r="F46" s="40" t="str">
        <f t="shared" si="1"/>
        <v>CORRECT</v>
      </c>
      <c r="G46" s="40" t="s">
        <v>48</v>
      </c>
      <c r="H46" s="44" t="s">
        <v>48</v>
      </c>
      <c r="I46" s="53" t="s">
        <v>310</v>
      </c>
      <c r="J46" s="44">
        <v>39088.0</v>
      </c>
    </row>
    <row r="47" ht="60.0" customHeight="1">
      <c r="A47" s="40">
        <v>44.0</v>
      </c>
      <c r="B47" s="41" t="s">
        <v>248</v>
      </c>
      <c r="C47" s="41" t="s">
        <v>249</v>
      </c>
      <c r="D47" s="41" t="s">
        <v>250</v>
      </c>
      <c r="E47" s="41" t="s">
        <v>251</v>
      </c>
      <c r="F47" s="40" t="str">
        <f t="shared" si="1"/>
        <v>WRONG</v>
      </c>
      <c r="G47" s="40" t="s">
        <v>36</v>
      </c>
      <c r="H47" s="42" t="s">
        <v>48</v>
      </c>
      <c r="I47" s="53" t="s">
        <v>311</v>
      </c>
      <c r="J47" s="44">
        <v>52711.0</v>
      </c>
    </row>
    <row r="48" ht="60.0" customHeight="1">
      <c r="A48" s="40">
        <v>45.0</v>
      </c>
      <c r="B48" s="41" t="s">
        <v>253</v>
      </c>
      <c r="C48" s="41" t="s">
        <v>254</v>
      </c>
      <c r="D48" s="41" t="s">
        <v>255</v>
      </c>
      <c r="E48" s="41" t="s">
        <v>256</v>
      </c>
      <c r="F48" s="40" t="str">
        <f t="shared" si="1"/>
        <v>WRONG</v>
      </c>
      <c r="G48" s="40" t="s">
        <v>36</v>
      </c>
      <c r="H48" s="42" t="s">
        <v>48</v>
      </c>
      <c r="I48" s="53" t="s">
        <v>312</v>
      </c>
      <c r="J48" s="44">
        <v>37413.0</v>
      </c>
    </row>
    <row r="49" ht="60.0" customHeight="1">
      <c r="A49" s="40">
        <v>46.0</v>
      </c>
      <c r="B49" s="41" t="s">
        <v>258</v>
      </c>
      <c r="C49" s="41" t="s">
        <v>39</v>
      </c>
      <c r="D49" s="41" t="s">
        <v>259</v>
      </c>
      <c r="E49" s="41" t="s">
        <v>260</v>
      </c>
      <c r="F49" s="40" t="str">
        <f t="shared" si="1"/>
        <v>CORRECT</v>
      </c>
      <c r="G49" s="40" t="s">
        <v>36</v>
      </c>
      <c r="H49" s="42" t="s">
        <v>36</v>
      </c>
      <c r="I49" s="53" t="s">
        <v>313</v>
      </c>
      <c r="J49" s="44">
        <v>45363.0</v>
      </c>
    </row>
    <row r="50">
      <c r="A50" s="45" t="s">
        <v>262</v>
      </c>
      <c r="B50" s="2"/>
      <c r="C50" s="2"/>
      <c r="D50" s="2"/>
      <c r="E50" s="3"/>
      <c r="F50" s="46">
        <f>COUNTIFS(F4:F49,"CORRECT")</f>
        <v>29</v>
      </c>
      <c r="G50" s="47"/>
      <c r="H50" s="47"/>
      <c r="J50" s="48">
        <f>AVERAGE(J4:J49)</f>
        <v>36138.73913</v>
      </c>
    </row>
    <row r="51">
      <c r="A51" s="49" t="s">
        <v>263</v>
      </c>
      <c r="B51" s="2"/>
      <c r="C51" s="2"/>
      <c r="D51" s="2"/>
      <c r="E51" s="3"/>
      <c r="F51" s="50">
        <v>46.0</v>
      </c>
      <c r="G51" s="47"/>
      <c r="H51" s="47"/>
    </row>
    <row r="52">
      <c r="A52" s="45" t="s">
        <v>264</v>
      </c>
      <c r="B52" s="2"/>
      <c r="C52" s="2"/>
      <c r="D52" s="2"/>
      <c r="E52" s="3"/>
      <c r="F52" s="51">
        <f>F50/F51</f>
        <v>0.6304347826</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314</v>
      </c>
      <c r="C2" s="2"/>
      <c r="D2" s="2"/>
      <c r="E2" s="2"/>
      <c r="F2" s="2"/>
      <c r="G2" s="2"/>
      <c r="H2" s="3"/>
      <c r="I2" s="38" t="s">
        <v>315</v>
      </c>
      <c r="J2" s="3"/>
      <c r="K2" s="35"/>
      <c r="L2" s="35"/>
      <c r="M2" s="35"/>
      <c r="N2" s="54" t="s">
        <v>316</v>
      </c>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267</v>
      </c>
      <c r="J4" s="44">
        <v>45352.0</v>
      </c>
    </row>
    <row r="5" ht="60.0" customHeight="1">
      <c r="A5" s="40">
        <v>2.0</v>
      </c>
      <c r="B5" s="41" t="s">
        <v>38</v>
      </c>
      <c r="C5" s="41" t="s">
        <v>39</v>
      </c>
      <c r="D5" s="41" t="s">
        <v>40</v>
      </c>
      <c r="E5" s="41" t="s">
        <v>41</v>
      </c>
      <c r="F5" s="40" t="str">
        <f t="shared" si="1"/>
        <v>CORRECT</v>
      </c>
      <c r="G5" s="40" t="s">
        <v>42</v>
      </c>
      <c r="H5" s="44" t="s">
        <v>42</v>
      </c>
      <c r="I5" s="43" t="s">
        <v>268</v>
      </c>
      <c r="J5" s="44">
        <v>40796.0</v>
      </c>
    </row>
    <row r="6" ht="60.0" customHeight="1">
      <c r="A6" s="40">
        <v>3.0</v>
      </c>
      <c r="B6" s="41" t="s">
        <v>44</v>
      </c>
      <c r="C6" s="41" t="s">
        <v>45</v>
      </c>
      <c r="D6" s="41" t="s">
        <v>46</v>
      </c>
      <c r="E6" s="41" t="s">
        <v>47</v>
      </c>
      <c r="F6" s="40" t="str">
        <f t="shared" si="1"/>
        <v>CORRECT</v>
      </c>
      <c r="G6" s="40" t="s">
        <v>48</v>
      </c>
      <c r="H6" s="42" t="s">
        <v>48</v>
      </c>
      <c r="I6" s="43" t="s">
        <v>269</v>
      </c>
      <c r="J6" s="44">
        <v>34626.0</v>
      </c>
    </row>
    <row r="7" ht="60.0" customHeight="1">
      <c r="A7" s="40">
        <v>4.0</v>
      </c>
      <c r="B7" s="41" t="s">
        <v>50</v>
      </c>
      <c r="C7" s="41" t="s">
        <v>51</v>
      </c>
      <c r="D7" s="41" t="s">
        <v>52</v>
      </c>
      <c r="E7" s="41" t="s">
        <v>53</v>
      </c>
      <c r="F7" s="40" t="str">
        <f t="shared" si="1"/>
        <v>CORRECT</v>
      </c>
      <c r="G7" s="40" t="s">
        <v>42</v>
      </c>
      <c r="H7" s="44" t="s">
        <v>42</v>
      </c>
      <c r="I7" s="43" t="s">
        <v>54</v>
      </c>
      <c r="J7" s="44">
        <v>29797.0</v>
      </c>
    </row>
    <row r="8" ht="60.0" customHeight="1">
      <c r="A8" s="40">
        <v>5.0</v>
      </c>
      <c r="B8" s="41" t="s">
        <v>55</v>
      </c>
      <c r="C8" s="41" t="s">
        <v>56</v>
      </c>
      <c r="D8" s="41" t="s">
        <v>57</v>
      </c>
      <c r="E8" s="41" t="s">
        <v>58</v>
      </c>
      <c r="F8" s="40" t="str">
        <f t="shared" si="1"/>
        <v>CORRECT</v>
      </c>
      <c r="G8" s="40" t="s">
        <v>48</v>
      </c>
      <c r="H8" s="42" t="s">
        <v>48</v>
      </c>
      <c r="I8" s="43" t="s">
        <v>270</v>
      </c>
      <c r="J8" s="44">
        <v>47360.0</v>
      </c>
    </row>
    <row r="9" ht="60.0" customHeight="1">
      <c r="A9" s="40">
        <v>6.0</v>
      </c>
      <c r="B9" s="41" t="s">
        <v>60</v>
      </c>
      <c r="C9" s="41" t="s">
        <v>61</v>
      </c>
      <c r="D9" s="41" t="s">
        <v>62</v>
      </c>
      <c r="E9" s="41" t="s">
        <v>63</v>
      </c>
      <c r="F9" s="40" t="str">
        <f t="shared" si="1"/>
        <v>CORRECT</v>
      </c>
      <c r="G9" s="40" t="s">
        <v>42</v>
      </c>
      <c r="H9" s="44" t="s">
        <v>42</v>
      </c>
      <c r="I9" s="43" t="s">
        <v>271</v>
      </c>
      <c r="J9" s="44">
        <v>43899.0</v>
      </c>
    </row>
    <row r="10" ht="60.0" customHeight="1">
      <c r="A10" s="40">
        <v>7.0</v>
      </c>
      <c r="B10" s="41" t="s">
        <v>65</v>
      </c>
      <c r="C10" s="41" t="s">
        <v>66</v>
      </c>
      <c r="D10" s="41" t="s">
        <v>67</v>
      </c>
      <c r="E10" s="41" t="s">
        <v>68</v>
      </c>
      <c r="F10" s="40" t="str">
        <f t="shared" si="1"/>
        <v>WRONG</v>
      </c>
      <c r="G10" s="40" t="s">
        <v>42</v>
      </c>
      <c r="H10" s="42" t="s">
        <v>36</v>
      </c>
      <c r="I10" s="43" t="s">
        <v>272</v>
      </c>
      <c r="J10" s="44">
        <v>26489.0</v>
      </c>
    </row>
    <row r="11" ht="60.0" customHeight="1">
      <c r="A11" s="40">
        <v>8.0</v>
      </c>
      <c r="B11" s="41" t="s">
        <v>70</v>
      </c>
      <c r="C11" s="41" t="s">
        <v>71</v>
      </c>
      <c r="D11" s="41" t="s">
        <v>72</v>
      </c>
      <c r="E11" s="41" t="s">
        <v>73</v>
      </c>
      <c r="F11" s="40" t="str">
        <f t="shared" si="1"/>
        <v>CORRECT</v>
      </c>
      <c r="G11" s="40" t="s">
        <v>48</v>
      </c>
      <c r="H11" s="44" t="s">
        <v>48</v>
      </c>
      <c r="I11" s="43" t="s">
        <v>273</v>
      </c>
      <c r="J11" s="44">
        <v>33264.0</v>
      </c>
    </row>
    <row r="12" ht="60.0" customHeight="1">
      <c r="A12" s="40">
        <v>9.0</v>
      </c>
      <c r="B12" s="41" t="s">
        <v>75</v>
      </c>
      <c r="C12" s="41" t="s">
        <v>76</v>
      </c>
      <c r="D12" s="41" t="s">
        <v>77</v>
      </c>
      <c r="E12" s="41" t="s">
        <v>78</v>
      </c>
      <c r="F12" s="40" t="str">
        <f t="shared" si="1"/>
        <v>CORRECT</v>
      </c>
      <c r="G12" s="40" t="s">
        <v>42</v>
      </c>
      <c r="H12" s="42" t="s">
        <v>42</v>
      </c>
      <c r="I12" s="43" t="s">
        <v>79</v>
      </c>
      <c r="J12" s="44">
        <v>32017.0</v>
      </c>
    </row>
    <row r="13" ht="60.0" customHeight="1">
      <c r="A13" s="40">
        <v>10.0</v>
      </c>
      <c r="B13" s="41" t="s">
        <v>80</v>
      </c>
      <c r="C13" s="41" t="s">
        <v>81</v>
      </c>
      <c r="D13" s="41" t="s">
        <v>82</v>
      </c>
      <c r="E13" s="41" t="s">
        <v>83</v>
      </c>
      <c r="F13" s="40" t="str">
        <f t="shared" si="1"/>
        <v>CORRECT</v>
      </c>
      <c r="G13" s="40" t="s">
        <v>48</v>
      </c>
      <c r="H13" s="44" t="s">
        <v>48</v>
      </c>
      <c r="I13" s="43" t="s">
        <v>317</v>
      </c>
      <c r="J13" s="44">
        <v>31912.0</v>
      </c>
    </row>
    <row r="14" ht="60.0" customHeight="1">
      <c r="A14" s="40">
        <v>11.0</v>
      </c>
      <c r="B14" s="41" t="s">
        <v>85</v>
      </c>
      <c r="C14" s="41" t="s">
        <v>86</v>
      </c>
      <c r="D14" s="41" t="s">
        <v>87</v>
      </c>
      <c r="E14" s="41" t="s">
        <v>88</v>
      </c>
      <c r="F14" s="40" t="str">
        <f t="shared" si="1"/>
        <v>WRONG</v>
      </c>
      <c r="G14" s="40" t="s">
        <v>42</v>
      </c>
      <c r="H14" s="42" t="s">
        <v>48</v>
      </c>
      <c r="I14" s="43" t="s">
        <v>275</v>
      </c>
      <c r="J14" s="44">
        <v>75712.0</v>
      </c>
    </row>
    <row r="15" ht="60.0" customHeight="1">
      <c r="A15" s="40">
        <v>12.0</v>
      </c>
      <c r="B15" s="41" t="s">
        <v>90</v>
      </c>
      <c r="C15" s="41" t="s">
        <v>91</v>
      </c>
      <c r="D15" s="41" t="s">
        <v>92</v>
      </c>
      <c r="E15" s="41" t="s">
        <v>93</v>
      </c>
      <c r="F15" s="40" t="str">
        <f t="shared" si="1"/>
        <v>CORRECT</v>
      </c>
      <c r="G15" s="40" t="s">
        <v>48</v>
      </c>
      <c r="H15" s="42" t="s">
        <v>48</v>
      </c>
      <c r="I15" s="43" t="s">
        <v>276</v>
      </c>
      <c r="J15" s="44">
        <v>43638.0</v>
      </c>
    </row>
    <row r="16" ht="60.0" customHeight="1">
      <c r="A16" s="40">
        <v>13.0</v>
      </c>
      <c r="B16" s="41" t="s">
        <v>95</v>
      </c>
      <c r="C16" s="41" t="s">
        <v>96</v>
      </c>
      <c r="D16" s="41" t="s">
        <v>97</v>
      </c>
      <c r="E16" s="41" t="s">
        <v>98</v>
      </c>
      <c r="F16" s="40" t="str">
        <f t="shared" si="1"/>
        <v>CORRECT</v>
      </c>
      <c r="G16" s="40" t="s">
        <v>36</v>
      </c>
      <c r="H16" s="44" t="s">
        <v>36</v>
      </c>
      <c r="I16" s="43" t="s">
        <v>277</v>
      </c>
      <c r="J16" s="44">
        <v>26481.0</v>
      </c>
    </row>
    <row r="17" ht="60.0" customHeight="1">
      <c r="A17" s="40">
        <v>14.0</v>
      </c>
      <c r="B17" s="41" t="s">
        <v>100</v>
      </c>
      <c r="C17" s="41" t="s">
        <v>101</v>
      </c>
      <c r="D17" s="41" t="s">
        <v>102</v>
      </c>
      <c r="E17" s="41" t="s">
        <v>103</v>
      </c>
      <c r="F17" s="40" t="str">
        <f t="shared" si="1"/>
        <v>WRONG</v>
      </c>
      <c r="G17" s="40" t="s">
        <v>36</v>
      </c>
      <c r="H17" s="42" t="s">
        <v>48</v>
      </c>
      <c r="I17" s="43" t="s">
        <v>104</v>
      </c>
      <c r="J17" s="44">
        <v>33898.0</v>
      </c>
    </row>
    <row r="18" ht="60.0" customHeight="1">
      <c r="A18" s="40">
        <v>15.0</v>
      </c>
      <c r="B18" s="41" t="s">
        <v>105</v>
      </c>
      <c r="C18" s="41" t="s">
        <v>106</v>
      </c>
      <c r="D18" s="41" t="s">
        <v>107</v>
      </c>
      <c r="E18" s="41" t="s">
        <v>108</v>
      </c>
      <c r="F18" s="40" t="str">
        <f t="shared" si="1"/>
        <v>CORRECT</v>
      </c>
      <c r="G18" s="40" t="s">
        <v>48</v>
      </c>
      <c r="H18" s="42" t="s">
        <v>48</v>
      </c>
      <c r="I18" s="43" t="s">
        <v>278</v>
      </c>
      <c r="J18" s="44">
        <v>39643.0</v>
      </c>
    </row>
    <row r="19" ht="60.0" customHeight="1">
      <c r="A19" s="40">
        <v>16.0</v>
      </c>
      <c r="B19" s="41" t="s">
        <v>110</v>
      </c>
      <c r="C19" s="41" t="s">
        <v>111</v>
      </c>
      <c r="D19" s="41" t="s">
        <v>112</v>
      </c>
      <c r="E19" s="41" t="s">
        <v>113</v>
      </c>
      <c r="F19" s="40" t="str">
        <f t="shared" si="1"/>
        <v>CORRECT</v>
      </c>
      <c r="G19" s="40" t="s">
        <v>48</v>
      </c>
      <c r="H19" s="42" t="s">
        <v>48</v>
      </c>
      <c r="I19" s="43" t="s">
        <v>114</v>
      </c>
      <c r="J19" s="44">
        <v>35836.0</v>
      </c>
    </row>
    <row r="20" ht="60.0" customHeight="1">
      <c r="A20" s="40">
        <v>17.0</v>
      </c>
      <c r="B20" s="41" t="s">
        <v>115</v>
      </c>
      <c r="C20" s="41" t="s">
        <v>116</v>
      </c>
      <c r="D20" s="41" t="s">
        <v>117</v>
      </c>
      <c r="E20" s="41" t="s">
        <v>118</v>
      </c>
      <c r="F20" s="40" t="str">
        <f t="shared" si="1"/>
        <v>WRONG</v>
      </c>
      <c r="G20" s="40" t="s">
        <v>42</v>
      </c>
      <c r="H20" s="44" t="s">
        <v>36</v>
      </c>
      <c r="I20" s="43" t="s">
        <v>119</v>
      </c>
      <c r="J20" s="44">
        <v>29877.0</v>
      </c>
    </row>
    <row r="21" ht="60.0" customHeight="1">
      <c r="A21" s="40">
        <v>18.0</v>
      </c>
      <c r="B21" s="41" t="s">
        <v>120</v>
      </c>
      <c r="C21" s="41" t="s">
        <v>121</v>
      </c>
      <c r="D21" s="41" t="s">
        <v>122</v>
      </c>
      <c r="E21" s="41" t="s">
        <v>123</v>
      </c>
      <c r="F21" s="40" t="str">
        <f t="shared" si="1"/>
        <v>CORRECT</v>
      </c>
      <c r="G21" s="40" t="s">
        <v>42</v>
      </c>
      <c r="H21" s="44" t="s">
        <v>42</v>
      </c>
      <c r="I21" s="43" t="s">
        <v>124</v>
      </c>
      <c r="J21" s="44">
        <v>29806.0</v>
      </c>
    </row>
    <row r="22" ht="60.0" customHeight="1">
      <c r="A22" s="40">
        <v>19.0</v>
      </c>
      <c r="B22" s="41" t="s">
        <v>125</v>
      </c>
      <c r="C22" s="41" t="s">
        <v>126</v>
      </c>
      <c r="D22" s="41" t="s">
        <v>127</v>
      </c>
      <c r="E22" s="41" t="s">
        <v>128</v>
      </c>
      <c r="F22" s="40" t="str">
        <f t="shared" si="1"/>
        <v>WRONG</v>
      </c>
      <c r="G22" s="40" t="s">
        <v>36</v>
      </c>
      <c r="H22" s="42" t="s">
        <v>48</v>
      </c>
      <c r="I22" s="43" t="s">
        <v>279</v>
      </c>
      <c r="J22" s="44">
        <v>44338.0</v>
      </c>
    </row>
    <row r="23" ht="60.0" customHeight="1">
      <c r="A23" s="40">
        <v>20.0</v>
      </c>
      <c r="B23" s="41" t="s">
        <v>130</v>
      </c>
      <c r="C23" s="41" t="s">
        <v>131</v>
      </c>
      <c r="D23" s="41" t="s">
        <v>132</v>
      </c>
      <c r="E23" s="41" t="s">
        <v>133</v>
      </c>
      <c r="F23" s="40" t="str">
        <f t="shared" si="1"/>
        <v>CORRECT</v>
      </c>
      <c r="G23" s="40" t="s">
        <v>42</v>
      </c>
      <c r="H23" s="42" t="s">
        <v>42</v>
      </c>
      <c r="I23" s="43" t="s">
        <v>134</v>
      </c>
      <c r="J23" s="44">
        <v>15827.0</v>
      </c>
    </row>
    <row r="24" ht="60.0" customHeight="1">
      <c r="A24" s="40">
        <v>21.0</v>
      </c>
      <c r="B24" s="41" t="s">
        <v>135</v>
      </c>
      <c r="C24" s="41" t="s">
        <v>136</v>
      </c>
      <c r="D24" s="41" t="s">
        <v>137</v>
      </c>
      <c r="E24" s="41" t="s">
        <v>138</v>
      </c>
      <c r="F24" s="40" t="str">
        <f t="shared" si="1"/>
        <v>WRONG</v>
      </c>
      <c r="G24" s="40" t="s">
        <v>42</v>
      </c>
      <c r="H24" s="44" t="s">
        <v>36</v>
      </c>
      <c r="I24" s="43" t="s">
        <v>139</v>
      </c>
      <c r="J24" s="44">
        <v>23546.0</v>
      </c>
    </row>
    <row r="25" ht="60.0" customHeight="1">
      <c r="A25" s="40">
        <v>22.0</v>
      </c>
      <c r="B25" s="41" t="s">
        <v>140</v>
      </c>
      <c r="C25" s="41" t="s">
        <v>141</v>
      </c>
      <c r="D25" s="41" t="s">
        <v>142</v>
      </c>
      <c r="E25" s="41" t="s">
        <v>143</v>
      </c>
      <c r="F25" s="40" t="str">
        <f t="shared" si="1"/>
        <v>CORRECT</v>
      </c>
      <c r="G25" s="40" t="s">
        <v>42</v>
      </c>
      <c r="H25" s="44" t="s">
        <v>42</v>
      </c>
      <c r="I25" s="43" t="s">
        <v>144</v>
      </c>
      <c r="J25" s="44">
        <v>37643.0</v>
      </c>
    </row>
    <row r="26" ht="60.0" customHeight="1">
      <c r="A26" s="40">
        <v>23.0</v>
      </c>
      <c r="B26" s="41" t="s">
        <v>145</v>
      </c>
      <c r="C26" s="41" t="s">
        <v>146</v>
      </c>
      <c r="D26" s="41" t="s">
        <v>147</v>
      </c>
      <c r="E26" s="41" t="s">
        <v>148</v>
      </c>
      <c r="F26" s="40" t="str">
        <f t="shared" si="1"/>
        <v>CORRECT</v>
      </c>
      <c r="G26" s="40" t="s">
        <v>48</v>
      </c>
      <c r="H26" s="44" t="s">
        <v>48</v>
      </c>
      <c r="I26" s="43" t="s">
        <v>149</v>
      </c>
      <c r="J26" s="44">
        <v>18745.0</v>
      </c>
    </row>
    <row r="27" ht="60.0" customHeight="1">
      <c r="A27" s="40">
        <v>24.0</v>
      </c>
      <c r="B27" s="41" t="s">
        <v>150</v>
      </c>
      <c r="C27" s="41" t="s">
        <v>151</v>
      </c>
      <c r="D27" s="41" t="s">
        <v>152</v>
      </c>
      <c r="E27" s="41" t="s">
        <v>153</v>
      </c>
      <c r="F27" s="40" t="str">
        <f t="shared" si="1"/>
        <v>CORRECT</v>
      </c>
      <c r="G27" s="40" t="s">
        <v>36</v>
      </c>
      <c r="H27" s="44" t="s">
        <v>36</v>
      </c>
      <c r="I27" s="43" t="s">
        <v>154</v>
      </c>
      <c r="J27" s="44">
        <v>35746.0</v>
      </c>
    </row>
    <row r="28" ht="60.0" customHeight="1">
      <c r="A28" s="40">
        <v>25.0</v>
      </c>
      <c r="B28" s="41" t="s">
        <v>155</v>
      </c>
      <c r="C28" s="41" t="s">
        <v>151</v>
      </c>
      <c r="D28" s="41" t="s">
        <v>156</v>
      </c>
      <c r="E28" s="41" t="s">
        <v>153</v>
      </c>
      <c r="F28" s="40" t="str">
        <f t="shared" si="1"/>
        <v>CORRECT</v>
      </c>
      <c r="G28" s="40" t="s">
        <v>48</v>
      </c>
      <c r="H28" s="42" t="s">
        <v>48</v>
      </c>
      <c r="I28" s="43" t="s">
        <v>157</v>
      </c>
      <c r="J28" s="44">
        <v>45316.0</v>
      </c>
    </row>
    <row r="29" ht="60.0" customHeight="1">
      <c r="A29" s="40">
        <v>26.0</v>
      </c>
      <c r="B29" s="41" t="s">
        <v>158</v>
      </c>
      <c r="C29" s="41" t="s">
        <v>159</v>
      </c>
      <c r="D29" s="41" t="s">
        <v>160</v>
      </c>
      <c r="E29" s="41" t="s">
        <v>161</v>
      </c>
      <c r="F29" s="40" t="str">
        <f t="shared" si="1"/>
        <v>WRONG</v>
      </c>
      <c r="G29" s="40" t="s">
        <v>36</v>
      </c>
      <c r="H29" s="42" t="s">
        <v>42</v>
      </c>
      <c r="I29" s="43" t="s">
        <v>162</v>
      </c>
      <c r="J29" s="44">
        <v>48087.0</v>
      </c>
    </row>
    <row r="30" ht="60.0" customHeight="1">
      <c r="A30" s="40">
        <v>27.0</v>
      </c>
      <c r="B30" s="41" t="s">
        <v>163</v>
      </c>
      <c r="C30" s="41" t="s">
        <v>164</v>
      </c>
      <c r="D30" s="41" t="s">
        <v>165</v>
      </c>
      <c r="E30" s="41" t="s">
        <v>166</v>
      </c>
      <c r="F30" s="40" t="str">
        <f t="shared" si="1"/>
        <v>CORRECT</v>
      </c>
      <c r="G30" s="40" t="s">
        <v>42</v>
      </c>
      <c r="H30" s="44" t="s">
        <v>42</v>
      </c>
      <c r="I30" s="43" t="s">
        <v>167</v>
      </c>
      <c r="J30" s="44">
        <v>44321.0</v>
      </c>
    </row>
    <row r="31" ht="60.0" customHeight="1">
      <c r="A31" s="40">
        <v>28.0</v>
      </c>
      <c r="B31" s="41" t="s">
        <v>168</v>
      </c>
      <c r="C31" s="41" t="s">
        <v>169</v>
      </c>
      <c r="D31" s="41" t="s">
        <v>170</v>
      </c>
      <c r="E31" s="41" t="s">
        <v>171</v>
      </c>
      <c r="F31" s="40" t="str">
        <f t="shared" si="1"/>
        <v>WRONG</v>
      </c>
      <c r="G31" s="40" t="s">
        <v>36</v>
      </c>
      <c r="H31" s="42" t="s">
        <v>42</v>
      </c>
      <c r="I31" s="43" t="s">
        <v>172</v>
      </c>
      <c r="J31" s="44">
        <v>31541.0</v>
      </c>
    </row>
    <row r="32" ht="60.0" customHeight="1">
      <c r="A32" s="40">
        <v>29.0</v>
      </c>
      <c r="B32" s="41" t="s">
        <v>173</v>
      </c>
      <c r="C32" s="41" t="s">
        <v>174</v>
      </c>
      <c r="D32" s="41" t="s">
        <v>175</v>
      </c>
      <c r="E32" s="41" t="s">
        <v>176</v>
      </c>
      <c r="F32" s="40" t="str">
        <f t="shared" si="1"/>
        <v>CORRECT</v>
      </c>
      <c r="G32" s="40" t="s">
        <v>42</v>
      </c>
      <c r="H32" s="42" t="s">
        <v>42</v>
      </c>
      <c r="I32" s="43" t="s">
        <v>177</v>
      </c>
      <c r="J32" s="44">
        <v>27655.0</v>
      </c>
    </row>
    <row r="33" ht="60.0" customHeight="1">
      <c r="A33" s="40">
        <v>30.0</v>
      </c>
      <c r="B33" s="41" t="s">
        <v>178</v>
      </c>
      <c r="C33" s="41" t="s">
        <v>179</v>
      </c>
      <c r="D33" s="41" t="s">
        <v>180</v>
      </c>
      <c r="E33" s="41" t="s">
        <v>181</v>
      </c>
      <c r="F33" s="40" t="str">
        <f t="shared" si="1"/>
        <v>WRONG</v>
      </c>
      <c r="G33" s="40" t="s">
        <v>48</v>
      </c>
      <c r="H33" s="44" t="s">
        <v>36</v>
      </c>
      <c r="I33" s="43" t="s">
        <v>182</v>
      </c>
      <c r="J33" s="44">
        <v>36193.0</v>
      </c>
    </row>
    <row r="34" ht="60.0" customHeight="1">
      <c r="A34" s="40">
        <v>31.0</v>
      </c>
      <c r="B34" s="41" t="s">
        <v>183</v>
      </c>
      <c r="C34" s="41" t="s">
        <v>184</v>
      </c>
      <c r="D34" s="41" t="s">
        <v>185</v>
      </c>
      <c r="E34" s="41" t="s">
        <v>186</v>
      </c>
      <c r="F34" s="40" t="str">
        <f t="shared" si="1"/>
        <v>WRONG</v>
      </c>
      <c r="G34" s="40" t="s">
        <v>42</v>
      </c>
      <c r="H34" s="42" t="s">
        <v>36</v>
      </c>
      <c r="I34" s="43" t="s">
        <v>187</v>
      </c>
      <c r="J34" s="44">
        <v>38175.0</v>
      </c>
    </row>
    <row r="35" ht="60.0" customHeight="1">
      <c r="A35" s="40">
        <v>32.0</v>
      </c>
      <c r="B35" s="41" t="s">
        <v>188</v>
      </c>
      <c r="C35" s="41" t="s">
        <v>189</v>
      </c>
      <c r="D35" s="41" t="s">
        <v>190</v>
      </c>
      <c r="E35" s="41" t="s">
        <v>191</v>
      </c>
      <c r="F35" s="40" t="str">
        <f t="shared" si="1"/>
        <v>CORRECT</v>
      </c>
      <c r="G35" s="40" t="s">
        <v>36</v>
      </c>
      <c r="H35" s="42" t="s">
        <v>36</v>
      </c>
      <c r="I35" s="43" t="s">
        <v>192</v>
      </c>
      <c r="J35" s="44">
        <v>44871.0</v>
      </c>
    </row>
    <row r="36" ht="60.0" customHeight="1">
      <c r="A36" s="40">
        <v>33.0</v>
      </c>
      <c r="B36" s="41" t="s">
        <v>193</v>
      </c>
      <c r="C36" s="41" t="s">
        <v>194</v>
      </c>
      <c r="D36" s="41" t="s">
        <v>195</v>
      </c>
      <c r="E36" s="41" t="s">
        <v>196</v>
      </c>
      <c r="F36" s="40" t="str">
        <f t="shared" si="1"/>
        <v>WRONG</v>
      </c>
      <c r="G36" s="40" t="s">
        <v>48</v>
      </c>
      <c r="H36" s="42" t="s">
        <v>42</v>
      </c>
      <c r="I36" s="43" t="s">
        <v>197</v>
      </c>
      <c r="J36" s="44">
        <v>32515.0</v>
      </c>
    </row>
    <row r="37" ht="60.0" customHeight="1">
      <c r="A37" s="40">
        <v>34.0</v>
      </c>
      <c r="B37" s="41" t="s">
        <v>198</v>
      </c>
      <c r="C37" s="41" t="s">
        <v>199</v>
      </c>
      <c r="D37" s="41" t="s">
        <v>200</v>
      </c>
      <c r="E37" s="41" t="s">
        <v>201</v>
      </c>
      <c r="F37" s="40" t="str">
        <f t="shared" si="1"/>
        <v>CORRECT</v>
      </c>
      <c r="G37" s="40" t="s">
        <v>36</v>
      </c>
      <c r="H37" s="44" t="s">
        <v>36</v>
      </c>
      <c r="I37" s="43" t="s">
        <v>202</v>
      </c>
      <c r="J37" s="44">
        <v>30765.0</v>
      </c>
    </row>
    <row r="38" ht="60.0" customHeight="1">
      <c r="A38" s="40">
        <v>35.0</v>
      </c>
      <c r="B38" s="41" t="s">
        <v>203</v>
      </c>
      <c r="C38" s="41" t="s">
        <v>204</v>
      </c>
      <c r="D38" s="41" t="s">
        <v>205</v>
      </c>
      <c r="E38" s="41" t="s">
        <v>206</v>
      </c>
      <c r="F38" s="40" t="str">
        <f t="shared" si="1"/>
        <v>CORRECT</v>
      </c>
      <c r="G38" s="40" t="s">
        <v>48</v>
      </c>
      <c r="H38" s="44" t="s">
        <v>48</v>
      </c>
      <c r="I38" s="43" t="s">
        <v>207</v>
      </c>
      <c r="J38" s="44">
        <v>35011.0</v>
      </c>
    </row>
    <row r="39" ht="60.0" customHeight="1">
      <c r="A39" s="40">
        <v>36.0</v>
      </c>
      <c r="B39" s="41" t="s">
        <v>208</v>
      </c>
      <c r="C39" s="41" t="s">
        <v>209</v>
      </c>
      <c r="D39" s="41" t="s">
        <v>210</v>
      </c>
      <c r="E39" s="41" t="s">
        <v>211</v>
      </c>
      <c r="F39" s="40" t="str">
        <f t="shared" si="1"/>
        <v>CORRECT</v>
      </c>
      <c r="G39" s="40" t="s">
        <v>36</v>
      </c>
      <c r="H39" s="44" t="s">
        <v>36</v>
      </c>
      <c r="I39" s="43" t="s">
        <v>212</v>
      </c>
      <c r="J39" s="44">
        <v>30271.0</v>
      </c>
    </row>
    <row r="40" ht="60.0" customHeight="1">
      <c r="A40" s="40">
        <v>37.0</v>
      </c>
      <c r="B40" s="41" t="s">
        <v>213</v>
      </c>
      <c r="C40" s="41" t="s">
        <v>214</v>
      </c>
      <c r="D40" s="41" t="s">
        <v>215</v>
      </c>
      <c r="E40" s="41" t="s">
        <v>216</v>
      </c>
      <c r="F40" s="40" t="str">
        <f t="shared" si="1"/>
        <v>CORRECT</v>
      </c>
      <c r="G40" s="40" t="s">
        <v>36</v>
      </c>
      <c r="H40" s="44" t="s">
        <v>36</v>
      </c>
      <c r="I40" s="43" t="s">
        <v>217</v>
      </c>
      <c r="J40" s="44">
        <v>24450.0</v>
      </c>
    </row>
    <row r="41" ht="60.0" customHeight="1">
      <c r="A41" s="40">
        <v>38.0</v>
      </c>
      <c r="B41" s="41" t="s">
        <v>218</v>
      </c>
      <c r="C41" s="41" t="s">
        <v>219</v>
      </c>
      <c r="D41" s="41" t="s">
        <v>220</v>
      </c>
      <c r="E41" s="41" t="s">
        <v>221</v>
      </c>
      <c r="F41" s="40" t="str">
        <f t="shared" si="1"/>
        <v>CORRECT</v>
      </c>
      <c r="G41" s="40" t="s">
        <v>36</v>
      </c>
      <c r="H41" s="44" t="s">
        <v>36</v>
      </c>
      <c r="I41" s="43" t="s">
        <v>222</v>
      </c>
      <c r="J41" s="44">
        <v>31638.0</v>
      </c>
    </row>
    <row r="42" ht="60.0" customHeight="1">
      <c r="A42" s="40">
        <v>39.0</v>
      </c>
      <c r="B42" s="41" t="s">
        <v>223</v>
      </c>
      <c r="C42" s="41" t="s">
        <v>224</v>
      </c>
      <c r="D42" s="41" t="s">
        <v>225</v>
      </c>
      <c r="E42" s="41" t="s">
        <v>226</v>
      </c>
      <c r="F42" s="40" t="str">
        <f t="shared" si="1"/>
        <v>WRONG</v>
      </c>
      <c r="G42" s="40" t="s">
        <v>42</v>
      </c>
      <c r="H42" s="44" t="s">
        <v>48</v>
      </c>
      <c r="I42" s="43" t="s">
        <v>227</v>
      </c>
      <c r="J42" s="44">
        <v>27649.0</v>
      </c>
    </row>
    <row r="43" ht="60.0" customHeight="1">
      <c r="A43" s="40">
        <v>40.0</v>
      </c>
      <c r="B43" s="41" t="s">
        <v>228</v>
      </c>
      <c r="C43" s="41" t="s">
        <v>229</v>
      </c>
      <c r="D43" s="41" t="s">
        <v>230</v>
      </c>
      <c r="E43" s="41" t="s">
        <v>231</v>
      </c>
      <c r="F43" s="40" t="str">
        <f t="shared" si="1"/>
        <v>CORRECT</v>
      </c>
      <c r="G43" s="40" t="s">
        <v>48</v>
      </c>
      <c r="H43" s="42" t="s">
        <v>48</v>
      </c>
      <c r="I43" s="43" t="s">
        <v>232</v>
      </c>
      <c r="J43" s="44">
        <v>39926.0</v>
      </c>
    </row>
    <row r="44" ht="60.0" customHeight="1">
      <c r="A44" s="40">
        <v>41.0</v>
      </c>
      <c r="B44" s="41" t="s">
        <v>233</v>
      </c>
      <c r="C44" s="41" t="s">
        <v>234</v>
      </c>
      <c r="D44" s="41" t="s">
        <v>235</v>
      </c>
      <c r="E44" s="41" t="s">
        <v>236</v>
      </c>
      <c r="F44" s="40" t="str">
        <f t="shared" si="1"/>
        <v>CORRECT</v>
      </c>
      <c r="G44" s="40" t="s">
        <v>42</v>
      </c>
      <c r="H44" s="44" t="s">
        <v>42</v>
      </c>
      <c r="I44" s="43" t="s">
        <v>237</v>
      </c>
      <c r="J44" s="44">
        <v>19309.0</v>
      </c>
    </row>
    <row r="45" ht="60.0" customHeight="1">
      <c r="A45" s="40">
        <v>42.0</v>
      </c>
      <c r="B45" s="41" t="s">
        <v>238</v>
      </c>
      <c r="C45" s="41" t="s">
        <v>239</v>
      </c>
      <c r="D45" s="41" t="s">
        <v>240</v>
      </c>
      <c r="E45" s="41" t="s">
        <v>241</v>
      </c>
      <c r="F45" s="40" t="str">
        <f t="shared" si="1"/>
        <v>WRONG</v>
      </c>
      <c r="G45" s="40" t="s">
        <v>36</v>
      </c>
      <c r="H45" s="42" t="s">
        <v>42</v>
      </c>
      <c r="I45" s="43" t="s">
        <v>242</v>
      </c>
      <c r="J45" s="44">
        <v>25066.0</v>
      </c>
    </row>
    <row r="46" ht="60.0" customHeight="1">
      <c r="A46" s="40">
        <v>43.0</v>
      </c>
      <c r="B46" s="41" t="s">
        <v>243</v>
      </c>
      <c r="C46" s="41" t="s">
        <v>244</v>
      </c>
      <c r="D46" s="41" t="s">
        <v>245</v>
      </c>
      <c r="E46" s="41" t="s">
        <v>246</v>
      </c>
      <c r="F46" s="40" t="str">
        <f t="shared" si="1"/>
        <v>CORRECT</v>
      </c>
      <c r="G46" s="40" t="s">
        <v>48</v>
      </c>
      <c r="H46" s="44" t="s">
        <v>48</v>
      </c>
      <c r="I46" s="43" t="s">
        <v>247</v>
      </c>
      <c r="J46" s="44">
        <v>36591.0</v>
      </c>
    </row>
    <row r="47" ht="60.0" customHeight="1">
      <c r="A47" s="40">
        <v>44.0</v>
      </c>
      <c r="B47" s="41" t="s">
        <v>248</v>
      </c>
      <c r="C47" s="41" t="s">
        <v>249</v>
      </c>
      <c r="D47" s="41" t="s">
        <v>250</v>
      </c>
      <c r="E47" s="41" t="s">
        <v>251</v>
      </c>
      <c r="F47" s="40" t="str">
        <f t="shared" si="1"/>
        <v>WRONG</v>
      </c>
      <c r="G47" s="40" t="s">
        <v>36</v>
      </c>
      <c r="H47" s="42" t="s">
        <v>48</v>
      </c>
      <c r="I47" s="43" t="s">
        <v>252</v>
      </c>
      <c r="J47" s="44">
        <v>43151.0</v>
      </c>
    </row>
    <row r="48" ht="60.0" customHeight="1">
      <c r="A48" s="40">
        <v>45.0</v>
      </c>
      <c r="B48" s="41" t="s">
        <v>253</v>
      </c>
      <c r="C48" s="41" t="s">
        <v>254</v>
      </c>
      <c r="D48" s="41" t="s">
        <v>255</v>
      </c>
      <c r="E48" s="41" t="s">
        <v>256</v>
      </c>
      <c r="F48" s="40" t="str">
        <f t="shared" si="1"/>
        <v>WRONG</v>
      </c>
      <c r="G48" s="40" t="s">
        <v>36</v>
      </c>
      <c r="H48" s="42" t="s">
        <v>48</v>
      </c>
      <c r="I48" s="43" t="s">
        <v>257</v>
      </c>
      <c r="J48" s="44">
        <v>38404.0</v>
      </c>
    </row>
    <row r="49" ht="60.0" customHeight="1">
      <c r="A49" s="40">
        <v>46.0</v>
      </c>
      <c r="B49" s="41" t="s">
        <v>258</v>
      </c>
      <c r="C49" s="41" t="s">
        <v>39</v>
      </c>
      <c r="D49" s="41" t="s">
        <v>259</v>
      </c>
      <c r="E49" s="41" t="s">
        <v>260</v>
      </c>
      <c r="F49" s="40" t="str">
        <f t="shared" si="1"/>
        <v>CORRECT</v>
      </c>
      <c r="G49" s="40" t="s">
        <v>36</v>
      </c>
      <c r="H49" s="42" t="s">
        <v>36</v>
      </c>
      <c r="I49" s="43" t="s">
        <v>261</v>
      </c>
      <c r="J49" s="44">
        <v>48835.0</v>
      </c>
    </row>
    <row r="50">
      <c r="A50" s="45" t="s">
        <v>262</v>
      </c>
      <c r="B50" s="2"/>
      <c r="C50" s="2"/>
      <c r="D50" s="2"/>
      <c r="E50" s="3"/>
      <c r="F50" s="46">
        <f>COUNTIFS(F4:F49,"CORRECT")</f>
        <v>31</v>
      </c>
      <c r="G50" s="47"/>
      <c r="H50" s="47"/>
      <c r="J50" s="48">
        <f>AVERAGE(J4:J49)</f>
        <v>35564.95652</v>
      </c>
    </row>
    <row r="51">
      <c r="A51" s="49" t="s">
        <v>263</v>
      </c>
      <c r="B51" s="2"/>
      <c r="C51" s="2"/>
      <c r="D51" s="2"/>
      <c r="E51" s="3"/>
      <c r="F51" s="50">
        <v>46.0</v>
      </c>
      <c r="G51" s="47"/>
      <c r="H51" s="47"/>
    </row>
    <row r="52">
      <c r="A52" s="45" t="s">
        <v>264</v>
      </c>
      <c r="B52" s="2"/>
      <c r="C52" s="2"/>
      <c r="D52" s="2"/>
      <c r="E52" s="3"/>
      <c r="F52" s="51">
        <f>F50/F51</f>
        <v>0.6739130435</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318</v>
      </c>
      <c r="C2" s="2"/>
      <c r="D2" s="2"/>
      <c r="E2" s="2"/>
      <c r="F2" s="2"/>
      <c r="G2" s="2"/>
      <c r="H2" s="3"/>
      <c r="I2" s="38" t="s">
        <v>319</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42" t="s">
        <v>36</v>
      </c>
      <c r="I4" s="43" t="s">
        <v>320</v>
      </c>
      <c r="J4" s="44">
        <v>39617.0</v>
      </c>
    </row>
    <row r="5" ht="60.0" customHeight="1">
      <c r="A5" s="40">
        <v>2.0</v>
      </c>
      <c r="B5" s="41" t="s">
        <v>38</v>
      </c>
      <c r="C5" s="41" t="s">
        <v>39</v>
      </c>
      <c r="D5" s="41" t="s">
        <v>40</v>
      </c>
      <c r="E5" s="41" t="s">
        <v>41</v>
      </c>
      <c r="F5" s="40" t="str">
        <f t="shared" si="1"/>
        <v>CORRECT</v>
      </c>
      <c r="G5" s="40" t="s">
        <v>42</v>
      </c>
      <c r="H5" s="44" t="s">
        <v>42</v>
      </c>
      <c r="I5" s="43" t="s">
        <v>321</v>
      </c>
      <c r="J5" s="44">
        <v>48428.0</v>
      </c>
    </row>
    <row r="6" ht="60.0" customHeight="1">
      <c r="A6" s="40">
        <v>3.0</v>
      </c>
      <c r="B6" s="41" t="s">
        <v>44</v>
      </c>
      <c r="C6" s="41" t="s">
        <v>45</v>
      </c>
      <c r="D6" s="41" t="s">
        <v>46</v>
      </c>
      <c r="E6" s="41" t="s">
        <v>47</v>
      </c>
      <c r="F6" s="40" t="str">
        <f t="shared" si="1"/>
        <v>CORRECT</v>
      </c>
      <c r="G6" s="40" t="s">
        <v>48</v>
      </c>
      <c r="H6" s="42" t="s">
        <v>48</v>
      </c>
      <c r="I6" s="43" t="s">
        <v>322</v>
      </c>
      <c r="J6" s="44">
        <v>33253.0</v>
      </c>
    </row>
    <row r="7" ht="60.0" customHeight="1">
      <c r="A7" s="40">
        <v>4.0</v>
      </c>
      <c r="B7" s="41" t="s">
        <v>50</v>
      </c>
      <c r="C7" s="41" t="s">
        <v>51</v>
      </c>
      <c r="D7" s="41" t="s">
        <v>52</v>
      </c>
      <c r="E7" s="41" t="s">
        <v>53</v>
      </c>
      <c r="F7" s="40" t="str">
        <f t="shared" si="1"/>
        <v>CORRECT</v>
      </c>
      <c r="G7" s="40" t="s">
        <v>42</v>
      </c>
      <c r="H7" s="44" t="s">
        <v>42</v>
      </c>
      <c r="I7" s="43" t="s">
        <v>323</v>
      </c>
      <c r="J7" s="44">
        <v>30657.0</v>
      </c>
    </row>
    <row r="8" ht="60.0" customHeight="1">
      <c r="A8" s="40">
        <v>5.0</v>
      </c>
      <c r="B8" s="41" t="s">
        <v>55</v>
      </c>
      <c r="C8" s="41" t="s">
        <v>56</v>
      </c>
      <c r="D8" s="41" t="s">
        <v>57</v>
      </c>
      <c r="E8" s="41" t="s">
        <v>58</v>
      </c>
      <c r="F8" s="40" t="str">
        <f t="shared" si="1"/>
        <v>CORRECT</v>
      </c>
      <c r="G8" s="40" t="s">
        <v>48</v>
      </c>
      <c r="H8" s="42" t="s">
        <v>48</v>
      </c>
      <c r="I8" s="43" t="s">
        <v>324</v>
      </c>
      <c r="J8" s="44">
        <v>58827.0</v>
      </c>
    </row>
    <row r="9" ht="60.0" customHeight="1">
      <c r="A9" s="40">
        <v>6.0</v>
      </c>
      <c r="B9" s="41" t="s">
        <v>60</v>
      </c>
      <c r="C9" s="41" t="s">
        <v>61</v>
      </c>
      <c r="D9" s="41" t="s">
        <v>62</v>
      </c>
      <c r="E9" s="41" t="s">
        <v>63</v>
      </c>
      <c r="F9" s="40" t="str">
        <f t="shared" si="1"/>
        <v>CORRECT</v>
      </c>
      <c r="G9" s="40" t="s">
        <v>42</v>
      </c>
      <c r="H9" s="44" t="s">
        <v>42</v>
      </c>
      <c r="I9" s="43" t="s">
        <v>325</v>
      </c>
      <c r="J9" s="44">
        <v>47360.0</v>
      </c>
    </row>
    <row r="10" ht="60.0" customHeight="1">
      <c r="A10" s="40">
        <v>7.0</v>
      </c>
      <c r="B10" s="41" t="s">
        <v>65</v>
      </c>
      <c r="C10" s="41" t="s">
        <v>66</v>
      </c>
      <c r="D10" s="41" t="s">
        <v>67</v>
      </c>
      <c r="E10" s="41" t="s">
        <v>68</v>
      </c>
      <c r="F10" s="40" t="str">
        <f t="shared" si="1"/>
        <v>WRONG</v>
      </c>
      <c r="G10" s="40" t="s">
        <v>42</v>
      </c>
      <c r="H10" s="42" t="s">
        <v>36</v>
      </c>
      <c r="I10" s="43" t="s">
        <v>326</v>
      </c>
      <c r="J10" s="44">
        <v>28312.0</v>
      </c>
    </row>
    <row r="11" ht="60.0" customHeight="1">
      <c r="A11" s="40">
        <v>8.0</v>
      </c>
      <c r="B11" s="41" t="s">
        <v>70</v>
      </c>
      <c r="C11" s="41" t="s">
        <v>71</v>
      </c>
      <c r="D11" s="41" t="s">
        <v>72</v>
      </c>
      <c r="E11" s="41" t="s">
        <v>73</v>
      </c>
      <c r="F11" s="40" t="str">
        <f t="shared" si="1"/>
        <v>CORRECT</v>
      </c>
      <c r="G11" s="40" t="s">
        <v>48</v>
      </c>
      <c r="H11" s="44" t="s">
        <v>48</v>
      </c>
      <c r="I11" s="43" t="s">
        <v>327</v>
      </c>
      <c r="J11" s="44">
        <v>36402.0</v>
      </c>
    </row>
    <row r="12" ht="60.0" customHeight="1">
      <c r="A12" s="40">
        <v>9.0</v>
      </c>
      <c r="B12" s="41" t="s">
        <v>75</v>
      </c>
      <c r="C12" s="41" t="s">
        <v>76</v>
      </c>
      <c r="D12" s="41" t="s">
        <v>77</v>
      </c>
      <c r="E12" s="41" t="s">
        <v>78</v>
      </c>
      <c r="F12" s="40" t="str">
        <f t="shared" si="1"/>
        <v>CORRECT</v>
      </c>
      <c r="G12" s="40" t="s">
        <v>42</v>
      </c>
      <c r="H12" s="42" t="s">
        <v>42</v>
      </c>
      <c r="I12" s="43" t="s">
        <v>328</v>
      </c>
      <c r="J12" s="44">
        <v>31349.0</v>
      </c>
    </row>
    <row r="13" ht="60.0" customHeight="1">
      <c r="A13" s="40">
        <v>10.0</v>
      </c>
      <c r="B13" s="41" t="s">
        <v>80</v>
      </c>
      <c r="C13" s="41" t="s">
        <v>81</v>
      </c>
      <c r="D13" s="41" t="s">
        <v>82</v>
      </c>
      <c r="E13" s="41" t="s">
        <v>83</v>
      </c>
      <c r="F13" s="40" t="str">
        <f t="shared" si="1"/>
        <v>CORRECT</v>
      </c>
      <c r="G13" s="40" t="s">
        <v>48</v>
      </c>
      <c r="H13" s="44" t="s">
        <v>48</v>
      </c>
      <c r="I13" s="43" t="s">
        <v>329</v>
      </c>
      <c r="J13" s="44">
        <v>28153.0</v>
      </c>
    </row>
    <row r="14" ht="60.0" customHeight="1">
      <c r="A14" s="40">
        <v>11.0</v>
      </c>
      <c r="B14" s="41" t="s">
        <v>85</v>
      </c>
      <c r="C14" s="41" t="s">
        <v>86</v>
      </c>
      <c r="D14" s="41" t="s">
        <v>87</v>
      </c>
      <c r="E14" s="41" t="s">
        <v>88</v>
      </c>
      <c r="F14" s="40" t="str">
        <f t="shared" si="1"/>
        <v>WRONG</v>
      </c>
      <c r="G14" s="40" t="s">
        <v>42</v>
      </c>
      <c r="H14" s="44" t="s">
        <v>48</v>
      </c>
      <c r="I14" s="43" t="s">
        <v>330</v>
      </c>
      <c r="J14" s="44">
        <v>43674.0</v>
      </c>
    </row>
    <row r="15" ht="60.0" customHeight="1">
      <c r="A15" s="40">
        <v>12.0</v>
      </c>
      <c r="B15" s="41" t="s">
        <v>90</v>
      </c>
      <c r="C15" s="41" t="s">
        <v>91</v>
      </c>
      <c r="D15" s="41" t="s">
        <v>92</v>
      </c>
      <c r="E15" s="41" t="s">
        <v>93</v>
      </c>
      <c r="F15" s="40" t="str">
        <f t="shared" si="1"/>
        <v>CORRECT</v>
      </c>
      <c r="G15" s="40" t="s">
        <v>48</v>
      </c>
      <c r="H15" s="42" t="s">
        <v>48</v>
      </c>
      <c r="I15" s="43" t="s">
        <v>331</v>
      </c>
      <c r="J15" s="44">
        <v>43728.0</v>
      </c>
    </row>
    <row r="16" ht="60.0" customHeight="1">
      <c r="A16" s="40">
        <v>13.0</v>
      </c>
      <c r="B16" s="41" t="s">
        <v>95</v>
      </c>
      <c r="C16" s="41" t="s">
        <v>96</v>
      </c>
      <c r="D16" s="41" t="s">
        <v>97</v>
      </c>
      <c r="E16" s="41" t="s">
        <v>98</v>
      </c>
      <c r="F16" s="40" t="str">
        <f t="shared" si="1"/>
        <v>WRONG</v>
      </c>
      <c r="G16" s="40" t="s">
        <v>36</v>
      </c>
      <c r="H16" s="42" t="s">
        <v>48</v>
      </c>
      <c r="I16" s="43" t="s">
        <v>332</v>
      </c>
      <c r="J16" s="44">
        <v>30314.0</v>
      </c>
    </row>
    <row r="17" ht="60.0" customHeight="1">
      <c r="A17" s="40">
        <v>14.0</v>
      </c>
      <c r="B17" s="41" t="s">
        <v>100</v>
      </c>
      <c r="C17" s="41" t="s">
        <v>101</v>
      </c>
      <c r="D17" s="41" t="s">
        <v>102</v>
      </c>
      <c r="E17" s="41" t="s">
        <v>103</v>
      </c>
      <c r="F17" s="40" t="str">
        <f t="shared" si="1"/>
        <v>WRONG</v>
      </c>
      <c r="G17" s="40" t="s">
        <v>36</v>
      </c>
      <c r="H17" s="42" t="s">
        <v>48</v>
      </c>
      <c r="I17" s="43" t="s">
        <v>333</v>
      </c>
      <c r="J17" s="44">
        <v>38375.0</v>
      </c>
    </row>
    <row r="18" ht="60.0" customHeight="1">
      <c r="A18" s="40">
        <v>15.0</v>
      </c>
      <c r="B18" s="41" t="s">
        <v>105</v>
      </c>
      <c r="C18" s="41" t="s">
        <v>106</v>
      </c>
      <c r="D18" s="41" t="s">
        <v>107</v>
      </c>
      <c r="E18" s="41" t="s">
        <v>108</v>
      </c>
      <c r="F18" s="40" t="str">
        <f t="shared" si="1"/>
        <v>CORRECT</v>
      </c>
      <c r="G18" s="40" t="s">
        <v>48</v>
      </c>
      <c r="H18" s="42" t="s">
        <v>48</v>
      </c>
      <c r="I18" s="43" t="s">
        <v>334</v>
      </c>
      <c r="J18" s="44">
        <v>34466.0</v>
      </c>
    </row>
    <row r="19" ht="60.0" customHeight="1">
      <c r="A19" s="40">
        <v>16.0</v>
      </c>
      <c r="B19" s="41" t="s">
        <v>110</v>
      </c>
      <c r="C19" s="41" t="s">
        <v>111</v>
      </c>
      <c r="D19" s="41" t="s">
        <v>112</v>
      </c>
      <c r="E19" s="41" t="s">
        <v>113</v>
      </c>
      <c r="F19" s="40" t="str">
        <f t="shared" si="1"/>
        <v>CORRECT</v>
      </c>
      <c r="G19" s="40" t="s">
        <v>48</v>
      </c>
      <c r="H19" s="42" t="s">
        <v>48</v>
      </c>
      <c r="I19" s="43" t="s">
        <v>114</v>
      </c>
      <c r="J19" s="44">
        <v>35872.0</v>
      </c>
    </row>
    <row r="20" ht="60.0" customHeight="1">
      <c r="A20" s="40">
        <v>17.0</v>
      </c>
      <c r="B20" s="41" t="s">
        <v>115</v>
      </c>
      <c r="C20" s="41" t="s">
        <v>116</v>
      </c>
      <c r="D20" s="41" t="s">
        <v>117</v>
      </c>
      <c r="E20" s="41" t="s">
        <v>118</v>
      </c>
      <c r="F20" s="40" t="str">
        <f t="shared" si="1"/>
        <v>WRONG</v>
      </c>
      <c r="G20" s="40" t="s">
        <v>42</v>
      </c>
      <c r="H20" s="44" t="s">
        <v>36</v>
      </c>
      <c r="I20" s="43" t="s">
        <v>335</v>
      </c>
      <c r="J20" s="44">
        <v>33310.0</v>
      </c>
    </row>
    <row r="21" ht="60.0" customHeight="1">
      <c r="A21" s="40">
        <v>18.0</v>
      </c>
      <c r="B21" s="41" t="s">
        <v>120</v>
      </c>
      <c r="C21" s="41" t="s">
        <v>121</v>
      </c>
      <c r="D21" s="41" t="s">
        <v>122</v>
      </c>
      <c r="E21" s="41" t="s">
        <v>123</v>
      </c>
      <c r="F21" s="40" t="str">
        <f t="shared" si="1"/>
        <v>CORRECT</v>
      </c>
      <c r="G21" s="40" t="s">
        <v>42</v>
      </c>
      <c r="H21" s="44" t="s">
        <v>42</v>
      </c>
      <c r="I21" s="43" t="s">
        <v>336</v>
      </c>
      <c r="J21" s="44">
        <v>45198.0</v>
      </c>
    </row>
    <row r="22" ht="60.0" customHeight="1">
      <c r="A22" s="40">
        <v>19.0</v>
      </c>
      <c r="B22" s="41" t="s">
        <v>125</v>
      </c>
      <c r="C22" s="41" t="s">
        <v>126</v>
      </c>
      <c r="D22" s="41" t="s">
        <v>127</v>
      </c>
      <c r="E22" s="41" t="s">
        <v>128</v>
      </c>
      <c r="F22" s="40" t="str">
        <f t="shared" si="1"/>
        <v>WRONG</v>
      </c>
      <c r="G22" s="40" t="s">
        <v>36</v>
      </c>
      <c r="H22" s="42" t="s">
        <v>48</v>
      </c>
      <c r="I22" s="43" t="s">
        <v>337</v>
      </c>
      <c r="J22" s="44">
        <v>37562.0</v>
      </c>
    </row>
    <row r="23" ht="60.0" customHeight="1">
      <c r="A23" s="40">
        <v>20.0</v>
      </c>
      <c r="B23" s="41" t="s">
        <v>130</v>
      </c>
      <c r="C23" s="41" t="s">
        <v>131</v>
      </c>
      <c r="D23" s="41" t="s">
        <v>132</v>
      </c>
      <c r="E23" s="41" t="s">
        <v>133</v>
      </c>
      <c r="F23" s="40" t="str">
        <f t="shared" si="1"/>
        <v>WRONG</v>
      </c>
      <c r="G23" s="40" t="s">
        <v>42</v>
      </c>
      <c r="H23" s="42" t="s">
        <v>48</v>
      </c>
      <c r="I23" s="43" t="s">
        <v>338</v>
      </c>
      <c r="J23" s="44">
        <v>15947.0</v>
      </c>
    </row>
    <row r="24" ht="60.0" customHeight="1">
      <c r="A24" s="40">
        <v>21.0</v>
      </c>
      <c r="B24" s="41" t="s">
        <v>135</v>
      </c>
      <c r="C24" s="41" t="s">
        <v>136</v>
      </c>
      <c r="D24" s="41" t="s">
        <v>137</v>
      </c>
      <c r="E24" s="41" t="s">
        <v>138</v>
      </c>
      <c r="F24" s="40" t="str">
        <f t="shared" si="1"/>
        <v>WRONG</v>
      </c>
      <c r="G24" s="40" t="s">
        <v>42</v>
      </c>
      <c r="H24" s="44" t="s">
        <v>36</v>
      </c>
      <c r="I24" s="43" t="s">
        <v>339</v>
      </c>
      <c r="J24" s="44">
        <v>35430.0</v>
      </c>
    </row>
    <row r="25" ht="60.0" customHeight="1">
      <c r="A25" s="40">
        <v>22.0</v>
      </c>
      <c r="B25" s="41" t="s">
        <v>140</v>
      </c>
      <c r="C25" s="41" t="s">
        <v>141</v>
      </c>
      <c r="D25" s="41" t="s">
        <v>142</v>
      </c>
      <c r="E25" s="41" t="s">
        <v>143</v>
      </c>
      <c r="F25" s="40" t="str">
        <f t="shared" si="1"/>
        <v>CORRECT</v>
      </c>
      <c r="G25" s="40" t="s">
        <v>42</v>
      </c>
      <c r="H25" s="44" t="s">
        <v>42</v>
      </c>
      <c r="I25" s="43" t="s">
        <v>340</v>
      </c>
      <c r="J25" s="44">
        <v>37772.0</v>
      </c>
    </row>
    <row r="26" ht="60.0" customHeight="1">
      <c r="A26" s="40">
        <v>23.0</v>
      </c>
      <c r="B26" s="41" t="s">
        <v>145</v>
      </c>
      <c r="C26" s="41" t="s">
        <v>146</v>
      </c>
      <c r="D26" s="41" t="s">
        <v>147</v>
      </c>
      <c r="E26" s="41" t="s">
        <v>148</v>
      </c>
      <c r="F26" s="40" t="str">
        <f t="shared" si="1"/>
        <v>CORRECT</v>
      </c>
      <c r="G26" s="40" t="s">
        <v>48</v>
      </c>
      <c r="H26" s="44" t="s">
        <v>48</v>
      </c>
      <c r="I26" s="43" t="s">
        <v>341</v>
      </c>
      <c r="J26" s="44">
        <v>27219.0</v>
      </c>
    </row>
    <row r="27" ht="60.0" customHeight="1">
      <c r="A27" s="40">
        <v>24.0</v>
      </c>
      <c r="B27" s="41" t="s">
        <v>150</v>
      </c>
      <c r="C27" s="41" t="s">
        <v>151</v>
      </c>
      <c r="D27" s="41" t="s">
        <v>152</v>
      </c>
      <c r="E27" s="41" t="s">
        <v>153</v>
      </c>
      <c r="F27" s="40" t="str">
        <f t="shared" si="1"/>
        <v>CORRECT</v>
      </c>
      <c r="G27" s="40" t="s">
        <v>36</v>
      </c>
      <c r="H27" s="44" t="s">
        <v>36</v>
      </c>
      <c r="I27" s="43" t="s">
        <v>342</v>
      </c>
      <c r="J27" s="44">
        <v>29639.0</v>
      </c>
    </row>
    <row r="28" ht="60.0" customHeight="1">
      <c r="A28" s="40">
        <v>25.0</v>
      </c>
      <c r="B28" s="41" t="s">
        <v>155</v>
      </c>
      <c r="C28" s="41" t="s">
        <v>151</v>
      </c>
      <c r="D28" s="41" t="s">
        <v>156</v>
      </c>
      <c r="E28" s="41" t="s">
        <v>153</v>
      </c>
      <c r="F28" s="40" t="str">
        <f t="shared" si="1"/>
        <v>CORRECT</v>
      </c>
      <c r="G28" s="40" t="s">
        <v>48</v>
      </c>
      <c r="H28" s="42" t="s">
        <v>48</v>
      </c>
      <c r="I28" s="43" t="s">
        <v>343</v>
      </c>
      <c r="J28" s="44">
        <v>34847.0</v>
      </c>
    </row>
    <row r="29" ht="60.0" customHeight="1">
      <c r="A29" s="40">
        <v>26.0</v>
      </c>
      <c r="B29" s="41" t="s">
        <v>158</v>
      </c>
      <c r="C29" s="41" t="s">
        <v>159</v>
      </c>
      <c r="D29" s="41" t="s">
        <v>160</v>
      </c>
      <c r="E29" s="41" t="s">
        <v>161</v>
      </c>
      <c r="F29" s="40" t="str">
        <f t="shared" si="1"/>
        <v>WRONG</v>
      </c>
      <c r="G29" s="40" t="s">
        <v>36</v>
      </c>
      <c r="H29" s="44" t="s">
        <v>42</v>
      </c>
      <c r="I29" s="43" t="s">
        <v>344</v>
      </c>
      <c r="J29" s="44">
        <v>30294.0</v>
      </c>
    </row>
    <row r="30" ht="60.0" customHeight="1">
      <c r="A30" s="40">
        <v>27.0</v>
      </c>
      <c r="B30" s="41" t="s">
        <v>163</v>
      </c>
      <c r="C30" s="41" t="s">
        <v>164</v>
      </c>
      <c r="D30" s="41" t="s">
        <v>165</v>
      </c>
      <c r="E30" s="41" t="s">
        <v>166</v>
      </c>
      <c r="F30" s="40" t="str">
        <f t="shared" si="1"/>
        <v>CORRECT</v>
      </c>
      <c r="G30" s="40" t="s">
        <v>42</v>
      </c>
      <c r="H30" s="44" t="s">
        <v>42</v>
      </c>
      <c r="I30" s="43" t="s">
        <v>345</v>
      </c>
      <c r="J30" s="44">
        <v>39946.0</v>
      </c>
    </row>
    <row r="31" ht="60.0" customHeight="1">
      <c r="A31" s="40">
        <v>28.0</v>
      </c>
      <c r="B31" s="41" t="s">
        <v>168</v>
      </c>
      <c r="C31" s="41" t="s">
        <v>169</v>
      </c>
      <c r="D31" s="41" t="s">
        <v>170</v>
      </c>
      <c r="E31" s="41" t="s">
        <v>171</v>
      </c>
      <c r="F31" s="40" t="str">
        <f t="shared" si="1"/>
        <v>WRONG</v>
      </c>
      <c r="G31" s="40" t="s">
        <v>36</v>
      </c>
      <c r="H31" s="42" t="s">
        <v>42</v>
      </c>
      <c r="I31" s="43" t="s">
        <v>304</v>
      </c>
      <c r="J31" s="44">
        <v>31773.0</v>
      </c>
    </row>
    <row r="32" ht="60.0" customHeight="1">
      <c r="A32" s="40">
        <v>29.0</v>
      </c>
      <c r="B32" s="41" t="s">
        <v>173</v>
      </c>
      <c r="C32" s="41" t="s">
        <v>174</v>
      </c>
      <c r="D32" s="41" t="s">
        <v>175</v>
      </c>
      <c r="E32" s="41" t="s">
        <v>176</v>
      </c>
      <c r="F32" s="40" t="str">
        <f t="shared" si="1"/>
        <v>CORRECT</v>
      </c>
      <c r="G32" s="40" t="s">
        <v>42</v>
      </c>
      <c r="H32" s="42" t="s">
        <v>42</v>
      </c>
      <c r="I32" s="43" t="s">
        <v>346</v>
      </c>
      <c r="J32" s="44">
        <v>27487.0</v>
      </c>
    </row>
    <row r="33" ht="60.0" customHeight="1">
      <c r="A33" s="40">
        <v>30.0</v>
      </c>
      <c r="B33" s="41" t="s">
        <v>178</v>
      </c>
      <c r="C33" s="41" t="s">
        <v>179</v>
      </c>
      <c r="D33" s="41" t="s">
        <v>180</v>
      </c>
      <c r="E33" s="41" t="s">
        <v>181</v>
      </c>
      <c r="F33" s="40" t="str">
        <f t="shared" si="1"/>
        <v>WRONG</v>
      </c>
      <c r="G33" s="40" t="s">
        <v>48</v>
      </c>
      <c r="H33" s="44" t="s">
        <v>36</v>
      </c>
      <c r="I33" s="43" t="s">
        <v>182</v>
      </c>
      <c r="J33" s="44">
        <v>35793.0</v>
      </c>
    </row>
    <row r="34" ht="60.0" customHeight="1">
      <c r="A34" s="40">
        <v>31.0</v>
      </c>
      <c r="B34" s="41" t="s">
        <v>183</v>
      </c>
      <c r="C34" s="41" t="s">
        <v>184</v>
      </c>
      <c r="D34" s="41" t="s">
        <v>185</v>
      </c>
      <c r="E34" s="41" t="s">
        <v>186</v>
      </c>
      <c r="F34" s="40" t="str">
        <f t="shared" si="1"/>
        <v>WRONG</v>
      </c>
      <c r="G34" s="40" t="s">
        <v>42</v>
      </c>
      <c r="H34" s="44" t="s">
        <v>36</v>
      </c>
      <c r="I34" s="43" t="s">
        <v>347</v>
      </c>
      <c r="J34" s="44">
        <v>34346.0</v>
      </c>
    </row>
    <row r="35" ht="60.0" customHeight="1">
      <c r="A35" s="40">
        <v>32.0</v>
      </c>
      <c r="B35" s="41" t="s">
        <v>188</v>
      </c>
      <c r="C35" s="41" t="s">
        <v>189</v>
      </c>
      <c r="D35" s="41" t="s">
        <v>190</v>
      </c>
      <c r="E35" s="41" t="s">
        <v>191</v>
      </c>
      <c r="F35" s="40" t="str">
        <f t="shared" si="1"/>
        <v>CORRECT</v>
      </c>
      <c r="G35" s="40" t="s">
        <v>36</v>
      </c>
      <c r="H35" s="42" t="s">
        <v>36</v>
      </c>
      <c r="I35" s="43" t="s">
        <v>348</v>
      </c>
      <c r="J35" s="44">
        <v>46475.0</v>
      </c>
    </row>
    <row r="36" ht="60.0" customHeight="1">
      <c r="A36" s="40">
        <v>33.0</v>
      </c>
      <c r="B36" s="41" t="s">
        <v>193</v>
      </c>
      <c r="C36" s="41" t="s">
        <v>194</v>
      </c>
      <c r="D36" s="41" t="s">
        <v>195</v>
      </c>
      <c r="E36" s="41" t="s">
        <v>196</v>
      </c>
      <c r="F36" s="40" t="str">
        <f t="shared" si="1"/>
        <v>WRONG</v>
      </c>
      <c r="G36" s="40" t="s">
        <v>48</v>
      </c>
      <c r="H36" s="42" t="s">
        <v>42</v>
      </c>
      <c r="I36" s="43" t="s">
        <v>349</v>
      </c>
      <c r="J36" s="44">
        <v>43728.0</v>
      </c>
    </row>
    <row r="37" ht="60.0" customHeight="1">
      <c r="A37" s="40">
        <v>34.0</v>
      </c>
      <c r="B37" s="41" t="s">
        <v>198</v>
      </c>
      <c r="C37" s="41" t="s">
        <v>199</v>
      </c>
      <c r="D37" s="41" t="s">
        <v>200</v>
      </c>
      <c r="E37" s="41" t="s">
        <v>201</v>
      </c>
      <c r="F37" s="40" t="str">
        <f t="shared" si="1"/>
        <v>CORRECT</v>
      </c>
      <c r="G37" s="40" t="s">
        <v>36</v>
      </c>
      <c r="H37" s="44" t="s">
        <v>36</v>
      </c>
      <c r="I37" s="43" t="s">
        <v>350</v>
      </c>
      <c r="J37" s="44">
        <v>51084.0</v>
      </c>
    </row>
    <row r="38" ht="60.0" customHeight="1">
      <c r="A38" s="40">
        <v>35.0</v>
      </c>
      <c r="B38" s="41" t="s">
        <v>203</v>
      </c>
      <c r="C38" s="41" t="s">
        <v>204</v>
      </c>
      <c r="D38" s="41" t="s">
        <v>205</v>
      </c>
      <c r="E38" s="41" t="s">
        <v>206</v>
      </c>
      <c r="F38" s="40" t="str">
        <f t="shared" si="1"/>
        <v>CORRECT</v>
      </c>
      <c r="G38" s="40" t="s">
        <v>48</v>
      </c>
      <c r="H38" s="44" t="s">
        <v>48</v>
      </c>
      <c r="I38" s="43" t="s">
        <v>351</v>
      </c>
      <c r="J38" s="44">
        <v>39601.0</v>
      </c>
    </row>
    <row r="39" ht="60.0" customHeight="1">
      <c r="A39" s="40">
        <v>36.0</v>
      </c>
      <c r="B39" s="41" t="s">
        <v>208</v>
      </c>
      <c r="C39" s="41" t="s">
        <v>209</v>
      </c>
      <c r="D39" s="41" t="s">
        <v>210</v>
      </c>
      <c r="E39" s="41" t="s">
        <v>211</v>
      </c>
      <c r="F39" s="40" t="str">
        <f t="shared" si="1"/>
        <v>CORRECT</v>
      </c>
      <c r="G39" s="40" t="s">
        <v>36</v>
      </c>
      <c r="H39" s="44" t="s">
        <v>36</v>
      </c>
      <c r="I39" s="43" t="s">
        <v>352</v>
      </c>
      <c r="J39" s="44">
        <v>34081.0</v>
      </c>
    </row>
    <row r="40" ht="60.0" customHeight="1">
      <c r="A40" s="40">
        <v>37.0</v>
      </c>
      <c r="B40" s="41" t="s">
        <v>213</v>
      </c>
      <c r="C40" s="41" t="s">
        <v>214</v>
      </c>
      <c r="D40" s="41" t="s">
        <v>215</v>
      </c>
      <c r="E40" s="41" t="s">
        <v>216</v>
      </c>
      <c r="F40" s="40" t="str">
        <f t="shared" si="1"/>
        <v>CORRECT</v>
      </c>
      <c r="G40" s="40" t="s">
        <v>36</v>
      </c>
      <c r="H40" s="44" t="s">
        <v>36</v>
      </c>
      <c r="I40" s="43" t="s">
        <v>217</v>
      </c>
      <c r="J40" s="44">
        <v>23965.0</v>
      </c>
    </row>
    <row r="41" ht="60.0" customHeight="1">
      <c r="A41" s="40">
        <v>38.0</v>
      </c>
      <c r="B41" s="41" t="s">
        <v>218</v>
      </c>
      <c r="C41" s="41" t="s">
        <v>219</v>
      </c>
      <c r="D41" s="41" t="s">
        <v>220</v>
      </c>
      <c r="E41" s="41" t="s">
        <v>221</v>
      </c>
      <c r="F41" s="40" t="str">
        <f t="shared" si="1"/>
        <v>CORRECT</v>
      </c>
      <c r="G41" s="40" t="s">
        <v>36</v>
      </c>
      <c r="H41" s="44" t="s">
        <v>36</v>
      </c>
      <c r="I41" s="43" t="s">
        <v>353</v>
      </c>
      <c r="J41" s="44">
        <v>30842.0</v>
      </c>
    </row>
    <row r="42" ht="60.0" customHeight="1">
      <c r="A42" s="40">
        <v>39.0</v>
      </c>
      <c r="B42" s="41" t="s">
        <v>223</v>
      </c>
      <c r="C42" s="41" t="s">
        <v>224</v>
      </c>
      <c r="D42" s="41" t="s">
        <v>225</v>
      </c>
      <c r="E42" s="41" t="s">
        <v>226</v>
      </c>
      <c r="F42" s="40" t="str">
        <f t="shared" si="1"/>
        <v>WRONG</v>
      </c>
      <c r="G42" s="40" t="s">
        <v>42</v>
      </c>
      <c r="H42" s="44" t="s">
        <v>48</v>
      </c>
      <c r="I42" s="43" t="s">
        <v>354</v>
      </c>
      <c r="J42" s="44">
        <v>28883.0</v>
      </c>
    </row>
    <row r="43" ht="60.0" customHeight="1">
      <c r="A43" s="40">
        <v>40.0</v>
      </c>
      <c r="B43" s="41" t="s">
        <v>228</v>
      </c>
      <c r="C43" s="41" t="s">
        <v>229</v>
      </c>
      <c r="D43" s="41" t="s">
        <v>230</v>
      </c>
      <c r="E43" s="41" t="s">
        <v>231</v>
      </c>
      <c r="F43" s="40" t="str">
        <f t="shared" si="1"/>
        <v>CORRECT</v>
      </c>
      <c r="G43" s="40" t="s">
        <v>48</v>
      </c>
      <c r="H43" s="42" t="s">
        <v>48</v>
      </c>
      <c r="I43" s="43" t="s">
        <v>355</v>
      </c>
      <c r="J43" s="44">
        <v>31957.0</v>
      </c>
    </row>
    <row r="44" ht="60.0" customHeight="1">
      <c r="A44" s="40">
        <v>41.0</v>
      </c>
      <c r="B44" s="41" t="s">
        <v>233</v>
      </c>
      <c r="C44" s="41" t="s">
        <v>234</v>
      </c>
      <c r="D44" s="41" t="s">
        <v>235</v>
      </c>
      <c r="E44" s="41" t="s">
        <v>236</v>
      </c>
      <c r="F44" s="40" t="str">
        <f t="shared" si="1"/>
        <v>CORRECT</v>
      </c>
      <c r="G44" s="40" t="s">
        <v>42</v>
      </c>
      <c r="H44" s="44" t="s">
        <v>42</v>
      </c>
      <c r="I44" s="43" t="s">
        <v>356</v>
      </c>
      <c r="J44" s="44">
        <v>18696.0</v>
      </c>
    </row>
    <row r="45" ht="60.0" customHeight="1">
      <c r="A45" s="40">
        <v>42.0</v>
      </c>
      <c r="B45" s="41" t="s">
        <v>238</v>
      </c>
      <c r="C45" s="41" t="s">
        <v>239</v>
      </c>
      <c r="D45" s="41" t="s">
        <v>240</v>
      </c>
      <c r="E45" s="41" t="s">
        <v>241</v>
      </c>
      <c r="F45" s="40" t="str">
        <f t="shared" si="1"/>
        <v>WRONG</v>
      </c>
      <c r="G45" s="40" t="s">
        <v>36</v>
      </c>
      <c r="H45" s="42" t="s">
        <v>42</v>
      </c>
      <c r="I45" s="43" t="s">
        <v>357</v>
      </c>
      <c r="J45" s="44">
        <v>32730.0</v>
      </c>
    </row>
    <row r="46" ht="60.0" customHeight="1">
      <c r="A46" s="40">
        <v>43.0</v>
      </c>
      <c r="B46" s="41" t="s">
        <v>243</v>
      </c>
      <c r="C46" s="41" t="s">
        <v>244</v>
      </c>
      <c r="D46" s="41" t="s">
        <v>245</v>
      </c>
      <c r="E46" s="41" t="s">
        <v>246</v>
      </c>
      <c r="F46" s="40" t="str">
        <f t="shared" si="1"/>
        <v>CORRECT</v>
      </c>
      <c r="G46" s="40" t="s">
        <v>48</v>
      </c>
      <c r="H46" s="44" t="s">
        <v>48</v>
      </c>
      <c r="I46" s="43" t="s">
        <v>358</v>
      </c>
      <c r="J46" s="44">
        <v>47158.0</v>
      </c>
    </row>
    <row r="47" ht="60.0" customHeight="1">
      <c r="A47" s="40">
        <v>44.0</v>
      </c>
      <c r="B47" s="41" t="s">
        <v>248</v>
      </c>
      <c r="C47" s="41" t="s">
        <v>249</v>
      </c>
      <c r="D47" s="41" t="s">
        <v>250</v>
      </c>
      <c r="E47" s="41" t="s">
        <v>251</v>
      </c>
      <c r="F47" s="40" t="str">
        <f t="shared" si="1"/>
        <v>WRONG</v>
      </c>
      <c r="G47" s="40" t="s">
        <v>36</v>
      </c>
      <c r="H47" s="42" t="s">
        <v>48</v>
      </c>
      <c r="I47" s="43" t="s">
        <v>359</v>
      </c>
      <c r="J47" s="44">
        <v>51253.0</v>
      </c>
    </row>
    <row r="48" ht="60.0" customHeight="1">
      <c r="A48" s="40">
        <v>45.0</v>
      </c>
      <c r="B48" s="41" t="s">
        <v>253</v>
      </c>
      <c r="C48" s="41" t="s">
        <v>254</v>
      </c>
      <c r="D48" s="41" t="s">
        <v>255</v>
      </c>
      <c r="E48" s="41" t="s">
        <v>256</v>
      </c>
      <c r="F48" s="40" t="str">
        <f t="shared" si="1"/>
        <v>WRONG</v>
      </c>
      <c r="G48" s="40" t="s">
        <v>36</v>
      </c>
      <c r="H48" s="42" t="s">
        <v>48</v>
      </c>
      <c r="I48" s="43" t="s">
        <v>360</v>
      </c>
      <c r="J48" s="44">
        <v>29476.0</v>
      </c>
    </row>
    <row r="49" ht="60.0" customHeight="1">
      <c r="A49" s="40">
        <v>46.0</v>
      </c>
      <c r="B49" s="41" t="s">
        <v>258</v>
      </c>
      <c r="C49" s="41" t="s">
        <v>39</v>
      </c>
      <c r="D49" s="41" t="s">
        <v>259</v>
      </c>
      <c r="E49" s="41" t="s">
        <v>260</v>
      </c>
      <c r="F49" s="40" t="str">
        <f t="shared" si="1"/>
        <v>CORRECT</v>
      </c>
      <c r="G49" s="40" t="s">
        <v>36</v>
      </c>
      <c r="H49" s="42" t="s">
        <v>36</v>
      </c>
      <c r="I49" s="43" t="s">
        <v>361</v>
      </c>
      <c r="J49" s="44">
        <v>44200.0</v>
      </c>
    </row>
    <row r="50">
      <c r="A50" s="45" t="s">
        <v>262</v>
      </c>
      <c r="B50" s="2"/>
      <c r="C50" s="2"/>
      <c r="D50" s="2"/>
      <c r="E50" s="3"/>
      <c r="F50" s="46">
        <f>COUNTIFS(F4:F49,"CORRECT")</f>
        <v>29</v>
      </c>
      <c r="G50" s="47"/>
      <c r="H50" s="47"/>
      <c r="J50" s="48">
        <f>AVERAGE(J4:J49)</f>
        <v>36075.63043</v>
      </c>
    </row>
    <row r="51">
      <c r="A51" s="49" t="s">
        <v>263</v>
      </c>
      <c r="B51" s="2"/>
      <c r="C51" s="2"/>
      <c r="D51" s="2"/>
      <c r="E51" s="3"/>
      <c r="F51" s="50">
        <v>46.0</v>
      </c>
      <c r="G51" s="47"/>
      <c r="H51" s="47"/>
    </row>
    <row r="52">
      <c r="A52" s="45" t="s">
        <v>264</v>
      </c>
      <c r="B52" s="2"/>
      <c r="C52" s="2"/>
      <c r="D52" s="2"/>
      <c r="E52" s="3"/>
      <c r="F52" s="51">
        <f>F50/F51</f>
        <v>0.6304347826</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362</v>
      </c>
      <c r="C2" s="2"/>
      <c r="D2" s="2"/>
      <c r="E2" s="2"/>
      <c r="F2" s="2"/>
      <c r="G2" s="2"/>
      <c r="H2" s="3"/>
      <c r="I2" s="38" t="s">
        <v>363</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55" t="s">
        <v>36</v>
      </c>
      <c r="I4" s="43" t="s">
        <v>364</v>
      </c>
      <c r="J4" s="56">
        <v>45536.0</v>
      </c>
    </row>
    <row r="5" ht="60.0" customHeight="1">
      <c r="A5" s="40">
        <v>2.0</v>
      </c>
      <c r="B5" s="41" t="s">
        <v>38</v>
      </c>
      <c r="C5" s="41" t="s">
        <v>39</v>
      </c>
      <c r="D5" s="41" t="s">
        <v>40</v>
      </c>
      <c r="E5" s="41" t="s">
        <v>41</v>
      </c>
      <c r="F5" s="40" t="str">
        <f t="shared" si="1"/>
        <v>CORRECT</v>
      </c>
      <c r="G5" s="40" t="s">
        <v>42</v>
      </c>
      <c r="H5" s="56" t="s">
        <v>42</v>
      </c>
      <c r="I5" s="43" t="s">
        <v>365</v>
      </c>
      <c r="J5" s="56">
        <v>45010.0</v>
      </c>
    </row>
    <row r="6" ht="60.0" customHeight="1">
      <c r="A6" s="40">
        <v>3.0</v>
      </c>
      <c r="B6" s="41" t="s">
        <v>44</v>
      </c>
      <c r="C6" s="41" t="s">
        <v>45</v>
      </c>
      <c r="D6" s="41" t="s">
        <v>46</v>
      </c>
      <c r="E6" s="41" t="s">
        <v>47</v>
      </c>
      <c r="F6" s="40" t="str">
        <f t="shared" si="1"/>
        <v>CORRECT</v>
      </c>
      <c r="G6" s="40" t="s">
        <v>48</v>
      </c>
      <c r="H6" s="55" t="s">
        <v>48</v>
      </c>
      <c r="I6" s="43" t="s">
        <v>366</v>
      </c>
      <c r="J6" s="56">
        <v>21456.0</v>
      </c>
    </row>
    <row r="7" ht="60.0" customHeight="1">
      <c r="A7" s="40">
        <v>4.0</v>
      </c>
      <c r="B7" s="41" t="s">
        <v>50</v>
      </c>
      <c r="C7" s="41" t="s">
        <v>51</v>
      </c>
      <c r="D7" s="41" t="s">
        <v>52</v>
      </c>
      <c r="E7" s="41" t="s">
        <v>53</v>
      </c>
      <c r="F7" s="40" t="str">
        <f t="shared" si="1"/>
        <v>CORRECT</v>
      </c>
      <c r="G7" s="40" t="s">
        <v>42</v>
      </c>
      <c r="H7" s="56" t="s">
        <v>42</v>
      </c>
      <c r="I7" s="43" t="s">
        <v>367</v>
      </c>
      <c r="J7" s="56">
        <v>40869.0</v>
      </c>
    </row>
    <row r="8" ht="60.0" customHeight="1">
      <c r="A8" s="40">
        <v>5.0</v>
      </c>
      <c r="B8" s="41" t="s">
        <v>55</v>
      </c>
      <c r="C8" s="41" t="s">
        <v>56</v>
      </c>
      <c r="D8" s="41" t="s">
        <v>57</v>
      </c>
      <c r="E8" s="41" t="s">
        <v>58</v>
      </c>
      <c r="F8" s="40" t="str">
        <f t="shared" si="1"/>
        <v>WRONG</v>
      </c>
      <c r="G8" s="40" t="s">
        <v>48</v>
      </c>
      <c r="H8" s="55" t="s">
        <v>42</v>
      </c>
      <c r="I8" s="43" t="s">
        <v>368</v>
      </c>
      <c r="J8" s="56">
        <v>55756.0</v>
      </c>
    </row>
    <row r="9" ht="60.0" customHeight="1">
      <c r="A9" s="40">
        <v>6.0</v>
      </c>
      <c r="B9" s="41" t="s">
        <v>60</v>
      </c>
      <c r="C9" s="41" t="s">
        <v>61</v>
      </c>
      <c r="D9" s="41" t="s">
        <v>62</v>
      </c>
      <c r="E9" s="41" t="s">
        <v>63</v>
      </c>
      <c r="F9" s="40" t="str">
        <f t="shared" si="1"/>
        <v>CORRECT</v>
      </c>
      <c r="G9" s="40" t="s">
        <v>42</v>
      </c>
      <c r="H9" s="56" t="s">
        <v>42</v>
      </c>
      <c r="I9" s="43" t="s">
        <v>369</v>
      </c>
      <c r="J9" s="56">
        <v>27628.0</v>
      </c>
    </row>
    <row r="10" ht="60.0" customHeight="1">
      <c r="A10" s="40">
        <v>7.0</v>
      </c>
      <c r="B10" s="41" t="s">
        <v>65</v>
      </c>
      <c r="C10" s="41" t="s">
        <v>66</v>
      </c>
      <c r="D10" s="41" t="s">
        <v>67</v>
      </c>
      <c r="E10" s="41" t="s">
        <v>68</v>
      </c>
      <c r="F10" s="40" t="str">
        <f t="shared" si="1"/>
        <v>WRONG</v>
      </c>
      <c r="G10" s="40" t="s">
        <v>42</v>
      </c>
      <c r="H10" s="55" t="s">
        <v>36</v>
      </c>
      <c r="I10" s="43" t="s">
        <v>370</v>
      </c>
      <c r="J10" s="56">
        <v>28924.0</v>
      </c>
    </row>
    <row r="11" ht="60.0" customHeight="1">
      <c r="A11" s="40">
        <v>8.0</v>
      </c>
      <c r="B11" s="41" t="s">
        <v>70</v>
      </c>
      <c r="C11" s="41" t="s">
        <v>71</v>
      </c>
      <c r="D11" s="41" t="s">
        <v>72</v>
      </c>
      <c r="E11" s="41" t="s">
        <v>73</v>
      </c>
      <c r="F11" s="40" t="str">
        <f t="shared" si="1"/>
        <v>WRONG</v>
      </c>
      <c r="G11" s="40" t="s">
        <v>48</v>
      </c>
      <c r="H11" s="56" t="s">
        <v>42</v>
      </c>
      <c r="I11" s="43" t="s">
        <v>371</v>
      </c>
      <c r="J11" s="56">
        <v>24806.0</v>
      </c>
    </row>
    <row r="12" ht="60.0" customHeight="1">
      <c r="A12" s="40">
        <v>9.0</v>
      </c>
      <c r="B12" s="41" t="s">
        <v>75</v>
      </c>
      <c r="C12" s="41" t="s">
        <v>76</v>
      </c>
      <c r="D12" s="41" t="s">
        <v>77</v>
      </c>
      <c r="E12" s="41" t="s">
        <v>78</v>
      </c>
      <c r="F12" s="40" t="str">
        <f t="shared" si="1"/>
        <v>CORRECT</v>
      </c>
      <c r="G12" s="40" t="s">
        <v>42</v>
      </c>
      <c r="H12" s="55" t="s">
        <v>42</v>
      </c>
      <c r="I12" s="43" t="s">
        <v>372</v>
      </c>
      <c r="J12" s="56">
        <v>26539.0</v>
      </c>
    </row>
    <row r="13" ht="60.0" customHeight="1">
      <c r="A13" s="40">
        <v>10.0</v>
      </c>
      <c r="B13" s="41" t="s">
        <v>80</v>
      </c>
      <c r="C13" s="41" t="s">
        <v>81</v>
      </c>
      <c r="D13" s="41" t="s">
        <v>82</v>
      </c>
      <c r="E13" s="41" t="s">
        <v>83</v>
      </c>
      <c r="F13" s="40" t="str">
        <f t="shared" si="1"/>
        <v>CORRECT</v>
      </c>
      <c r="G13" s="40" t="s">
        <v>48</v>
      </c>
      <c r="H13" s="56" t="s">
        <v>48</v>
      </c>
      <c r="I13" s="43" t="s">
        <v>373</v>
      </c>
      <c r="J13" s="56">
        <v>44768.0</v>
      </c>
    </row>
    <row r="14" ht="60.0" customHeight="1">
      <c r="A14" s="40">
        <v>11.0</v>
      </c>
      <c r="B14" s="41" t="s">
        <v>85</v>
      </c>
      <c r="C14" s="41" t="s">
        <v>86</v>
      </c>
      <c r="D14" s="41" t="s">
        <v>87</v>
      </c>
      <c r="E14" s="41" t="s">
        <v>88</v>
      </c>
      <c r="F14" s="40" t="str">
        <f t="shared" si="1"/>
        <v>WRONG</v>
      </c>
      <c r="G14" s="40" t="s">
        <v>42</v>
      </c>
      <c r="H14" s="56" t="s">
        <v>48</v>
      </c>
      <c r="I14" s="43" t="s">
        <v>374</v>
      </c>
      <c r="J14" s="56">
        <v>53818.0</v>
      </c>
    </row>
    <row r="15" ht="60.0" customHeight="1">
      <c r="A15" s="40">
        <v>12.0</v>
      </c>
      <c r="B15" s="41" t="s">
        <v>90</v>
      </c>
      <c r="C15" s="41" t="s">
        <v>91</v>
      </c>
      <c r="D15" s="41" t="s">
        <v>92</v>
      </c>
      <c r="E15" s="41" t="s">
        <v>93</v>
      </c>
      <c r="F15" s="40" t="str">
        <f t="shared" si="1"/>
        <v>CORRECT</v>
      </c>
      <c r="G15" s="40" t="s">
        <v>48</v>
      </c>
      <c r="H15" s="55" t="s">
        <v>48</v>
      </c>
      <c r="I15" s="43" t="s">
        <v>375</v>
      </c>
      <c r="J15" s="56">
        <v>57798.0</v>
      </c>
    </row>
    <row r="16" ht="60.0" customHeight="1">
      <c r="A16" s="40">
        <v>13.0</v>
      </c>
      <c r="B16" s="41" t="s">
        <v>95</v>
      </c>
      <c r="C16" s="41" t="s">
        <v>96</v>
      </c>
      <c r="D16" s="41" t="s">
        <v>97</v>
      </c>
      <c r="E16" s="41" t="s">
        <v>98</v>
      </c>
      <c r="F16" s="40" t="str">
        <f t="shared" si="1"/>
        <v>CORRECT</v>
      </c>
      <c r="G16" s="40" t="s">
        <v>36</v>
      </c>
      <c r="H16" s="55" t="s">
        <v>36</v>
      </c>
      <c r="I16" s="43" t="s">
        <v>376</v>
      </c>
      <c r="J16" s="56">
        <v>17105.0</v>
      </c>
    </row>
    <row r="17" ht="60.0" customHeight="1">
      <c r="A17" s="40">
        <v>14.0</v>
      </c>
      <c r="B17" s="41" t="s">
        <v>100</v>
      </c>
      <c r="C17" s="41" t="s">
        <v>101</v>
      </c>
      <c r="D17" s="41" t="s">
        <v>102</v>
      </c>
      <c r="E17" s="41" t="s">
        <v>103</v>
      </c>
      <c r="F17" s="40" t="str">
        <f t="shared" si="1"/>
        <v>WRONG</v>
      </c>
      <c r="G17" s="40" t="s">
        <v>36</v>
      </c>
      <c r="H17" s="55" t="s">
        <v>48</v>
      </c>
      <c r="I17" s="43" t="s">
        <v>377</v>
      </c>
      <c r="J17" s="56">
        <v>50758.0</v>
      </c>
    </row>
    <row r="18" ht="60.0" customHeight="1">
      <c r="A18" s="40">
        <v>15.0</v>
      </c>
      <c r="B18" s="41" t="s">
        <v>105</v>
      </c>
      <c r="C18" s="41" t="s">
        <v>106</v>
      </c>
      <c r="D18" s="41" t="s">
        <v>107</v>
      </c>
      <c r="E18" s="41" t="s">
        <v>108</v>
      </c>
      <c r="F18" s="40" t="str">
        <f t="shared" si="1"/>
        <v>CORRECT</v>
      </c>
      <c r="G18" s="40" t="s">
        <v>48</v>
      </c>
      <c r="H18" s="56" t="s">
        <v>48</v>
      </c>
      <c r="I18" s="43" t="s">
        <v>378</v>
      </c>
      <c r="J18" s="56">
        <v>58031.0</v>
      </c>
    </row>
    <row r="19" ht="60.0" customHeight="1">
      <c r="A19" s="40">
        <v>16.0</v>
      </c>
      <c r="B19" s="41" t="s">
        <v>110</v>
      </c>
      <c r="C19" s="41" t="s">
        <v>111</v>
      </c>
      <c r="D19" s="41" t="s">
        <v>112</v>
      </c>
      <c r="E19" s="41" t="s">
        <v>113</v>
      </c>
      <c r="F19" s="40" t="str">
        <f t="shared" si="1"/>
        <v>CORRECT</v>
      </c>
      <c r="G19" s="40" t="s">
        <v>48</v>
      </c>
      <c r="H19" s="55" t="s">
        <v>48</v>
      </c>
      <c r="I19" s="43" t="s">
        <v>379</v>
      </c>
      <c r="J19" s="56">
        <v>33667.0</v>
      </c>
    </row>
    <row r="20" ht="60.0" customHeight="1">
      <c r="A20" s="40">
        <v>17.0</v>
      </c>
      <c r="B20" s="41" t="s">
        <v>115</v>
      </c>
      <c r="C20" s="41" t="s">
        <v>116</v>
      </c>
      <c r="D20" s="41" t="s">
        <v>117</v>
      </c>
      <c r="E20" s="41" t="s">
        <v>118</v>
      </c>
      <c r="F20" s="40" t="str">
        <f t="shared" si="1"/>
        <v>WRONG</v>
      </c>
      <c r="G20" s="40" t="s">
        <v>42</v>
      </c>
      <c r="H20" s="56" t="s">
        <v>36</v>
      </c>
      <c r="I20" s="43" t="s">
        <v>380</v>
      </c>
      <c r="J20" s="56">
        <v>31296.0</v>
      </c>
    </row>
    <row r="21" ht="60.0" customHeight="1">
      <c r="A21" s="40">
        <v>18.0</v>
      </c>
      <c r="B21" s="41" t="s">
        <v>120</v>
      </c>
      <c r="C21" s="41" t="s">
        <v>121</v>
      </c>
      <c r="D21" s="41" t="s">
        <v>122</v>
      </c>
      <c r="E21" s="41" t="s">
        <v>123</v>
      </c>
      <c r="F21" s="40" t="str">
        <f t="shared" si="1"/>
        <v>CORRECT</v>
      </c>
      <c r="G21" s="40" t="s">
        <v>42</v>
      </c>
      <c r="H21" s="56" t="s">
        <v>42</v>
      </c>
      <c r="I21" s="43" t="s">
        <v>381</v>
      </c>
      <c r="J21" s="56">
        <v>37579.0</v>
      </c>
    </row>
    <row r="22" ht="60.0" customHeight="1">
      <c r="A22" s="40">
        <v>19.0</v>
      </c>
      <c r="B22" s="41" t="s">
        <v>125</v>
      </c>
      <c r="C22" s="41" t="s">
        <v>126</v>
      </c>
      <c r="D22" s="41" t="s">
        <v>127</v>
      </c>
      <c r="E22" s="41" t="s">
        <v>128</v>
      </c>
      <c r="F22" s="40" t="str">
        <f t="shared" si="1"/>
        <v>WRONG</v>
      </c>
      <c r="G22" s="40" t="s">
        <v>36</v>
      </c>
      <c r="H22" s="55" t="s">
        <v>48</v>
      </c>
      <c r="I22" s="43" t="s">
        <v>382</v>
      </c>
      <c r="J22" s="56">
        <v>40224.0</v>
      </c>
    </row>
    <row r="23" ht="60.0" customHeight="1">
      <c r="A23" s="40">
        <v>20.0</v>
      </c>
      <c r="B23" s="41" t="s">
        <v>130</v>
      </c>
      <c r="C23" s="41" t="s">
        <v>131</v>
      </c>
      <c r="D23" s="41" t="s">
        <v>132</v>
      </c>
      <c r="E23" s="41" t="s">
        <v>133</v>
      </c>
      <c r="F23" s="40" t="str">
        <f t="shared" si="1"/>
        <v>WRONG</v>
      </c>
      <c r="G23" s="40" t="s">
        <v>42</v>
      </c>
      <c r="H23" s="55" t="s">
        <v>36</v>
      </c>
      <c r="I23" s="43" t="s">
        <v>383</v>
      </c>
      <c r="J23" s="56">
        <v>27918.0</v>
      </c>
    </row>
    <row r="24" ht="60.0" customHeight="1">
      <c r="A24" s="40">
        <v>21.0</v>
      </c>
      <c r="B24" s="41" t="s">
        <v>135</v>
      </c>
      <c r="C24" s="41" t="s">
        <v>136</v>
      </c>
      <c r="D24" s="41" t="s">
        <v>137</v>
      </c>
      <c r="E24" s="41" t="s">
        <v>138</v>
      </c>
      <c r="F24" s="40" t="str">
        <f t="shared" si="1"/>
        <v>WRONG</v>
      </c>
      <c r="G24" s="40" t="s">
        <v>42</v>
      </c>
      <c r="H24" s="56" t="s">
        <v>36</v>
      </c>
      <c r="I24" s="43" t="s">
        <v>384</v>
      </c>
      <c r="J24" s="56">
        <v>22575.0</v>
      </c>
    </row>
    <row r="25" ht="60.0" customHeight="1">
      <c r="A25" s="40">
        <v>22.0</v>
      </c>
      <c r="B25" s="41" t="s">
        <v>140</v>
      </c>
      <c r="C25" s="41" t="s">
        <v>141</v>
      </c>
      <c r="D25" s="41" t="s">
        <v>142</v>
      </c>
      <c r="E25" s="41" t="s">
        <v>143</v>
      </c>
      <c r="F25" s="40" t="str">
        <f t="shared" si="1"/>
        <v>CORRECT</v>
      </c>
      <c r="G25" s="40" t="s">
        <v>42</v>
      </c>
      <c r="H25" s="56" t="s">
        <v>42</v>
      </c>
      <c r="I25" s="43" t="s">
        <v>385</v>
      </c>
      <c r="J25" s="56">
        <v>35411.0</v>
      </c>
    </row>
    <row r="26" ht="60.0" customHeight="1">
      <c r="A26" s="40">
        <v>23.0</v>
      </c>
      <c r="B26" s="41" t="s">
        <v>145</v>
      </c>
      <c r="C26" s="41" t="s">
        <v>146</v>
      </c>
      <c r="D26" s="41" t="s">
        <v>147</v>
      </c>
      <c r="E26" s="41" t="s">
        <v>148</v>
      </c>
      <c r="F26" s="40" t="str">
        <f t="shared" si="1"/>
        <v>CORRECT</v>
      </c>
      <c r="G26" s="40" t="s">
        <v>48</v>
      </c>
      <c r="H26" s="55" t="s">
        <v>48</v>
      </c>
      <c r="I26" s="43" t="s">
        <v>386</v>
      </c>
      <c r="J26" s="56">
        <v>41303.0</v>
      </c>
    </row>
    <row r="27" ht="60.0" customHeight="1">
      <c r="A27" s="40">
        <v>24.0</v>
      </c>
      <c r="B27" s="41" t="s">
        <v>150</v>
      </c>
      <c r="C27" s="41" t="s">
        <v>151</v>
      </c>
      <c r="D27" s="41" t="s">
        <v>152</v>
      </c>
      <c r="E27" s="41" t="s">
        <v>153</v>
      </c>
      <c r="F27" s="40" t="str">
        <f t="shared" si="1"/>
        <v>WRONG</v>
      </c>
      <c r="G27" s="40" t="s">
        <v>36</v>
      </c>
      <c r="H27" s="55" t="s">
        <v>48</v>
      </c>
      <c r="I27" s="43" t="s">
        <v>387</v>
      </c>
      <c r="J27" s="56">
        <v>26441.0</v>
      </c>
    </row>
    <row r="28" ht="60.0" customHeight="1">
      <c r="A28" s="40">
        <v>25.0</v>
      </c>
      <c r="B28" s="41" t="s">
        <v>155</v>
      </c>
      <c r="C28" s="41" t="s">
        <v>151</v>
      </c>
      <c r="D28" s="41" t="s">
        <v>156</v>
      </c>
      <c r="E28" s="41" t="s">
        <v>153</v>
      </c>
      <c r="F28" s="40" t="str">
        <f t="shared" si="1"/>
        <v>CORRECT</v>
      </c>
      <c r="G28" s="40" t="s">
        <v>48</v>
      </c>
      <c r="H28" s="55" t="s">
        <v>48</v>
      </c>
      <c r="I28" s="43" t="s">
        <v>388</v>
      </c>
      <c r="J28" s="56">
        <v>47976.0</v>
      </c>
    </row>
    <row r="29" ht="60.0" customHeight="1">
      <c r="A29" s="40">
        <v>26.0</v>
      </c>
      <c r="B29" s="41" t="s">
        <v>158</v>
      </c>
      <c r="C29" s="41" t="s">
        <v>159</v>
      </c>
      <c r="D29" s="41" t="s">
        <v>160</v>
      </c>
      <c r="E29" s="41" t="s">
        <v>161</v>
      </c>
      <c r="F29" s="40" t="str">
        <f t="shared" si="1"/>
        <v>WRONG</v>
      </c>
      <c r="G29" s="40" t="s">
        <v>36</v>
      </c>
      <c r="H29" s="55" t="s">
        <v>48</v>
      </c>
      <c r="I29" s="43" t="s">
        <v>389</v>
      </c>
      <c r="J29" s="56">
        <v>46761.0</v>
      </c>
    </row>
    <row r="30" ht="60.0" customHeight="1">
      <c r="A30" s="40">
        <v>27.0</v>
      </c>
      <c r="B30" s="41" t="s">
        <v>163</v>
      </c>
      <c r="C30" s="41" t="s">
        <v>164</v>
      </c>
      <c r="D30" s="41" t="s">
        <v>165</v>
      </c>
      <c r="E30" s="41" t="s">
        <v>166</v>
      </c>
      <c r="F30" s="40" t="str">
        <f t="shared" si="1"/>
        <v>WRONG</v>
      </c>
      <c r="G30" s="40" t="s">
        <v>42</v>
      </c>
      <c r="H30" s="55" t="s">
        <v>48</v>
      </c>
      <c r="I30" s="43" t="s">
        <v>390</v>
      </c>
      <c r="J30" s="56">
        <v>56913.0</v>
      </c>
    </row>
    <row r="31" ht="60.0" customHeight="1">
      <c r="A31" s="40">
        <v>28.0</v>
      </c>
      <c r="B31" s="41" t="s">
        <v>168</v>
      </c>
      <c r="C31" s="41" t="s">
        <v>169</v>
      </c>
      <c r="D31" s="41" t="s">
        <v>170</v>
      </c>
      <c r="E31" s="41" t="s">
        <v>171</v>
      </c>
      <c r="F31" s="40" t="str">
        <f t="shared" si="1"/>
        <v>WRONG</v>
      </c>
      <c r="G31" s="40" t="s">
        <v>36</v>
      </c>
      <c r="H31" s="56" t="s">
        <v>48</v>
      </c>
      <c r="I31" s="43" t="s">
        <v>391</v>
      </c>
      <c r="J31" s="56">
        <v>30637.0</v>
      </c>
    </row>
    <row r="32" ht="60.0" customHeight="1">
      <c r="A32" s="40">
        <v>29.0</v>
      </c>
      <c r="B32" s="41" t="s">
        <v>173</v>
      </c>
      <c r="C32" s="41" t="s">
        <v>174</v>
      </c>
      <c r="D32" s="41" t="s">
        <v>175</v>
      </c>
      <c r="E32" s="41" t="s">
        <v>176</v>
      </c>
      <c r="F32" s="40" t="str">
        <f t="shared" si="1"/>
        <v>CORRECT</v>
      </c>
      <c r="G32" s="40" t="s">
        <v>42</v>
      </c>
      <c r="H32" s="55" t="s">
        <v>42</v>
      </c>
      <c r="I32" s="43" t="s">
        <v>392</v>
      </c>
      <c r="J32" s="56">
        <v>40160.0</v>
      </c>
    </row>
    <row r="33" ht="60.0" customHeight="1">
      <c r="A33" s="40">
        <v>30.0</v>
      </c>
      <c r="B33" s="41" t="s">
        <v>178</v>
      </c>
      <c r="C33" s="41" t="s">
        <v>179</v>
      </c>
      <c r="D33" s="41" t="s">
        <v>180</v>
      </c>
      <c r="E33" s="41" t="s">
        <v>181</v>
      </c>
      <c r="F33" s="40" t="str">
        <f t="shared" si="1"/>
        <v>CORRECT</v>
      </c>
      <c r="G33" s="40" t="s">
        <v>48</v>
      </c>
      <c r="H33" s="55" t="s">
        <v>48</v>
      </c>
      <c r="I33" s="43" t="s">
        <v>393</v>
      </c>
      <c r="J33" s="56">
        <v>39197.0</v>
      </c>
    </row>
    <row r="34" ht="60.0" customHeight="1">
      <c r="A34" s="40">
        <v>31.0</v>
      </c>
      <c r="B34" s="41" t="s">
        <v>183</v>
      </c>
      <c r="C34" s="41" t="s">
        <v>184</v>
      </c>
      <c r="D34" s="41" t="s">
        <v>185</v>
      </c>
      <c r="E34" s="41" t="s">
        <v>186</v>
      </c>
      <c r="F34" s="40" t="str">
        <f t="shared" si="1"/>
        <v>WRONG</v>
      </c>
      <c r="G34" s="40" t="s">
        <v>42</v>
      </c>
      <c r="H34" s="56" t="s">
        <v>36</v>
      </c>
      <c r="I34" s="43" t="s">
        <v>394</v>
      </c>
      <c r="J34" s="56">
        <v>30133.0</v>
      </c>
    </row>
    <row r="35" ht="60.0" customHeight="1">
      <c r="A35" s="40">
        <v>32.0</v>
      </c>
      <c r="B35" s="41" t="s">
        <v>188</v>
      </c>
      <c r="C35" s="41" t="s">
        <v>189</v>
      </c>
      <c r="D35" s="41" t="s">
        <v>190</v>
      </c>
      <c r="E35" s="41" t="s">
        <v>191</v>
      </c>
      <c r="F35" s="40" t="str">
        <f t="shared" si="1"/>
        <v>CORRECT</v>
      </c>
      <c r="G35" s="40" t="s">
        <v>36</v>
      </c>
      <c r="H35" s="55" t="s">
        <v>36</v>
      </c>
      <c r="I35" s="43" t="s">
        <v>395</v>
      </c>
      <c r="J35" s="56">
        <v>50147.0</v>
      </c>
    </row>
    <row r="36" ht="60.0" customHeight="1">
      <c r="A36" s="40">
        <v>33.0</v>
      </c>
      <c r="B36" s="41" t="s">
        <v>193</v>
      </c>
      <c r="C36" s="41" t="s">
        <v>194</v>
      </c>
      <c r="D36" s="41" t="s">
        <v>195</v>
      </c>
      <c r="E36" s="41" t="s">
        <v>196</v>
      </c>
      <c r="F36" s="40" t="str">
        <f t="shared" si="1"/>
        <v>WRONG</v>
      </c>
      <c r="G36" s="40" t="s">
        <v>48</v>
      </c>
      <c r="H36" s="55" t="s">
        <v>42</v>
      </c>
      <c r="I36" s="43" t="s">
        <v>396</v>
      </c>
      <c r="J36" s="56">
        <v>37121.0</v>
      </c>
    </row>
    <row r="37" ht="60.0" customHeight="1">
      <c r="A37" s="40">
        <v>34.0</v>
      </c>
      <c r="B37" s="41" t="s">
        <v>198</v>
      </c>
      <c r="C37" s="41" t="s">
        <v>199</v>
      </c>
      <c r="D37" s="41" t="s">
        <v>200</v>
      </c>
      <c r="E37" s="41" t="s">
        <v>201</v>
      </c>
      <c r="F37" s="40" t="str">
        <f t="shared" si="1"/>
        <v>WRONG</v>
      </c>
      <c r="G37" s="40" t="s">
        <v>36</v>
      </c>
      <c r="H37" s="56" t="s">
        <v>42</v>
      </c>
      <c r="I37" s="43" t="s">
        <v>397</v>
      </c>
      <c r="J37" s="56">
        <v>24891.0</v>
      </c>
    </row>
    <row r="38" ht="60.0" customHeight="1">
      <c r="A38" s="40">
        <v>35.0</v>
      </c>
      <c r="B38" s="41" t="s">
        <v>203</v>
      </c>
      <c r="C38" s="41" t="s">
        <v>204</v>
      </c>
      <c r="D38" s="41" t="s">
        <v>205</v>
      </c>
      <c r="E38" s="41" t="s">
        <v>206</v>
      </c>
      <c r="F38" s="40" t="str">
        <f t="shared" si="1"/>
        <v>CORRECT</v>
      </c>
      <c r="G38" s="40" t="s">
        <v>48</v>
      </c>
      <c r="H38" s="55" t="s">
        <v>48</v>
      </c>
      <c r="I38" s="43" t="s">
        <v>398</v>
      </c>
      <c r="J38" s="56">
        <v>33191.0</v>
      </c>
    </row>
    <row r="39" ht="60.0" customHeight="1">
      <c r="A39" s="40">
        <v>36.0</v>
      </c>
      <c r="B39" s="41" t="s">
        <v>208</v>
      </c>
      <c r="C39" s="41" t="s">
        <v>209</v>
      </c>
      <c r="D39" s="41" t="s">
        <v>210</v>
      </c>
      <c r="E39" s="41" t="s">
        <v>211</v>
      </c>
      <c r="F39" s="40" t="str">
        <f t="shared" si="1"/>
        <v>CORRECT</v>
      </c>
      <c r="G39" s="40" t="s">
        <v>36</v>
      </c>
      <c r="H39" s="56" t="s">
        <v>36</v>
      </c>
      <c r="I39" s="43" t="s">
        <v>399</v>
      </c>
      <c r="J39" s="56">
        <v>44611.0</v>
      </c>
    </row>
    <row r="40" ht="60.0" customHeight="1">
      <c r="A40" s="40">
        <v>37.0</v>
      </c>
      <c r="B40" s="41" t="s">
        <v>213</v>
      </c>
      <c r="C40" s="41" t="s">
        <v>214</v>
      </c>
      <c r="D40" s="41" t="s">
        <v>215</v>
      </c>
      <c r="E40" s="41" t="s">
        <v>216</v>
      </c>
      <c r="F40" s="40" t="str">
        <f t="shared" si="1"/>
        <v>WRONG</v>
      </c>
      <c r="G40" s="40" t="s">
        <v>36</v>
      </c>
      <c r="H40" s="55" t="s">
        <v>42</v>
      </c>
      <c r="I40" s="43" t="s">
        <v>400</v>
      </c>
      <c r="J40" s="56">
        <v>49631.0</v>
      </c>
    </row>
    <row r="41" ht="60.0" customHeight="1">
      <c r="A41" s="40">
        <v>38.0</v>
      </c>
      <c r="B41" s="41" t="s">
        <v>218</v>
      </c>
      <c r="C41" s="41" t="s">
        <v>219</v>
      </c>
      <c r="D41" s="41" t="s">
        <v>220</v>
      </c>
      <c r="E41" s="41" t="s">
        <v>221</v>
      </c>
      <c r="F41" s="40" t="str">
        <f t="shared" si="1"/>
        <v>CORRECT</v>
      </c>
      <c r="G41" s="40" t="s">
        <v>36</v>
      </c>
      <c r="H41" s="56" t="s">
        <v>36</v>
      </c>
      <c r="I41" s="43" t="s">
        <v>401</v>
      </c>
      <c r="J41" s="56">
        <v>39705.0</v>
      </c>
    </row>
    <row r="42" ht="60.0" customHeight="1">
      <c r="A42" s="40">
        <v>39.0</v>
      </c>
      <c r="B42" s="41" t="s">
        <v>223</v>
      </c>
      <c r="C42" s="41" t="s">
        <v>224</v>
      </c>
      <c r="D42" s="41" t="s">
        <v>225</v>
      </c>
      <c r="E42" s="41" t="s">
        <v>226</v>
      </c>
      <c r="F42" s="40" t="str">
        <f t="shared" si="1"/>
        <v>CORRECT</v>
      </c>
      <c r="G42" s="40" t="s">
        <v>42</v>
      </c>
      <c r="H42" s="55" t="s">
        <v>42</v>
      </c>
      <c r="I42" s="43" t="s">
        <v>402</v>
      </c>
      <c r="J42" s="56">
        <v>35196.0</v>
      </c>
    </row>
    <row r="43" ht="60.0" customHeight="1">
      <c r="A43" s="40">
        <v>40.0</v>
      </c>
      <c r="B43" s="41" t="s">
        <v>228</v>
      </c>
      <c r="C43" s="41" t="s">
        <v>229</v>
      </c>
      <c r="D43" s="41" t="s">
        <v>230</v>
      </c>
      <c r="E43" s="41" t="s">
        <v>231</v>
      </c>
      <c r="F43" s="40" t="str">
        <f t="shared" si="1"/>
        <v>CORRECT</v>
      </c>
      <c r="G43" s="40" t="s">
        <v>48</v>
      </c>
      <c r="H43" s="55" t="s">
        <v>48</v>
      </c>
      <c r="I43" s="43" t="s">
        <v>403</v>
      </c>
      <c r="J43" s="56">
        <v>48107.0</v>
      </c>
    </row>
    <row r="44" ht="60.0" customHeight="1">
      <c r="A44" s="40">
        <v>41.0</v>
      </c>
      <c r="B44" s="41" t="s">
        <v>233</v>
      </c>
      <c r="C44" s="41" t="s">
        <v>234</v>
      </c>
      <c r="D44" s="41" t="s">
        <v>235</v>
      </c>
      <c r="E44" s="41" t="s">
        <v>236</v>
      </c>
      <c r="F44" s="40" t="str">
        <f t="shared" si="1"/>
        <v>CORRECT</v>
      </c>
      <c r="G44" s="40" t="s">
        <v>42</v>
      </c>
      <c r="H44" s="56" t="s">
        <v>42</v>
      </c>
      <c r="I44" s="43" t="s">
        <v>404</v>
      </c>
      <c r="J44" s="56">
        <v>30188.0</v>
      </c>
    </row>
    <row r="45" ht="60.0" customHeight="1">
      <c r="A45" s="40">
        <v>42.0</v>
      </c>
      <c r="B45" s="41" t="s">
        <v>238</v>
      </c>
      <c r="C45" s="41" t="s">
        <v>239</v>
      </c>
      <c r="D45" s="41" t="s">
        <v>240</v>
      </c>
      <c r="E45" s="41" t="s">
        <v>241</v>
      </c>
      <c r="F45" s="40" t="str">
        <f t="shared" si="1"/>
        <v>WRONG</v>
      </c>
      <c r="G45" s="40" t="s">
        <v>36</v>
      </c>
      <c r="H45" s="55" t="s">
        <v>42</v>
      </c>
      <c r="I45" s="43" t="s">
        <v>405</v>
      </c>
      <c r="J45" s="56">
        <v>22443.0</v>
      </c>
    </row>
    <row r="46" ht="60.0" customHeight="1">
      <c r="A46" s="40">
        <v>43.0</v>
      </c>
      <c r="B46" s="41" t="s">
        <v>243</v>
      </c>
      <c r="C46" s="41" t="s">
        <v>244</v>
      </c>
      <c r="D46" s="41" t="s">
        <v>245</v>
      </c>
      <c r="E46" s="41" t="s">
        <v>246</v>
      </c>
      <c r="F46" s="40" t="str">
        <f t="shared" si="1"/>
        <v>CORRECT</v>
      </c>
      <c r="G46" s="40" t="s">
        <v>48</v>
      </c>
      <c r="H46" s="56" t="s">
        <v>48</v>
      </c>
      <c r="I46" s="43" t="s">
        <v>406</v>
      </c>
      <c r="J46" s="56">
        <v>32577.0</v>
      </c>
    </row>
    <row r="47" ht="60.0" customHeight="1">
      <c r="A47" s="40">
        <v>44.0</v>
      </c>
      <c r="B47" s="41" t="s">
        <v>248</v>
      </c>
      <c r="C47" s="41" t="s">
        <v>249</v>
      </c>
      <c r="D47" s="41" t="s">
        <v>250</v>
      </c>
      <c r="E47" s="41" t="s">
        <v>251</v>
      </c>
      <c r="F47" s="40" t="str">
        <f t="shared" si="1"/>
        <v>WRONG</v>
      </c>
      <c r="G47" s="40" t="s">
        <v>36</v>
      </c>
      <c r="H47" s="55" t="s">
        <v>48</v>
      </c>
      <c r="I47" s="43" t="s">
        <v>407</v>
      </c>
      <c r="J47" s="56">
        <v>24631.0</v>
      </c>
    </row>
    <row r="48" ht="60.0" customHeight="1">
      <c r="A48" s="40">
        <v>45.0</v>
      </c>
      <c r="B48" s="41" t="s">
        <v>253</v>
      </c>
      <c r="C48" s="41" t="s">
        <v>254</v>
      </c>
      <c r="D48" s="41" t="s">
        <v>255</v>
      </c>
      <c r="E48" s="41" t="s">
        <v>256</v>
      </c>
      <c r="F48" s="40" t="str">
        <f t="shared" si="1"/>
        <v>WRONG</v>
      </c>
      <c r="G48" s="40" t="s">
        <v>36</v>
      </c>
      <c r="H48" s="55" t="s">
        <v>48</v>
      </c>
      <c r="I48" s="43" t="s">
        <v>408</v>
      </c>
      <c r="J48" s="56">
        <v>56700.0</v>
      </c>
    </row>
    <row r="49" ht="60.0" customHeight="1">
      <c r="A49" s="40">
        <v>46.0</v>
      </c>
      <c r="B49" s="41" t="s">
        <v>258</v>
      </c>
      <c r="C49" s="41" t="s">
        <v>39</v>
      </c>
      <c r="D49" s="41" t="s">
        <v>259</v>
      </c>
      <c r="E49" s="41" t="s">
        <v>260</v>
      </c>
      <c r="F49" s="40" t="str">
        <f t="shared" si="1"/>
        <v>CORRECT</v>
      </c>
      <c r="G49" s="40" t="s">
        <v>36</v>
      </c>
      <c r="H49" s="55" t="s">
        <v>36</v>
      </c>
      <c r="I49" s="43" t="s">
        <v>409</v>
      </c>
      <c r="J49" s="56">
        <v>37958.0</v>
      </c>
    </row>
    <row r="50">
      <c r="A50" s="45" t="s">
        <v>262</v>
      </c>
      <c r="B50" s="2"/>
      <c r="C50" s="2"/>
      <c r="D50" s="2"/>
      <c r="E50" s="3"/>
      <c r="F50" s="46">
        <f>COUNTIFS(F4:F49,"CORRECT")</f>
        <v>26</v>
      </c>
      <c r="G50" s="47"/>
      <c r="H50" s="47"/>
      <c r="J50" s="48">
        <f>AVERAGE(J4:J49)</f>
        <v>38132.3913</v>
      </c>
    </row>
    <row r="51">
      <c r="A51" s="49" t="s">
        <v>263</v>
      </c>
      <c r="B51" s="2"/>
      <c r="C51" s="2"/>
      <c r="D51" s="2"/>
      <c r="E51" s="3"/>
      <c r="F51" s="50">
        <v>46.0</v>
      </c>
      <c r="G51" s="47"/>
      <c r="H51" s="47"/>
    </row>
    <row r="52">
      <c r="A52" s="45" t="s">
        <v>264</v>
      </c>
      <c r="B52" s="2"/>
      <c r="C52" s="2"/>
      <c r="D52" s="2"/>
      <c r="E52" s="3"/>
      <c r="F52" s="51">
        <f>F50/F51</f>
        <v>0.5652173913</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410</v>
      </c>
      <c r="C2" s="2"/>
      <c r="D2" s="2"/>
      <c r="E2" s="2"/>
      <c r="F2" s="2"/>
      <c r="G2" s="2"/>
      <c r="H2" s="3"/>
      <c r="I2" s="38" t="s">
        <v>411</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55" t="s">
        <v>36</v>
      </c>
      <c r="I4" s="43" t="s">
        <v>267</v>
      </c>
      <c r="J4" s="56">
        <v>44981.0</v>
      </c>
    </row>
    <row r="5" ht="60.0" customHeight="1">
      <c r="A5" s="40">
        <v>2.0</v>
      </c>
      <c r="B5" s="41" t="s">
        <v>38</v>
      </c>
      <c r="C5" s="41" t="s">
        <v>39</v>
      </c>
      <c r="D5" s="41" t="s">
        <v>40</v>
      </c>
      <c r="E5" s="41" t="s">
        <v>41</v>
      </c>
      <c r="F5" s="40" t="str">
        <f t="shared" si="1"/>
        <v>CORRECT</v>
      </c>
      <c r="G5" s="40" t="s">
        <v>42</v>
      </c>
      <c r="H5" s="55" t="s">
        <v>42</v>
      </c>
      <c r="I5" s="43" t="s">
        <v>268</v>
      </c>
      <c r="J5" s="56">
        <v>40951.0</v>
      </c>
    </row>
    <row r="6" ht="60.0" customHeight="1">
      <c r="A6" s="40">
        <v>3.0</v>
      </c>
      <c r="B6" s="41" t="s">
        <v>44</v>
      </c>
      <c r="C6" s="41" t="s">
        <v>45</v>
      </c>
      <c r="D6" s="41" t="s">
        <v>46</v>
      </c>
      <c r="E6" s="41" t="s">
        <v>47</v>
      </c>
      <c r="F6" s="40" t="str">
        <f t="shared" si="1"/>
        <v>CORRECT</v>
      </c>
      <c r="G6" s="40" t="s">
        <v>48</v>
      </c>
      <c r="H6" s="55" t="s">
        <v>48</v>
      </c>
      <c r="I6" s="43" t="s">
        <v>269</v>
      </c>
      <c r="J6" s="56">
        <v>35356.0</v>
      </c>
    </row>
    <row r="7" ht="60.0" customHeight="1">
      <c r="A7" s="40">
        <v>4.0</v>
      </c>
      <c r="B7" s="41" t="s">
        <v>50</v>
      </c>
      <c r="C7" s="41" t="s">
        <v>51</v>
      </c>
      <c r="D7" s="41" t="s">
        <v>52</v>
      </c>
      <c r="E7" s="41" t="s">
        <v>53</v>
      </c>
      <c r="F7" s="40" t="str">
        <f t="shared" si="1"/>
        <v>CORRECT</v>
      </c>
      <c r="G7" s="40" t="s">
        <v>42</v>
      </c>
      <c r="H7" s="56" t="s">
        <v>42</v>
      </c>
      <c r="I7" s="43" t="s">
        <v>54</v>
      </c>
      <c r="J7" s="56">
        <v>29217.0</v>
      </c>
    </row>
    <row r="8" ht="60.0" customHeight="1">
      <c r="A8" s="40">
        <v>5.0</v>
      </c>
      <c r="B8" s="41" t="s">
        <v>55</v>
      </c>
      <c r="C8" s="41" t="s">
        <v>56</v>
      </c>
      <c r="D8" s="41" t="s">
        <v>57</v>
      </c>
      <c r="E8" s="41" t="s">
        <v>58</v>
      </c>
      <c r="F8" s="40" t="str">
        <f t="shared" si="1"/>
        <v>CORRECT</v>
      </c>
      <c r="G8" s="40" t="s">
        <v>48</v>
      </c>
      <c r="H8" s="55" t="s">
        <v>48</v>
      </c>
      <c r="I8" s="43" t="s">
        <v>270</v>
      </c>
      <c r="J8" s="56">
        <v>47982.0</v>
      </c>
    </row>
    <row r="9" ht="60.0" customHeight="1">
      <c r="A9" s="40">
        <v>6.0</v>
      </c>
      <c r="B9" s="41" t="s">
        <v>60</v>
      </c>
      <c r="C9" s="41" t="s">
        <v>61</v>
      </c>
      <c r="D9" s="41" t="s">
        <v>62</v>
      </c>
      <c r="E9" s="41" t="s">
        <v>63</v>
      </c>
      <c r="F9" s="40" t="str">
        <f t="shared" si="1"/>
        <v>CORRECT</v>
      </c>
      <c r="G9" s="40" t="s">
        <v>42</v>
      </c>
      <c r="H9" s="56" t="s">
        <v>42</v>
      </c>
      <c r="I9" s="43" t="s">
        <v>412</v>
      </c>
      <c r="J9" s="56">
        <v>41291.0</v>
      </c>
    </row>
    <row r="10" ht="60.0" customHeight="1">
      <c r="A10" s="40">
        <v>7.0</v>
      </c>
      <c r="B10" s="41" t="s">
        <v>65</v>
      </c>
      <c r="C10" s="41" t="s">
        <v>66</v>
      </c>
      <c r="D10" s="41" t="s">
        <v>67</v>
      </c>
      <c r="E10" s="41" t="s">
        <v>68</v>
      </c>
      <c r="F10" s="40" t="str">
        <f t="shared" si="1"/>
        <v>WRONG</v>
      </c>
      <c r="G10" s="40" t="s">
        <v>42</v>
      </c>
      <c r="H10" s="55" t="s">
        <v>36</v>
      </c>
      <c r="I10" s="43" t="s">
        <v>272</v>
      </c>
      <c r="J10" s="56">
        <v>25783.0</v>
      </c>
    </row>
    <row r="11" ht="60.0" customHeight="1">
      <c r="A11" s="40">
        <v>8.0</v>
      </c>
      <c r="B11" s="41" t="s">
        <v>70</v>
      </c>
      <c r="C11" s="41" t="s">
        <v>71</v>
      </c>
      <c r="D11" s="41" t="s">
        <v>72</v>
      </c>
      <c r="E11" s="41" t="s">
        <v>73</v>
      </c>
      <c r="F11" s="40" t="str">
        <f t="shared" si="1"/>
        <v>CORRECT</v>
      </c>
      <c r="G11" s="40" t="s">
        <v>48</v>
      </c>
      <c r="H11" s="55" t="s">
        <v>48</v>
      </c>
      <c r="I11" s="43" t="s">
        <v>273</v>
      </c>
      <c r="J11" s="56">
        <v>32808.0</v>
      </c>
    </row>
    <row r="12" ht="60.0" customHeight="1">
      <c r="A12" s="40">
        <v>9.0</v>
      </c>
      <c r="B12" s="41" t="s">
        <v>75</v>
      </c>
      <c r="C12" s="41" t="s">
        <v>76</v>
      </c>
      <c r="D12" s="41" t="s">
        <v>77</v>
      </c>
      <c r="E12" s="41" t="s">
        <v>78</v>
      </c>
      <c r="F12" s="40" t="str">
        <f t="shared" si="1"/>
        <v>CORRECT</v>
      </c>
      <c r="G12" s="40" t="s">
        <v>42</v>
      </c>
      <c r="H12" s="55" t="s">
        <v>42</v>
      </c>
      <c r="I12" s="43" t="s">
        <v>79</v>
      </c>
      <c r="J12" s="56">
        <v>31245.0</v>
      </c>
    </row>
    <row r="13" ht="60.0" customHeight="1">
      <c r="A13" s="40">
        <v>10.0</v>
      </c>
      <c r="B13" s="41" t="s">
        <v>80</v>
      </c>
      <c r="C13" s="41" t="s">
        <v>81</v>
      </c>
      <c r="D13" s="41" t="s">
        <v>82</v>
      </c>
      <c r="E13" s="41" t="s">
        <v>83</v>
      </c>
      <c r="F13" s="40" t="str">
        <f t="shared" si="1"/>
        <v>CORRECT</v>
      </c>
      <c r="G13" s="40" t="s">
        <v>48</v>
      </c>
      <c r="H13" s="56" t="s">
        <v>48</v>
      </c>
      <c r="I13" s="43" t="s">
        <v>317</v>
      </c>
      <c r="J13" s="56">
        <v>31420.0</v>
      </c>
    </row>
    <row r="14" ht="60.0" customHeight="1">
      <c r="A14" s="40">
        <v>11.0</v>
      </c>
      <c r="B14" s="41" t="s">
        <v>85</v>
      </c>
      <c r="C14" s="41" t="s">
        <v>86</v>
      </c>
      <c r="D14" s="41" t="s">
        <v>87</v>
      </c>
      <c r="E14" s="41" t="s">
        <v>88</v>
      </c>
      <c r="F14" s="40" t="str">
        <f t="shared" si="1"/>
        <v>WRONG</v>
      </c>
      <c r="G14" s="40" t="s">
        <v>42</v>
      </c>
      <c r="H14" s="55" t="s">
        <v>48</v>
      </c>
      <c r="I14" s="43" t="s">
        <v>413</v>
      </c>
      <c r="J14" s="56">
        <v>30454.0</v>
      </c>
    </row>
    <row r="15" ht="60.0" customHeight="1">
      <c r="A15" s="40">
        <v>12.0</v>
      </c>
      <c r="B15" s="41" t="s">
        <v>90</v>
      </c>
      <c r="C15" s="41" t="s">
        <v>91</v>
      </c>
      <c r="D15" s="41" t="s">
        <v>92</v>
      </c>
      <c r="E15" s="41" t="s">
        <v>93</v>
      </c>
      <c r="F15" s="40" t="str">
        <f t="shared" si="1"/>
        <v>CORRECT</v>
      </c>
      <c r="G15" s="40" t="s">
        <v>48</v>
      </c>
      <c r="H15" s="55" t="s">
        <v>48</v>
      </c>
      <c r="I15" s="43" t="s">
        <v>276</v>
      </c>
      <c r="J15" s="56">
        <v>42116.0</v>
      </c>
    </row>
    <row r="16" ht="60.0" customHeight="1">
      <c r="A16" s="40">
        <v>13.0</v>
      </c>
      <c r="B16" s="41" t="s">
        <v>95</v>
      </c>
      <c r="C16" s="41" t="s">
        <v>96</v>
      </c>
      <c r="D16" s="41" t="s">
        <v>97</v>
      </c>
      <c r="E16" s="41" t="s">
        <v>98</v>
      </c>
      <c r="F16" s="40" t="str">
        <f t="shared" si="1"/>
        <v>CORRECT</v>
      </c>
      <c r="G16" s="40" t="s">
        <v>36</v>
      </c>
      <c r="H16" s="56" t="s">
        <v>36</v>
      </c>
      <c r="I16" s="43" t="s">
        <v>277</v>
      </c>
      <c r="J16" s="56">
        <v>26281.0</v>
      </c>
    </row>
    <row r="17" ht="60.0" customHeight="1">
      <c r="A17" s="40">
        <v>14.0</v>
      </c>
      <c r="B17" s="41" t="s">
        <v>100</v>
      </c>
      <c r="C17" s="41" t="s">
        <v>101</v>
      </c>
      <c r="D17" s="41" t="s">
        <v>102</v>
      </c>
      <c r="E17" s="41" t="s">
        <v>103</v>
      </c>
      <c r="F17" s="40" t="str">
        <f t="shared" si="1"/>
        <v>WRONG</v>
      </c>
      <c r="G17" s="40" t="s">
        <v>36</v>
      </c>
      <c r="H17" s="55" t="s">
        <v>48</v>
      </c>
      <c r="I17" s="43" t="s">
        <v>104</v>
      </c>
      <c r="J17" s="56">
        <v>33564.0</v>
      </c>
    </row>
    <row r="18" ht="60.0" customHeight="1">
      <c r="A18" s="40">
        <v>15.0</v>
      </c>
      <c r="B18" s="41" t="s">
        <v>105</v>
      </c>
      <c r="C18" s="41" t="s">
        <v>106</v>
      </c>
      <c r="D18" s="41" t="s">
        <v>107</v>
      </c>
      <c r="E18" s="41" t="s">
        <v>108</v>
      </c>
      <c r="F18" s="40" t="str">
        <f t="shared" si="1"/>
        <v>CORRECT</v>
      </c>
      <c r="G18" s="40" t="s">
        <v>48</v>
      </c>
      <c r="H18" s="56" t="s">
        <v>48</v>
      </c>
      <c r="I18" s="43" t="s">
        <v>278</v>
      </c>
      <c r="J18" s="56">
        <v>39380.0</v>
      </c>
    </row>
    <row r="19" ht="60.0" customHeight="1">
      <c r="A19" s="40">
        <v>16.0</v>
      </c>
      <c r="B19" s="41" t="s">
        <v>110</v>
      </c>
      <c r="C19" s="41" t="s">
        <v>111</v>
      </c>
      <c r="D19" s="41" t="s">
        <v>112</v>
      </c>
      <c r="E19" s="41" t="s">
        <v>113</v>
      </c>
      <c r="F19" s="40" t="str">
        <f t="shared" si="1"/>
        <v>CORRECT</v>
      </c>
      <c r="G19" s="40" t="s">
        <v>48</v>
      </c>
      <c r="H19" s="55" t="s">
        <v>48</v>
      </c>
      <c r="I19" s="43" t="s">
        <v>114</v>
      </c>
      <c r="J19" s="56">
        <v>35769.0</v>
      </c>
    </row>
    <row r="20" ht="60.0" customHeight="1">
      <c r="A20" s="40">
        <v>17.0</v>
      </c>
      <c r="B20" s="41" t="s">
        <v>115</v>
      </c>
      <c r="C20" s="41" t="s">
        <v>116</v>
      </c>
      <c r="D20" s="41" t="s">
        <v>117</v>
      </c>
      <c r="E20" s="41" t="s">
        <v>118</v>
      </c>
      <c r="F20" s="40" t="str">
        <f t="shared" si="1"/>
        <v>WRONG</v>
      </c>
      <c r="G20" s="40" t="s">
        <v>42</v>
      </c>
      <c r="H20" s="56" t="s">
        <v>36</v>
      </c>
      <c r="I20" s="43" t="s">
        <v>119</v>
      </c>
      <c r="J20" s="56">
        <v>29701.0</v>
      </c>
    </row>
    <row r="21" ht="60.0" customHeight="1">
      <c r="A21" s="40">
        <v>18.0</v>
      </c>
      <c r="B21" s="41" t="s">
        <v>120</v>
      </c>
      <c r="C21" s="41" t="s">
        <v>121</v>
      </c>
      <c r="D21" s="41" t="s">
        <v>122</v>
      </c>
      <c r="E21" s="41" t="s">
        <v>123</v>
      </c>
      <c r="F21" s="40" t="str">
        <f t="shared" si="1"/>
        <v>CORRECT</v>
      </c>
      <c r="G21" s="40" t="s">
        <v>42</v>
      </c>
      <c r="H21" s="56" t="s">
        <v>42</v>
      </c>
      <c r="I21" s="43" t="s">
        <v>124</v>
      </c>
      <c r="J21" s="56">
        <v>30038.0</v>
      </c>
    </row>
    <row r="22" ht="60.0" customHeight="1">
      <c r="A22" s="40">
        <v>19.0</v>
      </c>
      <c r="B22" s="41" t="s">
        <v>125</v>
      </c>
      <c r="C22" s="41" t="s">
        <v>126</v>
      </c>
      <c r="D22" s="41" t="s">
        <v>127</v>
      </c>
      <c r="E22" s="41" t="s">
        <v>128</v>
      </c>
      <c r="F22" s="40" t="str">
        <f t="shared" si="1"/>
        <v>WRONG</v>
      </c>
      <c r="G22" s="40" t="s">
        <v>36</v>
      </c>
      <c r="H22" s="55" t="s">
        <v>48</v>
      </c>
      <c r="I22" s="43" t="s">
        <v>414</v>
      </c>
      <c r="J22" s="56">
        <v>41278.0</v>
      </c>
    </row>
    <row r="23" ht="60.0" customHeight="1">
      <c r="A23" s="40">
        <v>20.0</v>
      </c>
      <c r="B23" s="41" t="s">
        <v>130</v>
      </c>
      <c r="C23" s="41" t="s">
        <v>131</v>
      </c>
      <c r="D23" s="41" t="s">
        <v>132</v>
      </c>
      <c r="E23" s="41" t="s">
        <v>133</v>
      </c>
      <c r="F23" s="40" t="str">
        <f t="shared" si="1"/>
        <v>CORRECT</v>
      </c>
      <c r="G23" s="40" t="s">
        <v>42</v>
      </c>
      <c r="H23" s="55" t="s">
        <v>42</v>
      </c>
      <c r="I23" s="43" t="s">
        <v>134</v>
      </c>
      <c r="J23" s="56">
        <v>16187.0</v>
      </c>
    </row>
    <row r="24" ht="60.0" customHeight="1">
      <c r="A24" s="40">
        <v>21.0</v>
      </c>
      <c r="B24" s="41" t="s">
        <v>135</v>
      </c>
      <c r="C24" s="41" t="s">
        <v>136</v>
      </c>
      <c r="D24" s="41" t="s">
        <v>137</v>
      </c>
      <c r="E24" s="41" t="s">
        <v>138</v>
      </c>
      <c r="F24" s="40" t="str">
        <f t="shared" si="1"/>
        <v>WRONG</v>
      </c>
      <c r="G24" s="40" t="s">
        <v>42</v>
      </c>
      <c r="H24" s="56" t="s">
        <v>36</v>
      </c>
      <c r="I24" s="43" t="s">
        <v>139</v>
      </c>
      <c r="J24" s="56">
        <v>23357.0</v>
      </c>
    </row>
    <row r="25" ht="60.0" customHeight="1">
      <c r="A25" s="40">
        <v>22.0</v>
      </c>
      <c r="B25" s="41" t="s">
        <v>140</v>
      </c>
      <c r="C25" s="41" t="s">
        <v>141</v>
      </c>
      <c r="D25" s="41" t="s">
        <v>142</v>
      </c>
      <c r="E25" s="41" t="s">
        <v>143</v>
      </c>
      <c r="F25" s="40" t="str">
        <f t="shared" si="1"/>
        <v>CORRECT</v>
      </c>
      <c r="G25" s="40" t="s">
        <v>42</v>
      </c>
      <c r="H25" s="56" t="s">
        <v>42</v>
      </c>
      <c r="I25" s="43" t="s">
        <v>144</v>
      </c>
      <c r="J25" s="56">
        <v>37439.0</v>
      </c>
    </row>
    <row r="26" ht="60.0" customHeight="1">
      <c r="A26" s="40">
        <v>23.0</v>
      </c>
      <c r="B26" s="41" t="s">
        <v>145</v>
      </c>
      <c r="C26" s="41" t="s">
        <v>146</v>
      </c>
      <c r="D26" s="41" t="s">
        <v>147</v>
      </c>
      <c r="E26" s="41" t="s">
        <v>148</v>
      </c>
      <c r="F26" s="40" t="str">
        <f t="shared" si="1"/>
        <v>CORRECT</v>
      </c>
      <c r="G26" s="40" t="s">
        <v>48</v>
      </c>
      <c r="H26" s="56" t="s">
        <v>48</v>
      </c>
      <c r="I26" s="43" t="s">
        <v>149</v>
      </c>
      <c r="J26" s="56">
        <v>17855.0</v>
      </c>
    </row>
    <row r="27" ht="60.0" customHeight="1">
      <c r="A27" s="40">
        <v>24.0</v>
      </c>
      <c r="B27" s="41" t="s">
        <v>150</v>
      </c>
      <c r="C27" s="41" t="s">
        <v>151</v>
      </c>
      <c r="D27" s="41" t="s">
        <v>152</v>
      </c>
      <c r="E27" s="41" t="s">
        <v>153</v>
      </c>
      <c r="F27" s="40" t="str">
        <f t="shared" si="1"/>
        <v>WRONG</v>
      </c>
      <c r="G27" s="40" t="s">
        <v>36</v>
      </c>
      <c r="H27" s="55" t="s">
        <v>48</v>
      </c>
      <c r="I27" s="43" t="s">
        <v>154</v>
      </c>
      <c r="J27" s="56">
        <v>35419.0</v>
      </c>
    </row>
    <row r="28" ht="60.0" customHeight="1">
      <c r="A28" s="40">
        <v>25.0</v>
      </c>
      <c r="B28" s="41" t="s">
        <v>155</v>
      </c>
      <c r="C28" s="41" t="s">
        <v>151</v>
      </c>
      <c r="D28" s="41" t="s">
        <v>156</v>
      </c>
      <c r="E28" s="41" t="s">
        <v>153</v>
      </c>
      <c r="F28" s="40" t="str">
        <f t="shared" si="1"/>
        <v>CORRECT</v>
      </c>
      <c r="G28" s="40" t="s">
        <v>48</v>
      </c>
      <c r="H28" s="55" t="s">
        <v>48</v>
      </c>
      <c r="I28" s="43" t="s">
        <v>157</v>
      </c>
      <c r="J28" s="56">
        <v>45595.0</v>
      </c>
    </row>
    <row r="29" ht="60.0" customHeight="1">
      <c r="A29" s="40">
        <v>26.0</v>
      </c>
      <c r="B29" s="41" t="s">
        <v>158</v>
      </c>
      <c r="C29" s="41" t="s">
        <v>159</v>
      </c>
      <c r="D29" s="41" t="s">
        <v>160</v>
      </c>
      <c r="E29" s="41" t="s">
        <v>161</v>
      </c>
      <c r="F29" s="40" t="str">
        <f t="shared" si="1"/>
        <v>WRONG</v>
      </c>
      <c r="G29" s="40" t="s">
        <v>36</v>
      </c>
      <c r="H29" s="55" t="s">
        <v>42</v>
      </c>
      <c r="I29" s="43" t="s">
        <v>162</v>
      </c>
      <c r="J29" s="56">
        <v>43874.0</v>
      </c>
    </row>
    <row r="30" ht="60.0" customHeight="1">
      <c r="A30" s="40">
        <v>27.0</v>
      </c>
      <c r="B30" s="41" t="s">
        <v>163</v>
      </c>
      <c r="C30" s="41" t="s">
        <v>164</v>
      </c>
      <c r="D30" s="41" t="s">
        <v>165</v>
      </c>
      <c r="E30" s="41" t="s">
        <v>166</v>
      </c>
      <c r="F30" s="40" t="str">
        <f t="shared" si="1"/>
        <v>CORRECT</v>
      </c>
      <c r="G30" s="40" t="s">
        <v>42</v>
      </c>
      <c r="H30" s="55" t="s">
        <v>42</v>
      </c>
      <c r="I30" s="43" t="s">
        <v>167</v>
      </c>
      <c r="J30" s="56">
        <v>43105.0</v>
      </c>
    </row>
    <row r="31" ht="60.0" customHeight="1">
      <c r="A31" s="40">
        <v>28.0</v>
      </c>
      <c r="B31" s="41" t="s">
        <v>168</v>
      </c>
      <c r="C31" s="41" t="s">
        <v>169</v>
      </c>
      <c r="D31" s="41" t="s">
        <v>170</v>
      </c>
      <c r="E31" s="41" t="s">
        <v>171</v>
      </c>
      <c r="F31" s="40" t="str">
        <f t="shared" si="1"/>
        <v>WRONG</v>
      </c>
      <c r="G31" s="40" t="s">
        <v>36</v>
      </c>
      <c r="H31" s="55" t="s">
        <v>42</v>
      </c>
      <c r="I31" s="43" t="s">
        <v>172</v>
      </c>
      <c r="J31" s="56">
        <v>30828.0</v>
      </c>
    </row>
    <row r="32" ht="60.0" customHeight="1">
      <c r="A32" s="40">
        <v>29.0</v>
      </c>
      <c r="B32" s="41" t="s">
        <v>173</v>
      </c>
      <c r="C32" s="41" t="s">
        <v>174</v>
      </c>
      <c r="D32" s="41" t="s">
        <v>175</v>
      </c>
      <c r="E32" s="41" t="s">
        <v>176</v>
      </c>
      <c r="F32" s="40" t="str">
        <f t="shared" si="1"/>
        <v>CORRECT</v>
      </c>
      <c r="G32" s="40" t="s">
        <v>42</v>
      </c>
      <c r="H32" s="55" t="s">
        <v>42</v>
      </c>
      <c r="I32" s="43" t="s">
        <v>177</v>
      </c>
      <c r="J32" s="56">
        <v>27779.0</v>
      </c>
    </row>
    <row r="33" ht="60.0" customHeight="1">
      <c r="A33" s="40">
        <v>30.0</v>
      </c>
      <c r="B33" s="41" t="s">
        <v>178</v>
      </c>
      <c r="C33" s="41" t="s">
        <v>179</v>
      </c>
      <c r="D33" s="41" t="s">
        <v>180</v>
      </c>
      <c r="E33" s="41" t="s">
        <v>181</v>
      </c>
      <c r="F33" s="40" t="str">
        <f t="shared" si="1"/>
        <v>WRONG</v>
      </c>
      <c r="G33" s="40" t="s">
        <v>48</v>
      </c>
      <c r="H33" s="56" t="s">
        <v>36</v>
      </c>
      <c r="I33" s="43" t="s">
        <v>182</v>
      </c>
      <c r="J33" s="56">
        <v>35588.0</v>
      </c>
    </row>
    <row r="34" ht="60.0" customHeight="1">
      <c r="A34" s="40">
        <v>31.0</v>
      </c>
      <c r="B34" s="41" t="s">
        <v>183</v>
      </c>
      <c r="C34" s="41" t="s">
        <v>184</v>
      </c>
      <c r="D34" s="41" t="s">
        <v>185</v>
      </c>
      <c r="E34" s="41" t="s">
        <v>186</v>
      </c>
      <c r="F34" s="40" t="str">
        <f t="shared" si="1"/>
        <v>WRONG</v>
      </c>
      <c r="G34" s="40" t="s">
        <v>42</v>
      </c>
      <c r="H34" s="56" t="s">
        <v>36</v>
      </c>
      <c r="I34" s="43" t="s">
        <v>187</v>
      </c>
      <c r="J34" s="56">
        <v>41629.0</v>
      </c>
    </row>
    <row r="35" ht="60.0" customHeight="1">
      <c r="A35" s="40">
        <v>32.0</v>
      </c>
      <c r="B35" s="41" t="s">
        <v>188</v>
      </c>
      <c r="C35" s="41" t="s">
        <v>189</v>
      </c>
      <c r="D35" s="41" t="s">
        <v>190</v>
      </c>
      <c r="E35" s="41" t="s">
        <v>191</v>
      </c>
      <c r="F35" s="40" t="str">
        <f t="shared" si="1"/>
        <v>CORRECT</v>
      </c>
      <c r="G35" s="40" t="s">
        <v>36</v>
      </c>
      <c r="H35" s="55" t="s">
        <v>36</v>
      </c>
      <c r="I35" s="43" t="s">
        <v>415</v>
      </c>
      <c r="J35" s="56">
        <v>66000.0</v>
      </c>
    </row>
    <row r="36" ht="60.0" customHeight="1">
      <c r="A36" s="40">
        <v>33.0</v>
      </c>
      <c r="B36" s="41" t="s">
        <v>193</v>
      </c>
      <c r="C36" s="41" t="s">
        <v>194</v>
      </c>
      <c r="D36" s="41" t="s">
        <v>195</v>
      </c>
      <c r="E36" s="41" t="s">
        <v>196</v>
      </c>
      <c r="F36" s="40" t="str">
        <f t="shared" si="1"/>
        <v>WRONG</v>
      </c>
      <c r="G36" s="40" t="s">
        <v>48</v>
      </c>
      <c r="H36" s="55" t="s">
        <v>42</v>
      </c>
      <c r="I36" s="43" t="s">
        <v>197</v>
      </c>
      <c r="J36" s="56">
        <v>32992.0</v>
      </c>
    </row>
    <row r="37" ht="60.0" customHeight="1">
      <c r="A37" s="40">
        <v>34.0</v>
      </c>
      <c r="B37" s="41" t="s">
        <v>198</v>
      </c>
      <c r="C37" s="41" t="s">
        <v>199</v>
      </c>
      <c r="D37" s="41" t="s">
        <v>200</v>
      </c>
      <c r="E37" s="41" t="s">
        <v>201</v>
      </c>
      <c r="F37" s="40" t="str">
        <f t="shared" si="1"/>
        <v>CORRECT</v>
      </c>
      <c r="G37" s="40" t="s">
        <v>36</v>
      </c>
      <c r="H37" s="56" t="s">
        <v>36</v>
      </c>
      <c r="I37" s="43" t="s">
        <v>416</v>
      </c>
      <c r="J37" s="56">
        <v>32559.0</v>
      </c>
    </row>
    <row r="38" ht="60.0" customHeight="1">
      <c r="A38" s="40">
        <v>35.0</v>
      </c>
      <c r="B38" s="41" t="s">
        <v>203</v>
      </c>
      <c r="C38" s="41" t="s">
        <v>204</v>
      </c>
      <c r="D38" s="41" t="s">
        <v>205</v>
      </c>
      <c r="E38" s="41" t="s">
        <v>206</v>
      </c>
      <c r="F38" s="40" t="str">
        <f t="shared" si="1"/>
        <v>CORRECT</v>
      </c>
      <c r="G38" s="40" t="s">
        <v>48</v>
      </c>
      <c r="H38" s="56" t="s">
        <v>48</v>
      </c>
      <c r="I38" s="43" t="s">
        <v>207</v>
      </c>
      <c r="J38" s="56">
        <v>35732.0</v>
      </c>
    </row>
    <row r="39" ht="60.0" customHeight="1">
      <c r="A39" s="40">
        <v>36.0</v>
      </c>
      <c r="B39" s="41" t="s">
        <v>208</v>
      </c>
      <c r="C39" s="41" t="s">
        <v>209</v>
      </c>
      <c r="D39" s="41" t="s">
        <v>210</v>
      </c>
      <c r="E39" s="41" t="s">
        <v>211</v>
      </c>
      <c r="F39" s="40" t="str">
        <f t="shared" si="1"/>
        <v>CORRECT</v>
      </c>
      <c r="G39" s="40" t="s">
        <v>36</v>
      </c>
      <c r="H39" s="56" t="s">
        <v>36</v>
      </c>
      <c r="I39" s="43" t="s">
        <v>212</v>
      </c>
      <c r="J39" s="56">
        <v>30225.0</v>
      </c>
    </row>
    <row r="40" ht="60.0" customHeight="1">
      <c r="A40" s="40">
        <v>37.0</v>
      </c>
      <c r="B40" s="41" t="s">
        <v>213</v>
      </c>
      <c r="C40" s="41" t="s">
        <v>214</v>
      </c>
      <c r="D40" s="41" t="s">
        <v>215</v>
      </c>
      <c r="E40" s="41" t="s">
        <v>216</v>
      </c>
      <c r="F40" s="40" t="str">
        <f t="shared" si="1"/>
        <v>CORRECT</v>
      </c>
      <c r="G40" s="40" t="s">
        <v>36</v>
      </c>
      <c r="H40" s="56" t="s">
        <v>36</v>
      </c>
      <c r="I40" s="43" t="s">
        <v>217</v>
      </c>
      <c r="J40" s="56">
        <v>24112.0</v>
      </c>
    </row>
    <row r="41" ht="60.0" customHeight="1">
      <c r="A41" s="40">
        <v>38.0</v>
      </c>
      <c r="B41" s="41" t="s">
        <v>218</v>
      </c>
      <c r="C41" s="41" t="s">
        <v>219</v>
      </c>
      <c r="D41" s="41" t="s">
        <v>220</v>
      </c>
      <c r="E41" s="41" t="s">
        <v>221</v>
      </c>
      <c r="F41" s="40" t="str">
        <f t="shared" si="1"/>
        <v>CORRECT</v>
      </c>
      <c r="G41" s="40" t="s">
        <v>36</v>
      </c>
      <c r="H41" s="56" t="s">
        <v>36</v>
      </c>
      <c r="I41" s="43" t="s">
        <v>222</v>
      </c>
      <c r="J41" s="56">
        <v>31776.0</v>
      </c>
    </row>
    <row r="42" ht="60.0" customHeight="1">
      <c r="A42" s="40">
        <v>39.0</v>
      </c>
      <c r="B42" s="41" t="s">
        <v>223</v>
      </c>
      <c r="C42" s="41" t="s">
        <v>224</v>
      </c>
      <c r="D42" s="41" t="s">
        <v>225</v>
      </c>
      <c r="E42" s="41" t="s">
        <v>226</v>
      </c>
      <c r="F42" s="40" t="str">
        <f t="shared" si="1"/>
        <v>WRONG</v>
      </c>
      <c r="G42" s="40" t="s">
        <v>42</v>
      </c>
      <c r="H42" s="56" t="s">
        <v>48</v>
      </c>
      <c r="I42" s="43" t="s">
        <v>227</v>
      </c>
      <c r="J42" s="56">
        <v>28333.0</v>
      </c>
    </row>
    <row r="43" ht="60.0" customHeight="1">
      <c r="A43" s="40">
        <v>40.0</v>
      </c>
      <c r="B43" s="41" t="s">
        <v>228</v>
      </c>
      <c r="C43" s="41" t="s">
        <v>229</v>
      </c>
      <c r="D43" s="41" t="s">
        <v>230</v>
      </c>
      <c r="E43" s="41" t="s">
        <v>231</v>
      </c>
      <c r="F43" s="40" t="str">
        <f t="shared" si="1"/>
        <v>CORRECT</v>
      </c>
      <c r="G43" s="40" t="s">
        <v>48</v>
      </c>
      <c r="H43" s="55" t="s">
        <v>48</v>
      </c>
      <c r="I43" s="43" t="s">
        <v>417</v>
      </c>
      <c r="J43" s="56">
        <v>39749.0</v>
      </c>
    </row>
    <row r="44" ht="60.0" customHeight="1">
      <c r="A44" s="40">
        <v>41.0</v>
      </c>
      <c r="B44" s="41" t="s">
        <v>233</v>
      </c>
      <c r="C44" s="41" t="s">
        <v>234</v>
      </c>
      <c r="D44" s="41" t="s">
        <v>235</v>
      </c>
      <c r="E44" s="41" t="s">
        <v>236</v>
      </c>
      <c r="F44" s="40" t="str">
        <f t="shared" si="1"/>
        <v>CORRECT</v>
      </c>
      <c r="G44" s="40" t="s">
        <v>42</v>
      </c>
      <c r="H44" s="56" t="s">
        <v>42</v>
      </c>
      <c r="I44" s="43" t="s">
        <v>237</v>
      </c>
      <c r="J44" s="56">
        <v>19251.0</v>
      </c>
    </row>
    <row r="45" ht="60.0" customHeight="1">
      <c r="A45" s="40">
        <v>42.0</v>
      </c>
      <c r="B45" s="41" t="s">
        <v>238</v>
      </c>
      <c r="C45" s="41" t="s">
        <v>239</v>
      </c>
      <c r="D45" s="41" t="s">
        <v>240</v>
      </c>
      <c r="E45" s="41" t="s">
        <v>241</v>
      </c>
      <c r="F45" s="40" t="str">
        <f t="shared" si="1"/>
        <v>WRONG</v>
      </c>
      <c r="G45" s="40" t="s">
        <v>36</v>
      </c>
      <c r="H45" s="55" t="s">
        <v>42</v>
      </c>
      <c r="I45" s="43" t="s">
        <v>242</v>
      </c>
      <c r="J45" s="56">
        <v>25811.0</v>
      </c>
    </row>
    <row r="46" ht="60.0" customHeight="1">
      <c r="A46" s="40">
        <v>43.0</v>
      </c>
      <c r="B46" s="41" t="s">
        <v>243</v>
      </c>
      <c r="C46" s="41" t="s">
        <v>244</v>
      </c>
      <c r="D46" s="41" t="s">
        <v>245</v>
      </c>
      <c r="E46" s="41" t="s">
        <v>246</v>
      </c>
      <c r="F46" s="40" t="str">
        <f t="shared" si="1"/>
        <v>CORRECT</v>
      </c>
      <c r="G46" s="40" t="s">
        <v>48</v>
      </c>
      <c r="H46" s="56" t="s">
        <v>48</v>
      </c>
      <c r="I46" s="43" t="s">
        <v>247</v>
      </c>
      <c r="J46" s="56">
        <v>36467.0</v>
      </c>
    </row>
    <row r="47" ht="60.0" customHeight="1">
      <c r="A47" s="40">
        <v>44.0</v>
      </c>
      <c r="B47" s="41" t="s">
        <v>248</v>
      </c>
      <c r="C47" s="41" t="s">
        <v>249</v>
      </c>
      <c r="D47" s="41" t="s">
        <v>250</v>
      </c>
      <c r="E47" s="41" t="s">
        <v>251</v>
      </c>
      <c r="F47" s="40" t="str">
        <f t="shared" si="1"/>
        <v>WRONG</v>
      </c>
      <c r="G47" s="40" t="s">
        <v>36</v>
      </c>
      <c r="H47" s="55" t="s">
        <v>48</v>
      </c>
      <c r="I47" s="43" t="s">
        <v>252</v>
      </c>
      <c r="J47" s="56">
        <v>43322.0</v>
      </c>
    </row>
    <row r="48" ht="60.0" customHeight="1">
      <c r="A48" s="40">
        <v>45.0</v>
      </c>
      <c r="B48" s="41" t="s">
        <v>253</v>
      </c>
      <c r="C48" s="41" t="s">
        <v>254</v>
      </c>
      <c r="D48" s="41" t="s">
        <v>255</v>
      </c>
      <c r="E48" s="41" t="s">
        <v>256</v>
      </c>
      <c r="F48" s="40" t="str">
        <f t="shared" si="1"/>
        <v>WRONG</v>
      </c>
      <c r="G48" s="40" t="s">
        <v>36</v>
      </c>
      <c r="H48" s="55" t="s">
        <v>48</v>
      </c>
      <c r="I48" s="43" t="s">
        <v>257</v>
      </c>
      <c r="J48" s="56">
        <v>38737.0</v>
      </c>
    </row>
    <row r="49" ht="60.0" customHeight="1">
      <c r="A49" s="40">
        <v>46.0</v>
      </c>
      <c r="B49" s="41" t="s">
        <v>258</v>
      </c>
      <c r="C49" s="41" t="s">
        <v>39</v>
      </c>
      <c r="D49" s="41" t="s">
        <v>259</v>
      </c>
      <c r="E49" s="41" t="s">
        <v>260</v>
      </c>
      <c r="F49" s="40" t="str">
        <f t="shared" si="1"/>
        <v>CORRECT</v>
      </c>
      <c r="G49" s="40" t="s">
        <v>36</v>
      </c>
      <c r="H49" s="55" t="s">
        <v>36</v>
      </c>
      <c r="I49" s="43" t="s">
        <v>261</v>
      </c>
      <c r="J49" s="56">
        <v>47985.0</v>
      </c>
    </row>
    <row r="50">
      <c r="A50" s="45" t="s">
        <v>262</v>
      </c>
      <c r="B50" s="2"/>
      <c r="C50" s="2"/>
      <c r="D50" s="2"/>
      <c r="E50" s="3"/>
      <c r="F50" s="46">
        <f>COUNTIFS(F4:F49,"CORRECT")</f>
        <v>30</v>
      </c>
      <c r="G50" s="47"/>
      <c r="H50" s="47"/>
      <c r="J50" s="48">
        <f>AVERAGE(J4:J49)</f>
        <v>34811.32609</v>
      </c>
    </row>
    <row r="51">
      <c r="A51" s="49" t="s">
        <v>263</v>
      </c>
      <c r="B51" s="2"/>
      <c r="C51" s="2"/>
      <c r="D51" s="2"/>
      <c r="E51" s="3"/>
      <c r="F51" s="50">
        <v>46.0</v>
      </c>
      <c r="G51" s="47"/>
      <c r="H51" s="47"/>
    </row>
    <row r="52">
      <c r="A52" s="45" t="s">
        <v>264</v>
      </c>
      <c r="B52" s="2"/>
      <c r="C52" s="2"/>
      <c r="D52" s="2"/>
      <c r="E52" s="3"/>
      <c r="F52" s="51">
        <f>F50/F51</f>
        <v>0.652173913</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418</v>
      </c>
      <c r="C2" s="2"/>
      <c r="D2" s="2"/>
      <c r="E2" s="2"/>
      <c r="F2" s="2"/>
      <c r="G2" s="2"/>
      <c r="H2" s="3"/>
      <c r="I2" s="38" t="s">
        <v>419</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55" t="s">
        <v>36</v>
      </c>
      <c r="I4" s="43" t="s">
        <v>420</v>
      </c>
      <c r="J4" s="56">
        <v>26490.0</v>
      </c>
    </row>
    <row r="5" ht="60.0" customHeight="1">
      <c r="A5" s="40">
        <v>2.0</v>
      </c>
      <c r="B5" s="41" t="s">
        <v>38</v>
      </c>
      <c r="C5" s="41" t="s">
        <v>39</v>
      </c>
      <c r="D5" s="41" t="s">
        <v>40</v>
      </c>
      <c r="E5" s="41" t="s">
        <v>41</v>
      </c>
      <c r="F5" s="40" t="str">
        <f t="shared" si="1"/>
        <v>CORRECT</v>
      </c>
      <c r="G5" s="40" t="s">
        <v>42</v>
      </c>
      <c r="H5" s="55" t="s">
        <v>42</v>
      </c>
      <c r="I5" s="43" t="s">
        <v>421</v>
      </c>
      <c r="J5" s="56">
        <v>26576.0</v>
      </c>
    </row>
    <row r="6" ht="60.0" customHeight="1">
      <c r="A6" s="40">
        <v>3.0</v>
      </c>
      <c r="B6" s="41" t="s">
        <v>44</v>
      </c>
      <c r="C6" s="41" t="s">
        <v>45</v>
      </c>
      <c r="D6" s="41" t="s">
        <v>46</v>
      </c>
      <c r="E6" s="41" t="s">
        <v>47</v>
      </c>
      <c r="F6" s="40" t="str">
        <f t="shared" si="1"/>
        <v>CORRECT</v>
      </c>
      <c r="G6" s="40" t="s">
        <v>48</v>
      </c>
      <c r="H6" s="55" t="s">
        <v>48</v>
      </c>
      <c r="I6" s="43" t="s">
        <v>422</v>
      </c>
      <c r="J6" s="56">
        <v>27698.0</v>
      </c>
    </row>
    <row r="7" ht="60.0" customHeight="1">
      <c r="A7" s="40">
        <v>4.0</v>
      </c>
      <c r="B7" s="41" t="s">
        <v>50</v>
      </c>
      <c r="C7" s="41" t="s">
        <v>51</v>
      </c>
      <c r="D7" s="41" t="s">
        <v>52</v>
      </c>
      <c r="E7" s="41" t="s">
        <v>53</v>
      </c>
      <c r="F7" s="40" t="str">
        <f t="shared" si="1"/>
        <v>CORRECT</v>
      </c>
      <c r="G7" s="40" t="s">
        <v>42</v>
      </c>
      <c r="H7" s="56" t="s">
        <v>42</v>
      </c>
      <c r="I7" s="43" t="s">
        <v>423</v>
      </c>
      <c r="J7" s="56">
        <v>23368.0</v>
      </c>
    </row>
    <row r="8" ht="60.0" customHeight="1">
      <c r="A8" s="40">
        <v>5.0</v>
      </c>
      <c r="B8" s="41" t="s">
        <v>55</v>
      </c>
      <c r="C8" s="41" t="s">
        <v>56</v>
      </c>
      <c r="D8" s="41" t="s">
        <v>57</v>
      </c>
      <c r="E8" s="41" t="s">
        <v>58</v>
      </c>
      <c r="F8" s="40" t="str">
        <f t="shared" si="1"/>
        <v>CORRECT</v>
      </c>
      <c r="G8" s="40" t="s">
        <v>48</v>
      </c>
      <c r="H8" s="55" t="s">
        <v>48</v>
      </c>
      <c r="I8" s="43" t="s">
        <v>424</v>
      </c>
      <c r="J8" s="56">
        <v>66871.0</v>
      </c>
    </row>
    <row r="9" ht="60.0" customHeight="1">
      <c r="A9" s="40">
        <v>6.0</v>
      </c>
      <c r="B9" s="41" t="s">
        <v>60</v>
      </c>
      <c r="C9" s="41" t="s">
        <v>61</v>
      </c>
      <c r="D9" s="41" t="s">
        <v>62</v>
      </c>
      <c r="E9" s="41" t="s">
        <v>63</v>
      </c>
      <c r="F9" s="40" t="str">
        <f t="shared" si="1"/>
        <v>CORRECT</v>
      </c>
      <c r="G9" s="40" t="s">
        <v>42</v>
      </c>
      <c r="H9" s="56" t="s">
        <v>42</v>
      </c>
      <c r="I9" s="43" t="s">
        <v>425</v>
      </c>
      <c r="J9" s="56">
        <v>20356.0</v>
      </c>
    </row>
    <row r="10" ht="60.0" customHeight="1">
      <c r="A10" s="40">
        <v>7.0</v>
      </c>
      <c r="B10" s="41" t="s">
        <v>65</v>
      </c>
      <c r="C10" s="41" t="s">
        <v>66</v>
      </c>
      <c r="D10" s="41" t="s">
        <v>67</v>
      </c>
      <c r="E10" s="41" t="s">
        <v>68</v>
      </c>
      <c r="F10" s="40" t="str">
        <f t="shared" si="1"/>
        <v>WRONG</v>
      </c>
      <c r="G10" s="40" t="s">
        <v>42</v>
      </c>
      <c r="H10" s="55" t="s">
        <v>36</v>
      </c>
      <c r="I10" s="43" t="s">
        <v>426</v>
      </c>
      <c r="J10" s="56">
        <v>33064.0</v>
      </c>
    </row>
    <row r="11" ht="60.0" customHeight="1">
      <c r="A11" s="40">
        <v>8.0</v>
      </c>
      <c r="B11" s="41" t="s">
        <v>70</v>
      </c>
      <c r="C11" s="41" t="s">
        <v>71</v>
      </c>
      <c r="D11" s="41" t="s">
        <v>72</v>
      </c>
      <c r="E11" s="41" t="s">
        <v>73</v>
      </c>
      <c r="F11" s="40" t="str">
        <f t="shared" si="1"/>
        <v>WRONG</v>
      </c>
      <c r="G11" s="40" t="s">
        <v>48</v>
      </c>
      <c r="H11" s="56" t="s">
        <v>42</v>
      </c>
      <c r="I11" s="43" t="s">
        <v>427</v>
      </c>
      <c r="J11" s="56">
        <v>41527.0</v>
      </c>
    </row>
    <row r="12" ht="60.0" customHeight="1">
      <c r="A12" s="40">
        <v>9.0</v>
      </c>
      <c r="B12" s="41" t="s">
        <v>75</v>
      </c>
      <c r="C12" s="41" t="s">
        <v>76</v>
      </c>
      <c r="D12" s="41" t="s">
        <v>77</v>
      </c>
      <c r="E12" s="41" t="s">
        <v>78</v>
      </c>
      <c r="F12" s="40" t="str">
        <f t="shared" si="1"/>
        <v>CORRECT</v>
      </c>
      <c r="G12" s="40" t="s">
        <v>42</v>
      </c>
      <c r="H12" s="55" t="s">
        <v>42</v>
      </c>
      <c r="I12" s="43" t="s">
        <v>428</v>
      </c>
      <c r="J12" s="56">
        <v>31721.0</v>
      </c>
    </row>
    <row r="13" ht="60.0" customHeight="1">
      <c r="A13" s="40">
        <v>10.0</v>
      </c>
      <c r="B13" s="41" t="s">
        <v>80</v>
      </c>
      <c r="C13" s="41" t="s">
        <v>81</v>
      </c>
      <c r="D13" s="41" t="s">
        <v>82</v>
      </c>
      <c r="E13" s="41" t="s">
        <v>83</v>
      </c>
      <c r="F13" s="40" t="str">
        <f t="shared" si="1"/>
        <v>CORRECT</v>
      </c>
      <c r="G13" s="40" t="s">
        <v>48</v>
      </c>
      <c r="H13" s="56" t="s">
        <v>48</v>
      </c>
      <c r="I13" s="43" t="s">
        <v>429</v>
      </c>
      <c r="J13" s="56">
        <v>38019.0</v>
      </c>
    </row>
    <row r="14" ht="60.0" customHeight="1">
      <c r="A14" s="40">
        <v>11.0</v>
      </c>
      <c r="B14" s="41" t="s">
        <v>85</v>
      </c>
      <c r="C14" s="41" t="s">
        <v>86</v>
      </c>
      <c r="D14" s="41" t="s">
        <v>87</v>
      </c>
      <c r="E14" s="41" t="s">
        <v>88</v>
      </c>
      <c r="F14" s="40" t="str">
        <f t="shared" si="1"/>
        <v>WRONG</v>
      </c>
      <c r="G14" s="40" t="s">
        <v>42</v>
      </c>
      <c r="H14" s="55" t="s">
        <v>48</v>
      </c>
      <c r="I14" s="43" t="s">
        <v>430</v>
      </c>
      <c r="J14" s="56">
        <v>49530.0</v>
      </c>
    </row>
    <row r="15" ht="60.0" customHeight="1">
      <c r="A15" s="40">
        <v>12.0</v>
      </c>
      <c r="B15" s="41" t="s">
        <v>90</v>
      </c>
      <c r="C15" s="41" t="s">
        <v>91</v>
      </c>
      <c r="D15" s="41" t="s">
        <v>92</v>
      </c>
      <c r="E15" s="41" t="s">
        <v>93</v>
      </c>
      <c r="F15" s="40" t="str">
        <f t="shared" si="1"/>
        <v>CORRECT</v>
      </c>
      <c r="G15" s="40" t="s">
        <v>48</v>
      </c>
      <c r="H15" s="55" t="s">
        <v>48</v>
      </c>
      <c r="I15" s="43" t="s">
        <v>431</v>
      </c>
      <c r="J15" s="56">
        <v>42617.0</v>
      </c>
    </row>
    <row r="16" ht="60.0" customHeight="1">
      <c r="A16" s="40">
        <v>13.0</v>
      </c>
      <c r="B16" s="41" t="s">
        <v>95</v>
      </c>
      <c r="C16" s="41" t="s">
        <v>96</v>
      </c>
      <c r="D16" s="41" t="s">
        <v>97</v>
      </c>
      <c r="E16" s="41" t="s">
        <v>98</v>
      </c>
      <c r="F16" s="40" t="str">
        <f t="shared" si="1"/>
        <v>CORRECT</v>
      </c>
      <c r="G16" s="40" t="s">
        <v>36</v>
      </c>
      <c r="H16" s="56" t="s">
        <v>36</v>
      </c>
      <c r="I16" s="43" t="s">
        <v>432</v>
      </c>
      <c r="J16" s="56">
        <v>29238.0</v>
      </c>
    </row>
    <row r="17" ht="60.0" customHeight="1">
      <c r="A17" s="40">
        <v>14.0</v>
      </c>
      <c r="B17" s="41" t="s">
        <v>100</v>
      </c>
      <c r="C17" s="41" t="s">
        <v>101</v>
      </c>
      <c r="D17" s="41" t="s">
        <v>102</v>
      </c>
      <c r="E17" s="41" t="s">
        <v>103</v>
      </c>
      <c r="F17" s="40" t="str">
        <f t="shared" si="1"/>
        <v>WRONG</v>
      </c>
      <c r="G17" s="40" t="s">
        <v>36</v>
      </c>
      <c r="H17" s="55" t="s">
        <v>48</v>
      </c>
      <c r="I17" s="43" t="s">
        <v>433</v>
      </c>
      <c r="J17" s="56">
        <v>54740.0</v>
      </c>
    </row>
    <row r="18" ht="60.0" customHeight="1">
      <c r="A18" s="40">
        <v>15.0</v>
      </c>
      <c r="B18" s="41" t="s">
        <v>105</v>
      </c>
      <c r="C18" s="41" t="s">
        <v>106</v>
      </c>
      <c r="D18" s="41" t="s">
        <v>107</v>
      </c>
      <c r="E18" s="41" t="s">
        <v>108</v>
      </c>
      <c r="F18" s="40" t="str">
        <f t="shared" si="1"/>
        <v>CORRECT</v>
      </c>
      <c r="G18" s="40" t="s">
        <v>48</v>
      </c>
      <c r="H18" s="56" t="s">
        <v>48</v>
      </c>
      <c r="I18" s="43" t="s">
        <v>434</v>
      </c>
      <c r="J18" s="56">
        <v>53984.0</v>
      </c>
    </row>
    <row r="19" ht="60.0" customHeight="1">
      <c r="A19" s="40">
        <v>16.0</v>
      </c>
      <c r="B19" s="41" t="s">
        <v>110</v>
      </c>
      <c r="C19" s="41" t="s">
        <v>111</v>
      </c>
      <c r="D19" s="41" t="s">
        <v>112</v>
      </c>
      <c r="E19" s="41" t="s">
        <v>113</v>
      </c>
      <c r="F19" s="40" t="str">
        <f t="shared" si="1"/>
        <v>CORRECT</v>
      </c>
      <c r="G19" s="40" t="s">
        <v>48</v>
      </c>
      <c r="H19" s="56" t="s">
        <v>48</v>
      </c>
      <c r="I19" s="43" t="s">
        <v>435</v>
      </c>
      <c r="J19" s="56">
        <v>31590.0</v>
      </c>
    </row>
    <row r="20" ht="60.0" customHeight="1">
      <c r="A20" s="40">
        <v>17.0</v>
      </c>
      <c r="B20" s="41" t="s">
        <v>115</v>
      </c>
      <c r="C20" s="41" t="s">
        <v>116</v>
      </c>
      <c r="D20" s="41" t="s">
        <v>117</v>
      </c>
      <c r="E20" s="41" t="s">
        <v>118</v>
      </c>
      <c r="F20" s="40" t="str">
        <f t="shared" si="1"/>
        <v>WRONG</v>
      </c>
      <c r="G20" s="40" t="s">
        <v>42</v>
      </c>
      <c r="H20" s="56" t="s">
        <v>36</v>
      </c>
      <c r="I20" s="43" t="s">
        <v>436</v>
      </c>
      <c r="J20" s="56">
        <v>30831.0</v>
      </c>
    </row>
    <row r="21" ht="60.0" customHeight="1">
      <c r="A21" s="40">
        <v>18.0</v>
      </c>
      <c r="B21" s="41" t="s">
        <v>120</v>
      </c>
      <c r="C21" s="41" t="s">
        <v>121</v>
      </c>
      <c r="D21" s="41" t="s">
        <v>122</v>
      </c>
      <c r="E21" s="41" t="s">
        <v>123</v>
      </c>
      <c r="F21" s="40" t="str">
        <f t="shared" si="1"/>
        <v>CORRECT</v>
      </c>
      <c r="G21" s="40" t="s">
        <v>42</v>
      </c>
      <c r="H21" s="56" t="s">
        <v>42</v>
      </c>
      <c r="I21" s="43" t="s">
        <v>437</v>
      </c>
      <c r="J21" s="56">
        <v>32094.0</v>
      </c>
    </row>
    <row r="22" ht="60.0" customHeight="1">
      <c r="A22" s="40">
        <v>19.0</v>
      </c>
      <c r="B22" s="41" t="s">
        <v>125</v>
      </c>
      <c r="C22" s="41" t="s">
        <v>126</v>
      </c>
      <c r="D22" s="41" t="s">
        <v>127</v>
      </c>
      <c r="E22" s="41" t="s">
        <v>128</v>
      </c>
      <c r="F22" s="40" t="str">
        <f t="shared" si="1"/>
        <v>WRONG</v>
      </c>
      <c r="G22" s="40" t="s">
        <v>36</v>
      </c>
      <c r="H22" s="55" t="s">
        <v>48</v>
      </c>
      <c r="I22" s="43" t="s">
        <v>438</v>
      </c>
      <c r="J22" s="56">
        <v>37037.0</v>
      </c>
    </row>
    <row r="23" ht="60.0" customHeight="1">
      <c r="A23" s="40">
        <v>20.0</v>
      </c>
      <c r="B23" s="41" t="s">
        <v>130</v>
      </c>
      <c r="C23" s="41" t="s">
        <v>131</v>
      </c>
      <c r="D23" s="41" t="s">
        <v>132</v>
      </c>
      <c r="E23" s="41" t="s">
        <v>133</v>
      </c>
      <c r="F23" s="40" t="str">
        <f t="shared" si="1"/>
        <v>WRONG</v>
      </c>
      <c r="G23" s="40" t="s">
        <v>42</v>
      </c>
      <c r="H23" s="55" t="s">
        <v>48</v>
      </c>
      <c r="I23" s="43" t="s">
        <v>439</v>
      </c>
      <c r="J23" s="56">
        <v>14966.0</v>
      </c>
    </row>
    <row r="24" ht="60.0" customHeight="1">
      <c r="A24" s="40">
        <v>21.0</v>
      </c>
      <c r="B24" s="41" t="s">
        <v>135</v>
      </c>
      <c r="C24" s="41" t="s">
        <v>136</v>
      </c>
      <c r="D24" s="41" t="s">
        <v>137</v>
      </c>
      <c r="E24" s="41" t="s">
        <v>138</v>
      </c>
      <c r="F24" s="40" t="str">
        <f t="shared" si="1"/>
        <v>WRONG</v>
      </c>
      <c r="G24" s="40" t="s">
        <v>42</v>
      </c>
      <c r="H24" s="56" t="s">
        <v>36</v>
      </c>
      <c r="I24" s="43" t="s">
        <v>440</v>
      </c>
      <c r="J24" s="56">
        <v>26693.0</v>
      </c>
    </row>
    <row r="25" ht="60.0" customHeight="1">
      <c r="A25" s="40">
        <v>22.0</v>
      </c>
      <c r="B25" s="41" t="s">
        <v>140</v>
      </c>
      <c r="C25" s="41" t="s">
        <v>141</v>
      </c>
      <c r="D25" s="41" t="s">
        <v>142</v>
      </c>
      <c r="E25" s="41" t="s">
        <v>143</v>
      </c>
      <c r="F25" s="40" t="str">
        <f t="shared" si="1"/>
        <v>CORRECT</v>
      </c>
      <c r="G25" s="40" t="s">
        <v>42</v>
      </c>
      <c r="H25" s="56" t="s">
        <v>42</v>
      </c>
      <c r="I25" s="43" t="s">
        <v>441</v>
      </c>
      <c r="J25" s="56">
        <v>83266.0</v>
      </c>
    </row>
    <row r="26" ht="60.0" customHeight="1">
      <c r="A26" s="40">
        <v>23.0</v>
      </c>
      <c r="B26" s="41" t="s">
        <v>145</v>
      </c>
      <c r="C26" s="41" t="s">
        <v>146</v>
      </c>
      <c r="D26" s="41" t="s">
        <v>147</v>
      </c>
      <c r="E26" s="41" t="s">
        <v>148</v>
      </c>
      <c r="F26" s="40" t="str">
        <f t="shared" si="1"/>
        <v>CORRECT</v>
      </c>
      <c r="G26" s="40" t="s">
        <v>48</v>
      </c>
      <c r="H26" s="56" t="s">
        <v>48</v>
      </c>
      <c r="I26" s="43" t="s">
        <v>442</v>
      </c>
      <c r="J26" s="56">
        <v>21642.0</v>
      </c>
    </row>
    <row r="27" ht="60.0" customHeight="1">
      <c r="A27" s="40">
        <v>24.0</v>
      </c>
      <c r="B27" s="41" t="s">
        <v>150</v>
      </c>
      <c r="C27" s="41" t="s">
        <v>151</v>
      </c>
      <c r="D27" s="41" t="s">
        <v>152</v>
      </c>
      <c r="E27" s="41" t="s">
        <v>153</v>
      </c>
      <c r="F27" s="40" t="str">
        <f t="shared" si="1"/>
        <v>CORRECT</v>
      </c>
      <c r="G27" s="40" t="s">
        <v>36</v>
      </c>
      <c r="H27" s="56" t="s">
        <v>36</v>
      </c>
      <c r="I27" s="43" t="s">
        <v>443</v>
      </c>
      <c r="J27" s="56">
        <v>28563.0</v>
      </c>
    </row>
    <row r="28" ht="60.0" customHeight="1">
      <c r="A28" s="40">
        <v>25.0</v>
      </c>
      <c r="B28" s="41" t="s">
        <v>155</v>
      </c>
      <c r="C28" s="41" t="s">
        <v>151</v>
      </c>
      <c r="D28" s="41" t="s">
        <v>156</v>
      </c>
      <c r="E28" s="41" t="s">
        <v>153</v>
      </c>
      <c r="F28" s="40" t="str">
        <f t="shared" si="1"/>
        <v>WRONG</v>
      </c>
      <c r="G28" s="40" t="s">
        <v>48</v>
      </c>
      <c r="H28" s="55" t="s">
        <v>42</v>
      </c>
      <c r="I28" s="43" t="s">
        <v>444</v>
      </c>
      <c r="J28" s="56">
        <v>16211.0</v>
      </c>
    </row>
    <row r="29" ht="60.0" customHeight="1">
      <c r="A29" s="40">
        <v>26.0</v>
      </c>
      <c r="B29" s="41" t="s">
        <v>158</v>
      </c>
      <c r="C29" s="41" t="s">
        <v>159</v>
      </c>
      <c r="D29" s="41" t="s">
        <v>160</v>
      </c>
      <c r="E29" s="41" t="s">
        <v>161</v>
      </c>
      <c r="F29" s="40" t="str">
        <f t="shared" si="1"/>
        <v>WRONG</v>
      </c>
      <c r="G29" s="40" t="s">
        <v>36</v>
      </c>
      <c r="H29" s="55" t="s">
        <v>48</v>
      </c>
      <c r="I29" s="43" t="s">
        <v>445</v>
      </c>
      <c r="J29" s="56">
        <v>49930.0</v>
      </c>
    </row>
    <row r="30" ht="60.0" customHeight="1">
      <c r="A30" s="40">
        <v>27.0</v>
      </c>
      <c r="B30" s="41" t="s">
        <v>163</v>
      </c>
      <c r="C30" s="41" t="s">
        <v>164</v>
      </c>
      <c r="D30" s="41" t="s">
        <v>165</v>
      </c>
      <c r="E30" s="41" t="s">
        <v>166</v>
      </c>
      <c r="F30" s="40" t="str">
        <f t="shared" si="1"/>
        <v>CORRECT</v>
      </c>
      <c r="G30" s="40" t="s">
        <v>42</v>
      </c>
      <c r="H30" s="55" t="s">
        <v>42</v>
      </c>
      <c r="I30" s="43" t="s">
        <v>446</v>
      </c>
      <c r="J30" s="56">
        <v>36080.0</v>
      </c>
    </row>
    <row r="31" ht="60.0" customHeight="1">
      <c r="A31" s="40">
        <v>28.0</v>
      </c>
      <c r="B31" s="41" t="s">
        <v>168</v>
      </c>
      <c r="C31" s="41" t="s">
        <v>169</v>
      </c>
      <c r="D31" s="41" t="s">
        <v>170</v>
      </c>
      <c r="E31" s="41" t="s">
        <v>171</v>
      </c>
      <c r="F31" s="40" t="str">
        <f t="shared" si="1"/>
        <v>WRONG</v>
      </c>
      <c r="G31" s="40" t="s">
        <v>36</v>
      </c>
      <c r="H31" s="56" t="s">
        <v>42</v>
      </c>
      <c r="I31" s="43" t="s">
        <v>447</v>
      </c>
      <c r="J31" s="56">
        <v>27050.0</v>
      </c>
    </row>
    <row r="32" ht="60.0" customHeight="1">
      <c r="A32" s="40">
        <v>29.0</v>
      </c>
      <c r="B32" s="41" t="s">
        <v>173</v>
      </c>
      <c r="C32" s="41" t="s">
        <v>174</v>
      </c>
      <c r="D32" s="41" t="s">
        <v>175</v>
      </c>
      <c r="E32" s="41" t="s">
        <v>176</v>
      </c>
      <c r="F32" s="40" t="str">
        <f t="shared" si="1"/>
        <v>CORRECT</v>
      </c>
      <c r="G32" s="40" t="s">
        <v>42</v>
      </c>
      <c r="H32" s="55" t="s">
        <v>42</v>
      </c>
      <c r="I32" s="43" t="s">
        <v>448</v>
      </c>
      <c r="J32" s="56">
        <v>23554.0</v>
      </c>
    </row>
    <row r="33" ht="60.0" customHeight="1">
      <c r="A33" s="40">
        <v>30.0</v>
      </c>
      <c r="B33" s="41" t="s">
        <v>178</v>
      </c>
      <c r="C33" s="41" t="s">
        <v>179</v>
      </c>
      <c r="D33" s="41" t="s">
        <v>180</v>
      </c>
      <c r="E33" s="41" t="s">
        <v>181</v>
      </c>
      <c r="F33" s="40" t="str">
        <f t="shared" si="1"/>
        <v>WRONG</v>
      </c>
      <c r="G33" s="40" t="s">
        <v>48</v>
      </c>
      <c r="H33" s="56" t="s">
        <v>36</v>
      </c>
      <c r="I33" s="43" t="s">
        <v>182</v>
      </c>
      <c r="J33" s="56">
        <v>36082.0</v>
      </c>
    </row>
    <row r="34" ht="60.0" customHeight="1">
      <c r="A34" s="40">
        <v>31.0</v>
      </c>
      <c r="B34" s="41" t="s">
        <v>183</v>
      </c>
      <c r="C34" s="41" t="s">
        <v>184</v>
      </c>
      <c r="D34" s="41" t="s">
        <v>185</v>
      </c>
      <c r="E34" s="41" t="s">
        <v>186</v>
      </c>
      <c r="F34" s="40" t="str">
        <f t="shared" si="1"/>
        <v>WRONG</v>
      </c>
      <c r="G34" s="40" t="s">
        <v>42</v>
      </c>
      <c r="H34" s="56" t="s">
        <v>36</v>
      </c>
      <c r="I34" s="43" t="s">
        <v>449</v>
      </c>
      <c r="J34" s="56">
        <v>36220.0</v>
      </c>
    </row>
    <row r="35" ht="60.0" customHeight="1">
      <c r="A35" s="40">
        <v>32.0</v>
      </c>
      <c r="B35" s="41" t="s">
        <v>188</v>
      </c>
      <c r="C35" s="41" t="s">
        <v>189</v>
      </c>
      <c r="D35" s="41" t="s">
        <v>190</v>
      </c>
      <c r="E35" s="41" t="s">
        <v>191</v>
      </c>
      <c r="F35" s="40" t="str">
        <f t="shared" si="1"/>
        <v>CORRECT</v>
      </c>
      <c r="G35" s="40" t="s">
        <v>36</v>
      </c>
      <c r="H35" s="55" t="s">
        <v>36</v>
      </c>
      <c r="I35" s="43" t="s">
        <v>450</v>
      </c>
      <c r="J35" s="56">
        <v>81397.0</v>
      </c>
    </row>
    <row r="36" ht="60.0" customHeight="1">
      <c r="A36" s="40">
        <v>33.0</v>
      </c>
      <c r="B36" s="41" t="s">
        <v>193</v>
      </c>
      <c r="C36" s="41" t="s">
        <v>194</v>
      </c>
      <c r="D36" s="41" t="s">
        <v>195</v>
      </c>
      <c r="E36" s="41" t="s">
        <v>196</v>
      </c>
      <c r="F36" s="40" t="str">
        <f t="shared" si="1"/>
        <v>WRONG</v>
      </c>
      <c r="G36" s="40" t="s">
        <v>48</v>
      </c>
      <c r="H36" s="55" t="s">
        <v>42</v>
      </c>
      <c r="I36" s="43" t="s">
        <v>451</v>
      </c>
      <c r="J36" s="56">
        <v>38366.0</v>
      </c>
    </row>
    <row r="37" ht="60.0" customHeight="1">
      <c r="A37" s="40">
        <v>34.0</v>
      </c>
      <c r="B37" s="41" t="s">
        <v>198</v>
      </c>
      <c r="C37" s="41" t="s">
        <v>199</v>
      </c>
      <c r="D37" s="41" t="s">
        <v>200</v>
      </c>
      <c r="E37" s="41" t="s">
        <v>201</v>
      </c>
      <c r="F37" s="40" t="str">
        <f t="shared" si="1"/>
        <v>CORRECT</v>
      </c>
      <c r="G37" s="40" t="s">
        <v>36</v>
      </c>
      <c r="H37" s="56" t="s">
        <v>36</v>
      </c>
      <c r="I37" s="43" t="s">
        <v>452</v>
      </c>
      <c r="J37" s="56">
        <v>22933.0</v>
      </c>
    </row>
    <row r="38" ht="60.0" customHeight="1">
      <c r="A38" s="40">
        <v>35.0</v>
      </c>
      <c r="B38" s="41" t="s">
        <v>203</v>
      </c>
      <c r="C38" s="41" t="s">
        <v>204</v>
      </c>
      <c r="D38" s="41" t="s">
        <v>205</v>
      </c>
      <c r="E38" s="41" t="s">
        <v>206</v>
      </c>
      <c r="F38" s="40" t="str">
        <f t="shared" si="1"/>
        <v>CORRECT</v>
      </c>
      <c r="G38" s="40" t="s">
        <v>48</v>
      </c>
      <c r="H38" s="56" t="s">
        <v>48</v>
      </c>
      <c r="I38" s="43" t="s">
        <v>453</v>
      </c>
      <c r="J38" s="56">
        <v>43288.0</v>
      </c>
    </row>
    <row r="39" ht="60.0" customHeight="1">
      <c r="A39" s="40">
        <v>36.0</v>
      </c>
      <c r="B39" s="41" t="s">
        <v>208</v>
      </c>
      <c r="C39" s="41" t="s">
        <v>209</v>
      </c>
      <c r="D39" s="41" t="s">
        <v>210</v>
      </c>
      <c r="E39" s="41" t="s">
        <v>211</v>
      </c>
      <c r="F39" s="40" t="str">
        <f t="shared" si="1"/>
        <v>CORRECT</v>
      </c>
      <c r="G39" s="40" t="s">
        <v>36</v>
      </c>
      <c r="H39" s="56" t="s">
        <v>36</v>
      </c>
      <c r="I39" s="43" t="s">
        <v>454</v>
      </c>
      <c r="J39" s="56">
        <v>17991.0</v>
      </c>
    </row>
    <row r="40" ht="60.0" customHeight="1">
      <c r="A40" s="40">
        <v>37.0</v>
      </c>
      <c r="B40" s="41" t="s">
        <v>213</v>
      </c>
      <c r="C40" s="41" t="s">
        <v>214</v>
      </c>
      <c r="D40" s="41" t="s">
        <v>215</v>
      </c>
      <c r="E40" s="41" t="s">
        <v>216</v>
      </c>
      <c r="F40" s="40" t="str">
        <f t="shared" si="1"/>
        <v>WRONG</v>
      </c>
      <c r="G40" s="40" t="s">
        <v>36</v>
      </c>
      <c r="H40" s="55" t="s">
        <v>42</v>
      </c>
      <c r="I40" s="43" t="s">
        <v>455</v>
      </c>
      <c r="J40" s="56">
        <v>23666.0</v>
      </c>
    </row>
    <row r="41" ht="60.0" customHeight="1">
      <c r="A41" s="40">
        <v>38.0</v>
      </c>
      <c r="B41" s="41" t="s">
        <v>218</v>
      </c>
      <c r="C41" s="41" t="s">
        <v>219</v>
      </c>
      <c r="D41" s="41" t="s">
        <v>220</v>
      </c>
      <c r="E41" s="41" t="s">
        <v>221</v>
      </c>
      <c r="F41" s="40" t="str">
        <f t="shared" si="1"/>
        <v>CORRECT</v>
      </c>
      <c r="G41" s="40" t="s">
        <v>36</v>
      </c>
      <c r="H41" s="56" t="s">
        <v>36</v>
      </c>
      <c r="I41" s="43" t="s">
        <v>456</v>
      </c>
      <c r="J41" s="56">
        <v>40869.0</v>
      </c>
    </row>
    <row r="42" ht="60.0" customHeight="1">
      <c r="A42" s="40">
        <v>39.0</v>
      </c>
      <c r="B42" s="41" t="s">
        <v>223</v>
      </c>
      <c r="C42" s="41" t="s">
        <v>224</v>
      </c>
      <c r="D42" s="41" t="s">
        <v>225</v>
      </c>
      <c r="E42" s="41" t="s">
        <v>226</v>
      </c>
      <c r="F42" s="40" t="str">
        <f t="shared" si="1"/>
        <v>WRONG</v>
      </c>
      <c r="G42" s="40" t="s">
        <v>42</v>
      </c>
      <c r="H42" s="56" t="s">
        <v>48</v>
      </c>
      <c r="I42" s="43" t="s">
        <v>457</v>
      </c>
      <c r="J42" s="56">
        <v>30844.0</v>
      </c>
    </row>
    <row r="43" ht="60.0" customHeight="1">
      <c r="A43" s="40">
        <v>40.0</v>
      </c>
      <c r="B43" s="41" t="s">
        <v>228</v>
      </c>
      <c r="C43" s="41" t="s">
        <v>229</v>
      </c>
      <c r="D43" s="41" t="s">
        <v>230</v>
      </c>
      <c r="E43" s="41" t="s">
        <v>231</v>
      </c>
      <c r="F43" s="40" t="str">
        <f t="shared" si="1"/>
        <v>WRONG</v>
      </c>
      <c r="G43" s="40" t="s">
        <v>48</v>
      </c>
      <c r="H43" s="55" t="s">
        <v>42</v>
      </c>
      <c r="I43" s="43" t="s">
        <v>458</v>
      </c>
      <c r="J43" s="56">
        <v>50349.0</v>
      </c>
    </row>
    <row r="44" ht="60.0" customHeight="1">
      <c r="A44" s="40">
        <v>41.0</v>
      </c>
      <c r="B44" s="41" t="s">
        <v>233</v>
      </c>
      <c r="C44" s="41" t="s">
        <v>234</v>
      </c>
      <c r="D44" s="41" t="s">
        <v>235</v>
      </c>
      <c r="E44" s="41" t="s">
        <v>236</v>
      </c>
      <c r="F44" s="40" t="str">
        <f t="shared" si="1"/>
        <v>CORRECT</v>
      </c>
      <c r="G44" s="40" t="s">
        <v>42</v>
      </c>
      <c r="H44" s="56" t="s">
        <v>42</v>
      </c>
      <c r="I44" s="43" t="s">
        <v>459</v>
      </c>
      <c r="J44" s="56">
        <v>20833.0</v>
      </c>
    </row>
    <row r="45" ht="60.0" customHeight="1">
      <c r="A45" s="40">
        <v>42.0</v>
      </c>
      <c r="B45" s="41" t="s">
        <v>238</v>
      </c>
      <c r="C45" s="41" t="s">
        <v>239</v>
      </c>
      <c r="D45" s="41" t="s">
        <v>240</v>
      </c>
      <c r="E45" s="41" t="s">
        <v>241</v>
      </c>
      <c r="F45" s="40" t="str">
        <f t="shared" si="1"/>
        <v>WRONG</v>
      </c>
      <c r="G45" s="40" t="s">
        <v>36</v>
      </c>
      <c r="H45" s="55" t="s">
        <v>42</v>
      </c>
      <c r="I45" s="43" t="s">
        <v>460</v>
      </c>
      <c r="J45" s="56">
        <v>31671.0</v>
      </c>
    </row>
    <row r="46" ht="60.0" customHeight="1">
      <c r="A46" s="40">
        <v>43.0</v>
      </c>
      <c r="B46" s="41" t="s">
        <v>243</v>
      </c>
      <c r="C46" s="41" t="s">
        <v>244</v>
      </c>
      <c r="D46" s="41" t="s">
        <v>245</v>
      </c>
      <c r="E46" s="41" t="s">
        <v>246</v>
      </c>
      <c r="F46" s="40" t="str">
        <f t="shared" si="1"/>
        <v>CORRECT</v>
      </c>
      <c r="G46" s="40" t="s">
        <v>48</v>
      </c>
      <c r="H46" s="56" t="s">
        <v>48</v>
      </c>
      <c r="I46" s="43" t="s">
        <v>461</v>
      </c>
      <c r="J46" s="56">
        <v>42626.0</v>
      </c>
    </row>
    <row r="47" ht="60.0" customHeight="1">
      <c r="A47" s="40">
        <v>44.0</v>
      </c>
      <c r="B47" s="41" t="s">
        <v>248</v>
      </c>
      <c r="C47" s="41" t="s">
        <v>249</v>
      </c>
      <c r="D47" s="41" t="s">
        <v>250</v>
      </c>
      <c r="E47" s="41" t="s">
        <v>251</v>
      </c>
      <c r="F47" s="40" t="str">
        <f t="shared" si="1"/>
        <v>WRONG</v>
      </c>
      <c r="G47" s="40" t="s">
        <v>36</v>
      </c>
      <c r="H47" s="55" t="s">
        <v>48</v>
      </c>
      <c r="I47" s="43" t="s">
        <v>462</v>
      </c>
      <c r="J47" s="56">
        <v>24487.0</v>
      </c>
    </row>
    <row r="48" ht="60.0" customHeight="1">
      <c r="A48" s="40">
        <v>45.0</v>
      </c>
      <c r="B48" s="41" t="s">
        <v>253</v>
      </c>
      <c r="C48" s="41" t="s">
        <v>254</v>
      </c>
      <c r="D48" s="41" t="s">
        <v>255</v>
      </c>
      <c r="E48" s="41" t="s">
        <v>256</v>
      </c>
      <c r="F48" s="40" t="str">
        <f t="shared" si="1"/>
        <v>WRONG</v>
      </c>
      <c r="G48" s="40" t="s">
        <v>36</v>
      </c>
      <c r="H48" s="55" t="s">
        <v>48</v>
      </c>
      <c r="I48" s="43" t="s">
        <v>463</v>
      </c>
      <c r="J48" s="56">
        <v>77631.0</v>
      </c>
    </row>
    <row r="49" ht="60.0" customHeight="1">
      <c r="A49" s="40">
        <v>46.0</v>
      </c>
      <c r="B49" s="41" t="s">
        <v>258</v>
      </c>
      <c r="C49" s="41" t="s">
        <v>39</v>
      </c>
      <c r="D49" s="41" t="s">
        <v>259</v>
      </c>
      <c r="E49" s="41" t="s">
        <v>260</v>
      </c>
      <c r="F49" s="40" t="str">
        <f t="shared" si="1"/>
        <v>CORRECT</v>
      </c>
      <c r="G49" s="40" t="s">
        <v>36</v>
      </c>
      <c r="H49" s="55" t="s">
        <v>36</v>
      </c>
      <c r="I49" s="43" t="s">
        <v>464</v>
      </c>
      <c r="J49" s="56">
        <v>38001.0</v>
      </c>
    </row>
    <row r="50">
      <c r="A50" s="45" t="s">
        <v>262</v>
      </c>
      <c r="B50" s="2"/>
      <c r="C50" s="2"/>
      <c r="D50" s="2"/>
      <c r="E50" s="3"/>
      <c r="F50" s="46">
        <f>COUNTIFS(F4:F49,"CORRECT")</f>
        <v>26</v>
      </c>
      <c r="G50" s="47"/>
      <c r="H50" s="47"/>
      <c r="J50" s="48">
        <f>AVERAGE(J4:J49)</f>
        <v>36577.3913</v>
      </c>
    </row>
    <row r="51">
      <c r="A51" s="49" t="s">
        <v>263</v>
      </c>
      <c r="B51" s="2"/>
      <c r="C51" s="2"/>
      <c r="D51" s="2"/>
      <c r="E51" s="3"/>
      <c r="F51" s="50">
        <v>46.0</v>
      </c>
      <c r="G51" s="47"/>
      <c r="H51" s="47"/>
    </row>
    <row r="52">
      <c r="A52" s="45" t="s">
        <v>264</v>
      </c>
      <c r="B52" s="2"/>
      <c r="C52" s="2"/>
      <c r="D52" s="2"/>
      <c r="E52" s="3"/>
      <c r="F52" s="51">
        <f>F50/F51</f>
        <v>0.5652173913</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4" t="s">
        <v>18</v>
      </c>
      <c r="B1" s="2"/>
      <c r="C1" s="2"/>
      <c r="D1" s="2"/>
      <c r="E1" s="2"/>
      <c r="F1" s="2"/>
      <c r="G1" s="2"/>
      <c r="H1" s="2"/>
      <c r="I1" s="3"/>
      <c r="J1" s="35"/>
      <c r="K1" s="35"/>
      <c r="L1" s="35"/>
      <c r="M1" s="35"/>
      <c r="N1" s="35"/>
      <c r="O1" s="35"/>
      <c r="P1" s="35"/>
      <c r="Q1" s="35"/>
      <c r="R1" s="35"/>
      <c r="S1" s="35"/>
      <c r="T1" s="35"/>
      <c r="U1" s="35"/>
      <c r="V1" s="35"/>
      <c r="W1" s="35"/>
      <c r="X1" s="35"/>
      <c r="Y1" s="35"/>
      <c r="Z1" s="35"/>
      <c r="AA1" s="35"/>
    </row>
    <row r="2">
      <c r="A2" s="36" t="s">
        <v>19</v>
      </c>
      <c r="B2" s="37" t="s">
        <v>465</v>
      </c>
      <c r="C2" s="2"/>
      <c r="D2" s="2"/>
      <c r="E2" s="2"/>
      <c r="F2" s="2"/>
      <c r="G2" s="2"/>
      <c r="H2" s="3"/>
      <c r="I2" s="38" t="s">
        <v>466</v>
      </c>
      <c r="J2" s="3"/>
      <c r="K2" s="35"/>
      <c r="L2" s="35"/>
      <c r="M2" s="35"/>
      <c r="N2" s="35"/>
      <c r="O2" s="35"/>
      <c r="P2" s="35"/>
      <c r="Q2" s="35"/>
      <c r="R2" s="35"/>
      <c r="S2" s="35"/>
      <c r="T2" s="35"/>
      <c r="U2" s="35"/>
      <c r="V2" s="35"/>
      <c r="W2" s="35"/>
      <c r="X2" s="35"/>
      <c r="Y2" s="35"/>
      <c r="Z2" s="35"/>
      <c r="AA2" s="35"/>
    </row>
    <row r="3">
      <c r="A3" s="36" t="s">
        <v>22</v>
      </c>
      <c r="B3" s="36" t="s">
        <v>23</v>
      </c>
      <c r="C3" s="36" t="s">
        <v>24</v>
      </c>
      <c r="D3" s="36" t="s">
        <v>25</v>
      </c>
      <c r="E3" s="36" t="s">
        <v>26</v>
      </c>
      <c r="F3" s="36" t="s">
        <v>27</v>
      </c>
      <c r="G3" s="36" t="s">
        <v>28</v>
      </c>
      <c r="H3" s="36" t="s">
        <v>29</v>
      </c>
      <c r="I3" s="39" t="s">
        <v>30</v>
      </c>
      <c r="J3" s="39" t="s">
        <v>31</v>
      </c>
      <c r="K3" s="35"/>
      <c r="L3" s="35"/>
      <c r="M3" s="35"/>
      <c r="N3" s="35"/>
      <c r="O3" s="35"/>
      <c r="P3" s="35"/>
      <c r="Q3" s="35"/>
      <c r="R3" s="35"/>
      <c r="S3" s="35"/>
      <c r="T3" s="35"/>
      <c r="U3" s="35"/>
      <c r="V3" s="35"/>
      <c r="W3" s="35"/>
      <c r="X3" s="35"/>
      <c r="Y3" s="35"/>
      <c r="Z3" s="35"/>
      <c r="AA3" s="35"/>
    </row>
    <row r="4" ht="60.0" customHeight="1">
      <c r="A4" s="40">
        <v>1.0</v>
      </c>
      <c r="B4" s="41" t="s">
        <v>32</v>
      </c>
      <c r="C4" s="41" t="s">
        <v>33</v>
      </c>
      <c r="D4" s="41" t="s">
        <v>34</v>
      </c>
      <c r="E4" s="41" t="s">
        <v>35</v>
      </c>
      <c r="F4" s="40" t="str">
        <f t="shared" ref="F4:F49" si="1">IF(G4=H4,"CORRECT","WRONG")</f>
        <v>CORRECT</v>
      </c>
      <c r="G4" s="40" t="s">
        <v>36</v>
      </c>
      <c r="H4" s="55" t="s">
        <v>36</v>
      </c>
      <c r="I4" s="57" t="s">
        <v>467</v>
      </c>
      <c r="J4" s="56">
        <v>44077.0</v>
      </c>
    </row>
    <row r="5" ht="60.0" customHeight="1">
      <c r="A5" s="40">
        <v>2.0</v>
      </c>
      <c r="B5" s="41" t="s">
        <v>38</v>
      </c>
      <c r="C5" s="41" t="s">
        <v>39</v>
      </c>
      <c r="D5" s="41" t="s">
        <v>40</v>
      </c>
      <c r="E5" s="41" t="s">
        <v>41</v>
      </c>
      <c r="F5" s="40" t="str">
        <f t="shared" si="1"/>
        <v>WRONG</v>
      </c>
      <c r="G5" s="40" t="s">
        <v>42</v>
      </c>
      <c r="H5" s="55" t="s">
        <v>468</v>
      </c>
      <c r="I5" s="43" t="s">
        <v>469</v>
      </c>
      <c r="J5" s="56">
        <v>32087.0</v>
      </c>
    </row>
    <row r="6" ht="60.0" customHeight="1">
      <c r="A6" s="40">
        <v>3.0</v>
      </c>
      <c r="B6" s="41" t="s">
        <v>44</v>
      </c>
      <c r="C6" s="41" t="s">
        <v>45</v>
      </c>
      <c r="D6" s="41" t="s">
        <v>46</v>
      </c>
      <c r="E6" s="41" t="s">
        <v>47</v>
      </c>
      <c r="F6" s="40" t="str">
        <f t="shared" si="1"/>
        <v>CORRECT</v>
      </c>
      <c r="G6" s="40" t="s">
        <v>48</v>
      </c>
      <c r="H6" s="55" t="s">
        <v>48</v>
      </c>
      <c r="I6" s="43" t="s">
        <v>470</v>
      </c>
      <c r="J6" s="56">
        <v>29449.0</v>
      </c>
    </row>
    <row r="7" ht="60.0" customHeight="1">
      <c r="A7" s="40">
        <v>4.0</v>
      </c>
      <c r="B7" s="41" t="s">
        <v>50</v>
      </c>
      <c r="C7" s="41" t="s">
        <v>51</v>
      </c>
      <c r="D7" s="41" t="s">
        <v>52</v>
      </c>
      <c r="E7" s="41" t="s">
        <v>53</v>
      </c>
      <c r="F7" s="40" t="str">
        <f t="shared" si="1"/>
        <v>CORRECT</v>
      </c>
      <c r="G7" s="40" t="s">
        <v>42</v>
      </c>
      <c r="H7" s="55" t="s">
        <v>42</v>
      </c>
      <c r="I7" s="43" t="s">
        <v>471</v>
      </c>
      <c r="J7" s="56">
        <v>31101.0</v>
      </c>
    </row>
    <row r="8" ht="60.0" customHeight="1">
      <c r="A8" s="40">
        <v>5.0</v>
      </c>
      <c r="B8" s="41" t="s">
        <v>55</v>
      </c>
      <c r="C8" s="41" t="s">
        <v>56</v>
      </c>
      <c r="D8" s="41" t="s">
        <v>57</v>
      </c>
      <c r="E8" s="41" t="s">
        <v>58</v>
      </c>
      <c r="F8" s="40" t="str">
        <f t="shared" si="1"/>
        <v>WRONG</v>
      </c>
      <c r="G8" s="40" t="s">
        <v>48</v>
      </c>
      <c r="H8" s="55" t="s">
        <v>42</v>
      </c>
      <c r="I8" s="43" t="s">
        <v>472</v>
      </c>
      <c r="J8" s="56">
        <v>47139.0</v>
      </c>
    </row>
    <row r="9" ht="60.0" customHeight="1">
      <c r="A9" s="40">
        <v>6.0</v>
      </c>
      <c r="B9" s="41" t="s">
        <v>60</v>
      </c>
      <c r="C9" s="41" t="s">
        <v>61</v>
      </c>
      <c r="D9" s="41" t="s">
        <v>62</v>
      </c>
      <c r="E9" s="41" t="s">
        <v>63</v>
      </c>
      <c r="F9" s="40" t="str">
        <f t="shared" si="1"/>
        <v>WRONG</v>
      </c>
      <c r="G9" s="40" t="s">
        <v>42</v>
      </c>
      <c r="H9" s="55" t="s">
        <v>36</v>
      </c>
      <c r="I9" s="43" t="s">
        <v>473</v>
      </c>
      <c r="J9" s="56">
        <v>44854.0</v>
      </c>
    </row>
    <row r="10" ht="60.0" customHeight="1">
      <c r="A10" s="40">
        <v>7.0</v>
      </c>
      <c r="B10" s="41" t="s">
        <v>65</v>
      </c>
      <c r="C10" s="41" t="s">
        <v>66</v>
      </c>
      <c r="D10" s="41" t="s">
        <v>67</v>
      </c>
      <c r="E10" s="41" t="s">
        <v>68</v>
      </c>
      <c r="F10" s="40" t="str">
        <f t="shared" si="1"/>
        <v>WRONG</v>
      </c>
      <c r="G10" s="40" t="s">
        <v>42</v>
      </c>
      <c r="H10" s="55" t="s">
        <v>36</v>
      </c>
      <c r="I10" s="43" t="s">
        <v>474</v>
      </c>
      <c r="J10" s="56">
        <v>25109.0</v>
      </c>
    </row>
    <row r="11" ht="60.0" customHeight="1">
      <c r="A11" s="40">
        <v>8.0</v>
      </c>
      <c r="B11" s="41" t="s">
        <v>70</v>
      </c>
      <c r="C11" s="41" t="s">
        <v>71</v>
      </c>
      <c r="D11" s="41" t="s">
        <v>72</v>
      </c>
      <c r="E11" s="41" t="s">
        <v>73</v>
      </c>
      <c r="F11" s="40" t="str">
        <f t="shared" si="1"/>
        <v>WRONG</v>
      </c>
      <c r="G11" s="40" t="s">
        <v>48</v>
      </c>
      <c r="H11" s="55" t="s">
        <v>475</v>
      </c>
      <c r="I11" s="43" t="s">
        <v>476</v>
      </c>
      <c r="J11" s="56">
        <v>10554.0</v>
      </c>
    </row>
    <row r="12" ht="60.0" customHeight="1">
      <c r="A12" s="40">
        <v>9.0</v>
      </c>
      <c r="B12" s="41" t="s">
        <v>75</v>
      </c>
      <c r="C12" s="41" t="s">
        <v>76</v>
      </c>
      <c r="D12" s="41" t="s">
        <v>77</v>
      </c>
      <c r="E12" s="41" t="s">
        <v>78</v>
      </c>
      <c r="F12" s="40" t="str">
        <f t="shared" si="1"/>
        <v>WRONG</v>
      </c>
      <c r="G12" s="40" t="s">
        <v>42</v>
      </c>
      <c r="H12" s="55" t="s">
        <v>48</v>
      </c>
      <c r="I12" s="43" t="s">
        <v>477</v>
      </c>
      <c r="J12" s="56">
        <v>74345.0</v>
      </c>
    </row>
    <row r="13" ht="60.0" customHeight="1">
      <c r="A13" s="40">
        <v>10.0</v>
      </c>
      <c r="B13" s="41" t="s">
        <v>80</v>
      </c>
      <c r="C13" s="41" t="s">
        <v>81</v>
      </c>
      <c r="D13" s="41" t="s">
        <v>82</v>
      </c>
      <c r="E13" s="41" t="s">
        <v>83</v>
      </c>
      <c r="F13" s="40" t="str">
        <f t="shared" si="1"/>
        <v>WRONG</v>
      </c>
      <c r="G13" s="40" t="s">
        <v>48</v>
      </c>
      <c r="H13" s="55" t="s">
        <v>36</v>
      </c>
      <c r="I13" s="43" t="s">
        <v>478</v>
      </c>
      <c r="J13" s="56">
        <v>14075.0</v>
      </c>
    </row>
    <row r="14" ht="60.0" customHeight="1">
      <c r="A14" s="40">
        <v>11.0</v>
      </c>
      <c r="B14" s="41" t="s">
        <v>85</v>
      </c>
      <c r="C14" s="41" t="s">
        <v>86</v>
      </c>
      <c r="D14" s="41" t="s">
        <v>87</v>
      </c>
      <c r="E14" s="41" t="s">
        <v>88</v>
      </c>
      <c r="F14" s="40" t="str">
        <f t="shared" si="1"/>
        <v>WRONG</v>
      </c>
      <c r="G14" s="40" t="s">
        <v>42</v>
      </c>
      <c r="H14" s="55" t="s">
        <v>48</v>
      </c>
      <c r="I14" s="43" t="s">
        <v>479</v>
      </c>
      <c r="J14" s="56">
        <v>30903.0</v>
      </c>
    </row>
    <row r="15" ht="60.0" customHeight="1">
      <c r="A15" s="40">
        <v>12.0</v>
      </c>
      <c r="B15" s="41" t="s">
        <v>90</v>
      </c>
      <c r="C15" s="41" t="s">
        <v>91</v>
      </c>
      <c r="D15" s="41" t="s">
        <v>92</v>
      </c>
      <c r="E15" s="41" t="s">
        <v>93</v>
      </c>
      <c r="F15" s="40" t="str">
        <f t="shared" si="1"/>
        <v>CORRECT</v>
      </c>
      <c r="G15" s="40" t="s">
        <v>48</v>
      </c>
      <c r="H15" s="55" t="s">
        <v>48</v>
      </c>
      <c r="I15" s="43" t="s">
        <v>480</v>
      </c>
      <c r="J15" s="56">
        <v>73763.0</v>
      </c>
    </row>
    <row r="16" ht="60.0" customHeight="1">
      <c r="A16" s="40">
        <v>13.0</v>
      </c>
      <c r="B16" s="41" t="s">
        <v>95</v>
      </c>
      <c r="C16" s="41" t="s">
        <v>96</v>
      </c>
      <c r="D16" s="41" t="s">
        <v>97</v>
      </c>
      <c r="E16" s="41" t="s">
        <v>98</v>
      </c>
      <c r="F16" s="40" t="str">
        <f t="shared" si="1"/>
        <v>WRONG</v>
      </c>
      <c r="G16" s="40" t="s">
        <v>36</v>
      </c>
      <c r="H16" s="55" t="s">
        <v>48</v>
      </c>
      <c r="I16" s="43" t="s">
        <v>481</v>
      </c>
      <c r="J16" s="56">
        <v>33121.0</v>
      </c>
    </row>
    <row r="17" ht="60.0" customHeight="1">
      <c r="A17" s="40">
        <v>14.0</v>
      </c>
      <c r="B17" s="41" t="s">
        <v>100</v>
      </c>
      <c r="C17" s="41" t="s">
        <v>101</v>
      </c>
      <c r="D17" s="41" t="s">
        <v>102</v>
      </c>
      <c r="E17" s="41" t="s">
        <v>103</v>
      </c>
      <c r="F17" s="40" t="str">
        <f t="shared" si="1"/>
        <v>WRONG</v>
      </c>
      <c r="G17" s="40" t="s">
        <v>36</v>
      </c>
      <c r="H17" s="55" t="s">
        <v>48</v>
      </c>
      <c r="I17" s="57" t="s">
        <v>482</v>
      </c>
      <c r="J17" s="56">
        <v>29509.0</v>
      </c>
    </row>
    <row r="18" ht="60.0" customHeight="1">
      <c r="A18" s="40">
        <v>15.0</v>
      </c>
      <c r="B18" s="41" t="s">
        <v>105</v>
      </c>
      <c r="C18" s="41" t="s">
        <v>106</v>
      </c>
      <c r="D18" s="41" t="s">
        <v>107</v>
      </c>
      <c r="E18" s="41" t="s">
        <v>108</v>
      </c>
      <c r="F18" s="40" t="str">
        <f t="shared" si="1"/>
        <v>CORRECT</v>
      </c>
      <c r="G18" s="40" t="s">
        <v>48</v>
      </c>
      <c r="H18" s="55" t="s">
        <v>48</v>
      </c>
      <c r="I18" s="57" t="s">
        <v>483</v>
      </c>
      <c r="J18" s="56">
        <v>9451.0</v>
      </c>
    </row>
    <row r="19" ht="60.0" customHeight="1">
      <c r="A19" s="40">
        <v>16.0</v>
      </c>
      <c r="B19" s="41" t="s">
        <v>110</v>
      </c>
      <c r="C19" s="41" t="s">
        <v>111</v>
      </c>
      <c r="D19" s="41" t="s">
        <v>112</v>
      </c>
      <c r="E19" s="41" t="s">
        <v>113</v>
      </c>
      <c r="F19" s="40" t="str">
        <f t="shared" si="1"/>
        <v>CORRECT</v>
      </c>
      <c r="G19" s="40" t="s">
        <v>48</v>
      </c>
      <c r="H19" s="55" t="s">
        <v>48</v>
      </c>
      <c r="I19" s="43" t="s">
        <v>484</v>
      </c>
      <c r="J19" s="56">
        <v>42828.0</v>
      </c>
    </row>
    <row r="20" ht="60.0" customHeight="1">
      <c r="A20" s="40">
        <v>17.0</v>
      </c>
      <c r="B20" s="41" t="s">
        <v>115</v>
      </c>
      <c r="C20" s="41" t="s">
        <v>116</v>
      </c>
      <c r="D20" s="41" t="s">
        <v>117</v>
      </c>
      <c r="E20" s="41" t="s">
        <v>118</v>
      </c>
      <c r="F20" s="40" t="str">
        <f t="shared" si="1"/>
        <v>WRONG</v>
      </c>
      <c r="G20" s="40" t="s">
        <v>42</v>
      </c>
      <c r="H20" s="55" t="s">
        <v>36</v>
      </c>
      <c r="I20" s="43" t="s">
        <v>485</v>
      </c>
      <c r="J20" s="56">
        <v>20062.0</v>
      </c>
    </row>
    <row r="21" ht="60.0" customHeight="1">
      <c r="A21" s="40">
        <v>18.0</v>
      </c>
      <c r="B21" s="41" t="s">
        <v>120</v>
      </c>
      <c r="C21" s="41" t="s">
        <v>121</v>
      </c>
      <c r="D21" s="41" t="s">
        <v>122</v>
      </c>
      <c r="E21" s="41" t="s">
        <v>123</v>
      </c>
      <c r="F21" s="40" t="str">
        <f t="shared" si="1"/>
        <v>CORRECT</v>
      </c>
      <c r="G21" s="40" t="s">
        <v>42</v>
      </c>
      <c r="H21" s="55" t="s">
        <v>42</v>
      </c>
      <c r="I21" s="43" t="s">
        <v>486</v>
      </c>
      <c r="J21" s="56">
        <v>44700.0</v>
      </c>
    </row>
    <row r="22" ht="60.0" customHeight="1">
      <c r="A22" s="40">
        <v>19.0</v>
      </c>
      <c r="B22" s="41" t="s">
        <v>125</v>
      </c>
      <c r="C22" s="41" t="s">
        <v>126</v>
      </c>
      <c r="D22" s="41" t="s">
        <v>127</v>
      </c>
      <c r="E22" s="41" t="s">
        <v>128</v>
      </c>
      <c r="F22" s="40" t="str">
        <f t="shared" si="1"/>
        <v>WRONG</v>
      </c>
      <c r="G22" s="40" t="s">
        <v>36</v>
      </c>
      <c r="H22" s="55" t="s">
        <v>42</v>
      </c>
      <c r="I22" s="43" t="s">
        <v>487</v>
      </c>
      <c r="J22" s="56">
        <v>34770.0</v>
      </c>
    </row>
    <row r="23" ht="60.0" customHeight="1">
      <c r="A23" s="40">
        <v>20.0</v>
      </c>
      <c r="B23" s="41" t="s">
        <v>130</v>
      </c>
      <c r="C23" s="41" t="s">
        <v>131</v>
      </c>
      <c r="D23" s="41" t="s">
        <v>132</v>
      </c>
      <c r="E23" s="41" t="s">
        <v>133</v>
      </c>
      <c r="F23" s="40" t="str">
        <f t="shared" si="1"/>
        <v>WRONG</v>
      </c>
      <c r="G23" s="40" t="s">
        <v>42</v>
      </c>
      <c r="H23" s="55" t="s">
        <v>36</v>
      </c>
      <c r="I23" s="43" t="s">
        <v>488</v>
      </c>
      <c r="J23" s="56">
        <v>27260.0</v>
      </c>
    </row>
    <row r="24" ht="60.0" customHeight="1">
      <c r="A24" s="40">
        <v>21.0</v>
      </c>
      <c r="B24" s="41" t="s">
        <v>135</v>
      </c>
      <c r="C24" s="41" t="s">
        <v>136</v>
      </c>
      <c r="D24" s="41" t="s">
        <v>137</v>
      </c>
      <c r="E24" s="41" t="s">
        <v>138</v>
      </c>
      <c r="F24" s="40" t="str">
        <f t="shared" si="1"/>
        <v>WRONG</v>
      </c>
      <c r="G24" s="40" t="s">
        <v>42</v>
      </c>
      <c r="H24" s="55" t="s">
        <v>36</v>
      </c>
      <c r="I24" s="43" t="s">
        <v>489</v>
      </c>
      <c r="J24" s="56">
        <v>36384.0</v>
      </c>
    </row>
    <row r="25" ht="60.0" customHeight="1">
      <c r="A25" s="40">
        <v>22.0</v>
      </c>
      <c r="B25" s="41" t="s">
        <v>140</v>
      </c>
      <c r="C25" s="41" t="s">
        <v>141</v>
      </c>
      <c r="D25" s="41" t="s">
        <v>142</v>
      </c>
      <c r="E25" s="41" t="s">
        <v>143</v>
      </c>
      <c r="F25" s="40" t="str">
        <f t="shared" si="1"/>
        <v>WRONG</v>
      </c>
      <c r="G25" s="40" t="s">
        <v>42</v>
      </c>
      <c r="H25" s="55" t="s">
        <v>36</v>
      </c>
      <c r="I25" s="43" t="s">
        <v>490</v>
      </c>
      <c r="J25" s="56">
        <v>24993.0</v>
      </c>
    </row>
    <row r="26" ht="60.0" customHeight="1">
      <c r="A26" s="40">
        <v>23.0</v>
      </c>
      <c r="B26" s="41" t="s">
        <v>145</v>
      </c>
      <c r="C26" s="41" t="s">
        <v>146</v>
      </c>
      <c r="D26" s="41" t="s">
        <v>147</v>
      </c>
      <c r="E26" s="41" t="s">
        <v>148</v>
      </c>
      <c r="F26" s="40" t="str">
        <f t="shared" si="1"/>
        <v>CORRECT</v>
      </c>
      <c r="G26" s="40" t="s">
        <v>48</v>
      </c>
      <c r="H26" s="56" t="s">
        <v>48</v>
      </c>
      <c r="I26" s="43" t="s">
        <v>491</v>
      </c>
      <c r="J26" s="56">
        <v>25730.0</v>
      </c>
    </row>
    <row r="27" ht="60.0" customHeight="1">
      <c r="A27" s="40">
        <v>24.0</v>
      </c>
      <c r="B27" s="41" t="s">
        <v>150</v>
      </c>
      <c r="C27" s="41" t="s">
        <v>151</v>
      </c>
      <c r="D27" s="41" t="s">
        <v>152</v>
      </c>
      <c r="E27" s="41" t="s">
        <v>153</v>
      </c>
      <c r="F27" s="40" t="str">
        <f t="shared" si="1"/>
        <v>CORRECT</v>
      </c>
      <c r="G27" s="40" t="s">
        <v>36</v>
      </c>
      <c r="H27" s="55" t="s">
        <v>36</v>
      </c>
      <c r="I27" s="43" t="s">
        <v>492</v>
      </c>
      <c r="J27" s="56">
        <v>28005.0</v>
      </c>
    </row>
    <row r="28" ht="60.0" customHeight="1">
      <c r="A28" s="40">
        <v>25.0</v>
      </c>
      <c r="B28" s="41" t="s">
        <v>155</v>
      </c>
      <c r="C28" s="41" t="s">
        <v>151</v>
      </c>
      <c r="D28" s="41" t="s">
        <v>156</v>
      </c>
      <c r="E28" s="41" t="s">
        <v>153</v>
      </c>
      <c r="F28" s="40" t="str">
        <f t="shared" si="1"/>
        <v>CORRECT</v>
      </c>
      <c r="G28" s="40" t="s">
        <v>48</v>
      </c>
      <c r="H28" s="55" t="s">
        <v>48</v>
      </c>
      <c r="I28" s="43" t="s">
        <v>493</v>
      </c>
      <c r="J28" s="56">
        <v>31126.0</v>
      </c>
    </row>
    <row r="29" ht="60.0" customHeight="1">
      <c r="A29" s="40">
        <v>26.0</v>
      </c>
      <c r="B29" s="41" t="s">
        <v>158</v>
      </c>
      <c r="C29" s="41" t="s">
        <v>159</v>
      </c>
      <c r="D29" s="41" t="s">
        <v>160</v>
      </c>
      <c r="E29" s="41" t="s">
        <v>161</v>
      </c>
      <c r="F29" s="40" t="str">
        <f t="shared" si="1"/>
        <v>WRONG</v>
      </c>
      <c r="G29" s="40" t="s">
        <v>36</v>
      </c>
      <c r="H29" s="55" t="s">
        <v>48</v>
      </c>
      <c r="I29" s="43" t="s">
        <v>494</v>
      </c>
      <c r="J29" s="56">
        <v>24278.0</v>
      </c>
    </row>
    <row r="30" ht="60.0" customHeight="1">
      <c r="A30" s="40">
        <v>27.0</v>
      </c>
      <c r="B30" s="41" t="s">
        <v>163</v>
      </c>
      <c r="C30" s="41" t="s">
        <v>164</v>
      </c>
      <c r="D30" s="41" t="s">
        <v>165</v>
      </c>
      <c r="E30" s="41" t="s">
        <v>166</v>
      </c>
      <c r="F30" s="40" t="str">
        <f t="shared" si="1"/>
        <v>CORRECT</v>
      </c>
      <c r="G30" s="40" t="s">
        <v>42</v>
      </c>
      <c r="H30" s="55" t="s">
        <v>42</v>
      </c>
      <c r="I30" s="43" t="s">
        <v>495</v>
      </c>
      <c r="J30" s="56">
        <v>30940.0</v>
      </c>
    </row>
    <row r="31" ht="60.0" customHeight="1">
      <c r="A31" s="40">
        <v>28.0</v>
      </c>
      <c r="B31" s="41" t="s">
        <v>168</v>
      </c>
      <c r="C31" s="41" t="s">
        <v>169</v>
      </c>
      <c r="D31" s="41" t="s">
        <v>170</v>
      </c>
      <c r="E31" s="41" t="s">
        <v>171</v>
      </c>
      <c r="F31" s="40" t="str">
        <f t="shared" si="1"/>
        <v>WRONG</v>
      </c>
      <c r="G31" s="40" t="s">
        <v>36</v>
      </c>
      <c r="H31" s="55" t="s">
        <v>475</v>
      </c>
      <c r="I31" s="43" t="s">
        <v>496</v>
      </c>
      <c r="J31" s="56">
        <v>18226.0</v>
      </c>
    </row>
    <row r="32" ht="60.0" customHeight="1">
      <c r="A32" s="40">
        <v>29.0</v>
      </c>
      <c r="B32" s="41" t="s">
        <v>173</v>
      </c>
      <c r="C32" s="41" t="s">
        <v>174</v>
      </c>
      <c r="D32" s="41" t="s">
        <v>175</v>
      </c>
      <c r="E32" s="41" t="s">
        <v>176</v>
      </c>
      <c r="F32" s="40" t="str">
        <f t="shared" si="1"/>
        <v>CORRECT</v>
      </c>
      <c r="G32" s="40" t="s">
        <v>42</v>
      </c>
      <c r="H32" s="55" t="s">
        <v>42</v>
      </c>
      <c r="I32" s="43" t="s">
        <v>497</v>
      </c>
      <c r="J32" s="56">
        <v>41263.0</v>
      </c>
    </row>
    <row r="33" ht="60.0" customHeight="1">
      <c r="A33" s="40">
        <v>30.0</v>
      </c>
      <c r="B33" s="41" t="s">
        <v>178</v>
      </c>
      <c r="C33" s="41" t="s">
        <v>179</v>
      </c>
      <c r="D33" s="41" t="s">
        <v>180</v>
      </c>
      <c r="E33" s="41" t="s">
        <v>181</v>
      </c>
      <c r="F33" s="40" t="str">
        <f t="shared" si="1"/>
        <v>WRONG</v>
      </c>
      <c r="G33" s="40" t="s">
        <v>48</v>
      </c>
      <c r="H33" s="55" t="s">
        <v>36</v>
      </c>
      <c r="I33" s="43" t="s">
        <v>498</v>
      </c>
      <c r="J33" s="56">
        <v>37618.0</v>
      </c>
    </row>
    <row r="34" ht="60.0" customHeight="1">
      <c r="A34" s="40">
        <v>31.0</v>
      </c>
      <c r="B34" s="41" t="s">
        <v>183</v>
      </c>
      <c r="C34" s="41" t="s">
        <v>184</v>
      </c>
      <c r="D34" s="41" t="s">
        <v>185</v>
      </c>
      <c r="E34" s="41" t="s">
        <v>186</v>
      </c>
      <c r="F34" s="40" t="str">
        <f t="shared" si="1"/>
        <v>WRONG</v>
      </c>
      <c r="G34" s="40" t="s">
        <v>42</v>
      </c>
      <c r="H34" s="55" t="s">
        <v>36</v>
      </c>
      <c r="I34" s="43" t="s">
        <v>499</v>
      </c>
      <c r="J34" s="56">
        <v>31972.0</v>
      </c>
    </row>
    <row r="35" ht="60.0" customHeight="1">
      <c r="A35" s="40">
        <v>32.0</v>
      </c>
      <c r="B35" s="41" t="s">
        <v>188</v>
      </c>
      <c r="C35" s="41" t="s">
        <v>189</v>
      </c>
      <c r="D35" s="41" t="s">
        <v>190</v>
      </c>
      <c r="E35" s="41" t="s">
        <v>191</v>
      </c>
      <c r="F35" s="40" t="str">
        <f t="shared" si="1"/>
        <v>WRONG</v>
      </c>
      <c r="G35" s="40" t="s">
        <v>36</v>
      </c>
      <c r="H35" s="55" t="s">
        <v>48</v>
      </c>
      <c r="I35" s="43" t="s">
        <v>500</v>
      </c>
      <c r="J35" s="56">
        <v>29627.0</v>
      </c>
    </row>
    <row r="36" ht="60.0" customHeight="1">
      <c r="A36" s="40">
        <v>33.0</v>
      </c>
      <c r="B36" s="41" t="s">
        <v>193</v>
      </c>
      <c r="C36" s="41" t="s">
        <v>194</v>
      </c>
      <c r="D36" s="41" t="s">
        <v>195</v>
      </c>
      <c r="E36" s="41" t="s">
        <v>196</v>
      </c>
      <c r="F36" s="40" t="str">
        <f t="shared" si="1"/>
        <v>WRONG</v>
      </c>
      <c r="G36" s="40" t="s">
        <v>48</v>
      </c>
      <c r="H36" s="55" t="s">
        <v>42</v>
      </c>
      <c r="I36" s="43" t="s">
        <v>501</v>
      </c>
      <c r="J36" s="56">
        <v>18252.0</v>
      </c>
    </row>
    <row r="37" ht="60.0" customHeight="1">
      <c r="A37" s="40">
        <v>34.0</v>
      </c>
      <c r="B37" s="41" t="s">
        <v>198</v>
      </c>
      <c r="C37" s="41" t="s">
        <v>199</v>
      </c>
      <c r="D37" s="41" t="s">
        <v>200</v>
      </c>
      <c r="E37" s="41" t="s">
        <v>201</v>
      </c>
      <c r="F37" s="40" t="str">
        <f t="shared" si="1"/>
        <v>CORRECT</v>
      </c>
      <c r="G37" s="40" t="s">
        <v>36</v>
      </c>
      <c r="H37" s="55" t="s">
        <v>36</v>
      </c>
      <c r="I37" s="43" t="s">
        <v>502</v>
      </c>
      <c r="J37" s="56">
        <v>13219.0</v>
      </c>
    </row>
    <row r="38" ht="60.0" customHeight="1">
      <c r="A38" s="40">
        <v>35.0</v>
      </c>
      <c r="B38" s="41" t="s">
        <v>203</v>
      </c>
      <c r="C38" s="41" t="s">
        <v>204</v>
      </c>
      <c r="D38" s="41" t="s">
        <v>205</v>
      </c>
      <c r="E38" s="41" t="s">
        <v>206</v>
      </c>
      <c r="F38" s="40" t="str">
        <f t="shared" si="1"/>
        <v>CORRECT</v>
      </c>
      <c r="G38" s="40" t="s">
        <v>48</v>
      </c>
      <c r="H38" s="55" t="s">
        <v>48</v>
      </c>
      <c r="I38" s="43" t="s">
        <v>503</v>
      </c>
      <c r="J38" s="56">
        <v>24926.0</v>
      </c>
    </row>
    <row r="39" ht="60.0" customHeight="1">
      <c r="A39" s="40">
        <v>36.0</v>
      </c>
      <c r="B39" s="41" t="s">
        <v>208</v>
      </c>
      <c r="C39" s="41" t="s">
        <v>209</v>
      </c>
      <c r="D39" s="41" t="s">
        <v>210</v>
      </c>
      <c r="E39" s="41" t="s">
        <v>211</v>
      </c>
      <c r="F39" s="40" t="str">
        <f t="shared" si="1"/>
        <v>CORRECT</v>
      </c>
      <c r="G39" s="40" t="s">
        <v>36</v>
      </c>
      <c r="H39" s="55" t="s">
        <v>36</v>
      </c>
      <c r="I39" s="43" t="s">
        <v>504</v>
      </c>
      <c r="J39" s="56">
        <v>23590.0</v>
      </c>
    </row>
    <row r="40" ht="60.0" customHeight="1">
      <c r="A40" s="40">
        <v>37.0</v>
      </c>
      <c r="B40" s="41" t="s">
        <v>213</v>
      </c>
      <c r="C40" s="41" t="s">
        <v>214</v>
      </c>
      <c r="D40" s="41" t="s">
        <v>215</v>
      </c>
      <c r="E40" s="41" t="s">
        <v>216</v>
      </c>
      <c r="F40" s="40" t="str">
        <f t="shared" si="1"/>
        <v>CORRECT</v>
      </c>
      <c r="G40" s="40" t="s">
        <v>36</v>
      </c>
      <c r="H40" s="55" t="s">
        <v>36</v>
      </c>
      <c r="I40" s="43" t="s">
        <v>505</v>
      </c>
      <c r="J40" s="56">
        <v>29769.0</v>
      </c>
    </row>
    <row r="41" ht="60.0" customHeight="1">
      <c r="A41" s="40">
        <v>38.0</v>
      </c>
      <c r="B41" s="41" t="s">
        <v>218</v>
      </c>
      <c r="C41" s="41" t="s">
        <v>219</v>
      </c>
      <c r="D41" s="41" t="s">
        <v>220</v>
      </c>
      <c r="E41" s="41" t="s">
        <v>221</v>
      </c>
      <c r="F41" s="40" t="str">
        <f t="shared" si="1"/>
        <v>CORRECT</v>
      </c>
      <c r="G41" s="40" t="s">
        <v>36</v>
      </c>
      <c r="H41" s="56" t="s">
        <v>36</v>
      </c>
      <c r="I41" s="43" t="s">
        <v>506</v>
      </c>
      <c r="J41" s="56">
        <v>29190.0</v>
      </c>
    </row>
    <row r="42" ht="60.0" customHeight="1">
      <c r="A42" s="40">
        <v>39.0</v>
      </c>
      <c r="B42" s="41" t="s">
        <v>223</v>
      </c>
      <c r="C42" s="41" t="s">
        <v>224</v>
      </c>
      <c r="D42" s="41" t="s">
        <v>225</v>
      </c>
      <c r="E42" s="41" t="s">
        <v>226</v>
      </c>
      <c r="F42" s="40" t="str">
        <f t="shared" si="1"/>
        <v>WRONG</v>
      </c>
      <c r="G42" s="40" t="s">
        <v>42</v>
      </c>
      <c r="H42" s="55" t="s">
        <v>468</v>
      </c>
      <c r="I42" s="43" t="s">
        <v>507</v>
      </c>
      <c r="J42" s="56">
        <v>6652.0</v>
      </c>
    </row>
    <row r="43" ht="60.0" customHeight="1">
      <c r="A43" s="40">
        <v>40.0</v>
      </c>
      <c r="B43" s="41" t="s">
        <v>228</v>
      </c>
      <c r="C43" s="41" t="s">
        <v>229</v>
      </c>
      <c r="D43" s="41" t="s">
        <v>230</v>
      </c>
      <c r="E43" s="41" t="s">
        <v>231</v>
      </c>
      <c r="F43" s="40" t="str">
        <f t="shared" si="1"/>
        <v>WRONG</v>
      </c>
      <c r="G43" s="40" t="s">
        <v>48</v>
      </c>
      <c r="H43" s="55" t="s">
        <v>42</v>
      </c>
      <c r="I43" s="43" t="s">
        <v>508</v>
      </c>
      <c r="J43" s="56">
        <v>31085.0</v>
      </c>
    </row>
    <row r="44" ht="60.0" customHeight="1">
      <c r="A44" s="40">
        <v>41.0</v>
      </c>
      <c r="B44" s="41" t="s">
        <v>233</v>
      </c>
      <c r="C44" s="41" t="s">
        <v>234</v>
      </c>
      <c r="D44" s="41" t="s">
        <v>235</v>
      </c>
      <c r="E44" s="41" t="s">
        <v>236</v>
      </c>
      <c r="F44" s="40" t="str">
        <f t="shared" si="1"/>
        <v>CORRECT</v>
      </c>
      <c r="G44" s="40" t="s">
        <v>42</v>
      </c>
      <c r="H44" s="55" t="s">
        <v>42</v>
      </c>
      <c r="I44" s="43" t="s">
        <v>509</v>
      </c>
      <c r="J44" s="56">
        <v>19020.0</v>
      </c>
    </row>
    <row r="45" ht="60.0" customHeight="1">
      <c r="A45" s="40">
        <v>42.0</v>
      </c>
      <c r="B45" s="41" t="s">
        <v>238</v>
      </c>
      <c r="C45" s="41" t="s">
        <v>239</v>
      </c>
      <c r="D45" s="41" t="s">
        <v>240</v>
      </c>
      <c r="E45" s="41" t="s">
        <v>241</v>
      </c>
      <c r="F45" s="40" t="str">
        <f t="shared" si="1"/>
        <v>WRONG</v>
      </c>
      <c r="G45" s="40" t="s">
        <v>36</v>
      </c>
      <c r="H45" s="55" t="s">
        <v>42</v>
      </c>
      <c r="I45" s="43" t="s">
        <v>510</v>
      </c>
      <c r="J45" s="56">
        <v>14762.0</v>
      </c>
    </row>
    <row r="46" ht="60.0" customHeight="1">
      <c r="A46" s="40">
        <v>43.0</v>
      </c>
      <c r="B46" s="41" t="s">
        <v>243</v>
      </c>
      <c r="C46" s="41" t="s">
        <v>244</v>
      </c>
      <c r="D46" s="41" t="s">
        <v>245</v>
      </c>
      <c r="E46" s="41" t="s">
        <v>246</v>
      </c>
      <c r="F46" s="40" t="str">
        <f t="shared" si="1"/>
        <v>WRONG</v>
      </c>
      <c r="G46" s="40" t="s">
        <v>48</v>
      </c>
      <c r="H46" s="55" t="s">
        <v>36</v>
      </c>
      <c r="I46" s="43" t="s">
        <v>511</v>
      </c>
      <c r="J46" s="56">
        <v>27529.0</v>
      </c>
    </row>
    <row r="47" ht="60.0" customHeight="1">
      <c r="A47" s="40">
        <v>44.0</v>
      </c>
      <c r="B47" s="41" t="s">
        <v>248</v>
      </c>
      <c r="C47" s="41" t="s">
        <v>249</v>
      </c>
      <c r="D47" s="41" t="s">
        <v>250</v>
      </c>
      <c r="E47" s="41" t="s">
        <v>251</v>
      </c>
      <c r="F47" s="40" t="str">
        <f t="shared" si="1"/>
        <v>CORRECT</v>
      </c>
      <c r="G47" s="40" t="s">
        <v>36</v>
      </c>
      <c r="H47" s="55" t="s">
        <v>36</v>
      </c>
      <c r="I47" s="43" t="s">
        <v>512</v>
      </c>
      <c r="J47" s="56">
        <v>59243.0</v>
      </c>
    </row>
    <row r="48" ht="60.0" customHeight="1">
      <c r="A48" s="40">
        <v>45.0</v>
      </c>
      <c r="B48" s="41" t="s">
        <v>253</v>
      </c>
      <c r="C48" s="41" t="s">
        <v>254</v>
      </c>
      <c r="D48" s="41" t="s">
        <v>255</v>
      </c>
      <c r="E48" s="41" t="s">
        <v>256</v>
      </c>
      <c r="F48" s="40" t="str">
        <f t="shared" si="1"/>
        <v>WRONG</v>
      </c>
      <c r="G48" s="40" t="s">
        <v>36</v>
      </c>
      <c r="H48" s="55" t="s">
        <v>48</v>
      </c>
      <c r="I48" s="43" t="s">
        <v>513</v>
      </c>
      <c r="J48" s="56">
        <v>22863.0</v>
      </c>
    </row>
    <row r="49" ht="60.0" customHeight="1">
      <c r="A49" s="40">
        <v>46.0</v>
      </c>
      <c r="B49" s="41" t="s">
        <v>258</v>
      </c>
      <c r="C49" s="41" t="s">
        <v>39</v>
      </c>
      <c r="D49" s="41" t="s">
        <v>259</v>
      </c>
      <c r="E49" s="41" t="s">
        <v>260</v>
      </c>
      <c r="F49" s="40" t="str">
        <f t="shared" si="1"/>
        <v>CORRECT</v>
      </c>
      <c r="G49" s="40" t="s">
        <v>36</v>
      </c>
      <c r="H49" s="55" t="s">
        <v>36</v>
      </c>
      <c r="I49" s="57" t="s">
        <v>514</v>
      </c>
      <c r="J49" s="56">
        <v>30141.0</v>
      </c>
    </row>
    <row r="50">
      <c r="A50" s="45" t="s">
        <v>262</v>
      </c>
      <c r="B50" s="2"/>
      <c r="C50" s="2"/>
      <c r="D50" s="2"/>
      <c r="E50" s="3"/>
      <c r="F50" s="46">
        <f>COUNTIFS(F4:F49,"CORRECT")</f>
        <v>20</v>
      </c>
      <c r="G50" s="47"/>
      <c r="H50" s="47"/>
      <c r="J50" s="48">
        <f>AVERAGE(J4:J49)</f>
        <v>30642.6087</v>
      </c>
    </row>
    <row r="51">
      <c r="A51" s="49" t="s">
        <v>263</v>
      </c>
      <c r="B51" s="2"/>
      <c r="C51" s="2"/>
      <c r="D51" s="2"/>
      <c r="E51" s="3"/>
      <c r="F51" s="50">
        <v>46.0</v>
      </c>
      <c r="G51" s="47"/>
      <c r="H51" s="47"/>
    </row>
    <row r="52">
      <c r="A52" s="45" t="s">
        <v>264</v>
      </c>
      <c r="B52" s="2"/>
      <c r="C52" s="2"/>
      <c r="D52" s="2"/>
      <c r="E52" s="3"/>
      <c r="F52" s="51">
        <f>F50/F51</f>
        <v>0.4347826087</v>
      </c>
      <c r="G52" s="47"/>
      <c r="H52" s="47"/>
    </row>
    <row r="53">
      <c r="A53" s="47"/>
      <c r="B53" s="52"/>
      <c r="C53" s="52"/>
      <c r="D53" s="52"/>
      <c r="E53" s="52"/>
      <c r="F53" s="47"/>
      <c r="G53" s="47"/>
      <c r="H53" s="47"/>
    </row>
    <row r="54">
      <c r="A54" s="47"/>
      <c r="B54" s="52"/>
      <c r="C54" s="52"/>
      <c r="D54" s="52"/>
      <c r="E54" s="52"/>
      <c r="F54" s="47"/>
      <c r="G54" s="47"/>
      <c r="H54" s="47"/>
    </row>
    <row r="55">
      <c r="A55" s="47"/>
      <c r="B55" s="52"/>
      <c r="C55" s="52"/>
      <c r="D55" s="52"/>
      <c r="E55" s="52"/>
      <c r="F55" s="47"/>
      <c r="G55" s="47"/>
      <c r="H55" s="47"/>
    </row>
    <row r="56">
      <c r="A56" s="47"/>
      <c r="B56" s="52"/>
      <c r="C56" s="52"/>
      <c r="D56" s="52"/>
      <c r="E56" s="52"/>
      <c r="F56" s="47"/>
      <c r="G56" s="47"/>
      <c r="H56" s="47"/>
    </row>
    <row r="57">
      <c r="A57" s="47"/>
      <c r="B57" s="52"/>
      <c r="C57" s="52"/>
      <c r="D57" s="52"/>
      <c r="E57" s="52"/>
      <c r="F57" s="47"/>
      <c r="G57" s="47"/>
      <c r="H57" s="47"/>
    </row>
    <row r="58">
      <c r="A58" s="47"/>
      <c r="B58" s="52"/>
      <c r="C58" s="52"/>
      <c r="D58" s="52"/>
      <c r="E58" s="52"/>
      <c r="F58" s="47"/>
      <c r="G58" s="47"/>
      <c r="H58" s="47"/>
    </row>
    <row r="59">
      <c r="A59" s="47"/>
      <c r="B59" s="52"/>
      <c r="C59" s="52"/>
      <c r="D59" s="52"/>
      <c r="E59" s="52"/>
      <c r="F59" s="47"/>
      <c r="G59" s="47"/>
      <c r="H59" s="47"/>
    </row>
    <row r="60">
      <c r="A60" s="47"/>
      <c r="B60" s="52"/>
      <c r="C60" s="52"/>
      <c r="D60" s="52"/>
      <c r="E60" s="52"/>
      <c r="F60" s="47"/>
      <c r="G60" s="47"/>
      <c r="H60" s="47"/>
    </row>
    <row r="61">
      <c r="A61" s="47"/>
      <c r="B61" s="52"/>
      <c r="C61" s="52"/>
      <c r="D61" s="52"/>
      <c r="E61" s="52"/>
      <c r="F61" s="47"/>
      <c r="G61" s="47"/>
      <c r="H61" s="47"/>
    </row>
    <row r="62">
      <c r="A62" s="47"/>
      <c r="B62" s="52"/>
      <c r="C62" s="52"/>
      <c r="D62" s="52"/>
      <c r="E62" s="52"/>
      <c r="F62" s="47"/>
      <c r="G62" s="47"/>
      <c r="H62" s="47"/>
    </row>
    <row r="63">
      <c r="A63" s="47"/>
      <c r="B63" s="52"/>
      <c r="C63" s="52"/>
      <c r="D63" s="52"/>
      <c r="E63" s="52"/>
      <c r="F63" s="47"/>
      <c r="G63" s="47"/>
      <c r="H63" s="47"/>
    </row>
    <row r="64">
      <c r="A64" s="47"/>
      <c r="B64" s="52"/>
      <c r="C64" s="52"/>
      <c r="D64" s="52"/>
      <c r="E64" s="52"/>
      <c r="F64" s="47"/>
      <c r="G64" s="47"/>
      <c r="H64" s="47"/>
    </row>
    <row r="65">
      <c r="A65" s="47"/>
      <c r="B65" s="52"/>
      <c r="C65" s="52"/>
      <c r="D65" s="52"/>
      <c r="E65" s="52"/>
      <c r="F65" s="47"/>
      <c r="G65" s="47"/>
      <c r="H65" s="47"/>
    </row>
    <row r="66">
      <c r="A66" s="47"/>
      <c r="B66" s="52"/>
      <c r="C66" s="52"/>
      <c r="D66" s="52"/>
      <c r="E66" s="52"/>
      <c r="F66" s="47"/>
      <c r="G66" s="47"/>
      <c r="H66" s="47"/>
    </row>
    <row r="67">
      <c r="A67" s="47"/>
      <c r="B67" s="52"/>
      <c r="C67" s="52"/>
      <c r="D67" s="52"/>
      <c r="E67" s="52"/>
      <c r="F67" s="47"/>
      <c r="G67" s="47"/>
      <c r="H67" s="47"/>
    </row>
    <row r="68">
      <c r="A68" s="47"/>
      <c r="B68" s="52"/>
      <c r="C68" s="52"/>
      <c r="D68" s="52"/>
      <c r="E68" s="52"/>
      <c r="F68" s="47"/>
      <c r="G68" s="47"/>
      <c r="H68" s="47"/>
    </row>
    <row r="69">
      <c r="A69" s="47"/>
      <c r="B69" s="52"/>
      <c r="C69" s="52"/>
      <c r="D69" s="52"/>
      <c r="E69" s="52"/>
      <c r="F69" s="47"/>
      <c r="G69" s="47"/>
      <c r="H69" s="47"/>
    </row>
    <row r="70">
      <c r="A70" s="47"/>
      <c r="B70" s="52"/>
      <c r="C70" s="52"/>
      <c r="D70" s="52"/>
      <c r="E70" s="52"/>
      <c r="F70" s="47"/>
      <c r="G70" s="47"/>
      <c r="H70" s="47"/>
    </row>
    <row r="71">
      <c r="A71" s="47"/>
      <c r="B71" s="52"/>
      <c r="C71" s="52"/>
      <c r="D71" s="52"/>
      <c r="E71" s="52"/>
      <c r="F71" s="47"/>
      <c r="G71" s="47"/>
      <c r="H71" s="47"/>
    </row>
    <row r="72">
      <c r="A72" s="47"/>
      <c r="B72" s="52"/>
      <c r="C72" s="52"/>
      <c r="D72" s="52"/>
      <c r="E72" s="52"/>
      <c r="F72" s="47"/>
      <c r="G72" s="47"/>
      <c r="H72" s="47"/>
    </row>
    <row r="73">
      <c r="A73" s="47"/>
      <c r="B73" s="52"/>
      <c r="C73" s="52"/>
      <c r="D73" s="52"/>
      <c r="E73" s="52"/>
      <c r="F73" s="47"/>
      <c r="G73" s="47"/>
      <c r="H73" s="47"/>
    </row>
    <row r="74">
      <c r="A74" s="47"/>
      <c r="B74" s="52"/>
      <c r="C74" s="52"/>
      <c r="D74" s="52"/>
      <c r="E74" s="52"/>
      <c r="F74" s="47"/>
      <c r="G74" s="47"/>
      <c r="H74" s="47"/>
    </row>
    <row r="75">
      <c r="A75" s="47"/>
      <c r="B75" s="52"/>
      <c r="C75" s="52"/>
      <c r="D75" s="52"/>
      <c r="E75" s="52"/>
      <c r="F75" s="47"/>
      <c r="G75" s="47"/>
      <c r="H75" s="47"/>
    </row>
    <row r="76">
      <c r="A76" s="47"/>
      <c r="B76" s="52"/>
      <c r="C76" s="52"/>
      <c r="D76" s="52"/>
      <c r="E76" s="52"/>
      <c r="F76" s="47"/>
      <c r="G76" s="47"/>
      <c r="H76" s="47"/>
    </row>
    <row r="77">
      <c r="A77" s="47"/>
      <c r="B77" s="52"/>
      <c r="C77" s="52"/>
      <c r="D77" s="52"/>
      <c r="E77" s="52"/>
      <c r="F77" s="47"/>
      <c r="G77" s="47"/>
      <c r="H77" s="47"/>
    </row>
    <row r="78">
      <c r="A78" s="47"/>
      <c r="B78" s="52"/>
      <c r="C78" s="52"/>
      <c r="D78" s="52"/>
      <c r="E78" s="52"/>
      <c r="F78" s="47"/>
      <c r="G78" s="47"/>
      <c r="H78" s="47"/>
    </row>
    <row r="79">
      <c r="A79" s="47"/>
      <c r="B79" s="52"/>
      <c r="C79" s="52"/>
      <c r="D79" s="52"/>
      <c r="E79" s="52"/>
      <c r="F79" s="47"/>
      <c r="G79" s="47"/>
      <c r="H79" s="47"/>
    </row>
    <row r="80">
      <c r="A80" s="47"/>
      <c r="B80" s="52"/>
      <c r="C80" s="52"/>
      <c r="D80" s="52"/>
      <c r="E80" s="52"/>
      <c r="F80" s="47"/>
      <c r="G80" s="47"/>
      <c r="H80" s="47"/>
    </row>
    <row r="81">
      <c r="A81" s="47"/>
      <c r="B81" s="52"/>
      <c r="C81" s="52"/>
      <c r="D81" s="52"/>
      <c r="E81" s="52"/>
      <c r="F81" s="47"/>
      <c r="G81" s="47"/>
      <c r="H81" s="47"/>
    </row>
    <row r="82">
      <c r="A82" s="47"/>
      <c r="B82" s="52"/>
      <c r="C82" s="52"/>
      <c r="D82" s="52"/>
      <c r="E82" s="52"/>
      <c r="F82" s="47"/>
      <c r="G82" s="47"/>
      <c r="H82" s="47"/>
    </row>
    <row r="83">
      <c r="A83" s="47"/>
      <c r="B83" s="52"/>
      <c r="C83" s="52"/>
      <c r="D83" s="52"/>
      <c r="E83" s="52"/>
      <c r="F83" s="47"/>
      <c r="G83" s="47"/>
      <c r="H83" s="47"/>
    </row>
    <row r="84">
      <c r="A84" s="47"/>
      <c r="B84" s="52"/>
      <c r="C84" s="52"/>
      <c r="D84" s="52"/>
      <c r="E84" s="52"/>
      <c r="F84" s="47"/>
      <c r="G84" s="47"/>
      <c r="H84" s="47"/>
    </row>
    <row r="85">
      <c r="A85" s="47"/>
      <c r="B85" s="52"/>
      <c r="C85" s="52"/>
      <c r="D85" s="52"/>
      <c r="E85" s="52"/>
      <c r="F85" s="47"/>
      <c r="G85" s="47"/>
      <c r="H85" s="47"/>
    </row>
    <row r="86">
      <c r="A86" s="47"/>
      <c r="B86" s="52"/>
      <c r="C86" s="52"/>
      <c r="D86" s="52"/>
      <c r="E86" s="52"/>
      <c r="F86" s="47"/>
      <c r="G86" s="47"/>
      <c r="H86" s="47"/>
    </row>
    <row r="87">
      <c r="A87" s="47"/>
      <c r="B87" s="52"/>
      <c r="C87" s="52"/>
      <c r="D87" s="52"/>
      <c r="E87" s="52"/>
      <c r="F87" s="47"/>
      <c r="G87" s="47"/>
      <c r="H87" s="47"/>
    </row>
    <row r="88">
      <c r="A88" s="47"/>
      <c r="B88" s="52"/>
      <c r="C88" s="52"/>
      <c r="D88" s="52"/>
      <c r="E88" s="52"/>
      <c r="F88" s="47"/>
      <c r="G88" s="47"/>
      <c r="H88" s="47"/>
    </row>
    <row r="89">
      <c r="A89" s="47"/>
      <c r="B89" s="52"/>
      <c r="C89" s="52"/>
      <c r="D89" s="52"/>
      <c r="E89" s="52"/>
      <c r="F89" s="47"/>
      <c r="G89" s="47"/>
      <c r="H89" s="47"/>
    </row>
    <row r="90">
      <c r="A90" s="47"/>
      <c r="B90" s="52"/>
      <c r="C90" s="52"/>
      <c r="D90" s="52"/>
      <c r="E90" s="52"/>
      <c r="F90" s="47"/>
      <c r="G90" s="47"/>
      <c r="H90" s="47"/>
    </row>
    <row r="91">
      <c r="A91" s="47"/>
      <c r="B91" s="52"/>
      <c r="C91" s="52"/>
      <c r="D91" s="52"/>
      <c r="E91" s="52"/>
      <c r="F91" s="47"/>
      <c r="G91" s="47"/>
      <c r="H91" s="47"/>
    </row>
    <row r="92">
      <c r="A92" s="47"/>
      <c r="B92" s="52"/>
      <c r="C92" s="52"/>
      <c r="D92" s="52"/>
      <c r="E92" s="52"/>
      <c r="F92" s="47"/>
      <c r="G92" s="47"/>
      <c r="H92" s="47"/>
    </row>
    <row r="93">
      <c r="A93" s="47"/>
      <c r="B93" s="52"/>
      <c r="C93" s="52"/>
      <c r="D93" s="52"/>
      <c r="E93" s="52"/>
      <c r="F93" s="47"/>
      <c r="G93" s="47"/>
      <c r="H93" s="47"/>
    </row>
    <row r="94">
      <c r="A94" s="47"/>
      <c r="B94" s="52"/>
      <c r="C94" s="52"/>
      <c r="D94" s="52"/>
      <c r="E94" s="52"/>
      <c r="F94" s="47"/>
      <c r="G94" s="47"/>
      <c r="H94" s="47"/>
    </row>
    <row r="95">
      <c r="A95" s="47"/>
      <c r="B95" s="52"/>
      <c r="C95" s="52"/>
      <c r="D95" s="52"/>
      <c r="E95" s="52"/>
      <c r="F95" s="47"/>
      <c r="G95" s="47"/>
      <c r="H95" s="47"/>
    </row>
    <row r="96">
      <c r="A96" s="47"/>
      <c r="B96" s="52"/>
      <c r="C96" s="52"/>
      <c r="D96" s="52"/>
      <c r="E96" s="52"/>
      <c r="F96" s="47"/>
      <c r="G96" s="47"/>
      <c r="H96" s="47"/>
    </row>
    <row r="97">
      <c r="A97" s="47"/>
      <c r="B97" s="52"/>
      <c r="C97" s="52"/>
      <c r="D97" s="52"/>
      <c r="E97" s="52"/>
      <c r="F97" s="47"/>
      <c r="G97" s="47"/>
      <c r="H97" s="47"/>
    </row>
    <row r="98">
      <c r="A98" s="47"/>
      <c r="B98" s="52"/>
      <c r="C98" s="52"/>
      <c r="D98" s="52"/>
      <c r="E98" s="52"/>
      <c r="F98" s="47"/>
      <c r="G98" s="47"/>
      <c r="H98" s="47"/>
    </row>
    <row r="99">
      <c r="A99" s="47"/>
      <c r="B99" s="52"/>
      <c r="C99" s="52"/>
      <c r="D99" s="52"/>
      <c r="E99" s="52"/>
      <c r="F99" s="47"/>
      <c r="G99" s="47"/>
      <c r="H99" s="47"/>
    </row>
    <row r="100">
      <c r="A100" s="47"/>
      <c r="B100" s="52"/>
      <c r="C100" s="52"/>
      <c r="D100" s="52"/>
      <c r="E100" s="52"/>
      <c r="F100" s="47"/>
      <c r="G100" s="47"/>
      <c r="H100" s="47"/>
    </row>
    <row r="101">
      <c r="A101" s="47"/>
      <c r="B101" s="52"/>
      <c r="C101" s="52"/>
      <c r="D101" s="52"/>
      <c r="E101" s="52"/>
      <c r="F101" s="47"/>
      <c r="G101" s="47"/>
      <c r="H101" s="47"/>
    </row>
    <row r="102">
      <c r="A102" s="47"/>
      <c r="B102" s="52"/>
      <c r="C102" s="52"/>
      <c r="D102" s="52"/>
      <c r="E102" s="52"/>
      <c r="F102" s="47"/>
      <c r="G102" s="47"/>
      <c r="H102" s="47"/>
    </row>
    <row r="103">
      <c r="A103" s="47"/>
      <c r="B103" s="52"/>
      <c r="C103" s="52"/>
      <c r="D103" s="52"/>
      <c r="E103" s="52"/>
      <c r="F103" s="47"/>
      <c r="G103" s="47"/>
      <c r="H103" s="47"/>
    </row>
    <row r="104">
      <c r="A104" s="47"/>
      <c r="B104" s="52"/>
      <c r="C104" s="52"/>
      <c r="D104" s="52"/>
      <c r="E104" s="52"/>
      <c r="F104" s="47"/>
      <c r="G104" s="47"/>
      <c r="H104" s="47"/>
    </row>
    <row r="105">
      <c r="A105" s="47"/>
      <c r="B105" s="52"/>
      <c r="C105" s="52"/>
      <c r="D105" s="52"/>
      <c r="E105" s="52"/>
      <c r="F105" s="47"/>
      <c r="G105" s="47"/>
      <c r="H105" s="47"/>
    </row>
    <row r="106">
      <c r="A106" s="47"/>
      <c r="B106" s="52"/>
      <c r="C106" s="52"/>
      <c r="D106" s="52"/>
      <c r="E106" s="52"/>
      <c r="F106" s="47"/>
      <c r="G106" s="47"/>
      <c r="H106" s="47"/>
    </row>
    <row r="107">
      <c r="A107" s="47"/>
      <c r="B107" s="52"/>
      <c r="C107" s="52"/>
      <c r="D107" s="52"/>
      <c r="E107" s="52"/>
      <c r="F107" s="47"/>
      <c r="G107" s="47"/>
      <c r="H107" s="47"/>
    </row>
    <row r="108">
      <c r="A108" s="47"/>
      <c r="B108" s="52"/>
      <c r="C108" s="52"/>
      <c r="D108" s="52"/>
      <c r="E108" s="52"/>
      <c r="F108" s="47"/>
      <c r="G108" s="47"/>
      <c r="H108" s="47"/>
    </row>
    <row r="109">
      <c r="A109" s="47"/>
      <c r="B109" s="52"/>
      <c r="C109" s="52"/>
      <c r="D109" s="52"/>
      <c r="E109" s="52"/>
      <c r="F109" s="47"/>
      <c r="G109" s="47"/>
      <c r="H109" s="47"/>
    </row>
    <row r="110">
      <c r="A110" s="47"/>
      <c r="B110" s="52"/>
      <c r="C110" s="52"/>
      <c r="D110" s="52"/>
      <c r="E110" s="52"/>
      <c r="F110" s="47"/>
      <c r="G110" s="47"/>
      <c r="H110" s="47"/>
    </row>
    <row r="111">
      <c r="A111" s="47"/>
      <c r="B111" s="52"/>
      <c r="C111" s="52"/>
      <c r="D111" s="52"/>
      <c r="E111" s="52"/>
      <c r="F111" s="47"/>
      <c r="G111" s="47"/>
      <c r="H111" s="47"/>
    </row>
    <row r="112">
      <c r="A112" s="47"/>
      <c r="B112" s="52"/>
      <c r="C112" s="52"/>
      <c r="D112" s="52"/>
      <c r="E112" s="52"/>
      <c r="F112" s="47"/>
      <c r="G112" s="47"/>
      <c r="H112" s="47"/>
    </row>
    <row r="113">
      <c r="A113" s="47"/>
      <c r="B113" s="52"/>
      <c r="C113" s="52"/>
      <c r="D113" s="52"/>
      <c r="E113" s="52"/>
      <c r="F113" s="47"/>
      <c r="G113" s="47"/>
      <c r="H113" s="47"/>
    </row>
    <row r="114">
      <c r="A114" s="47"/>
      <c r="B114" s="52"/>
      <c r="C114" s="52"/>
      <c r="D114" s="52"/>
      <c r="E114" s="52"/>
      <c r="F114" s="47"/>
      <c r="G114" s="47"/>
      <c r="H114" s="47"/>
    </row>
    <row r="115">
      <c r="A115" s="47"/>
      <c r="B115" s="52"/>
      <c r="C115" s="52"/>
      <c r="D115" s="52"/>
      <c r="E115" s="52"/>
      <c r="F115" s="47"/>
      <c r="G115" s="47"/>
      <c r="H115" s="47"/>
    </row>
    <row r="116">
      <c r="A116" s="47"/>
      <c r="B116" s="52"/>
      <c r="C116" s="52"/>
      <c r="D116" s="52"/>
      <c r="E116" s="52"/>
      <c r="F116" s="47"/>
      <c r="G116" s="47"/>
      <c r="H116" s="47"/>
    </row>
    <row r="117">
      <c r="A117" s="47"/>
      <c r="B117" s="52"/>
      <c r="C117" s="52"/>
      <c r="D117" s="52"/>
      <c r="E117" s="52"/>
      <c r="F117" s="47"/>
      <c r="G117" s="47"/>
      <c r="H117" s="47"/>
    </row>
    <row r="118">
      <c r="A118" s="47"/>
      <c r="B118" s="52"/>
      <c r="C118" s="52"/>
      <c r="D118" s="52"/>
      <c r="E118" s="52"/>
      <c r="F118" s="47"/>
      <c r="G118" s="47"/>
      <c r="H118" s="47"/>
    </row>
    <row r="119">
      <c r="A119" s="47"/>
      <c r="B119" s="52"/>
      <c r="C119" s="52"/>
      <c r="D119" s="52"/>
      <c r="E119" s="52"/>
      <c r="F119" s="47"/>
      <c r="G119" s="47"/>
      <c r="H119" s="47"/>
    </row>
    <row r="120">
      <c r="A120" s="47"/>
      <c r="B120" s="52"/>
      <c r="C120" s="52"/>
      <c r="D120" s="52"/>
      <c r="E120" s="52"/>
      <c r="F120" s="47"/>
      <c r="G120" s="47"/>
      <c r="H120" s="47"/>
    </row>
    <row r="121">
      <c r="A121" s="47"/>
      <c r="B121" s="52"/>
      <c r="C121" s="52"/>
      <c r="D121" s="52"/>
      <c r="E121" s="52"/>
      <c r="F121" s="47"/>
      <c r="G121" s="47"/>
      <c r="H121" s="47"/>
    </row>
    <row r="122">
      <c r="A122" s="47"/>
      <c r="B122" s="52"/>
      <c r="C122" s="52"/>
      <c r="D122" s="52"/>
      <c r="E122" s="52"/>
      <c r="F122" s="47"/>
      <c r="G122" s="47"/>
      <c r="H122" s="47"/>
    </row>
    <row r="123">
      <c r="A123" s="47"/>
      <c r="B123" s="52"/>
      <c r="C123" s="52"/>
      <c r="D123" s="52"/>
      <c r="E123" s="52"/>
      <c r="F123" s="47"/>
      <c r="G123" s="47"/>
      <c r="H123" s="47"/>
    </row>
    <row r="124">
      <c r="A124" s="47"/>
      <c r="B124" s="52"/>
      <c r="C124" s="52"/>
      <c r="D124" s="52"/>
      <c r="E124" s="52"/>
      <c r="F124" s="47"/>
      <c r="G124" s="47"/>
      <c r="H124" s="47"/>
    </row>
    <row r="125">
      <c r="A125" s="47"/>
      <c r="B125" s="52"/>
      <c r="C125" s="52"/>
      <c r="D125" s="52"/>
      <c r="E125" s="52"/>
      <c r="F125" s="47"/>
      <c r="G125" s="47"/>
      <c r="H125" s="47"/>
    </row>
    <row r="126">
      <c r="A126" s="47"/>
      <c r="B126" s="52"/>
      <c r="C126" s="52"/>
      <c r="D126" s="52"/>
      <c r="E126" s="52"/>
      <c r="F126" s="47"/>
      <c r="G126" s="47"/>
      <c r="H126" s="47"/>
    </row>
    <row r="127">
      <c r="A127" s="47"/>
      <c r="B127" s="52"/>
      <c r="C127" s="52"/>
      <c r="D127" s="52"/>
      <c r="E127" s="52"/>
      <c r="F127" s="47"/>
      <c r="G127" s="47"/>
      <c r="H127" s="47"/>
    </row>
    <row r="128">
      <c r="A128" s="47"/>
      <c r="B128" s="52"/>
      <c r="C128" s="52"/>
      <c r="D128" s="52"/>
      <c r="E128" s="52"/>
      <c r="F128" s="47"/>
      <c r="G128" s="47"/>
      <c r="H128" s="47"/>
    </row>
    <row r="129">
      <c r="A129" s="47"/>
      <c r="B129" s="52"/>
      <c r="C129" s="52"/>
      <c r="D129" s="52"/>
      <c r="E129" s="52"/>
      <c r="F129" s="47"/>
      <c r="G129" s="47"/>
      <c r="H129" s="47"/>
    </row>
    <row r="130">
      <c r="A130" s="47"/>
      <c r="B130" s="52"/>
      <c r="C130" s="52"/>
      <c r="D130" s="52"/>
      <c r="E130" s="52"/>
      <c r="F130" s="47"/>
      <c r="G130" s="47"/>
      <c r="H130" s="47"/>
    </row>
    <row r="131">
      <c r="A131" s="47"/>
      <c r="B131" s="52"/>
      <c r="C131" s="52"/>
      <c r="D131" s="52"/>
      <c r="E131" s="52"/>
      <c r="F131" s="47"/>
      <c r="G131" s="47"/>
      <c r="H131" s="47"/>
    </row>
    <row r="132">
      <c r="A132" s="47"/>
      <c r="B132" s="52"/>
      <c r="C132" s="52"/>
      <c r="D132" s="52"/>
      <c r="E132" s="52"/>
      <c r="F132" s="47"/>
      <c r="G132" s="47"/>
      <c r="H132" s="47"/>
    </row>
    <row r="133">
      <c r="A133" s="47"/>
      <c r="B133" s="52"/>
      <c r="C133" s="52"/>
      <c r="D133" s="52"/>
      <c r="E133" s="52"/>
      <c r="F133" s="47"/>
      <c r="G133" s="47"/>
      <c r="H133" s="47"/>
    </row>
    <row r="134">
      <c r="A134" s="47"/>
      <c r="B134" s="52"/>
      <c r="C134" s="52"/>
      <c r="D134" s="52"/>
      <c r="E134" s="52"/>
      <c r="F134" s="47"/>
      <c r="G134" s="47"/>
      <c r="H134" s="47"/>
    </row>
    <row r="135">
      <c r="A135" s="47"/>
      <c r="B135" s="52"/>
      <c r="C135" s="52"/>
      <c r="D135" s="52"/>
      <c r="E135" s="52"/>
      <c r="F135" s="47"/>
      <c r="G135" s="47"/>
      <c r="H135" s="47"/>
    </row>
    <row r="136">
      <c r="A136" s="47"/>
      <c r="B136" s="52"/>
      <c r="C136" s="52"/>
      <c r="D136" s="52"/>
      <c r="E136" s="52"/>
      <c r="F136" s="47"/>
      <c r="G136" s="47"/>
      <c r="H136" s="47"/>
    </row>
    <row r="137">
      <c r="A137" s="47"/>
      <c r="B137" s="52"/>
      <c r="C137" s="52"/>
      <c r="D137" s="52"/>
      <c r="E137" s="52"/>
      <c r="F137" s="47"/>
      <c r="G137" s="47"/>
      <c r="H137" s="47"/>
    </row>
    <row r="138">
      <c r="A138" s="47"/>
      <c r="B138" s="52"/>
      <c r="C138" s="52"/>
      <c r="D138" s="52"/>
      <c r="E138" s="52"/>
      <c r="F138" s="47"/>
      <c r="G138" s="47"/>
      <c r="H138" s="47"/>
    </row>
    <row r="139">
      <c r="A139" s="47"/>
      <c r="B139" s="52"/>
      <c r="C139" s="52"/>
      <c r="D139" s="52"/>
      <c r="E139" s="52"/>
      <c r="F139" s="47"/>
      <c r="G139" s="47"/>
      <c r="H139" s="47"/>
    </row>
    <row r="140">
      <c r="A140" s="47"/>
      <c r="B140" s="52"/>
      <c r="C140" s="52"/>
      <c r="D140" s="52"/>
      <c r="E140" s="52"/>
      <c r="F140" s="47"/>
      <c r="G140" s="47"/>
      <c r="H140" s="47"/>
    </row>
    <row r="141">
      <c r="A141" s="47"/>
      <c r="B141" s="52"/>
      <c r="C141" s="52"/>
      <c r="D141" s="52"/>
      <c r="E141" s="52"/>
      <c r="F141" s="47"/>
      <c r="G141" s="47"/>
      <c r="H141" s="47"/>
    </row>
    <row r="142">
      <c r="A142" s="47"/>
      <c r="B142" s="52"/>
      <c r="C142" s="52"/>
      <c r="D142" s="52"/>
      <c r="E142" s="52"/>
      <c r="F142" s="47"/>
      <c r="G142" s="47"/>
      <c r="H142" s="47"/>
    </row>
    <row r="143">
      <c r="A143" s="47"/>
      <c r="B143" s="52"/>
      <c r="C143" s="52"/>
      <c r="D143" s="52"/>
      <c r="E143" s="52"/>
      <c r="F143" s="47"/>
      <c r="G143" s="47"/>
      <c r="H143" s="47"/>
    </row>
    <row r="144">
      <c r="A144" s="47"/>
      <c r="B144" s="52"/>
      <c r="C144" s="52"/>
      <c r="D144" s="52"/>
      <c r="E144" s="52"/>
      <c r="F144" s="47"/>
      <c r="G144" s="47"/>
      <c r="H144" s="47"/>
    </row>
    <row r="145">
      <c r="A145" s="47"/>
      <c r="B145" s="52"/>
      <c r="C145" s="52"/>
      <c r="D145" s="52"/>
      <c r="E145" s="52"/>
      <c r="F145" s="47"/>
      <c r="G145" s="47"/>
      <c r="H145" s="47"/>
    </row>
    <row r="146">
      <c r="A146" s="47"/>
      <c r="B146" s="52"/>
      <c r="C146" s="52"/>
      <c r="D146" s="52"/>
      <c r="E146" s="52"/>
      <c r="F146" s="47"/>
      <c r="G146" s="47"/>
      <c r="H146" s="47"/>
    </row>
    <row r="147">
      <c r="A147" s="47"/>
      <c r="B147" s="52"/>
      <c r="C147" s="52"/>
      <c r="D147" s="52"/>
      <c r="E147" s="52"/>
      <c r="F147" s="47"/>
      <c r="G147" s="47"/>
      <c r="H147" s="47"/>
    </row>
    <row r="148">
      <c r="A148" s="47"/>
      <c r="B148" s="52"/>
      <c r="C148" s="52"/>
      <c r="D148" s="52"/>
      <c r="E148" s="52"/>
      <c r="F148" s="47"/>
      <c r="G148" s="47"/>
      <c r="H148" s="47"/>
    </row>
    <row r="149">
      <c r="A149" s="47"/>
      <c r="B149" s="52"/>
      <c r="C149" s="52"/>
      <c r="D149" s="52"/>
      <c r="E149" s="52"/>
      <c r="F149" s="47"/>
      <c r="G149" s="47"/>
      <c r="H149" s="47"/>
    </row>
    <row r="150">
      <c r="A150" s="47"/>
      <c r="B150" s="52"/>
      <c r="C150" s="52"/>
      <c r="D150" s="52"/>
      <c r="E150" s="52"/>
      <c r="F150" s="47"/>
      <c r="G150" s="47"/>
      <c r="H150" s="47"/>
    </row>
    <row r="151">
      <c r="A151" s="47"/>
      <c r="B151" s="52"/>
      <c r="C151" s="52"/>
      <c r="D151" s="52"/>
      <c r="E151" s="52"/>
      <c r="F151" s="47"/>
      <c r="G151" s="47"/>
      <c r="H151" s="47"/>
    </row>
    <row r="152">
      <c r="A152" s="47"/>
      <c r="B152" s="52"/>
      <c r="C152" s="52"/>
      <c r="D152" s="52"/>
      <c r="E152" s="52"/>
      <c r="F152" s="47"/>
      <c r="G152" s="47"/>
      <c r="H152" s="47"/>
    </row>
    <row r="153">
      <c r="A153" s="47"/>
      <c r="B153" s="52"/>
      <c r="C153" s="52"/>
      <c r="D153" s="52"/>
      <c r="E153" s="52"/>
      <c r="F153" s="47"/>
      <c r="G153" s="47"/>
      <c r="H153" s="47"/>
    </row>
    <row r="154">
      <c r="A154" s="47"/>
      <c r="B154" s="52"/>
      <c r="C154" s="52"/>
      <c r="D154" s="52"/>
      <c r="E154" s="52"/>
      <c r="F154" s="47"/>
      <c r="G154" s="47"/>
      <c r="H154" s="47"/>
    </row>
    <row r="155">
      <c r="A155" s="47"/>
      <c r="B155" s="52"/>
      <c r="C155" s="52"/>
      <c r="D155" s="52"/>
      <c r="E155" s="52"/>
      <c r="F155" s="47"/>
      <c r="G155" s="47"/>
      <c r="H155" s="47"/>
    </row>
    <row r="156">
      <c r="A156" s="47"/>
      <c r="B156" s="52"/>
      <c r="C156" s="52"/>
      <c r="D156" s="52"/>
      <c r="E156" s="52"/>
      <c r="F156" s="47"/>
      <c r="G156" s="47"/>
      <c r="H156" s="47"/>
    </row>
    <row r="157">
      <c r="A157" s="47"/>
      <c r="B157" s="52"/>
      <c r="C157" s="52"/>
      <c r="D157" s="52"/>
      <c r="E157" s="52"/>
      <c r="F157" s="47"/>
      <c r="G157" s="47"/>
      <c r="H157" s="47"/>
    </row>
    <row r="158">
      <c r="A158" s="47"/>
      <c r="B158" s="52"/>
      <c r="C158" s="52"/>
      <c r="D158" s="52"/>
      <c r="E158" s="52"/>
      <c r="F158" s="47"/>
      <c r="G158" s="47"/>
      <c r="H158" s="47"/>
    </row>
    <row r="159">
      <c r="A159" s="47"/>
      <c r="B159" s="52"/>
      <c r="C159" s="52"/>
      <c r="D159" s="52"/>
      <c r="E159" s="52"/>
      <c r="F159" s="47"/>
      <c r="G159" s="47"/>
      <c r="H159" s="47"/>
    </row>
    <row r="160">
      <c r="A160" s="47"/>
      <c r="B160" s="52"/>
      <c r="C160" s="52"/>
      <c r="D160" s="52"/>
      <c r="E160" s="52"/>
      <c r="F160" s="47"/>
      <c r="G160" s="47"/>
      <c r="H160" s="47"/>
    </row>
    <row r="161">
      <c r="A161" s="47"/>
      <c r="B161" s="52"/>
      <c r="C161" s="52"/>
      <c r="D161" s="52"/>
      <c r="E161" s="52"/>
      <c r="F161" s="47"/>
      <c r="G161" s="47"/>
      <c r="H161" s="47"/>
    </row>
    <row r="162">
      <c r="A162" s="47"/>
      <c r="B162" s="52"/>
      <c r="C162" s="52"/>
      <c r="D162" s="52"/>
      <c r="E162" s="52"/>
      <c r="F162" s="47"/>
      <c r="G162" s="47"/>
      <c r="H162" s="47"/>
    </row>
    <row r="163">
      <c r="A163" s="47"/>
      <c r="B163" s="52"/>
      <c r="C163" s="52"/>
      <c r="D163" s="52"/>
      <c r="E163" s="52"/>
      <c r="F163" s="47"/>
      <c r="G163" s="47"/>
      <c r="H163" s="47"/>
    </row>
    <row r="164">
      <c r="A164" s="47"/>
      <c r="B164" s="52"/>
      <c r="C164" s="52"/>
      <c r="D164" s="52"/>
      <c r="E164" s="52"/>
      <c r="F164" s="47"/>
      <c r="G164" s="47"/>
      <c r="H164" s="47"/>
    </row>
    <row r="165">
      <c r="A165" s="47"/>
      <c r="B165" s="52"/>
      <c r="C165" s="52"/>
      <c r="D165" s="52"/>
      <c r="E165" s="52"/>
      <c r="F165" s="47"/>
      <c r="G165" s="47"/>
      <c r="H165" s="47"/>
    </row>
    <row r="166">
      <c r="A166" s="47"/>
      <c r="B166" s="52"/>
      <c r="C166" s="52"/>
      <c r="D166" s="52"/>
      <c r="E166" s="52"/>
      <c r="F166" s="47"/>
      <c r="G166" s="47"/>
      <c r="H166" s="47"/>
    </row>
    <row r="167">
      <c r="A167" s="47"/>
      <c r="B167" s="52"/>
      <c r="C167" s="52"/>
      <c r="D167" s="52"/>
      <c r="E167" s="52"/>
      <c r="F167" s="47"/>
      <c r="G167" s="47"/>
      <c r="H167" s="47"/>
    </row>
    <row r="168">
      <c r="A168" s="47"/>
      <c r="B168" s="52"/>
      <c r="C168" s="52"/>
      <c r="D168" s="52"/>
      <c r="E168" s="52"/>
      <c r="F168" s="47"/>
      <c r="G168" s="47"/>
      <c r="H168" s="47"/>
    </row>
    <row r="169">
      <c r="A169" s="47"/>
      <c r="B169" s="52"/>
      <c r="C169" s="52"/>
      <c r="D169" s="52"/>
      <c r="E169" s="52"/>
      <c r="F169" s="47"/>
      <c r="G169" s="47"/>
      <c r="H169" s="47"/>
    </row>
    <row r="170">
      <c r="A170" s="47"/>
      <c r="B170" s="52"/>
      <c r="C170" s="52"/>
      <c r="D170" s="52"/>
      <c r="E170" s="52"/>
      <c r="F170" s="47"/>
      <c r="G170" s="47"/>
      <c r="H170" s="47"/>
    </row>
    <row r="171">
      <c r="A171" s="47"/>
      <c r="B171" s="52"/>
      <c r="C171" s="52"/>
      <c r="D171" s="52"/>
      <c r="E171" s="52"/>
      <c r="F171" s="47"/>
      <c r="G171" s="47"/>
      <c r="H171" s="47"/>
    </row>
    <row r="172">
      <c r="A172" s="47"/>
      <c r="B172" s="52"/>
      <c r="C172" s="52"/>
      <c r="D172" s="52"/>
      <c r="E172" s="52"/>
      <c r="F172" s="47"/>
      <c r="G172" s="47"/>
      <c r="H172" s="47"/>
    </row>
    <row r="173">
      <c r="A173" s="47"/>
      <c r="B173" s="52"/>
      <c r="C173" s="52"/>
      <c r="D173" s="52"/>
      <c r="E173" s="52"/>
      <c r="F173" s="47"/>
      <c r="G173" s="47"/>
      <c r="H173" s="47"/>
    </row>
    <row r="174">
      <c r="A174" s="47"/>
      <c r="B174" s="52"/>
      <c r="C174" s="52"/>
      <c r="D174" s="52"/>
      <c r="E174" s="52"/>
      <c r="F174" s="47"/>
      <c r="G174" s="47"/>
      <c r="H174" s="47"/>
    </row>
    <row r="175">
      <c r="A175" s="47"/>
      <c r="B175" s="52"/>
      <c r="C175" s="52"/>
      <c r="D175" s="52"/>
      <c r="E175" s="52"/>
      <c r="F175" s="47"/>
      <c r="G175" s="47"/>
      <c r="H175" s="47"/>
    </row>
    <row r="176">
      <c r="A176" s="47"/>
      <c r="B176" s="52"/>
      <c r="C176" s="52"/>
      <c r="D176" s="52"/>
      <c r="E176" s="52"/>
      <c r="F176" s="47"/>
      <c r="G176" s="47"/>
      <c r="H176" s="47"/>
    </row>
    <row r="177">
      <c r="A177" s="47"/>
      <c r="B177" s="52"/>
      <c r="C177" s="52"/>
      <c r="D177" s="52"/>
      <c r="E177" s="52"/>
      <c r="F177" s="47"/>
      <c r="G177" s="47"/>
      <c r="H177" s="47"/>
    </row>
    <row r="178">
      <c r="A178" s="47"/>
      <c r="B178" s="52"/>
      <c r="C178" s="52"/>
      <c r="D178" s="52"/>
      <c r="E178" s="52"/>
      <c r="F178" s="47"/>
      <c r="G178" s="47"/>
      <c r="H178" s="47"/>
    </row>
    <row r="179">
      <c r="A179" s="47"/>
      <c r="B179" s="52"/>
      <c r="C179" s="52"/>
      <c r="D179" s="52"/>
      <c r="E179" s="52"/>
      <c r="F179" s="47"/>
      <c r="G179" s="47"/>
      <c r="H179" s="47"/>
    </row>
    <row r="180">
      <c r="A180" s="47"/>
      <c r="B180" s="52"/>
      <c r="C180" s="52"/>
      <c r="D180" s="52"/>
      <c r="E180" s="52"/>
      <c r="F180" s="47"/>
      <c r="G180" s="47"/>
      <c r="H180" s="47"/>
    </row>
    <row r="181">
      <c r="A181" s="47"/>
      <c r="B181" s="52"/>
      <c r="C181" s="52"/>
      <c r="D181" s="52"/>
      <c r="E181" s="52"/>
      <c r="F181" s="47"/>
      <c r="G181" s="47"/>
      <c r="H181" s="47"/>
    </row>
    <row r="182">
      <c r="A182" s="47"/>
      <c r="B182" s="52"/>
      <c r="C182" s="52"/>
      <c r="D182" s="52"/>
      <c r="E182" s="52"/>
      <c r="F182" s="47"/>
      <c r="G182" s="47"/>
      <c r="H182" s="47"/>
    </row>
    <row r="183">
      <c r="A183" s="47"/>
      <c r="B183" s="52"/>
      <c r="C183" s="52"/>
      <c r="D183" s="52"/>
      <c r="E183" s="52"/>
      <c r="F183" s="47"/>
      <c r="G183" s="47"/>
      <c r="H183" s="47"/>
    </row>
    <row r="184">
      <c r="A184" s="47"/>
      <c r="B184" s="52"/>
      <c r="C184" s="52"/>
      <c r="D184" s="52"/>
      <c r="E184" s="52"/>
      <c r="F184" s="47"/>
      <c r="G184" s="47"/>
      <c r="H184" s="47"/>
    </row>
    <row r="185">
      <c r="A185" s="47"/>
      <c r="B185" s="52"/>
      <c r="C185" s="52"/>
      <c r="D185" s="52"/>
      <c r="E185" s="52"/>
      <c r="F185" s="47"/>
      <c r="G185" s="47"/>
      <c r="H185" s="47"/>
    </row>
    <row r="186">
      <c r="A186" s="47"/>
      <c r="B186" s="52"/>
      <c r="C186" s="52"/>
      <c r="D186" s="52"/>
      <c r="E186" s="52"/>
      <c r="F186" s="47"/>
      <c r="G186" s="47"/>
      <c r="H186" s="47"/>
    </row>
    <row r="187">
      <c r="A187" s="47"/>
      <c r="B187" s="52"/>
      <c r="C187" s="52"/>
      <c r="D187" s="52"/>
      <c r="E187" s="52"/>
      <c r="F187" s="47"/>
      <c r="G187" s="47"/>
      <c r="H187" s="47"/>
    </row>
    <row r="188">
      <c r="A188" s="47"/>
      <c r="B188" s="52"/>
      <c r="C188" s="52"/>
      <c r="D188" s="52"/>
      <c r="E188" s="52"/>
      <c r="F188" s="47"/>
      <c r="G188" s="47"/>
      <c r="H188" s="47"/>
    </row>
    <row r="189">
      <c r="A189" s="47"/>
      <c r="B189" s="52"/>
      <c r="C189" s="52"/>
      <c r="D189" s="52"/>
      <c r="E189" s="52"/>
      <c r="F189" s="47"/>
      <c r="G189" s="47"/>
      <c r="H189" s="47"/>
    </row>
    <row r="190">
      <c r="A190" s="47"/>
      <c r="B190" s="52"/>
      <c r="C190" s="52"/>
      <c r="D190" s="52"/>
      <c r="E190" s="52"/>
      <c r="F190" s="47"/>
      <c r="G190" s="47"/>
      <c r="H190" s="47"/>
    </row>
    <row r="191">
      <c r="A191" s="47"/>
      <c r="B191" s="52"/>
      <c r="C191" s="52"/>
      <c r="D191" s="52"/>
      <c r="E191" s="52"/>
      <c r="F191" s="47"/>
      <c r="G191" s="47"/>
      <c r="H191" s="47"/>
    </row>
    <row r="192">
      <c r="A192" s="47"/>
      <c r="B192" s="52"/>
      <c r="C192" s="52"/>
      <c r="D192" s="52"/>
      <c r="E192" s="52"/>
      <c r="F192" s="47"/>
      <c r="G192" s="47"/>
      <c r="H192" s="47"/>
    </row>
    <row r="193">
      <c r="A193" s="47"/>
      <c r="B193" s="52"/>
      <c r="C193" s="52"/>
      <c r="D193" s="52"/>
      <c r="E193" s="52"/>
      <c r="F193" s="47"/>
      <c r="G193" s="47"/>
      <c r="H193" s="47"/>
    </row>
    <row r="194">
      <c r="A194" s="47"/>
      <c r="B194" s="52"/>
      <c r="C194" s="52"/>
      <c r="D194" s="52"/>
      <c r="E194" s="52"/>
      <c r="F194" s="47"/>
      <c r="G194" s="47"/>
      <c r="H194" s="47"/>
    </row>
    <row r="195">
      <c r="A195" s="47"/>
      <c r="B195" s="52"/>
      <c r="C195" s="52"/>
      <c r="D195" s="52"/>
      <c r="E195" s="52"/>
      <c r="F195" s="47"/>
      <c r="G195" s="47"/>
      <c r="H195" s="47"/>
    </row>
    <row r="196">
      <c r="A196" s="47"/>
      <c r="B196" s="52"/>
      <c r="C196" s="52"/>
      <c r="D196" s="52"/>
      <c r="E196" s="52"/>
      <c r="F196" s="47"/>
      <c r="G196" s="47"/>
      <c r="H196" s="47"/>
    </row>
    <row r="197">
      <c r="A197" s="47"/>
      <c r="B197" s="52"/>
      <c r="C197" s="52"/>
      <c r="D197" s="52"/>
      <c r="E197" s="52"/>
      <c r="F197" s="47"/>
      <c r="G197" s="47"/>
      <c r="H197" s="47"/>
    </row>
    <row r="198">
      <c r="A198" s="47"/>
      <c r="B198" s="52"/>
      <c r="C198" s="52"/>
      <c r="D198" s="52"/>
      <c r="E198" s="52"/>
      <c r="F198" s="47"/>
      <c r="G198" s="47"/>
      <c r="H198" s="47"/>
    </row>
    <row r="199">
      <c r="A199" s="47"/>
      <c r="B199" s="52"/>
      <c r="C199" s="52"/>
      <c r="D199" s="52"/>
      <c r="E199" s="52"/>
      <c r="F199" s="47"/>
      <c r="G199" s="47"/>
      <c r="H199" s="47"/>
    </row>
    <row r="200">
      <c r="A200" s="47"/>
      <c r="B200" s="52"/>
      <c r="C200" s="52"/>
      <c r="D200" s="52"/>
      <c r="E200" s="52"/>
      <c r="F200" s="47"/>
      <c r="G200" s="47"/>
      <c r="H200" s="47"/>
    </row>
    <row r="201">
      <c r="A201" s="47"/>
      <c r="B201" s="52"/>
      <c r="C201" s="52"/>
      <c r="D201" s="52"/>
      <c r="E201" s="52"/>
      <c r="F201" s="47"/>
      <c r="G201" s="47"/>
      <c r="H201" s="47"/>
    </row>
    <row r="202">
      <c r="A202" s="47"/>
      <c r="B202" s="52"/>
      <c r="C202" s="52"/>
      <c r="D202" s="52"/>
      <c r="E202" s="52"/>
      <c r="F202" s="47"/>
      <c r="G202" s="47"/>
      <c r="H202" s="47"/>
    </row>
    <row r="203">
      <c r="A203" s="47"/>
      <c r="B203" s="52"/>
      <c r="C203" s="52"/>
      <c r="D203" s="52"/>
      <c r="E203" s="52"/>
      <c r="F203" s="47"/>
      <c r="G203" s="47"/>
      <c r="H203" s="47"/>
    </row>
    <row r="204">
      <c r="A204" s="47"/>
      <c r="B204" s="52"/>
      <c r="C204" s="52"/>
      <c r="D204" s="52"/>
      <c r="E204" s="52"/>
      <c r="F204" s="47"/>
      <c r="G204" s="47"/>
      <c r="H204" s="47"/>
    </row>
    <row r="205">
      <c r="A205" s="47"/>
      <c r="B205" s="52"/>
      <c r="C205" s="52"/>
      <c r="D205" s="52"/>
      <c r="E205" s="52"/>
      <c r="F205" s="47"/>
      <c r="G205" s="47"/>
      <c r="H205" s="47"/>
    </row>
    <row r="206">
      <c r="A206" s="47"/>
      <c r="B206" s="52"/>
      <c r="C206" s="52"/>
      <c r="D206" s="52"/>
      <c r="E206" s="52"/>
      <c r="F206" s="47"/>
      <c r="G206" s="47"/>
      <c r="H206" s="47"/>
    </row>
    <row r="207">
      <c r="A207" s="47"/>
      <c r="B207" s="52"/>
      <c r="C207" s="52"/>
      <c r="D207" s="52"/>
      <c r="E207" s="52"/>
      <c r="F207" s="47"/>
      <c r="G207" s="47"/>
      <c r="H207" s="47"/>
    </row>
    <row r="208">
      <c r="A208" s="47"/>
      <c r="B208" s="52"/>
      <c r="C208" s="52"/>
      <c r="D208" s="52"/>
      <c r="E208" s="52"/>
      <c r="F208" s="47"/>
      <c r="G208" s="47"/>
      <c r="H208" s="47"/>
    </row>
    <row r="209">
      <c r="A209" s="47"/>
      <c r="B209" s="52"/>
      <c r="C209" s="52"/>
      <c r="D209" s="52"/>
      <c r="E209" s="52"/>
      <c r="F209" s="47"/>
      <c r="G209" s="47"/>
      <c r="H209" s="47"/>
    </row>
    <row r="210">
      <c r="A210" s="47"/>
      <c r="B210" s="52"/>
      <c r="C210" s="52"/>
      <c r="D210" s="52"/>
      <c r="E210" s="52"/>
      <c r="F210" s="47"/>
      <c r="G210" s="47"/>
      <c r="H210" s="47"/>
    </row>
    <row r="211">
      <c r="A211" s="47"/>
      <c r="B211" s="52"/>
      <c r="C211" s="52"/>
      <c r="D211" s="52"/>
      <c r="E211" s="52"/>
      <c r="F211" s="47"/>
      <c r="G211" s="47"/>
      <c r="H211" s="47"/>
    </row>
    <row r="212">
      <c r="A212" s="47"/>
      <c r="B212" s="52"/>
      <c r="C212" s="52"/>
      <c r="D212" s="52"/>
      <c r="E212" s="52"/>
      <c r="F212" s="47"/>
      <c r="G212" s="47"/>
      <c r="H212" s="47"/>
    </row>
    <row r="213">
      <c r="A213" s="47"/>
      <c r="B213" s="52"/>
      <c r="C213" s="52"/>
      <c r="D213" s="52"/>
      <c r="E213" s="52"/>
      <c r="F213" s="47"/>
      <c r="G213" s="47"/>
      <c r="H213" s="47"/>
    </row>
    <row r="214">
      <c r="A214" s="47"/>
      <c r="B214" s="52"/>
      <c r="C214" s="52"/>
      <c r="D214" s="52"/>
      <c r="E214" s="52"/>
      <c r="F214" s="47"/>
      <c r="G214" s="47"/>
      <c r="H214" s="47"/>
    </row>
    <row r="215">
      <c r="A215" s="47"/>
      <c r="B215" s="52"/>
      <c r="C215" s="52"/>
      <c r="D215" s="52"/>
      <c r="E215" s="52"/>
      <c r="F215" s="47"/>
      <c r="G215" s="47"/>
      <c r="H215" s="47"/>
    </row>
    <row r="216">
      <c r="A216" s="47"/>
      <c r="B216" s="52"/>
      <c r="C216" s="52"/>
      <c r="D216" s="52"/>
      <c r="E216" s="52"/>
      <c r="F216" s="47"/>
      <c r="G216" s="47"/>
      <c r="H216" s="47"/>
    </row>
    <row r="217">
      <c r="A217" s="47"/>
      <c r="B217" s="52"/>
      <c r="C217" s="52"/>
      <c r="D217" s="52"/>
      <c r="E217" s="52"/>
      <c r="F217" s="47"/>
      <c r="G217" s="47"/>
      <c r="H217" s="47"/>
    </row>
    <row r="218">
      <c r="A218" s="47"/>
      <c r="B218" s="52"/>
      <c r="C218" s="52"/>
      <c r="D218" s="52"/>
      <c r="E218" s="52"/>
      <c r="F218" s="47"/>
      <c r="G218" s="47"/>
      <c r="H218" s="47"/>
    </row>
    <row r="219">
      <c r="A219" s="47"/>
      <c r="B219" s="52"/>
      <c r="C219" s="52"/>
      <c r="D219" s="52"/>
      <c r="E219" s="52"/>
      <c r="F219" s="47"/>
      <c r="G219" s="47"/>
      <c r="H219" s="47"/>
    </row>
    <row r="220">
      <c r="A220" s="47"/>
      <c r="B220" s="52"/>
      <c r="C220" s="52"/>
      <c r="D220" s="52"/>
      <c r="E220" s="52"/>
      <c r="F220" s="47"/>
      <c r="G220" s="47"/>
      <c r="H220" s="47"/>
    </row>
    <row r="221">
      <c r="A221" s="47"/>
      <c r="B221" s="52"/>
      <c r="C221" s="52"/>
      <c r="D221" s="52"/>
      <c r="E221" s="52"/>
      <c r="F221" s="47"/>
      <c r="G221" s="47"/>
      <c r="H221" s="47"/>
    </row>
    <row r="222">
      <c r="A222" s="47"/>
      <c r="B222" s="52"/>
      <c r="C222" s="52"/>
      <c r="D222" s="52"/>
      <c r="E222" s="52"/>
      <c r="F222" s="47"/>
      <c r="G222" s="47"/>
      <c r="H222" s="47"/>
    </row>
    <row r="223">
      <c r="A223" s="47"/>
      <c r="B223" s="52"/>
      <c r="C223" s="52"/>
      <c r="D223" s="52"/>
      <c r="E223" s="52"/>
      <c r="F223" s="47"/>
      <c r="G223" s="47"/>
      <c r="H223" s="47"/>
    </row>
    <row r="224">
      <c r="A224" s="47"/>
      <c r="B224" s="52"/>
      <c r="C224" s="52"/>
      <c r="D224" s="52"/>
      <c r="E224" s="52"/>
      <c r="F224" s="47"/>
      <c r="G224" s="47"/>
      <c r="H224" s="47"/>
    </row>
    <row r="225">
      <c r="A225" s="47"/>
      <c r="B225" s="52"/>
      <c r="C225" s="52"/>
      <c r="D225" s="52"/>
      <c r="E225" s="52"/>
      <c r="F225" s="47"/>
      <c r="G225" s="47"/>
      <c r="H225" s="47"/>
    </row>
    <row r="226">
      <c r="A226" s="47"/>
      <c r="B226" s="52"/>
      <c r="C226" s="52"/>
      <c r="D226" s="52"/>
      <c r="E226" s="52"/>
      <c r="F226" s="47"/>
      <c r="G226" s="47"/>
      <c r="H226" s="47"/>
    </row>
    <row r="227">
      <c r="A227" s="47"/>
      <c r="B227" s="52"/>
      <c r="C227" s="52"/>
      <c r="D227" s="52"/>
      <c r="E227" s="52"/>
      <c r="F227" s="47"/>
      <c r="G227" s="47"/>
      <c r="H227" s="47"/>
    </row>
    <row r="228">
      <c r="A228" s="47"/>
      <c r="B228" s="52"/>
      <c r="C228" s="52"/>
      <c r="D228" s="52"/>
      <c r="E228" s="52"/>
      <c r="F228" s="47"/>
      <c r="G228" s="47"/>
      <c r="H228" s="47"/>
    </row>
    <row r="229">
      <c r="A229" s="47"/>
      <c r="B229" s="52"/>
      <c r="C229" s="52"/>
      <c r="D229" s="52"/>
      <c r="E229" s="52"/>
      <c r="F229" s="47"/>
      <c r="G229" s="47"/>
      <c r="H229" s="47"/>
    </row>
    <row r="230">
      <c r="A230" s="47"/>
      <c r="B230" s="52"/>
      <c r="C230" s="52"/>
      <c r="D230" s="52"/>
      <c r="E230" s="52"/>
      <c r="F230" s="47"/>
      <c r="G230" s="47"/>
      <c r="H230" s="47"/>
    </row>
    <row r="231">
      <c r="A231" s="47"/>
      <c r="B231" s="52"/>
      <c r="C231" s="52"/>
      <c r="D231" s="52"/>
      <c r="E231" s="52"/>
      <c r="F231" s="47"/>
      <c r="G231" s="47"/>
      <c r="H231" s="47"/>
    </row>
    <row r="232">
      <c r="A232" s="47"/>
      <c r="B232" s="52"/>
      <c r="C232" s="52"/>
      <c r="D232" s="52"/>
      <c r="E232" s="52"/>
      <c r="F232" s="47"/>
      <c r="G232" s="47"/>
      <c r="H232" s="47"/>
    </row>
    <row r="233">
      <c r="A233" s="47"/>
      <c r="B233" s="52"/>
      <c r="C233" s="52"/>
      <c r="D233" s="52"/>
      <c r="E233" s="52"/>
      <c r="F233" s="47"/>
      <c r="G233" s="47"/>
      <c r="H233" s="47"/>
    </row>
    <row r="234">
      <c r="A234" s="47"/>
      <c r="B234" s="52"/>
      <c r="C234" s="52"/>
      <c r="D234" s="52"/>
      <c r="E234" s="52"/>
      <c r="F234" s="47"/>
      <c r="G234" s="47"/>
      <c r="H234" s="47"/>
    </row>
    <row r="235">
      <c r="A235" s="47"/>
      <c r="B235" s="52"/>
      <c r="C235" s="52"/>
      <c r="D235" s="52"/>
      <c r="E235" s="52"/>
      <c r="F235" s="47"/>
      <c r="G235" s="47"/>
      <c r="H235" s="47"/>
    </row>
    <row r="236">
      <c r="A236" s="47"/>
      <c r="B236" s="52"/>
      <c r="C236" s="52"/>
      <c r="D236" s="52"/>
      <c r="E236" s="52"/>
      <c r="F236" s="47"/>
      <c r="G236" s="47"/>
      <c r="H236" s="47"/>
    </row>
    <row r="237">
      <c r="A237" s="47"/>
      <c r="B237" s="52"/>
      <c r="C237" s="52"/>
      <c r="D237" s="52"/>
      <c r="E237" s="52"/>
      <c r="F237" s="47"/>
      <c r="G237" s="47"/>
      <c r="H237" s="47"/>
    </row>
    <row r="238">
      <c r="A238" s="47"/>
      <c r="B238" s="52"/>
      <c r="C238" s="52"/>
      <c r="D238" s="52"/>
      <c r="E238" s="52"/>
      <c r="F238" s="47"/>
      <c r="G238" s="47"/>
      <c r="H238" s="47"/>
    </row>
    <row r="239">
      <c r="A239" s="47"/>
      <c r="B239" s="52"/>
      <c r="C239" s="52"/>
      <c r="D239" s="52"/>
      <c r="E239" s="52"/>
      <c r="F239" s="47"/>
      <c r="G239" s="47"/>
      <c r="H239" s="47"/>
    </row>
    <row r="240">
      <c r="A240" s="47"/>
      <c r="B240" s="52"/>
      <c r="C240" s="52"/>
      <c r="D240" s="52"/>
      <c r="E240" s="52"/>
      <c r="F240" s="47"/>
      <c r="G240" s="47"/>
      <c r="H240" s="47"/>
    </row>
    <row r="241">
      <c r="A241" s="47"/>
      <c r="B241" s="52"/>
      <c r="C241" s="52"/>
      <c r="D241" s="52"/>
      <c r="E241" s="52"/>
      <c r="F241" s="47"/>
      <c r="G241" s="47"/>
      <c r="H241" s="47"/>
    </row>
    <row r="242">
      <c r="A242" s="47"/>
      <c r="B242" s="52"/>
      <c r="C242" s="52"/>
      <c r="D242" s="52"/>
      <c r="E242" s="52"/>
      <c r="F242" s="47"/>
      <c r="G242" s="47"/>
      <c r="H242" s="47"/>
    </row>
    <row r="243">
      <c r="A243" s="47"/>
      <c r="B243" s="52"/>
      <c r="C243" s="52"/>
      <c r="D243" s="52"/>
      <c r="E243" s="52"/>
      <c r="F243" s="47"/>
      <c r="G243" s="47"/>
      <c r="H243" s="47"/>
    </row>
    <row r="244">
      <c r="A244" s="47"/>
      <c r="B244" s="52"/>
      <c r="C244" s="52"/>
      <c r="D244" s="52"/>
      <c r="E244" s="52"/>
      <c r="F244" s="47"/>
      <c r="G244" s="47"/>
      <c r="H244" s="47"/>
    </row>
    <row r="245">
      <c r="A245" s="47"/>
      <c r="B245" s="52"/>
      <c r="C245" s="52"/>
      <c r="D245" s="52"/>
      <c r="E245" s="52"/>
      <c r="F245" s="47"/>
      <c r="G245" s="47"/>
      <c r="H245" s="47"/>
    </row>
    <row r="246">
      <c r="A246" s="47"/>
      <c r="B246" s="52"/>
      <c r="C246" s="52"/>
      <c r="D246" s="52"/>
      <c r="E246" s="52"/>
      <c r="F246" s="47"/>
      <c r="G246" s="47"/>
      <c r="H246" s="47"/>
    </row>
    <row r="247">
      <c r="A247" s="47"/>
      <c r="B247" s="52"/>
      <c r="C247" s="52"/>
      <c r="D247" s="52"/>
      <c r="E247" s="52"/>
      <c r="F247" s="47"/>
      <c r="G247" s="47"/>
      <c r="H247" s="47"/>
    </row>
    <row r="248">
      <c r="A248" s="47"/>
      <c r="B248" s="52"/>
      <c r="C248" s="52"/>
      <c r="D248" s="52"/>
      <c r="E248" s="52"/>
      <c r="F248" s="47"/>
      <c r="G248" s="47"/>
      <c r="H248" s="47"/>
    </row>
    <row r="249">
      <c r="A249" s="47"/>
      <c r="B249" s="52"/>
      <c r="C249" s="52"/>
      <c r="D249" s="52"/>
      <c r="E249" s="52"/>
      <c r="F249" s="47"/>
      <c r="G249" s="47"/>
      <c r="H249" s="47"/>
    </row>
    <row r="250">
      <c r="A250" s="47"/>
      <c r="B250" s="52"/>
      <c r="C250" s="52"/>
      <c r="D250" s="52"/>
      <c r="E250" s="52"/>
      <c r="F250" s="47"/>
      <c r="G250" s="47"/>
      <c r="H250" s="47"/>
    </row>
    <row r="251">
      <c r="A251" s="47"/>
      <c r="B251" s="52"/>
      <c r="C251" s="52"/>
      <c r="D251" s="52"/>
      <c r="E251" s="52"/>
      <c r="F251" s="47"/>
      <c r="G251" s="47"/>
      <c r="H251" s="47"/>
    </row>
    <row r="252">
      <c r="A252" s="47"/>
      <c r="B252" s="52"/>
      <c r="C252" s="52"/>
      <c r="D252" s="52"/>
      <c r="E252" s="52"/>
      <c r="F252" s="47"/>
      <c r="G252" s="47"/>
      <c r="H252" s="47"/>
    </row>
    <row r="253">
      <c r="A253" s="47"/>
      <c r="B253" s="52"/>
      <c r="C253" s="52"/>
      <c r="D253" s="52"/>
      <c r="E253" s="52"/>
      <c r="F253" s="47"/>
      <c r="G253" s="47"/>
      <c r="H253" s="47"/>
    </row>
    <row r="254">
      <c r="A254" s="47"/>
      <c r="B254" s="52"/>
      <c r="C254" s="52"/>
      <c r="D254" s="52"/>
      <c r="E254" s="52"/>
      <c r="F254" s="47"/>
      <c r="G254" s="47"/>
      <c r="H254" s="47"/>
    </row>
    <row r="255">
      <c r="A255" s="47"/>
      <c r="B255" s="52"/>
      <c r="C255" s="52"/>
      <c r="D255" s="52"/>
      <c r="E255" s="52"/>
      <c r="F255" s="47"/>
      <c r="G255" s="47"/>
      <c r="H255" s="47"/>
    </row>
    <row r="256">
      <c r="A256" s="47"/>
      <c r="B256" s="52"/>
      <c r="C256" s="52"/>
      <c r="D256" s="52"/>
      <c r="E256" s="52"/>
      <c r="F256" s="47"/>
      <c r="G256" s="47"/>
      <c r="H256" s="47"/>
    </row>
    <row r="257">
      <c r="A257" s="47"/>
      <c r="B257" s="52"/>
      <c r="C257" s="52"/>
      <c r="D257" s="52"/>
      <c r="E257" s="52"/>
      <c r="F257" s="47"/>
      <c r="G257" s="47"/>
      <c r="H257" s="47"/>
    </row>
    <row r="258">
      <c r="A258" s="47"/>
      <c r="B258" s="52"/>
      <c r="C258" s="52"/>
      <c r="D258" s="52"/>
      <c r="E258" s="52"/>
      <c r="F258" s="47"/>
      <c r="G258" s="47"/>
      <c r="H258" s="47"/>
    </row>
    <row r="259">
      <c r="A259" s="47"/>
      <c r="B259" s="52"/>
      <c r="C259" s="52"/>
      <c r="D259" s="52"/>
      <c r="E259" s="52"/>
      <c r="F259" s="47"/>
      <c r="G259" s="47"/>
      <c r="H259" s="47"/>
    </row>
    <row r="260">
      <c r="A260" s="47"/>
      <c r="B260" s="52"/>
      <c r="C260" s="52"/>
      <c r="D260" s="52"/>
      <c r="E260" s="52"/>
      <c r="F260" s="47"/>
      <c r="G260" s="47"/>
      <c r="H260" s="47"/>
    </row>
    <row r="261">
      <c r="A261" s="47"/>
      <c r="B261" s="52"/>
      <c r="C261" s="52"/>
      <c r="D261" s="52"/>
      <c r="E261" s="52"/>
      <c r="F261" s="47"/>
      <c r="G261" s="47"/>
      <c r="H261" s="47"/>
    </row>
    <row r="262">
      <c r="A262" s="47"/>
      <c r="B262" s="52"/>
      <c r="C262" s="52"/>
      <c r="D262" s="52"/>
      <c r="E262" s="52"/>
      <c r="F262" s="47"/>
      <c r="G262" s="47"/>
      <c r="H262" s="47"/>
    </row>
    <row r="263">
      <c r="A263" s="47"/>
      <c r="B263" s="52"/>
      <c r="C263" s="52"/>
      <c r="D263" s="52"/>
      <c r="E263" s="52"/>
      <c r="F263" s="47"/>
      <c r="G263" s="47"/>
      <c r="H263" s="47"/>
    </row>
    <row r="264">
      <c r="A264" s="47"/>
      <c r="B264" s="52"/>
      <c r="C264" s="52"/>
      <c r="D264" s="52"/>
      <c r="E264" s="52"/>
      <c r="F264" s="47"/>
      <c r="G264" s="47"/>
      <c r="H264" s="47"/>
    </row>
    <row r="265">
      <c r="A265" s="47"/>
      <c r="B265" s="52"/>
      <c r="C265" s="52"/>
      <c r="D265" s="52"/>
      <c r="E265" s="52"/>
      <c r="F265" s="47"/>
      <c r="G265" s="47"/>
      <c r="H265" s="47"/>
    </row>
    <row r="266">
      <c r="A266" s="47"/>
      <c r="B266" s="52"/>
      <c r="C266" s="52"/>
      <c r="D266" s="52"/>
      <c r="E266" s="52"/>
      <c r="F266" s="47"/>
      <c r="G266" s="47"/>
      <c r="H266" s="47"/>
    </row>
    <row r="267">
      <c r="A267" s="47"/>
      <c r="B267" s="52"/>
      <c r="C267" s="52"/>
      <c r="D267" s="52"/>
      <c r="E267" s="52"/>
      <c r="F267" s="47"/>
      <c r="G267" s="47"/>
      <c r="H267" s="47"/>
    </row>
    <row r="268">
      <c r="A268" s="47"/>
      <c r="B268" s="52"/>
      <c r="C268" s="52"/>
      <c r="D268" s="52"/>
      <c r="E268" s="52"/>
      <c r="F268" s="47"/>
      <c r="G268" s="47"/>
      <c r="H268" s="47"/>
    </row>
    <row r="269">
      <c r="A269" s="47"/>
      <c r="B269" s="52"/>
      <c r="C269" s="52"/>
      <c r="D269" s="52"/>
      <c r="E269" s="52"/>
      <c r="F269" s="47"/>
      <c r="G269" s="47"/>
      <c r="H269" s="47"/>
    </row>
    <row r="270">
      <c r="A270" s="47"/>
      <c r="B270" s="52"/>
      <c r="C270" s="52"/>
      <c r="D270" s="52"/>
      <c r="E270" s="52"/>
      <c r="F270" s="47"/>
      <c r="G270" s="47"/>
      <c r="H270" s="47"/>
    </row>
    <row r="271">
      <c r="A271" s="47"/>
      <c r="B271" s="52"/>
      <c r="C271" s="52"/>
      <c r="D271" s="52"/>
      <c r="E271" s="52"/>
      <c r="F271" s="47"/>
      <c r="G271" s="47"/>
      <c r="H271" s="47"/>
    </row>
    <row r="272">
      <c r="A272" s="47"/>
      <c r="B272" s="52"/>
      <c r="C272" s="52"/>
      <c r="D272" s="52"/>
      <c r="E272" s="52"/>
      <c r="F272" s="47"/>
      <c r="G272" s="47"/>
      <c r="H272" s="47"/>
    </row>
    <row r="273">
      <c r="A273" s="47"/>
      <c r="B273" s="52"/>
      <c r="C273" s="52"/>
      <c r="D273" s="52"/>
      <c r="E273" s="52"/>
      <c r="F273" s="47"/>
      <c r="G273" s="47"/>
      <c r="H273" s="47"/>
    </row>
    <row r="274">
      <c r="A274" s="47"/>
      <c r="B274" s="52"/>
      <c r="C274" s="52"/>
      <c r="D274" s="52"/>
      <c r="E274" s="52"/>
      <c r="F274" s="47"/>
      <c r="G274" s="47"/>
      <c r="H274" s="47"/>
    </row>
    <row r="275">
      <c r="A275" s="47"/>
      <c r="B275" s="52"/>
      <c r="C275" s="52"/>
      <c r="D275" s="52"/>
      <c r="E275" s="52"/>
      <c r="F275" s="47"/>
      <c r="G275" s="47"/>
      <c r="H275" s="47"/>
    </row>
    <row r="276">
      <c r="A276" s="47"/>
      <c r="B276" s="52"/>
      <c r="C276" s="52"/>
      <c r="D276" s="52"/>
      <c r="E276" s="52"/>
      <c r="F276" s="47"/>
      <c r="G276" s="47"/>
      <c r="H276" s="47"/>
    </row>
    <row r="277">
      <c r="A277" s="47"/>
      <c r="B277" s="52"/>
      <c r="C277" s="52"/>
      <c r="D277" s="52"/>
      <c r="E277" s="52"/>
      <c r="F277" s="47"/>
      <c r="G277" s="47"/>
      <c r="H277" s="47"/>
    </row>
    <row r="278">
      <c r="A278" s="47"/>
      <c r="B278" s="52"/>
      <c r="C278" s="52"/>
      <c r="D278" s="52"/>
      <c r="E278" s="52"/>
      <c r="F278" s="47"/>
      <c r="G278" s="47"/>
      <c r="H278" s="47"/>
    </row>
    <row r="279">
      <c r="A279" s="47"/>
      <c r="B279" s="52"/>
      <c r="C279" s="52"/>
      <c r="D279" s="52"/>
      <c r="E279" s="52"/>
      <c r="F279" s="47"/>
      <c r="G279" s="47"/>
      <c r="H279" s="47"/>
    </row>
    <row r="280">
      <c r="A280" s="47"/>
      <c r="B280" s="52"/>
      <c r="C280" s="52"/>
      <c r="D280" s="52"/>
      <c r="E280" s="52"/>
      <c r="F280" s="47"/>
      <c r="G280" s="47"/>
      <c r="H280" s="47"/>
    </row>
    <row r="281">
      <c r="A281" s="47"/>
      <c r="B281" s="52"/>
      <c r="C281" s="52"/>
      <c r="D281" s="52"/>
      <c r="E281" s="52"/>
      <c r="F281" s="47"/>
      <c r="G281" s="47"/>
      <c r="H281" s="47"/>
    </row>
    <row r="282">
      <c r="A282" s="47"/>
      <c r="B282" s="52"/>
      <c r="C282" s="52"/>
      <c r="D282" s="52"/>
      <c r="E282" s="52"/>
      <c r="F282" s="47"/>
      <c r="G282" s="47"/>
      <c r="H282" s="47"/>
    </row>
    <row r="283">
      <c r="A283" s="47"/>
      <c r="B283" s="52"/>
      <c r="C283" s="52"/>
      <c r="D283" s="52"/>
      <c r="E283" s="52"/>
      <c r="F283" s="47"/>
      <c r="G283" s="47"/>
      <c r="H283" s="47"/>
    </row>
    <row r="284">
      <c r="A284" s="47"/>
      <c r="B284" s="52"/>
      <c r="C284" s="52"/>
      <c r="D284" s="52"/>
      <c r="E284" s="52"/>
      <c r="F284" s="47"/>
      <c r="G284" s="47"/>
      <c r="H284" s="47"/>
    </row>
    <row r="285">
      <c r="A285" s="47"/>
      <c r="B285" s="52"/>
      <c r="C285" s="52"/>
      <c r="D285" s="52"/>
      <c r="E285" s="52"/>
      <c r="F285" s="47"/>
      <c r="G285" s="47"/>
      <c r="H285" s="47"/>
    </row>
    <row r="286">
      <c r="A286" s="47"/>
      <c r="B286" s="52"/>
      <c r="C286" s="52"/>
      <c r="D286" s="52"/>
      <c r="E286" s="52"/>
      <c r="F286" s="47"/>
      <c r="G286" s="47"/>
      <c r="H286" s="47"/>
    </row>
    <row r="287">
      <c r="A287" s="47"/>
      <c r="B287" s="52"/>
      <c r="C287" s="52"/>
      <c r="D287" s="52"/>
      <c r="E287" s="52"/>
      <c r="F287" s="47"/>
      <c r="G287" s="47"/>
      <c r="H287" s="47"/>
    </row>
    <row r="288">
      <c r="A288" s="47"/>
      <c r="B288" s="52"/>
      <c r="C288" s="52"/>
      <c r="D288" s="52"/>
      <c r="E288" s="52"/>
      <c r="F288" s="47"/>
      <c r="G288" s="47"/>
      <c r="H288" s="47"/>
    </row>
    <row r="289">
      <c r="A289" s="47"/>
      <c r="B289" s="52"/>
      <c r="C289" s="52"/>
      <c r="D289" s="52"/>
      <c r="E289" s="52"/>
      <c r="F289" s="47"/>
      <c r="G289" s="47"/>
      <c r="H289" s="47"/>
    </row>
    <row r="290">
      <c r="A290" s="47"/>
      <c r="B290" s="52"/>
      <c r="C290" s="52"/>
      <c r="D290" s="52"/>
      <c r="E290" s="52"/>
      <c r="F290" s="47"/>
      <c r="G290" s="47"/>
      <c r="H290" s="47"/>
    </row>
    <row r="291">
      <c r="A291" s="47"/>
      <c r="B291" s="52"/>
      <c r="C291" s="52"/>
      <c r="D291" s="52"/>
      <c r="E291" s="52"/>
      <c r="F291" s="47"/>
      <c r="G291" s="47"/>
      <c r="H291" s="47"/>
    </row>
    <row r="292">
      <c r="A292" s="47"/>
      <c r="B292" s="52"/>
      <c r="C292" s="52"/>
      <c r="D292" s="52"/>
      <c r="E292" s="52"/>
      <c r="F292" s="47"/>
      <c r="G292" s="47"/>
      <c r="H292" s="47"/>
    </row>
    <row r="293">
      <c r="A293" s="47"/>
      <c r="B293" s="52"/>
      <c r="C293" s="52"/>
      <c r="D293" s="52"/>
      <c r="E293" s="52"/>
      <c r="F293" s="47"/>
      <c r="G293" s="47"/>
      <c r="H293" s="47"/>
    </row>
    <row r="294">
      <c r="A294" s="47"/>
      <c r="B294" s="52"/>
      <c r="C294" s="52"/>
      <c r="D294" s="52"/>
      <c r="E294" s="52"/>
      <c r="F294" s="47"/>
      <c r="G294" s="47"/>
      <c r="H294" s="47"/>
    </row>
    <row r="295">
      <c r="A295" s="47"/>
      <c r="B295" s="52"/>
      <c r="C295" s="52"/>
      <c r="D295" s="52"/>
      <c r="E295" s="52"/>
      <c r="F295" s="47"/>
      <c r="G295" s="47"/>
      <c r="H295" s="47"/>
    </row>
    <row r="296">
      <c r="A296" s="47"/>
      <c r="B296" s="52"/>
      <c r="C296" s="52"/>
      <c r="D296" s="52"/>
      <c r="E296" s="52"/>
      <c r="F296" s="47"/>
      <c r="G296" s="47"/>
      <c r="H296" s="47"/>
    </row>
    <row r="297">
      <c r="A297" s="47"/>
      <c r="B297" s="52"/>
      <c r="C297" s="52"/>
      <c r="D297" s="52"/>
      <c r="E297" s="52"/>
      <c r="F297" s="47"/>
      <c r="G297" s="47"/>
      <c r="H297" s="47"/>
    </row>
    <row r="298">
      <c r="A298" s="47"/>
      <c r="B298" s="52"/>
      <c r="C298" s="52"/>
      <c r="D298" s="52"/>
      <c r="E298" s="52"/>
      <c r="F298" s="47"/>
      <c r="G298" s="47"/>
      <c r="H298" s="47"/>
    </row>
    <row r="299">
      <c r="A299" s="47"/>
      <c r="B299" s="52"/>
      <c r="C299" s="52"/>
      <c r="D299" s="52"/>
      <c r="E299" s="52"/>
      <c r="F299" s="47"/>
      <c r="G299" s="47"/>
      <c r="H299" s="47"/>
    </row>
    <row r="300">
      <c r="A300" s="47"/>
      <c r="B300" s="52"/>
      <c r="C300" s="52"/>
      <c r="D300" s="52"/>
      <c r="E300" s="52"/>
      <c r="F300" s="47"/>
      <c r="G300" s="47"/>
      <c r="H300" s="47"/>
    </row>
    <row r="301">
      <c r="A301" s="47"/>
      <c r="B301" s="52"/>
      <c r="C301" s="52"/>
      <c r="D301" s="52"/>
      <c r="E301" s="52"/>
      <c r="F301" s="47"/>
      <c r="G301" s="47"/>
      <c r="H301" s="47"/>
    </row>
    <row r="302">
      <c r="A302" s="47"/>
      <c r="B302" s="52"/>
      <c r="C302" s="52"/>
      <c r="D302" s="52"/>
      <c r="E302" s="52"/>
      <c r="F302" s="47"/>
      <c r="G302" s="47"/>
      <c r="H302" s="47"/>
    </row>
    <row r="303">
      <c r="A303" s="47"/>
      <c r="B303" s="52"/>
      <c r="C303" s="52"/>
      <c r="D303" s="52"/>
      <c r="E303" s="52"/>
      <c r="F303" s="47"/>
      <c r="G303" s="47"/>
      <c r="H303" s="47"/>
    </row>
    <row r="304">
      <c r="A304" s="47"/>
      <c r="B304" s="52"/>
      <c r="C304" s="52"/>
      <c r="D304" s="52"/>
      <c r="E304" s="52"/>
      <c r="F304" s="47"/>
      <c r="G304" s="47"/>
      <c r="H304" s="47"/>
    </row>
    <row r="305">
      <c r="A305" s="47"/>
      <c r="B305" s="52"/>
      <c r="C305" s="52"/>
      <c r="D305" s="52"/>
      <c r="E305" s="52"/>
      <c r="F305" s="47"/>
      <c r="G305" s="47"/>
      <c r="H305" s="47"/>
    </row>
    <row r="306">
      <c r="A306" s="47"/>
      <c r="B306" s="52"/>
      <c r="C306" s="52"/>
      <c r="D306" s="52"/>
      <c r="E306" s="52"/>
      <c r="F306" s="47"/>
      <c r="G306" s="47"/>
      <c r="H306" s="47"/>
    </row>
    <row r="307">
      <c r="A307" s="47"/>
      <c r="B307" s="52"/>
      <c r="C307" s="52"/>
      <c r="D307" s="52"/>
      <c r="E307" s="52"/>
      <c r="F307" s="47"/>
      <c r="G307" s="47"/>
      <c r="H307" s="47"/>
    </row>
    <row r="308">
      <c r="A308" s="47"/>
      <c r="B308" s="52"/>
      <c r="C308" s="52"/>
      <c r="D308" s="52"/>
      <c r="E308" s="52"/>
      <c r="F308" s="47"/>
      <c r="G308" s="47"/>
      <c r="H308" s="47"/>
    </row>
    <row r="309">
      <c r="A309" s="47"/>
      <c r="B309" s="52"/>
      <c r="C309" s="52"/>
      <c r="D309" s="52"/>
      <c r="E309" s="52"/>
      <c r="F309" s="47"/>
      <c r="G309" s="47"/>
      <c r="H309" s="47"/>
    </row>
    <row r="310">
      <c r="A310" s="47"/>
      <c r="B310" s="52"/>
      <c r="C310" s="52"/>
      <c r="D310" s="52"/>
      <c r="E310" s="52"/>
      <c r="F310" s="47"/>
      <c r="G310" s="47"/>
      <c r="H310" s="47"/>
    </row>
    <row r="311">
      <c r="A311" s="47"/>
      <c r="B311" s="52"/>
      <c r="C311" s="52"/>
      <c r="D311" s="52"/>
      <c r="E311" s="52"/>
      <c r="F311" s="47"/>
      <c r="G311" s="47"/>
      <c r="H311" s="47"/>
    </row>
    <row r="312">
      <c r="A312" s="47"/>
      <c r="B312" s="52"/>
      <c r="C312" s="52"/>
      <c r="D312" s="52"/>
      <c r="E312" s="52"/>
      <c r="F312" s="47"/>
      <c r="G312" s="47"/>
      <c r="H312" s="47"/>
    </row>
    <row r="313">
      <c r="A313" s="47"/>
      <c r="B313" s="52"/>
      <c r="C313" s="52"/>
      <c r="D313" s="52"/>
      <c r="E313" s="52"/>
      <c r="F313" s="47"/>
      <c r="G313" s="47"/>
      <c r="H313" s="47"/>
    </row>
    <row r="314">
      <c r="A314" s="47"/>
      <c r="B314" s="52"/>
      <c r="C314" s="52"/>
      <c r="D314" s="52"/>
      <c r="E314" s="52"/>
      <c r="F314" s="47"/>
      <c r="G314" s="47"/>
      <c r="H314" s="47"/>
    </row>
    <row r="315">
      <c r="A315" s="47"/>
      <c r="B315" s="52"/>
      <c r="C315" s="52"/>
      <c r="D315" s="52"/>
      <c r="E315" s="52"/>
      <c r="F315" s="47"/>
      <c r="G315" s="47"/>
      <c r="H315" s="47"/>
    </row>
    <row r="316">
      <c r="A316" s="47"/>
      <c r="B316" s="52"/>
      <c r="C316" s="52"/>
      <c r="D316" s="52"/>
      <c r="E316" s="52"/>
      <c r="F316" s="47"/>
      <c r="G316" s="47"/>
      <c r="H316" s="47"/>
    </row>
    <row r="317">
      <c r="A317" s="47"/>
      <c r="B317" s="52"/>
      <c r="C317" s="52"/>
      <c r="D317" s="52"/>
      <c r="E317" s="52"/>
      <c r="F317" s="47"/>
      <c r="G317" s="47"/>
      <c r="H317" s="47"/>
    </row>
    <row r="318">
      <c r="A318" s="47"/>
      <c r="B318" s="52"/>
      <c r="C318" s="52"/>
      <c r="D318" s="52"/>
      <c r="E318" s="52"/>
      <c r="F318" s="47"/>
      <c r="G318" s="47"/>
      <c r="H318" s="47"/>
    </row>
    <row r="319">
      <c r="A319" s="47"/>
      <c r="B319" s="52"/>
      <c r="C319" s="52"/>
      <c r="D319" s="52"/>
      <c r="E319" s="52"/>
      <c r="F319" s="47"/>
      <c r="G319" s="47"/>
      <c r="H319" s="47"/>
    </row>
    <row r="320">
      <c r="A320" s="47"/>
      <c r="B320" s="52"/>
      <c r="C320" s="52"/>
      <c r="D320" s="52"/>
      <c r="E320" s="52"/>
      <c r="F320" s="47"/>
      <c r="G320" s="47"/>
      <c r="H320" s="47"/>
    </row>
    <row r="321">
      <c r="A321" s="47"/>
      <c r="B321" s="52"/>
      <c r="C321" s="52"/>
      <c r="D321" s="52"/>
      <c r="E321" s="52"/>
      <c r="F321" s="47"/>
      <c r="G321" s="47"/>
      <c r="H321" s="47"/>
    </row>
    <row r="322">
      <c r="A322" s="47"/>
      <c r="B322" s="52"/>
      <c r="C322" s="52"/>
      <c r="D322" s="52"/>
      <c r="E322" s="52"/>
      <c r="F322" s="47"/>
      <c r="G322" s="47"/>
      <c r="H322" s="47"/>
    </row>
    <row r="323">
      <c r="A323" s="47"/>
      <c r="B323" s="52"/>
      <c r="C323" s="52"/>
      <c r="D323" s="52"/>
      <c r="E323" s="52"/>
      <c r="F323" s="47"/>
      <c r="G323" s="47"/>
      <c r="H323" s="47"/>
    </row>
    <row r="324">
      <c r="A324" s="47"/>
      <c r="B324" s="52"/>
      <c r="C324" s="52"/>
      <c r="D324" s="52"/>
      <c r="E324" s="52"/>
      <c r="F324" s="47"/>
      <c r="G324" s="47"/>
      <c r="H324" s="47"/>
    </row>
    <row r="325">
      <c r="A325" s="47"/>
      <c r="B325" s="52"/>
      <c r="C325" s="52"/>
      <c r="D325" s="52"/>
      <c r="E325" s="52"/>
      <c r="F325" s="47"/>
      <c r="G325" s="47"/>
      <c r="H325" s="47"/>
    </row>
    <row r="326">
      <c r="A326" s="47"/>
      <c r="B326" s="52"/>
      <c r="C326" s="52"/>
      <c r="D326" s="52"/>
      <c r="E326" s="52"/>
      <c r="F326" s="47"/>
      <c r="G326" s="47"/>
      <c r="H326" s="47"/>
    </row>
    <row r="327">
      <c r="A327" s="47"/>
      <c r="B327" s="52"/>
      <c r="C327" s="52"/>
      <c r="D327" s="52"/>
      <c r="E327" s="52"/>
      <c r="F327" s="47"/>
      <c r="G327" s="47"/>
      <c r="H327" s="47"/>
    </row>
    <row r="328">
      <c r="A328" s="47"/>
      <c r="B328" s="52"/>
      <c r="C328" s="52"/>
      <c r="D328" s="52"/>
      <c r="E328" s="52"/>
      <c r="F328" s="47"/>
      <c r="G328" s="47"/>
      <c r="H328" s="47"/>
    </row>
    <row r="329">
      <c r="A329" s="47"/>
      <c r="B329" s="52"/>
      <c r="C329" s="52"/>
      <c r="D329" s="52"/>
      <c r="E329" s="52"/>
      <c r="F329" s="47"/>
      <c r="G329" s="47"/>
      <c r="H329" s="47"/>
    </row>
    <row r="330">
      <c r="A330" s="47"/>
      <c r="B330" s="52"/>
      <c r="C330" s="52"/>
      <c r="D330" s="52"/>
      <c r="E330" s="52"/>
      <c r="F330" s="47"/>
      <c r="G330" s="47"/>
      <c r="H330" s="47"/>
    </row>
    <row r="331">
      <c r="A331" s="47"/>
      <c r="B331" s="52"/>
      <c r="C331" s="52"/>
      <c r="D331" s="52"/>
      <c r="E331" s="52"/>
      <c r="F331" s="47"/>
      <c r="G331" s="47"/>
      <c r="H331" s="47"/>
    </row>
    <row r="332">
      <c r="A332" s="47"/>
      <c r="B332" s="52"/>
      <c r="C332" s="52"/>
      <c r="D332" s="52"/>
      <c r="E332" s="52"/>
      <c r="F332" s="47"/>
      <c r="G332" s="47"/>
      <c r="H332" s="47"/>
    </row>
    <row r="333">
      <c r="A333" s="47"/>
      <c r="B333" s="52"/>
      <c r="C333" s="52"/>
      <c r="D333" s="52"/>
      <c r="E333" s="52"/>
      <c r="F333" s="47"/>
      <c r="G333" s="47"/>
      <c r="H333" s="47"/>
    </row>
    <row r="334">
      <c r="A334" s="47"/>
      <c r="B334" s="52"/>
      <c r="C334" s="52"/>
      <c r="D334" s="52"/>
      <c r="E334" s="52"/>
      <c r="F334" s="47"/>
      <c r="G334" s="47"/>
      <c r="H334" s="47"/>
    </row>
    <row r="335">
      <c r="A335" s="47"/>
      <c r="B335" s="52"/>
      <c r="C335" s="52"/>
      <c r="D335" s="52"/>
      <c r="E335" s="52"/>
      <c r="F335" s="47"/>
      <c r="G335" s="47"/>
      <c r="H335" s="47"/>
    </row>
    <row r="336">
      <c r="A336" s="47"/>
      <c r="B336" s="52"/>
      <c r="C336" s="52"/>
      <c r="D336" s="52"/>
      <c r="E336" s="52"/>
      <c r="F336" s="47"/>
      <c r="G336" s="47"/>
      <c r="H336" s="47"/>
    </row>
    <row r="337">
      <c r="A337" s="47"/>
      <c r="B337" s="52"/>
      <c r="C337" s="52"/>
      <c r="D337" s="52"/>
      <c r="E337" s="52"/>
      <c r="F337" s="47"/>
      <c r="G337" s="47"/>
      <c r="H337" s="47"/>
    </row>
    <row r="338">
      <c r="A338" s="47"/>
      <c r="B338" s="52"/>
      <c r="C338" s="52"/>
      <c r="D338" s="52"/>
      <c r="E338" s="52"/>
      <c r="F338" s="47"/>
      <c r="G338" s="47"/>
      <c r="H338" s="47"/>
    </row>
    <row r="339">
      <c r="A339" s="47"/>
      <c r="B339" s="52"/>
      <c r="C339" s="52"/>
      <c r="D339" s="52"/>
      <c r="E339" s="52"/>
      <c r="F339" s="47"/>
      <c r="G339" s="47"/>
      <c r="H339" s="47"/>
    </row>
    <row r="340">
      <c r="A340" s="47"/>
      <c r="B340" s="52"/>
      <c r="C340" s="52"/>
      <c r="D340" s="52"/>
      <c r="E340" s="52"/>
      <c r="F340" s="47"/>
      <c r="G340" s="47"/>
      <c r="H340" s="47"/>
    </row>
    <row r="341">
      <c r="A341" s="47"/>
      <c r="B341" s="52"/>
      <c r="C341" s="52"/>
      <c r="D341" s="52"/>
      <c r="E341" s="52"/>
      <c r="F341" s="47"/>
      <c r="G341" s="47"/>
      <c r="H341" s="47"/>
    </row>
    <row r="342">
      <c r="A342" s="47"/>
      <c r="B342" s="52"/>
      <c r="C342" s="52"/>
      <c r="D342" s="52"/>
      <c r="E342" s="52"/>
      <c r="F342" s="47"/>
      <c r="G342" s="47"/>
      <c r="H342" s="47"/>
    </row>
    <row r="343">
      <c r="A343" s="47"/>
      <c r="B343" s="52"/>
      <c r="C343" s="52"/>
      <c r="D343" s="52"/>
      <c r="E343" s="52"/>
      <c r="F343" s="47"/>
      <c r="G343" s="47"/>
      <c r="H343" s="47"/>
    </row>
    <row r="344">
      <c r="A344" s="47"/>
      <c r="B344" s="52"/>
      <c r="C344" s="52"/>
      <c r="D344" s="52"/>
      <c r="E344" s="52"/>
      <c r="F344" s="47"/>
      <c r="G344" s="47"/>
      <c r="H344" s="47"/>
    </row>
    <row r="345">
      <c r="A345" s="47"/>
      <c r="B345" s="52"/>
      <c r="C345" s="52"/>
      <c r="D345" s="52"/>
      <c r="E345" s="52"/>
      <c r="F345" s="47"/>
      <c r="G345" s="47"/>
      <c r="H345" s="47"/>
    </row>
    <row r="346">
      <c r="A346" s="47"/>
      <c r="B346" s="52"/>
      <c r="C346" s="52"/>
      <c r="D346" s="52"/>
      <c r="E346" s="52"/>
      <c r="F346" s="47"/>
      <c r="G346" s="47"/>
      <c r="H346" s="47"/>
    </row>
    <row r="347">
      <c r="A347" s="47"/>
      <c r="B347" s="52"/>
      <c r="C347" s="52"/>
      <c r="D347" s="52"/>
      <c r="E347" s="52"/>
      <c r="F347" s="47"/>
      <c r="G347" s="47"/>
      <c r="H347" s="47"/>
    </row>
    <row r="348">
      <c r="A348" s="47"/>
      <c r="B348" s="52"/>
      <c r="C348" s="52"/>
      <c r="D348" s="52"/>
      <c r="E348" s="52"/>
      <c r="F348" s="47"/>
      <c r="G348" s="47"/>
      <c r="H348" s="47"/>
    </row>
    <row r="349">
      <c r="A349" s="47"/>
      <c r="B349" s="52"/>
      <c r="C349" s="52"/>
      <c r="D349" s="52"/>
      <c r="E349" s="52"/>
      <c r="F349" s="47"/>
      <c r="G349" s="47"/>
      <c r="H349" s="47"/>
    </row>
    <row r="350">
      <c r="A350" s="47"/>
      <c r="B350" s="52"/>
      <c r="C350" s="52"/>
      <c r="D350" s="52"/>
      <c r="E350" s="52"/>
      <c r="F350" s="47"/>
      <c r="G350" s="47"/>
      <c r="H350" s="47"/>
    </row>
    <row r="351">
      <c r="A351" s="47"/>
      <c r="B351" s="52"/>
      <c r="C351" s="52"/>
      <c r="D351" s="52"/>
      <c r="E351" s="52"/>
      <c r="F351" s="47"/>
      <c r="G351" s="47"/>
      <c r="H351" s="47"/>
    </row>
    <row r="352">
      <c r="A352" s="47"/>
      <c r="B352" s="52"/>
      <c r="C352" s="52"/>
      <c r="D352" s="52"/>
      <c r="E352" s="52"/>
      <c r="F352" s="47"/>
      <c r="G352" s="47"/>
      <c r="H352" s="47"/>
    </row>
    <row r="353">
      <c r="A353" s="47"/>
      <c r="B353" s="52"/>
      <c r="C353" s="52"/>
      <c r="D353" s="52"/>
      <c r="E353" s="52"/>
      <c r="F353" s="47"/>
      <c r="G353" s="47"/>
      <c r="H353" s="47"/>
    </row>
    <row r="354">
      <c r="A354" s="47"/>
      <c r="B354" s="52"/>
      <c r="C354" s="52"/>
      <c r="D354" s="52"/>
      <c r="E354" s="52"/>
      <c r="F354" s="47"/>
      <c r="G354" s="47"/>
      <c r="H354" s="47"/>
    </row>
    <row r="355">
      <c r="A355" s="47"/>
      <c r="B355" s="52"/>
      <c r="C355" s="52"/>
      <c r="D355" s="52"/>
      <c r="E355" s="52"/>
      <c r="F355" s="47"/>
      <c r="G355" s="47"/>
      <c r="H355" s="47"/>
    </row>
    <row r="356">
      <c r="A356" s="47"/>
      <c r="B356" s="52"/>
      <c r="C356" s="52"/>
      <c r="D356" s="52"/>
      <c r="E356" s="52"/>
      <c r="F356" s="47"/>
      <c r="G356" s="47"/>
      <c r="H356" s="47"/>
    </row>
    <row r="357">
      <c r="A357" s="47"/>
      <c r="B357" s="52"/>
      <c r="C357" s="52"/>
      <c r="D357" s="52"/>
      <c r="E357" s="52"/>
      <c r="F357" s="47"/>
      <c r="G357" s="47"/>
      <c r="H357" s="47"/>
    </row>
    <row r="358">
      <c r="A358" s="47"/>
      <c r="B358" s="52"/>
      <c r="C358" s="52"/>
      <c r="D358" s="52"/>
      <c r="E358" s="52"/>
      <c r="F358" s="47"/>
      <c r="G358" s="47"/>
      <c r="H358" s="47"/>
    </row>
    <row r="359">
      <c r="A359" s="47"/>
      <c r="B359" s="52"/>
      <c r="C359" s="52"/>
      <c r="D359" s="52"/>
      <c r="E359" s="52"/>
      <c r="F359" s="47"/>
      <c r="G359" s="47"/>
      <c r="H359" s="47"/>
    </row>
    <row r="360">
      <c r="A360" s="47"/>
      <c r="B360" s="52"/>
      <c r="C360" s="52"/>
      <c r="D360" s="52"/>
      <c r="E360" s="52"/>
      <c r="F360" s="47"/>
      <c r="G360" s="47"/>
      <c r="H360" s="47"/>
    </row>
    <row r="361">
      <c r="A361" s="47"/>
      <c r="B361" s="52"/>
      <c r="C361" s="52"/>
      <c r="D361" s="52"/>
      <c r="E361" s="52"/>
      <c r="F361" s="47"/>
      <c r="G361" s="47"/>
      <c r="H361" s="47"/>
    </row>
    <row r="362">
      <c r="A362" s="47"/>
      <c r="B362" s="52"/>
      <c r="C362" s="52"/>
      <c r="D362" s="52"/>
      <c r="E362" s="52"/>
      <c r="F362" s="47"/>
      <c r="G362" s="47"/>
      <c r="H362" s="47"/>
    </row>
    <row r="363">
      <c r="A363" s="47"/>
      <c r="B363" s="52"/>
      <c r="C363" s="52"/>
      <c r="D363" s="52"/>
      <c r="E363" s="52"/>
      <c r="F363" s="47"/>
      <c r="G363" s="47"/>
      <c r="H363" s="47"/>
    </row>
    <row r="364">
      <c r="A364" s="47"/>
      <c r="B364" s="52"/>
      <c r="C364" s="52"/>
      <c r="D364" s="52"/>
      <c r="E364" s="52"/>
      <c r="F364" s="47"/>
      <c r="G364" s="47"/>
      <c r="H364" s="47"/>
    </row>
    <row r="365">
      <c r="A365" s="47"/>
      <c r="B365" s="52"/>
      <c r="C365" s="52"/>
      <c r="D365" s="52"/>
      <c r="E365" s="52"/>
      <c r="F365" s="47"/>
      <c r="G365" s="47"/>
      <c r="H365" s="47"/>
    </row>
    <row r="366">
      <c r="A366" s="47"/>
      <c r="B366" s="52"/>
      <c r="C366" s="52"/>
      <c r="D366" s="52"/>
      <c r="E366" s="52"/>
      <c r="F366" s="47"/>
      <c r="G366" s="47"/>
      <c r="H366" s="47"/>
    </row>
    <row r="367">
      <c r="A367" s="47"/>
      <c r="B367" s="52"/>
      <c r="C367" s="52"/>
      <c r="D367" s="52"/>
      <c r="E367" s="52"/>
      <c r="F367" s="47"/>
      <c r="G367" s="47"/>
      <c r="H367" s="47"/>
    </row>
    <row r="368">
      <c r="A368" s="47"/>
      <c r="B368" s="52"/>
      <c r="C368" s="52"/>
      <c r="D368" s="52"/>
      <c r="E368" s="52"/>
      <c r="F368" s="47"/>
      <c r="G368" s="47"/>
      <c r="H368" s="47"/>
    </row>
    <row r="369">
      <c r="A369" s="47"/>
      <c r="B369" s="52"/>
      <c r="C369" s="52"/>
      <c r="D369" s="52"/>
      <c r="E369" s="52"/>
      <c r="F369" s="47"/>
      <c r="G369" s="47"/>
      <c r="H369" s="47"/>
    </row>
    <row r="370">
      <c r="A370" s="47"/>
      <c r="B370" s="52"/>
      <c r="C370" s="52"/>
      <c r="D370" s="52"/>
      <c r="E370" s="52"/>
      <c r="F370" s="47"/>
      <c r="G370" s="47"/>
      <c r="H370" s="47"/>
    </row>
    <row r="371">
      <c r="A371" s="47"/>
      <c r="B371" s="52"/>
      <c r="C371" s="52"/>
      <c r="D371" s="52"/>
      <c r="E371" s="52"/>
      <c r="F371" s="47"/>
      <c r="G371" s="47"/>
      <c r="H371" s="47"/>
    </row>
    <row r="372">
      <c r="A372" s="47"/>
      <c r="B372" s="52"/>
      <c r="C372" s="52"/>
      <c r="D372" s="52"/>
      <c r="E372" s="52"/>
      <c r="F372" s="47"/>
      <c r="G372" s="47"/>
      <c r="H372" s="47"/>
    </row>
    <row r="373">
      <c r="A373" s="47"/>
      <c r="B373" s="52"/>
      <c r="C373" s="52"/>
      <c r="D373" s="52"/>
      <c r="E373" s="52"/>
      <c r="F373" s="47"/>
      <c r="G373" s="47"/>
      <c r="H373" s="47"/>
    </row>
    <row r="374">
      <c r="A374" s="47"/>
      <c r="B374" s="52"/>
      <c r="C374" s="52"/>
      <c r="D374" s="52"/>
      <c r="E374" s="52"/>
      <c r="F374" s="47"/>
      <c r="G374" s="47"/>
      <c r="H374" s="47"/>
    </row>
    <row r="375">
      <c r="A375" s="47"/>
      <c r="B375" s="52"/>
      <c r="C375" s="52"/>
      <c r="D375" s="52"/>
      <c r="E375" s="52"/>
      <c r="F375" s="47"/>
      <c r="G375" s="47"/>
      <c r="H375" s="47"/>
    </row>
    <row r="376">
      <c r="A376" s="47"/>
      <c r="B376" s="52"/>
      <c r="C376" s="52"/>
      <c r="D376" s="52"/>
      <c r="E376" s="52"/>
      <c r="F376" s="47"/>
      <c r="G376" s="47"/>
      <c r="H376" s="47"/>
    </row>
    <row r="377">
      <c r="A377" s="47"/>
      <c r="B377" s="52"/>
      <c r="C377" s="52"/>
      <c r="D377" s="52"/>
      <c r="E377" s="52"/>
      <c r="F377" s="47"/>
      <c r="G377" s="47"/>
      <c r="H377" s="47"/>
    </row>
    <row r="378">
      <c r="A378" s="47"/>
      <c r="B378" s="52"/>
      <c r="C378" s="52"/>
      <c r="D378" s="52"/>
      <c r="E378" s="52"/>
      <c r="F378" s="47"/>
      <c r="G378" s="47"/>
      <c r="H378" s="47"/>
    </row>
    <row r="379">
      <c r="A379" s="47"/>
      <c r="B379" s="52"/>
      <c r="C379" s="52"/>
      <c r="D379" s="52"/>
      <c r="E379" s="52"/>
      <c r="F379" s="47"/>
      <c r="G379" s="47"/>
      <c r="H379" s="47"/>
    </row>
    <row r="380">
      <c r="A380" s="47"/>
      <c r="B380" s="52"/>
      <c r="C380" s="52"/>
      <c r="D380" s="52"/>
      <c r="E380" s="52"/>
      <c r="F380" s="47"/>
      <c r="G380" s="47"/>
      <c r="H380" s="47"/>
    </row>
    <row r="381">
      <c r="A381" s="47"/>
      <c r="B381" s="52"/>
      <c r="C381" s="52"/>
      <c r="D381" s="52"/>
      <c r="E381" s="52"/>
      <c r="F381" s="47"/>
      <c r="G381" s="47"/>
      <c r="H381" s="47"/>
    </row>
    <row r="382">
      <c r="A382" s="47"/>
      <c r="B382" s="52"/>
      <c r="C382" s="52"/>
      <c r="D382" s="52"/>
      <c r="E382" s="52"/>
      <c r="F382" s="47"/>
      <c r="G382" s="47"/>
      <c r="H382" s="47"/>
    </row>
    <row r="383">
      <c r="A383" s="47"/>
      <c r="B383" s="52"/>
      <c r="C383" s="52"/>
      <c r="D383" s="52"/>
      <c r="E383" s="52"/>
      <c r="F383" s="47"/>
      <c r="G383" s="47"/>
      <c r="H383" s="47"/>
    </row>
    <row r="384">
      <c r="A384" s="47"/>
      <c r="B384" s="52"/>
      <c r="C384" s="52"/>
      <c r="D384" s="52"/>
      <c r="E384" s="52"/>
      <c r="F384" s="47"/>
      <c r="G384" s="47"/>
      <c r="H384" s="47"/>
    </row>
    <row r="385">
      <c r="A385" s="47"/>
      <c r="B385" s="52"/>
      <c r="C385" s="52"/>
      <c r="D385" s="52"/>
      <c r="E385" s="52"/>
      <c r="F385" s="47"/>
      <c r="G385" s="47"/>
      <c r="H385" s="47"/>
    </row>
    <row r="386">
      <c r="A386" s="47"/>
      <c r="B386" s="52"/>
      <c r="C386" s="52"/>
      <c r="D386" s="52"/>
      <c r="E386" s="52"/>
      <c r="F386" s="47"/>
      <c r="G386" s="47"/>
      <c r="H386" s="47"/>
    </row>
    <row r="387">
      <c r="A387" s="47"/>
      <c r="B387" s="52"/>
      <c r="C387" s="52"/>
      <c r="D387" s="52"/>
      <c r="E387" s="52"/>
      <c r="F387" s="47"/>
      <c r="G387" s="47"/>
      <c r="H387" s="47"/>
    </row>
    <row r="388">
      <c r="A388" s="47"/>
      <c r="B388" s="52"/>
      <c r="C388" s="52"/>
      <c r="D388" s="52"/>
      <c r="E388" s="52"/>
      <c r="F388" s="47"/>
      <c r="G388" s="47"/>
      <c r="H388" s="47"/>
    </row>
    <row r="389">
      <c r="A389" s="47"/>
      <c r="B389" s="52"/>
      <c r="C389" s="52"/>
      <c r="D389" s="52"/>
      <c r="E389" s="52"/>
      <c r="F389" s="47"/>
      <c r="G389" s="47"/>
      <c r="H389" s="47"/>
    </row>
    <row r="390">
      <c r="A390" s="47"/>
      <c r="B390" s="52"/>
      <c r="C390" s="52"/>
      <c r="D390" s="52"/>
      <c r="E390" s="52"/>
      <c r="F390" s="47"/>
      <c r="G390" s="47"/>
      <c r="H390" s="47"/>
    </row>
    <row r="391">
      <c r="A391" s="47"/>
      <c r="B391" s="52"/>
      <c r="C391" s="52"/>
      <c r="D391" s="52"/>
      <c r="E391" s="52"/>
      <c r="F391" s="47"/>
      <c r="G391" s="47"/>
      <c r="H391" s="47"/>
    </row>
    <row r="392">
      <c r="A392" s="47"/>
      <c r="B392" s="52"/>
      <c r="C392" s="52"/>
      <c r="D392" s="52"/>
      <c r="E392" s="52"/>
      <c r="F392" s="47"/>
      <c r="G392" s="47"/>
      <c r="H392" s="47"/>
    </row>
    <row r="393">
      <c r="A393" s="47"/>
      <c r="B393" s="52"/>
      <c r="C393" s="52"/>
      <c r="D393" s="52"/>
      <c r="E393" s="52"/>
      <c r="F393" s="47"/>
      <c r="G393" s="47"/>
      <c r="H393" s="47"/>
    </row>
    <row r="394">
      <c r="A394" s="47"/>
      <c r="B394" s="52"/>
      <c r="C394" s="52"/>
      <c r="D394" s="52"/>
      <c r="E394" s="52"/>
      <c r="F394" s="47"/>
      <c r="G394" s="47"/>
      <c r="H394" s="47"/>
    </row>
    <row r="395">
      <c r="A395" s="47"/>
      <c r="B395" s="52"/>
      <c r="C395" s="52"/>
      <c r="D395" s="52"/>
      <c r="E395" s="52"/>
      <c r="F395" s="47"/>
      <c r="G395" s="47"/>
      <c r="H395" s="47"/>
    </row>
    <row r="396">
      <c r="A396" s="47"/>
      <c r="B396" s="52"/>
      <c r="C396" s="52"/>
      <c r="D396" s="52"/>
      <c r="E396" s="52"/>
      <c r="F396" s="47"/>
      <c r="G396" s="47"/>
      <c r="H396" s="47"/>
    </row>
    <row r="397">
      <c r="A397" s="47"/>
      <c r="B397" s="52"/>
      <c r="C397" s="52"/>
      <c r="D397" s="52"/>
      <c r="E397" s="52"/>
      <c r="F397" s="47"/>
      <c r="G397" s="47"/>
      <c r="H397" s="47"/>
    </row>
    <row r="398">
      <c r="A398" s="47"/>
      <c r="B398" s="52"/>
      <c r="C398" s="52"/>
      <c r="D398" s="52"/>
      <c r="E398" s="52"/>
      <c r="F398" s="47"/>
      <c r="G398" s="47"/>
      <c r="H398" s="47"/>
    </row>
    <row r="399">
      <c r="A399" s="47"/>
      <c r="B399" s="52"/>
      <c r="C399" s="52"/>
      <c r="D399" s="52"/>
      <c r="E399" s="52"/>
      <c r="F399" s="47"/>
      <c r="G399" s="47"/>
      <c r="H399" s="47"/>
    </row>
    <row r="400">
      <c r="A400" s="47"/>
      <c r="B400" s="52"/>
      <c r="C400" s="52"/>
      <c r="D400" s="52"/>
      <c r="E400" s="52"/>
      <c r="F400" s="47"/>
      <c r="G400" s="47"/>
      <c r="H400" s="47"/>
    </row>
    <row r="401">
      <c r="A401" s="47"/>
      <c r="B401" s="52"/>
      <c r="C401" s="52"/>
      <c r="D401" s="52"/>
      <c r="E401" s="52"/>
      <c r="F401" s="47"/>
      <c r="G401" s="47"/>
      <c r="H401" s="47"/>
    </row>
    <row r="402">
      <c r="A402" s="47"/>
      <c r="B402" s="52"/>
      <c r="C402" s="52"/>
      <c r="D402" s="52"/>
      <c r="E402" s="52"/>
      <c r="F402" s="47"/>
      <c r="G402" s="47"/>
      <c r="H402" s="47"/>
    </row>
    <row r="403">
      <c r="A403" s="47"/>
      <c r="B403" s="52"/>
      <c r="C403" s="52"/>
      <c r="D403" s="52"/>
      <c r="E403" s="52"/>
      <c r="F403" s="47"/>
      <c r="G403" s="47"/>
      <c r="H403" s="47"/>
    </row>
    <row r="404">
      <c r="A404" s="47"/>
      <c r="B404" s="52"/>
      <c r="C404" s="52"/>
      <c r="D404" s="52"/>
      <c r="E404" s="52"/>
      <c r="F404" s="47"/>
      <c r="G404" s="47"/>
      <c r="H404" s="47"/>
    </row>
    <row r="405">
      <c r="A405" s="47"/>
      <c r="B405" s="52"/>
      <c r="C405" s="52"/>
      <c r="D405" s="52"/>
      <c r="E405" s="52"/>
      <c r="F405" s="47"/>
      <c r="G405" s="47"/>
      <c r="H405" s="47"/>
    </row>
    <row r="406">
      <c r="A406" s="47"/>
      <c r="B406" s="52"/>
      <c r="C406" s="52"/>
      <c r="D406" s="52"/>
      <c r="E406" s="52"/>
      <c r="F406" s="47"/>
      <c r="G406" s="47"/>
      <c r="H406" s="47"/>
    </row>
    <row r="407">
      <c r="A407" s="47"/>
      <c r="B407" s="52"/>
      <c r="C407" s="52"/>
      <c r="D407" s="52"/>
      <c r="E407" s="52"/>
      <c r="F407" s="47"/>
      <c r="G407" s="47"/>
      <c r="H407" s="47"/>
    </row>
    <row r="408">
      <c r="A408" s="47"/>
      <c r="B408" s="52"/>
      <c r="C408" s="52"/>
      <c r="D408" s="52"/>
      <c r="E408" s="52"/>
      <c r="F408" s="47"/>
      <c r="G408" s="47"/>
      <c r="H408" s="47"/>
    </row>
    <row r="409">
      <c r="A409" s="47"/>
      <c r="B409" s="52"/>
      <c r="C409" s="52"/>
      <c r="D409" s="52"/>
      <c r="E409" s="52"/>
      <c r="F409" s="47"/>
      <c r="G409" s="47"/>
      <c r="H409" s="47"/>
    </row>
    <row r="410">
      <c r="A410" s="47"/>
      <c r="B410" s="52"/>
      <c r="C410" s="52"/>
      <c r="D410" s="52"/>
      <c r="E410" s="52"/>
      <c r="F410" s="47"/>
      <c r="G410" s="47"/>
      <c r="H410" s="47"/>
    </row>
    <row r="411">
      <c r="A411" s="47"/>
      <c r="B411" s="52"/>
      <c r="C411" s="52"/>
      <c r="D411" s="52"/>
      <c r="E411" s="52"/>
      <c r="F411" s="47"/>
      <c r="G411" s="47"/>
      <c r="H411" s="47"/>
    </row>
    <row r="412">
      <c r="A412" s="47"/>
      <c r="B412" s="52"/>
      <c r="C412" s="52"/>
      <c r="D412" s="52"/>
      <c r="E412" s="52"/>
      <c r="F412" s="47"/>
      <c r="G412" s="47"/>
      <c r="H412" s="47"/>
    </row>
    <row r="413">
      <c r="A413" s="47"/>
      <c r="B413" s="52"/>
      <c r="C413" s="52"/>
      <c r="D413" s="52"/>
      <c r="E413" s="52"/>
      <c r="F413" s="47"/>
      <c r="G413" s="47"/>
      <c r="H413" s="47"/>
    </row>
    <row r="414">
      <c r="A414" s="47"/>
      <c r="B414" s="52"/>
      <c r="C414" s="52"/>
      <c r="D414" s="52"/>
      <c r="E414" s="52"/>
      <c r="F414" s="47"/>
      <c r="G414" s="47"/>
      <c r="H414" s="47"/>
    </row>
    <row r="415">
      <c r="A415" s="47"/>
      <c r="B415" s="52"/>
      <c r="C415" s="52"/>
      <c r="D415" s="52"/>
      <c r="E415" s="52"/>
      <c r="F415" s="47"/>
      <c r="G415" s="47"/>
      <c r="H415" s="47"/>
    </row>
    <row r="416">
      <c r="A416" s="47"/>
      <c r="B416" s="52"/>
      <c r="C416" s="52"/>
      <c r="D416" s="52"/>
      <c r="E416" s="52"/>
      <c r="F416" s="47"/>
      <c r="G416" s="47"/>
      <c r="H416" s="47"/>
    </row>
    <row r="417">
      <c r="A417" s="47"/>
      <c r="B417" s="52"/>
      <c r="C417" s="52"/>
      <c r="D417" s="52"/>
      <c r="E417" s="52"/>
      <c r="F417" s="47"/>
      <c r="G417" s="47"/>
      <c r="H417" s="47"/>
    </row>
    <row r="418">
      <c r="A418" s="47"/>
      <c r="B418" s="52"/>
      <c r="C418" s="52"/>
      <c r="D418" s="52"/>
      <c r="E418" s="52"/>
      <c r="F418" s="47"/>
      <c r="G418" s="47"/>
      <c r="H418" s="47"/>
    </row>
    <row r="419">
      <c r="A419" s="47"/>
      <c r="B419" s="52"/>
      <c r="C419" s="52"/>
      <c r="D419" s="52"/>
      <c r="E419" s="52"/>
      <c r="F419" s="47"/>
      <c r="G419" s="47"/>
      <c r="H419" s="47"/>
    </row>
    <row r="420">
      <c r="A420" s="47"/>
      <c r="B420" s="52"/>
      <c r="C420" s="52"/>
      <c r="D420" s="52"/>
      <c r="E420" s="52"/>
      <c r="F420" s="47"/>
      <c r="G420" s="47"/>
      <c r="H420" s="47"/>
    </row>
    <row r="421">
      <c r="A421" s="47"/>
      <c r="B421" s="52"/>
      <c r="C421" s="52"/>
      <c r="D421" s="52"/>
      <c r="E421" s="52"/>
      <c r="F421" s="47"/>
      <c r="G421" s="47"/>
      <c r="H421" s="47"/>
    </row>
    <row r="422">
      <c r="A422" s="47"/>
      <c r="B422" s="52"/>
      <c r="C422" s="52"/>
      <c r="D422" s="52"/>
      <c r="E422" s="52"/>
      <c r="F422" s="47"/>
      <c r="G422" s="47"/>
      <c r="H422" s="47"/>
    </row>
    <row r="423">
      <c r="A423" s="47"/>
      <c r="B423" s="52"/>
      <c r="C423" s="52"/>
      <c r="D423" s="52"/>
      <c r="E423" s="52"/>
      <c r="F423" s="47"/>
      <c r="G423" s="47"/>
      <c r="H423" s="47"/>
    </row>
    <row r="424">
      <c r="A424" s="47"/>
      <c r="B424" s="52"/>
      <c r="C424" s="52"/>
      <c r="D424" s="52"/>
      <c r="E424" s="52"/>
      <c r="F424" s="47"/>
      <c r="G424" s="47"/>
      <c r="H424" s="47"/>
    </row>
    <row r="425">
      <c r="A425" s="47"/>
      <c r="B425" s="52"/>
      <c r="C425" s="52"/>
      <c r="D425" s="52"/>
      <c r="E425" s="52"/>
      <c r="F425" s="47"/>
      <c r="G425" s="47"/>
      <c r="H425" s="47"/>
    </row>
    <row r="426">
      <c r="A426" s="47"/>
      <c r="B426" s="52"/>
      <c r="C426" s="52"/>
      <c r="D426" s="52"/>
      <c r="E426" s="52"/>
      <c r="F426" s="47"/>
      <c r="G426" s="47"/>
      <c r="H426" s="47"/>
    </row>
    <row r="427">
      <c r="A427" s="47"/>
      <c r="B427" s="52"/>
      <c r="C427" s="52"/>
      <c r="D427" s="52"/>
      <c r="E427" s="52"/>
      <c r="F427" s="47"/>
      <c r="G427" s="47"/>
      <c r="H427" s="47"/>
    </row>
    <row r="428">
      <c r="A428" s="47"/>
      <c r="B428" s="52"/>
      <c r="C428" s="52"/>
      <c r="D428" s="52"/>
      <c r="E428" s="52"/>
      <c r="F428" s="47"/>
      <c r="G428" s="47"/>
      <c r="H428" s="47"/>
    </row>
    <row r="429">
      <c r="A429" s="47"/>
      <c r="B429" s="52"/>
      <c r="C429" s="52"/>
      <c r="D429" s="52"/>
      <c r="E429" s="52"/>
      <c r="F429" s="47"/>
      <c r="G429" s="47"/>
      <c r="H429" s="47"/>
    </row>
    <row r="430">
      <c r="A430" s="47"/>
      <c r="B430" s="52"/>
      <c r="C430" s="52"/>
      <c r="D430" s="52"/>
      <c r="E430" s="52"/>
      <c r="F430" s="47"/>
      <c r="G430" s="47"/>
      <c r="H430" s="47"/>
    </row>
    <row r="431">
      <c r="A431" s="47"/>
      <c r="B431" s="52"/>
      <c r="C431" s="52"/>
      <c r="D431" s="52"/>
      <c r="E431" s="52"/>
      <c r="F431" s="47"/>
      <c r="G431" s="47"/>
      <c r="H431" s="47"/>
    </row>
    <row r="432">
      <c r="A432" s="47"/>
      <c r="B432" s="52"/>
      <c r="C432" s="52"/>
      <c r="D432" s="52"/>
      <c r="E432" s="52"/>
      <c r="F432" s="47"/>
      <c r="G432" s="47"/>
      <c r="H432" s="47"/>
    </row>
    <row r="433">
      <c r="A433" s="47"/>
      <c r="B433" s="52"/>
      <c r="C433" s="52"/>
      <c r="D433" s="52"/>
      <c r="E433" s="52"/>
      <c r="F433" s="47"/>
      <c r="G433" s="47"/>
      <c r="H433" s="47"/>
    </row>
    <row r="434">
      <c r="A434" s="47"/>
      <c r="B434" s="52"/>
      <c r="C434" s="52"/>
      <c r="D434" s="52"/>
      <c r="E434" s="52"/>
      <c r="F434" s="47"/>
      <c r="G434" s="47"/>
      <c r="H434" s="47"/>
    </row>
    <row r="435">
      <c r="A435" s="47"/>
      <c r="B435" s="52"/>
      <c r="C435" s="52"/>
      <c r="D435" s="52"/>
      <c r="E435" s="52"/>
      <c r="F435" s="47"/>
      <c r="G435" s="47"/>
      <c r="H435" s="47"/>
    </row>
    <row r="436">
      <c r="A436" s="47"/>
      <c r="B436" s="52"/>
      <c r="C436" s="52"/>
      <c r="D436" s="52"/>
      <c r="E436" s="52"/>
      <c r="F436" s="47"/>
      <c r="G436" s="47"/>
      <c r="H436" s="47"/>
    </row>
    <row r="437">
      <c r="A437" s="47"/>
      <c r="B437" s="52"/>
      <c r="C437" s="52"/>
      <c r="D437" s="52"/>
      <c r="E437" s="52"/>
      <c r="F437" s="47"/>
      <c r="G437" s="47"/>
      <c r="H437" s="47"/>
    </row>
    <row r="438">
      <c r="A438" s="47"/>
      <c r="B438" s="52"/>
      <c r="C438" s="52"/>
      <c r="D438" s="52"/>
      <c r="E438" s="52"/>
      <c r="F438" s="47"/>
      <c r="G438" s="47"/>
      <c r="H438" s="47"/>
    </row>
    <row r="439">
      <c r="A439" s="47"/>
      <c r="B439" s="52"/>
      <c r="C439" s="52"/>
      <c r="D439" s="52"/>
      <c r="E439" s="52"/>
      <c r="F439" s="47"/>
      <c r="G439" s="47"/>
      <c r="H439" s="47"/>
    </row>
    <row r="440">
      <c r="A440" s="47"/>
      <c r="B440" s="52"/>
      <c r="C440" s="52"/>
      <c r="D440" s="52"/>
      <c r="E440" s="52"/>
      <c r="F440" s="47"/>
      <c r="G440" s="47"/>
      <c r="H440" s="47"/>
    </row>
    <row r="441">
      <c r="A441" s="47"/>
      <c r="B441" s="52"/>
      <c r="C441" s="52"/>
      <c r="D441" s="52"/>
      <c r="E441" s="52"/>
      <c r="F441" s="47"/>
      <c r="G441" s="47"/>
      <c r="H441" s="47"/>
    </row>
    <row r="442">
      <c r="A442" s="47"/>
      <c r="B442" s="52"/>
      <c r="C442" s="52"/>
      <c r="D442" s="52"/>
      <c r="E442" s="52"/>
      <c r="F442" s="47"/>
      <c r="G442" s="47"/>
      <c r="H442" s="47"/>
    </row>
    <row r="443">
      <c r="A443" s="47"/>
      <c r="B443" s="52"/>
      <c r="C443" s="52"/>
      <c r="D443" s="52"/>
      <c r="E443" s="52"/>
      <c r="F443" s="47"/>
      <c r="G443" s="47"/>
      <c r="H443" s="47"/>
    </row>
    <row r="444">
      <c r="A444" s="47"/>
      <c r="B444" s="52"/>
      <c r="C444" s="52"/>
      <c r="D444" s="52"/>
      <c r="E444" s="52"/>
      <c r="F444" s="47"/>
      <c r="G444" s="47"/>
      <c r="H444" s="47"/>
    </row>
    <row r="445">
      <c r="A445" s="47"/>
      <c r="B445" s="52"/>
      <c r="C445" s="52"/>
      <c r="D445" s="52"/>
      <c r="E445" s="52"/>
      <c r="F445" s="47"/>
      <c r="G445" s="47"/>
      <c r="H445" s="47"/>
    </row>
    <row r="446">
      <c r="A446" s="47"/>
      <c r="B446" s="52"/>
      <c r="C446" s="52"/>
      <c r="D446" s="52"/>
      <c r="E446" s="52"/>
      <c r="F446" s="47"/>
      <c r="G446" s="47"/>
      <c r="H446" s="47"/>
    </row>
    <row r="447">
      <c r="A447" s="47"/>
      <c r="B447" s="52"/>
      <c r="C447" s="52"/>
      <c r="D447" s="52"/>
      <c r="E447" s="52"/>
      <c r="F447" s="47"/>
      <c r="G447" s="47"/>
      <c r="H447" s="47"/>
    </row>
    <row r="448">
      <c r="A448" s="47"/>
      <c r="B448" s="52"/>
      <c r="C448" s="52"/>
      <c r="D448" s="52"/>
      <c r="E448" s="52"/>
      <c r="F448" s="47"/>
      <c r="G448" s="47"/>
      <c r="H448" s="47"/>
    </row>
    <row r="449">
      <c r="A449" s="47"/>
      <c r="B449" s="52"/>
      <c r="C449" s="52"/>
      <c r="D449" s="52"/>
      <c r="E449" s="52"/>
      <c r="F449" s="47"/>
      <c r="G449" s="47"/>
      <c r="H449" s="47"/>
    </row>
    <row r="450">
      <c r="A450" s="47"/>
      <c r="B450" s="52"/>
      <c r="C450" s="52"/>
      <c r="D450" s="52"/>
      <c r="E450" s="52"/>
      <c r="F450" s="47"/>
      <c r="G450" s="47"/>
      <c r="H450" s="47"/>
    </row>
    <row r="451">
      <c r="A451" s="47"/>
      <c r="B451" s="52"/>
      <c r="C451" s="52"/>
      <c r="D451" s="52"/>
      <c r="E451" s="52"/>
      <c r="F451" s="47"/>
      <c r="G451" s="47"/>
      <c r="H451" s="47"/>
    </row>
    <row r="452">
      <c r="A452" s="47"/>
      <c r="B452" s="52"/>
      <c r="C452" s="52"/>
      <c r="D452" s="52"/>
      <c r="E452" s="52"/>
      <c r="F452" s="47"/>
      <c r="G452" s="47"/>
      <c r="H452" s="47"/>
    </row>
    <row r="453">
      <c r="A453" s="47"/>
      <c r="B453" s="52"/>
      <c r="C453" s="52"/>
      <c r="D453" s="52"/>
      <c r="E453" s="52"/>
      <c r="F453" s="47"/>
      <c r="G453" s="47"/>
      <c r="H453" s="47"/>
    </row>
    <row r="454">
      <c r="A454" s="47"/>
      <c r="B454" s="52"/>
      <c r="C454" s="52"/>
      <c r="D454" s="52"/>
      <c r="E454" s="52"/>
      <c r="F454" s="47"/>
      <c r="G454" s="47"/>
      <c r="H454" s="47"/>
    </row>
    <row r="455">
      <c r="A455" s="47"/>
      <c r="B455" s="52"/>
      <c r="C455" s="52"/>
      <c r="D455" s="52"/>
      <c r="E455" s="52"/>
      <c r="F455" s="47"/>
      <c r="G455" s="47"/>
      <c r="H455" s="47"/>
    </row>
    <row r="456">
      <c r="A456" s="47"/>
      <c r="B456" s="52"/>
      <c r="C456" s="52"/>
      <c r="D456" s="52"/>
      <c r="E456" s="52"/>
      <c r="F456" s="47"/>
      <c r="G456" s="47"/>
      <c r="H456" s="47"/>
    </row>
    <row r="457">
      <c r="A457" s="47"/>
      <c r="B457" s="52"/>
      <c r="C457" s="52"/>
      <c r="D457" s="52"/>
      <c r="E457" s="52"/>
      <c r="F457" s="47"/>
      <c r="G457" s="47"/>
      <c r="H457" s="47"/>
    </row>
    <row r="458">
      <c r="A458" s="47"/>
      <c r="B458" s="52"/>
      <c r="C458" s="52"/>
      <c r="D458" s="52"/>
      <c r="E458" s="52"/>
      <c r="F458" s="47"/>
      <c r="G458" s="47"/>
      <c r="H458" s="47"/>
    </row>
    <row r="459">
      <c r="A459" s="47"/>
      <c r="B459" s="52"/>
      <c r="C459" s="52"/>
      <c r="D459" s="52"/>
      <c r="E459" s="52"/>
      <c r="F459" s="47"/>
      <c r="G459" s="47"/>
      <c r="H459" s="47"/>
    </row>
    <row r="460">
      <c r="A460" s="47"/>
      <c r="B460" s="52"/>
      <c r="C460" s="52"/>
      <c r="D460" s="52"/>
      <c r="E460" s="52"/>
      <c r="F460" s="47"/>
      <c r="G460" s="47"/>
      <c r="H460" s="47"/>
    </row>
    <row r="461">
      <c r="A461" s="47"/>
      <c r="B461" s="52"/>
      <c r="C461" s="52"/>
      <c r="D461" s="52"/>
      <c r="E461" s="52"/>
      <c r="F461" s="47"/>
      <c r="G461" s="47"/>
      <c r="H461" s="47"/>
    </row>
    <row r="462">
      <c r="A462" s="47"/>
      <c r="B462" s="52"/>
      <c r="C462" s="52"/>
      <c r="D462" s="52"/>
      <c r="E462" s="52"/>
      <c r="F462" s="47"/>
      <c r="G462" s="47"/>
      <c r="H462" s="47"/>
    </row>
    <row r="463">
      <c r="A463" s="47"/>
      <c r="B463" s="52"/>
      <c r="C463" s="52"/>
      <c r="D463" s="52"/>
      <c r="E463" s="52"/>
      <c r="F463" s="47"/>
      <c r="G463" s="47"/>
      <c r="H463" s="47"/>
    </row>
    <row r="464">
      <c r="A464" s="47"/>
      <c r="B464" s="52"/>
      <c r="C464" s="52"/>
      <c r="D464" s="52"/>
      <c r="E464" s="52"/>
      <c r="F464" s="47"/>
      <c r="G464" s="47"/>
      <c r="H464" s="47"/>
    </row>
    <row r="465">
      <c r="A465" s="47"/>
      <c r="B465" s="52"/>
      <c r="C465" s="52"/>
      <c r="D465" s="52"/>
      <c r="E465" s="52"/>
      <c r="F465" s="47"/>
      <c r="G465" s="47"/>
      <c r="H465" s="47"/>
    </row>
    <row r="466">
      <c r="A466" s="47"/>
      <c r="B466" s="52"/>
      <c r="C466" s="52"/>
      <c r="D466" s="52"/>
      <c r="E466" s="52"/>
      <c r="F466" s="47"/>
      <c r="G466" s="47"/>
      <c r="H466" s="47"/>
    </row>
    <row r="467">
      <c r="A467" s="47"/>
      <c r="B467" s="52"/>
      <c r="C467" s="52"/>
      <c r="D467" s="52"/>
      <c r="E467" s="52"/>
      <c r="F467" s="47"/>
      <c r="G467" s="47"/>
      <c r="H467" s="47"/>
    </row>
    <row r="468">
      <c r="A468" s="47"/>
      <c r="B468" s="52"/>
      <c r="C468" s="52"/>
      <c r="D468" s="52"/>
      <c r="E468" s="52"/>
      <c r="F468" s="47"/>
      <c r="G468" s="47"/>
      <c r="H468" s="47"/>
    </row>
    <row r="469">
      <c r="A469" s="47"/>
      <c r="B469" s="52"/>
      <c r="C469" s="52"/>
      <c r="D469" s="52"/>
      <c r="E469" s="52"/>
      <c r="F469" s="47"/>
      <c r="G469" s="47"/>
      <c r="H469" s="47"/>
    </row>
    <row r="470">
      <c r="A470" s="47"/>
      <c r="B470" s="52"/>
      <c r="C470" s="52"/>
      <c r="D470" s="52"/>
      <c r="E470" s="52"/>
      <c r="F470" s="47"/>
      <c r="G470" s="47"/>
      <c r="H470" s="47"/>
    </row>
    <row r="471">
      <c r="A471" s="47"/>
      <c r="B471" s="52"/>
      <c r="C471" s="52"/>
      <c r="D471" s="52"/>
      <c r="E471" s="52"/>
      <c r="F471" s="47"/>
      <c r="G471" s="47"/>
      <c r="H471" s="47"/>
    </row>
    <row r="472">
      <c r="A472" s="47"/>
      <c r="B472" s="52"/>
      <c r="C472" s="52"/>
      <c r="D472" s="52"/>
      <c r="E472" s="52"/>
      <c r="F472" s="47"/>
      <c r="G472" s="47"/>
      <c r="H472" s="47"/>
    </row>
    <row r="473">
      <c r="A473" s="47"/>
      <c r="B473" s="52"/>
      <c r="C473" s="52"/>
      <c r="D473" s="52"/>
      <c r="E473" s="52"/>
      <c r="F473" s="47"/>
      <c r="G473" s="47"/>
      <c r="H473" s="47"/>
    </row>
    <row r="474">
      <c r="A474" s="47"/>
      <c r="B474" s="52"/>
      <c r="C474" s="52"/>
      <c r="D474" s="52"/>
      <c r="E474" s="52"/>
      <c r="F474" s="47"/>
      <c r="G474" s="47"/>
      <c r="H474" s="47"/>
    </row>
    <row r="475">
      <c r="A475" s="47"/>
      <c r="B475" s="52"/>
      <c r="C475" s="52"/>
      <c r="D475" s="52"/>
      <c r="E475" s="52"/>
      <c r="F475" s="47"/>
      <c r="G475" s="47"/>
      <c r="H475" s="47"/>
    </row>
    <row r="476">
      <c r="A476" s="47"/>
      <c r="B476" s="52"/>
      <c r="C476" s="52"/>
      <c r="D476" s="52"/>
      <c r="E476" s="52"/>
      <c r="F476" s="47"/>
      <c r="G476" s="47"/>
      <c r="H476" s="47"/>
    </row>
    <row r="477">
      <c r="A477" s="47"/>
      <c r="B477" s="52"/>
      <c r="C477" s="52"/>
      <c r="D477" s="52"/>
      <c r="E477" s="52"/>
      <c r="F477" s="47"/>
      <c r="G477" s="47"/>
      <c r="H477" s="47"/>
    </row>
    <row r="478">
      <c r="A478" s="47"/>
      <c r="B478" s="52"/>
      <c r="C478" s="52"/>
      <c r="D478" s="52"/>
      <c r="E478" s="52"/>
      <c r="F478" s="47"/>
      <c r="G478" s="47"/>
      <c r="H478" s="47"/>
    </row>
    <row r="479">
      <c r="A479" s="47"/>
      <c r="B479" s="52"/>
      <c r="C479" s="52"/>
      <c r="D479" s="52"/>
      <c r="E479" s="52"/>
      <c r="F479" s="47"/>
      <c r="G479" s="47"/>
      <c r="H479" s="47"/>
    </row>
    <row r="480">
      <c r="A480" s="47"/>
      <c r="B480" s="52"/>
      <c r="C480" s="52"/>
      <c r="D480" s="52"/>
      <c r="E480" s="52"/>
      <c r="F480" s="47"/>
      <c r="G480" s="47"/>
      <c r="H480" s="47"/>
    </row>
    <row r="481">
      <c r="A481" s="47"/>
      <c r="B481" s="52"/>
      <c r="C481" s="52"/>
      <c r="D481" s="52"/>
      <c r="E481" s="52"/>
      <c r="F481" s="47"/>
      <c r="G481" s="47"/>
      <c r="H481" s="47"/>
    </row>
    <row r="482">
      <c r="A482" s="47"/>
      <c r="B482" s="52"/>
      <c r="C482" s="52"/>
      <c r="D482" s="52"/>
      <c r="E482" s="52"/>
      <c r="F482" s="47"/>
      <c r="G482" s="47"/>
      <c r="H482" s="47"/>
    </row>
    <row r="483">
      <c r="A483" s="47"/>
      <c r="B483" s="52"/>
      <c r="C483" s="52"/>
      <c r="D483" s="52"/>
      <c r="E483" s="52"/>
      <c r="F483" s="47"/>
      <c r="G483" s="47"/>
      <c r="H483" s="47"/>
    </row>
    <row r="484">
      <c r="A484" s="47"/>
      <c r="B484" s="52"/>
      <c r="C484" s="52"/>
      <c r="D484" s="52"/>
      <c r="E484" s="52"/>
      <c r="F484" s="47"/>
      <c r="G484" s="47"/>
      <c r="H484" s="47"/>
    </row>
    <row r="485">
      <c r="A485" s="47"/>
      <c r="B485" s="52"/>
      <c r="C485" s="52"/>
      <c r="D485" s="52"/>
      <c r="E485" s="52"/>
      <c r="F485" s="47"/>
      <c r="G485" s="47"/>
      <c r="H485" s="47"/>
    </row>
    <row r="486">
      <c r="A486" s="47"/>
      <c r="B486" s="52"/>
      <c r="C486" s="52"/>
      <c r="D486" s="52"/>
      <c r="E486" s="52"/>
      <c r="F486" s="47"/>
      <c r="G486" s="47"/>
      <c r="H486" s="47"/>
    </row>
    <row r="487">
      <c r="A487" s="47"/>
      <c r="B487" s="52"/>
      <c r="C487" s="52"/>
      <c r="D487" s="52"/>
      <c r="E487" s="52"/>
      <c r="F487" s="47"/>
      <c r="G487" s="47"/>
      <c r="H487" s="47"/>
    </row>
    <row r="488">
      <c r="A488" s="47"/>
      <c r="B488" s="52"/>
      <c r="C488" s="52"/>
      <c r="D488" s="52"/>
      <c r="E488" s="52"/>
      <c r="F488" s="47"/>
      <c r="G488" s="47"/>
      <c r="H488" s="47"/>
    </row>
    <row r="489">
      <c r="A489" s="47"/>
      <c r="B489" s="52"/>
      <c r="C489" s="52"/>
      <c r="D489" s="52"/>
      <c r="E489" s="52"/>
      <c r="F489" s="47"/>
      <c r="G489" s="47"/>
      <c r="H489" s="47"/>
    </row>
    <row r="490">
      <c r="A490" s="47"/>
      <c r="B490" s="52"/>
      <c r="C490" s="52"/>
      <c r="D490" s="52"/>
      <c r="E490" s="52"/>
      <c r="F490" s="47"/>
      <c r="G490" s="47"/>
      <c r="H490" s="47"/>
    </row>
    <row r="491">
      <c r="A491" s="47"/>
      <c r="B491" s="52"/>
      <c r="C491" s="52"/>
      <c r="D491" s="52"/>
      <c r="E491" s="52"/>
      <c r="F491" s="47"/>
      <c r="G491" s="47"/>
      <c r="H491" s="47"/>
    </row>
    <row r="492">
      <c r="A492" s="47"/>
      <c r="B492" s="52"/>
      <c r="C492" s="52"/>
      <c r="D492" s="52"/>
      <c r="E492" s="52"/>
      <c r="F492" s="47"/>
      <c r="G492" s="47"/>
      <c r="H492" s="47"/>
    </row>
    <row r="493">
      <c r="A493" s="47"/>
      <c r="B493" s="52"/>
      <c r="C493" s="52"/>
      <c r="D493" s="52"/>
      <c r="E493" s="52"/>
      <c r="F493" s="47"/>
      <c r="G493" s="47"/>
      <c r="H493" s="47"/>
    </row>
    <row r="494">
      <c r="A494" s="47"/>
      <c r="B494" s="52"/>
      <c r="C494" s="52"/>
      <c r="D494" s="52"/>
      <c r="E494" s="52"/>
      <c r="F494" s="47"/>
      <c r="G494" s="47"/>
      <c r="H494" s="47"/>
    </row>
    <row r="495">
      <c r="A495" s="47"/>
      <c r="B495" s="52"/>
      <c r="C495" s="52"/>
      <c r="D495" s="52"/>
      <c r="E495" s="52"/>
      <c r="F495" s="47"/>
      <c r="G495" s="47"/>
      <c r="H495" s="47"/>
    </row>
    <row r="496">
      <c r="A496" s="47"/>
      <c r="B496" s="52"/>
      <c r="C496" s="52"/>
      <c r="D496" s="52"/>
      <c r="E496" s="52"/>
      <c r="F496" s="47"/>
      <c r="G496" s="47"/>
      <c r="H496" s="47"/>
    </row>
    <row r="497">
      <c r="A497" s="47"/>
      <c r="B497" s="52"/>
      <c r="C497" s="52"/>
      <c r="D497" s="52"/>
      <c r="E497" s="52"/>
      <c r="F497" s="47"/>
      <c r="G497" s="47"/>
      <c r="H497" s="47"/>
    </row>
    <row r="498">
      <c r="A498" s="47"/>
      <c r="B498" s="52"/>
      <c r="C498" s="52"/>
      <c r="D498" s="52"/>
      <c r="E498" s="52"/>
      <c r="F498" s="47"/>
      <c r="G498" s="47"/>
      <c r="H498" s="47"/>
    </row>
    <row r="499">
      <c r="A499" s="47"/>
      <c r="B499" s="52"/>
      <c r="C499" s="52"/>
      <c r="D499" s="52"/>
      <c r="E499" s="52"/>
      <c r="F499" s="47"/>
      <c r="G499" s="47"/>
      <c r="H499" s="47"/>
    </row>
    <row r="500">
      <c r="A500" s="47"/>
      <c r="B500" s="52"/>
      <c r="C500" s="52"/>
      <c r="D500" s="52"/>
      <c r="E500" s="52"/>
      <c r="F500" s="47"/>
      <c r="G500" s="47"/>
      <c r="H500" s="47"/>
    </row>
    <row r="501">
      <c r="A501" s="47"/>
      <c r="B501" s="52"/>
      <c r="C501" s="52"/>
      <c r="D501" s="52"/>
      <c r="E501" s="52"/>
      <c r="F501" s="47"/>
      <c r="G501" s="47"/>
      <c r="H501" s="47"/>
    </row>
    <row r="502">
      <c r="A502" s="47"/>
      <c r="B502" s="52"/>
      <c r="C502" s="52"/>
      <c r="D502" s="52"/>
      <c r="E502" s="52"/>
      <c r="F502" s="47"/>
      <c r="G502" s="47"/>
      <c r="H502" s="47"/>
    </row>
    <row r="503">
      <c r="A503" s="47"/>
      <c r="B503" s="52"/>
      <c r="C503" s="52"/>
      <c r="D503" s="52"/>
      <c r="E503" s="52"/>
      <c r="F503" s="47"/>
      <c r="G503" s="47"/>
      <c r="H503" s="47"/>
    </row>
    <row r="504">
      <c r="A504" s="47"/>
      <c r="B504" s="52"/>
      <c r="C504" s="52"/>
      <c r="D504" s="52"/>
      <c r="E504" s="52"/>
      <c r="F504" s="47"/>
      <c r="G504" s="47"/>
      <c r="H504" s="47"/>
    </row>
    <row r="505">
      <c r="A505" s="47"/>
      <c r="B505" s="52"/>
      <c r="C505" s="52"/>
      <c r="D505" s="52"/>
      <c r="E505" s="52"/>
      <c r="F505" s="47"/>
      <c r="G505" s="47"/>
      <c r="H505" s="47"/>
    </row>
    <row r="506">
      <c r="A506" s="47"/>
      <c r="B506" s="52"/>
      <c r="C506" s="52"/>
      <c r="D506" s="52"/>
      <c r="E506" s="52"/>
      <c r="F506" s="47"/>
      <c r="G506" s="47"/>
      <c r="H506" s="47"/>
    </row>
    <row r="507">
      <c r="A507" s="47"/>
      <c r="B507" s="52"/>
      <c r="C507" s="52"/>
      <c r="D507" s="52"/>
      <c r="E507" s="52"/>
      <c r="F507" s="47"/>
      <c r="G507" s="47"/>
      <c r="H507" s="47"/>
    </row>
    <row r="508">
      <c r="A508" s="47"/>
      <c r="B508" s="52"/>
      <c r="C508" s="52"/>
      <c r="D508" s="52"/>
      <c r="E508" s="52"/>
      <c r="F508" s="47"/>
      <c r="G508" s="47"/>
      <c r="H508" s="47"/>
    </row>
    <row r="509">
      <c r="A509" s="47"/>
      <c r="B509" s="52"/>
      <c r="C509" s="52"/>
      <c r="D509" s="52"/>
      <c r="E509" s="52"/>
      <c r="F509" s="47"/>
      <c r="G509" s="47"/>
      <c r="H509" s="47"/>
    </row>
    <row r="510">
      <c r="A510" s="47"/>
      <c r="B510" s="52"/>
      <c r="C510" s="52"/>
      <c r="D510" s="52"/>
      <c r="E510" s="52"/>
      <c r="F510" s="47"/>
      <c r="G510" s="47"/>
      <c r="H510" s="47"/>
    </row>
    <row r="511">
      <c r="A511" s="47"/>
      <c r="B511" s="52"/>
      <c r="C511" s="52"/>
      <c r="D511" s="52"/>
      <c r="E511" s="52"/>
      <c r="F511" s="47"/>
      <c r="G511" s="47"/>
      <c r="H511" s="47"/>
    </row>
    <row r="512">
      <c r="A512" s="47"/>
      <c r="B512" s="52"/>
      <c r="C512" s="52"/>
      <c r="D512" s="52"/>
      <c r="E512" s="52"/>
      <c r="F512" s="47"/>
      <c r="G512" s="47"/>
      <c r="H512" s="47"/>
    </row>
    <row r="513">
      <c r="A513" s="47"/>
      <c r="B513" s="52"/>
      <c r="C513" s="52"/>
      <c r="D513" s="52"/>
      <c r="E513" s="52"/>
      <c r="F513" s="47"/>
      <c r="G513" s="47"/>
      <c r="H513" s="47"/>
    </row>
    <row r="514">
      <c r="A514" s="47"/>
      <c r="B514" s="52"/>
      <c r="C514" s="52"/>
      <c r="D514" s="52"/>
      <c r="E514" s="52"/>
      <c r="F514" s="47"/>
      <c r="G514" s="47"/>
      <c r="H514" s="47"/>
    </row>
    <row r="515">
      <c r="A515" s="47"/>
      <c r="B515" s="52"/>
      <c r="C515" s="52"/>
      <c r="D515" s="52"/>
      <c r="E515" s="52"/>
      <c r="F515" s="47"/>
      <c r="G515" s="47"/>
      <c r="H515" s="47"/>
    </row>
    <row r="516">
      <c r="A516" s="47"/>
      <c r="B516" s="52"/>
      <c r="C516" s="52"/>
      <c r="D516" s="52"/>
      <c r="E516" s="52"/>
      <c r="F516" s="47"/>
      <c r="G516" s="47"/>
      <c r="H516" s="47"/>
    </row>
    <row r="517">
      <c r="A517" s="47"/>
      <c r="B517" s="52"/>
      <c r="C517" s="52"/>
      <c r="D517" s="52"/>
      <c r="E517" s="52"/>
      <c r="F517" s="47"/>
      <c r="G517" s="47"/>
      <c r="H517" s="47"/>
    </row>
    <row r="518">
      <c r="A518" s="47"/>
      <c r="B518" s="52"/>
      <c r="C518" s="52"/>
      <c r="D518" s="52"/>
      <c r="E518" s="52"/>
      <c r="F518" s="47"/>
      <c r="G518" s="47"/>
      <c r="H518" s="47"/>
    </row>
    <row r="519">
      <c r="A519" s="47"/>
      <c r="B519" s="52"/>
      <c r="C519" s="52"/>
      <c r="D519" s="52"/>
      <c r="E519" s="52"/>
      <c r="F519" s="47"/>
      <c r="G519" s="47"/>
      <c r="H519" s="47"/>
    </row>
    <row r="520">
      <c r="A520" s="47"/>
      <c r="B520" s="52"/>
      <c r="C520" s="52"/>
      <c r="D520" s="52"/>
      <c r="E520" s="52"/>
      <c r="F520" s="47"/>
      <c r="G520" s="47"/>
      <c r="H520" s="47"/>
    </row>
    <row r="521">
      <c r="A521" s="47"/>
      <c r="B521" s="52"/>
      <c r="C521" s="52"/>
      <c r="D521" s="52"/>
      <c r="E521" s="52"/>
      <c r="F521" s="47"/>
      <c r="G521" s="47"/>
      <c r="H521" s="47"/>
    </row>
    <row r="522">
      <c r="A522" s="47"/>
      <c r="B522" s="52"/>
      <c r="C522" s="52"/>
      <c r="D522" s="52"/>
      <c r="E522" s="52"/>
      <c r="F522" s="47"/>
      <c r="G522" s="47"/>
      <c r="H522" s="47"/>
    </row>
    <row r="523">
      <c r="A523" s="47"/>
      <c r="B523" s="52"/>
      <c r="C523" s="52"/>
      <c r="D523" s="52"/>
      <c r="E523" s="52"/>
      <c r="F523" s="47"/>
      <c r="G523" s="47"/>
      <c r="H523" s="47"/>
    </row>
    <row r="524">
      <c r="A524" s="47"/>
      <c r="B524" s="52"/>
      <c r="C524" s="52"/>
      <c r="D524" s="52"/>
      <c r="E524" s="52"/>
      <c r="F524" s="47"/>
      <c r="G524" s="47"/>
      <c r="H524" s="47"/>
    </row>
    <row r="525">
      <c r="A525" s="47"/>
      <c r="B525" s="52"/>
      <c r="C525" s="52"/>
      <c r="D525" s="52"/>
      <c r="E525" s="52"/>
      <c r="F525" s="47"/>
      <c r="G525" s="47"/>
      <c r="H525" s="47"/>
    </row>
    <row r="526">
      <c r="A526" s="47"/>
      <c r="B526" s="52"/>
      <c r="C526" s="52"/>
      <c r="D526" s="52"/>
      <c r="E526" s="52"/>
      <c r="F526" s="47"/>
      <c r="G526" s="47"/>
      <c r="H526" s="47"/>
    </row>
    <row r="527">
      <c r="A527" s="47"/>
      <c r="B527" s="52"/>
      <c r="C527" s="52"/>
      <c r="D527" s="52"/>
      <c r="E527" s="52"/>
      <c r="F527" s="47"/>
      <c r="G527" s="47"/>
      <c r="H527" s="47"/>
    </row>
    <row r="528">
      <c r="A528" s="47"/>
      <c r="B528" s="52"/>
      <c r="C528" s="52"/>
      <c r="D528" s="52"/>
      <c r="E528" s="52"/>
      <c r="F528" s="47"/>
      <c r="G528" s="47"/>
      <c r="H528" s="47"/>
    </row>
    <row r="529">
      <c r="A529" s="47"/>
      <c r="B529" s="52"/>
      <c r="C529" s="52"/>
      <c r="D529" s="52"/>
      <c r="E529" s="52"/>
      <c r="F529" s="47"/>
      <c r="G529" s="47"/>
      <c r="H529" s="47"/>
    </row>
    <row r="530">
      <c r="A530" s="47"/>
      <c r="B530" s="52"/>
      <c r="C530" s="52"/>
      <c r="D530" s="52"/>
      <c r="E530" s="52"/>
      <c r="F530" s="47"/>
      <c r="G530" s="47"/>
      <c r="H530" s="47"/>
    </row>
    <row r="531">
      <c r="A531" s="47"/>
      <c r="B531" s="52"/>
      <c r="C531" s="52"/>
      <c r="D531" s="52"/>
      <c r="E531" s="52"/>
      <c r="F531" s="47"/>
      <c r="G531" s="47"/>
      <c r="H531" s="47"/>
    </row>
    <row r="532">
      <c r="A532" s="47"/>
      <c r="B532" s="52"/>
      <c r="C532" s="52"/>
      <c r="D532" s="52"/>
      <c r="E532" s="52"/>
      <c r="F532" s="47"/>
      <c r="G532" s="47"/>
      <c r="H532" s="47"/>
    </row>
    <row r="533">
      <c r="A533" s="47"/>
      <c r="B533" s="52"/>
      <c r="C533" s="52"/>
      <c r="D533" s="52"/>
      <c r="E533" s="52"/>
      <c r="F533" s="47"/>
      <c r="G533" s="47"/>
      <c r="H533" s="47"/>
    </row>
    <row r="534">
      <c r="A534" s="47"/>
      <c r="B534" s="52"/>
      <c r="C534" s="52"/>
      <c r="D534" s="52"/>
      <c r="E534" s="52"/>
      <c r="F534" s="47"/>
      <c r="G534" s="47"/>
      <c r="H534" s="47"/>
    </row>
    <row r="535">
      <c r="A535" s="47"/>
      <c r="B535" s="52"/>
      <c r="C535" s="52"/>
      <c r="D535" s="52"/>
      <c r="E535" s="52"/>
      <c r="F535" s="47"/>
      <c r="G535" s="47"/>
      <c r="H535" s="47"/>
    </row>
    <row r="536">
      <c r="A536" s="47"/>
      <c r="B536" s="52"/>
      <c r="C536" s="52"/>
      <c r="D536" s="52"/>
      <c r="E536" s="52"/>
      <c r="F536" s="47"/>
      <c r="G536" s="47"/>
      <c r="H536" s="47"/>
    </row>
    <row r="537">
      <c r="A537" s="47"/>
      <c r="B537" s="52"/>
      <c r="C537" s="52"/>
      <c r="D537" s="52"/>
      <c r="E537" s="52"/>
      <c r="F537" s="47"/>
      <c r="G537" s="47"/>
      <c r="H537" s="47"/>
    </row>
    <row r="538">
      <c r="A538" s="47"/>
      <c r="B538" s="52"/>
      <c r="C538" s="52"/>
      <c r="D538" s="52"/>
      <c r="E538" s="52"/>
      <c r="F538" s="47"/>
      <c r="G538" s="47"/>
      <c r="H538" s="47"/>
    </row>
    <row r="539">
      <c r="A539" s="47"/>
      <c r="B539" s="52"/>
      <c r="C539" s="52"/>
      <c r="D539" s="52"/>
      <c r="E539" s="52"/>
      <c r="F539" s="47"/>
      <c r="G539" s="47"/>
      <c r="H539" s="47"/>
    </row>
    <row r="540">
      <c r="A540" s="47"/>
      <c r="B540" s="52"/>
      <c r="C540" s="52"/>
      <c r="D540" s="52"/>
      <c r="E540" s="52"/>
      <c r="F540" s="47"/>
      <c r="G540" s="47"/>
      <c r="H540" s="47"/>
    </row>
    <row r="541">
      <c r="A541" s="47"/>
      <c r="B541" s="52"/>
      <c r="C541" s="52"/>
      <c r="D541" s="52"/>
      <c r="E541" s="52"/>
      <c r="F541" s="47"/>
      <c r="G541" s="47"/>
      <c r="H541" s="47"/>
    </row>
    <row r="542">
      <c r="A542" s="47"/>
      <c r="B542" s="52"/>
      <c r="C542" s="52"/>
      <c r="D542" s="52"/>
      <c r="E542" s="52"/>
      <c r="F542" s="47"/>
      <c r="G542" s="47"/>
      <c r="H542" s="47"/>
    </row>
    <row r="543">
      <c r="A543" s="47"/>
      <c r="B543" s="52"/>
      <c r="C543" s="52"/>
      <c r="D543" s="52"/>
      <c r="E543" s="52"/>
      <c r="F543" s="47"/>
      <c r="G543" s="47"/>
      <c r="H543" s="47"/>
    </row>
    <row r="544">
      <c r="A544" s="47"/>
      <c r="B544" s="52"/>
      <c r="C544" s="52"/>
      <c r="D544" s="52"/>
      <c r="E544" s="52"/>
      <c r="F544" s="47"/>
      <c r="G544" s="47"/>
      <c r="H544" s="47"/>
    </row>
    <row r="545">
      <c r="A545" s="47"/>
      <c r="B545" s="52"/>
      <c r="C545" s="52"/>
      <c r="D545" s="52"/>
      <c r="E545" s="52"/>
      <c r="F545" s="47"/>
      <c r="G545" s="47"/>
      <c r="H545" s="47"/>
    </row>
    <row r="546">
      <c r="A546" s="47"/>
      <c r="B546" s="52"/>
      <c r="C546" s="52"/>
      <c r="D546" s="52"/>
      <c r="E546" s="52"/>
      <c r="F546" s="47"/>
      <c r="G546" s="47"/>
      <c r="H546" s="47"/>
    </row>
    <row r="547">
      <c r="A547" s="47"/>
      <c r="B547" s="52"/>
      <c r="C547" s="52"/>
      <c r="D547" s="52"/>
      <c r="E547" s="52"/>
      <c r="F547" s="47"/>
      <c r="G547" s="47"/>
      <c r="H547" s="47"/>
    </row>
    <row r="548">
      <c r="A548" s="47"/>
      <c r="B548" s="52"/>
      <c r="C548" s="52"/>
      <c r="D548" s="52"/>
      <c r="E548" s="52"/>
      <c r="F548" s="47"/>
      <c r="G548" s="47"/>
      <c r="H548" s="47"/>
    </row>
    <row r="549">
      <c r="A549" s="47"/>
      <c r="B549" s="52"/>
      <c r="C549" s="52"/>
      <c r="D549" s="52"/>
      <c r="E549" s="52"/>
      <c r="F549" s="47"/>
      <c r="G549" s="47"/>
      <c r="H549" s="47"/>
    </row>
    <row r="550">
      <c r="A550" s="47"/>
      <c r="B550" s="52"/>
      <c r="C550" s="52"/>
      <c r="D550" s="52"/>
      <c r="E550" s="52"/>
      <c r="F550" s="47"/>
      <c r="G550" s="47"/>
      <c r="H550" s="47"/>
    </row>
    <row r="551">
      <c r="A551" s="47"/>
      <c r="B551" s="52"/>
      <c r="C551" s="52"/>
      <c r="D551" s="52"/>
      <c r="E551" s="52"/>
      <c r="F551" s="47"/>
      <c r="G551" s="47"/>
      <c r="H551" s="47"/>
    </row>
    <row r="552">
      <c r="A552" s="47"/>
      <c r="B552" s="52"/>
      <c r="C552" s="52"/>
      <c r="D552" s="52"/>
      <c r="E552" s="52"/>
      <c r="F552" s="47"/>
      <c r="G552" s="47"/>
      <c r="H552" s="47"/>
    </row>
    <row r="553">
      <c r="A553" s="47"/>
      <c r="B553" s="52"/>
      <c r="C553" s="52"/>
      <c r="D553" s="52"/>
      <c r="E553" s="52"/>
      <c r="F553" s="47"/>
      <c r="G553" s="47"/>
      <c r="H553" s="47"/>
    </row>
    <row r="554">
      <c r="A554" s="47"/>
      <c r="B554" s="52"/>
      <c r="C554" s="52"/>
      <c r="D554" s="52"/>
      <c r="E554" s="52"/>
      <c r="F554" s="47"/>
      <c r="G554" s="47"/>
      <c r="H554" s="47"/>
    </row>
    <row r="555">
      <c r="A555" s="47"/>
      <c r="B555" s="52"/>
      <c r="C555" s="52"/>
      <c r="D555" s="52"/>
      <c r="E555" s="52"/>
      <c r="F555" s="47"/>
      <c r="G555" s="47"/>
      <c r="H555" s="47"/>
    </row>
    <row r="556">
      <c r="A556" s="47"/>
      <c r="B556" s="52"/>
      <c r="C556" s="52"/>
      <c r="D556" s="52"/>
      <c r="E556" s="52"/>
      <c r="F556" s="47"/>
      <c r="G556" s="47"/>
      <c r="H556" s="47"/>
    </row>
    <row r="557">
      <c r="A557" s="47"/>
      <c r="B557" s="52"/>
      <c r="C557" s="52"/>
      <c r="D557" s="52"/>
      <c r="E557" s="52"/>
      <c r="F557" s="47"/>
      <c r="G557" s="47"/>
      <c r="H557" s="47"/>
    </row>
    <row r="558">
      <c r="A558" s="47"/>
      <c r="B558" s="52"/>
      <c r="C558" s="52"/>
      <c r="D558" s="52"/>
      <c r="E558" s="52"/>
      <c r="F558" s="47"/>
      <c r="G558" s="47"/>
      <c r="H558" s="47"/>
    </row>
    <row r="559">
      <c r="A559" s="47"/>
      <c r="B559" s="52"/>
      <c r="C559" s="52"/>
      <c r="D559" s="52"/>
      <c r="E559" s="52"/>
      <c r="F559" s="47"/>
      <c r="G559" s="47"/>
      <c r="H559" s="47"/>
    </row>
    <row r="560">
      <c r="A560" s="47"/>
      <c r="B560" s="52"/>
      <c r="C560" s="52"/>
      <c r="D560" s="52"/>
      <c r="E560" s="52"/>
      <c r="F560" s="47"/>
      <c r="G560" s="47"/>
      <c r="H560" s="47"/>
    </row>
    <row r="561">
      <c r="A561" s="47"/>
      <c r="B561" s="52"/>
      <c r="C561" s="52"/>
      <c r="D561" s="52"/>
      <c r="E561" s="52"/>
      <c r="F561" s="47"/>
      <c r="G561" s="47"/>
      <c r="H561" s="47"/>
    </row>
    <row r="562">
      <c r="A562" s="47"/>
      <c r="B562" s="52"/>
      <c r="C562" s="52"/>
      <c r="D562" s="52"/>
      <c r="E562" s="52"/>
      <c r="F562" s="47"/>
      <c r="G562" s="47"/>
      <c r="H562" s="47"/>
    </row>
    <row r="563">
      <c r="A563" s="47"/>
      <c r="B563" s="52"/>
      <c r="C563" s="52"/>
      <c r="D563" s="52"/>
      <c r="E563" s="52"/>
      <c r="F563" s="47"/>
      <c r="G563" s="47"/>
      <c r="H563" s="47"/>
    </row>
    <row r="564">
      <c r="A564" s="47"/>
      <c r="B564" s="52"/>
      <c r="C564" s="52"/>
      <c r="D564" s="52"/>
      <c r="E564" s="52"/>
      <c r="F564" s="47"/>
      <c r="G564" s="47"/>
      <c r="H564" s="47"/>
    </row>
    <row r="565">
      <c r="A565" s="47"/>
      <c r="B565" s="52"/>
      <c r="C565" s="52"/>
      <c r="D565" s="52"/>
      <c r="E565" s="52"/>
      <c r="F565" s="47"/>
      <c r="G565" s="47"/>
      <c r="H565" s="47"/>
    </row>
    <row r="566">
      <c r="A566" s="47"/>
      <c r="B566" s="52"/>
      <c r="C566" s="52"/>
      <c r="D566" s="52"/>
      <c r="E566" s="52"/>
      <c r="F566" s="47"/>
      <c r="G566" s="47"/>
      <c r="H566" s="47"/>
    </row>
    <row r="567">
      <c r="A567" s="47"/>
      <c r="B567" s="52"/>
      <c r="C567" s="52"/>
      <c r="D567" s="52"/>
      <c r="E567" s="52"/>
      <c r="F567" s="47"/>
      <c r="G567" s="47"/>
      <c r="H567" s="47"/>
    </row>
    <row r="568">
      <c r="A568" s="47"/>
      <c r="B568" s="52"/>
      <c r="C568" s="52"/>
      <c r="D568" s="52"/>
      <c r="E568" s="52"/>
      <c r="F568" s="47"/>
      <c r="G568" s="47"/>
      <c r="H568" s="47"/>
    </row>
    <row r="569">
      <c r="A569" s="47"/>
      <c r="B569" s="52"/>
      <c r="C569" s="52"/>
      <c r="D569" s="52"/>
      <c r="E569" s="52"/>
      <c r="F569" s="47"/>
      <c r="G569" s="47"/>
      <c r="H569" s="47"/>
    </row>
    <row r="570">
      <c r="A570" s="47"/>
      <c r="B570" s="52"/>
      <c r="C570" s="52"/>
      <c r="D570" s="52"/>
      <c r="E570" s="52"/>
      <c r="F570" s="47"/>
      <c r="G570" s="47"/>
      <c r="H570" s="47"/>
    </row>
    <row r="571">
      <c r="A571" s="47"/>
      <c r="B571" s="52"/>
      <c r="C571" s="52"/>
      <c r="D571" s="52"/>
      <c r="E571" s="52"/>
      <c r="F571" s="47"/>
      <c r="G571" s="47"/>
      <c r="H571" s="47"/>
    </row>
    <row r="572">
      <c r="A572" s="47"/>
      <c r="B572" s="52"/>
      <c r="C572" s="52"/>
      <c r="D572" s="52"/>
      <c r="E572" s="52"/>
      <c r="F572" s="47"/>
      <c r="G572" s="47"/>
      <c r="H572" s="47"/>
    </row>
    <row r="573">
      <c r="A573" s="47"/>
      <c r="B573" s="52"/>
      <c r="C573" s="52"/>
      <c r="D573" s="52"/>
      <c r="E573" s="52"/>
      <c r="F573" s="47"/>
      <c r="G573" s="47"/>
      <c r="H573" s="47"/>
    </row>
    <row r="574">
      <c r="A574" s="47"/>
      <c r="B574" s="52"/>
      <c r="C574" s="52"/>
      <c r="D574" s="52"/>
      <c r="E574" s="52"/>
      <c r="F574" s="47"/>
      <c r="G574" s="47"/>
      <c r="H574" s="47"/>
    </row>
    <row r="575">
      <c r="A575" s="47"/>
      <c r="B575" s="52"/>
      <c r="C575" s="52"/>
      <c r="D575" s="52"/>
      <c r="E575" s="52"/>
      <c r="F575" s="47"/>
      <c r="G575" s="47"/>
      <c r="H575" s="47"/>
    </row>
    <row r="576">
      <c r="A576" s="47"/>
      <c r="B576" s="52"/>
      <c r="C576" s="52"/>
      <c r="D576" s="52"/>
      <c r="E576" s="52"/>
      <c r="F576" s="47"/>
      <c r="G576" s="47"/>
      <c r="H576" s="47"/>
    </row>
    <row r="577">
      <c r="A577" s="47"/>
      <c r="B577" s="52"/>
      <c r="C577" s="52"/>
      <c r="D577" s="52"/>
      <c r="E577" s="52"/>
      <c r="F577" s="47"/>
      <c r="G577" s="47"/>
      <c r="H577" s="47"/>
    </row>
    <row r="578">
      <c r="A578" s="47"/>
      <c r="B578" s="52"/>
      <c r="C578" s="52"/>
      <c r="D578" s="52"/>
      <c r="E578" s="52"/>
      <c r="F578" s="47"/>
      <c r="G578" s="47"/>
      <c r="H578" s="47"/>
    </row>
    <row r="579">
      <c r="A579" s="47"/>
      <c r="B579" s="52"/>
      <c r="C579" s="52"/>
      <c r="D579" s="52"/>
      <c r="E579" s="52"/>
      <c r="F579" s="47"/>
      <c r="G579" s="47"/>
      <c r="H579" s="47"/>
    </row>
    <row r="580">
      <c r="A580" s="47"/>
      <c r="B580" s="52"/>
      <c r="C580" s="52"/>
      <c r="D580" s="52"/>
      <c r="E580" s="52"/>
      <c r="F580" s="47"/>
      <c r="G580" s="47"/>
      <c r="H580" s="47"/>
    </row>
    <row r="581">
      <c r="A581" s="47"/>
      <c r="B581" s="52"/>
      <c r="C581" s="52"/>
      <c r="D581" s="52"/>
      <c r="E581" s="52"/>
      <c r="F581" s="47"/>
      <c r="G581" s="47"/>
      <c r="H581" s="47"/>
    </row>
    <row r="582">
      <c r="A582" s="47"/>
      <c r="B582" s="52"/>
      <c r="C582" s="52"/>
      <c r="D582" s="52"/>
      <c r="E582" s="52"/>
      <c r="F582" s="47"/>
      <c r="G582" s="47"/>
      <c r="H582" s="47"/>
    </row>
    <row r="583">
      <c r="A583" s="47"/>
      <c r="B583" s="52"/>
      <c r="C583" s="52"/>
      <c r="D583" s="52"/>
      <c r="E583" s="52"/>
      <c r="F583" s="47"/>
      <c r="G583" s="47"/>
      <c r="H583" s="47"/>
    </row>
    <row r="584">
      <c r="A584" s="47"/>
      <c r="B584" s="52"/>
      <c r="C584" s="52"/>
      <c r="D584" s="52"/>
      <c r="E584" s="52"/>
      <c r="F584" s="47"/>
      <c r="G584" s="47"/>
      <c r="H584" s="47"/>
    </row>
    <row r="585">
      <c r="A585" s="47"/>
      <c r="B585" s="52"/>
      <c r="C585" s="52"/>
      <c r="D585" s="52"/>
      <c r="E585" s="52"/>
      <c r="F585" s="47"/>
      <c r="G585" s="47"/>
      <c r="H585" s="47"/>
    </row>
    <row r="586">
      <c r="A586" s="47"/>
      <c r="B586" s="52"/>
      <c r="C586" s="52"/>
      <c r="D586" s="52"/>
      <c r="E586" s="52"/>
      <c r="F586" s="47"/>
      <c r="G586" s="47"/>
      <c r="H586" s="47"/>
    </row>
    <row r="587">
      <c r="A587" s="47"/>
      <c r="B587" s="52"/>
      <c r="C587" s="52"/>
      <c r="D587" s="52"/>
      <c r="E587" s="52"/>
      <c r="F587" s="47"/>
      <c r="G587" s="47"/>
      <c r="H587" s="47"/>
    </row>
    <row r="588">
      <c r="A588" s="47"/>
      <c r="B588" s="52"/>
      <c r="C588" s="52"/>
      <c r="D588" s="52"/>
      <c r="E588" s="52"/>
      <c r="F588" s="47"/>
      <c r="G588" s="47"/>
      <c r="H588" s="47"/>
    </row>
    <row r="589">
      <c r="A589" s="47"/>
      <c r="B589" s="52"/>
      <c r="C589" s="52"/>
      <c r="D589" s="52"/>
      <c r="E589" s="52"/>
      <c r="F589" s="47"/>
      <c r="G589" s="47"/>
      <c r="H589" s="47"/>
    </row>
    <row r="590">
      <c r="A590" s="47"/>
      <c r="B590" s="52"/>
      <c r="C590" s="52"/>
      <c r="D590" s="52"/>
      <c r="E590" s="52"/>
      <c r="F590" s="47"/>
      <c r="G590" s="47"/>
      <c r="H590" s="47"/>
    </row>
    <row r="591">
      <c r="A591" s="47"/>
      <c r="B591" s="52"/>
      <c r="C591" s="52"/>
      <c r="D591" s="52"/>
      <c r="E591" s="52"/>
      <c r="F591" s="47"/>
      <c r="G591" s="47"/>
      <c r="H591" s="47"/>
    </row>
    <row r="592">
      <c r="A592" s="47"/>
      <c r="B592" s="52"/>
      <c r="C592" s="52"/>
      <c r="D592" s="52"/>
      <c r="E592" s="52"/>
      <c r="F592" s="47"/>
      <c r="G592" s="47"/>
      <c r="H592" s="47"/>
    </row>
    <row r="593">
      <c r="A593" s="47"/>
      <c r="B593" s="52"/>
      <c r="C593" s="52"/>
      <c r="D593" s="52"/>
      <c r="E593" s="52"/>
      <c r="F593" s="47"/>
      <c r="G593" s="47"/>
      <c r="H593" s="47"/>
    </row>
    <row r="594">
      <c r="A594" s="47"/>
      <c r="B594" s="52"/>
      <c r="C594" s="52"/>
      <c r="D594" s="52"/>
      <c r="E594" s="52"/>
      <c r="F594" s="47"/>
      <c r="G594" s="47"/>
      <c r="H594" s="47"/>
    </row>
    <row r="595">
      <c r="A595" s="47"/>
      <c r="B595" s="52"/>
      <c r="C595" s="52"/>
      <c r="D595" s="52"/>
      <c r="E595" s="52"/>
      <c r="F595" s="47"/>
      <c r="G595" s="47"/>
      <c r="H595" s="47"/>
    </row>
    <row r="596">
      <c r="A596" s="47"/>
      <c r="B596" s="52"/>
      <c r="C596" s="52"/>
      <c r="D596" s="52"/>
      <c r="E596" s="52"/>
      <c r="F596" s="47"/>
      <c r="G596" s="47"/>
      <c r="H596" s="47"/>
    </row>
    <row r="597">
      <c r="A597" s="47"/>
      <c r="B597" s="52"/>
      <c r="C597" s="52"/>
      <c r="D597" s="52"/>
      <c r="E597" s="52"/>
      <c r="F597" s="47"/>
      <c r="G597" s="47"/>
      <c r="H597" s="47"/>
    </row>
    <row r="598">
      <c r="A598" s="47"/>
      <c r="B598" s="52"/>
      <c r="C598" s="52"/>
      <c r="D598" s="52"/>
      <c r="E598" s="52"/>
      <c r="F598" s="47"/>
      <c r="G598" s="47"/>
      <c r="H598" s="47"/>
    </row>
    <row r="599">
      <c r="A599" s="47"/>
      <c r="B599" s="52"/>
      <c r="C599" s="52"/>
      <c r="D599" s="52"/>
      <c r="E599" s="52"/>
      <c r="F599" s="47"/>
      <c r="G599" s="47"/>
      <c r="H599" s="47"/>
    </row>
    <row r="600">
      <c r="A600" s="47"/>
      <c r="B600" s="52"/>
      <c r="C600" s="52"/>
      <c r="D600" s="52"/>
      <c r="E600" s="52"/>
      <c r="F600" s="47"/>
      <c r="G600" s="47"/>
      <c r="H600" s="47"/>
    </row>
    <row r="601">
      <c r="A601" s="47"/>
      <c r="B601" s="52"/>
      <c r="C601" s="52"/>
      <c r="D601" s="52"/>
      <c r="E601" s="52"/>
      <c r="F601" s="47"/>
      <c r="G601" s="47"/>
      <c r="H601" s="47"/>
    </row>
    <row r="602">
      <c r="A602" s="47"/>
      <c r="B602" s="52"/>
      <c r="C602" s="52"/>
      <c r="D602" s="52"/>
      <c r="E602" s="52"/>
      <c r="F602" s="47"/>
      <c r="G602" s="47"/>
      <c r="H602" s="47"/>
    </row>
    <row r="603">
      <c r="A603" s="47"/>
      <c r="B603" s="52"/>
      <c r="C603" s="52"/>
      <c r="D603" s="52"/>
      <c r="E603" s="52"/>
      <c r="F603" s="47"/>
      <c r="G603" s="47"/>
      <c r="H603" s="47"/>
    </row>
    <row r="604">
      <c r="A604" s="47"/>
      <c r="B604" s="52"/>
      <c r="C604" s="52"/>
      <c r="D604" s="52"/>
      <c r="E604" s="52"/>
      <c r="F604" s="47"/>
      <c r="G604" s="47"/>
      <c r="H604" s="47"/>
    </row>
    <row r="605">
      <c r="A605" s="47"/>
      <c r="B605" s="52"/>
      <c r="C605" s="52"/>
      <c r="D605" s="52"/>
      <c r="E605" s="52"/>
      <c r="F605" s="47"/>
      <c r="G605" s="47"/>
      <c r="H605" s="47"/>
    </row>
    <row r="606">
      <c r="A606" s="47"/>
      <c r="B606" s="52"/>
      <c r="C606" s="52"/>
      <c r="D606" s="52"/>
      <c r="E606" s="52"/>
      <c r="F606" s="47"/>
      <c r="G606" s="47"/>
      <c r="H606" s="47"/>
    </row>
    <row r="607">
      <c r="A607" s="47"/>
      <c r="B607" s="52"/>
      <c r="C607" s="52"/>
      <c r="D607" s="52"/>
      <c r="E607" s="52"/>
      <c r="F607" s="47"/>
      <c r="G607" s="47"/>
      <c r="H607" s="47"/>
    </row>
    <row r="608">
      <c r="A608" s="47"/>
      <c r="B608" s="52"/>
      <c r="C608" s="52"/>
      <c r="D608" s="52"/>
      <c r="E608" s="52"/>
      <c r="F608" s="47"/>
      <c r="G608" s="47"/>
      <c r="H608" s="47"/>
    </row>
    <row r="609">
      <c r="A609" s="47"/>
      <c r="B609" s="52"/>
      <c r="C609" s="52"/>
      <c r="D609" s="52"/>
      <c r="E609" s="52"/>
      <c r="F609" s="47"/>
      <c r="G609" s="47"/>
      <c r="H609" s="47"/>
    </row>
    <row r="610">
      <c r="A610" s="47"/>
      <c r="B610" s="52"/>
      <c r="C610" s="52"/>
      <c r="D610" s="52"/>
      <c r="E610" s="52"/>
      <c r="F610" s="47"/>
      <c r="G610" s="47"/>
      <c r="H610" s="47"/>
    </row>
    <row r="611">
      <c r="A611" s="47"/>
      <c r="B611" s="52"/>
      <c r="C611" s="52"/>
      <c r="D611" s="52"/>
      <c r="E611" s="52"/>
      <c r="F611" s="47"/>
      <c r="G611" s="47"/>
      <c r="H611" s="47"/>
    </row>
    <row r="612">
      <c r="A612" s="47"/>
      <c r="B612" s="52"/>
      <c r="C612" s="52"/>
      <c r="D612" s="52"/>
      <c r="E612" s="52"/>
      <c r="F612" s="47"/>
      <c r="G612" s="47"/>
      <c r="H612" s="47"/>
    </row>
    <row r="613">
      <c r="A613" s="47"/>
      <c r="B613" s="52"/>
      <c r="C613" s="52"/>
      <c r="D613" s="52"/>
      <c r="E613" s="52"/>
      <c r="F613" s="47"/>
      <c r="G613" s="47"/>
      <c r="H613" s="47"/>
    </row>
    <row r="614">
      <c r="A614" s="47"/>
      <c r="B614" s="52"/>
      <c r="C614" s="52"/>
      <c r="D614" s="52"/>
      <c r="E614" s="52"/>
      <c r="F614" s="47"/>
      <c r="G614" s="47"/>
      <c r="H614" s="47"/>
    </row>
    <row r="615">
      <c r="A615" s="47"/>
      <c r="B615" s="52"/>
      <c r="C615" s="52"/>
      <c r="D615" s="52"/>
      <c r="E615" s="52"/>
      <c r="F615" s="47"/>
      <c r="G615" s="47"/>
      <c r="H615" s="47"/>
    </row>
    <row r="616">
      <c r="A616" s="47"/>
      <c r="B616" s="52"/>
      <c r="C616" s="52"/>
      <c r="D616" s="52"/>
      <c r="E616" s="52"/>
      <c r="F616" s="47"/>
      <c r="G616" s="47"/>
      <c r="H616" s="47"/>
    </row>
    <row r="617">
      <c r="A617" s="47"/>
      <c r="B617" s="52"/>
      <c r="C617" s="52"/>
      <c r="D617" s="52"/>
      <c r="E617" s="52"/>
      <c r="F617" s="47"/>
      <c r="G617" s="47"/>
      <c r="H617" s="47"/>
    </row>
    <row r="618">
      <c r="A618" s="47"/>
      <c r="B618" s="52"/>
      <c r="C618" s="52"/>
      <c r="D618" s="52"/>
      <c r="E618" s="52"/>
      <c r="F618" s="47"/>
      <c r="G618" s="47"/>
      <c r="H618" s="47"/>
    </row>
    <row r="619">
      <c r="A619" s="47"/>
      <c r="B619" s="52"/>
      <c r="C619" s="52"/>
      <c r="D619" s="52"/>
      <c r="E619" s="52"/>
      <c r="F619" s="47"/>
      <c r="G619" s="47"/>
      <c r="H619" s="47"/>
    </row>
    <row r="620">
      <c r="A620" s="47"/>
      <c r="B620" s="52"/>
      <c r="C620" s="52"/>
      <c r="D620" s="52"/>
      <c r="E620" s="52"/>
      <c r="F620" s="47"/>
      <c r="G620" s="47"/>
      <c r="H620" s="47"/>
    </row>
    <row r="621">
      <c r="A621" s="47"/>
      <c r="B621" s="52"/>
      <c r="C621" s="52"/>
      <c r="D621" s="52"/>
      <c r="E621" s="52"/>
      <c r="F621" s="47"/>
      <c r="G621" s="47"/>
      <c r="H621" s="47"/>
    </row>
    <row r="622">
      <c r="A622" s="47"/>
      <c r="B622" s="52"/>
      <c r="C622" s="52"/>
      <c r="D622" s="52"/>
      <c r="E622" s="52"/>
      <c r="F622" s="47"/>
      <c r="G622" s="47"/>
      <c r="H622" s="47"/>
    </row>
    <row r="623">
      <c r="A623" s="47"/>
      <c r="B623" s="52"/>
      <c r="C623" s="52"/>
      <c r="D623" s="52"/>
      <c r="E623" s="52"/>
      <c r="F623" s="47"/>
      <c r="G623" s="47"/>
      <c r="H623" s="47"/>
    </row>
    <row r="624">
      <c r="A624" s="47"/>
      <c r="B624" s="52"/>
      <c r="C624" s="52"/>
      <c r="D624" s="52"/>
      <c r="E624" s="52"/>
      <c r="F624" s="47"/>
      <c r="G624" s="47"/>
      <c r="H624" s="47"/>
    </row>
    <row r="625">
      <c r="A625" s="47"/>
      <c r="B625" s="52"/>
      <c r="C625" s="52"/>
      <c r="D625" s="52"/>
      <c r="E625" s="52"/>
      <c r="F625" s="47"/>
      <c r="G625" s="47"/>
      <c r="H625" s="47"/>
    </row>
    <row r="626">
      <c r="A626" s="47"/>
      <c r="B626" s="52"/>
      <c r="C626" s="52"/>
      <c r="D626" s="52"/>
      <c r="E626" s="52"/>
      <c r="F626" s="47"/>
      <c r="G626" s="47"/>
      <c r="H626" s="47"/>
    </row>
    <row r="627">
      <c r="A627" s="47"/>
      <c r="B627" s="52"/>
      <c r="C627" s="52"/>
      <c r="D627" s="52"/>
      <c r="E627" s="52"/>
      <c r="F627" s="47"/>
      <c r="G627" s="47"/>
      <c r="H627" s="47"/>
    </row>
    <row r="628">
      <c r="A628" s="47"/>
      <c r="B628" s="52"/>
      <c r="C628" s="52"/>
      <c r="D628" s="52"/>
      <c r="E628" s="52"/>
      <c r="F628" s="47"/>
      <c r="G628" s="47"/>
      <c r="H628" s="47"/>
    </row>
    <row r="629">
      <c r="A629" s="47"/>
      <c r="B629" s="52"/>
      <c r="C629" s="52"/>
      <c r="D629" s="52"/>
      <c r="E629" s="52"/>
      <c r="F629" s="47"/>
      <c r="G629" s="47"/>
      <c r="H629" s="47"/>
    </row>
    <row r="630">
      <c r="A630" s="47"/>
      <c r="B630" s="52"/>
      <c r="C630" s="52"/>
      <c r="D630" s="52"/>
      <c r="E630" s="52"/>
      <c r="F630" s="47"/>
      <c r="G630" s="47"/>
      <c r="H630" s="47"/>
    </row>
    <row r="631">
      <c r="A631" s="47"/>
      <c r="B631" s="52"/>
      <c r="C631" s="52"/>
      <c r="D631" s="52"/>
      <c r="E631" s="52"/>
      <c r="F631" s="47"/>
      <c r="G631" s="47"/>
      <c r="H631" s="47"/>
    </row>
    <row r="632">
      <c r="A632" s="47"/>
      <c r="B632" s="52"/>
      <c r="C632" s="52"/>
      <c r="D632" s="52"/>
      <c r="E632" s="52"/>
      <c r="F632" s="47"/>
      <c r="G632" s="47"/>
      <c r="H632" s="47"/>
    </row>
    <row r="633">
      <c r="A633" s="47"/>
      <c r="B633" s="52"/>
      <c r="C633" s="52"/>
      <c r="D633" s="52"/>
      <c r="E633" s="52"/>
      <c r="F633" s="47"/>
      <c r="G633" s="47"/>
      <c r="H633" s="47"/>
    </row>
    <row r="634">
      <c r="A634" s="47"/>
      <c r="B634" s="52"/>
      <c r="C634" s="52"/>
      <c r="D634" s="52"/>
      <c r="E634" s="52"/>
      <c r="F634" s="47"/>
      <c r="G634" s="47"/>
      <c r="H634" s="47"/>
    </row>
    <row r="635">
      <c r="A635" s="47"/>
      <c r="B635" s="52"/>
      <c r="C635" s="52"/>
      <c r="D635" s="52"/>
      <c r="E635" s="52"/>
      <c r="F635" s="47"/>
      <c r="G635" s="47"/>
      <c r="H635" s="47"/>
    </row>
    <row r="636">
      <c r="A636" s="47"/>
      <c r="B636" s="52"/>
      <c r="C636" s="52"/>
      <c r="D636" s="52"/>
      <c r="E636" s="52"/>
      <c r="F636" s="47"/>
      <c r="G636" s="47"/>
      <c r="H636" s="47"/>
    </row>
    <row r="637">
      <c r="A637" s="47"/>
      <c r="B637" s="52"/>
      <c r="C637" s="52"/>
      <c r="D637" s="52"/>
      <c r="E637" s="52"/>
      <c r="F637" s="47"/>
      <c r="G637" s="47"/>
      <c r="H637" s="47"/>
    </row>
    <row r="638">
      <c r="A638" s="47"/>
      <c r="B638" s="52"/>
      <c r="C638" s="52"/>
      <c r="D638" s="52"/>
      <c r="E638" s="52"/>
      <c r="F638" s="47"/>
      <c r="G638" s="47"/>
      <c r="H638" s="47"/>
    </row>
    <row r="639">
      <c r="A639" s="47"/>
      <c r="B639" s="52"/>
      <c r="C639" s="52"/>
      <c r="D639" s="52"/>
      <c r="E639" s="52"/>
      <c r="F639" s="47"/>
      <c r="G639" s="47"/>
      <c r="H639" s="47"/>
    </row>
    <row r="640">
      <c r="A640" s="47"/>
      <c r="B640" s="52"/>
      <c r="C640" s="52"/>
      <c r="D640" s="52"/>
      <c r="E640" s="52"/>
      <c r="F640" s="47"/>
      <c r="G640" s="47"/>
      <c r="H640" s="47"/>
    </row>
    <row r="641">
      <c r="A641" s="47"/>
      <c r="B641" s="52"/>
      <c r="C641" s="52"/>
      <c r="D641" s="52"/>
      <c r="E641" s="52"/>
      <c r="F641" s="47"/>
      <c r="G641" s="47"/>
      <c r="H641" s="47"/>
    </row>
    <row r="642">
      <c r="A642" s="47"/>
      <c r="B642" s="52"/>
      <c r="C642" s="52"/>
      <c r="D642" s="52"/>
      <c r="E642" s="52"/>
      <c r="F642" s="47"/>
      <c r="G642" s="47"/>
      <c r="H642" s="47"/>
    </row>
    <row r="643">
      <c r="A643" s="47"/>
      <c r="B643" s="52"/>
      <c r="C643" s="52"/>
      <c r="D643" s="52"/>
      <c r="E643" s="52"/>
      <c r="F643" s="47"/>
      <c r="G643" s="47"/>
      <c r="H643" s="47"/>
    </row>
    <row r="644">
      <c r="A644" s="47"/>
      <c r="B644" s="52"/>
      <c r="C644" s="52"/>
      <c r="D644" s="52"/>
      <c r="E644" s="52"/>
      <c r="F644" s="47"/>
      <c r="G644" s="47"/>
      <c r="H644" s="47"/>
    </row>
    <row r="645">
      <c r="A645" s="47"/>
      <c r="B645" s="52"/>
      <c r="C645" s="52"/>
      <c r="D645" s="52"/>
      <c r="E645" s="52"/>
      <c r="F645" s="47"/>
      <c r="G645" s="47"/>
      <c r="H645" s="47"/>
    </row>
    <row r="646">
      <c r="A646" s="47"/>
      <c r="B646" s="52"/>
      <c r="C646" s="52"/>
      <c r="D646" s="52"/>
      <c r="E646" s="52"/>
      <c r="F646" s="47"/>
      <c r="G646" s="47"/>
      <c r="H646" s="47"/>
    </row>
    <row r="647">
      <c r="A647" s="47"/>
      <c r="B647" s="52"/>
      <c r="C647" s="52"/>
      <c r="D647" s="52"/>
      <c r="E647" s="52"/>
      <c r="F647" s="47"/>
      <c r="G647" s="47"/>
      <c r="H647" s="47"/>
    </row>
    <row r="648">
      <c r="A648" s="47"/>
      <c r="B648" s="52"/>
      <c r="C648" s="52"/>
      <c r="D648" s="52"/>
      <c r="E648" s="52"/>
      <c r="F648" s="47"/>
      <c r="G648" s="47"/>
      <c r="H648" s="47"/>
    </row>
    <row r="649">
      <c r="A649" s="47"/>
      <c r="B649" s="52"/>
      <c r="C649" s="52"/>
      <c r="D649" s="52"/>
      <c r="E649" s="52"/>
      <c r="F649" s="47"/>
      <c r="G649" s="47"/>
      <c r="H649" s="47"/>
    </row>
    <row r="650">
      <c r="A650" s="47"/>
      <c r="B650" s="52"/>
      <c r="C650" s="52"/>
      <c r="D650" s="52"/>
      <c r="E650" s="52"/>
      <c r="F650" s="47"/>
      <c r="G650" s="47"/>
      <c r="H650" s="47"/>
    </row>
    <row r="651">
      <c r="A651" s="47"/>
      <c r="B651" s="52"/>
      <c r="C651" s="52"/>
      <c r="D651" s="52"/>
      <c r="E651" s="52"/>
      <c r="F651" s="47"/>
      <c r="G651" s="47"/>
      <c r="H651" s="47"/>
    </row>
    <row r="652">
      <c r="A652" s="47"/>
      <c r="B652" s="52"/>
      <c r="C652" s="52"/>
      <c r="D652" s="52"/>
      <c r="E652" s="52"/>
      <c r="F652" s="47"/>
      <c r="G652" s="47"/>
      <c r="H652" s="47"/>
    </row>
    <row r="653">
      <c r="A653" s="47"/>
      <c r="B653" s="52"/>
      <c r="C653" s="52"/>
      <c r="D653" s="52"/>
      <c r="E653" s="52"/>
      <c r="F653" s="47"/>
      <c r="G653" s="47"/>
      <c r="H653" s="47"/>
    </row>
    <row r="654">
      <c r="A654" s="47"/>
      <c r="B654" s="52"/>
      <c r="C654" s="52"/>
      <c r="D654" s="52"/>
      <c r="E654" s="52"/>
      <c r="F654" s="47"/>
      <c r="G654" s="47"/>
      <c r="H654" s="47"/>
    </row>
    <row r="655">
      <c r="A655" s="47"/>
      <c r="B655" s="52"/>
      <c r="C655" s="52"/>
      <c r="D655" s="52"/>
      <c r="E655" s="52"/>
      <c r="F655" s="47"/>
      <c r="G655" s="47"/>
      <c r="H655" s="47"/>
    </row>
    <row r="656">
      <c r="A656" s="47"/>
      <c r="B656" s="52"/>
      <c r="C656" s="52"/>
      <c r="D656" s="52"/>
      <c r="E656" s="52"/>
      <c r="F656" s="47"/>
      <c r="G656" s="47"/>
      <c r="H656" s="47"/>
    </row>
    <row r="657">
      <c r="A657" s="47"/>
      <c r="B657" s="52"/>
      <c r="C657" s="52"/>
      <c r="D657" s="52"/>
      <c r="E657" s="52"/>
      <c r="F657" s="47"/>
      <c r="G657" s="47"/>
      <c r="H657" s="47"/>
    </row>
    <row r="658">
      <c r="A658" s="47"/>
      <c r="B658" s="52"/>
      <c r="C658" s="52"/>
      <c r="D658" s="52"/>
      <c r="E658" s="52"/>
      <c r="F658" s="47"/>
      <c r="G658" s="47"/>
      <c r="H658" s="47"/>
    </row>
    <row r="659">
      <c r="A659" s="47"/>
      <c r="B659" s="52"/>
      <c r="C659" s="52"/>
      <c r="D659" s="52"/>
      <c r="E659" s="52"/>
      <c r="F659" s="47"/>
      <c r="G659" s="47"/>
      <c r="H659" s="47"/>
    </row>
    <row r="660">
      <c r="A660" s="47"/>
      <c r="B660" s="52"/>
      <c r="C660" s="52"/>
      <c r="D660" s="52"/>
      <c r="E660" s="52"/>
      <c r="F660" s="47"/>
      <c r="G660" s="47"/>
      <c r="H660" s="47"/>
    </row>
    <row r="661">
      <c r="A661" s="47"/>
      <c r="B661" s="52"/>
      <c r="C661" s="52"/>
      <c r="D661" s="52"/>
      <c r="E661" s="52"/>
      <c r="F661" s="47"/>
      <c r="G661" s="47"/>
      <c r="H661" s="47"/>
    </row>
    <row r="662">
      <c r="A662" s="47"/>
      <c r="B662" s="52"/>
      <c r="C662" s="52"/>
      <c r="D662" s="52"/>
      <c r="E662" s="52"/>
      <c r="F662" s="47"/>
      <c r="G662" s="47"/>
      <c r="H662" s="47"/>
    </row>
    <row r="663">
      <c r="A663" s="47"/>
      <c r="B663" s="52"/>
      <c r="C663" s="52"/>
      <c r="D663" s="52"/>
      <c r="E663" s="52"/>
      <c r="F663" s="47"/>
      <c r="G663" s="47"/>
      <c r="H663" s="47"/>
    </row>
    <row r="664">
      <c r="A664" s="47"/>
      <c r="B664" s="52"/>
      <c r="C664" s="52"/>
      <c r="D664" s="52"/>
      <c r="E664" s="52"/>
      <c r="F664" s="47"/>
      <c r="G664" s="47"/>
      <c r="H664" s="47"/>
    </row>
    <row r="665">
      <c r="A665" s="47"/>
      <c r="B665" s="52"/>
      <c r="C665" s="52"/>
      <c r="D665" s="52"/>
      <c r="E665" s="52"/>
      <c r="F665" s="47"/>
      <c r="G665" s="47"/>
      <c r="H665" s="47"/>
    </row>
    <row r="666">
      <c r="A666" s="47"/>
      <c r="B666" s="52"/>
      <c r="C666" s="52"/>
      <c r="D666" s="52"/>
      <c r="E666" s="52"/>
      <c r="F666" s="47"/>
      <c r="G666" s="47"/>
      <c r="H666" s="47"/>
    </row>
    <row r="667">
      <c r="A667" s="47"/>
      <c r="B667" s="52"/>
      <c r="C667" s="52"/>
      <c r="D667" s="52"/>
      <c r="E667" s="52"/>
      <c r="F667" s="47"/>
      <c r="G667" s="47"/>
      <c r="H667" s="47"/>
    </row>
    <row r="668">
      <c r="A668" s="47"/>
      <c r="B668" s="52"/>
      <c r="C668" s="52"/>
      <c r="D668" s="52"/>
      <c r="E668" s="52"/>
      <c r="F668" s="47"/>
      <c r="G668" s="47"/>
      <c r="H668" s="47"/>
    </row>
    <row r="669">
      <c r="A669" s="47"/>
      <c r="B669" s="52"/>
      <c r="C669" s="52"/>
      <c r="D669" s="52"/>
      <c r="E669" s="52"/>
      <c r="F669" s="47"/>
      <c r="G669" s="47"/>
      <c r="H669" s="47"/>
    </row>
    <row r="670">
      <c r="A670" s="47"/>
      <c r="B670" s="52"/>
      <c r="C670" s="52"/>
      <c r="D670" s="52"/>
      <c r="E670" s="52"/>
      <c r="F670" s="47"/>
      <c r="G670" s="47"/>
      <c r="H670" s="47"/>
    </row>
    <row r="671">
      <c r="A671" s="47"/>
      <c r="B671" s="52"/>
      <c r="C671" s="52"/>
      <c r="D671" s="52"/>
      <c r="E671" s="52"/>
      <c r="F671" s="47"/>
      <c r="G671" s="47"/>
      <c r="H671" s="47"/>
    </row>
    <row r="672">
      <c r="A672" s="47"/>
      <c r="B672" s="52"/>
      <c r="C672" s="52"/>
      <c r="D672" s="52"/>
      <c r="E672" s="52"/>
      <c r="F672" s="47"/>
      <c r="G672" s="47"/>
      <c r="H672" s="47"/>
    </row>
    <row r="673">
      <c r="A673" s="47"/>
      <c r="B673" s="52"/>
      <c r="C673" s="52"/>
      <c r="D673" s="52"/>
      <c r="E673" s="52"/>
      <c r="F673" s="47"/>
      <c r="G673" s="47"/>
      <c r="H673" s="47"/>
    </row>
    <row r="674">
      <c r="A674" s="47"/>
      <c r="B674" s="52"/>
      <c r="C674" s="52"/>
      <c r="D674" s="52"/>
      <c r="E674" s="52"/>
      <c r="F674" s="47"/>
      <c r="G674" s="47"/>
      <c r="H674" s="47"/>
    </row>
    <row r="675">
      <c r="A675" s="47"/>
      <c r="B675" s="52"/>
      <c r="C675" s="52"/>
      <c r="D675" s="52"/>
      <c r="E675" s="52"/>
      <c r="F675" s="47"/>
      <c r="G675" s="47"/>
      <c r="H675" s="47"/>
    </row>
    <row r="676">
      <c r="A676" s="47"/>
      <c r="B676" s="52"/>
      <c r="C676" s="52"/>
      <c r="D676" s="52"/>
      <c r="E676" s="52"/>
      <c r="F676" s="47"/>
      <c r="G676" s="47"/>
      <c r="H676" s="47"/>
    </row>
    <row r="677">
      <c r="A677" s="47"/>
      <c r="B677" s="52"/>
      <c r="C677" s="52"/>
      <c r="D677" s="52"/>
      <c r="E677" s="52"/>
      <c r="F677" s="47"/>
      <c r="G677" s="47"/>
      <c r="H677" s="47"/>
    </row>
    <row r="678">
      <c r="A678" s="47"/>
      <c r="B678" s="52"/>
      <c r="C678" s="52"/>
      <c r="D678" s="52"/>
      <c r="E678" s="52"/>
      <c r="F678" s="47"/>
      <c r="G678" s="47"/>
      <c r="H678" s="47"/>
    </row>
    <row r="679">
      <c r="A679" s="47"/>
      <c r="B679" s="52"/>
      <c r="C679" s="52"/>
      <c r="D679" s="52"/>
      <c r="E679" s="52"/>
      <c r="F679" s="47"/>
      <c r="G679" s="47"/>
      <c r="H679" s="47"/>
    </row>
    <row r="680">
      <c r="A680" s="47"/>
      <c r="B680" s="52"/>
      <c r="C680" s="52"/>
      <c r="D680" s="52"/>
      <c r="E680" s="52"/>
      <c r="F680" s="47"/>
      <c r="G680" s="47"/>
      <c r="H680" s="47"/>
    </row>
    <row r="681">
      <c r="A681" s="47"/>
      <c r="B681" s="52"/>
      <c r="C681" s="52"/>
      <c r="D681" s="52"/>
      <c r="E681" s="52"/>
      <c r="F681" s="47"/>
      <c r="G681" s="47"/>
      <c r="H681" s="47"/>
    </row>
    <row r="682">
      <c r="A682" s="47"/>
      <c r="B682" s="52"/>
      <c r="C682" s="52"/>
      <c r="D682" s="52"/>
      <c r="E682" s="52"/>
      <c r="F682" s="47"/>
      <c r="G682" s="47"/>
      <c r="H682" s="47"/>
    </row>
    <row r="683">
      <c r="A683" s="47"/>
      <c r="B683" s="52"/>
      <c r="C683" s="52"/>
      <c r="D683" s="52"/>
      <c r="E683" s="52"/>
      <c r="F683" s="47"/>
      <c r="G683" s="47"/>
      <c r="H683" s="47"/>
    </row>
    <row r="684">
      <c r="A684" s="47"/>
      <c r="B684" s="52"/>
      <c r="C684" s="52"/>
      <c r="D684" s="52"/>
      <c r="E684" s="52"/>
      <c r="F684" s="47"/>
      <c r="G684" s="47"/>
      <c r="H684" s="47"/>
    </row>
    <row r="685">
      <c r="A685" s="47"/>
      <c r="B685" s="52"/>
      <c r="C685" s="52"/>
      <c r="D685" s="52"/>
      <c r="E685" s="52"/>
      <c r="F685" s="47"/>
      <c r="G685" s="47"/>
      <c r="H685" s="47"/>
    </row>
    <row r="686">
      <c r="A686" s="47"/>
      <c r="B686" s="52"/>
      <c r="C686" s="52"/>
      <c r="D686" s="52"/>
      <c r="E686" s="52"/>
      <c r="F686" s="47"/>
      <c r="G686" s="47"/>
      <c r="H686" s="47"/>
    </row>
    <row r="687">
      <c r="A687" s="47"/>
      <c r="B687" s="52"/>
      <c r="C687" s="52"/>
      <c r="D687" s="52"/>
      <c r="E687" s="52"/>
      <c r="F687" s="47"/>
      <c r="G687" s="47"/>
      <c r="H687" s="47"/>
    </row>
    <row r="688">
      <c r="A688" s="47"/>
      <c r="B688" s="52"/>
      <c r="C688" s="52"/>
      <c r="D688" s="52"/>
      <c r="E688" s="52"/>
      <c r="F688" s="47"/>
      <c r="G688" s="47"/>
      <c r="H688" s="47"/>
    </row>
    <row r="689">
      <c r="A689" s="47"/>
      <c r="B689" s="52"/>
      <c r="C689" s="52"/>
      <c r="D689" s="52"/>
      <c r="E689" s="52"/>
      <c r="F689" s="47"/>
      <c r="G689" s="47"/>
      <c r="H689" s="47"/>
    </row>
    <row r="690">
      <c r="A690" s="47"/>
      <c r="B690" s="52"/>
      <c r="C690" s="52"/>
      <c r="D690" s="52"/>
      <c r="E690" s="52"/>
      <c r="F690" s="47"/>
      <c r="G690" s="47"/>
      <c r="H690" s="47"/>
    </row>
    <row r="691">
      <c r="A691" s="47"/>
      <c r="B691" s="52"/>
      <c r="C691" s="52"/>
      <c r="D691" s="52"/>
      <c r="E691" s="52"/>
      <c r="F691" s="47"/>
      <c r="G691" s="47"/>
      <c r="H691" s="47"/>
    </row>
    <row r="692">
      <c r="A692" s="47"/>
      <c r="B692" s="52"/>
      <c r="C692" s="52"/>
      <c r="D692" s="52"/>
      <c r="E692" s="52"/>
      <c r="F692" s="47"/>
      <c r="G692" s="47"/>
      <c r="H692" s="47"/>
    </row>
    <row r="693">
      <c r="A693" s="47"/>
      <c r="B693" s="52"/>
      <c r="C693" s="52"/>
      <c r="D693" s="52"/>
      <c r="E693" s="52"/>
      <c r="F693" s="47"/>
      <c r="G693" s="47"/>
      <c r="H693" s="47"/>
    </row>
    <row r="694">
      <c r="A694" s="47"/>
      <c r="B694" s="52"/>
      <c r="C694" s="52"/>
      <c r="D694" s="52"/>
      <c r="E694" s="52"/>
      <c r="F694" s="47"/>
      <c r="G694" s="47"/>
      <c r="H694" s="47"/>
    </row>
    <row r="695">
      <c r="A695" s="47"/>
      <c r="B695" s="52"/>
      <c r="C695" s="52"/>
      <c r="D695" s="52"/>
      <c r="E695" s="52"/>
      <c r="F695" s="47"/>
      <c r="G695" s="47"/>
      <c r="H695" s="47"/>
    </row>
    <row r="696">
      <c r="A696" s="47"/>
      <c r="B696" s="52"/>
      <c r="C696" s="52"/>
      <c r="D696" s="52"/>
      <c r="E696" s="52"/>
      <c r="F696" s="47"/>
      <c r="G696" s="47"/>
      <c r="H696" s="47"/>
    </row>
    <row r="697">
      <c r="A697" s="47"/>
      <c r="B697" s="52"/>
      <c r="C697" s="52"/>
      <c r="D697" s="52"/>
      <c r="E697" s="52"/>
      <c r="F697" s="47"/>
      <c r="G697" s="47"/>
      <c r="H697" s="47"/>
    </row>
    <row r="698">
      <c r="A698" s="47"/>
      <c r="B698" s="52"/>
      <c r="C698" s="52"/>
      <c r="D698" s="52"/>
      <c r="E698" s="52"/>
      <c r="F698" s="47"/>
      <c r="G698" s="47"/>
      <c r="H698" s="47"/>
    </row>
    <row r="699">
      <c r="A699" s="47"/>
      <c r="B699" s="52"/>
      <c r="C699" s="52"/>
      <c r="D699" s="52"/>
      <c r="E699" s="52"/>
      <c r="F699" s="47"/>
      <c r="G699" s="47"/>
      <c r="H699" s="47"/>
    </row>
    <row r="700">
      <c r="A700" s="47"/>
      <c r="B700" s="52"/>
      <c r="C700" s="52"/>
      <c r="D700" s="52"/>
      <c r="E700" s="52"/>
      <c r="F700" s="47"/>
      <c r="G700" s="47"/>
      <c r="H700" s="47"/>
    </row>
    <row r="701">
      <c r="A701" s="47"/>
      <c r="B701" s="52"/>
      <c r="C701" s="52"/>
      <c r="D701" s="52"/>
      <c r="E701" s="52"/>
      <c r="F701" s="47"/>
      <c r="G701" s="47"/>
      <c r="H701" s="47"/>
    </row>
    <row r="702">
      <c r="A702" s="47"/>
      <c r="B702" s="52"/>
      <c r="C702" s="52"/>
      <c r="D702" s="52"/>
      <c r="E702" s="52"/>
      <c r="F702" s="47"/>
      <c r="G702" s="47"/>
      <c r="H702" s="47"/>
    </row>
    <row r="703">
      <c r="A703" s="47"/>
      <c r="B703" s="52"/>
      <c r="C703" s="52"/>
      <c r="D703" s="52"/>
      <c r="E703" s="52"/>
      <c r="F703" s="47"/>
      <c r="G703" s="47"/>
      <c r="H703" s="47"/>
    </row>
    <row r="704">
      <c r="A704" s="47"/>
      <c r="B704" s="52"/>
      <c r="C704" s="52"/>
      <c r="D704" s="52"/>
      <c r="E704" s="52"/>
      <c r="F704" s="47"/>
      <c r="G704" s="47"/>
      <c r="H704" s="47"/>
    </row>
    <row r="705">
      <c r="A705" s="47"/>
      <c r="B705" s="52"/>
      <c r="C705" s="52"/>
      <c r="D705" s="52"/>
      <c r="E705" s="52"/>
      <c r="F705" s="47"/>
      <c r="G705" s="47"/>
      <c r="H705" s="47"/>
    </row>
    <row r="706">
      <c r="A706" s="47"/>
      <c r="B706" s="52"/>
      <c r="C706" s="52"/>
      <c r="D706" s="52"/>
      <c r="E706" s="52"/>
      <c r="F706" s="47"/>
      <c r="G706" s="47"/>
      <c r="H706" s="47"/>
    </row>
    <row r="707">
      <c r="A707" s="47"/>
      <c r="B707" s="52"/>
      <c r="C707" s="52"/>
      <c r="D707" s="52"/>
      <c r="E707" s="52"/>
      <c r="F707" s="47"/>
      <c r="G707" s="47"/>
      <c r="H707" s="47"/>
    </row>
    <row r="708">
      <c r="A708" s="47"/>
      <c r="B708" s="52"/>
      <c r="C708" s="52"/>
      <c r="D708" s="52"/>
      <c r="E708" s="52"/>
      <c r="F708" s="47"/>
      <c r="G708" s="47"/>
      <c r="H708" s="47"/>
    </row>
    <row r="709">
      <c r="A709" s="47"/>
      <c r="B709" s="52"/>
      <c r="C709" s="52"/>
      <c r="D709" s="52"/>
      <c r="E709" s="52"/>
      <c r="F709" s="47"/>
      <c r="G709" s="47"/>
      <c r="H709" s="47"/>
    </row>
    <row r="710">
      <c r="A710" s="47"/>
      <c r="B710" s="52"/>
      <c r="C710" s="52"/>
      <c r="D710" s="52"/>
      <c r="E710" s="52"/>
      <c r="F710" s="47"/>
      <c r="G710" s="47"/>
      <c r="H710" s="47"/>
    </row>
    <row r="711">
      <c r="A711" s="47"/>
      <c r="B711" s="52"/>
      <c r="C711" s="52"/>
      <c r="D711" s="52"/>
      <c r="E711" s="52"/>
      <c r="F711" s="47"/>
      <c r="G711" s="47"/>
      <c r="H711" s="47"/>
    </row>
    <row r="712">
      <c r="A712" s="47"/>
      <c r="B712" s="52"/>
      <c r="C712" s="52"/>
      <c r="D712" s="52"/>
      <c r="E712" s="52"/>
      <c r="F712" s="47"/>
      <c r="G712" s="47"/>
      <c r="H712" s="47"/>
    </row>
    <row r="713">
      <c r="A713" s="47"/>
      <c r="B713" s="52"/>
      <c r="C713" s="52"/>
      <c r="D713" s="52"/>
      <c r="E713" s="52"/>
      <c r="F713" s="47"/>
      <c r="G713" s="47"/>
      <c r="H713" s="47"/>
    </row>
    <row r="714">
      <c r="A714" s="47"/>
      <c r="B714" s="52"/>
      <c r="C714" s="52"/>
      <c r="D714" s="52"/>
      <c r="E714" s="52"/>
      <c r="F714" s="47"/>
      <c r="G714" s="47"/>
      <c r="H714" s="47"/>
    </row>
    <row r="715">
      <c r="A715" s="47"/>
      <c r="B715" s="52"/>
      <c r="C715" s="52"/>
      <c r="D715" s="52"/>
      <c r="E715" s="52"/>
      <c r="F715" s="47"/>
      <c r="G715" s="47"/>
      <c r="H715" s="47"/>
    </row>
    <row r="716">
      <c r="A716" s="47"/>
      <c r="B716" s="52"/>
      <c r="C716" s="52"/>
      <c r="D716" s="52"/>
      <c r="E716" s="52"/>
      <c r="F716" s="47"/>
      <c r="G716" s="47"/>
      <c r="H716" s="47"/>
    </row>
    <row r="717">
      <c r="A717" s="47"/>
      <c r="B717" s="52"/>
      <c r="C717" s="52"/>
      <c r="D717" s="52"/>
      <c r="E717" s="52"/>
      <c r="F717" s="47"/>
      <c r="G717" s="47"/>
      <c r="H717" s="47"/>
    </row>
    <row r="718">
      <c r="A718" s="47"/>
      <c r="B718" s="52"/>
      <c r="C718" s="52"/>
      <c r="D718" s="52"/>
      <c r="E718" s="52"/>
      <c r="F718" s="47"/>
      <c r="G718" s="47"/>
      <c r="H718" s="47"/>
    </row>
    <row r="719">
      <c r="A719" s="47"/>
      <c r="B719" s="52"/>
      <c r="C719" s="52"/>
      <c r="D719" s="52"/>
      <c r="E719" s="52"/>
      <c r="F719" s="47"/>
      <c r="G719" s="47"/>
      <c r="H719" s="47"/>
    </row>
    <row r="720">
      <c r="A720" s="47"/>
      <c r="B720" s="52"/>
      <c r="C720" s="52"/>
      <c r="D720" s="52"/>
      <c r="E720" s="52"/>
      <c r="F720" s="47"/>
      <c r="G720" s="47"/>
      <c r="H720" s="47"/>
    </row>
    <row r="721">
      <c r="A721" s="47"/>
      <c r="B721" s="52"/>
      <c r="C721" s="52"/>
      <c r="D721" s="52"/>
      <c r="E721" s="52"/>
      <c r="F721" s="47"/>
      <c r="G721" s="47"/>
      <c r="H721" s="47"/>
    </row>
    <row r="722">
      <c r="A722" s="47"/>
      <c r="B722" s="52"/>
      <c r="C722" s="52"/>
      <c r="D722" s="52"/>
      <c r="E722" s="52"/>
      <c r="F722" s="47"/>
      <c r="G722" s="47"/>
      <c r="H722" s="47"/>
    </row>
    <row r="723">
      <c r="A723" s="47"/>
      <c r="B723" s="52"/>
      <c r="C723" s="52"/>
      <c r="D723" s="52"/>
      <c r="E723" s="52"/>
      <c r="F723" s="47"/>
      <c r="G723" s="47"/>
      <c r="H723" s="47"/>
    </row>
    <row r="724">
      <c r="A724" s="47"/>
      <c r="B724" s="52"/>
      <c r="C724" s="52"/>
      <c r="D724" s="52"/>
      <c r="E724" s="52"/>
      <c r="F724" s="47"/>
      <c r="G724" s="47"/>
      <c r="H724" s="47"/>
    </row>
    <row r="725">
      <c r="A725" s="47"/>
      <c r="B725" s="52"/>
      <c r="C725" s="52"/>
      <c r="D725" s="52"/>
      <c r="E725" s="52"/>
      <c r="F725" s="47"/>
      <c r="G725" s="47"/>
      <c r="H725" s="47"/>
    </row>
    <row r="726">
      <c r="A726" s="47"/>
      <c r="B726" s="52"/>
      <c r="C726" s="52"/>
      <c r="D726" s="52"/>
      <c r="E726" s="52"/>
      <c r="F726" s="47"/>
      <c r="G726" s="47"/>
      <c r="H726" s="47"/>
    </row>
    <row r="727">
      <c r="A727" s="47"/>
      <c r="B727" s="52"/>
      <c r="C727" s="52"/>
      <c r="D727" s="52"/>
      <c r="E727" s="52"/>
      <c r="F727" s="47"/>
      <c r="G727" s="47"/>
      <c r="H727" s="47"/>
    </row>
    <row r="728">
      <c r="A728" s="47"/>
      <c r="B728" s="52"/>
      <c r="C728" s="52"/>
      <c r="D728" s="52"/>
      <c r="E728" s="52"/>
      <c r="F728" s="47"/>
      <c r="G728" s="47"/>
      <c r="H728" s="47"/>
    </row>
    <row r="729">
      <c r="A729" s="47"/>
      <c r="B729" s="52"/>
      <c r="C729" s="52"/>
      <c r="D729" s="52"/>
      <c r="E729" s="52"/>
      <c r="F729" s="47"/>
      <c r="G729" s="47"/>
      <c r="H729" s="47"/>
    </row>
    <row r="730">
      <c r="A730" s="47"/>
      <c r="B730" s="52"/>
      <c r="C730" s="52"/>
      <c r="D730" s="52"/>
      <c r="E730" s="52"/>
      <c r="F730" s="47"/>
      <c r="G730" s="47"/>
      <c r="H730" s="47"/>
    </row>
    <row r="731">
      <c r="A731" s="47"/>
      <c r="B731" s="52"/>
      <c r="C731" s="52"/>
      <c r="D731" s="52"/>
      <c r="E731" s="52"/>
      <c r="F731" s="47"/>
      <c r="G731" s="47"/>
      <c r="H731" s="47"/>
    </row>
    <row r="732">
      <c r="A732" s="47"/>
      <c r="B732" s="52"/>
      <c r="C732" s="52"/>
      <c r="D732" s="52"/>
      <c r="E732" s="52"/>
      <c r="F732" s="47"/>
      <c r="G732" s="47"/>
      <c r="H732" s="47"/>
    </row>
    <row r="733">
      <c r="A733" s="47"/>
      <c r="B733" s="52"/>
      <c r="C733" s="52"/>
      <c r="D733" s="52"/>
      <c r="E733" s="52"/>
      <c r="F733" s="47"/>
      <c r="G733" s="47"/>
      <c r="H733" s="47"/>
    </row>
    <row r="734">
      <c r="A734" s="47"/>
      <c r="B734" s="52"/>
      <c r="C734" s="52"/>
      <c r="D734" s="52"/>
      <c r="E734" s="52"/>
      <c r="F734" s="47"/>
      <c r="G734" s="47"/>
      <c r="H734" s="47"/>
    </row>
    <row r="735">
      <c r="A735" s="47"/>
      <c r="B735" s="52"/>
      <c r="C735" s="52"/>
      <c r="D735" s="52"/>
      <c r="E735" s="52"/>
      <c r="F735" s="47"/>
      <c r="G735" s="47"/>
      <c r="H735" s="47"/>
    </row>
    <row r="736">
      <c r="A736" s="47"/>
      <c r="B736" s="52"/>
      <c r="C736" s="52"/>
      <c r="D736" s="52"/>
      <c r="E736" s="52"/>
      <c r="F736" s="47"/>
      <c r="G736" s="47"/>
      <c r="H736" s="47"/>
    </row>
    <row r="737">
      <c r="A737" s="47"/>
      <c r="B737" s="52"/>
      <c r="C737" s="52"/>
      <c r="D737" s="52"/>
      <c r="E737" s="52"/>
      <c r="F737" s="47"/>
      <c r="G737" s="47"/>
      <c r="H737" s="47"/>
    </row>
    <row r="738">
      <c r="A738" s="47"/>
      <c r="B738" s="52"/>
      <c r="C738" s="52"/>
      <c r="D738" s="52"/>
      <c r="E738" s="52"/>
      <c r="F738" s="47"/>
      <c r="G738" s="47"/>
      <c r="H738" s="47"/>
    </row>
    <row r="739">
      <c r="A739" s="47"/>
      <c r="B739" s="52"/>
      <c r="C739" s="52"/>
      <c r="D739" s="52"/>
      <c r="E739" s="52"/>
      <c r="F739" s="47"/>
      <c r="G739" s="47"/>
      <c r="H739" s="47"/>
    </row>
    <row r="740">
      <c r="A740" s="47"/>
      <c r="B740" s="52"/>
      <c r="C740" s="52"/>
      <c r="D740" s="52"/>
      <c r="E740" s="52"/>
      <c r="F740" s="47"/>
      <c r="G740" s="47"/>
      <c r="H740" s="47"/>
    </row>
    <row r="741">
      <c r="A741" s="47"/>
      <c r="B741" s="52"/>
      <c r="C741" s="52"/>
      <c r="D741" s="52"/>
      <c r="E741" s="52"/>
      <c r="F741" s="47"/>
      <c r="G741" s="47"/>
      <c r="H741" s="47"/>
    </row>
    <row r="742">
      <c r="A742" s="47"/>
      <c r="B742" s="52"/>
      <c r="C742" s="52"/>
      <c r="D742" s="52"/>
      <c r="E742" s="52"/>
      <c r="F742" s="47"/>
      <c r="G742" s="47"/>
      <c r="H742" s="47"/>
    </row>
    <row r="743">
      <c r="A743" s="47"/>
      <c r="B743" s="52"/>
      <c r="C743" s="52"/>
      <c r="D743" s="52"/>
      <c r="E743" s="52"/>
      <c r="F743" s="47"/>
      <c r="G743" s="47"/>
      <c r="H743" s="47"/>
    </row>
    <row r="744">
      <c r="A744" s="47"/>
      <c r="B744" s="52"/>
      <c r="C744" s="52"/>
      <c r="D744" s="52"/>
      <c r="E744" s="52"/>
      <c r="F744" s="47"/>
      <c r="G744" s="47"/>
      <c r="H744" s="47"/>
    </row>
    <row r="745">
      <c r="A745" s="47"/>
      <c r="B745" s="52"/>
      <c r="C745" s="52"/>
      <c r="D745" s="52"/>
      <c r="E745" s="52"/>
      <c r="F745" s="47"/>
      <c r="G745" s="47"/>
      <c r="H745" s="47"/>
    </row>
    <row r="746">
      <c r="A746" s="47"/>
      <c r="B746" s="52"/>
      <c r="C746" s="52"/>
      <c r="D746" s="52"/>
      <c r="E746" s="52"/>
      <c r="F746" s="47"/>
      <c r="G746" s="47"/>
      <c r="H746" s="47"/>
    </row>
    <row r="747">
      <c r="A747" s="47"/>
      <c r="B747" s="52"/>
      <c r="C747" s="52"/>
      <c r="D747" s="52"/>
      <c r="E747" s="52"/>
      <c r="F747" s="47"/>
      <c r="G747" s="47"/>
      <c r="H747" s="47"/>
    </row>
    <row r="748">
      <c r="A748" s="47"/>
      <c r="B748" s="52"/>
      <c r="C748" s="52"/>
      <c r="D748" s="52"/>
      <c r="E748" s="52"/>
      <c r="F748" s="47"/>
      <c r="G748" s="47"/>
      <c r="H748" s="47"/>
    </row>
    <row r="749">
      <c r="A749" s="47"/>
      <c r="B749" s="52"/>
      <c r="C749" s="52"/>
      <c r="D749" s="52"/>
      <c r="E749" s="52"/>
      <c r="F749" s="47"/>
      <c r="G749" s="47"/>
      <c r="H749" s="47"/>
    </row>
    <row r="750">
      <c r="A750" s="47"/>
      <c r="B750" s="52"/>
      <c r="C750" s="52"/>
      <c r="D750" s="52"/>
      <c r="E750" s="52"/>
      <c r="F750" s="47"/>
      <c r="G750" s="47"/>
      <c r="H750" s="47"/>
    </row>
    <row r="751">
      <c r="A751" s="47"/>
      <c r="B751" s="52"/>
      <c r="C751" s="52"/>
      <c r="D751" s="52"/>
      <c r="E751" s="52"/>
      <c r="F751" s="47"/>
      <c r="G751" s="47"/>
      <c r="H751" s="47"/>
    </row>
    <row r="752">
      <c r="A752" s="47"/>
      <c r="B752" s="52"/>
      <c r="C752" s="52"/>
      <c r="D752" s="52"/>
      <c r="E752" s="52"/>
      <c r="F752" s="47"/>
      <c r="G752" s="47"/>
      <c r="H752" s="47"/>
    </row>
    <row r="753">
      <c r="A753" s="47"/>
      <c r="B753" s="52"/>
      <c r="C753" s="52"/>
      <c r="D753" s="52"/>
      <c r="E753" s="52"/>
      <c r="F753" s="47"/>
      <c r="G753" s="47"/>
      <c r="H753" s="47"/>
    </row>
    <row r="754">
      <c r="A754" s="47"/>
      <c r="B754" s="52"/>
      <c r="C754" s="52"/>
      <c r="D754" s="52"/>
      <c r="E754" s="52"/>
      <c r="F754" s="47"/>
      <c r="G754" s="47"/>
      <c r="H754" s="47"/>
    </row>
    <row r="755">
      <c r="A755" s="47"/>
      <c r="B755" s="52"/>
      <c r="C755" s="52"/>
      <c r="D755" s="52"/>
      <c r="E755" s="52"/>
      <c r="F755" s="47"/>
      <c r="G755" s="47"/>
      <c r="H755" s="47"/>
    </row>
    <row r="756">
      <c r="A756" s="47"/>
      <c r="B756" s="52"/>
      <c r="C756" s="52"/>
      <c r="D756" s="52"/>
      <c r="E756" s="52"/>
      <c r="F756" s="47"/>
      <c r="G756" s="47"/>
      <c r="H756" s="47"/>
    </row>
    <row r="757">
      <c r="A757" s="47"/>
      <c r="B757" s="52"/>
      <c r="C757" s="52"/>
      <c r="D757" s="52"/>
      <c r="E757" s="52"/>
      <c r="F757" s="47"/>
      <c r="G757" s="47"/>
      <c r="H757" s="47"/>
    </row>
    <row r="758">
      <c r="A758" s="47"/>
      <c r="B758" s="52"/>
      <c r="C758" s="52"/>
      <c r="D758" s="52"/>
      <c r="E758" s="52"/>
      <c r="F758" s="47"/>
      <c r="G758" s="47"/>
      <c r="H758" s="47"/>
    </row>
    <row r="759">
      <c r="A759" s="47"/>
      <c r="B759" s="52"/>
      <c r="C759" s="52"/>
      <c r="D759" s="52"/>
      <c r="E759" s="52"/>
      <c r="F759" s="47"/>
      <c r="G759" s="47"/>
      <c r="H759" s="47"/>
    </row>
    <row r="760">
      <c r="A760" s="47"/>
      <c r="B760" s="52"/>
      <c r="C760" s="52"/>
      <c r="D760" s="52"/>
      <c r="E760" s="52"/>
      <c r="F760" s="47"/>
      <c r="G760" s="47"/>
      <c r="H760" s="47"/>
    </row>
    <row r="761">
      <c r="A761" s="47"/>
      <c r="B761" s="52"/>
      <c r="C761" s="52"/>
      <c r="D761" s="52"/>
      <c r="E761" s="52"/>
      <c r="F761" s="47"/>
      <c r="G761" s="47"/>
      <c r="H761" s="47"/>
    </row>
    <row r="762">
      <c r="A762" s="47"/>
      <c r="B762" s="52"/>
      <c r="C762" s="52"/>
      <c r="D762" s="52"/>
      <c r="E762" s="52"/>
      <c r="F762" s="47"/>
      <c r="G762" s="47"/>
      <c r="H762" s="47"/>
    </row>
    <row r="763">
      <c r="A763" s="47"/>
      <c r="B763" s="52"/>
      <c r="C763" s="52"/>
      <c r="D763" s="52"/>
      <c r="E763" s="52"/>
      <c r="F763" s="47"/>
      <c r="G763" s="47"/>
      <c r="H763" s="47"/>
    </row>
    <row r="764">
      <c r="A764" s="47"/>
      <c r="B764" s="52"/>
      <c r="C764" s="52"/>
      <c r="D764" s="52"/>
      <c r="E764" s="52"/>
      <c r="F764" s="47"/>
      <c r="G764" s="47"/>
      <c r="H764" s="47"/>
    </row>
    <row r="765">
      <c r="A765" s="47"/>
      <c r="B765" s="52"/>
      <c r="C765" s="52"/>
      <c r="D765" s="52"/>
      <c r="E765" s="52"/>
      <c r="F765" s="47"/>
      <c r="G765" s="47"/>
      <c r="H765" s="47"/>
    </row>
    <row r="766">
      <c r="A766" s="47"/>
      <c r="B766" s="52"/>
      <c r="C766" s="52"/>
      <c r="D766" s="52"/>
      <c r="E766" s="52"/>
      <c r="F766" s="47"/>
      <c r="G766" s="47"/>
      <c r="H766" s="47"/>
    </row>
    <row r="767">
      <c r="A767" s="47"/>
      <c r="B767" s="52"/>
      <c r="C767" s="52"/>
      <c r="D767" s="52"/>
      <c r="E767" s="52"/>
      <c r="F767" s="47"/>
      <c r="G767" s="47"/>
      <c r="H767" s="47"/>
    </row>
    <row r="768">
      <c r="A768" s="47"/>
      <c r="B768" s="52"/>
      <c r="C768" s="52"/>
      <c r="D768" s="52"/>
      <c r="E768" s="52"/>
      <c r="F768" s="47"/>
      <c r="G768" s="47"/>
      <c r="H768" s="47"/>
    </row>
    <row r="769">
      <c r="A769" s="47"/>
      <c r="B769" s="52"/>
      <c r="C769" s="52"/>
      <c r="D769" s="52"/>
      <c r="E769" s="52"/>
      <c r="F769" s="47"/>
      <c r="G769" s="47"/>
      <c r="H769" s="47"/>
    </row>
    <row r="770">
      <c r="A770" s="47"/>
      <c r="B770" s="52"/>
      <c r="C770" s="52"/>
      <c r="D770" s="52"/>
      <c r="E770" s="52"/>
      <c r="F770" s="47"/>
      <c r="G770" s="47"/>
      <c r="H770" s="47"/>
    </row>
    <row r="771">
      <c r="A771" s="47"/>
      <c r="B771" s="52"/>
      <c r="C771" s="52"/>
      <c r="D771" s="52"/>
      <c r="E771" s="52"/>
      <c r="F771" s="47"/>
      <c r="G771" s="47"/>
      <c r="H771" s="47"/>
    </row>
    <row r="772">
      <c r="A772" s="47"/>
      <c r="B772" s="52"/>
      <c r="C772" s="52"/>
      <c r="D772" s="52"/>
      <c r="E772" s="52"/>
      <c r="F772" s="47"/>
      <c r="G772" s="47"/>
      <c r="H772" s="47"/>
    </row>
    <row r="773">
      <c r="A773" s="47"/>
      <c r="B773" s="52"/>
      <c r="C773" s="52"/>
      <c r="D773" s="52"/>
      <c r="E773" s="52"/>
      <c r="F773" s="47"/>
      <c r="G773" s="47"/>
      <c r="H773" s="47"/>
    </row>
    <row r="774">
      <c r="A774" s="47"/>
      <c r="B774" s="52"/>
      <c r="C774" s="52"/>
      <c r="D774" s="52"/>
      <c r="E774" s="52"/>
      <c r="F774" s="47"/>
      <c r="G774" s="47"/>
      <c r="H774" s="47"/>
    </row>
    <row r="775">
      <c r="A775" s="47"/>
      <c r="B775" s="52"/>
      <c r="C775" s="52"/>
      <c r="D775" s="52"/>
      <c r="E775" s="52"/>
      <c r="F775" s="47"/>
      <c r="G775" s="47"/>
      <c r="H775" s="47"/>
    </row>
    <row r="776">
      <c r="A776" s="47"/>
      <c r="B776" s="52"/>
      <c r="C776" s="52"/>
      <c r="D776" s="52"/>
      <c r="E776" s="52"/>
      <c r="F776" s="47"/>
      <c r="G776" s="47"/>
      <c r="H776" s="47"/>
    </row>
    <row r="777">
      <c r="A777" s="47"/>
      <c r="B777" s="52"/>
      <c r="C777" s="52"/>
      <c r="D777" s="52"/>
      <c r="E777" s="52"/>
      <c r="F777" s="47"/>
      <c r="G777" s="47"/>
      <c r="H777" s="47"/>
    </row>
    <row r="778">
      <c r="A778" s="47"/>
      <c r="B778" s="52"/>
      <c r="C778" s="52"/>
      <c r="D778" s="52"/>
      <c r="E778" s="52"/>
      <c r="F778" s="47"/>
      <c r="G778" s="47"/>
      <c r="H778" s="47"/>
    </row>
    <row r="779">
      <c r="A779" s="47"/>
      <c r="B779" s="52"/>
      <c r="C779" s="52"/>
      <c r="D779" s="52"/>
      <c r="E779" s="52"/>
      <c r="F779" s="47"/>
      <c r="G779" s="47"/>
      <c r="H779" s="47"/>
    </row>
    <row r="780">
      <c r="A780" s="47"/>
      <c r="B780" s="52"/>
      <c r="C780" s="52"/>
      <c r="D780" s="52"/>
      <c r="E780" s="52"/>
      <c r="F780" s="47"/>
      <c r="G780" s="47"/>
      <c r="H780" s="47"/>
    </row>
    <row r="781">
      <c r="A781" s="47"/>
      <c r="B781" s="52"/>
      <c r="C781" s="52"/>
      <c r="D781" s="52"/>
      <c r="E781" s="52"/>
      <c r="F781" s="47"/>
      <c r="G781" s="47"/>
      <c r="H781" s="47"/>
    </row>
    <row r="782">
      <c r="A782" s="47"/>
      <c r="B782" s="52"/>
      <c r="C782" s="52"/>
      <c r="D782" s="52"/>
      <c r="E782" s="52"/>
      <c r="F782" s="47"/>
      <c r="G782" s="47"/>
      <c r="H782" s="47"/>
    </row>
    <row r="783">
      <c r="A783" s="47"/>
      <c r="B783" s="52"/>
      <c r="C783" s="52"/>
      <c r="D783" s="52"/>
      <c r="E783" s="52"/>
      <c r="F783" s="47"/>
      <c r="G783" s="47"/>
      <c r="H783" s="47"/>
    </row>
    <row r="784">
      <c r="A784" s="47"/>
      <c r="B784" s="52"/>
      <c r="C784" s="52"/>
      <c r="D784" s="52"/>
      <c r="E784" s="52"/>
      <c r="F784" s="47"/>
      <c r="G784" s="47"/>
      <c r="H784" s="47"/>
    </row>
    <row r="785">
      <c r="A785" s="47"/>
      <c r="B785" s="52"/>
      <c r="C785" s="52"/>
      <c r="D785" s="52"/>
      <c r="E785" s="52"/>
      <c r="F785" s="47"/>
      <c r="G785" s="47"/>
      <c r="H785" s="47"/>
    </row>
    <row r="786">
      <c r="A786" s="47"/>
      <c r="B786" s="52"/>
      <c r="C786" s="52"/>
      <c r="D786" s="52"/>
      <c r="E786" s="52"/>
      <c r="F786" s="47"/>
      <c r="G786" s="47"/>
      <c r="H786" s="47"/>
    </row>
    <row r="787">
      <c r="A787" s="47"/>
      <c r="B787" s="52"/>
      <c r="C787" s="52"/>
      <c r="D787" s="52"/>
      <c r="E787" s="52"/>
      <c r="F787" s="47"/>
      <c r="G787" s="47"/>
      <c r="H787" s="47"/>
    </row>
    <row r="788">
      <c r="A788" s="47"/>
      <c r="B788" s="52"/>
      <c r="C788" s="52"/>
      <c r="D788" s="52"/>
      <c r="E788" s="52"/>
      <c r="F788" s="47"/>
      <c r="G788" s="47"/>
      <c r="H788" s="47"/>
    </row>
    <row r="789">
      <c r="A789" s="47"/>
      <c r="B789" s="52"/>
      <c r="C789" s="52"/>
      <c r="D789" s="52"/>
      <c r="E789" s="52"/>
      <c r="F789" s="47"/>
      <c r="G789" s="47"/>
      <c r="H789" s="47"/>
    </row>
    <row r="790">
      <c r="A790" s="47"/>
      <c r="B790" s="52"/>
      <c r="C790" s="52"/>
      <c r="D790" s="52"/>
      <c r="E790" s="52"/>
      <c r="F790" s="47"/>
      <c r="G790" s="47"/>
      <c r="H790" s="47"/>
    </row>
    <row r="791">
      <c r="A791" s="47"/>
      <c r="B791" s="52"/>
      <c r="C791" s="52"/>
      <c r="D791" s="52"/>
      <c r="E791" s="52"/>
      <c r="F791" s="47"/>
      <c r="G791" s="47"/>
      <c r="H791" s="47"/>
    </row>
    <row r="792">
      <c r="A792" s="47"/>
      <c r="B792" s="52"/>
      <c r="C792" s="52"/>
      <c r="D792" s="52"/>
      <c r="E792" s="52"/>
      <c r="F792" s="47"/>
      <c r="G792" s="47"/>
      <c r="H792" s="47"/>
    </row>
    <row r="793">
      <c r="A793" s="47"/>
      <c r="B793" s="52"/>
      <c r="C793" s="52"/>
      <c r="D793" s="52"/>
      <c r="E793" s="52"/>
      <c r="F793" s="47"/>
      <c r="G793" s="47"/>
      <c r="H793" s="47"/>
    </row>
    <row r="794">
      <c r="A794" s="47"/>
      <c r="B794" s="52"/>
      <c r="C794" s="52"/>
      <c r="D794" s="52"/>
      <c r="E794" s="52"/>
      <c r="F794" s="47"/>
      <c r="G794" s="47"/>
      <c r="H794" s="47"/>
    </row>
    <row r="795">
      <c r="A795" s="47"/>
      <c r="B795" s="52"/>
      <c r="C795" s="52"/>
      <c r="D795" s="52"/>
      <c r="E795" s="52"/>
      <c r="F795" s="47"/>
      <c r="G795" s="47"/>
      <c r="H795" s="47"/>
    </row>
    <row r="796">
      <c r="A796" s="47"/>
      <c r="B796" s="52"/>
      <c r="C796" s="52"/>
      <c r="D796" s="52"/>
      <c r="E796" s="52"/>
      <c r="F796" s="47"/>
      <c r="G796" s="47"/>
      <c r="H796" s="47"/>
    </row>
    <row r="797">
      <c r="A797" s="47"/>
      <c r="B797" s="52"/>
      <c r="C797" s="52"/>
      <c r="D797" s="52"/>
      <c r="E797" s="52"/>
      <c r="F797" s="47"/>
      <c r="G797" s="47"/>
      <c r="H797" s="47"/>
    </row>
    <row r="798">
      <c r="A798" s="47"/>
      <c r="B798" s="52"/>
      <c r="C798" s="52"/>
      <c r="D798" s="52"/>
      <c r="E798" s="52"/>
      <c r="F798" s="47"/>
      <c r="G798" s="47"/>
      <c r="H798" s="47"/>
    </row>
    <row r="799">
      <c r="A799" s="47"/>
      <c r="B799" s="52"/>
      <c r="C799" s="52"/>
      <c r="D799" s="52"/>
      <c r="E799" s="52"/>
      <c r="F799" s="47"/>
      <c r="G799" s="47"/>
      <c r="H799" s="47"/>
    </row>
    <row r="800">
      <c r="A800" s="47"/>
      <c r="B800" s="52"/>
      <c r="C800" s="52"/>
      <c r="D800" s="52"/>
      <c r="E800" s="52"/>
      <c r="F800" s="47"/>
      <c r="G800" s="47"/>
      <c r="H800" s="47"/>
    </row>
    <row r="801">
      <c r="A801" s="47"/>
      <c r="B801" s="52"/>
      <c r="C801" s="52"/>
      <c r="D801" s="52"/>
      <c r="E801" s="52"/>
      <c r="F801" s="47"/>
      <c r="G801" s="47"/>
      <c r="H801" s="47"/>
    </row>
    <row r="802">
      <c r="A802" s="47"/>
      <c r="B802" s="52"/>
      <c r="C802" s="52"/>
      <c r="D802" s="52"/>
      <c r="E802" s="52"/>
      <c r="F802" s="47"/>
      <c r="G802" s="47"/>
      <c r="H802" s="47"/>
    </row>
    <row r="803">
      <c r="A803" s="47"/>
      <c r="B803" s="52"/>
      <c r="C803" s="52"/>
      <c r="D803" s="52"/>
      <c r="E803" s="52"/>
      <c r="F803" s="47"/>
      <c r="G803" s="47"/>
      <c r="H803" s="47"/>
    </row>
    <row r="804">
      <c r="A804" s="47"/>
      <c r="B804" s="52"/>
      <c r="C804" s="52"/>
      <c r="D804" s="52"/>
      <c r="E804" s="52"/>
      <c r="F804" s="47"/>
      <c r="G804" s="47"/>
      <c r="H804" s="47"/>
    </row>
    <row r="805">
      <c r="A805" s="47"/>
      <c r="B805" s="52"/>
      <c r="C805" s="52"/>
      <c r="D805" s="52"/>
      <c r="E805" s="52"/>
      <c r="F805" s="47"/>
      <c r="G805" s="47"/>
      <c r="H805" s="47"/>
    </row>
    <row r="806">
      <c r="A806" s="47"/>
      <c r="B806" s="52"/>
      <c r="C806" s="52"/>
      <c r="D806" s="52"/>
      <c r="E806" s="52"/>
      <c r="F806" s="47"/>
      <c r="G806" s="47"/>
      <c r="H806" s="47"/>
    </row>
    <row r="807">
      <c r="A807" s="47"/>
      <c r="B807" s="52"/>
      <c r="C807" s="52"/>
      <c r="D807" s="52"/>
      <c r="E807" s="52"/>
      <c r="F807" s="47"/>
      <c r="G807" s="47"/>
      <c r="H807" s="47"/>
    </row>
    <row r="808">
      <c r="A808" s="47"/>
      <c r="B808" s="52"/>
      <c r="C808" s="52"/>
      <c r="D808" s="52"/>
      <c r="E808" s="52"/>
      <c r="F808" s="47"/>
      <c r="G808" s="47"/>
      <c r="H808" s="47"/>
    </row>
    <row r="809">
      <c r="A809" s="47"/>
      <c r="B809" s="52"/>
      <c r="C809" s="52"/>
      <c r="D809" s="52"/>
      <c r="E809" s="52"/>
      <c r="F809" s="47"/>
      <c r="G809" s="47"/>
      <c r="H809" s="47"/>
    </row>
    <row r="810">
      <c r="A810" s="47"/>
      <c r="B810" s="52"/>
      <c r="C810" s="52"/>
      <c r="D810" s="52"/>
      <c r="E810" s="52"/>
      <c r="F810" s="47"/>
      <c r="G810" s="47"/>
      <c r="H810" s="47"/>
    </row>
    <row r="811">
      <c r="A811" s="47"/>
      <c r="B811" s="52"/>
      <c r="C811" s="52"/>
      <c r="D811" s="52"/>
      <c r="E811" s="52"/>
      <c r="F811" s="47"/>
      <c r="G811" s="47"/>
      <c r="H811" s="47"/>
    </row>
    <row r="812">
      <c r="A812" s="47"/>
      <c r="B812" s="52"/>
      <c r="C812" s="52"/>
      <c r="D812" s="52"/>
      <c r="E812" s="52"/>
      <c r="F812" s="47"/>
      <c r="G812" s="47"/>
      <c r="H812" s="47"/>
    </row>
    <row r="813">
      <c r="A813" s="47"/>
      <c r="B813" s="52"/>
      <c r="C813" s="52"/>
      <c r="D813" s="52"/>
      <c r="E813" s="52"/>
      <c r="F813" s="47"/>
      <c r="G813" s="47"/>
      <c r="H813" s="47"/>
    </row>
    <row r="814">
      <c r="A814" s="47"/>
      <c r="B814" s="52"/>
      <c r="C814" s="52"/>
      <c r="D814" s="52"/>
      <c r="E814" s="52"/>
      <c r="F814" s="47"/>
      <c r="G814" s="47"/>
      <c r="H814" s="47"/>
    </row>
    <row r="815">
      <c r="A815" s="47"/>
      <c r="B815" s="52"/>
      <c r="C815" s="52"/>
      <c r="D815" s="52"/>
      <c r="E815" s="52"/>
      <c r="F815" s="47"/>
      <c r="G815" s="47"/>
      <c r="H815" s="47"/>
    </row>
    <row r="816">
      <c r="A816" s="47"/>
      <c r="B816" s="52"/>
      <c r="C816" s="52"/>
      <c r="D816" s="52"/>
      <c r="E816" s="52"/>
      <c r="F816" s="47"/>
      <c r="G816" s="47"/>
      <c r="H816" s="47"/>
    </row>
    <row r="817">
      <c r="A817" s="47"/>
      <c r="B817" s="52"/>
      <c r="C817" s="52"/>
      <c r="D817" s="52"/>
      <c r="E817" s="52"/>
      <c r="F817" s="47"/>
      <c r="G817" s="47"/>
      <c r="H817" s="47"/>
    </row>
    <row r="818">
      <c r="A818" s="47"/>
      <c r="B818" s="52"/>
      <c r="C818" s="52"/>
      <c r="D818" s="52"/>
      <c r="E818" s="52"/>
      <c r="F818" s="47"/>
      <c r="G818" s="47"/>
      <c r="H818" s="47"/>
    </row>
    <row r="819">
      <c r="A819" s="47"/>
      <c r="B819" s="52"/>
      <c r="C819" s="52"/>
      <c r="D819" s="52"/>
      <c r="E819" s="52"/>
      <c r="F819" s="47"/>
      <c r="G819" s="47"/>
      <c r="H819" s="47"/>
    </row>
    <row r="820">
      <c r="A820" s="47"/>
      <c r="B820" s="52"/>
      <c r="C820" s="52"/>
      <c r="D820" s="52"/>
      <c r="E820" s="52"/>
      <c r="F820" s="47"/>
      <c r="G820" s="47"/>
      <c r="H820" s="47"/>
    </row>
    <row r="821">
      <c r="A821" s="47"/>
      <c r="B821" s="52"/>
      <c r="C821" s="52"/>
      <c r="D821" s="52"/>
      <c r="E821" s="52"/>
      <c r="F821" s="47"/>
      <c r="G821" s="47"/>
      <c r="H821" s="47"/>
    </row>
    <row r="822">
      <c r="A822" s="47"/>
      <c r="B822" s="52"/>
      <c r="C822" s="52"/>
      <c r="D822" s="52"/>
      <c r="E822" s="52"/>
      <c r="F822" s="47"/>
      <c r="G822" s="47"/>
      <c r="H822" s="47"/>
    </row>
    <row r="823">
      <c r="A823" s="47"/>
      <c r="B823" s="52"/>
      <c r="C823" s="52"/>
      <c r="D823" s="52"/>
      <c r="E823" s="52"/>
      <c r="F823" s="47"/>
      <c r="G823" s="47"/>
      <c r="H823" s="47"/>
    </row>
    <row r="824">
      <c r="A824" s="47"/>
      <c r="B824" s="52"/>
      <c r="C824" s="52"/>
      <c r="D824" s="52"/>
      <c r="E824" s="52"/>
      <c r="F824" s="47"/>
      <c r="G824" s="47"/>
      <c r="H824" s="47"/>
    </row>
    <row r="825">
      <c r="A825" s="47"/>
      <c r="B825" s="52"/>
      <c r="C825" s="52"/>
      <c r="D825" s="52"/>
      <c r="E825" s="52"/>
      <c r="F825" s="47"/>
      <c r="G825" s="47"/>
      <c r="H825" s="47"/>
    </row>
    <row r="826">
      <c r="A826" s="47"/>
      <c r="B826" s="52"/>
      <c r="C826" s="52"/>
      <c r="D826" s="52"/>
      <c r="E826" s="52"/>
      <c r="F826" s="47"/>
      <c r="G826" s="47"/>
      <c r="H826" s="47"/>
    </row>
    <row r="827">
      <c r="A827" s="47"/>
      <c r="B827" s="52"/>
      <c r="C827" s="52"/>
      <c r="D827" s="52"/>
      <c r="E827" s="52"/>
      <c r="F827" s="47"/>
      <c r="G827" s="47"/>
      <c r="H827" s="47"/>
    </row>
    <row r="828">
      <c r="A828" s="47"/>
      <c r="B828" s="52"/>
      <c r="C828" s="52"/>
      <c r="D828" s="52"/>
      <c r="E828" s="52"/>
      <c r="F828" s="47"/>
      <c r="G828" s="47"/>
      <c r="H828" s="47"/>
    </row>
    <row r="829">
      <c r="A829" s="47"/>
      <c r="B829" s="52"/>
      <c r="C829" s="52"/>
      <c r="D829" s="52"/>
      <c r="E829" s="52"/>
      <c r="F829" s="47"/>
      <c r="G829" s="47"/>
      <c r="H829" s="47"/>
    </row>
    <row r="830">
      <c r="A830" s="47"/>
      <c r="B830" s="52"/>
      <c r="C830" s="52"/>
      <c r="D830" s="52"/>
      <c r="E830" s="52"/>
      <c r="F830" s="47"/>
      <c r="G830" s="47"/>
      <c r="H830" s="47"/>
    </row>
    <row r="831">
      <c r="A831" s="47"/>
      <c r="B831" s="52"/>
      <c r="C831" s="52"/>
      <c r="D831" s="52"/>
      <c r="E831" s="52"/>
      <c r="F831" s="47"/>
      <c r="G831" s="47"/>
      <c r="H831" s="47"/>
    </row>
    <row r="832">
      <c r="A832" s="47"/>
      <c r="B832" s="52"/>
      <c r="C832" s="52"/>
      <c r="D832" s="52"/>
      <c r="E832" s="52"/>
      <c r="F832" s="47"/>
      <c r="G832" s="47"/>
      <c r="H832" s="47"/>
    </row>
    <row r="833">
      <c r="A833" s="47"/>
      <c r="B833" s="52"/>
      <c r="C833" s="52"/>
      <c r="D833" s="52"/>
      <c r="E833" s="52"/>
      <c r="F833" s="47"/>
      <c r="G833" s="47"/>
      <c r="H833" s="47"/>
    </row>
    <row r="834">
      <c r="A834" s="47"/>
      <c r="B834" s="52"/>
      <c r="C834" s="52"/>
      <c r="D834" s="52"/>
      <c r="E834" s="52"/>
      <c r="F834" s="47"/>
      <c r="G834" s="47"/>
      <c r="H834" s="47"/>
    </row>
    <row r="835">
      <c r="A835" s="47"/>
      <c r="B835" s="52"/>
      <c r="C835" s="52"/>
      <c r="D835" s="52"/>
      <c r="E835" s="52"/>
      <c r="F835" s="47"/>
      <c r="G835" s="47"/>
      <c r="H835" s="47"/>
    </row>
    <row r="836">
      <c r="A836" s="47"/>
      <c r="B836" s="52"/>
      <c r="C836" s="52"/>
      <c r="D836" s="52"/>
      <c r="E836" s="52"/>
      <c r="F836" s="47"/>
      <c r="G836" s="47"/>
      <c r="H836" s="47"/>
    </row>
    <row r="837">
      <c r="A837" s="47"/>
      <c r="B837" s="52"/>
      <c r="C837" s="52"/>
      <c r="D837" s="52"/>
      <c r="E837" s="52"/>
      <c r="F837" s="47"/>
      <c r="G837" s="47"/>
      <c r="H837" s="47"/>
    </row>
    <row r="838">
      <c r="A838" s="47"/>
      <c r="B838" s="52"/>
      <c r="C838" s="52"/>
      <c r="D838" s="52"/>
      <c r="E838" s="52"/>
      <c r="F838" s="47"/>
      <c r="G838" s="47"/>
      <c r="H838" s="47"/>
    </row>
    <row r="839">
      <c r="A839" s="47"/>
      <c r="B839" s="52"/>
      <c r="C839" s="52"/>
      <c r="D839" s="52"/>
      <c r="E839" s="52"/>
      <c r="F839" s="47"/>
      <c r="G839" s="47"/>
      <c r="H839" s="47"/>
    </row>
    <row r="840">
      <c r="A840" s="47"/>
      <c r="B840" s="52"/>
      <c r="C840" s="52"/>
      <c r="D840" s="52"/>
      <c r="E840" s="52"/>
      <c r="F840" s="47"/>
      <c r="G840" s="47"/>
      <c r="H840" s="47"/>
    </row>
    <row r="841">
      <c r="A841" s="47"/>
      <c r="B841" s="52"/>
      <c r="C841" s="52"/>
      <c r="D841" s="52"/>
      <c r="E841" s="52"/>
      <c r="F841" s="47"/>
      <c r="G841" s="47"/>
      <c r="H841" s="47"/>
    </row>
    <row r="842">
      <c r="A842" s="47"/>
      <c r="B842" s="52"/>
      <c r="C842" s="52"/>
      <c r="D842" s="52"/>
      <c r="E842" s="52"/>
      <c r="F842" s="47"/>
      <c r="G842" s="47"/>
      <c r="H842" s="47"/>
    </row>
    <row r="843">
      <c r="A843" s="47"/>
      <c r="B843" s="52"/>
      <c r="C843" s="52"/>
      <c r="D843" s="52"/>
      <c r="E843" s="52"/>
      <c r="F843" s="47"/>
      <c r="G843" s="47"/>
      <c r="H843" s="47"/>
    </row>
    <row r="844">
      <c r="A844" s="47"/>
      <c r="B844" s="52"/>
      <c r="C844" s="52"/>
      <c r="D844" s="52"/>
      <c r="E844" s="52"/>
      <c r="F844" s="47"/>
      <c r="G844" s="47"/>
      <c r="H844" s="47"/>
    </row>
    <row r="845">
      <c r="A845" s="47"/>
      <c r="B845" s="52"/>
      <c r="C845" s="52"/>
      <c r="D845" s="52"/>
      <c r="E845" s="52"/>
      <c r="F845" s="47"/>
      <c r="G845" s="47"/>
      <c r="H845" s="47"/>
    </row>
    <row r="846">
      <c r="A846" s="47"/>
      <c r="B846" s="52"/>
      <c r="C846" s="52"/>
      <c r="D846" s="52"/>
      <c r="E846" s="52"/>
      <c r="F846" s="47"/>
      <c r="G846" s="47"/>
      <c r="H846" s="47"/>
    </row>
    <row r="847">
      <c r="A847" s="47"/>
      <c r="B847" s="52"/>
      <c r="C847" s="52"/>
      <c r="D847" s="52"/>
      <c r="E847" s="52"/>
      <c r="F847" s="47"/>
      <c r="G847" s="47"/>
      <c r="H847" s="47"/>
    </row>
    <row r="848">
      <c r="A848" s="47"/>
      <c r="B848" s="52"/>
      <c r="C848" s="52"/>
      <c r="D848" s="52"/>
      <c r="E848" s="52"/>
      <c r="F848" s="47"/>
      <c r="G848" s="47"/>
      <c r="H848" s="47"/>
    </row>
    <row r="849">
      <c r="A849" s="47"/>
      <c r="B849" s="52"/>
      <c r="C849" s="52"/>
      <c r="D849" s="52"/>
      <c r="E849" s="52"/>
      <c r="F849" s="47"/>
      <c r="G849" s="47"/>
      <c r="H849" s="47"/>
    </row>
    <row r="850">
      <c r="A850" s="47"/>
      <c r="B850" s="52"/>
      <c r="C850" s="52"/>
      <c r="D850" s="52"/>
      <c r="E850" s="52"/>
      <c r="F850" s="47"/>
      <c r="G850" s="47"/>
      <c r="H850" s="47"/>
    </row>
    <row r="851">
      <c r="A851" s="47"/>
      <c r="B851" s="52"/>
      <c r="C851" s="52"/>
      <c r="D851" s="52"/>
      <c r="E851" s="52"/>
      <c r="F851" s="47"/>
      <c r="G851" s="47"/>
      <c r="H851" s="47"/>
    </row>
    <row r="852">
      <c r="A852" s="47"/>
      <c r="B852" s="52"/>
      <c r="C852" s="52"/>
      <c r="D852" s="52"/>
      <c r="E852" s="52"/>
      <c r="F852" s="47"/>
      <c r="G852" s="47"/>
      <c r="H852" s="47"/>
    </row>
    <row r="853">
      <c r="A853" s="47"/>
      <c r="B853" s="52"/>
      <c r="C853" s="52"/>
      <c r="D853" s="52"/>
      <c r="E853" s="52"/>
      <c r="F853" s="47"/>
      <c r="G853" s="47"/>
      <c r="H853" s="47"/>
    </row>
    <row r="854">
      <c r="A854" s="47"/>
      <c r="B854" s="52"/>
      <c r="C854" s="52"/>
      <c r="D854" s="52"/>
      <c r="E854" s="52"/>
      <c r="F854" s="47"/>
      <c r="G854" s="47"/>
      <c r="H854" s="47"/>
    </row>
    <row r="855">
      <c r="A855" s="47"/>
      <c r="B855" s="52"/>
      <c r="C855" s="52"/>
      <c r="D855" s="52"/>
      <c r="E855" s="52"/>
      <c r="F855" s="47"/>
      <c r="G855" s="47"/>
      <c r="H855" s="47"/>
    </row>
    <row r="856">
      <c r="A856" s="47"/>
      <c r="B856" s="52"/>
      <c r="C856" s="52"/>
      <c r="D856" s="52"/>
      <c r="E856" s="52"/>
      <c r="F856" s="47"/>
      <c r="G856" s="47"/>
      <c r="H856" s="47"/>
    </row>
    <row r="857">
      <c r="A857" s="47"/>
      <c r="B857" s="52"/>
      <c r="C857" s="52"/>
      <c r="D857" s="52"/>
      <c r="E857" s="52"/>
      <c r="F857" s="47"/>
      <c r="G857" s="47"/>
      <c r="H857" s="47"/>
    </row>
    <row r="858">
      <c r="A858" s="47"/>
      <c r="B858" s="52"/>
      <c r="C858" s="52"/>
      <c r="D858" s="52"/>
      <c r="E858" s="52"/>
      <c r="F858" s="47"/>
      <c r="G858" s="47"/>
      <c r="H858" s="47"/>
    </row>
    <row r="859">
      <c r="A859" s="47"/>
      <c r="B859" s="52"/>
      <c r="C859" s="52"/>
      <c r="D859" s="52"/>
      <c r="E859" s="52"/>
      <c r="F859" s="47"/>
      <c r="G859" s="47"/>
      <c r="H859" s="47"/>
    </row>
    <row r="860">
      <c r="A860" s="47"/>
      <c r="B860" s="52"/>
      <c r="C860" s="52"/>
      <c r="D860" s="52"/>
      <c r="E860" s="52"/>
      <c r="F860" s="47"/>
      <c r="G860" s="47"/>
      <c r="H860" s="47"/>
    </row>
    <row r="861">
      <c r="A861" s="47"/>
      <c r="B861" s="52"/>
      <c r="C861" s="52"/>
      <c r="D861" s="52"/>
      <c r="E861" s="52"/>
      <c r="F861" s="47"/>
      <c r="G861" s="47"/>
      <c r="H861" s="47"/>
    </row>
    <row r="862">
      <c r="A862" s="47"/>
      <c r="B862" s="52"/>
      <c r="C862" s="52"/>
      <c r="D862" s="52"/>
      <c r="E862" s="52"/>
      <c r="F862" s="47"/>
      <c r="G862" s="47"/>
      <c r="H862" s="47"/>
    </row>
    <row r="863">
      <c r="A863" s="47"/>
      <c r="B863" s="52"/>
      <c r="C863" s="52"/>
      <c r="D863" s="52"/>
      <c r="E863" s="52"/>
      <c r="F863" s="47"/>
      <c r="G863" s="47"/>
      <c r="H863" s="47"/>
    </row>
    <row r="864">
      <c r="A864" s="47"/>
      <c r="B864" s="52"/>
      <c r="C864" s="52"/>
      <c r="D864" s="52"/>
      <c r="E864" s="52"/>
      <c r="F864" s="47"/>
      <c r="G864" s="47"/>
      <c r="H864" s="47"/>
    </row>
    <row r="865">
      <c r="A865" s="47"/>
      <c r="B865" s="52"/>
      <c r="C865" s="52"/>
      <c r="D865" s="52"/>
      <c r="E865" s="52"/>
      <c r="F865" s="47"/>
      <c r="G865" s="47"/>
      <c r="H865" s="47"/>
    </row>
    <row r="866">
      <c r="A866" s="47"/>
      <c r="B866" s="52"/>
      <c r="C866" s="52"/>
      <c r="D866" s="52"/>
      <c r="E866" s="52"/>
      <c r="F866" s="47"/>
      <c r="G866" s="47"/>
      <c r="H866" s="47"/>
    </row>
    <row r="867">
      <c r="A867" s="47"/>
      <c r="B867" s="52"/>
      <c r="C867" s="52"/>
      <c r="D867" s="52"/>
      <c r="E867" s="52"/>
      <c r="F867" s="47"/>
      <c r="G867" s="47"/>
      <c r="H867" s="47"/>
    </row>
    <row r="868">
      <c r="A868" s="47"/>
      <c r="B868" s="52"/>
      <c r="C868" s="52"/>
      <c r="D868" s="52"/>
      <c r="E868" s="52"/>
      <c r="F868" s="47"/>
      <c r="G868" s="47"/>
      <c r="H868" s="47"/>
    </row>
    <row r="869">
      <c r="A869" s="47"/>
      <c r="B869" s="52"/>
      <c r="C869" s="52"/>
      <c r="D869" s="52"/>
      <c r="E869" s="52"/>
      <c r="F869" s="47"/>
      <c r="G869" s="47"/>
      <c r="H869" s="47"/>
    </row>
    <row r="870">
      <c r="A870" s="47"/>
      <c r="B870" s="52"/>
      <c r="C870" s="52"/>
      <c r="D870" s="52"/>
      <c r="E870" s="52"/>
      <c r="F870" s="47"/>
      <c r="G870" s="47"/>
      <c r="H870" s="47"/>
    </row>
    <row r="871">
      <c r="A871" s="47"/>
      <c r="B871" s="52"/>
      <c r="C871" s="52"/>
      <c r="D871" s="52"/>
      <c r="E871" s="52"/>
      <c r="F871" s="47"/>
      <c r="G871" s="47"/>
      <c r="H871" s="47"/>
    </row>
    <row r="872">
      <c r="A872" s="47"/>
      <c r="B872" s="52"/>
      <c r="C872" s="52"/>
      <c r="D872" s="52"/>
      <c r="E872" s="52"/>
      <c r="F872" s="47"/>
      <c r="G872" s="47"/>
      <c r="H872" s="47"/>
    </row>
    <row r="873">
      <c r="A873" s="47"/>
      <c r="B873" s="52"/>
      <c r="C873" s="52"/>
      <c r="D873" s="52"/>
      <c r="E873" s="52"/>
      <c r="F873" s="47"/>
      <c r="G873" s="47"/>
      <c r="H873" s="47"/>
    </row>
    <row r="874">
      <c r="A874" s="47"/>
      <c r="B874" s="52"/>
      <c r="C874" s="52"/>
      <c r="D874" s="52"/>
      <c r="E874" s="52"/>
      <c r="F874" s="47"/>
      <c r="G874" s="47"/>
      <c r="H874" s="47"/>
    </row>
    <row r="875">
      <c r="A875" s="47"/>
      <c r="B875" s="52"/>
      <c r="C875" s="52"/>
      <c r="D875" s="52"/>
      <c r="E875" s="52"/>
      <c r="F875" s="47"/>
      <c r="G875" s="47"/>
      <c r="H875" s="47"/>
    </row>
    <row r="876">
      <c r="A876" s="47"/>
      <c r="B876" s="52"/>
      <c r="C876" s="52"/>
      <c r="D876" s="52"/>
      <c r="E876" s="52"/>
      <c r="F876" s="47"/>
      <c r="G876" s="47"/>
      <c r="H876" s="47"/>
    </row>
    <row r="877">
      <c r="A877" s="47"/>
      <c r="B877" s="52"/>
      <c r="C877" s="52"/>
      <c r="D877" s="52"/>
      <c r="E877" s="52"/>
      <c r="F877" s="47"/>
      <c r="G877" s="47"/>
      <c r="H877" s="47"/>
    </row>
    <row r="878">
      <c r="A878" s="47"/>
      <c r="B878" s="52"/>
      <c r="C878" s="52"/>
      <c r="D878" s="52"/>
      <c r="E878" s="52"/>
      <c r="F878" s="47"/>
      <c r="G878" s="47"/>
      <c r="H878" s="47"/>
    </row>
    <row r="879">
      <c r="A879" s="47"/>
      <c r="B879" s="52"/>
      <c r="C879" s="52"/>
      <c r="D879" s="52"/>
      <c r="E879" s="52"/>
      <c r="F879" s="47"/>
      <c r="G879" s="47"/>
      <c r="H879" s="47"/>
    </row>
    <row r="880">
      <c r="A880" s="47"/>
      <c r="B880" s="52"/>
      <c r="C880" s="52"/>
      <c r="D880" s="52"/>
      <c r="E880" s="52"/>
      <c r="F880" s="47"/>
      <c r="G880" s="47"/>
      <c r="H880" s="47"/>
    </row>
    <row r="881">
      <c r="A881" s="47"/>
      <c r="B881" s="52"/>
      <c r="C881" s="52"/>
      <c r="D881" s="52"/>
      <c r="E881" s="52"/>
      <c r="F881" s="47"/>
      <c r="G881" s="47"/>
      <c r="H881" s="47"/>
    </row>
    <row r="882">
      <c r="A882" s="47"/>
      <c r="B882" s="52"/>
      <c r="C882" s="52"/>
      <c r="D882" s="52"/>
      <c r="E882" s="52"/>
      <c r="F882" s="47"/>
      <c r="G882" s="47"/>
      <c r="H882" s="47"/>
    </row>
    <row r="883">
      <c r="A883" s="47"/>
      <c r="B883" s="52"/>
      <c r="C883" s="52"/>
      <c r="D883" s="52"/>
      <c r="E883" s="52"/>
      <c r="F883" s="47"/>
      <c r="G883" s="47"/>
      <c r="H883" s="47"/>
    </row>
    <row r="884">
      <c r="A884" s="47"/>
      <c r="B884" s="52"/>
      <c r="C884" s="52"/>
      <c r="D884" s="52"/>
      <c r="E884" s="52"/>
      <c r="F884" s="47"/>
      <c r="G884" s="47"/>
      <c r="H884" s="47"/>
    </row>
    <row r="885">
      <c r="A885" s="47"/>
      <c r="B885" s="52"/>
      <c r="C885" s="52"/>
      <c r="D885" s="52"/>
      <c r="E885" s="52"/>
      <c r="F885" s="47"/>
      <c r="G885" s="47"/>
      <c r="H885" s="47"/>
    </row>
    <row r="886">
      <c r="A886" s="47"/>
      <c r="B886" s="52"/>
      <c r="C886" s="52"/>
      <c r="D886" s="52"/>
      <c r="E886" s="52"/>
      <c r="F886" s="47"/>
      <c r="G886" s="47"/>
      <c r="H886" s="47"/>
    </row>
    <row r="887">
      <c r="A887" s="47"/>
      <c r="B887" s="52"/>
      <c r="C887" s="52"/>
      <c r="D887" s="52"/>
      <c r="E887" s="52"/>
      <c r="F887" s="47"/>
      <c r="G887" s="47"/>
      <c r="H887" s="47"/>
    </row>
    <row r="888">
      <c r="A888" s="47"/>
      <c r="B888" s="52"/>
      <c r="C888" s="52"/>
      <c r="D888" s="52"/>
      <c r="E888" s="52"/>
      <c r="F888" s="47"/>
      <c r="G888" s="47"/>
      <c r="H888" s="47"/>
    </row>
    <row r="889">
      <c r="A889" s="47"/>
      <c r="B889" s="52"/>
      <c r="C889" s="52"/>
      <c r="D889" s="52"/>
      <c r="E889" s="52"/>
      <c r="F889" s="47"/>
      <c r="G889" s="47"/>
      <c r="H889" s="47"/>
    </row>
    <row r="890">
      <c r="A890" s="47"/>
      <c r="B890" s="52"/>
      <c r="C890" s="52"/>
      <c r="D890" s="52"/>
      <c r="E890" s="52"/>
      <c r="F890" s="47"/>
      <c r="G890" s="47"/>
      <c r="H890" s="47"/>
    </row>
    <row r="891">
      <c r="A891" s="47"/>
      <c r="B891" s="52"/>
      <c r="C891" s="52"/>
      <c r="D891" s="52"/>
      <c r="E891" s="52"/>
      <c r="F891" s="47"/>
      <c r="G891" s="47"/>
      <c r="H891" s="47"/>
    </row>
    <row r="892">
      <c r="A892" s="47"/>
      <c r="B892" s="52"/>
      <c r="C892" s="52"/>
      <c r="D892" s="52"/>
      <c r="E892" s="52"/>
      <c r="F892" s="47"/>
      <c r="G892" s="47"/>
      <c r="H892" s="47"/>
    </row>
    <row r="893">
      <c r="A893" s="47"/>
      <c r="B893" s="52"/>
      <c r="C893" s="52"/>
      <c r="D893" s="52"/>
      <c r="E893" s="52"/>
      <c r="F893" s="47"/>
      <c r="G893" s="47"/>
      <c r="H893" s="47"/>
    </row>
    <row r="894">
      <c r="A894" s="47"/>
      <c r="B894" s="52"/>
      <c r="C894" s="52"/>
      <c r="D894" s="52"/>
      <c r="E894" s="52"/>
      <c r="F894" s="47"/>
      <c r="G894" s="47"/>
      <c r="H894" s="47"/>
    </row>
    <row r="895">
      <c r="A895" s="47"/>
      <c r="B895" s="52"/>
      <c r="C895" s="52"/>
      <c r="D895" s="52"/>
      <c r="E895" s="52"/>
      <c r="F895" s="47"/>
      <c r="G895" s="47"/>
      <c r="H895" s="47"/>
    </row>
    <row r="896">
      <c r="A896" s="47"/>
      <c r="B896" s="52"/>
      <c r="C896" s="52"/>
      <c r="D896" s="52"/>
      <c r="E896" s="52"/>
      <c r="F896" s="47"/>
      <c r="G896" s="47"/>
      <c r="H896" s="47"/>
    </row>
    <row r="897">
      <c r="A897" s="47"/>
      <c r="B897" s="52"/>
      <c r="C897" s="52"/>
      <c r="D897" s="52"/>
      <c r="E897" s="52"/>
      <c r="F897" s="47"/>
      <c r="G897" s="47"/>
      <c r="H897" s="47"/>
    </row>
    <row r="898">
      <c r="A898" s="47"/>
      <c r="B898" s="52"/>
      <c r="C898" s="52"/>
      <c r="D898" s="52"/>
      <c r="E898" s="52"/>
      <c r="F898" s="47"/>
      <c r="G898" s="47"/>
      <c r="H898" s="47"/>
    </row>
    <row r="899">
      <c r="A899" s="47"/>
      <c r="B899" s="52"/>
      <c r="C899" s="52"/>
      <c r="D899" s="52"/>
      <c r="E899" s="52"/>
      <c r="F899" s="47"/>
      <c r="G899" s="47"/>
      <c r="H899" s="47"/>
    </row>
    <row r="900">
      <c r="A900" s="47"/>
      <c r="B900" s="52"/>
      <c r="C900" s="52"/>
      <c r="D900" s="52"/>
      <c r="E900" s="52"/>
      <c r="F900" s="47"/>
      <c r="G900" s="47"/>
      <c r="H900" s="47"/>
    </row>
    <row r="901">
      <c r="A901" s="47"/>
      <c r="B901" s="52"/>
      <c r="C901" s="52"/>
      <c r="D901" s="52"/>
      <c r="E901" s="52"/>
      <c r="F901" s="47"/>
      <c r="G901" s="47"/>
      <c r="H901" s="47"/>
    </row>
    <row r="902">
      <c r="A902" s="47"/>
      <c r="B902" s="52"/>
      <c r="C902" s="52"/>
      <c r="D902" s="52"/>
      <c r="E902" s="52"/>
      <c r="F902" s="47"/>
      <c r="G902" s="47"/>
      <c r="H902" s="47"/>
    </row>
    <row r="903">
      <c r="A903" s="47"/>
      <c r="B903" s="52"/>
      <c r="C903" s="52"/>
      <c r="D903" s="52"/>
      <c r="E903" s="52"/>
      <c r="F903" s="47"/>
      <c r="G903" s="47"/>
      <c r="H903" s="47"/>
    </row>
    <row r="904">
      <c r="A904" s="47"/>
      <c r="B904" s="52"/>
      <c r="C904" s="52"/>
      <c r="D904" s="52"/>
      <c r="E904" s="52"/>
      <c r="F904" s="47"/>
      <c r="G904" s="47"/>
      <c r="H904" s="47"/>
    </row>
    <row r="905">
      <c r="A905" s="47"/>
      <c r="B905" s="52"/>
      <c r="C905" s="52"/>
      <c r="D905" s="52"/>
      <c r="E905" s="52"/>
      <c r="F905" s="47"/>
      <c r="G905" s="47"/>
      <c r="H905" s="47"/>
    </row>
    <row r="906">
      <c r="A906" s="47"/>
      <c r="B906" s="52"/>
      <c r="C906" s="52"/>
      <c r="D906" s="52"/>
      <c r="E906" s="52"/>
      <c r="F906" s="47"/>
      <c r="G906" s="47"/>
      <c r="H906" s="47"/>
    </row>
    <row r="907">
      <c r="A907" s="47"/>
      <c r="B907" s="52"/>
      <c r="C907" s="52"/>
      <c r="D907" s="52"/>
      <c r="E907" s="52"/>
      <c r="F907" s="47"/>
      <c r="G907" s="47"/>
      <c r="H907" s="47"/>
    </row>
    <row r="908">
      <c r="A908" s="47"/>
      <c r="B908" s="52"/>
      <c r="C908" s="52"/>
      <c r="D908" s="52"/>
      <c r="E908" s="52"/>
      <c r="F908" s="47"/>
      <c r="G908" s="47"/>
      <c r="H908" s="47"/>
    </row>
    <row r="909">
      <c r="A909" s="47"/>
      <c r="B909" s="52"/>
      <c r="C909" s="52"/>
      <c r="D909" s="52"/>
      <c r="E909" s="52"/>
      <c r="F909" s="47"/>
      <c r="G909" s="47"/>
      <c r="H909" s="47"/>
    </row>
    <row r="910">
      <c r="A910" s="47"/>
      <c r="B910" s="52"/>
      <c r="C910" s="52"/>
      <c r="D910" s="52"/>
      <c r="E910" s="52"/>
      <c r="F910" s="47"/>
      <c r="G910" s="47"/>
      <c r="H910" s="47"/>
    </row>
    <row r="911">
      <c r="A911" s="47"/>
      <c r="B911" s="52"/>
      <c r="C911" s="52"/>
      <c r="D911" s="52"/>
      <c r="E911" s="52"/>
      <c r="F911" s="47"/>
      <c r="G911" s="47"/>
      <c r="H911" s="47"/>
    </row>
    <row r="912">
      <c r="A912" s="47"/>
      <c r="B912" s="52"/>
      <c r="C912" s="52"/>
      <c r="D912" s="52"/>
      <c r="E912" s="52"/>
      <c r="F912" s="47"/>
      <c r="G912" s="47"/>
      <c r="H912" s="47"/>
    </row>
    <row r="913">
      <c r="A913" s="47"/>
      <c r="B913" s="52"/>
      <c r="C913" s="52"/>
      <c r="D913" s="52"/>
      <c r="E913" s="52"/>
      <c r="F913" s="47"/>
      <c r="G913" s="47"/>
      <c r="H913" s="47"/>
    </row>
    <row r="914">
      <c r="A914" s="47"/>
      <c r="B914" s="52"/>
      <c r="C914" s="52"/>
      <c r="D914" s="52"/>
      <c r="E914" s="52"/>
      <c r="F914" s="47"/>
      <c r="G914" s="47"/>
      <c r="H914" s="47"/>
    </row>
    <row r="915">
      <c r="A915" s="47"/>
      <c r="B915" s="52"/>
      <c r="C915" s="52"/>
      <c r="D915" s="52"/>
      <c r="E915" s="52"/>
      <c r="F915" s="47"/>
      <c r="G915" s="47"/>
      <c r="H915" s="47"/>
    </row>
    <row r="916">
      <c r="A916" s="47"/>
      <c r="B916" s="52"/>
      <c r="C916" s="52"/>
      <c r="D916" s="52"/>
      <c r="E916" s="52"/>
      <c r="F916" s="47"/>
      <c r="G916" s="47"/>
      <c r="H916" s="47"/>
    </row>
    <row r="917">
      <c r="A917" s="47"/>
      <c r="B917" s="52"/>
      <c r="C917" s="52"/>
      <c r="D917" s="52"/>
      <c r="E917" s="52"/>
      <c r="F917" s="47"/>
      <c r="G917" s="47"/>
      <c r="H917" s="47"/>
    </row>
    <row r="918">
      <c r="A918" s="47"/>
      <c r="B918" s="52"/>
      <c r="C918" s="52"/>
      <c r="D918" s="52"/>
      <c r="E918" s="52"/>
      <c r="F918" s="47"/>
      <c r="G918" s="47"/>
      <c r="H918" s="47"/>
    </row>
    <row r="919">
      <c r="A919" s="47"/>
      <c r="B919" s="52"/>
      <c r="C919" s="52"/>
      <c r="D919" s="52"/>
      <c r="E919" s="52"/>
      <c r="F919" s="47"/>
      <c r="G919" s="47"/>
      <c r="H919" s="47"/>
    </row>
    <row r="920">
      <c r="A920" s="47"/>
      <c r="B920" s="52"/>
      <c r="C920" s="52"/>
      <c r="D920" s="52"/>
      <c r="E920" s="52"/>
      <c r="F920" s="47"/>
      <c r="G920" s="47"/>
      <c r="H920" s="47"/>
    </row>
    <row r="921">
      <c r="A921" s="47"/>
      <c r="B921" s="52"/>
      <c r="C921" s="52"/>
      <c r="D921" s="52"/>
      <c r="E921" s="52"/>
      <c r="F921" s="47"/>
      <c r="G921" s="47"/>
      <c r="H921" s="47"/>
    </row>
    <row r="922">
      <c r="A922" s="47"/>
      <c r="B922" s="52"/>
      <c r="C922" s="52"/>
      <c r="D922" s="52"/>
      <c r="E922" s="52"/>
      <c r="F922" s="47"/>
      <c r="G922" s="47"/>
      <c r="H922" s="47"/>
    </row>
    <row r="923">
      <c r="A923" s="47"/>
      <c r="B923" s="52"/>
      <c r="C923" s="52"/>
      <c r="D923" s="52"/>
      <c r="E923" s="52"/>
      <c r="F923" s="47"/>
      <c r="G923" s="47"/>
      <c r="H923" s="47"/>
    </row>
    <row r="924">
      <c r="A924" s="47"/>
      <c r="B924" s="52"/>
      <c r="C924" s="52"/>
      <c r="D924" s="52"/>
      <c r="E924" s="52"/>
      <c r="F924" s="47"/>
      <c r="G924" s="47"/>
      <c r="H924" s="47"/>
    </row>
    <row r="925">
      <c r="A925" s="47"/>
      <c r="B925" s="52"/>
      <c r="C925" s="52"/>
      <c r="D925" s="52"/>
      <c r="E925" s="52"/>
      <c r="F925" s="47"/>
      <c r="G925" s="47"/>
      <c r="H925" s="47"/>
    </row>
    <row r="926">
      <c r="A926" s="47"/>
      <c r="B926" s="52"/>
      <c r="C926" s="52"/>
      <c r="D926" s="52"/>
      <c r="E926" s="52"/>
      <c r="F926" s="47"/>
      <c r="G926" s="47"/>
      <c r="H926" s="47"/>
    </row>
    <row r="927">
      <c r="A927" s="47"/>
      <c r="B927" s="52"/>
      <c r="C927" s="52"/>
      <c r="D927" s="52"/>
      <c r="E927" s="52"/>
      <c r="F927" s="47"/>
      <c r="G927" s="47"/>
      <c r="H927" s="47"/>
    </row>
    <row r="928">
      <c r="A928" s="47"/>
      <c r="B928" s="52"/>
      <c r="C928" s="52"/>
      <c r="D928" s="52"/>
      <c r="E928" s="52"/>
      <c r="F928" s="47"/>
      <c r="G928" s="47"/>
      <c r="H928" s="47"/>
    </row>
    <row r="929">
      <c r="A929" s="47"/>
      <c r="B929" s="52"/>
      <c r="C929" s="52"/>
      <c r="D929" s="52"/>
      <c r="E929" s="52"/>
      <c r="F929" s="47"/>
      <c r="G929" s="47"/>
      <c r="H929" s="47"/>
    </row>
    <row r="930">
      <c r="A930" s="47"/>
      <c r="B930" s="52"/>
      <c r="C930" s="52"/>
      <c r="D930" s="52"/>
      <c r="E930" s="52"/>
      <c r="F930" s="47"/>
      <c r="G930" s="47"/>
      <c r="H930" s="47"/>
    </row>
    <row r="931">
      <c r="A931" s="47"/>
      <c r="B931" s="52"/>
      <c r="C931" s="52"/>
      <c r="D931" s="52"/>
      <c r="E931" s="52"/>
      <c r="F931" s="47"/>
      <c r="G931" s="47"/>
      <c r="H931" s="47"/>
    </row>
    <row r="932">
      <c r="A932" s="47"/>
      <c r="B932" s="52"/>
      <c r="C932" s="52"/>
      <c r="D932" s="52"/>
      <c r="E932" s="52"/>
      <c r="F932" s="47"/>
      <c r="G932" s="47"/>
      <c r="H932" s="47"/>
    </row>
    <row r="933">
      <c r="A933" s="47"/>
      <c r="B933" s="52"/>
      <c r="C933" s="52"/>
      <c r="D933" s="52"/>
      <c r="E933" s="52"/>
      <c r="F933" s="47"/>
      <c r="G933" s="47"/>
      <c r="H933" s="47"/>
    </row>
    <row r="934">
      <c r="A934" s="47"/>
      <c r="B934" s="52"/>
      <c r="C934" s="52"/>
      <c r="D934" s="52"/>
      <c r="E934" s="52"/>
      <c r="F934" s="47"/>
      <c r="G934" s="47"/>
      <c r="H934" s="47"/>
    </row>
    <row r="935">
      <c r="A935" s="47"/>
      <c r="B935" s="52"/>
      <c r="C935" s="52"/>
      <c r="D935" s="52"/>
      <c r="E935" s="52"/>
      <c r="F935" s="47"/>
      <c r="G935" s="47"/>
      <c r="H935" s="47"/>
    </row>
    <row r="936">
      <c r="A936" s="47"/>
      <c r="B936" s="52"/>
      <c r="C936" s="52"/>
      <c r="D936" s="52"/>
      <c r="E936" s="52"/>
      <c r="F936" s="47"/>
      <c r="G936" s="47"/>
      <c r="H936" s="47"/>
    </row>
    <row r="937">
      <c r="A937" s="47"/>
      <c r="B937" s="52"/>
      <c r="C937" s="52"/>
      <c r="D937" s="52"/>
      <c r="E937" s="52"/>
      <c r="F937" s="47"/>
      <c r="G937" s="47"/>
      <c r="H937" s="47"/>
    </row>
    <row r="938">
      <c r="A938" s="47"/>
      <c r="B938" s="52"/>
      <c r="C938" s="52"/>
      <c r="D938" s="52"/>
      <c r="E938" s="52"/>
      <c r="F938" s="47"/>
      <c r="G938" s="47"/>
      <c r="H938" s="47"/>
    </row>
    <row r="939">
      <c r="A939" s="47"/>
      <c r="B939" s="52"/>
      <c r="C939" s="52"/>
      <c r="D939" s="52"/>
      <c r="E939" s="52"/>
      <c r="F939" s="47"/>
      <c r="G939" s="47"/>
      <c r="H939" s="47"/>
    </row>
    <row r="940">
      <c r="A940" s="47"/>
      <c r="B940" s="52"/>
      <c r="C940" s="52"/>
      <c r="D940" s="52"/>
      <c r="E940" s="52"/>
      <c r="F940" s="47"/>
      <c r="G940" s="47"/>
      <c r="H940" s="47"/>
    </row>
    <row r="941">
      <c r="A941" s="47"/>
      <c r="B941" s="52"/>
      <c r="C941" s="52"/>
      <c r="D941" s="52"/>
      <c r="E941" s="52"/>
      <c r="F941" s="47"/>
      <c r="G941" s="47"/>
      <c r="H941" s="47"/>
    </row>
    <row r="942">
      <c r="A942" s="47"/>
      <c r="B942" s="52"/>
      <c r="C942" s="52"/>
      <c r="D942" s="52"/>
      <c r="E942" s="52"/>
      <c r="F942" s="47"/>
      <c r="G942" s="47"/>
      <c r="H942" s="47"/>
    </row>
    <row r="943">
      <c r="A943" s="47"/>
      <c r="B943" s="52"/>
      <c r="C943" s="52"/>
      <c r="D943" s="52"/>
      <c r="E943" s="52"/>
      <c r="F943" s="47"/>
      <c r="G943" s="47"/>
      <c r="H943" s="47"/>
    </row>
    <row r="944">
      <c r="A944" s="47"/>
      <c r="B944" s="52"/>
      <c r="C944" s="52"/>
      <c r="D944" s="52"/>
      <c r="E944" s="52"/>
      <c r="F944" s="47"/>
      <c r="G944" s="47"/>
      <c r="H944" s="47"/>
    </row>
    <row r="945">
      <c r="A945" s="47"/>
      <c r="B945" s="52"/>
      <c r="C945" s="52"/>
      <c r="D945" s="52"/>
      <c r="E945" s="52"/>
      <c r="F945" s="47"/>
      <c r="G945" s="47"/>
      <c r="H945" s="47"/>
    </row>
    <row r="946">
      <c r="A946" s="47"/>
      <c r="B946" s="52"/>
      <c r="C946" s="52"/>
      <c r="D946" s="52"/>
      <c r="E946" s="52"/>
      <c r="F946" s="47"/>
      <c r="G946" s="47"/>
      <c r="H946" s="47"/>
    </row>
    <row r="947">
      <c r="A947" s="47"/>
      <c r="B947" s="52"/>
      <c r="C947" s="52"/>
      <c r="D947" s="52"/>
      <c r="E947" s="52"/>
      <c r="F947" s="47"/>
      <c r="G947" s="47"/>
      <c r="H947" s="47"/>
    </row>
    <row r="948">
      <c r="A948" s="47"/>
      <c r="B948" s="52"/>
      <c r="C948" s="52"/>
      <c r="D948" s="52"/>
      <c r="E948" s="52"/>
      <c r="F948" s="47"/>
      <c r="G948" s="47"/>
      <c r="H948" s="47"/>
    </row>
    <row r="949">
      <c r="A949" s="47"/>
      <c r="B949" s="52"/>
      <c r="C949" s="52"/>
      <c r="D949" s="52"/>
      <c r="E949" s="52"/>
      <c r="F949" s="47"/>
      <c r="G949" s="47"/>
      <c r="H949" s="47"/>
    </row>
    <row r="950">
      <c r="A950" s="47"/>
      <c r="B950" s="52"/>
      <c r="C950" s="52"/>
      <c r="D950" s="52"/>
      <c r="E950" s="52"/>
      <c r="F950" s="47"/>
      <c r="G950" s="47"/>
      <c r="H950" s="47"/>
    </row>
    <row r="951">
      <c r="A951" s="47"/>
      <c r="B951" s="52"/>
      <c r="C951" s="52"/>
      <c r="D951" s="52"/>
      <c r="E951" s="52"/>
      <c r="F951" s="47"/>
      <c r="G951" s="47"/>
      <c r="H951" s="47"/>
    </row>
    <row r="952">
      <c r="A952" s="47"/>
      <c r="B952" s="52"/>
      <c r="C952" s="52"/>
      <c r="D952" s="52"/>
      <c r="E952" s="52"/>
      <c r="F952" s="47"/>
      <c r="G952" s="47"/>
      <c r="H952" s="47"/>
    </row>
    <row r="953">
      <c r="A953" s="47"/>
      <c r="B953" s="52"/>
      <c r="C953" s="52"/>
      <c r="D953" s="52"/>
      <c r="E953" s="52"/>
      <c r="F953" s="47"/>
      <c r="G953" s="47"/>
      <c r="H953" s="47"/>
    </row>
    <row r="954">
      <c r="A954" s="47"/>
      <c r="B954" s="52"/>
      <c r="C954" s="52"/>
      <c r="D954" s="52"/>
      <c r="E954" s="52"/>
      <c r="F954" s="47"/>
      <c r="G954" s="47"/>
      <c r="H954" s="47"/>
    </row>
    <row r="955">
      <c r="A955" s="47"/>
      <c r="B955" s="52"/>
      <c r="C955" s="52"/>
      <c r="D955" s="52"/>
      <c r="E955" s="52"/>
      <c r="F955" s="47"/>
      <c r="G955" s="47"/>
      <c r="H955" s="47"/>
    </row>
    <row r="956">
      <c r="A956" s="47"/>
      <c r="B956" s="52"/>
      <c r="C956" s="52"/>
      <c r="D956" s="52"/>
      <c r="E956" s="52"/>
      <c r="F956" s="47"/>
      <c r="G956" s="47"/>
      <c r="H956" s="47"/>
    </row>
    <row r="957">
      <c r="A957" s="47"/>
      <c r="B957" s="52"/>
      <c r="C957" s="52"/>
      <c r="D957" s="52"/>
      <c r="E957" s="52"/>
      <c r="F957" s="47"/>
      <c r="G957" s="47"/>
      <c r="H957" s="47"/>
    </row>
    <row r="958">
      <c r="A958" s="47"/>
      <c r="B958" s="52"/>
      <c r="C958" s="52"/>
      <c r="D958" s="52"/>
      <c r="E958" s="52"/>
      <c r="F958" s="47"/>
      <c r="G958" s="47"/>
      <c r="H958" s="47"/>
    </row>
    <row r="959">
      <c r="A959" s="47"/>
      <c r="B959" s="52"/>
      <c r="C959" s="52"/>
      <c r="D959" s="52"/>
      <c r="E959" s="52"/>
      <c r="F959" s="47"/>
      <c r="G959" s="47"/>
      <c r="H959" s="47"/>
    </row>
    <row r="960">
      <c r="A960" s="47"/>
      <c r="B960" s="52"/>
      <c r="C960" s="52"/>
      <c r="D960" s="52"/>
      <c r="E960" s="52"/>
      <c r="F960" s="47"/>
      <c r="G960" s="47"/>
      <c r="H960" s="47"/>
    </row>
    <row r="961">
      <c r="A961" s="47"/>
      <c r="B961" s="52"/>
      <c r="C961" s="52"/>
      <c r="D961" s="52"/>
      <c r="E961" s="52"/>
      <c r="F961" s="47"/>
      <c r="G961" s="47"/>
      <c r="H961" s="47"/>
    </row>
    <row r="962">
      <c r="A962" s="47"/>
      <c r="B962" s="52"/>
      <c r="C962" s="52"/>
      <c r="D962" s="52"/>
      <c r="E962" s="52"/>
      <c r="F962" s="47"/>
      <c r="G962" s="47"/>
      <c r="H962" s="47"/>
    </row>
    <row r="963">
      <c r="A963" s="47"/>
      <c r="B963" s="52"/>
      <c r="C963" s="52"/>
      <c r="D963" s="52"/>
      <c r="E963" s="52"/>
      <c r="F963" s="47"/>
      <c r="G963" s="47"/>
      <c r="H963" s="47"/>
    </row>
    <row r="964">
      <c r="A964" s="47"/>
      <c r="B964" s="52"/>
      <c r="C964" s="52"/>
      <c r="D964" s="52"/>
      <c r="E964" s="52"/>
      <c r="F964" s="47"/>
      <c r="G964" s="47"/>
      <c r="H964" s="47"/>
    </row>
    <row r="965">
      <c r="A965" s="47"/>
      <c r="B965" s="52"/>
      <c r="C965" s="52"/>
      <c r="D965" s="52"/>
      <c r="E965" s="52"/>
      <c r="F965" s="47"/>
      <c r="G965" s="47"/>
      <c r="H965" s="47"/>
    </row>
    <row r="966">
      <c r="A966" s="47"/>
      <c r="B966" s="52"/>
      <c r="C966" s="52"/>
      <c r="D966" s="52"/>
      <c r="E966" s="52"/>
      <c r="F966" s="47"/>
      <c r="G966" s="47"/>
      <c r="H966" s="47"/>
    </row>
    <row r="967">
      <c r="A967" s="47"/>
      <c r="B967" s="52"/>
      <c r="C967" s="52"/>
      <c r="D967" s="52"/>
      <c r="E967" s="52"/>
      <c r="F967" s="47"/>
      <c r="G967" s="47"/>
      <c r="H967" s="47"/>
    </row>
    <row r="968">
      <c r="A968" s="47"/>
      <c r="B968" s="52"/>
      <c r="C968" s="52"/>
      <c r="D968" s="52"/>
      <c r="E968" s="52"/>
      <c r="F968" s="47"/>
      <c r="G968" s="47"/>
      <c r="H968" s="47"/>
    </row>
    <row r="969">
      <c r="A969" s="47"/>
      <c r="B969" s="52"/>
      <c r="C969" s="52"/>
      <c r="D969" s="52"/>
      <c r="E969" s="52"/>
      <c r="F969" s="47"/>
      <c r="G969" s="47"/>
      <c r="H969" s="47"/>
    </row>
    <row r="970">
      <c r="A970" s="47"/>
      <c r="B970" s="52"/>
      <c r="C970" s="52"/>
      <c r="D970" s="52"/>
      <c r="E970" s="52"/>
      <c r="F970" s="47"/>
      <c r="G970" s="47"/>
      <c r="H970" s="47"/>
    </row>
    <row r="971">
      <c r="A971" s="47"/>
      <c r="B971" s="52"/>
      <c r="C971" s="52"/>
      <c r="D971" s="52"/>
      <c r="E971" s="52"/>
      <c r="F971" s="47"/>
      <c r="G971" s="47"/>
      <c r="H971" s="47"/>
    </row>
    <row r="972">
      <c r="A972" s="47"/>
      <c r="B972" s="52"/>
      <c r="C972" s="52"/>
      <c r="D972" s="52"/>
      <c r="E972" s="52"/>
      <c r="F972" s="47"/>
      <c r="G972" s="47"/>
      <c r="H972" s="47"/>
    </row>
    <row r="973">
      <c r="A973" s="47"/>
      <c r="B973" s="52"/>
      <c r="C973" s="52"/>
      <c r="D973" s="52"/>
      <c r="E973" s="52"/>
      <c r="F973" s="47"/>
      <c r="G973" s="47"/>
      <c r="H973" s="47"/>
    </row>
    <row r="974">
      <c r="A974" s="47"/>
      <c r="B974" s="52"/>
      <c r="C974" s="52"/>
      <c r="D974" s="52"/>
      <c r="E974" s="52"/>
      <c r="F974" s="47"/>
      <c r="G974" s="47"/>
      <c r="H974" s="47"/>
    </row>
    <row r="975">
      <c r="A975" s="47"/>
      <c r="B975" s="52"/>
      <c r="C975" s="52"/>
      <c r="D975" s="52"/>
      <c r="E975" s="52"/>
      <c r="F975" s="47"/>
      <c r="G975" s="47"/>
      <c r="H975" s="47"/>
    </row>
    <row r="976">
      <c r="A976" s="47"/>
      <c r="B976" s="52"/>
      <c r="C976" s="52"/>
      <c r="D976" s="52"/>
      <c r="E976" s="52"/>
      <c r="F976" s="47"/>
      <c r="G976" s="47"/>
      <c r="H976" s="47"/>
    </row>
    <row r="977">
      <c r="A977" s="47"/>
      <c r="B977" s="52"/>
      <c r="C977" s="52"/>
      <c r="D977" s="52"/>
      <c r="E977" s="52"/>
      <c r="F977" s="47"/>
      <c r="G977" s="47"/>
      <c r="H977" s="47"/>
    </row>
    <row r="978">
      <c r="A978" s="47"/>
      <c r="B978" s="52"/>
      <c r="C978" s="52"/>
      <c r="D978" s="52"/>
      <c r="E978" s="52"/>
      <c r="F978" s="47"/>
      <c r="G978" s="47"/>
      <c r="H978" s="47"/>
    </row>
    <row r="979">
      <c r="A979" s="47"/>
      <c r="B979" s="52"/>
      <c r="C979" s="52"/>
      <c r="D979" s="52"/>
      <c r="E979" s="52"/>
      <c r="F979" s="47"/>
      <c r="G979" s="47"/>
      <c r="H979" s="47"/>
    </row>
    <row r="980">
      <c r="A980" s="47"/>
      <c r="B980" s="52"/>
      <c r="C980" s="52"/>
      <c r="D980" s="52"/>
      <c r="E980" s="52"/>
      <c r="F980" s="47"/>
      <c r="G980" s="47"/>
      <c r="H980" s="47"/>
    </row>
    <row r="981">
      <c r="A981" s="47"/>
      <c r="B981" s="52"/>
      <c r="C981" s="52"/>
      <c r="D981" s="52"/>
      <c r="E981" s="52"/>
      <c r="F981" s="47"/>
      <c r="G981" s="47"/>
      <c r="H981" s="47"/>
    </row>
    <row r="982">
      <c r="A982" s="47"/>
      <c r="B982" s="52"/>
      <c r="C982" s="52"/>
      <c r="D982" s="52"/>
      <c r="E982" s="52"/>
      <c r="F982" s="47"/>
      <c r="G982" s="47"/>
      <c r="H982" s="47"/>
    </row>
    <row r="983">
      <c r="A983" s="47"/>
      <c r="B983" s="52"/>
      <c r="C983" s="52"/>
      <c r="D983" s="52"/>
      <c r="E983" s="52"/>
      <c r="F983" s="47"/>
      <c r="G983" s="47"/>
      <c r="H983" s="47"/>
    </row>
    <row r="984">
      <c r="A984" s="47"/>
      <c r="B984" s="52"/>
      <c r="C984" s="52"/>
      <c r="D984" s="52"/>
      <c r="E984" s="52"/>
      <c r="F984" s="47"/>
      <c r="G984" s="47"/>
      <c r="H984" s="47"/>
    </row>
    <row r="985">
      <c r="A985" s="47"/>
      <c r="B985" s="52"/>
      <c r="C985" s="52"/>
      <c r="D985" s="52"/>
      <c r="E985" s="52"/>
      <c r="F985" s="47"/>
      <c r="G985" s="47"/>
      <c r="H985" s="47"/>
    </row>
    <row r="986">
      <c r="A986" s="47"/>
      <c r="B986" s="52"/>
      <c r="C986" s="52"/>
      <c r="D986" s="52"/>
      <c r="E986" s="52"/>
      <c r="F986" s="47"/>
      <c r="G986" s="47"/>
      <c r="H986" s="47"/>
    </row>
    <row r="987">
      <c r="A987" s="47"/>
      <c r="B987" s="52"/>
      <c r="C987" s="52"/>
      <c r="D987" s="52"/>
      <c r="E987" s="52"/>
      <c r="F987" s="47"/>
      <c r="G987" s="47"/>
      <c r="H987" s="47"/>
    </row>
    <row r="988">
      <c r="A988" s="47"/>
      <c r="B988" s="52"/>
      <c r="C988" s="52"/>
      <c r="D988" s="52"/>
      <c r="E988" s="52"/>
      <c r="F988" s="47"/>
      <c r="G988" s="47"/>
      <c r="H988" s="47"/>
    </row>
    <row r="989">
      <c r="A989" s="47"/>
      <c r="B989" s="52"/>
      <c r="C989" s="52"/>
      <c r="D989" s="52"/>
      <c r="E989" s="52"/>
      <c r="F989" s="47"/>
      <c r="G989" s="47"/>
      <c r="H989" s="47"/>
    </row>
    <row r="990">
      <c r="A990" s="47"/>
      <c r="B990" s="52"/>
      <c r="C990" s="52"/>
      <c r="D990" s="52"/>
      <c r="E990" s="52"/>
      <c r="F990" s="47"/>
      <c r="G990" s="47"/>
      <c r="H990" s="47"/>
    </row>
    <row r="991">
      <c r="A991" s="47"/>
      <c r="B991" s="52"/>
      <c r="C991" s="52"/>
      <c r="D991" s="52"/>
      <c r="E991" s="52"/>
      <c r="F991" s="47"/>
      <c r="G991" s="47"/>
      <c r="H991" s="47"/>
    </row>
    <row r="992">
      <c r="A992" s="47"/>
      <c r="B992" s="52"/>
      <c r="C992" s="52"/>
      <c r="D992" s="52"/>
      <c r="E992" s="52"/>
      <c r="F992" s="47"/>
      <c r="G992" s="47"/>
      <c r="H992" s="47"/>
    </row>
    <row r="993">
      <c r="A993" s="47"/>
      <c r="B993" s="52"/>
      <c r="C993" s="52"/>
      <c r="D993" s="52"/>
      <c r="E993" s="52"/>
      <c r="F993" s="47"/>
      <c r="G993" s="47"/>
      <c r="H993" s="47"/>
    </row>
    <row r="994">
      <c r="A994" s="47"/>
      <c r="B994" s="52"/>
      <c r="C994" s="52"/>
      <c r="D994" s="52"/>
      <c r="E994" s="52"/>
      <c r="F994" s="47"/>
      <c r="G994" s="47"/>
      <c r="H994" s="47"/>
    </row>
    <row r="995">
      <c r="A995" s="47"/>
      <c r="B995" s="52"/>
      <c r="C995" s="52"/>
      <c r="D995" s="52"/>
      <c r="E995" s="52"/>
      <c r="F995" s="47"/>
      <c r="G995" s="47"/>
      <c r="H995" s="47"/>
    </row>
    <row r="996">
      <c r="A996" s="47"/>
      <c r="B996" s="52"/>
      <c r="C996" s="52"/>
      <c r="D996" s="52"/>
      <c r="E996" s="52"/>
      <c r="F996" s="47"/>
      <c r="G996" s="47"/>
      <c r="H996" s="47"/>
    </row>
    <row r="997">
      <c r="A997" s="47"/>
      <c r="B997" s="52"/>
      <c r="C997" s="52"/>
      <c r="D997" s="52"/>
      <c r="E997" s="52"/>
      <c r="F997" s="47"/>
      <c r="G997" s="47"/>
      <c r="H997" s="47"/>
    </row>
    <row r="998">
      <c r="A998" s="47"/>
      <c r="B998" s="52"/>
      <c r="C998" s="52"/>
      <c r="D998" s="52"/>
      <c r="E998" s="52"/>
      <c r="F998" s="47"/>
      <c r="G998" s="47"/>
      <c r="H998" s="47"/>
    </row>
    <row r="999">
      <c r="A999" s="47"/>
      <c r="B999" s="52"/>
      <c r="C999" s="52"/>
      <c r="D999" s="52"/>
      <c r="E999" s="52"/>
      <c r="F999" s="47"/>
      <c r="G999" s="47"/>
      <c r="H999" s="47"/>
    </row>
    <row r="1000">
      <c r="A1000" s="47"/>
      <c r="B1000" s="52"/>
      <c r="C1000" s="52"/>
      <c r="D1000" s="52"/>
      <c r="E1000" s="52"/>
      <c r="F1000" s="47"/>
      <c r="G1000" s="47"/>
      <c r="H1000" s="47"/>
    </row>
    <row r="1001">
      <c r="A1001" s="47"/>
      <c r="B1001" s="52"/>
      <c r="C1001" s="52"/>
      <c r="D1001" s="52"/>
      <c r="E1001" s="52"/>
      <c r="F1001" s="47"/>
      <c r="G1001" s="47"/>
      <c r="H1001" s="47"/>
    </row>
    <row r="1002">
      <c r="A1002" s="47"/>
      <c r="B1002" s="52"/>
      <c r="C1002" s="52"/>
      <c r="D1002" s="52"/>
      <c r="E1002" s="52"/>
      <c r="F1002" s="47"/>
      <c r="G1002" s="47"/>
      <c r="H1002" s="47"/>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