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1_top0.5" sheetId="3" r:id="rId7"/>
    <sheet state="visible" name="seed10_temp0.1_top1.0" sheetId="4" r:id="rId8"/>
    <sheet state="visible" name="seed10_temp1.0_top0.1" sheetId="5" r:id="rId9"/>
    <sheet state="visible" name="seed10_temp1.0_top0.5" sheetId="6" r:id="rId10"/>
    <sheet state="visible" name="seed10_temp1.0_top1.0" sheetId="7" r:id="rId11"/>
    <sheet state="visible" name="seed10_temp2.0_top0.1" sheetId="8" r:id="rId12"/>
    <sheet state="visible" name="seed10_temp2.0_top0.5" sheetId="9" r:id="rId13"/>
    <sheet state="visible" name="seed10_temp2.0_top1.0" sheetId="10" r:id="rId14"/>
  </sheets>
  <definedNames/>
  <calcPr/>
</workbook>
</file>

<file path=xl/sharedStrings.xml><?xml version="1.0" encoding="utf-8"?>
<sst xmlns="http://schemas.openxmlformats.org/spreadsheetml/2006/main" count="3482" uniqueCount="511">
  <si>
    <t>SUMMARY RESULT BETWEEN TEST</t>
  </si>
  <si>
    <t>Temp</t>
  </si>
  <si>
    <t>Topp</t>
  </si>
  <si>
    <t>Parameters</t>
  </si>
  <si>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</si>
  <si>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</si>
  <si>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</si>
  <si>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</si>
  <si>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</si>
  <si>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</si>
  <si>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</si>
  <si>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</si>
  <si>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</si>
  <si>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</si>
  <si>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</si>
  <si>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</si>
  <si>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</si>
  <si>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</si>
  <si>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</si>
  <si>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</si>
  <si>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</si>
  <si>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</si>
  <si>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</si>
  <si>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</si>
  <si>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</si>
  <si>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</si>
  <si>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</si>
  <si>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</si>
  <si>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</si>
  <si>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</si>
  <si>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</si>
  <si>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</si>
  <si>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</si>
  <si>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</si>
  <si>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</si>
  <si>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</si>
  <si>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</si>
  <si>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as it innervates the medial leg and can extend as far as the base of the great toe."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</si>
  <si>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</si>
  <si>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</si>
  <si>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</si>
  <si>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</si>
  <si>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</si>
  <si>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opioid-induced hyperalgesia, which is a common side effect of morphine. Naloxone is the most appropriate therapy to reverse this effect and alleviate the patient's pain. It is the antidote to opioid-induced respiratory depression and can also reverse opioid-induced hyperalgesia." }No relevant document was found, therefore the answer is based solely on the model trained parameters!!!</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</si>
  <si>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</si>
  <si>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</si>
  <si>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</si>
  <si>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</si>
  <si>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</si>
  <si>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hypercalcemia can lead to dehydration and electrolyte imbalances, and normal saline can help to replenish fluids and electrolytes. Additionally, normal saline can help to reduce the severity of symptoms such as nausea, vomiting, and constipation."</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</si>
  <si>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</si>
  <si>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</si>
  <si>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</si>
  <si>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</si>
  <si>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test to predict the likelihood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</si>
  <si>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</si>
  <si>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</si>
  <si>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</si>
  <si>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</si>
  <si>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anesthetic added to the fresh gas stream. The vaporizer adds 100 mL/min of anesthetic vapor to the oxygen flow, which is then mixed with the fresh gas flow of 5 L/min. To find the concentration, we can use the formula: concentration = (amount of anesthetic added / total gas flow) x 100%. In this case, the amount of anesthetic added is 100 mL/min, and the total gas flow is 5.1 L/min (100 mL/min + 5 L/min). Plugging in the numbers, we get: concentration = (100 mL/min / 5100 mL/min) x 100% = 2%. However, the correct answer is 0.5%, which is the correct calculation: concentration = (150 mmHg / 760 mmHg) x 100% =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</si>
  <si>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</si>
  <si>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</si>
  <si>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</si>
  <si>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</si>
  <si>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an adult patient with mild hypothermia anesthetized with 1 MAC of isoflurane, as it helps to reduce heat loss by constricting blood vessels and conserving body heat."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</si>
  <si>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</si>
  <si>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</si>
  <si>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</si>
  <si>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</si>
  <si>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effects of midazolam may still be present even after the patient is sent home, and the patient may still experience recurrent sedation or respiratory depression." }</t>
  </si>
  <si>
    <t>Which of the following factors exerts the GREATEST effect on the extent of spread of local anesthetic following subarachnoid block with hyperbaric bupivacaine?</t>
  </si>
  <si>
    <t>A. Added epinephrine</t>
  </si>
  <si>
    <t>B. Patient position</t>
  </si>
  <si>
    <t>C. Total dose of drug</t>
  </si>
  <si>
    <t>{   "Answer": "B",   "Explain": "Patient position is the greatest factor that exerts an effect on the extent of spread of local anesthetic following subarachnoid block with hyperbaric bupivacaine, as it can alter the distribution of the anesthetic solution in the cerebrospinal fluid."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</si>
  <si>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</si>
  <si>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</si>
  <si>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</si>
  <si>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</si>
  <si>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"The patient is experiencing pulmonary edema after resolution of postoperative laryngospasm, and is breathing 100% O2 with an SpO2 of 80%. The most appropriate management is to provide positive-pressure ventilation to help improve oxygenation and alleviate respiratory distress."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</si>
  <si>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</si>
  <si>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</si>
  <si>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</si>
  <si>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</si>
  <si>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symptoms of nausea, diaphoresis, and sharp pain in the left shoulder are likely caused by bladder perforation, which is a complication of TURP procedure."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</si>
  <si>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</si>
  <si>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</si>
  <si>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</si>
  <si>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</si>
  <si>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 is in the Trendelenburg position with CO2 insufflation, which can cause compression of the vena cava, leading to decreased venous return and decreased oxygen saturation."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</si>
  <si>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</si>
  <si>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</si>
  <si>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</si>
  <si>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</si>
  <si>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can cause hypoventilation, and her SpO2 is 90% on room air, indicating hypoxemia. The most likely cause of her hypoxemia is hypoventilation, as mentioned in the context, which states that alveolar hypoventilation is one of the most common causes of postoperative hypoxemia in the PACU."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</si>
  <si>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</si>
  <si>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</si>
  <si>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</si>
  <si>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</si>
  <si>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as the ventilator senses the patient's inspiratory effort and provides additional pressure to assist their breathing."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</si>
  <si>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</si>
  <si>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</si>
  <si>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</si>
  <si>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</si>
  <si>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increased coronary perfusion pressure is necessary to ensure adequate oxygen delivery to the heart muscle. This is because the increased heart rate and contractility require more oxygen, and increased coronary perfusion pressure helps to meet this increased demand." }</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</si>
  <si>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</si>
  <si>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</si>
  <si>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</si>
  <si>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</si>
  <si>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value that is most likely to confirm adequate synthetic hepatic function. This is because the liver plays a crucial role in the production of clotting factors, and a prolonged PT indicates impaired liver function." }</t>
  </si>
  <si>
    <t>Which of the following strategies BEST prevents ventricular dysrhythmias in a patient undergoing extracorporeal shock wave lithotripsy?</t>
  </si>
  <si>
    <t>A. Beta-adrenergic blockade</t>
  </si>
  <si>
    <t>B. ECG synchronization</t>
  </si>
  <si>
    <t>C. Epidural blockade to T4</t>
  </si>
  <si>
    <t>{   "Answer": "B",   "Explain": "B. ECG synchronization is the best strategy to prevent ventricular dysrhythmias in a patient undergoing extracorporeal shock wave lithotripsy, as it ensures that the shock waves are delivered during the T-wave of the electrocardiogram, minimizing the risk of cardiac arrhythmias."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</si>
  <si>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</si>
  <si>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</si>
  <si>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</si>
  <si>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</si>
  <si>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relies on a higher rate of fresh gas inflow to eliminate CO2 and prevent rebreathing, whereas semiclosed systems allow for some rebreathing."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</si>
  <si>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</si>
  <si>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</si>
  <si>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</si>
  <si>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</si>
  <si>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patient's position, being in the lateral position, may have caused a shift of the diaphragm, leading to a decrease in lung volume and a more rapid flow of gas through the airways, resulting in a more rapid increase in CO2 concentration and a steeper slope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</si>
  <si>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</si>
  <si>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</si>
  <si>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</si>
  <si>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</si>
  <si>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administration of penicillin, which suggests an allergy. Therefore, the anesthesiologist should administer hydrocortisone, a corticosteroid, to help alleviate the allergic reaction, followed by cefazolin, the antibiotic of choice for the patient's condition."</t>
  </si>
  <si>
    <t>Which of the following factors DECREASES the MAC of isoflurane?</t>
  </si>
  <si>
    <t>A. Acute cocaine intoxication</t>
  </si>
  <si>
    <t>B. Chronic ethanol abuse</t>
  </si>
  <si>
    <t>C. Symptomatic hyponatremia</t>
  </si>
  <si>
    <t>{   "Answer": "C",   "Explain": "Symptomatic hyponatremia decreases the MAC of isoflurane, as mentioned in the context."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</si>
  <si>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</si>
  <si>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</si>
  <si>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</si>
  <si>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</si>
  <si>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cardiac output and blood pressure."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</si>
  <si>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</si>
  <si>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</si>
  <si>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</si>
  <si>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</si>
  <si>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which means that for a given PO2, more oxygen will be released from hemoglobin to the tissues." }</t>
  </si>
  <si>
    <t>Which of the following findings is most likely to be DECREASED in a patient with clinical hypothyroidism?</t>
  </si>
  <si>
    <t>A. MAC</t>
  </si>
  <si>
    <t>B. Myocardial contractility</t>
  </si>
  <si>
    <t>C. Peripheral vascular tone</t>
  </si>
  <si>
    <t>{   "Answer": "B",   "Explain": "Hypothyroidism decreases myocardial contractility, leading to a decrease in cardiac output and peripheral resistance, making option B the most likely to be decreased in a patient with clinical hypothyroidism." }</t>
  </si>
  <si>
    <t>Which of the following anesthetic drugs is MOST likely to be associated with longer seizure duration when used for electroconvulsive therapy?</t>
  </si>
  <si>
    <t>A. Etomidate</t>
  </si>
  <si>
    <t>B. Methohexital</t>
  </si>
  <si>
    <t>C. Propofol</t>
  </si>
  <si>
    <t>{   "Answer": "A",   "Explain": "Etomidate is associated with longer seizure duration when used for electroconvulsive therapy, as stated in the context, making it the most likely choice among the options." }</t>
  </si>
  <si>
    <t>Which of the following drugs does NOT cause enhanced activity of the GABA receptor?</t>
  </si>
  <si>
    <t>B. Ketamine</t>
  </si>
  <si>
    <t>{   "Answer": "A",   "Explain": "Etomidate does not enhance the activity of GABA receptors, unlike the other two options, ketamine and propofol, which both potentiate GABA receptors." }</t>
  </si>
  <si>
    <t>Which of the following components is MISPLACED in the circle system shown in the above illustration?</t>
  </si>
  <si>
    <t>A. Fresh gas inlet</t>
  </si>
  <si>
    <t>B. CO2 absorber</t>
  </si>
  <si>
    <t>C. Expiratory valve</t>
  </si>
  <si>
    <t>{   "Answer": "C",   "Explain": "The expiratory valve is closed during the inspiratory phase, which is not shown in the illustration. In a classic circle breathing system, the expiratory valve is typically open during exhalation and closed during inhalation."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</si>
  <si>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</si>
  <si>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</si>
  <si>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</si>
  <si>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</si>
  <si>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is often associated with a drug that is not highly bound to plasma proteins, allowing it to distribute widely throughout the body. This is because the drug is not being sequestered by plasma proteins, allowing it to reach its target tissues more easily." }</t>
  </si>
  <si>
    <t>Which of the following drugs has the LONGEST duration of action in a patient with renal failure?</t>
  </si>
  <si>
    <t>A. Neostigmine</t>
  </si>
  <si>
    <t>B. Rocuronium</t>
  </si>
  <si>
    <t>C. Succinylcholine</t>
  </si>
  <si>
    <t>{   "Answer": "B",   "Explain": "Rocuronium has an elimination half-life increased in renal failure due to an increase in volume of distribution with no change in clearance, which might account for a longer duration of action in anephric patients."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</si>
  <si>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</si>
  <si>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</si>
  <si>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</si>
  <si>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</si>
  <si>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located in the trachea and innervates the larynx and vocal cords."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</si>
  <si>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</si>
  <si>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</si>
  <si>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</si>
  <si>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</si>
  <si>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</si>
  <si>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</si>
  <si>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</si>
  <si>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</si>
  <si>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</si>
  <si>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occurs when anesthetics bind to thermoreceptors in the hypothalamus, leading to a decrease in sympathetic tone and subsequent vasodilation. This reduces blood flow to the core, causing a rapid drop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</si>
  <si>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</si>
  <si>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</si>
  <si>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</si>
  <si>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</si>
  <si>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over 1 hour, and then improved to 92% when FiO2 was increased to 1.0. This suggests that the hypoxemia was caused by a decrease in functional residual capacity (FRC), leading to intrapulmonary shunting and decreased oxygenation."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</si>
  <si>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</si>
  <si>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</si>
  <si>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</si>
  <si>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</si>
  <si>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"C",   "Explain": "The patient has complete anesthesia in the median, radial, and ulnar nerve distributions after a supraclavicular block, which suggests that the block is effective for the distal trunk-proximal division level of the brachial plexus. Therefore, the most appropriate next step is to supplement the block with the musculocutaneous nerve, which is not blocked by the current block, to ensure adequate anesthesia for the entire surgical procedure."</t>
  </si>
  <si>
    <t>Which of the following mechanisms is PRIMARILY responsible for emergence after a single dose of propofol?</t>
  </si>
  <si>
    <t>A. Redistribution</t>
  </si>
  <si>
    <t>B. Metabolism</t>
  </si>
  <si>
    <t>C. Excretion</t>
  </si>
  <si>
    <t>{   "Answer": "A",   "Explain": "Propofol's emergence after a single dose is primarily due to redistribution from the brain and other organs to the muscles and fat, where it is stored and slowly released, leading to a decrease in its concentration in the brain and a subsequent decrease in its sedative effects."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</si>
  <si>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</si>
  <si>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</si>
  <si>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</si>
  <si>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</si>
  <si>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"The O2 analyzer reading decreased from 50% to 30% over 30 minutes, which suggests that the O2 being delivered is not being accurately measured. This could be due to accumulation of water on the O2 sensor membrane, which would cause a decrease in the O2 reading. Therefore, the most likely cause of the decrease in O2 analyzer reading is the accumulation of water on the O2 sensor membrane." }No relevant document was found, therefore the answer is based solely on the model trained parameters!!!</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</si>
  <si>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</si>
  <si>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</si>
  <si>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</si>
  <si>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</si>
  <si>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intense analgesia and amnesia, despite appearing awake with eyes remaining open and slow nystagmic gaze."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</si>
  <si>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</si>
  <si>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</si>
  <si>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</si>
  <si>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</si>
  <si>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is the most likely explanation for its decreased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</si>
  <si>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</si>
  <si>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</si>
  <si>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</si>
  <si>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</si>
  <si>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as it represents the amount of uncertainty associated with the sample mean as an estimate of the population mean." }</t>
  </si>
  <si>
    <t>Pulse oximetry accurately reflects SaO2 in which of the following situations?</t>
  </si>
  <si>
    <t>A. Administration of indocyanine green</t>
  </si>
  <si>
    <t>B. Carboxyhemoglobinemia</t>
  </si>
  <si>
    <t>C. 40% fetal hemoglobin concentration</t>
  </si>
  <si>
    <t>{   "Answer": "B",   "Explain": "Pulse oximetry accurately reflects SaO2 in situations of carboxyhemoglobinemia because carboxyhemoglobin has an absorbance of light that is similar to oxyhemoglobin, causing the pulse oximeter to falsely read a high SpO2."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</si>
  <si>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</si>
  <si>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</si>
  <si>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</si>
  <si>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</si>
  <si>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"A patient with a fasting blood glucose of 100 mg/dL is already at a normal range. During anesthesia, glucose levels often decrease due to decreased glucose production and increased glucose utilization. Therefore, on emergence, a mild hypoglycemia (blood glucose concentration C. Mild hypoglycemia) is the most likely expected outcome."</t>
  </si>
  <si>
    <t>Which of the following drugs INCREASES gastric pH while decreasing gastric volume?</t>
  </si>
  <si>
    <t>A. Glycopyrrolate</t>
  </si>
  <si>
    <t>B. Metoclopramide</t>
  </si>
  <si>
    <t>C. Ranitidine</t>
  </si>
  <si>
    <t>{   "Answer": "C",   "Explain": "Ranitidine, an H2 receptor antagonist, increases gastric pH while decreasing gastric volume, making it the correct answer."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</si>
  <si>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</si>
  <si>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</si>
  <si>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</si>
  <si>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</si>
  <si>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"The lower blood gas solubility of nitrous oxide compared to desflurane means that it requires less time for the alveolar and inspired concentrations to equilibrate, resulting in a more rapid equilibration." }</t>
  </si>
  <si>
    <t>Which of the following goals is the PRIMARY purpose of denitrogenation prior to anesthetic induction?</t>
  </si>
  <si>
    <t>A. Improving matching of ventilation and perfusion</t>
  </si>
  <si>
    <t>B. Increasing O2 reserve in the FRC</t>
  </si>
  <si>
    <t>C. Maximizing arterial O2 content</t>
  </si>
  <si>
    <t>{   "Answer": "A",   "Explain": "Preoxygenation prior to anesthetic induction is primarily to improve matching of ventilation and perfusion, as it increases the time period the patient can safely be apneic, allowing for a longer window to secure the airway and resume ventilation."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</si>
  <si>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</si>
  <si>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</si>
  <si>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</si>
  <si>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</si>
  <si>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"A",   "Explain": "A 32-year-old woman sustains an injury to the left recurrent laryngeal nerve during thyroidectomy, which is likely to cause unopposed adduction of the left vocal cord at rest, leading to hoarseness and potentially airway obstruction."</t>
  </si>
  <si>
    <t>Which of the following values, in mmHg, is the expected mixed venous O2 tension in a normal adult after breathing 100% O2 for 10 minutes?</t>
  </si>
  <si>
    <t>A. 45</t>
  </si>
  <si>
    <t>B. 95</t>
  </si>
  <si>
    <t>C. 150</t>
  </si>
  <si>
    <t>{   "Answer": "A",   "Explain": "After breathing 100% O2 for 10 minutes, the mixed venous O2 tension is expected to be low, around 45 mmHg, as the body's tissues and organs are saturated with oxygen, and the excess oxygen is not being utilized, resulting in a decrease in mixed venous O2 tension." }</t>
  </si>
  <si>
    <t>Which of the following drugs has the SHORTEST elimination half-life?</t>
  </si>
  <si>
    <t>B. Lorazepam</t>
  </si>
  <si>
    <t>C. Midazolam</t>
  </si>
  <si>
    <t>{   "Answer": "A",   "Explain": "According to the context, flumazenil has a very rapid clearance and short elimination half-life, making it the shortest-lived compound among the options." }</t>
  </si>
  <si>
    <t>TOTAL CORRECT ANSWERS</t>
  </si>
  <si>
    <t>TOTAL QUESTIONS</t>
  </si>
  <si>
    <t>RATIO</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</si>
  <si>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</si>
  <si>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</si>
  <si>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procedures that also involve the medial aspect of the leg, the femoral nerve can be blocked, commonly at the adductor canal, at the level of the knee via the medial femoral condyle, below the knee with local infiltration distal to the medial condyle of the tibia, or above the medial malleolus of the foot." }</t>
  </si>
  <si>
    <t>{   "Answer": "C",   "Explain": "The patient is experiencing opioid-related adverse effects, including nausea and abdominal pain, 30 minutes after receiving morphine. Naloxone is the most appropriate therapy to reverse the effects of morphine. It is the antidote for opioid overdose and can quickly reverse the symptoms." }No relevant document was found, therefore the answer is based solely on the model trained parameters!!!</t>
  </si>
  <si>
    <t>{   "Answer": "B",   "Explain": "The patient's serum calcium level is 15 mg/dL, which is significantly elevated. Normal saline is the most appropriate initial management to help lower the serum calcium level and alleviate symptoms. This is because normal saline can help dilute the excess calcium in the blood, reducing its concentration and alleviating symptoms." }No relevant document was found, therefore the answer is based solely on the model trained parameters!!!</t>
  </si>
  <si>
    <t>{   "Answer": "C",   "Explain": "The caffeine-halothane contracture test has the highest sensitivity and specificity for malignant hyperthermia, making it the most reliable predictor of the likelihood of developing the condition." }</t>
  </si>
  <si>
    <t>{   "Answer": "B",   "Explain": "To find the delivered anesthetic concentration, we need to calculate the amount of anesthetic added to the fresh gas stream. The vaporizer adds 100 mL/min of anesthetic vapor to the oxygen flow, which is then mixed with the fresh gas flow of 5 L/min. To find the concentration, we need to convert the volume of anesthetic vapor to milliliters and then divide it by the total volume of the mixture. 100 mL/min of anesthetic vapor is added to 5 L/min of fresh gas, which is equivalent to 5000 mL/min. The concentration is then 100 mL/min / 5000 mL/min = 0.02 or 0.5%." }</t>
  </si>
  <si>
    <t>{   "Answer": "C",   "Explain": "Vasoconstriction is the most effective mechanism for maintaining body temperature in an adult patient with mild hypothermia anesthetized with 1 MAC of isoflurane, as it reduces heat loss by convection and radiation, and helps to conserve heat in the core of the body."</t>
  </si>
  <si>
    <t>{   "Answer": "A",   "Explain": "Flumazenil has low affinity for benzodiazepine receptors, which means it can easily displace the midazolam from the receptor, allowing for rapid reversal of sedation. This is in contrast to other benzodiazepines that have a longer duration of action and may not be easily antagonized by flumazenil."</t>
  </si>
  <si>
    <t>{   "Answer": "C",   "Explain": "The total dose of drug exerts the greatest effect on the extent of spread of local anesthetic following subarachnoid block with hyperbaric bupivacaine, as it directly influences the amount of anesthetic solution distributed throughout the cerebrospinal fluid." }</t>
  </si>
  <si>
    <t>{   "Answer": "B",   "Explain": "Administering furosemide is the most appropriate management strategy in this scenario as it can help to reduce pulmonary hydrostatic pressures and alleviate pulmonary edema, which is a non-cardiogenic cause of respiratory distress." }</t>
  </si>
  <si>
    <t>{   "Answer": "B",   "Explain": "The patient's symptoms of nausea, diaphoresis, and sharp pain in the left shoulder suggest a sudden and severe complication, which is more likely to be caused by bladder perforation rather than angina pectoris or inadequate spinal sensory level." }</t>
  </si>
  <si>
    <t>{   "Answer": "B",   "Explain": "The patient is in the Trendelenburg position with CO2 insufflation, which can cause compression of the vena cava, leading to decreased SpO2." }</t>
  </si>
  <si>
    <t>{   "Answer": "B",   "Explain": "The patient's SpO2 is 90% on room air, indicating mild hypoxemia. Alveolar hypoventilation is a common cause of postoperative hypoxemia, and it is more likely to occur in a patient with obesity. The patient's obesity and recent laparoscopic cholecystectomy may also contribute to hypoventilation." }</t>
  </si>
  <si>
    <t>{   "Answer": "B",   "Explain": "Prothrombin time (PT) is a laboratory value that is most likely to confirm adequate synthetic hepatic function. This is because the liver plays a crucial role in the production of clotting factors, and a prolonged PT can indicate impaired liver function." }</t>
  </si>
  <si>
    <t>{   "Answer": "B",   "Explain": "B. ECG synchronization is the best strategy to prevent ventricular dysrhythmias in a patient undergoing extracorporeal shock wave lithotripsy. This is because ECG synchronization ensures that the shock waves are delivered during the T-wave of the electrocardiogram, minimizing the risk of cardiac arrhythmias." }</t>
  </si>
  <si>
    <t>{   "Answer": "C",   "Explain": "The patient is in the lateral position, which can cause the endobronchial tube to shift away from the affected lung, leading to decreased tidal volume and a decreased CO2 concentration, resulting in a decreased slope between points A and B." }</t>
  </si>
  <si>
    <t>{   "Answer": "A",   "Explain": "Bupivacaine's primary toxic effect on the cardiovascular system is the blockade of norepinephrine release, which can lead to a rapid and profound cardiovascular depression." }</t>
  </si>
  <si>
    <t>{   "Answer": "A",   "Explain": "The standard error of the mean shows the precision of the population mean, as it measures the amount of uncertainty associated with the sample mean as an estimate of the population mean." }</t>
  </si>
  <si>
    <t>{   "Answer": "A",   "Explain": "Preoxygenation prior to anesthetic induction is primarily to improve matching of ventilation and perfusion, as it increases the time period a patient can safely be apneic, allowing for a longer window to secure the airway and resume ventilation." }</t>
  </si>
  <si>
    <t>{   "Answer": "A",   "Explain": "A 32-year-old woman sustains an injury to the left recurrent laryngeal nerve during thyroidectomy, which is likely to cause unilateral recurrent laryngeal nerve injury. This would lead to unopposed adduction of the left vocal cord, resulting in adduction of the left vocal cord at rest."</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</si>
  <si>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</si>
  <si>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</si>
  <si>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patient's symptoms of right upper quadrant abdominal pain and nausea suggest that the pain is likely due to the morphine premedication. Naloxone is the antidote for morphine-induced respiratory depression and is the most appropriate therapy for this patient's pain." }No relevant document was found, therefore the answer is based solely on the model trained parameters!!!</t>
  </si>
  <si>
    <t>{   "Answer": "B",   "Explain": "The patient's serum calcium level is 15 mg/dL, which is significantly elevated. Normal saline is the most appropriate initial management to help lower the serum calcium level and alleviate symptoms. This is because normal saline can help dilute the calcium in the blood and reduce its concentration, thereby reducing the severity of symptoms." }No relevant document was found, therefore the answer is based solely on the model trained parameters!!!</t>
  </si>
  <si>
    <t>{   "Answer": "B",   "Explain": "To find the delivered anesthetic concentration, we need to calculate the amount of anesthetic added to the fresh gas stream. The vaporizer adds 100 mL/min of anesthetic vapor to the oxygen flow, which is then mixed with the fresh gas flow of 5 L/min. The anesthetic vapor pressure is 150 mmHg. To find the delivered anesthetic concentration, we need to calculate the volume of anesthetic vapor added per liter of fresh gas flow. 100 mL/min ÷ 5 L/min = 2%."</t>
  </si>
  <si>
    <t>{   "Answer": "A",   "Explain": "Flumazenil has low affinity for benzodiazepine receptors, which means it can easily displace the midazolam from the receptor, allowing the patient to quickly recover from sedation." }</t>
  </si>
  <si>
    <t>{   "Answer": "C",   "Explain": "The patient is experiencing pulmonary edema after resolution of postoperative laryngospasm, which is a type of postobstructive pulmonary edema. The most appropriate management is to provide positive-pressure ventilation to help alleviate the edema and improve oxygenation, as the patient's SpO2 is only 80% despite being on 100% O2."</t>
  </si>
  <si>
    <t>{   "Answer": "B",   "Explain": "The patient's symptoms of nausea, diaphoresis, and sharp pain in the left shoulder suggest a sudden and severe complication, which is more likely to be due to bladder perforation rather than angina pectoris or inadequate spinal sensory level." }</t>
  </si>
  <si>
    <t>{   "Answer": "B",   "Explain": "The patient is receiving IV PCA with morphine, which can cause hypoventilation, and her SpO2 is 90% on room air, indicating hypoxemia. According to the text, alveolar hypoventilation is a common cause of postoperative hypoxemia, and hypoventilation alone is sufficient to cause arterial hypoxemia in a patient breathing room air." }</t>
  </si>
  <si>
    <t>{   "Answer": "B",   "Explain": "To satisfy the increased metabolic demand of the myocardium, increased coronary perfusion pressure is necessary to ensure adequate oxygen delivery to the heart muscle. This is because the heart muscle extracts a higher percentage of oxygen than other tissues in the body, and increased heart rate and contractility further increase oxygen demand." }</t>
  </si>
  <si>
    <t>{   "Answer": "B",   "Explain": "Prothrombin time (PT) is a laboratory value that is most likely to confirm adequate synthetic hepatic function, as it measures the time it takes for a clot to form in the blood, which is influenced by liver function." }</t>
  </si>
  <si>
    <t>{   "Answer": "B",   "Explain": "ECG synchronization is a strategy that BEST prevents ventricular dysrhythmias in a patient undergoing extracorporeal shock wave lithotripsy by ensuring that the shock waves are delivered during the T-wave of the electrocardiogram, reducing the risk of cardiac dysrhythmias." }</t>
  </si>
  <si>
    <t>{   "Answer": "A",   "Explain": "Compared to a semiclosed circle system, a Bain circuit exhibits less rebreathing of CO2 because it has a higher rate of fresh gas inflow, which helps to eliminate CO2 and prevent rebreathing." }</t>
  </si>
  <si>
    <t>{   "Answer": "C",   "Explain": "The patient's position, being in the lateral position, may cause the patient to shallow breathe, leading to a decrease in tidal volume, resulting in a decreased slope between points A and B." }</t>
  </si>
  <si>
    <t>{   "Answer": "B",   "Explain": "The patient has a history of a rash with past administration of penicillin, which suggests an allergy to penicillins. Therefore, the anesthesiologist should administer hydrocortisone, followed by cefazolin, to ensure that the patient does not have an allergic reaction to the antibiotic." }</t>
  </si>
  <si>
    <t>{   "Answer": "C",   "Explain": "Hyperthermia causes a rightward shift of the oxyhemoglobin dissociation curve, allowing for more efficient unloading of oxygen in the tissues." }</t>
  </si>
  <si>
    <t>{   "Answer": "A",   "Explain": "Etomidate is associated with longer seizure duration when used for electroconvulsive therapy, as stated in the context, whereas methohexital and propofol are not." }</t>
  </si>
  <si>
    <t>{   "Answer": "C",   "Explain": "The expiratory valve is closed during the inspiratory phase, which is not shown in the figure. The correct position of the expiratory valve is during the expiratory phase, not during the inspiratory phase." }</t>
  </si>
  <si>
    <t>{   "Answer": "C",   "Explain": "A large volume of distribution is typically associated with a drug that is not highly bound to plasma proteins, allowing it to distribute widely throughout the body. This is in contrast to drugs with low plasma protein binding, which tend to remain in the bloodstream and have a smaller volume of distribution." }</t>
  </si>
  <si>
    <t>{   "Answer": "B",   "Explain": "Rocuronium has the longest duration of action in patients with renal failure because its elimination half-life is increased due to an increase in the volume of distribution with no change in clearance." }</t>
  </si>
  <si>
    <t>{   "Answer": "C",   "Explain": "Instillation of local anesthetic into the trachea via the cricothyroid membrane is most likely to block the Recurrent Laryngeal Nerve, which is located in the trachea and innervates the larynx and vocal cords." }</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</si>
  <si>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</si>
  <si>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   "Answer": "A",   "Explain": "Ablation of thermoregulatory vasoconstriction occurs when anesthetics suppress the normal autoregulatory mechanisms that maintain blood flow to the brain and other vital organs, leading to a reduction in core temperature." }</t>
  </si>
  <si>
    <t>{   "Answer": "A",   "Explain": "Propofol's emergence after a single dose is primarily due to redistribution from the brain and other organs to the muscles and adipose tissue, where it is stored and slowly released, leading to a decrease in its concentration in the brain and a subsequent decrease in its sedative effects." }</t>
  </si>
  <si>
    <t>{   "Answer": "C",   "Explain": "Fentanyl has a shorter elimination half-life compared to morphine, which means it is metabolized and eliminated from the body more quickly, leading to a shorter duration of action." }</t>
  </si>
  <si>
    <t>{   "Answer": "A",   "Explain": "The standard error of the mean shows the precision of the sample mean as an estimate of the population mean. It measures the amount of variation in the sample means that would be expected if the sampling were repeated many times. In other words, it's a measure of how close the sample mean is likely to be to the true population mean." }No relevant document was found, therefore the answer is based solely on the model trained parameters!!!</t>
  </si>
  <si>
    <t>{   "Answer": "B",   "Explain": "Pulse oximetry accurately reflects SaO2 in situations of carboxyhemoglobinemia because carboxyhemoglobin has an absorbance of light that is similar to oxyhemoglobin, causing the pulse oximeter to falsely read a higher SpO2 level." }</t>
  </si>
  <si>
    <t>{   "Answer": "C",   "Explain": "A patient with a fasting blood glucose of 100 mg/dL is already mildly hyperglycemic. During anesthesia, glucose levels typically decrease due to decreased glucose production and increased glucose utilization. Therefore, on emergence, a mild hypoglycemia (blood glucose concentration C. Mild hypoglycemia) is the most likely expected outcome."</t>
  </si>
  <si>
    <t>{   "Answer": "C",   "Explain": "The lower blood gas solubility of nitrous oxide compared to desflurane means that it takes less time for the alveolar and inspired concentrations to equilibrate, resulting in a more rapid equilibration." }</t>
  </si>
  <si>
    <t>{   "Answer": "A",   "Explain": "After breathing 100% O2 for 10 minutes, the mixed venous O2 tension is expected to be low, around 45 mmHg, as the body's tissues and organs are saturated with oxygen, and the excess oxygen is not being utilized, resulting in a decreased mixed venous O2 tension." }</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</si>
  <si>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</si>
  <si>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</si>
  <si>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</si>
  <si>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   "Answer": "B",   "Explain": "To find the delivered anesthetic concentration, we need to calculate the amount of anesthetic added to the fresh gas stream. The vaporizer adds 100 mL/min of anesthetic vapor to the oxygen flow, which is then mixed with the fresh gas flow of 5 L/min. The anesthetic vapor pressure is 150 mmHg. To find the delivered anesthetic concentration, we need to calculate the volume of anesthetic vapor in the fresh gas flow. The volume of anesthetic vapor can be calculated by multiplying the anesthetic vapor pressure by the ratio of the anesthetic vapor flow to the total gas flow. The ratio of the anesthetic vapor flow to the total gas flow is 100 mL/min / (100 mL/min + 5 L/min) = 2. So, the volume of anesthetic vapor is 150 mmHg x 2 = 300 mmHg. The delivered anesthetic concentration is then 300 mmHg / 760 mmHg, which is 0.39%. This is closest to 0.5%."</t>
  </si>
  <si>
    <t>{   "Answer": "C",   "Explain": "Vasoconstriction is the most effective mechanism for maintaining body temperature in this patient with mild hypothermia, as it reduces heat loss by convection and radiation, and helps to conserve heat in the core of the body." }</t>
  </si>
  <si>
    <t>{   "Answer": "B",   "Explain": "The patient's position is the greatest factor in determining the extent of spread of local anesthetic following subarachnoid block with hyperbaric bupivacaine, as it affects the distribution of the anesthetic solution in the cerebrospinal fluid and the pressure gradient that drives its spread." }</t>
  </si>
  <si>
    <t>{   "Answer": "B",   "Explain": "ECG synchronization is the best strategy to prevent ventricular dysrhythmias in a patient undergoing extracorporeal shock wave lithotripsy because it ensures that the shock waves are delivered during the T wave-free period, reducing the risk of arrhythmias. This is a crucial step in the procedure to prevent cardiac complications." }No relevant document was found, therefore the answer is based solely on the model trained parameters!!!</t>
  </si>
  <si>
    <t>{   "Answer": "B",   "Explain": "The patient has a history of a rash with past administration of penicillin, so the anesthesiologist should administer hydrocortisone, followed by cefazolin, to ensure that the patient does not have an allergic reaction to the antibiotic." }</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</si>
  <si>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</si>
  <si>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</si>
  <si>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right upper quadrant abdominal pain and nausea, which is a potential sign of biliary colic or pancreatitis, both of which are complications of cholecystectomy. Naloxone is an opioid antagonist that would not address the underlying cause of the pain. Flumazenil is a benzodiazepine antagonist that would not be effective in this situation. Ketorolac is a nonsteroidal anti-inflammatory drug (NSAID) that may not provide adequate pain relief for this patient's condition. Therefore, the most appropriate therapy for this patient's pain would be to consider other options, such as analgesics or antiemetics, under the guidance of a healthcare provider." }No relevant document was found, therefore the answer is based solely on the model trained parameters!!!</t>
  </si>
  <si>
    <t>{   "Answer": "B",   "Explain": "The patient's serum calcium level is 15 mg/dL, which is significantly elevated. Normal saline is the most appropriate initial management to help lower the serum calcium level and alleviate symptoms. This is because normal saline can help dilute the calcium in the blood, reducing its concentration and alleviating symptoms such as muscle weakness, fatigue, and abdominal cramps." }No relevant document was found, therefore the answer is based solely on the model trained parameters!!!</t>
  </si>
  <si>
    <t>{   "Answer": "B",   "Explain": "To find the delivered anesthetic concentration, we need to calculate the amount of anesthetic added to the fresh gas stream. The vaporizer adds 100 mL/min of anesthetic vapor to the oxygen flow, which is then mixed with a fresh gas flow of 5 L/min. The anesthetic vapor concentration can be calculated by dividing the amount of anesthetic added (100 mL/min) by the total flow rate (5 L/min + 100 mL/min = 5.1 L/min). This gives us a concentration of 1.96% (100 mL/min / 5.1 L/min). The closest option is 0.5% (B)."</t>
  </si>
  <si>
    <t>{   "Answer": "C",   "Explain": "Vasoconstriction is the most effective mechanism for maintaining body temperature in this patient with mild hypothermia, as it reduces heat loss by convection and radiation, and increases blood flow to vital organs to maintain core body temperature." }</t>
  </si>
  <si>
    <t>{   "Answer": "A",   "Explain": "Flumazenil has low affinity for benzodiazepine receptors, which means it does not bind tightly to the receptors, allowing the patient to wake up quickly and safely." }</t>
  </si>
  <si>
    <t>{   "Answer": "B",   "Explain": "The patient's position is the greatest factor in determining the extent of spread of local anesthetic following subarachnoid block with hyperbaric bupivacaine, as it can alter the distribution of the anesthetic solution in the cerebrospinal fluid and affect the spread of the block." }</t>
  </si>
  <si>
    <t>{   "Answer": "B",   "Explain": "Administering furosemide is the most appropriate management strategy in this scenario as it can help to reduce pulmonary hydrostatic pressures and alleviate the pulmonary edema. This is particularly important in this case as the patient is already receiving 100% oxygen and has a SpO2 of 80%, indicating hypoxemia."</t>
  </si>
  <si>
    <t>{   "Answer": "B",   "Explain": "The symptoms of nausea, diaphoresis, and sharp pain in the left shoulder suggest an intra-abdominal or retroperitoneal complication, which is most likely due to bladder perforation, leading to extravasation of irrigating solution into the peritoneal cavity." }</t>
  </si>
  <si>
    <t>{   "Answer": "B",   "Explain": "Two hours after a laparoscopic cholecystectomy, the patient is receiving IV PCA with morphine, which can cause hypoventilation. The patient's SpO2 is 90% on room air, indicating mild hypoxemia. Therefore, the most likely cause of her hypoxemia is hypoventilation, as stated in the text: 'Atelectasis and alveolar hypoventilation are the most common causes of transient postoperative arterial hypoxemia in the immediate postoperative period.'" }</t>
  </si>
  <si>
    <t>{   "Answer": "A",   "Explain": "Pressure support breaths in pressure support ventilation are triggered by a decrease in airway pressure, which means that when the patient's inspiratory effort decreases, the ventilator senses this and provides additional support by increasing the pressure to help the patient breathe more easily." }</t>
  </si>
  <si>
    <t>{   "Answer": "B",   "Explain": "To satisfy the increased metabolic demand of the myocardium, increased coronary perfusion pressure is necessary to deliver more oxygen and nutrients to the heart muscle. This is because the increased heart rate and contractility of the heart require more oxygen and nutrients to function efficiently." }</t>
  </si>
  <si>
    <t>{   "Answer": "B",   "Explain": "A prothrombin time (PT) is a laboratory value that is most likely to confirm adequate synthetic hepatic function. This is because the liver plays a crucial role in coagulation, and a PT measures the time it takes for a clot to form in the blood, which is dependent on liver function." }</t>
  </si>
  <si>
    <t>{   "Answer": "B",   "Explain": "ECG synchronization is the best strategy to prevent ventricular dysrhythmias in a patient undergoing extracorporeal shock wave lithotripsy because it ensures that the shock waves are delivered during the T wave of the electrocardiogram, reducing the risk of cardiac arrhythmias. This is in contrast to beta-adrenergic blockade, which may not be effective in preventing ventricular dysrhythmias, and epidural blockade to T4, which is not relevant to the prevention of ventricular dysrhythmias during lithotripsy." }No relevant document was found, therefore the answer is based solely on the model trained parameters!!!</t>
  </si>
  <si>
    <t>{   "Answer": "C",   "Explain": "The patient's position, which is lateral, can cause the patient to shallow breathe, leading to a decreased tidal volume, which is the distance between points A and B, resulting in a decreased expired volume."</t>
  </si>
  <si>
    <t>{   "Answer": "B",   "Explain": "The anesthesiologist should not administer cefazolin immediately, given the patient's history of rash with past penicillin administration. Instead, they should administer hydrocortisone, followed by cefazolin, to reduce the risk of an allergic reaction." }</t>
  </si>
  <si>
    <t>{   "Answer": "A",   "Explain": "Bupivacaine's primary toxic effect on the cardiovascular system is the blockade of norepinephrine release, which can lead to a decrease in blood pressure and cardiac output." }</t>
  </si>
  <si>
    <t>{   "Answer": "C",   "Explain": "Hyperthermia causes a rightward shift of the oxyhemoglobin dissociation curve, allowing for increased unloading of oxygen in the tissues." }</t>
  </si>
  <si>
    <t>{   "Answer": "B",   "Explain": "Myocardial contractility is decreased in patients with clinical hypothyroidism due to the decrease in circulating thyroid hormones, leading to a decrease in cardiac contractility and output." }</t>
  </si>
  <si>
    <t>{   "Answer": "A",   "Explain": "Etomidate is most likely to be associated with longer seizure duration when used for electroconvulsive therapy because it is associated with longer seizures in response to ECT than seizures that occur after the administration of methohexital or propofol, as stated in the context."</t>
  </si>
  <si>
    <t>{   "Answer": "A",   "Explain": "Etomidate does not enhance the activity of GABA receptors, unlike other anesthetics such as propofol and ketamine, which potentiate GABA receptor function." }</t>
  </si>
  <si>
    <t>{   "Answer": "C",   "Explain": "The expiratory valve is closed during the inspiratory phase, which is not shown in the illustration. In a classic circle breathing system, the expiratory valve is typically open during the expiratory phase, allowing the patient to exhale."</t>
  </si>
  <si>
    <t>{   "Answer": "C",   "Explain": "A large volume of distribution means that the anesthetic is distributed widely throughout the body, which is often associated with a low plasma protein binding. This is because the anesthetic is not strongly bound to plasma proteins, allowing it to spread out and distribute itself more easily throughout the body." }</t>
  </si>
  <si>
    <t>{   "Answer": "A",   "Explain": "Ablation of thermoregulatory vasoconstriction occurs when anesthetics bind to thermoreceptors in the hypothalamus, leading to a decrease in sympathetic tone and subsequent vasodilation. This reduction in vasoconstriction allows for increased heat loss through radiation and convection, resulting in a rapid drop in core temperature." }</t>
  </si>
  <si>
    <t>{   "Answer": "A",   "Explain": "The patient's SpO2 decreases from 98% to 84% and then improves to 92% when FiO2 is increased to 1.0, indicating that the hypoxemia is caused by a problem with oxygen delivery rather than oxygen consumption. This suggests that the likely cause of hypoxemia is decreased functional residual capacity (FRC), which can lead to intrapulmonary shunting and decreased oxygenation of the blood." }</t>
  </si>
  <si>
    <t>{   "Answer": "C",   "Explain": "The patient has complete anesthesia in the median, radial, and ulnar nerve distributions after a supraclavicular block, which suggests that the block is already effective in blocking the nerves that arise from the brachial plexus. Therefore, the next step would be to supplement the anesthesia in the musculocutaneous nerve distribution, which is not blocked by the initial block."</t>
  </si>
  <si>
    <t>{   "Answer": "A",   "Explain": "Propofol's emergence after a single dose is primarily due to redistribution from fat tissue back into the bloodstream, where it can be metabolized and excreted." }</t>
  </si>
  <si>
    <t>{   "Answer": "B",   "Explain": "The O2 analyzer reading decreased from 50% to 30% over 30 minutes, which suggests that the O2 being delivered is not being accurately measured. The most likely cause is the accumulation of water on the O2 sensor membrane, which can reduce the accuracy of the reading. This is a common issue with O2 analyzers and can be addressed by cleaning or replacing the sensor." }No relevant document was found, therefore the answer is based solely on the model trained parameters!!!</t>
  </si>
  <si>
    <t>{   "Answer": "A",   "Explain": "After an induction dose of ketamine, patients appear to be in a cataleptic state with intense analgesia and amnesia, despite appearing to be awake." }</t>
  </si>
  <si>
    <t>{   "Answer": "C",   "Explain": "Fentanyl has a shorter elimination half-life compared to morphine, which means it is metabolized and eliminated from the body more quickly, resulting in a shorter duration of action." }</t>
  </si>
  <si>
    <t>{   "Answer": "A",   "Explain": "The standard error of the mean shows the precision of the sample mean as an estimate of the population mean. It measures the amount of variation in the sample means that would be expected if the sampling were repeated many times. In other words, it represents the amount of uncertainty associated with the sample mean." }No relevant document was found, therefore the answer is based solely on the model trained parameters!!!</t>
  </si>
  <si>
    <t>{   "Answer": B,   "Explain": "Pulse oximetry accurately reflects SaO2 in situations where there is carboxyhemoglobinemia, as it reads the SpO2 falsely high due to the absorbance of light by carboxyhemoglobin." }</t>
  </si>
  <si>
    <t>{   "Answer": "B",   "Explain": "The patient's initial fasting blood glucose level is 100 mg/dL, which is within the normal range. The patient is receiving a 4-hour general anesthetic, which is unlikely to cause significant changes in blood glucose levels. Therefore, it is most likely that the patient's blood glucose level on emergence will be slightly elevated, but not significantly so, making mild hyperglycemia the most likely outcome." }</t>
  </si>
  <si>
    <t>{   "Answer": "C",   "Explain": "Ranitidine is an H2 receptor antagonist that increases gastric pH in pregnant women approximately one hour after administration without producing adverse effects." }</t>
  </si>
  <si>
    <t>{   "Answer": "C",   "Explain": "Nitrous oxide has a lower blood gas solubility compared to desflurane, which means that it takes less time for the alveolar and inspired concentrations to equilibrate. This is because less time is needed for the anesthetic to be dissolved in the blood before equilibration with the gas phase is reached." }</t>
  </si>
  <si>
    <t>{   "Answer": "A",   "Explain": "Preoxygenation is done to improve matching of ventilation and perfusion, which is a primary purpose to prevent hypoxia and ensure a safe transition from breathing to apnea during anesthesia induction." }</t>
  </si>
  <si>
    <t>{   "Answer": "A",   "Explain": "Injury to the left recurrent laryngeal nerve during thyroidectomy can cause unopposed adduction of the left vocal cord, leading to adduction of the left vocal cord at rest." }</t>
  </si>
  <si>
    <t>{   "Answer": "A",   "Explain": "After breathing 100% O2 for 10 minutes, the mixed venous O2 tension is expected to be low, around 45 mmHg, as the increased inspired O2 has been fully saturated in the blood and the body's tissues have utilized most of the oxygen, resulting in a decreased mixed venous O2 tension." }</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</si>
  <si>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</si>
  <si>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</si>
  <si>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femoral nerve is located at the medial aspect of the lower leg and is a potential target for blockage during an operation in this area, making it the most likely choice for blocking."</t>
  </si>
  <si>
    <t>{   "Answer": "C",   "Explain": "The patient is experiencing opioid adverse effects due to the premedication with morphine. The best approach is to antagonize the effects of the morphine with naloxone. Flumazenil and ketorolac are not effective in addressing opioid-induced side effects." } No relevant document was found, therefore the answer is based solely on the model trained parameters!!!</t>
  </si>
  <si>
    <t>{   "Answer": "B",   "Explain": "Step 1: The patient's serum calcium concentration is 15 mg/dL, which is high. Step 2: The initial management of hypercalcemia is aimed at reducing calcium levels. Step 3: Normal saline is a lifesaving intervention for hypercalcemia, as it helps to dilute the elevated serum calcium levels, reducing its toxic effects. Step 4: Magnesium and steroids are not the primary treatments for hypercalcemia, and their use would not be the most appropriate initial management." }No relevant document was found, therefore the answer is based solely on the model trained parameters!!!</t>
  </si>
  <si>
    <t>{   "Answer": "C",   "Explain": "The caffeine-halothane contracture test has the highest sensitivity and specificity for malignant hyperthermia, making it the most reliable test to predict the likelihood of developing the condition."</t>
  </si>
  <si>
    <t>{   "Answer": "B",   "Explain": "To calculate the delivered anesthetic concentration, we need to first calculate the amount of anesthetic added to the fresh gas stream. Since the vaporizer adds 100 mL/min of O2 gas and the fresh gas flow is 5 L/min, the percentage of anesthetic added can be calculated as 100 mL/(5 L) x (1/1000) = 2%. Since the vapor pressure of the anesthetic is 150 mmHg, this percentage would be half of the final concentration, which is 1%. This is equivalent to 0.5% of the anesthetic." }</t>
  </si>
  <si>
    <t>{   "Answer": "C",   "Explain": "Vasoconstriction is the most effective physiologic mechanism for maintaining body temperature in this patient because it helps to reduce heat loss by constricting blood vessels, which is beneficial in hypothermic patients who have a reduced ability to generate heat." }</t>
  </si>
  <si>
    <t>{   "Answer": B,   "Explain": "Because flumazenil has moderate intrinsic agonist activity, it can potentially increase the level of sedation if given in excess or if the patient has a sensitive individual response to it, which may not be suitable for the patient to be sent home immediately."</t>
  </si>
  <si>
    <t>{   "Answer": "C",   "Explain": "The total dose of drug is the greatest factor that exerts an effect on the extent of spread of local anesthetic following subarachnoid block with hyperbaric bupivacaine, as it directly affects the volume of the solution injected and therefore the spread of the anesthetic."</t>
  </si>
  <si>
    <t>{ "Answer": "B", "Explain": "Administering furosemide, a diuretic, is the most appropriate management strategy in this scenario as the patient developed pulmonary edema after resolution of postoperative laryngospasm and is already receiving 100% O2. The goal is to reduce pulmonary hydrostatic pressure and relieve respiratory distress, and furosemide can help achieve this by increasing urine output and reducing fluid volume." }</t>
  </si>
  <si>
    <t>{   "Answer": "B",   "Explain": "The patient developed sharp pain in the left shoulder, which is an unusual symptom of spinal anesthetic and is more commonly associated with bladder perforation, leading to intraperitoneal symptoms." }</t>
  </si>
  <si>
    <t>{   "Answer": "B",   "Explain": "During compression of the vena cava in the Trendelenburg position, blood return to the heart is impeded, leading to decreased oxygen saturation, which can cause a decrease in SpO2." }</t>
  </si>
  <si>
    <t>{   "Answer": B,    "Explain": "The patient's SpO2 is 90% on room air, which suggests that there is a decreased oxygen saturation. As mentioned in the context, alveolar hypoventilation is a common cause of postoperative hypoxemia. This is because hypoventilation can lead to an increase in arterial partial pressure of carbon dioxide (PaCO2), which in turn causes hypoxemia in a patient breathing room air at sea level."</t>
  </si>
  <si>
    <t>{ "Answer": "A", "Explain": "A decrease in airway pressure is the preset factor that triggers pressure support breaths in a patient receiving pressure support ventilation." }</t>
  </si>
  <si>
    <t>{   "Answer": "B",   "Explain": "To satisfy the increased metabolic demand of the myocardium during tachycardia, the increased oxygen delivery requires increased coronary perfusion pressure, which in turn increases the oxygen supply to the heart." }</t>
  </si>
  <si>
    <t>{   "Answer": "B",   "Explain": "Prothrombin time (B) is the most likely laboratory value to confirm adequate synthetic hepatic function, as it measures the time it takes for the blood to clot, which is closely linked to liver function and synthetic capacity."</t>
  </si>
  <si>
    <t>{ "Answer": B, "Explain": "ECG synchronization is the BEST strategy to prevent ventricular dysrhythmias in a patient undergoing extracorporeal shock wave lithotripsy because it helps to prevent complications such as arrhythmias, cardiac arrest, and death. This is done by carefully monitoring the ECG waveforms during the lithotripsy procedure to ensure proper timing of the shockwaves." No relevant document was found, therefore the answer is based solely on the model trained parameters!!!</t>
  </si>
  <si>
    <t>{   "Answer": "A",   "Explain": "A Bain circuit exhibits less rebreathing of CO2 compared to a semiclosed circle system because it depends on a higher rate of fresh gas inflow to eliminate CO2 and prevent rebreathing."</t>
  </si>
  <si>
    <t>{   "Answer": "C",   "Explain": "The patient was in the lateral position, which can cause a small but significant discrepancy between the nasal and oral airways, leading to decreased tidal volume and flattened or inverted capnograph waveform specifically between points A and B." }</t>
  </si>
  <si>
    <t>{   "Answer": "C",   "Explain": "The patient in this scenario has already developed a rash with past administration of penicillin, indicating an allergy. Vancomycin should be used instead of cefazolin to avoid another allergic reaction." }</t>
  </si>
  <si>
    <t>{   "Answer": "C",   "Explain": "Symptomatic hyponatremia is one of the factors that decreases the minimum alveolar concentration (MAC) of isoflurane." }</t>
  </si>
  <si>
    <t>{   "Answer": "C",    "Explain": "Unlike lidocaine, which rapidly blocks and rapidly reverses cardiac sodium channels, bupivacaine blocks them more slowly but takes longer to reverse its effects, making it more likely to cause prolongation of the cardiac action potential and delay of ventricular repolarization, which can result in cardiac arrest." }</t>
  </si>
  <si>
    <t>{   "Answer": "C",   "Explain": "According to the context, 'Hyperthermia' is one of the conditions that shift the oxyhemoglobin dissociation curve to the right. This is stated in Figure 49.2, which shows that hyperthermia causes a rightward shift in the curve." }</t>
  </si>
  <si>
    <t>{   "Answer": "B",   "Explain": "Myocardial contractility decreases in clinical hypothyroidism due to a reduction in the number and size of myofibrils in the heart, leading to decreased cardiac output and peripheral resistance." }</t>
  </si>
  <si>
    <t>{   "Answer": "A",   "Explain": "Etomidate is a GABA-A receptor agonist, but it does not enhance its activity, unlike the other two options, Ketamine and Propofol." }</t>
  </si>
  <si>
    <t>{   "Answer": "C",   "Explain": "The expiratory valve should be 'open' during exhalation and 'closed' during inhalation, but in the given illustration, it is marked as 'closed' all the time, making it misplaced."</t>
  </si>
  <si>
    <t>{   "Answer": C,   "Explain": "A large volume of distribution is typically associated with a drug that is not heavily protein-bound. A new IV anesthetic with a large volume of distribution is most likely to have low plasma protein binding, allowing it to freely distribute to peripheral tissues and fluids." }</t>
  </si>
  <si>
    <t>{   "Answer": "B",   "Explain": "Rocuronium has an increased elimination half-life in renal failure patients because of an increase in volume of distribution with no change in clearance, making it have the longest duration of action in a patient with renal failure." }</t>
  </si>
  <si>
    <t>{   "Answer": "C",   "Explain": "Instillation of local anesthetic into the trachea via the cricothyroid membrane is most likely to block the recurrent laryngeal nerve, which is located in the trachea and supplies sensation to the larynx."</t>
  </si>
  <si>
    <t>{   "Answer": "A",   "Explain": "Gagging that occurs during awake intubation can be prevented by local anesthetic block of the superior laryngeal nerve. This nerve provides sensory input from the lower pharynx and the upper part of the larynx, including the glottic surface of the epiglottis and the aryepiglottic folds."</t>
  </si>
  <si>
    <t>{ "Answer": "A", "Explain": "During general anesthesia, the body's normal thermoregulatory response to changes in body temperature is suppressed, leading to a reduction in vasoconstriction, which allows for the initial decrease in core temperature." }</t>
  </si>
  <si>
    <t>{   "Answer": "A",   "Explain": "The patient's blood oxygen level decreased significantly, but increased to a normal level after increasing FiO2, indicating that the cause of hypoxemia is likely related to a lack of oxygen in the air being breathed in. This suggests that the decreased FRC is the most likely cause." }</t>
  </si>
  <si>
    <t>{ "Answer": "C", "Explain": "The patient has anesthesia in the median, radial, and ulnar nerve distributions after a supraclavicular block, which blocks the distal trunk-proximal division level of the brachial plexus. An axillary block would not be effective in this case as it blocks the level of the terminal branch of the brachial plexus. An intercostobrachial block is not a commonly used technique for hand surgery. Therefore, the most appropriate next step is to perform a musculocutaneous nerve block to achieve adequate anesthesia."</t>
  </si>
  <si>
    <t>{   "Answer": "A",   "Explain": "Redistribution from the brain to other tissues, such as adipose tissue and muscle, is primarily responsible for emergence after a single dose of propofol, as the drug's anesthetic effects wear off." }</t>
  </si>
  <si>
    <t>{   "Answer": "B",   "Explain": "Sevoflurane can displace O2 in the anesthesia circuit and accumulate on the O2 sensor membrane, causing a decrease in the O2 analyzer reading. Over 30 minutes, the concentration of O2 would decrease, making option B the most likely cause. Therefore, accumulation of water on the O2 sensor membrane is the likely cause of the drop in O2 reading." }No relevant document was found, therefore the answer is based solely on the model trained parameters!!!</t>
  </si>
  <si>
    <t>{   "Answer" : "A",   "Explain" : "After an induction dose of ketamine, patients appear to be in a cataleptic state with eyes remaining open with a slow nystagmic gaze, moderate dilation of the pupils, lacrimation, salivation, and an increase in skeletal muscle tone, along with apparently coordinated but purposeless movements of the extremities, indicating intense analgesia." }</t>
  </si>
  <si>
    <t>{   "Answer": "C",   "Explain": "The decreased duration of action of an IV dose of fentanyl is most likely explained by its shorter elimination half-life." }</t>
  </si>
  <si>
    <t>{   "Answer": "A",   "Explain": "The standard error of the mean shows the precision of the sample mean as an estimate of the population mean. It represents the amount of variability in the sample mean due to random sampling error. Step-by-step: 1) The sample mean is an estimate of the population mean. 2) Since every sample is unique, the sample mean will vary slightly each time a new sample is taken. 3) The standard error of the mean calculates the amount of this variability, giving an idea of how well the sample mean represents the population mean." }No relevant document was found, therefore the answer is based solely on the model trained parameters!!!</t>
  </si>
  <si>
    <t>{   "Answer": "A",   "Explain": "Pulse oximetry accurately reflects SaO2 in the situation where the administration of indocyanine green is not present, as indocyanine green would interfere with the accuracy of pulse oximetry readings."</t>
  </si>
  <si>
    <t>{   "Answer": "B,   "Explain": "On emergence from anesthesia, the patient is expected to have mild hyperglycemia (blood glucose &gt;140mg/dL) due to the hormonal response to stress and anesthesia, even with a fasting blood glucose of 100mg/dL." }</t>
  </si>
  <si>
    <t>{   "Answer": "C",   "Explain": "Although antacids, such as ranitidine, can increase gastric pH, they also decrease gastric volume. The text specifically mentions that antacids, such as H2 receptor antagonists, increase gastric fluid pH in pregnant women, while metoclopramide can decrease gastric volume."</t>
  </si>
  <si>
    <t>{ "Answer": C, "Explain": "Nitrous oxide has a lower blood gas solubility compared to desflurane, which means it requires less time to equilibrate with the alveolar air, making its alveolar and inspired concentrations equilibrate more rapidly." }</t>
  </si>
  <si>
    <t>{   "Answer": "C",   "Explain": "Preoxygenation is done to increase the arterial O2 content, providing a longer period of safe apnea, allowing for a smoother transition to oxygen desaturation during anesthesia induction." }</t>
  </si>
  <si>
    <t>{   "Answer": "B",   "Explain": "A 32-year-old woman who sustains an injury to the left recurrent laryngeal nerve during thyroidectomy is likely to develop aphonia, which is the loss of the ability to make sound, as a result of bilateral nerve injury, whereas adduction of the left vocal cord at rest is a possible result of unilateral nerve injury."</t>
  </si>
  <si>
    <t>{ "Answer": A, "Explain": "After breathing 100% O2 for 10 minutes, the mixed venous O2 tension would decrease due to the limitation of oxygen delivery to tissues by the blood. Normal mixed venous O2 tension ranges from 40-44 mmHg. Therefore, the expected mixed venous O2 tension in a normal adult after breathing 100% O2 for 10 minutes is around 45 mmHg, which is the correct answer choice A." }</t>
  </si>
  <si>
    <t>{     "Answer": "A",     "Explain": "Flumazenil has a very rapid clearance and short elimination half-life compared to midazolam and lorazepam, making it the shortest elimination half-life among the options." }</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</si>
  <si>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</si>
  <si>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</si>
  <si>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patient's position, being in the lateral position, may have caused a shift of the diaphragm, leading to a decrease in lung volume and a decrease in tidal volume, resulting in a capnograph waveform with a decreased slope between points A and B." }</t>
  </si>
  <si>
    <t>{   "Answer": "B",   "Explain": "The patient has a history of a rash with past administration of penicillin, so the anesthesiologist should administer hydrocortisone, followed by cefazolin, to manage the potential allergic reaction." }</t>
  </si>
  <si>
    <t>{   "Answer": "C",   "Explain": "The higher blood solubility of desflurane compared to nitrous oxide means that a larger amount of inhaled anesthetic must be dissolved in the blood before equilibration with the gas phase is reached, slowing down the rate of equilibration of alveolar and inspired concentrations." }</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</si>
  <si>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</si>
  <si>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</si>
  <si>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tibial nerve innervates the medial aspect of the lower leg, so blocking it would be most likely to be necessary for an operation in this area."</t>
  </si>
  <si>
    <t>{   "Answer": "C",   "Explain": "Since the patient is experiencing pain and nausea, and she received morphine and midazolam, the pain is likely due to the side effects of these medications. Naloxone is the most appropriate therapy to counteract the effects of morphine, and flumazenil is used to reverse benzodiazepine-induced sedation, whereas ketorolac is a nonsteroidal anti-inflammatory drug that would not address the patient's current symptoms. Therefore, naloxone is the most appropriate choice to treat the patient's pain and nausea." } No relavent document was found, therefore the answer is based solely on the model trained parameters!!!</t>
  </si>
  <si>
    <t>{   "Answer": "B",   "Explain": "Step 1: The patient has hypercalcemia with a serum calcium concentration of 15 mg/dL, which is causing concern. Step 2: To rapidly reduce the serum calcium level, administration of normal saline is the most effective initial management. Normal saline can help dilute the serum calcium and improve cardiac function." }No relevant document was found, therefore the answer is based solely on the model trained parameters!!!</t>
  </si>
  <si>
    <t>{   "Answer": "C",   "Explain": "The definitive diagnosis of a patient's susceptibility to malignant hyperthermia requires a skeletal muscle biopsy, which is then tested in vitro for isometric contracture in response to exposure to caffeine or halothane or both. This test has the highest sensitivity and specificity for MH." }</t>
  </si>
  <si>
    <t>{   "Answer": "B",   "Explain": "To find the delivered anesthetic concentration, first calculate the amount of anesthetic added to the fresh gas stream. 100 mL/min of O2 flows through the vaporizer, containing an anesthetic with a vapor pressure of 150 mmHg. The fresh gas flow is 5 L/min. Therefore, the delivered anesthetic concentration is (150 mL/min / 5000 mL/min) x 150 mmHg / 760 mmHg = 0.5%." }</t>
  </si>
  <si>
    <t>{   "Answer": "C",   "Explain": "The patient's hypothermia causes reduced shivering thermogenesis, which makes vasodilation the most effective mechanism to maintain body temperature. Vasoconstriction helps to conserve heat by reducing blood flow to peripheral tissues and redirecting blood flow to vital organs, thereby maintaining normothermia." }</t>
  </si>
  <si>
    <t>{   "Answer": "A",   "Explain": "The patient should remain hospitalized for observation because although flumazenil has easily antagonized midazolam's effects, the duration of action of midazolam is longer than that of flumazenil, and the patient may experience recurrent sedation and respiratory depression if not monitored." }</t>
  </si>
  <si>
    <t>{ "Answer": "B", "Explain": "The extent of spread of local anesthetic following subarachnoid block with hyperbaric bupivacaine is most influenced by patient position, as it affects the distribution of the solution within the cerebrospinal fluid and the degree of settling that occurs."</t>
  </si>
  <si>
    <t>{ "Answer": "B", "Explain": "Administering furosemide, a diuretic, is the most appropriate management strategy for the 17-year-old boy developing pulmonary edema after resolution of postoperative laryngospasm. This is because pulmonary edema is likely caused by increased pulmonary hydrostatic pressures, and furosemide helps to reduce these pressures by increasing urine production and reducing fluid overload."</t>
  </si>
  <si>
    <t>{   "Answer": "B",   "Explain": "The patient developed sharp pain in the left shoulder, nausea, and diaphoresis, which are not typical symptoms of inadequate spinal sensory level or angina pectoris. Bladder perforation is a potential complication of TURP, and the sudden onset of symptoms suggests this as the most likely cause." }</t>
  </si>
  <si>
    <t>{   "Answer": "B",   "Explain": "During a 15-minute period, the patient's SpO2 decreased from 99% to 90%, and the partial pressure of ETCO2 increased from 38 to 43 mmHg, despite constant ventilator settings and FiO2. This suggests that compression of the vena cava, caused by the Trendelenburg position and CO2 insufflation, is the most likely cause of the decrease in SpO2, as it can lead to decreased oxygenation and increased CO2 retention." }</t>
  </si>
  <si>
    <t>{   "Answer": "B",   "Explain": "The patient's SpO2 is 90% on room air, which suggests that there is an underlying cause of hypoxemia. Alveolar hypoventilation is a common cause of postoperative hypoxemia, and it is more likely in this patient given her history of obesity and recent laparoscopic cholecystectomy. Absorption of CO2 from the abdomen is not a common cause of hypoxemia, and increased dead space is not directly related to hypoxemia."</t>
  </si>
  <si>
    <t>{   "Answer": "A",   "Explain": "In pressure support ventilation, pressure support breaths are triggered by a decrease in airway pressure, as the ventilator relies on the patient's intrinsic respiratory drive." }</t>
  </si>
  <si>
    <t>{   "Answer": "B",   "Explain": "An increase in coronary perfusion pressure is necessary to satisfy the increased metabolic demand of the myocardium. As the heart rate increases from 60 to 120 bpm, the cardiac output and myocardial oxygen demand also increase, which requires more oxygen delivery to the myocardium." }</t>
  </si>
  <si>
    <t>{   "Answer": "B",   "Explain": "A prothrombin time (PT) is a laboratory value that is MOST likely to confirm adequate synthetic hepatic function. The PT measures the amount of time it takes for a specific amount of prothrombin to clot in the blood, which is an indicator of liver function." }</t>
  </si>
  <si>
    <t>{   "Answer": "B",   "Explain": "To prevent ventricular dysrhythmias during extracorporeal shock wave lithotripsy, ECG synchronization is crucial. It ensures that the shock waves are synchronized with the patient's ECG to avoid triggering cardiac arrhythmias. This strategy is particularly important for patients with pre-existing heart conditions or arrhythmias." }No relevant document was found, therefore the answer is based solely on the model trained parameters!!!</t>
  </si>
  <si>
    <t>{     "Answer": "A",     "Explain": "A Bain circuit exhibits less rebreathing of CO2 compared to a semiclosed circle system because it does not use an absorber to remove CO2 from the rebreathed gases. Instead, it relies on a higher rate of fresh gas inflow to eliminate CO2 and prevent rebreathing." }</t>
  </si>
  <si>
    <t>{   "Answer": "C",   "Explain": "The patient was undergoing hip surgery in the lateral position, which explains the observed findings between point A and point B, as this position can cause the endotracheal tube to be pushed into a dependent position, leading to reduced tidal volume."</t>
  </si>
  <si>
    <t>{   "Answer": "B",   "Explain": "Since the patient has a history of rash with past penicillin administration, it is likely that they are allergic to cephalosporins as well. Therefore, it is not recommended to administer cefazolin, a cephalosporin. However, the patient can be given hydrocortisone, a medication used to treat allergic reactions, followed by cefazolin if the allergy is deemed non-serious."</t>
  </si>
  <si>
    <t>{   "Answer": "C",   "Explain": "Symptomatic hyponatremia decreases the MAC of isoflurane." }</t>
  </si>
  <si>
    <t>{   "Answer": "A",   "Explain": "Bupivacaine, a local anesthetic, blocks the release of norepinephrine, a neurotransmitter that plays a crucial role in the sympathetic nervous system, which can lead to decreased cardiac output and cardiovascular depression." }</t>
  </si>
  <si>
    <t>{   "Answer": "C",   "Explain": "According to Figure 49.2 and text, hyperthermia is one of the factors that shift the oxygen dissociation curve to the right, increasing the unloading of oxygen in the tissues."</t>
  </si>
  <si>
    <t>{   "Answer": B,   "Explain": "Thyroid hormones, including thyroxine (T4) and triiodothyronine (T3), play a significant role in modulating cardiovascular function. They increase myocardial contractility, which is likely to be decreased in patients with clinical hypothyroidism, a condition characterized by reduced thyroid hormone levels. Therefore, option B, 'Myocardial contractility', is the most likely to be decreased in a patient with clinical hypothyroidism."</t>
  </si>
  <si>
    <t>{ "Answer": "A", "Explain": "Etomidate is most likely to be associated with longer seizure duration when used for electroconvulsive therapy due to its tendency to cause generalized activation and prolonged seizure activity." }</t>
  </si>
  <si>
    <t>{   "Answer": "A",   "Explain": "Etomidate does not cause enhanced activity of the GABA receptor, whereas propofol and ketamine are known to do so." }</t>
  </si>
  <si>
    <t>{   "Answer": "C",   "Explain": "The expiratory valve is typically located between the patient's airway and the anesthesia machine, allowing exhaled gases to exit the circle system and not being a part of the system as depicted in the illustration." }</t>
  </si>
  <si>
    <t>{   "Answer": "C",   "Explain": "A large volume of distribution in an IV anesthetic suggests that the drug distributes rapidly and widely throughout the body, including into fat and muscle tissue. As a result, it is likely that the drug has low plasma protein binding, allowing it to freely diffuse into the tissues and increasing its volume of distribution." }</t>
  </si>
  <si>
    <t>{     "Answer": "B",     "Explain": "Rocuronium has an increased elimination half-life in renal failure because of an increase in the volume of distribution with no change in clearance, which may account for a longer duration of action in anephric patients." }</t>
  </si>
  <si>
    <t>{   "Answer": "C",   "Explain": "Instillation of local anesthetic into the trachea via the cricothyroid membrane is most likely to block the Recurrent Laryngeal Nerve, which is the primary innervation of the larynx and provides sensation to the vocal cords and trachea." }</t>
  </si>
  <si>
    <t>{   "Answer": "A",   "Explain": "Local anesthetic block of the superior laryngeal nerve is BEST prevented gagging that occurs during awake intubation because it provides sensory input from the lower pharynx and the upper part of the larynx, including the glottic surface of the epiglottis and the aryepiglottic folds."</t>
  </si>
  <si>
    <t>{   "Answer": "A",   "Explain": "Under general anesthesia, thermoregulatory vasoconstriction is ablated, leading to a loss of heat regulation, resulting in an initial reduction in core temperature." }</t>
  </si>
  <si>
    <t>{   "Answer": "A",   "Explain": "A 65-kg, 70-year-old man has decreased functional residual capacity (FRC) as a normal part of aging. Over time, his SpO2 decreased to 84%, which improved to 92% when FiO2 was increased to 1.0, indicating that hypoxemia was likely caused by decreased FRC, leading to intrapulmonary shunting of blood." }</t>
  </si>
  <si>
    <t>{   "Answer": "C",   "Explain": "The patient has a complete anesthesia in the median, radial, and ulnar nerve distributions, which are branches of the terminal parts of the brachial plexus, whereas the musculocutaneous nerve is also a terminal branch of the plexus. The blockage is not sufficient for surgery, and the surgeon is requiring more anesthesia for the procedure. Thus, the next step would be to block the musculocutaneous nerve."</t>
  </si>
  <si>
    <t>{   "Answer": "A",   "Explain": "After a single dose of propofol, redistribution is primarily responsible for emergence. This is because propofol quickly distributes from blood to tissues, causing its plasma concentration to decrease rapidly. This leads to a loss of its anesthetic effect, resulting in emergence from anesthesia." }</t>
  </si>
  <si>
    <t>{   "Answer": "B",   "Explain": "The O2 reading decreases from 50% to 30% over 30 minutes, which suggests a progressive loss of oxygen. Since there is no indication of a leak in the ventilator bellows (A) or the O2 analyzer in the expiratory limb (C), accumulation of water on the O2 sensor membrane (B) is the most likely cause of the decrease in O2 analyzer reading." }</t>
  </si>
  <si>
    <t>{   "Answer": "A",   "Explain": "An induction dose of ketamine is most likely to have intense analgesia and amnesia in patients, despite the patient appearing as if they may be awake." }</t>
  </si>
  <si>
    <t>{   "Answer": "C",   "Explain": "Fentanyl has a shorter elimination half-life compared to morphine, which means it is cleared from the body more quickly, resulting in a shorter duration of action." }</t>
  </si>
  <si>
    <t>{   "Answer": "A",   "Explain": "The standard error of the mean shows the precision of the population mean. This is because it measures the amount of variability in the sample means that would be expected if the process were repeated many times, giving us an idea of how close the sample mean is likely to be to the true population mean." }No relevant document was found, therefore the answer is based solely on the model trained parameters!!!</t>
  </si>
  <si>
    <t>{   "Answer": "B",   "Explain": "Pulse oximetry does not accurately reflect SaO2 in situations of carboxyhemoglobinemia because carboxyhemoglobin has an absorbance of light that is similar to oxyhemoglobin, causing the pulse oximeter to read a falsely high SpO2."</t>
  </si>
  <si>
    <t>{   "Answer": "B",   "Explain": "The patient is receiving a 4-hour general anesthetic, which will not significantly affect their blood glucose levels. Given the patient's fasting blood glucose of 100 mg/dL, their blood glucose level on emergence is likely to remain slightly elevated, making mild hyperglycemia the most likely expected concentration."</t>
  </si>
  <si>
    <t>{ "Answer": "C", "Explain": "Ranitidine is an H2 receptor antagonist that can increase gastric pH in pregnant women approximately one hour after administration, without producing adverse effects." }</t>
  </si>
  <si>
    <t>{   "Answer": "C",   "Explain": "Nitrous oxide has a lower blood gas solubility, which allows it to equilibrate with alveolar and inspired concentrations more rapidly. This is because a smaller amount of inhaled anesthetic is needed to dissolve in the blood before equilibration with the gas phase is reached, leading to a faster rate of onset and offset of anesthesia."</t>
  </si>
  <si>
    <t>{   "Answer": "C",   "Explain": "The primary purpose of denitrogenation prior to anesthetic induction is to maximize arterial O2 content, providing an increased length of time before hemoglobin desaturation occurs in an apneic patient." }</t>
  </si>
  <si>
    <t>{     "Answer": "A",     "Explain": "A 32-year-old woman sustains an injury to the left recurrent laryngeal nerve during thyroidectomy, which leaves the adductor muscles relatively unopposed, causing the affected vocal cord to assume a paramedian position. This can lead to airway obstruction, and therefore, adduction of the left vocal cord at rest is the most likely postoperative finding in this patient."</t>
  </si>
  <si>
    <t>{   "Answer": "A",   "Explain": "Normal mixed venous O2 tension is usually around 40-45 mmHg. Breathing 100% O2 for 10 minutes increases O2 delivery to tissues, reducing the demand for extraction from the mixed venous circulation. Therefore, mixed venous O2 tension is expected to decrease, resulting in a value closer to 45 mmHg." }</t>
  </si>
  <si>
    <t>{ "Answer": "A", "Explain": "According to the provided context, Flumazenil has a very rapid clearance and short elimination half-life, making it the shortest elimination half-life among the given options." }</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</si>
  <si>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</si>
  <si>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</si>
  <si>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procedures that also involve the medial aspect of the leg, the femoral nerve can be blocked, commonly at the adductor canal, level of the knee, or via the medial femoral condyle, which suggests that for operation at the medial aspect of the lower leg, blocking the femoral nerve should be considered as the priority option."</t>
  </si>
  <si>
    <t>{   Answer: "A",   "Explain": "The patient developed right upper quadrant abdominal pain 30 minutes after premedication, suggesting that the midazolam may not be masked by morphine; given this presentation, flumazenil will reverse the undesirable effects of the midazolam and alleviate the patient's current state while a new evaluation for intraoperative course can proceed." } No relavant document was found, therefore the answer is based solely on the model trained parameters!!!</t>
  </si>
  <si>
    <t>{   "Answer": "A",   "Explain": "IV magnesium sulfate helps to treat the muscle weakness (tetany) that occurs in people with acute hypercalcemia. The hypercalcemia also suppresses PTH synthesis from non-parathyroid cells like muscle." }No significant document relevant question asked; therefore the answer is based solely on the trained model parameters!!!</t>
  </si>
  <si>
    <t>{ "There is an expert who helps answer our queries. Please specify your questions."  Answer: {   "Answer": "C",   "Explain": "‘C- The caffeinated halotiene contracture test has the highest sensitivity and preciseness.}' "}</t>
  </si>
  <si>
    <t>{   "Answer": "a",   "Explain": "First, calculate the absolute humidity gradient as the difference in partial pressure levels, which is 150 mm/s minus ambient temperature. Then, from page content data, find a modern vaporizer maintains concentration with ambient conditions. It matches shape for input. Output then equals volume fresh gas * mass oxygen/final ppm. Volume gas increases four-and-a-half hundred thousand milliliters, oxygen level is 25. Two-50 is two hundred per centage the first given anesthetic vapor pressure which matches only at zero one point twofivepercnt." } ```  (Note: Based on similar problems answered, according to expert consensus.)</t>
  </si>
  <si>
    <t>{ "Answer": {"C.""}, "Explain": " When an adult patient is anesthetized with 1MAC of isoflurane and experiencing mild hypothermia, vasoconstriction is the most effective mechanism for maintaining body temperature."</t>
  </si>
  <si>
    <t>{      "Answer": A,     "Explan": "Although flumazenil has reversible and surmountable antagonist effects against midazolam's effects, if not continuously monitored, the patient would still require 2-3 weeks or more to complete recover without residual effects."  }   Final Answer:  "{"Answer":"Answer": "The man should remain hospitalized due an inability to monitor patient's recovery and to avoid potentially hazardous activities in their post-procedure recovery, including potential prolonged episodes of sleep or respiratory depression", ""Explainations":"When this man awakes from his pro" = ce, will continue to make the  and .".</t>
  </si>
  <si>
    <t>{ "Answer": "C" "Explain": "The extent of spread of local anesthetic following subarachnoid block with hyperbaric bupivacaine is primarily affected the total dose of drug, as it directly impacts the amount and concentration of the anesthetic solution injected Into the spine, affecting its distribution in the cerebrospinal ﬂuid." }</t>
  </si>
  <si>
    <t>{     Answer: "C",     "Explain": "Given the 17-year-old boy's developing pulmonary edema post-resolution of postoperative laryngospasm and while breathing 100% O2 with an SpO2 of 80%, the administration of positive-pressure ventilation is the most appropriate strategy."</t>
  </si>
  <si>
    <t>{   "Answer": "C",   "Explain": "After 45 min of spinal anesthesia, the anesthetic medication typically takes about 1.75 +/-1/2 times the onset to achieve its peak anesthetic effect so, with spinal anesthesia 4-S-S, for this patient, we have enough anesthesia for TURp because T-10 and sacral dermatonal sensation and this sudden sensation of discomfort so we should think there is some another event for nausea and diaphoresis such as patient experiencing pleurita."    Note- I am assuming you're answering as a doctor and based the question is to recognize a common but not anesthesiology. I apologize if my understanding was misdirected. The explanation here assumes that if I were not sure, it might be more reasonable to answer C while not concluding in the clinical setting.</t>
  </si>
  <si>
    <t>{ "Answer":  "B", "Explain": "A 10 mmHg increase in PA ETCO2 and the decrease in SpO2 is likely caused due to vascular compression as the patient is in the Trendelenburg head-only position and an increasing number of liter of C02 has beingscratched, therefore, it's  " }</t>
  </si>
  <si>
    <t>{"Answer": B,  "Explain": Respiratory issues are commonly seen after laparoscopic cholecystectomy, and anatomic abnormalities, altered mechanical properties of the lungs, increased dead space, and reduced effective warm airway opening may contribute to alveolar hypoventilation. With her hypoxic level being noted during routine assessment, alveolar hypoventilation, a more subtle hypopharymal air reflux, is potentially a reason resulting in the noted decrease."}  (The option most directly related)   Or {"Answer":  B ,             "Explain"quoted :         'Alveolar hypoxia "is likely most closely related        directly        in this situation.        As noted earlier... '}</t>
  </si>
  <si>
    <t>{ "Answer": {"A",  "Explain": "When a patient receives pressure support ventilation, pressure support breaths are triggered by an decrease in airway pressure, as mentioned in the given context material."}</t>
  </si>
  <si>
    <t>{   "Answer": "C.",   "Explain": "When myocardial oxygen demand increases due to heightened heart rate, the myocardium relies more heavily on available oxygen supplies. To meet this demand, cardiac tissues increase Oxygen extraction by the myocardium leading to satisfying increased Metabolic demand."</t>
  </si>
  <si>
    <t>{   "Answer": "B",   "Explain": "Partial Thromboplastin Time may not confirm adequate synthetic hepatic function, whereas Prothrombin Time provides an indication of hepatic vitamin K-dependent protein production status that ensures co-probophosphamide function as a calcium salt." }</t>
  </si>
  <si>
    <t>{   "Answer": A,   "Explain" : "Among given options, Beta-adrenergic blockade (A) helps reduce cardiac contractility during electrocontrast and other high-rick activities, thereby minimizing the risk of ventricular dysrhythmias during extracorporeal shock wave lithotripsy."</t>
  </si>
  <si>
    <t>{     "Answer": "A",     "Explain": "The Bain circuit exhibits less rebreathing of CO2 compared to a semiclosed circle circuit because it allows fresh gas to enter the circuit at the patient"s end, rather than mixing with expiration near the gas absorption canister, reducing the chance of rebreathing partially removed CO2rich gases."</t>
  </si>
  <si>
    <t>{     "Answer": "C",     "Explain": "The patient's positioning, lateral position, is less likely to cause these effects among multiple factors, whereas C could cause the waveform as observed betweenpoints A and B due to altered lung expansion and pleura compression which can alter the end-diative flow, hence impacting the waveform captured by capnomography."</t>
  </si>
  <si>
    <t>{   Answer: "B",   "Explain": "Administer hydrocortisone, follwed by cefazolin is a sensible solution because the rash appears to be caused by the previous administration of penicillin, and vancom is another agent that contains a penicillin-derived structure, which this patient is allergic to. Giving hydrocortisone quickly arrests the allergic response, allowing cefazolin to be used." }</t>
  </si>
  <si>
    <t>{"Answer": A,", "Explain": "Cocaine can increase the anesthetic requirements leading to a decrease MAC of other inducing agents to isoflavones, such as the choice (an)". If a person survives for a few weeks after the injury of trauma. That they, a patient's age should also be borne in mind, because we found out."}</t>
  </si>
  <si>
    <t>Here's your answer in JSON format:  {"Answer": "B",  "Explain": "Bupivacaine is more cardiactoxic due to coronary vasoconstriction,  leading to severe heart depression and cardiovascular toxicity in humans."}    I had a brief overview of three studies' documents concerning bupiv's toxicity on cardiovascular issues.</t>
  </si>
  <si>
    <t>{ "Answer": "C", "Explain": "According to figs provided right-ward shifting oxyhemoglobin curve increases oxygen availability to tissue in tissues." }</t>
  </si>
  <si>
    <t>{ "Answer": "B,     "Explain": "In a patient with clinical hypothyroidism, Myocardial contractility (#4 -Decreased peripheral vascu #1 -1  - #19 Increased effective Fill)</t>
  </si>
  <si>
    <t>{   "Answer": "A",   "Explain": "Etomidate increases the duration of seizures when used as an inducing agent for ECT whereas studies have not highlighted this risk with methohexital or propofol which are commonly used anaesthetics."</t>
  </si>
  <si>
    <t>{   "Answer": "A",   "Explain":      GAMA receptors include α1, α2, α3, etc, except Kappa receptors whose modulation was shown to increase their activity on potentiation of other transmitters' activity while their primary mode of activation came through inhibition on a specific kind of serotonin receptors with the main purpose of inhibiting.</t>
  </si>
  <si>
    <t>{ "Answer": "B", "Explain": "The CO2 absorber is not accurately represented in the cycle as the diagram only shows the carbon dioxide (CO2) absorber but not specifically labeled as a part of the cycle." }</t>
  </si>
  <si>
    <t>{     "Answer": A,     "Explain": The new IV anesthetic probably has very high absorption rates.</t>
  </si>
  <si>
    <t>{     "Answer": "B",     "Explain": "According to the texts, the duration of action of rocuronium is likely to be longer in patients with renal failure, as its clearance depends on plasma pseudocho-lynease activity and does not involve any special handling. This makes Rocuronium relatively reliable especially important situations where it means of reversal would be not quickly available during cardiac resusitation after cardiac arrest and intubation with difficulty. Although it should be observed during prolonged use as for potential to accelerate resporations and promote complications during surgery."</t>
  </si>
  <si>
    <t>{   "Answer" : B,   "Explain" : "Topically administration of local anesthesia using lidocaine has a specific target in the cricothyroid membrane. Once applied, the anesthetic then spreads more broadly over the inner throat structure where it numbs and anesthetizes the adjacent nerve tissue particularly the 'inner- external- or anterior branch of laryngeo - superior branches'. In doing so, this branch can be accurately identified'recurrent laryngeal nervous, nerve of pirifier, glossopharyangeal nerves, and the larynx, are less likely because direct injection." }</t>
  </si>
  <si>
    <t>{   "Answer": "A",   "Explanaton: "Blocks in regional blockade prevent stimulation not only at the localized specific level where inactivated or destroyed that can make us prevent gaga of gaga of gagan."}</t>
  </si>
  <si>
    <t>{   "answer" : C,    "explain" : The core temperature reduction during initial steps of general anesthesia most likely results from "a change in the distribution of blood flow from cooler extremities to other areas, thereby transferring heat stores from the core to periphery such as moving cool blood from the periphery to visceral region" as the anesthetics cause increased peripheral vasculative that causes blood flow to move and lose heat.</t>
  </si>
  <si>
    <t>{   ""Answer\":\"C\",   ""Explain\"": "\Because an increase in flow from 5 L to 10 L/min on the same circuit caused a decrease in SpO2 to 84%, it's indicated that there is oxygen desaturated room air admitted during inspiration causing a further dilution of inspired oxygen leading to the decreased pulmonary partial pressure of inspired hydrogen which in turn decreases oxygen diffision at alveoll-capillary interface ultimately causes his hypoxemia.\"" }</t>
  </si>
  <si>
    <t>{      "Answer": C,      "Explain": "Given the anesthesia in the median, radial, and ulnar nerve distributions after subtotal axillary clearance for a long tinnitus episode involving all areas of the C5-67 brachial roots, the additional block recommended at this specific location would probably involve targeting specifically the radial and ulnar nerve distributions."</t>
  </si>
  <si>
    <t>JSON format: {   Answer: "A",    "Explain": "Dose response for drug effects occurs as result  of two simultaneous processes that continue long after the infusion has ceased. These are redistribution and its metabolism. Although a long period ensues during which propofol is being increasingly metabolized it plays lesser key role as mechanism by which an anesthetic level subsides and a person emerges from surgical procedure this redistribution." }</t>
  </si>
  <si>
    <t>{   "Answer": "B",   "Explain": "Sevoflurane being used requires a co-flow agent air blender in some of the machines, which can lead to loss of accuracy and false low readings. Over time, 30-minute accumulation of condensation on the O2 sensor membrane (B) can still decrease the reading enough from 50% to 30%"!!! }%n</t>
  </si>
  <si>
    <t>{   "Answer": A,   "Explanatio n":["55:27-27-1.Indusion-of-a dose"&gt;"55:'0A_5a after " }assistant  I interpret this as the following solution. The goal is to find the phrase that answers the question about what to take it off in other words. Let me tell you more... When you enter or leave the United States, you usually to report this on your taxes but we have it included in for all that is provided.  Final:  { Answer: "A,   explanation: The anesthetic ketamine also acts on the nervous respiratory! The desired answer is anesthetics A, as opposed! That the explanation can say 'A!</t>
  </si>
  <si>
    <t>{ "Answer": C, "Explain": "Fentanyl’s reduced plasma concentrations over time due to accelerated elimination would lead to a decreased duration of action with compared to IV-methylated opioids." }</t>
  </si>
  <si>
    <t>Here is the answer in JSON format:  { " Answer": A, "Explain": "The Standard Error of the Mean (SEM) measures the amount of variability in a random sample mean from the true population mean. In other words, it gives the radius within which we’re probably 95% certain our sample mean falls around. This essentially measures the precision of the sample mean, as it explains the difference between the sample mean and the true population mean." } no relevant document was found, therefore the answer is based solely on the model trained paremters!!!</t>
  </si>
  <si>
    <t>{   "Answer": A,   "Explain": "Pulse oxymetry remains essentially unaffected as long as 0.01 mg/dL.47 The other stated examples, such as moderate hyper-bilirubinemia (&gt;8 %) and severe carbondioxide poisoning (&lt;40 mL), do not appreciably alter its precision." }</t>
  </si>
  <si>
    <t>{ "? Answer: C,  "Explain": 'After the anesthetic sedation, the patient's blood glucose level would likely be normal or mildly reduced from 100 mg/dL before going down further. During the 4hour anesthetic use.'}</t>
  </si>
  <si>
    <t>{   "Answer" : "C",   "Explain": "After reviewing the text, it can be concluded that drugs such as sodium citrone that increase gastric pH by acting as nonparticulate antacids could reduce the pH of gastric contents, not metacoplazole or glycopyrrodle because the authors emphasize that patients with an incompetent valve with inflammation in this document. H2 receptor blockers have been tested, but no evidence of the efficacy of any method." }</t>
  </si>
  <si>
    <t>{ "Answer": C, "Explain": "With higher in solubility in blood and high fat solubility nitrous oxide the same manner. Hence."   This solution meets  and clearly shows clearly explains</t>
  </si>
  <si>
    <t>{     Answer: "A",     "Explain": "Preoxygenation, the process of increasing arterial oxygen reserves, allows for a prolonged safety margin because denitrogenation provides an increased length of time before hemoglobin desaturation occurs when an apneic patient’s ventilation lapses as a result of pre-established hypoventilation or apnea in combination with the reduction in functional residual lung capacity."</t>
  </si>
  <si>
    <t>{   "Answer": "A",   "Explan: "&lt;because injured lagnoscopy. Unbiased injury tends t]"}</t>
  </si>
  <si>
    <t>{   "Answer": "(B",   "Explain": "At high FiO2(100% here), there is already very complete extraction of pulmonary O2 already, therefore not many changes expected; a small decrement usually appears likely ('mixed venous O2 would fall about 15~ 20 mmHg in normal adult at standard pressure after 5 10 minutes inspiration 51%, FiT ~8.3 and rise ~15%), which would drop down from the initial around 60-65, which gives approx. 45)" } }</t>
  </si>
  <si>
    <t>{   "Answer": A,   "Explain" : "Flumazenil has a pharmacologically induced convulsive state with short-lived free base that contributes to it being eliminated very quickly, meaning it has a very short elimination half-life."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</si>
</sst>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vertical="center"/>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vertical="center"/>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xf borderId="4" fillId="0" fontId="5"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0.1</v>
      </c>
      <c r="C2" s="2"/>
      <c r="D2" s="3"/>
      <c r="E2" s="7">
        <v>1.0</v>
      </c>
      <c r="F2" s="2"/>
      <c r="G2" s="2"/>
      <c r="H2" s="8">
        <v>2.0</v>
      </c>
      <c r="I2" s="2"/>
      <c r="J2" s="3"/>
    </row>
    <row r="3">
      <c r="A3" s="5" t="s">
        <v>2</v>
      </c>
      <c r="B3" s="9">
        <v>0.1</v>
      </c>
      <c r="C3" s="9">
        <v>0.5</v>
      </c>
      <c r="D3" s="9">
        <v>1.0</v>
      </c>
      <c r="E3" s="10">
        <v>0.1</v>
      </c>
      <c r="F3" s="10">
        <v>0.5</v>
      </c>
      <c r="G3" s="10">
        <v>1.0</v>
      </c>
      <c r="H3" s="11">
        <v>0.1</v>
      </c>
      <c r="I3" s="11">
        <v>0.5</v>
      </c>
      <c r="J3" s="11">
        <v>1.0</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30</v>
      </c>
      <c r="C5" s="14">
        <f t="shared" si="1"/>
        <v>27</v>
      </c>
      <c r="D5" s="14">
        <f t="shared" si="1"/>
        <v>28</v>
      </c>
      <c r="E5" s="14">
        <f t="shared" si="1"/>
        <v>28</v>
      </c>
      <c r="F5" s="14">
        <f t="shared" si="1"/>
        <v>29</v>
      </c>
      <c r="G5" s="14">
        <f t="shared" si="1"/>
        <v>28</v>
      </c>
      <c r="H5" s="14">
        <f t="shared" si="1"/>
        <v>28</v>
      </c>
      <c r="I5" s="14">
        <f t="shared" si="1"/>
        <v>29</v>
      </c>
      <c r="J5" s="14">
        <f t="shared" si="1"/>
        <v>19</v>
      </c>
    </row>
    <row r="6">
      <c r="A6" s="13" t="s">
        <v>14</v>
      </c>
      <c r="B6" s="13">
        <v>46.0</v>
      </c>
      <c r="C6" s="13">
        <v>46.0</v>
      </c>
      <c r="D6" s="13">
        <v>46.0</v>
      </c>
      <c r="E6" s="13">
        <v>46.0</v>
      </c>
      <c r="F6" s="13">
        <v>46.0</v>
      </c>
      <c r="G6" s="13">
        <v>46.0</v>
      </c>
      <c r="H6" s="13">
        <v>46.0</v>
      </c>
      <c r="I6" s="13">
        <v>46.0</v>
      </c>
      <c r="J6" s="13">
        <v>46.0</v>
      </c>
    </row>
    <row r="7">
      <c r="A7" s="15" t="s">
        <v>15</v>
      </c>
      <c r="B7" s="16">
        <f t="shared" ref="B7:J7" si="2">B5/B6</f>
        <v>0.652173913</v>
      </c>
      <c r="C7" s="16">
        <f t="shared" si="2"/>
        <v>0.5869565217</v>
      </c>
      <c r="D7" s="17">
        <f t="shared" si="2"/>
        <v>0.6086956522</v>
      </c>
      <c r="E7" s="17">
        <f t="shared" si="2"/>
        <v>0.6086956522</v>
      </c>
      <c r="F7" s="17">
        <f t="shared" si="2"/>
        <v>0.6304347826</v>
      </c>
      <c r="G7" s="17">
        <f t="shared" si="2"/>
        <v>0.6086956522</v>
      </c>
      <c r="H7" s="17">
        <f t="shared" si="2"/>
        <v>0.6086956522</v>
      </c>
      <c r="I7" s="17">
        <f t="shared" si="2"/>
        <v>0.6304347826</v>
      </c>
      <c r="J7" s="17">
        <f t="shared" si="2"/>
        <v>0.4130434783</v>
      </c>
      <c r="K7" s="18"/>
    </row>
    <row r="8">
      <c r="A8" s="19">
        <v>1.0</v>
      </c>
      <c r="B8" s="20" t="s">
        <v>16</v>
      </c>
      <c r="C8" s="21" t="s">
        <v>16</v>
      </c>
      <c r="D8" s="22" t="s">
        <v>16</v>
      </c>
      <c r="E8" s="23" t="s">
        <v>16</v>
      </c>
      <c r="F8" s="23" t="s">
        <v>16</v>
      </c>
      <c r="G8" s="23" t="s">
        <v>16</v>
      </c>
      <c r="H8" s="24" t="s">
        <v>16</v>
      </c>
      <c r="I8" s="23" t="s">
        <v>16</v>
      </c>
      <c r="J8" s="23" t="s">
        <v>16</v>
      </c>
    </row>
    <row r="9">
      <c r="A9" s="19">
        <v>2.0</v>
      </c>
      <c r="B9" s="20" t="s">
        <v>16</v>
      </c>
      <c r="C9" s="21" t="s">
        <v>16</v>
      </c>
      <c r="D9" s="25" t="s">
        <v>16</v>
      </c>
      <c r="E9" s="26" t="s">
        <v>16</v>
      </c>
      <c r="F9" s="26" t="s">
        <v>16</v>
      </c>
      <c r="G9" s="26" t="s">
        <v>16</v>
      </c>
      <c r="H9" s="27" t="s">
        <v>16</v>
      </c>
      <c r="I9" s="26" t="s">
        <v>16</v>
      </c>
      <c r="J9" s="26" t="s">
        <v>17</v>
      </c>
    </row>
    <row r="10">
      <c r="A10" s="19">
        <v>3.0</v>
      </c>
      <c r="B10" s="20" t="s">
        <v>16</v>
      </c>
      <c r="C10" s="21" t="s">
        <v>16</v>
      </c>
      <c r="D10" s="25" t="s">
        <v>16</v>
      </c>
      <c r="E10" s="26" t="s">
        <v>16</v>
      </c>
      <c r="F10" s="26" t="s">
        <v>16</v>
      </c>
      <c r="G10" s="26" t="s">
        <v>16</v>
      </c>
      <c r="H10" s="27" t="s">
        <v>16</v>
      </c>
      <c r="I10" s="26" t="s">
        <v>16</v>
      </c>
      <c r="J10" s="26" t="s">
        <v>17</v>
      </c>
    </row>
    <row r="11">
      <c r="A11" s="19">
        <v>4.0</v>
      </c>
      <c r="B11" s="20" t="s">
        <v>16</v>
      </c>
      <c r="C11" s="21" t="s">
        <v>16</v>
      </c>
      <c r="D11" s="25" t="s">
        <v>16</v>
      </c>
      <c r="E11" s="26" t="s">
        <v>16</v>
      </c>
      <c r="F11" s="26" t="s">
        <v>16</v>
      </c>
      <c r="G11" s="26" t="s">
        <v>16</v>
      </c>
      <c r="H11" s="27" t="s">
        <v>16</v>
      </c>
      <c r="I11" s="26" t="s">
        <v>16</v>
      </c>
      <c r="J11" s="26" t="s">
        <v>16</v>
      </c>
    </row>
    <row r="12">
      <c r="A12" s="19">
        <v>5.0</v>
      </c>
      <c r="B12" s="20" t="s">
        <v>16</v>
      </c>
      <c r="C12" s="21" t="s">
        <v>16</v>
      </c>
      <c r="D12" s="25" t="s">
        <v>16</v>
      </c>
      <c r="E12" s="26" t="s">
        <v>16</v>
      </c>
      <c r="F12" s="26" t="s">
        <v>16</v>
      </c>
      <c r="G12" s="26" t="s">
        <v>16</v>
      </c>
      <c r="H12" s="27" t="s">
        <v>16</v>
      </c>
      <c r="I12" s="26" t="s">
        <v>16</v>
      </c>
      <c r="J12" s="26" t="s">
        <v>17</v>
      </c>
    </row>
    <row r="13">
      <c r="A13" s="19">
        <v>6.0</v>
      </c>
      <c r="B13" s="20" t="s">
        <v>16</v>
      </c>
      <c r="C13" s="21" t="s">
        <v>16</v>
      </c>
      <c r="D13" s="25" t="s">
        <v>16</v>
      </c>
      <c r="E13" s="26" t="s">
        <v>16</v>
      </c>
      <c r="F13" s="26" t="s">
        <v>16</v>
      </c>
      <c r="G13" s="26" t="s">
        <v>16</v>
      </c>
      <c r="H13" s="27" t="s">
        <v>16</v>
      </c>
      <c r="I13" s="26" t="s">
        <v>16</v>
      </c>
      <c r="J13" s="26" t="s">
        <v>16</v>
      </c>
    </row>
    <row r="14">
      <c r="A14" s="19">
        <v>7.0</v>
      </c>
      <c r="B14" s="20" t="s">
        <v>16</v>
      </c>
      <c r="C14" s="21" t="s">
        <v>17</v>
      </c>
      <c r="D14" s="25" t="s">
        <v>17</v>
      </c>
      <c r="E14" s="26" t="s">
        <v>17</v>
      </c>
      <c r="F14" s="26" t="s">
        <v>17</v>
      </c>
      <c r="G14" s="26" t="s">
        <v>17</v>
      </c>
      <c r="H14" s="27" t="s">
        <v>17</v>
      </c>
      <c r="I14" s="26" t="s">
        <v>17</v>
      </c>
      <c r="J14" s="26" t="s">
        <v>17</v>
      </c>
    </row>
    <row r="15">
      <c r="A15" s="19">
        <v>8.0</v>
      </c>
      <c r="B15" s="20" t="s">
        <v>16</v>
      </c>
      <c r="C15" s="21" t="s">
        <v>17</v>
      </c>
      <c r="D15" s="25" t="s">
        <v>17</v>
      </c>
      <c r="E15" s="26" t="s">
        <v>16</v>
      </c>
      <c r="F15" s="26" t="s">
        <v>16</v>
      </c>
      <c r="G15" s="26" t="s">
        <v>17</v>
      </c>
      <c r="H15" s="27" t="s">
        <v>16</v>
      </c>
      <c r="I15" s="26" t="s">
        <v>16</v>
      </c>
      <c r="J15" s="26" t="s">
        <v>17</v>
      </c>
    </row>
    <row r="16">
      <c r="A16" s="19">
        <v>9.0</v>
      </c>
      <c r="B16" s="20" t="s">
        <v>16</v>
      </c>
      <c r="C16" s="21" t="s">
        <v>17</v>
      </c>
      <c r="D16" s="25" t="s">
        <v>16</v>
      </c>
      <c r="E16" s="26" t="s">
        <v>17</v>
      </c>
      <c r="F16" s="26" t="s">
        <v>17</v>
      </c>
      <c r="G16" s="26" t="s">
        <v>17</v>
      </c>
      <c r="H16" s="27" t="s">
        <v>17</v>
      </c>
      <c r="I16" s="26" t="s">
        <v>17</v>
      </c>
      <c r="J16" s="26" t="s">
        <v>16</v>
      </c>
    </row>
    <row r="17">
      <c r="A17" s="19">
        <v>10.0</v>
      </c>
      <c r="B17" s="20" t="s">
        <v>16</v>
      </c>
      <c r="C17" s="21" t="s">
        <v>16</v>
      </c>
      <c r="D17" s="25" t="s">
        <v>16</v>
      </c>
      <c r="E17" s="26" t="s">
        <v>16</v>
      </c>
      <c r="F17" s="26" t="s">
        <v>16</v>
      </c>
      <c r="G17" s="26" t="s">
        <v>16</v>
      </c>
      <c r="H17" s="27" t="s">
        <v>16</v>
      </c>
      <c r="I17" s="26" t="s">
        <v>16</v>
      </c>
      <c r="J17" s="26" t="s">
        <v>17</v>
      </c>
    </row>
    <row r="18">
      <c r="A18" s="19">
        <v>11.0</v>
      </c>
      <c r="B18" s="20" t="s">
        <v>17</v>
      </c>
      <c r="C18" s="21" t="s">
        <v>17</v>
      </c>
      <c r="D18" s="25" t="s">
        <v>17</v>
      </c>
      <c r="E18" s="26" t="s">
        <v>17</v>
      </c>
      <c r="F18" s="26" t="s">
        <v>17</v>
      </c>
      <c r="G18" s="26" t="s">
        <v>17</v>
      </c>
      <c r="H18" s="27" t="s">
        <v>17</v>
      </c>
      <c r="I18" s="26" t="s">
        <v>17</v>
      </c>
      <c r="J18" s="26" t="s">
        <v>17</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16</v>
      </c>
      <c r="E20" s="26" t="s">
        <v>16</v>
      </c>
      <c r="F20" s="26" t="s">
        <v>16</v>
      </c>
      <c r="G20" s="26" t="s">
        <v>16</v>
      </c>
      <c r="H20" s="27" t="s">
        <v>16</v>
      </c>
      <c r="I20" s="26" t="s">
        <v>16</v>
      </c>
      <c r="J20" s="26" t="s">
        <v>16</v>
      </c>
    </row>
    <row r="21">
      <c r="A21" s="19">
        <v>14.0</v>
      </c>
      <c r="B21" s="20" t="s">
        <v>17</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16</v>
      </c>
    </row>
    <row r="23">
      <c r="A23" s="19">
        <v>16.0</v>
      </c>
      <c r="B23" s="20" t="s">
        <v>16</v>
      </c>
      <c r="C23" s="21" t="s">
        <v>16</v>
      </c>
      <c r="D23" s="25" t="s">
        <v>16</v>
      </c>
      <c r="E23" s="26" t="s">
        <v>16</v>
      </c>
      <c r="F23" s="26" t="s">
        <v>16</v>
      </c>
      <c r="G23" s="26" t="s">
        <v>16</v>
      </c>
      <c r="H23" s="27" t="s">
        <v>16</v>
      </c>
      <c r="I23" s="26" t="s">
        <v>16</v>
      </c>
      <c r="J23" s="26" t="s">
        <v>17</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16</v>
      </c>
      <c r="H25" s="27" t="s">
        <v>16</v>
      </c>
      <c r="I25" s="26" t="s">
        <v>16</v>
      </c>
      <c r="J25" s="26" t="s">
        <v>16</v>
      </c>
    </row>
    <row r="26">
      <c r="A26" s="19">
        <v>19.0</v>
      </c>
      <c r="B26" s="20" t="s">
        <v>17</v>
      </c>
      <c r="C26" s="21" t="s">
        <v>17</v>
      </c>
      <c r="D26" s="25" t="s">
        <v>17</v>
      </c>
      <c r="E26" s="26" t="s">
        <v>17</v>
      </c>
      <c r="F26" s="26" t="s">
        <v>17</v>
      </c>
      <c r="G26" s="26" t="s">
        <v>17</v>
      </c>
      <c r="H26" s="27" t="s">
        <v>17</v>
      </c>
      <c r="I26" s="26" t="s">
        <v>17</v>
      </c>
      <c r="J26" s="26" t="s">
        <v>17</v>
      </c>
    </row>
    <row r="27">
      <c r="A27" s="19">
        <v>20.0</v>
      </c>
      <c r="B27" s="20" t="s">
        <v>16</v>
      </c>
      <c r="C27" s="21" t="s">
        <v>16</v>
      </c>
      <c r="D27" s="25" t="s">
        <v>16</v>
      </c>
      <c r="E27" s="26" t="s">
        <v>16</v>
      </c>
      <c r="F27" s="26" t="s">
        <v>16</v>
      </c>
      <c r="G27" s="26" t="s">
        <v>16</v>
      </c>
      <c r="H27" s="27" t="s">
        <v>16</v>
      </c>
      <c r="I27" s="26" t="s">
        <v>16</v>
      </c>
      <c r="J27" s="26" t="s">
        <v>17</v>
      </c>
    </row>
    <row r="28">
      <c r="A28" s="19">
        <v>21.0</v>
      </c>
      <c r="B28" s="20" t="s">
        <v>17</v>
      </c>
      <c r="C28" s="21" t="s">
        <v>17</v>
      </c>
      <c r="D28" s="25" t="s">
        <v>17</v>
      </c>
      <c r="E28" s="26" t="s">
        <v>17</v>
      </c>
      <c r="F28" s="26" t="s">
        <v>17</v>
      </c>
      <c r="G28" s="26" t="s">
        <v>16</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16</v>
      </c>
    </row>
    <row r="30">
      <c r="A30" s="19">
        <v>23.0</v>
      </c>
      <c r="B30" s="20" t="s">
        <v>16</v>
      </c>
      <c r="C30" s="21" t="s">
        <v>16</v>
      </c>
      <c r="D30" s="25" t="s">
        <v>16</v>
      </c>
      <c r="E30" s="26" t="s">
        <v>16</v>
      </c>
      <c r="F30" s="26" t="s">
        <v>16</v>
      </c>
      <c r="G30" s="26" t="s">
        <v>16</v>
      </c>
      <c r="H30" s="27" t="s">
        <v>16</v>
      </c>
      <c r="I30" s="26" t="s">
        <v>16</v>
      </c>
      <c r="J30" s="26" t="s">
        <v>16</v>
      </c>
    </row>
    <row r="31">
      <c r="A31" s="19">
        <v>24.0</v>
      </c>
      <c r="B31" s="20" t="s">
        <v>16</v>
      </c>
      <c r="C31" s="21" t="s">
        <v>16</v>
      </c>
      <c r="D31" s="25" t="s">
        <v>16</v>
      </c>
      <c r="E31" s="26" t="s">
        <v>16</v>
      </c>
      <c r="F31" s="26" t="s">
        <v>16</v>
      </c>
      <c r="G31" s="26" t="s">
        <v>16</v>
      </c>
      <c r="H31" s="27" t="s">
        <v>16</v>
      </c>
      <c r="I31" s="26" t="s">
        <v>16</v>
      </c>
      <c r="J31" s="26" t="s">
        <v>16</v>
      </c>
    </row>
    <row r="32">
      <c r="A32" s="19">
        <v>25.0</v>
      </c>
      <c r="B32" s="20" t="s">
        <v>17</v>
      </c>
      <c r="C32" s="21" t="s">
        <v>17</v>
      </c>
      <c r="D32" s="25" t="s">
        <v>17</v>
      </c>
      <c r="E32" s="26" t="s">
        <v>17</v>
      </c>
      <c r="F32" s="26" t="s">
        <v>17</v>
      </c>
      <c r="G32" s="26" t="s">
        <v>17</v>
      </c>
      <c r="H32" s="27" t="s">
        <v>17</v>
      </c>
      <c r="I32" s="26" t="s">
        <v>17</v>
      </c>
      <c r="J32" s="26" t="s">
        <v>17</v>
      </c>
    </row>
    <row r="33">
      <c r="A33" s="19">
        <v>26.0</v>
      </c>
      <c r="B33" s="20" t="s">
        <v>17</v>
      </c>
      <c r="C33" s="21" t="s">
        <v>17</v>
      </c>
      <c r="D33" s="25" t="s">
        <v>17</v>
      </c>
      <c r="E33" s="26" t="s">
        <v>17</v>
      </c>
      <c r="F33" s="26" t="s">
        <v>17</v>
      </c>
      <c r="G33" s="26" t="s">
        <v>17</v>
      </c>
      <c r="H33" s="27" t="s">
        <v>17</v>
      </c>
      <c r="I33" s="26" t="s">
        <v>17</v>
      </c>
      <c r="J33" s="26" t="s">
        <v>17</v>
      </c>
    </row>
    <row r="34">
      <c r="A34" s="19">
        <v>27.0</v>
      </c>
      <c r="B34" s="20" t="s">
        <v>16</v>
      </c>
      <c r="C34" s="21" t="s">
        <v>16</v>
      </c>
      <c r="D34" s="25" t="s">
        <v>16</v>
      </c>
      <c r="E34" s="26" t="s">
        <v>16</v>
      </c>
      <c r="F34" s="26" t="s">
        <v>16</v>
      </c>
      <c r="G34" s="26" t="s">
        <v>16</v>
      </c>
      <c r="H34" s="27" t="s">
        <v>16</v>
      </c>
      <c r="I34" s="26" t="s">
        <v>16</v>
      </c>
      <c r="J34" s="26" t="s">
        <v>17</v>
      </c>
    </row>
    <row r="35">
      <c r="A35" s="19">
        <v>28.0</v>
      </c>
      <c r="B35" s="20" t="s">
        <v>17</v>
      </c>
      <c r="C35" s="21" t="s">
        <v>17</v>
      </c>
      <c r="D35" s="25" t="s">
        <v>17</v>
      </c>
      <c r="E35" s="26" t="s">
        <v>17</v>
      </c>
      <c r="F35" s="26" t="s">
        <v>17</v>
      </c>
      <c r="G35" s="26" t="s">
        <v>17</v>
      </c>
      <c r="H35" s="27" t="s">
        <v>17</v>
      </c>
      <c r="I35" s="26" t="s">
        <v>17</v>
      </c>
      <c r="J35" s="26" t="s">
        <v>17</v>
      </c>
    </row>
    <row r="36">
      <c r="A36" s="19">
        <v>29.0</v>
      </c>
      <c r="B36" s="20" t="s">
        <v>16</v>
      </c>
      <c r="C36" s="21" t="s">
        <v>16</v>
      </c>
      <c r="D36" s="25" t="s">
        <v>16</v>
      </c>
      <c r="E36" s="26" t="s">
        <v>16</v>
      </c>
      <c r="F36" s="26" t="s">
        <v>16</v>
      </c>
      <c r="G36" s="26" t="s">
        <v>16</v>
      </c>
      <c r="H36" s="27" t="s">
        <v>16</v>
      </c>
      <c r="I36" s="26" t="s">
        <v>16</v>
      </c>
      <c r="J36" s="26" t="s">
        <v>17</v>
      </c>
    </row>
    <row r="37">
      <c r="A37" s="19">
        <v>30.0</v>
      </c>
      <c r="B37" s="20" t="s">
        <v>17</v>
      </c>
      <c r="C37" s="21" t="s">
        <v>17</v>
      </c>
      <c r="D37" s="25" t="s">
        <v>17</v>
      </c>
      <c r="E37" s="26" t="s">
        <v>17</v>
      </c>
      <c r="F37" s="26" t="s">
        <v>17</v>
      </c>
      <c r="G37" s="26" t="s">
        <v>17</v>
      </c>
      <c r="H37" s="27" t="s">
        <v>17</v>
      </c>
      <c r="I37" s="26" t="s">
        <v>17</v>
      </c>
      <c r="J37" s="26" t="s">
        <v>17</v>
      </c>
    </row>
    <row r="38">
      <c r="A38" s="19">
        <v>31.0</v>
      </c>
      <c r="B38" s="20" t="s">
        <v>17</v>
      </c>
      <c r="C38" s="21" t="s">
        <v>17</v>
      </c>
      <c r="D38" s="25" t="s">
        <v>17</v>
      </c>
      <c r="E38" s="26" t="s">
        <v>17</v>
      </c>
      <c r="F38" s="26" t="s">
        <v>17</v>
      </c>
      <c r="G38" s="26" t="s">
        <v>17</v>
      </c>
      <c r="H38" s="27" t="s">
        <v>17</v>
      </c>
      <c r="I38" s="26" t="s">
        <v>17</v>
      </c>
      <c r="J38" s="26" t="s">
        <v>16</v>
      </c>
    </row>
    <row r="39">
      <c r="A39" s="19">
        <v>32.0</v>
      </c>
      <c r="B39" s="20" t="s">
        <v>16</v>
      </c>
      <c r="C39" s="21" t="s">
        <v>16</v>
      </c>
      <c r="D39" s="25" t="s">
        <v>16</v>
      </c>
      <c r="E39" s="26" t="s">
        <v>16</v>
      </c>
      <c r="F39" s="26" t="s">
        <v>16</v>
      </c>
      <c r="G39" s="26" t="s">
        <v>16</v>
      </c>
      <c r="H39" s="27" t="s">
        <v>16</v>
      </c>
      <c r="I39" s="26" t="s">
        <v>16</v>
      </c>
      <c r="J39" s="26" t="s">
        <v>17</v>
      </c>
    </row>
    <row r="40">
      <c r="A40" s="19">
        <v>33.0</v>
      </c>
      <c r="B40" s="20" t="s">
        <v>17</v>
      </c>
      <c r="C40" s="21" t="s">
        <v>17</v>
      </c>
      <c r="D40" s="25" t="s">
        <v>17</v>
      </c>
      <c r="E40" s="26" t="s">
        <v>17</v>
      </c>
      <c r="F40" s="26" t="s">
        <v>17</v>
      </c>
      <c r="G40" s="26" t="s">
        <v>17</v>
      </c>
      <c r="H40" s="27" t="s">
        <v>17</v>
      </c>
      <c r="I40" s="26" t="s">
        <v>17</v>
      </c>
      <c r="J40" s="26" t="s">
        <v>17</v>
      </c>
    </row>
    <row r="41">
      <c r="A41" s="19">
        <v>34.0</v>
      </c>
      <c r="B41" s="20" t="s">
        <v>16</v>
      </c>
      <c r="C41" s="21" t="s">
        <v>16</v>
      </c>
      <c r="D41" s="25" t="s">
        <v>16</v>
      </c>
      <c r="E41" s="26" t="s">
        <v>16</v>
      </c>
      <c r="F41" s="26" t="s">
        <v>16</v>
      </c>
      <c r="G41" s="26" t="s">
        <v>16</v>
      </c>
      <c r="H41" s="27" t="s">
        <v>16</v>
      </c>
      <c r="I41" s="26" t="s">
        <v>16</v>
      </c>
      <c r="J41" s="26" t="s">
        <v>16</v>
      </c>
    </row>
    <row r="42">
      <c r="A42" s="19">
        <v>35.0</v>
      </c>
      <c r="B42" s="20" t="s">
        <v>16</v>
      </c>
      <c r="C42" s="21" t="s">
        <v>16</v>
      </c>
      <c r="D42" s="25" t="s">
        <v>16</v>
      </c>
      <c r="E42" s="26" t="s">
        <v>16</v>
      </c>
      <c r="F42" s="26" t="s">
        <v>16</v>
      </c>
      <c r="G42" s="26" t="s">
        <v>16</v>
      </c>
      <c r="H42" s="27" t="s">
        <v>16</v>
      </c>
      <c r="I42" s="26" t="s">
        <v>16</v>
      </c>
      <c r="J42" s="26" t="s">
        <v>16</v>
      </c>
    </row>
    <row r="43">
      <c r="A43" s="19">
        <v>36.0</v>
      </c>
      <c r="B43" s="20" t="s">
        <v>16</v>
      </c>
      <c r="C43" s="21" t="s">
        <v>16</v>
      </c>
      <c r="D43" s="25" t="s">
        <v>16</v>
      </c>
      <c r="E43" s="26" t="s">
        <v>16</v>
      </c>
      <c r="F43" s="26" t="s">
        <v>16</v>
      </c>
      <c r="G43" s="26" t="s">
        <v>16</v>
      </c>
      <c r="H43" s="27" t="s">
        <v>16</v>
      </c>
      <c r="I43" s="26" t="s">
        <v>16</v>
      </c>
      <c r="J43" s="26" t="s">
        <v>16</v>
      </c>
    </row>
    <row r="44">
      <c r="A44" s="19">
        <v>37.0</v>
      </c>
      <c r="B44" s="20" t="s">
        <v>17</v>
      </c>
      <c r="C44" s="21" t="s">
        <v>17</v>
      </c>
      <c r="D44" s="25" t="s">
        <v>17</v>
      </c>
      <c r="E44" s="26" t="s">
        <v>17</v>
      </c>
      <c r="F44" s="26" t="s">
        <v>17</v>
      </c>
      <c r="G44" s="26" t="s">
        <v>17</v>
      </c>
      <c r="H44" s="27" t="s">
        <v>17</v>
      </c>
      <c r="I44" s="26" t="s">
        <v>17</v>
      </c>
      <c r="J44" s="26" t="s">
        <v>17</v>
      </c>
    </row>
    <row r="45">
      <c r="A45" s="19">
        <v>38.0</v>
      </c>
      <c r="B45" s="20" t="s">
        <v>16</v>
      </c>
      <c r="C45" s="21" t="s">
        <v>16</v>
      </c>
      <c r="D45" s="25" t="s">
        <v>16</v>
      </c>
      <c r="E45" s="26" t="s">
        <v>16</v>
      </c>
      <c r="F45" s="26" t="s">
        <v>16</v>
      </c>
      <c r="G45" s="26" t="s">
        <v>16</v>
      </c>
      <c r="H45" s="27" t="s">
        <v>16</v>
      </c>
      <c r="I45" s="26" t="s">
        <v>16</v>
      </c>
      <c r="J45" s="26" t="s">
        <v>16</v>
      </c>
    </row>
    <row r="46">
      <c r="A46" s="19">
        <v>39.0</v>
      </c>
      <c r="B46" s="20" t="s">
        <v>17</v>
      </c>
      <c r="C46" s="21" t="s">
        <v>17</v>
      </c>
      <c r="D46" s="25" t="s">
        <v>17</v>
      </c>
      <c r="E46" s="26" t="s">
        <v>17</v>
      </c>
      <c r="F46" s="26" t="s">
        <v>17</v>
      </c>
      <c r="G46" s="26" t="s">
        <v>17</v>
      </c>
      <c r="H46" s="27" t="s">
        <v>17</v>
      </c>
      <c r="I46" s="26" t="s">
        <v>17</v>
      </c>
      <c r="J46" s="26" t="s">
        <v>17</v>
      </c>
    </row>
    <row r="47">
      <c r="A47" s="19">
        <v>40.0</v>
      </c>
      <c r="B47" s="20" t="s">
        <v>17</v>
      </c>
      <c r="C47" s="21" t="s">
        <v>17</v>
      </c>
      <c r="D47" s="25" t="s">
        <v>17</v>
      </c>
      <c r="E47" s="26" t="s">
        <v>17</v>
      </c>
      <c r="F47" s="26" t="s">
        <v>16</v>
      </c>
      <c r="G47" s="26" t="s">
        <v>16</v>
      </c>
      <c r="H47" s="27" t="s">
        <v>17</v>
      </c>
      <c r="I47" s="26" t="s">
        <v>16</v>
      </c>
      <c r="J47" s="26" t="s">
        <v>17</v>
      </c>
    </row>
    <row r="48">
      <c r="A48" s="19">
        <v>41.0</v>
      </c>
      <c r="B48" s="20" t="s">
        <v>16</v>
      </c>
      <c r="C48" s="21" t="s">
        <v>16</v>
      </c>
      <c r="D48" s="25" t="s">
        <v>16</v>
      </c>
      <c r="E48" s="26" t="s">
        <v>16</v>
      </c>
      <c r="F48" s="26" t="s">
        <v>16</v>
      </c>
      <c r="G48" s="26" t="s">
        <v>16</v>
      </c>
      <c r="H48" s="27" t="s">
        <v>16</v>
      </c>
      <c r="I48" s="26" t="s">
        <v>16</v>
      </c>
      <c r="J48" s="26" t="s">
        <v>16</v>
      </c>
    </row>
    <row r="49">
      <c r="A49" s="19">
        <v>42.0</v>
      </c>
      <c r="B49" s="20" t="s">
        <v>17</v>
      </c>
      <c r="C49" s="21" t="s">
        <v>17</v>
      </c>
      <c r="D49" s="25" t="s">
        <v>17</v>
      </c>
      <c r="E49" s="26" t="s">
        <v>17</v>
      </c>
      <c r="F49" s="26" t="s">
        <v>17</v>
      </c>
      <c r="G49" s="26" t="s">
        <v>17</v>
      </c>
      <c r="H49" s="27" t="s">
        <v>17</v>
      </c>
      <c r="I49" s="26" t="s">
        <v>17</v>
      </c>
      <c r="J49" s="26" t="s">
        <v>17</v>
      </c>
    </row>
    <row r="50">
      <c r="A50" s="19">
        <v>43.0</v>
      </c>
      <c r="B50" s="20" t="s">
        <v>17</v>
      </c>
      <c r="C50" s="21" t="s">
        <v>17</v>
      </c>
      <c r="D50" s="25" t="s">
        <v>17</v>
      </c>
      <c r="E50" s="26" t="s">
        <v>17</v>
      </c>
      <c r="F50" s="26" t="s">
        <v>17</v>
      </c>
      <c r="G50" s="26" t="s">
        <v>17</v>
      </c>
      <c r="H50" s="27" t="s">
        <v>17</v>
      </c>
      <c r="I50" s="26" t="s">
        <v>17</v>
      </c>
      <c r="J50" s="26" t="s">
        <v>17</v>
      </c>
    </row>
    <row r="51">
      <c r="A51" s="19">
        <v>44.0</v>
      </c>
      <c r="B51" s="20" t="s">
        <v>16</v>
      </c>
      <c r="C51" s="21" t="s">
        <v>16</v>
      </c>
      <c r="D51" s="25" t="s">
        <v>16</v>
      </c>
      <c r="E51" s="26" t="s">
        <v>16</v>
      </c>
      <c r="F51" s="26" t="s">
        <v>16</v>
      </c>
      <c r="G51" s="26" t="s">
        <v>17</v>
      </c>
      <c r="H51" s="27" t="s">
        <v>16</v>
      </c>
      <c r="I51" s="26" t="s">
        <v>16</v>
      </c>
      <c r="J51" s="26" t="s">
        <v>16</v>
      </c>
    </row>
    <row r="52">
      <c r="A52" s="19">
        <v>45.0</v>
      </c>
      <c r="B52" s="20" t="s">
        <v>16</v>
      </c>
      <c r="C52" s="21" t="s">
        <v>16</v>
      </c>
      <c r="D52" s="25" t="s">
        <v>16</v>
      </c>
      <c r="E52" s="26" t="s">
        <v>16</v>
      </c>
      <c r="F52" s="26" t="s">
        <v>16</v>
      </c>
      <c r="G52" s="26" t="s">
        <v>16</v>
      </c>
      <c r="H52" s="27" t="s">
        <v>16</v>
      </c>
      <c r="I52" s="26" t="s">
        <v>16</v>
      </c>
      <c r="J52" s="26" t="s">
        <v>17</v>
      </c>
    </row>
    <row r="53">
      <c r="A53" s="19">
        <v>46.0</v>
      </c>
      <c r="B53" s="28" t="s">
        <v>16</v>
      </c>
      <c r="C53" s="29" t="s">
        <v>16</v>
      </c>
      <c r="D53" s="30" t="s">
        <v>16</v>
      </c>
      <c r="E53" s="31" t="s">
        <v>16</v>
      </c>
      <c r="F53" s="31" t="s">
        <v>16</v>
      </c>
      <c r="G53" s="31" t="s">
        <v>16</v>
      </c>
      <c r="H53" s="32" t="s">
        <v>16</v>
      </c>
      <c r="I53" s="31" t="s">
        <v>16</v>
      </c>
      <c r="J53" s="31" t="s">
        <v>16</v>
      </c>
    </row>
    <row r="54">
      <c r="A54" s="33"/>
      <c r="B54" s="33"/>
      <c r="C54" s="33"/>
      <c r="D54" s="33"/>
    </row>
    <row r="55">
      <c r="A55" s="33"/>
      <c r="B55" s="33"/>
      <c r="C55" s="33"/>
      <c r="D55" s="33"/>
    </row>
    <row r="56">
      <c r="A56" s="33"/>
      <c r="B56" s="33"/>
      <c r="C56" s="33"/>
      <c r="D56" s="33"/>
    </row>
    <row r="57">
      <c r="A57" s="33"/>
      <c r="B57" s="33"/>
      <c r="C57" s="33"/>
      <c r="D57" s="33"/>
    </row>
    <row r="58">
      <c r="A58" s="33"/>
      <c r="B58" s="33"/>
      <c r="C58" s="33"/>
      <c r="D58" s="33"/>
    </row>
    <row r="59">
      <c r="A59" s="33"/>
      <c r="B59" s="33"/>
      <c r="C59" s="33"/>
      <c r="D59" s="33"/>
    </row>
    <row r="60">
      <c r="A60" s="33"/>
      <c r="B60" s="33"/>
      <c r="C60" s="33"/>
      <c r="D60" s="33"/>
    </row>
    <row r="61">
      <c r="A61" s="33"/>
      <c r="B61" s="33"/>
      <c r="C61" s="33"/>
      <c r="D61" s="33"/>
    </row>
    <row r="62">
      <c r="A62" s="33"/>
      <c r="B62" s="33"/>
      <c r="C62" s="33"/>
      <c r="D62" s="33"/>
    </row>
    <row r="63">
      <c r="A63" s="33"/>
      <c r="B63" s="33"/>
      <c r="C63" s="33"/>
      <c r="D63" s="33"/>
    </row>
    <row r="64">
      <c r="A64" s="33"/>
      <c r="B64" s="33"/>
      <c r="C64" s="33"/>
      <c r="D64" s="33"/>
    </row>
    <row r="65">
      <c r="A65" s="33"/>
      <c r="B65" s="33"/>
      <c r="C65" s="33"/>
      <c r="D65" s="33"/>
    </row>
    <row r="66">
      <c r="A66" s="33"/>
      <c r="B66" s="33"/>
      <c r="C66" s="33"/>
      <c r="D66" s="33"/>
    </row>
    <row r="67">
      <c r="A67" s="33"/>
      <c r="B67" s="33"/>
      <c r="C67" s="33"/>
      <c r="D67" s="33"/>
    </row>
    <row r="68">
      <c r="A68" s="33"/>
      <c r="B68" s="33"/>
      <c r="C68" s="33"/>
      <c r="D68" s="33"/>
    </row>
    <row r="69">
      <c r="A69" s="33"/>
      <c r="B69" s="33"/>
      <c r="C69" s="33"/>
      <c r="D69" s="33"/>
    </row>
    <row r="70">
      <c r="A70" s="33"/>
      <c r="B70" s="33"/>
      <c r="C70" s="33"/>
      <c r="D70" s="33"/>
    </row>
    <row r="71">
      <c r="A71" s="33"/>
      <c r="B71" s="33"/>
      <c r="C71" s="33"/>
      <c r="D71" s="33"/>
    </row>
    <row r="72">
      <c r="A72" s="33"/>
      <c r="B72" s="33"/>
      <c r="C72" s="33"/>
      <c r="D72" s="33"/>
    </row>
    <row r="73">
      <c r="A73" s="33"/>
      <c r="B73" s="33"/>
      <c r="C73" s="33"/>
      <c r="D73" s="33"/>
    </row>
    <row r="74">
      <c r="A74" s="33"/>
      <c r="B74" s="33"/>
      <c r="C74" s="33"/>
      <c r="D74" s="33"/>
    </row>
    <row r="75">
      <c r="A75" s="33"/>
      <c r="B75" s="33"/>
      <c r="C75" s="33"/>
      <c r="D75" s="33"/>
    </row>
    <row r="76">
      <c r="A76" s="33"/>
      <c r="B76" s="33"/>
      <c r="C76" s="33"/>
      <c r="D76" s="33"/>
    </row>
    <row r="77">
      <c r="A77" s="33"/>
      <c r="B77" s="33"/>
      <c r="C77" s="33"/>
      <c r="D77" s="33"/>
    </row>
    <row r="78">
      <c r="A78" s="33"/>
      <c r="B78" s="33"/>
      <c r="C78" s="33"/>
      <c r="D78" s="33"/>
    </row>
    <row r="79">
      <c r="A79" s="33"/>
      <c r="B79" s="33"/>
      <c r="C79" s="33"/>
      <c r="D79" s="33"/>
    </row>
    <row r="80">
      <c r="A80" s="33"/>
      <c r="B80" s="33"/>
      <c r="C80" s="33"/>
      <c r="D80" s="33"/>
    </row>
    <row r="81">
      <c r="A81" s="33"/>
      <c r="B81" s="33"/>
      <c r="C81" s="33"/>
      <c r="D81" s="33"/>
    </row>
    <row r="82">
      <c r="A82" s="33"/>
      <c r="B82" s="33"/>
      <c r="C82" s="33"/>
      <c r="D82" s="33"/>
    </row>
    <row r="83">
      <c r="A83" s="33"/>
      <c r="B83" s="33"/>
      <c r="C83" s="33"/>
      <c r="D83" s="33"/>
    </row>
    <row r="84">
      <c r="A84" s="33"/>
      <c r="B84" s="33"/>
      <c r="C84" s="33"/>
      <c r="D84" s="33"/>
    </row>
    <row r="85">
      <c r="A85" s="33"/>
      <c r="B85" s="33"/>
      <c r="C85" s="33"/>
      <c r="D85" s="33"/>
    </row>
    <row r="86">
      <c r="A86" s="33"/>
      <c r="B86" s="33"/>
      <c r="C86" s="33"/>
      <c r="D86" s="33"/>
    </row>
    <row r="87">
      <c r="A87" s="33"/>
      <c r="B87" s="33"/>
      <c r="C87" s="33"/>
      <c r="D87" s="33"/>
    </row>
    <row r="88">
      <c r="A88" s="33"/>
      <c r="B88" s="33"/>
      <c r="C88" s="33"/>
      <c r="D88" s="33"/>
    </row>
    <row r="89">
      <c r="A89" s="33"/>
      <c r="B89" s="33"/>
      <c r="C89" s="33"/>
      <c r="D89" s="33"/>
    </row>
    <row r="90">
      <c r="A90" s="33"/>
      <c r="B90" s="33"/>
      <c r="C90" s="33"/>
      <c r="D90" s="33"/>
    </row>
    <row r="91">
      <c r="A91" s="33"/>
      <c r="B91" s="33"/>
      <c r="C91" s="33"/>
      <c r="D91" s="33"/>
    </row>
    <row r="92">
      <c r="A92" s="33"/>
      <c r="B92" s="33"/>
      <c r="C92" s="33"/>
      <c r="D92" s="33"/>
    </row>
    <row r="93">
      <c r="A93" s="33"/>
      <c r="B93" s="33"/>
      <c r="C93" s="33"/>
      <c r="D93" s="33"/>
    </row>
    <row r="94">
      <c r="A94" s="33"/>
      <c r="B94" s="33"/>
      <c r="C94" s="33"/>
      <c r="D94" s="33"/>
    </row>
    <row r="95">
      <c r="A95" s="33"/>
      <c r="B95" s="33"/>
      <c r="C95" s="33"/>
      <c r="D95" s="33"/>
    </row>
    <row r="96">
      <c r="A96" s="33"/>
      <c r="B96" s="33"/>
      <c r="C96" s="33"/>
      <c r="D96" s="33"/>
    </row>
    <row r="97">
      <c r="A97" s="33"/>
      <c r="B97" s="33"/>
      <c r="C97" s="33"/>
      <c r="D97" s="33"/>
    </row>
    <row r="98">
      <c r="A98" s="33"/>
      <c r="B98" s="33"/>
      <c r="C98" s="33"/>
      <c r="D98" s="33"/>
    </row>
    <row r="99">
      <c r="A99" s="33"/>
      <c r="B99" s="33"/>
      <c r="C99" s="33"/>
      <c r="D99" s="33"/>
    </row>
    <row r="100">
      <c r="A100" s="33"/>
      <c r="B100" s="33"/>
      <c r="C100" s="33"/>
      <c r="D100" s="33"/>
    </row>
    <row r="101">
      <c r="A101" s="33"/>
      <c r="B101" s="33"/>
      <c r="C101" s="33"/>
      <c r="D101" s="33"/>
    </row>
    <row r="102">
      <c r="A102" s="33"/>
      <c r="B102" s="33"/>
      <c r="C102" s="33"/>
      <c r="D102" s="33"/>
    </row>
    <row r="103">
      <c r="A103" s="33"/>
      <c r="B103" s="33"/>
      <c r="C103" s="33"/>
      <c r="D103" s="33"/>
    </row>
    <row r="104">
      <c r="A104" s="33"/>
      <c r="B104" s="33"/>
      <c r="C104" s="33"/>
      <c r="D104" s="33"/>
    </row>
    <row r="105">
      <c r="A105" s="33"/>
      <c r="B105" s="33"/>
      <c r="C105" s="33"/>
      <c r="D105" s="33"/>
    </row>
    <row r="106">
      <c r="A106" s="33"/>
      <c r="B106" s="33"/>
      <c r="C106" s="33"/>
      <c r="D106" s="33"/>
    </row>
    <row r="107">
      <c r="A107" s="33"/>
      <c r="B107" s="33"/>
      <c r="C107" s="33"/>
      <c r="D107" s="33"/>
    </row>
    <row r="108">
      <c r="A108" s="33"/>
      <c r="B108" s="33"/>
      <c r="C108" s="33"/>
      <c r="D108" s="33"/>
    </row>
    <row r="109">
      <c r="A109" s="33"/>
      <c r="B109" s="33"/>
      <c r="C109" s="33"/>
      <c r="D109" s="33"/>
    </row>
    <row r="110">
      <c r="A110" s="33"/>
      <c r="B110" s="33"/>
      <c r="C110" s="33"/>
      <c r="D110" s="33"/>
    </row>
    <row r="111">
      <c r="A111" s="33"/>
      <c r="B111" s="33"/>
      <c r="C111" s="33"/>
      <c r="D111" s="33"/>
    </row>
    <row r="112">
      <c r="A112" s="33"/>
      <c r="B112" s="33"/>
      <c r="C112" s="33"/>
      <c r="D112" s="33"/>
    </row>
    <row r="113">
      <c r="A113" s="33"/>
      <c r="B113" s="33"/>
      <c r="C113" s="33"/>
      <c r="D113" s="33"/>
    </row>
    <row r="114">
      <c r="A114" s="33"/>
      <c r="B114" s="33"/>
      <c r="C114" s="33"/>
      <c r="D114" s="33"/>
    </row>
    <row r="115">
      <c r="A115" s="33"/>
      <c r="B115" s="33"/>
      <c r="C115" s="33"/>
      <c r="D115" s="33"/>
    </row>
    <row r="116">
      <c r="A116" s="33"/>
      <c r="B116" s="33"/>
      <c r="C116" s="33"/>
      <c r="D116" s="33"/>
    </row>
    <row r="117">
      <c r="A117" s="33"/>
      <c r="B117" s="33"/>
      <c r="C117" s="33"/>
      <c r="D117" s="33"/>
    </row>
    <row r="118">
      <c r="A118" s="33"/>
      <c r="B118" s="33"/>
      <c r="C118" s="33"/>
      <c r="D118" s="33"/>
    </row>
    <row r="119">
      <c r="A119" s="33"/>
      <c r="B119" s="33"/>
      <c r="C119" s="33"/>
      <c r="D119" s="33"/>
    </row>
    <row r="120">
      <c r="A120" s="33"/>
      <c r="B120" s="33"/>
      <c r="C120" s="33"/>
      <c r="D120" s="33"/>
    </row>
    <row r="121">
      <c r="A121" s="33"/>
      <c r="B121" s="33"/>
      <c r="C121" s="33"/>
      <c r="D121" s="33"/>
    </row>
    <row r="122">
      <c r="A122" s="33"/>
      <c r="B122" s="33"/>
      <c r="C122" s="33"/>
      <c r="D122" s="33"/>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20</v>
      </c>
      <c r="C2" s="2"/>
      <c r="D2" s="2"/>
      <c r="E2" s="2"/>
      <c r="F2" s="2"/>
      <c r="G2" s="2"/>
      <c r="H2" s="3"/>
      <c r="I2" s="38" t="s">
        <v>21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37</v>
      </c>
      <c r="J4" s="44"/>
    </row>
    <row r="5" ht="60.0" customHeight="1">
      <c r="A5" s="40">
        <v>2.0</v>
      </c>
      <c r="B5" s="41" t="s">
        <v>38</v>
      </c>
      <c r="C5" s="41" t="s">
        <v>39</v>
      </c>
      <c r="D5" s="41" t="s">
        <v>40</v>
      </c>
      <c r="E5" s="41" t="s">
        <v>41</v>
      </c>
      <c r="F5" s="40" t="str">
        <f t="shared" si="1"/>
        <v>CORRECT</v>
      </c>
      <c r="G5" s="40" t="s">
        <v>42</v>
      </c>
      <c r="H5" s="42" t="s">
        <v>42</v>
      </c>
      <c r="I5" s="43" t="s">
        <v>43</v>
      </c>
      <c r="J5" s="44"/>
    </row>
    <row r="6" ht="60.0" customHeight="1">
      <c r="A6" s="40">
        <v>3.0</v>
      </c>
      <c r="B6" s="41" t="s">
        <v>44</v>
      </c>
      <c r="C6" s="41" t="s">
        <v>45</v>
      </c>
      <c r="D6" s="41" t="s">
        <v>46</v>
      </c>
      <c r="E6" s="41" t="s">
        <v>47</v>
      </c>
      <c r="F6" s="40" t="str">
        <f t="shared" si="1"/>
        <v>CORRECT</v>
      </c>
      <c r="G6" s="40" t="s">
        <v>48</v>
      </c>
      <c r="H6" s="42" t="s">
        <v>48</v>
      </c>
      <c r="I6" s="43" t="s">
        <v>49</v>
      </c>
      <c r="J6" s="44"/>
    </row>
    <row r="7" ht="60.0" customHeight="1">
      <c r="A7" s="40">
        <v>4.0</v>
      </c>
      <c r="B7" s="41" t="s">
        <v>50</v>
      </c>
      <c r="C7" s="41" t="s">
        <v>51</v>
      </c>
      <c r="D7" s="41" t="s">
        <v>52</v>
      </c>
      <c r="E7" s="41" t="s">
        <v>53</v>
      </c>
      <c r="F7" s="40" t="str">
        <f t="shared" si="1"/>
        <v>CORRECT</v>
      </c>
      <c r="G7" s="40" t="s">
        <v>42</v>
      </c>
      <c r="H7" s="44" t="s">
        <v>42</v>
      </c>
      <c r="I7" s="43" t="s">
        <v>54</v>
      </c>
      <c r="J7" s="44"/>
    </row>
    <row r="8" ht="60.0" customHeight="1">
      <c r="A8" s="40">
        <v>5.0</v>
      </c>
      <c r="B8" s="41" t="s">
        <v>55</v>
      </c>
      <c r="C8" s="41" t="s">
        <v>56</v>
      </c>
      <c r="D8" s="41" t="s">
        <v>57</v>
      </c>
      <c r="E8" s="41" t="s">
        <v>58</v>
      </c>
      <c r="F8" s="40" t="str">
        <f t="shared" si="1"/>
        <v>CORRECT</v>
      </c>
      <c r="G8" s="40" t="s">
        <v>48</v>
      </c>
      <c r="H8" s="42" t="s">
        <v>48</v>
      </c>
      <c r="I8" s="43" t="s">
        <v>59</v>
      </c>
      <c r="J8" s="44"/>
    </row>
    <row r="9" ht="60.0" customHeight="1">
      <c r="A9" s="40">
        <v>6.0</v>
      </c>
      <c r="B9" s="41" t="s">
        <v>60</v>
      </c>
      <c r="C9" s="41" t="s">
        <v>61</v>
      </c>
      <c r="D9" s="41" t="s">
        <v>62</v>
      </c>
      <c r="E9" s="41" t="s">
        <v>63</v>
      </c>
      <c r="F9" s="40" t="str">
        <f t="shared" si="1"/>
        <v>CORRECT</v>
      </c>
      <c r="G9" s="40" t="s">
        <v>42</v>
      </c>
      <c r="H9" s="44" t="s">
        <v>42</v>
      </c>
      <c r="I9" s="43" t="s">
        <v>64</v>
      </c>
      <c r="J9" s="44"/>
    </row>
    <row r="10" ht="60.0" customHeight="1">
      <c r="A10" s="40">
        <v>7.0</v>
      </c>
      <c r="B10" s="41" t="s">
        <v>65</v>
      </c>
      <c r="C10" s="41" t="s">
        <v>66</v>
      </c>
      <c r="D10" s="41" t="s">
        <v>67</v>
      </c>
      <c r="E10" s="41" t="s">
        <v>68</v>
      </c>
      <c r="F10" s="40" t="str">
        <f t="shared" si="1"/>
        <v>CORRECT</v>
      </c>
      <c r="G10" s="40" t="s">
        <v>42</v>
      </c>
      <c r="H10" s="44" t="s">
        <v>42</v>
      </c>
      <c r="I10" s="43" t="s">
        <v>69</v>
      </c>
      <c r="J10" s="44"/>
    </row>
    <row r="11" ht="60.0" customHeight="1">
      <c r="A11" s="40">
        <v>8.0</v>
      </c>
      <c r="B11" s="41" t="s">
        <v>70</v>
      </c>
      <c r="C11" s="41" t="s">
        <v>71</v>
      </c>
      <c r="D11" s="41" t="s">
        <v>72</v>
      </c>
      <c r="E11" s="41" t="s">
        <v>73</v>
      </c>
      <c r="F11" s="40" t="str">
        <f t="shared" si="1"/>
        <v>CORRECT</v>
      </c>
      <c r="G11" s="40" t="s">
        <v>48</v>
      </c>
      <c r="H11" s="44" t="s">
        <v>48</v>
      </c>
      <c r="I11" s="43" t="s">
        <v>74</v>
      </c>
      <c r="J11" s="44"/>
    </row>
    <row r="12" ht="60.0" customHeight="1">
      <c r="A12" s="40">
        <v>9.0</v>
      </c>
      <c r="B12" s="41" t="s">
        <v>75</v>
      </c>
      <c r="C12" s="41" t="s">
        <v>76</v>
      </c>
      <c r="D12" s="41" t="s">
        <v>77</v>
      </c>
      <c r="E12" s="41" t="s">
        <v>78</v>
      </c>
      <c r="F12" s="40" t="str">
        <f t="shared" si="1"/>
        <v>CORRECT</v>
      </c>
      <c r="G12" s="40" t="s">
        <v>42</v>
      </c>
      <c r="H12" s="44" t="s">
        <v>42</v>
      </c>
      <c r="I12" s="43" t="s">
        <v>79</v>
      </c>
      <c r="J12" s="44"/>
    </row>
    <row r="13" ht="60.0" customHeight="1">
      <c r="A13" s="40">
        <v>10.0</v>
      </c>
      <c r="B13" s="41" t="s">
        <v>80</v>
      </c>
      <c r="C13" s="41" t="s">
        <v>81</v>
      </c>
      <c r="D13" s="41" t="s">
        <v>82</v>
      </c>
      <c r="E13" s="41" t="s">
        <v>83</v>
      </c>
      <c r="F13" s="40" t="str">
        <f t="shared" si="1"/>
        <v>CORRECT</v>
      </c>
      <c r="G13" s="40" t="s">
        <v>48</v>
      </c>
      <c r="H13" s="44" t="s">
        <v>48</v>
      </c>
      <c r="I13" s="43" t="s">
        <v>84</v>
      </c>
      <c r="J13" s="44"/>
    </row>
    <row r="14" ht="60.0" customHeight="1">
      <c r="A14" s="40">
        <v>11.0</v>
      </c>
      <c r="B14" s="41" t="s">
        <v>85</v>
      </c>
      <c r="C14" s="41" t="s">
        <v>86</v>
      </c>
      <c r="D14" s="41" t="s">
        <v>87</v>
      </c>
      <c r="E14" s="41" t="s">
        <v>88</v>
      </c>
      <c r="F14" s="40" t="str">
        <f t="shared" si="1"/>
        <v>WRONG</v>
      </c>
      <c r="G14" s="40" t="s">
        <v>42</v>
      </c>
      <c r="H14" s="42" t="s">
        <v>48</v>
      </c>
      <c r="I14" s="43" t="s">
        <v>89</v>
      </c>
      <c r="J14" s="44"/>
    </row>
    <row r="15" ht="60.0" customHeight="1">
      <c r="A15" s="40">
        <v>12.0</v>
      </c>
      <c r="B15" s="41" t="s">
        <v>90</v>
      </c>
      <c r="C15" s="41" t="s">
        <v>91</v>
      </c>
      <c r="D15" s="41" t="s">
        <v>92</v>
      </c>
      <c r="E15" s="41" t="s">
        <v>93</v>
      </c>
      <c r="F15" s="40" t="str">
        <f t="shared" si="1"/>
        <v>CORRECT</v>
      </c>
      <c r="G15" s="40" t="s">
        <v>48</v>
      </c>
      <c r="H15" s="42" t="s">
        <v>48</v>
      </c>
      <c r="I15" s="43" t="s">
        <v>94</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109</v>
      </c>
      <c r="J18" s="44"/>
    </row>
    <row r="19" ht="60.0" customHeight="1">
      <c r="A19" s="40">
        <v>16.0</v>
      </c>
      <c r="B19" s="41" t="s">
        <v>110</v>
      </c>
      <c r="C19" s="41" t="s">
        <v>111</v>
      </c>
      <c r="D19" s="41" t="s">
        <v>112</v>
      </c>
      <c r="E19" s="41" t="s">
        <v>113</v>
      </c>
      <c r="F19" s="40" t="str">
        <f t="shared" si="1"/>
        <v>CORRECT</v>
      </c>
      <c r="G19" s="40" t="s">
        <v>48</v>
      </c>
      <c r="H19" s="42" t="s">
        <v>48</v>
      </c>
      <c r="I19" s="43" t="s">
        <v>114</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129</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139</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2"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4"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202</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4" t="s">
        <v>36</v>
      </c>
      <c r="I41" s="43" t="s">
        <v>222</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WRONG</v>
      </c>
      <c r="G43" s="40" t="s">
        <v>48</v>
      </c>
      <c r="H43" s="42" t="s">
        <v>42</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CORRECT</v>
      </c>
      <c r="G47" s="40" t="s">
        <v>36</v>
      </c>
      <c r="H47" s="42" t="s">
        <v>36</v>
      </c>
      <c r="I47" s="43" t="s">
        <v>252</v>
      </c>
      <c r="J47" s="44"/>
    </row>
    <row r="48" ht="60.0" customHeight="1">
      <c r="A48" s="40">
        <v>45.0</v>
      </c>
      <c r="B48" s="41" t="s">
        <v>253</v>
      </c>
      <c r="C48" s="41" t="s">
        <v>254</v>
      </c>
      <c r="D48" s="41" t="s">
        <v>255</v>
      </c>
      <c r="E48" s="41" t="s">
        <v>256</v>
      </c>
      <c r="F48" s="40" t="str">
        <f t="shared" si="1"/>
        <v>CORRECT</v>
      </c>
      <c r="G48" s="40" t="s">
        <v>36</v>
      </c>
      <c r="H48" s="44" t="s">
        <v>36</v>
      </c>
      <c r="I48" s="43" t="s">
        <v>257</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5" t="s">
        <v>262</v>
      </c>
      <c r="B50" s="2"/>
      <c r="C50" s="2"/>
      <c r="D50" s="2"/>
      <c r="E50" s="3"/>
      <c r="F50" s="46">
        <f>COUNTIFS(F4:F49,"CORRECT")</f>
        <v>30</v>
      </c>
      <c r="G50" s="47"/>
      <c r="H50" s="47"/>
      <c r="J50" s="48" t="str">
        <f>AVERAGE(J4:J49)</f>
        <v>#DIV/0!</v>
      </c>
    </row>
    <row r="51">
      <c r="A51" s="49" t="s">
        <v>263</v>
      </c>
      <c r="B51" s="2"/>
      <c r="C51" s="2"/>
      <c r="D51" s="2"/>
      <c r="E51" s="3"/>
      <c r="F51" s="50">
        <v>46.0</v>
      </c>
      <c r="G51" s="47"/>
      <c r="H51" s="47"/>
    </row>
    <row r="52">
      <c r="A52" s="45" t="s">
        <v>264</v>
      </c>
      <c r="B52" s="2"/>
      <c r="C52" s="2"/>
      <c r="D52" s="2"/>
      <c r="E52" s="3"/>
      <c r="F52" s="51">
        <f>F50/F51</f>
        <v>0.652173913</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265</v>
      </c>
      <c r="C2" s="2"/>
      <c r="D2" s="2"/>
      <c r="E2" s="2"/>
      <c r="F2" s="2"/>
      <c r="G2" s="2"/>
      <c r="H2" s="3"/>
      <c r="I2" s="38" t="s">
        <v>266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2" t="s">
        <v>42</v>
      </c>
      <c r="I5" s="43" t="s">
        <v>268</v>
      </c>
      <c r="J5" s="44"/>
    </row>
    <row r="6" ht="60.0" customHeight="1">
      <c r="A6" s="40">
        <v>3.0</v>
      </c>
      <c r="B6" s="41" t="s">
        <v>44</v>
      </c>
      <c r="C6" s="41" t="s">
        <v>45</v>
      </c>
      <c r="D6" s="41" t="s">
        <v>46</v>
      </c>
      <c r="E6" s="41" t="s">
        <v>47</v>
      </c>
      <c r="F6" s="40" t="str">
        <f t="shared" si="1"/>
        <v>CORRECT</v>
      </c>
      <c r="G6" s="40" t="s">
        <v>48</v>
      </c>
      <c r="H6" s="42" t="s">
        <v>48</v>
      </c>
      <c r="I6" s="43" t="s">
        <v>269</v>
      </c>
      <c r="J6" s="44"/>
    </row>
    <row r="7" ht="60.0" customHeight="1">
      <c r="A7" s="40">
        <v>4.0</v>
      </c>
      <c r="B7" s="41" t="s">
        <v>50</v>
      </c>
      <c r="C7" s="41" t="s">
        <v>51</v>
      </c>
      <c r="D7" s="41" t="s">
        <v>52</v>
      </c>
      <c r="E7" s="41" t="s">
        <v>53</v>
      </c>
      <c r="F7" s="40" t="str">
        <f t="shared" si="1"/>
        <v>CORRECT</v>
      </c>
      <c r="G7" s="40" t="s">
        <v>42</v>
      </c>
      <c r="H7" s="44" t="s">
        <v>42</v>
      </c>
      <c r="I7" s="43" t="s">
        <v>270</v>
      </c>
      <c r="J7" s="44"/>
    </row>
    <row r="8" ht="60.0" customHeight="1">
      <c r="A8" s="40">
        <v>5.0</v>
      </c>
      <c r="B8" s="41" t="s">
        <v>55</v>
      </c>
      <c r="C8" s="41" t="s">
        <v>56</v>
      </c>
      <c r="D8" s="41" t="s">
        <v>57</v>
      </c>
      <c r="E8" s="41" t="s">
        <v>58</v>
      </c>
      <c r="F8" s="40" t="str">
        <f t="shared" si="1"/>
        <v>CORRECT</v>
      </c>
      <c r="G8" s="40" t="s">
        <v>48</v>
      </c>
      <c r="H8" s="42" t="s">
        <v>48</v>
      </c>
      <c r="I8" s="43" t="s">
        <v>271</v>
      </c>
      <c r="J8" s="44"/>
    </row>
    <row r="9" ht="60.0" customHeight="1">
      <c r="A9" s="40">
        <v>6.0</v>
      </c>
      <c r="B9" s="41" t="s">
        <v>60</v>
      </c>
      <c r="C9" s="41" t="s">
        <v>61</v>
      </c>
      <c r="D9" s="41" t="s">
        <v>62</v>
      </c>
      <c r="E9" s="41" t="s">
        <v>63</v>
      </c>
      <c r="F9" s="40" t="str">
        <f t="shared" si="1"/>
        <v>CORRECT</v>
      </c>
      <c r="G9" s="40" t="s">
        <v>42</v>
      </c>
      <c r="H9" s="44" t="s">
        <v>42</v>
      </c>
      <c r="I9" s="43" t="s">
        <v>272</v>
      </c>
      <c r="J9" s="44"/>
    </row>
    <row r="10" ht="60.0" customHeight="1">
      <c r="A10" s="40">
        <v>7.0</v>
      </c>
      <c r="B10" s="41" t="s">
        <v>65</v>
      </c>
      <c r="C10" s="41" t="s">
        <v>66</v>
      </c>
      <c r="D10" s="41" t="s">
        <v>67</v>
      </c>
      <c r="E10" s="41" t="s">
        <v>68</v>
      </c>
      <c r="F10" s="40" t="str">
        <f t="shared" si="1"/>
        <v>WRONG</v>
      </c>
      <c r="G10" s="40" t="s">
        <v>42</v>
      </c>
      <c r="H10" s="42" t="s">
        <v>36</v>
      </c>
      <c r="I10" s="43" t="s">
        <v>273</v>
      </c>
      <c r="J10" s="44"/>
    </row>
    <row r="11" ht="60.0" customHeight="1">
      <c r="A11" s="40">
        <v>8.0</v>
      </c>
      <c r="B11" s="41" t="s">
        <v>70</v>
      </c>
      <c r="C11" s="41" t="s">
        <v>71</v>
      </c>
      <c r="D11" s="41" t="s">
        <v>72</v>
      </c>
      <c r="E11" s="41" t="s">
        <v>73</v>
      </c>
      <c r="F11" s="40" t="str">
        <f t="shared" si="1"/>
        <v>WRONG</v>
      </c>
      <c r="G11" s="40" t="s">
        <v>48</v>
      </c>
      <c r="H11" s="44" t="s">
        <v>42</v>
      </c>
      <c r="I11" s="43" t="s">
        <v>274</v>
      </c>
      <c r="J11" s="44"/>
    </row>
    <row r="12" ht="60.0" customHeight="1">
      <c r="A12" s="40">
        <v>9.0</v>
      </c>
      <c r="B12" s="41" t="s">
        <v>75</v>
      </c>
      <c r="C12" s="41" t="s">
        <v>76</v>
      </c>
      <c r="D12" s="41" t="s">
        <v>77</v>
      </c>
      <c r="E12" s="41" t="s">
        <v>78</v>
      </c>
      <c r="F12" s="40" t="str">
        <f t="shared" si="1"/>
        <v>WRONG</v>
      </c>
      <c r="G12" s="40" t="s">
        <v>42</v>
      </c>
      <c r="H12" s="44" t="s">
        <v>48</v>
      </c>
      <c r="I12" s="43" t="s">
        <v>275</v>
      </c>
      <c r="J12" s="44"/>
    </row>
    <row r="13" ht="60.0" customHeight="1">
      <c r="A13" s="40">
        <v>10.0</v>
      </c>
      <c r="B13" s="41" t="s">
        <v>80</v>
      </c>
      <c r="C13" s="41" t="s">
        <v>81</v>
      </c>
      <c r="D13" s="41" t="s">
        <v>82</v>
      </c>
      <c r="E13" s="41" t="s">
        <v>83</v>
      </c>
      <c r="F13" s="40" t="str">
        <f t="shared" si="1"/>
        <v>CORRECT</v>
      </c>
      <c r="G13" s="40" t="s">
        <v>48</v>
      </c>
      <c r="H13" s="44" t="s">
        <v>48</v>
      </c>
      <c r="I13" s="43" t="s">
        <v>276</v>
      </c>
      <c r="J13" s="44"/>
    </row>
    <row r="14" ht="60.0" customHeight="1">
      <c r="A14" s="40">
        <v>11.0</v>
      </c>
      <c r="B14" s="41" t="s">
        <v>85</v>
      </c>
      <c r="C14" s="41" t="s">
        <v>86</v>
      </c>
      <c r="D14" s="41" t="s">
        <v>87</v>
      </c>
      <c r="E14" s="41" t="s">
        <v>88</v>
      </c>
      <c r="F14" s="40" t="str">
        <f t="shared" si="1"/>
        <v>WRONG</v>
      </c>
      <c r="G14" s="40" t="s">
        <v>42</v>
      </c>
      <c r="H14" s="42" t="s">
        <v>48</v>
      </c>
      <c r="I14" s="43" t="s">
        <v>277</v>
      </c>
      <c r="J14" s="44"/>
    </row>
    <row r="15" ht="60.0" customHeight="1">
      <c r="A15" s="40">
        <v>12.0</v>
      </c>
      <c r="B15" s="41" t="s">
        <v>90</v>
      </c>
      <c r="C15" s="41" t="s">
        <v>91</v>
      </c>
      <c r="D15" s="41" t="s">
        <v>92</v>
      </c>
      <c r="E15" s="41" t="s">
        <v>93</v>
      </c>
      <c r="F15" s="40" t="str">
        <f t="shared" si="1"/>
        <v>CORRECT</v>
      </c>
      <c r="G15" s="40" t="s">
        <v>48</v>
      </c>
      <c r="H15" s="44" t="s">
        <v>48</v>
      </c>
      <c r="I15" s="43" t="s">
        <v>278</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279</v>
      </c>
      <c r="J18" s="44"/>
    </row>
    <row r="19" ht="60.0" customHeight="1">
      <c r="A19" s="40">
        <v>16.0</v>
      </c>
      <c r="B19" s="41" t="s">
        <v>110</v>
      </c>
      <c r="C19" s="41" t="s">
        <v>111</v>
      </c>
      <c r="D19" s="41" t="s">
        <v>112</v>
      </c>
      <c r="E19" s="41" t="s">
        <v>113</v>
      </c>
      <c r="F19" s="40" t="str">
        <f t="shared" si="1"/>
        <v>CORRECT</v>
      </c>
      <c r="G19" s="40" t="s">
        <v>48</v>
      </c>
      <c r="H19" s="42" t="s">
        <v>48</v>
      </c>
      <c r="I19" s="43" t="s">
        <v>280</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281</v>
      </c>
      <c r="J21" s="44"/>
    </row>
    <row r="22" ht="60.0" customHeight="1">
      <c r="A22" s="40">
        <v>19.0</v>
      </c>
      <c r="B22" s="41" t="s">
        <v>125</v>
      </c>
      <c r="C22" s="41" t="s">
        <v>126</v>
      </c>
      <c r="D22" s="41" t="s">
        <v>127</v>
      </c>
      <c r="E22" s="41" t="s">
        <v>128</v>
      </c>
      <c r="F22" s="40" t="str">
        <f t="shared" si="1"/>
        <v>WRONG</v>
      </c>
      <c r="G22" s="40" t="s">
        <v>36</v>
      </c>
      <c r="H22" s="42" t="s">
        <v>48</v>
      </c>
      <c r="I22" s="43" t="s">
        <v>129</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282</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2"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4"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202</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4" t="s">
        <v>36</v>
      </c>
      <c r="I41" s="43" t="s">
        <v>283</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WRONG</v>
      </c>
      <c r="G43" s="40" t="s">
        <v>48</v>
      </c>
      <c r="H43" s="42" t="s">
        <v>42</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284</v>
      </c>
      <c r="J46" s="44"/>
    </row>
    <row r="47" ht="60.0" customHeight="1">
      <c r="A47" s="40">
        <v>44.0</v>
      </c>
      <c r="B47" s="41" t="s">
        <v>248</v>
      </c>
      <c r="C47" s="41" t="s">
        <v>249</v>
      </c>
      <c r="D47" s="41" t="s">
        <v>250</v>
      </c>
      <c r="E47" s="41" t="s">
        <v>251</v>
      </c>
      <c r="F47" s="40" t="str">
        <f t="shared" si="1"/>
        <v>CORRECT</v>
      </c>
      <c r="G47" s="40" t="s">
        <v>36</v>
      </c>
      <c r="H47" s="42" t="s">
        <v>36</v>
      </c>
      <c r="I47" s="43" t="s">
        <v>285</v>
      </c>
      <c r="J47" s="44"/>
    </row>
    <row r="48" ht="60.0" customHeight="1">
      <c r="A48" s="40">
        <v>45.0</v>
      </c>
      <c r="B48" s="41" t="s">
        <v>253</v>
      </c>
      <c r="C48" s="41" t="s">
        <v>254</v>
      </c>
      <c r="D48" s="41" t="s">
        <v>255</v>
      </c>
      <c r="E48" s="41" t="s">
        <v>256</v>
      </c>
      <c r="F48" s="40" t="str">
        <f t="shared" si="1"/>
        <v>CORRECT</v>
      </c>
      <c r="G48" s="40" t="s">
        <v>36</v>
      </c>
      <c r="H48" s="44" t="s">
        <v>36</v>
      </c>
      <c r="I48" s="43" t="s">
        <v>257</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5" t="s">
        <v>262</v>
      </c>
      <c r="B50" s="2"/>
      <c r="C50" s="2"/>
      <c r="D50" s="2"/>
      <c r="E50" s="3"/>
      <c r="F50" s="46">
        <f>COUNTIFS(F4:F49,"CORRECT")</f>
        <v>27</v>
      </c>
      <c r="G50" s="47"/>
      <c r="H50" s="47"/>
      <c r="J50" s="48" t="str">
        <f>AVERAGE(J4:J49)</f>
        <v>#DIV/0!</v>
      </c>
    </row>
    <row r="51">
      <c r="A51" s="49" t="s">
        <v>263</v>
      </c>
      <c r="B51" s="2"/>
      <c r="C51" s="2"/>
      <c r="D51" s="2"/>
      <c r="E51" s="3"/>
      <c r="F51" s="50">
        <v>46.0</v>
      </c>
      <c r="G51" s="47"/>
      <c r="H51" s="47"/>
    </row>
    <row r="52">
      <c r="A52" s="45" t="s">
        <v>264</v>
      </c>
      <c r="B52" s="2"/>
      <c r="C52" s="2"/>
      <c r="D52" s="2"/>
      <c r="E52" s="3"/>
      <c r="F52" s="51">
        <f>F50/F51</f>
        <v>0.5869565217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286</v>
      </c>
      <c r="C2" s="2"/>
      <c r="D2" s="2"/>
      <c r="E2" s="2"/>
      <c r="F2" s="2"/>
      <c r="G2" s="2"/>
      <c r="H2" s="3"/>
      <c r="I2" s="38" t="s">
        <v>287</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2" t="s">
        <v>42</v>
      </c>
      <c r="I5" s="43" t="s">
        <v>288</v>
      </c>
      <c r="J5" s="44"/>
    </row>
    <row r="6" ht="60.0" customHeight="1">
      <c r="A6" s="40">
        <v>3.0</v>
      </c>
      <c r="B6" s="41" t="s">
        <v>44</v>
      </c>
      <c r="C6" s="41" t="s">
        <v>45</v>
      </c>
      <c r="D6" s="41" t="s">
        <v>46</v>
      </c>
      <c r="E6" s="41" t="s">
        <v>47</v>
      </c>
      <c r="F6" s="40" t="str">
        <f t="shared" si="1"/>
        <v>CORRECT</v>
      </c>
      <c r="G6" s="40" t="s">
        <v>48</v>
      </c>
      <c r="H6" s="42" t="s">
        <v>48</v>
      </c>
      <c r="I6" s="43" t="s">
        <v>289</v>
      </c>
      <c r="J6" s="44"/>
    </row>
    <row r="7" ht="60.0" customHeight="1">
      <c r="A7" s="40">
        <v>4.0</v>
      </c>
      <c r="B7" s="41" t="s">
        <v>50</v>
      </c>
      <c r="C7" s="41" t="s">
        <v>51</v>
      </c>
      <c r="D7" s="41" t="s">
        <v>52</v>
      </c>
      <c r="E7" s="41" t="s">
        <v>53</v>
      </c>
      <c r="F7" s="40" t="str">
        <f t="shared" si="1"/>
        <v>CORRECT</v>
      </c>
      <c r="G7" s="40" t="s">
        <v>42</v>
      </c>
      <c r="H7" s="44" t="s">
        <v>42</v>
      </c>
      <c r="I7" s="43" t="s">
        <v>270</v>
      </c>
      <c r="J7" s="44"/>
    </row>
    <row r="8" ht="60.0" customHeight="1">
      <c r="A8" s="40">
        <v>5.0</v>
      </c>
      <c r="B8" s="41" t="s">
        <v>55</v>
      </c>
      <c r="C8" s="41" t="s">
        <v>56</v>
      </c>
      <c r="D8" s="41" t="s">
        <v>57</v>
      </c>
      <c r="E8" s="41" t="s">
        <v>58</v>
      </c>
      <c r="F8" s="40" t="str">
        <f t="shared" si="1"/>
        <v>CORRECT</v>
      </c>
      <c r="G8" s="40" t="s">
        <v>48</v>
      </c>
      <c r="H8" s="42" t="s">
        <v>48</v>
      </c>
      <c r="I8" s="43" t="s">
        <v>290</v>
      </c>
      <c r="J8" s="44"/>
    </row>
    <row r="9" ht="60.0" customHeight="1">
      <c r="A9" s="40">
        <v>6.0</v>
      </c>
      <c r="B9" s="41" t="s">
        <v>60</v>
      </c>
      <c r="C9" s="41" t="s">
        <v>61</v>
      </c>
      <c r="D9" s="41" t="s">
        <v>62</v>
      </c>
      <c r="E9" s="41" t="s">
        <v>63</v>
      </c>
      <c r="F9" s="40" t="str">
        <f t="shared" si="1"/>
        <v>CORRECT</v>
      </c>
      <c r="G9" s="40" t="s">
        <v>42</v>
      </c>
      <c r="H9" s="44" t="s">
        <v>42</v>
      </c>
      <c r="I9" s="43" t="s">
        <v>64</v>
      </c>
      <c r="J9" s="44"/>
    </row>
    <row r="10" ht="60.0" customHeight="1">
      <c r="A10" s="40">
        <v>7.0</v>
      </c>
      <c r="B10" s="41" t="s">
        <v>65</v>
      </c>
      <c r="C10" s="41" t="s">
        <v>66</v>
      </c>
      <c r="D10" s="41" t="s">
        <v>67</v>
      </c>
      <c r="E10" s="41" t="s">
        <v>68</v>
      </c>
      <c r="F10" s="40" t="str">
        <f t="shared" si="1"/>
        <v>WRONG</v>
      </c>
      <c r="G10" s="40" t="s">
        <v>42</v>
      </c>
      <c r="H10" s="44" t="s">
        <v>36</v>
      </c>
      <c r="I10" s="43" t="s">
        <v>291</v>
      </c>
      <c r="J10" s="44"/>
    </row>
    <row r="11" ht="60.0" customHeight="1">
      <c r="A11" s="40">
        <v>8.0</v>
      </c>
      <c r="B11" s="41" t="s">
        <v>70</v>
      </c>
      <c r="C11" s="41" t="s">
        <v>71</v>
      </c>
      <c r="D11" s="41" t="s">
        <v>72</v>
      </c>
      <c r="E11" s="41" t="s">
        <v>73</v>
      </c>
      <c r="F11" s="40" t="str">
        <f t="shared" si="1"/>
        <v>WRONG</v>
      </c>
      <c r="G11" s="40" t="s">
        <v>48</v>
      </c>
      <c r="H11" s="44" t="s">
        <v>42</v>
      </c>
      <c r="I11" s="43" t="s">
        <v>274</v>
      </c>
      <c r="J11" s="44"/>
    </row>
    <row r="12" ht="60.0" customHeight="1">
      <c r="A12" s="40">
        <v>9.0</v>
      </c>
      <c r="B12" s="41" t="s">
        <v>75</v>
      </c>
      <c r="C12" s="41" t="s">
        <v>76</v>
      </c>
      <c r="D12" s="41" t="s">
        <v>77</v>
      </c>
      <c r="E12" s="41" t="s">
        <v>78</v>
      </c>
      <c r="F12" s="40" t="str">
        <f t="shared" si="1"/>
        <v>CORRECT</v>
      </c>
      <c r="G12" s="40" t="s">
        <v>42</v>
      </c>
      <c r="H12" s="42" t="s">
        <v>42</v>
      </c>
      <c r="I12" s="43" t="s">
        <v>292</v>
      </c>
      <c r="J12" s="44"/>
    </row>
    <row r="13" ht="60.0" customHeight="1">
      <c r="A13" s="40">
        <v>10.0</v>
      </c>
      <c r="B13" s="41" t="s">
        <v>80</v>
      </c>
      <c r="C13" s="41" t="s">
        <v>81</v>
      </c>
      <c r="D13" s="41" t="s">
        <v>82</v>
      </c>
      <c r="E13" s="41" t="s">
        <v>83</v>
      </c>
      <c r="F13" s="40" t="str">
        <f t="shared" si="1"/>
        <v>CORRECT</v>
      </c>
      <c r="G13" s="40" t="s">
        <v>48</v>
      </c>
      <c r="H13" s="44" t="s">
        <v>48</v>
      </c>
      <c r="I13" s="43" t="s">
        <v>293</v>
      </c>
      <c r="J13" s="44"/>
    </row>
    <row r="14" ht="60.0" customHeight="1">
      <c r="A14" s="40">
        <v>11.0</v>
      </c>
      <c r="B14" s="41" t="s">
        <v>85</v>
      </c>
      <c r="C14" s="41" t="s">
        <v>86</v>
      </c>
      <c r="D14" s="41" t="s">
        <v>87</v>
      </c>
      <c r="E14" s="41" t="s">
        <v>88</v>
      </c>
      <c r="F14" s="40" t="str">
        <f t="shared" si="1"/>
        <v>WRONG</v>
      </c>
      <c r="G14" s="40" t="s">
        <v>42</v>
      </c>
      <c r="H14" s="42" t="s">
        <v>48</v>
      </c>
      <c r="I14" s="43" t="s">
        <v>277</v>
      </c>
      <c r="J14" s="44"/>
    </row>
    <row r="15" ht="60.0" customHeight="1">
      <c r="A15" s="40">
        <v>12.0</v>
      </c>
      <c r="B15" s="41" t="s">
        <v>90</v>
      </c>
      <c r="C15" s="41" t="s">
        <v>91</v>
      </c>
      <c r="D15" s="41" t="s">
        <v>92</v>
      </c>
      <c r="E15" s="41" t="s">
        <v>93</v>
      </c>
      <c r="F15" s="40" t="str">
        <f t="shared" si="1"/>
        <v>CORRECT</v>
      </c>
      <c r="G15" s="40" t="s">
        <v>48</v>
      </c>
      <c r="H15" s="44" t="s">
        <v>48</v>
      </c>
      <c r="I15" s="43" t="s">
        <v>294</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295</v>
      </c>
      <c r="J17" s="44"/>
    </row>
    <row r="18" ht="60.0" customHeight="1">
      <c r="A18" s="40">
        <v>15.0</v>
      </c>
      <c r="B18" s="41" t="s">
        <v>105</v>
      </c>
      <c r="C18" s="41" t="s">
        <v>106</v>
      </c>
      <c r="D18" s="41" t="s">
        <v>107</v>
      </c>
      <c r="E18" s="41" t="s">
        <v>108</v>
      </c>
      <c r="F18" s="40" t="str">
        <f t="shared" si="1"/>
        <v>CORRECT</v>
      </c>
      <c r="G18" s="40" t="s">
        <v>48</v>
      </c>
      <c r="H18" s="42" t="s">
        <v>48</v>
      </c>
      <c r="I18" s="43" t="s">
        <v>296</v>
      </c>
      <c r="J18" s="44"/>
    </row>
    <row r="19" ht="60.0" customHeight="1">
      <c r="A19" s="40">
        <v>16.0</v>
      </c>
      <c r="B19" s="41" t="s">
        <v>110</v>
      </c>
      <c r="C19" s="41" t="s">
        <v>111</v>
      </c>
      <c r="D19" s="41" t="s">
        <v>112</v>
      </c>
      <c r="E19" s="41" t="s">
        <v>113</v>
      </c>
      <c r="F19" s="40" t="str">
        <f t="shared" si="1"/>
        <v>CORRECT</v>
      </c>
      <c r="G19" s="40" t="s">
        <v>48</v>
      </c>
      <c r="H19" s="42" t="s">
        <v>48</v>
      </c>
      <c r="I19" s="43" t="s">
        <v>297</v>
      </c>
      <c r="J19" s="44"/>
    </row>
    <row r="20" ht="60.0" customHeight="1">
      <c r="A20" s="40">
        <v>17.0</v>
      </c>
      <c r="B20" s="41" t="s">
        <v>115</v>
      </c>
      <c r="C20" s="41" t="s">
        <v>116</v>
      </c>
      <c r="D20" s="41" t="s">
        <v>117</v>
      </c>
      <c r="E20" s="41" t="s">
        <v>118</v>
      </c>
      <c r="F20" s="40" t="str">
        <f t="shared" si="1"/>
        <v>WRONG</v>
      </c>
      <c r="G20" s="40" t="s">
        <v>42</v>
      </c>
      <c r="H20" s="44" t="s">
        <v>36</v>
      </c>
      <c r="I20" s="43" t="s">
        <v>298</v>
      </c>
      <c r="J20" s="44"/>
    </row>
    <row r="21" ht="60.0" customHeight="1">
      <c r="A21" s="40">
        <v>18.0</v>
      </c>
      <c r="B21" s="41" t="s">
        <v>120</v>
      </c>
      <c r="C21" s="41" t="s">
        <v>121</v>
      </c>
      <c r="D21" s="41" t="s">
        <v>122</v>
      </c>
      <c r="E21" s="41" t="s">
        <v>123</v>
      </c>
      <c r="F21" s="40" t="str">
        <f t="shared" si="1"/>
        <v>CORRECT</v>
      </c>
      <c r="G21" s="40" t="s">
        <v>42</v>
      </c>
      <c r="H21" s="44" t="s">
        <v>42</v>
      </c>
      <c r="I21" s="43" t="s">
        <v>299</v>
      </c>
      <c r="J21" s="44"/>
    </row>
    <row r="22" ht="60.0" customHeight="1">
      <c r="A22" s="40">
        <v>19.0</v>
      </c>
      <c r="B22" s="41" t="s">
        <v>125</v>
      </c>
      <c r="C22" s="41" t="s">
        <v>126</v>
      </c>
      <c r="D22" s="41" t="s">
        <v>127</v>
      </c>
      <c r="E22" s="41" t="s">
        <v>128</v>
      </c>
      <c r="F22" s="40" t="str">
        <f t="shared" si="1"/>
        <v>WRONG</v>
      </c>
      <c r="G22" s="40" t="s">
        <v>36</v>
      </c>
      <c r="H22" s="44" t="s">
        <v>48</v>
      </c>
      <c r="I22" s="43" t="s">
        <v>300</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139</v>
      </c>
      <c r="J24" s="44"/>
    </row>
    <row r="25" ht="60.0" customHeight="1">
      <c r="A25" s="40">
        <v>22.0</v>
      </c>
      <c r="B25" s="41" t="s">
        <v>140</v>
      </c>
      <c r="C25" s="41" t="s">
        <v>141</v>
      </c>
      <c r="D25" s="41" t="s">
        <v>142</v>
      </c>
      <c r="E25" s="41" t="s">
        <v>143</v>
      </c>
      <c r="F25" s="40" t="str">
        <f t="shared" si="1"/>
        <v>CORRECT</v>
      </c>
      <c r="G25" s="40" t="s">
        <v>42</v>
      </c>
      <c r="H25" s="44" t="s">
        <v>42</v>
      </c>
      <c r="I25" s="43" t="s">
        <v>301</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302</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303</v>
      </c>
      <c r="J29" s="44"/>
    </row>
    <row r="30" ht="60.0" customHeight="1">
      <c r="A30" s="40">
        <v>27.0</v>
      </c>
      <c r="B30" s="41" t="s">
        <v>163</v>
      </c>
      <c r="C30" s="41" t="s">
        <v>164</v>
      </c>
      <c r="D30" s="41" t="s">
        <v>165</v>
      </c>
      <c r="E30" s="41" t="s">
        <v>166</v>
      </c>
      <c r="F30" s="40" t="str">
        <f t="shared" si="1"/>
        <v>CORRECT</v>
      </c>
      <c r="G30" s="40" t="s">
        <v>42</v>
      </c>
      <c r="H30" s="44" t="s">
        <v>42</v>
      </c>
      <c r="I30" s="43" t="s">
        <v>304</v>
      </c>
      <c r="J30" s="44"/>
    </row>
    <row r="31" ht="60.0" customHeight="1">
      <c r="A31" s="40">
        <v>28.0</v>
      </c>
      <c r="B31" s="41" t="s">
        <v>168</v>
      </c>
      <c r="C31" s="41" t="s">
        <v>169</v>
      </c>
      <c r="D31" s="41" t="s">
        <v>170</v>
      </c>
      <c r="E31" s="41" t="s">
        <v>171</v>
      </c>
      <c r="F31" s="40" t="str">
        <f t="shared" si="1"/>
        <v>WRONG</v>
      </c>
      <c r="G31" s="40" t="s">
        <v>36</v>
      </c>
      <c r="H31" s="42" t="s">
        <v>48</v>
      </c>
      <c r="I31" s="43" t="s">
        <v>305</v>
      </c>
      <c r="J31" s="44"/>
    </row>
    <row r="32" ht="60.0" customHeight="1">
      <c r="A32" s="40">
        <v>29.0</v>
      </c>
      <c r="B32" s="41" t="s">
        <v>173</v>
      </c>
      <c r="C32" s="41" t="s">
        <v>174</v>
      </c>
      <c r="D32" s="41" t="s">
        <v>175</v>
      </c>
      <c r="E32" s="41" t="s">
        <v>176</v>
      </c>
      <c r="F32" s="40" t="str">
        <f t="shared" si="1"/>
        <v>CORRECT</v>
      </c>
      <c r="G32" s="40" t="s">
        <v>42</v>
      </c>
      <c r="H32" s="44" t="s">
        <v>42</v>
      </c>
      <c r="I32" s="43" t="s">
        <v>306</v>
      </c>
      <c r="J32" s="44"/>
    </row>
    <row r="33" ht="60.0" customHeight="1">
      <c r="A33" s="40">
        <v>30.0</v>
      </c>
      <c r="B33" s="41" t="s">
        <v>178</v>
      </c>
      <c r="C33" s="41" t="s">
        <v>179</v>
      </c>
      <c r="D33" s="41" t="s">
        <v>180</v>
      </c>
      <c r="E33" s="41" t="s">
        <v>181</v>
      </c>
      <c r="F33" s="40" t="str">
        <f t="shared" si="1"/>
        <v>WRONG</v>
      </c>
      <c r="G33" s="40" t="s">
        <v>48</v>
      </c>
      <c r="H33" s="44" t="s">
        <v>36</v>
      </c>
      <c r="I33" s="43" t="s">
        <v>307</v>
      </c>
      <c r="J33" s="44"/>
    </row>
    <row r="34" ht="60.0" customHeight="1">
      <c r="A34" s="40">
        <v>31.0</v>
      </c>
      <c r="B34" s="41" t="s">
        <v>183</v>
      </c>
      <c r="C34" s="41" t="s">
        <v>184</v>
      </c>
      <c r="D34" s="41" t="s">
        <v>185</v>
      </c>
      <c r="E34" s="41" t="s">
        <v>186</v>
      </c>
      <c r="F34" s="40" t="str">
        <f t="shared" si="1"/>
        <v>WRONG</v>
      </c>
      <c r="G34" s="40" t="s">
        <v>42</v>
      </c>
      <c r="H34" s="44" t="s">
        <v>36</v>
      </c>
      <c r="I34" s="43" t="s">
        <v>308</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309</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310</v>
      </c>
      <c r="J40" s="44"/>
    </row>
    <row r="41" ht="60.0" customHeight="1">
      <c r="A41" s="40">
        <v>38.0</v>
      </c>
      <c r="B41" s="41" t="s">
        <v>218</v>
      </c>
      <c r="C41" s="41" t="s">
        <v>219</v>
      </c>
      <c r="D41" s="41" t="s">
        <v>220</v>
      </c>
      <c r="E41" s="41" t="s">
        <v>221</v>
      </c>
      <c r="F41" s="40" t="str">
        <f t="shared" si="1"/>
        <v>CORRECT</v>
      </c>
      <c r="G41" s="40" t="s">
        <v>36</v>
      </c>
      <c r="H41" s="44" t="s">
        <v>36</v>
      </c>
      <c r="I41" s="43" t="s">
        <v>311</v>
      </c>
      <c r="J41" s="44"/>
    </row>
    <row r="42" ht="60.0" customHeight="1">
      <c r="A42" s="40">
        <v>39.0</v>
      </c>
      <c r="B42" s="41" t="s">
        <v>223</v>
      </c>
      <c r="C42" s="41" t="s">
        <v>224</v>
      </c>
      <c r="D42" s="41" t="s">
        <v>225</v>
      </c>
      <c r="E42" s="41" t="s">
        <v>226</v>
      </c>
      <c r="F42" s="40" t="str">
        <f t="shared" si="1"/>
        <v>WRONG</v>
      </c>
      <c r="G42" s="40" t="s">
        <v>42</v>
      </c>
      <c r="H42" s="44" t="s">
        <v>48</v>
      </c>
      <c r="I42" s="43" t="s">
        <v>312</v>
      </c>
      <c r="J42" s="44"/>
    </row>
    <row r="43" ht="60.0" customHeight="1">
      <c r="A43" s="40">
        <v>40.0</v>
      </c>
      <c r="B43" s="41" t="s">
        <v>228</v>
      </c>
      <c r="C43" s="41" t="s">
        <v>229</v>
      </c>
      <c r="D43" s="41" t="s">
        <v>230</v>
      </c>
      <c r="E43" s="41" t="s">
        <v>231</v>
      </c>
      <c r="F43" s="40" t="str">
        <f t="shared" si="1"/>
        <v>WRONG</v>
      </c>
      <c r="G43" s="40" t="s">
        <v>48</v>
      </c>
      <c r="H43" s="42" t="s">
        <v>42</v>
      </c>
      <c r="I43" s="43" t="s">
        <v>313</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314</v>
      </c>
      <c r="J45" s="44"/>
    </row>
    <row r="46" ht="60.0" customHeight="1">
      <c r="A46" s="40">
        <v>43.0</v>
      </c>
      <c r="B46" s="41" t="s">
        <v>243</v>
      </c>
      <c r="C46" s="41" t="s">
        <v>244</v>
      </c>
      <c r="D46" s="41" t="s">
        <v>245</v>
      </c>
      <c r="E46" s="41" t="s">
        <v>246</v>
      </c>
      <c r="F46" s="40" t="str">
        <f t="shared" si="1"/>
        <v>WRONG</v>
      </c>
      <c r="G46" s="40" t="s">
        <v>48</v>
      </c>
      <c r="H46" s="44" t="s">
        <v>36</v>
      </c>
      <c r="I46" s="43" t="s">
        <v>284</v>
      </c>
      <c r="J46" s="44"/>
    </row>
    <row r="47" ht="60.0" customHeight="1">
      <c r="A47" s="40">
        <v>44.0</v>
      </c>
      <c r="B47" s="41" t="s">
        <v>248</v>
      </c>
      <c r="C47" s="41" t="s">
        <v>249</v>
      </c>
      <c r="D47" s="41" t="s">
        <v>250</v>
      </c>
      <c r="E47" s="41" t="s">
        <v>251</v>
      </c>
      <c r="F47" s="40" t="str">
        <f t="shared" si="1"/>
        <v>CORRECT</v>
      </c>
      <c r="G47" s="40" t="s">
        <v>36</v>
      </c>
      <c r="H47" s="42" t="s">
        <v>36</v>
      </c>
      <c r="I47" s="43" t="s">
        <v>285</v>
      </c>
      <c r="J47" s="44"/>
    </row>
    <row r="48" ht="60.0" customHeight="1">
      <c r="A48" s="40">
        <v>45.0</v>
      </c>
      <c r="B48" s="41" t="s">
        <v>253</v>
      </c>
      <c r="C48" s="41" t="s">
        <v>254</v>
      </c>
      <c r="D48" s="41" t="s">
        <v>255</v>
      </c>
      <c r="E48" s="41" t="s">
        <v>256</v>
      </c>
      <c r="F48" s="40" t="str">
        <f t="shared" si="1"/>
        <v>CORRECT</v>
      </c>
      <c r="G48" s="40" t="s">
        <v>36</v>
      </c>
      <c r="H48" s="44" t="s">
        <v>36</v>
      </c>
      <c r="I48" s="43" t="s">
        <v>315</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5" t="s">
        <v>262</v>
      </c>
      <c r="B50" s="2"/>
      <c r="C50" s="2"/>
      <c r="D50" s="2"/>
      <c r="E50" s="3"/>
      <c r="F50" s="46">
        <f>COUNTIFS(F4:F49,"CORRECT")</f>
        <v>28</v>
      </c>
      <c r="G50" s="47"/>
      <c r="H50" s="47"/>
      <c r="J50" s="48" t="str">
        <f>AVERAGE(J4:J49)</f>
        <v>#DIV/0!</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316</v>
      </c>
      <c r="C2" s="2"/>
      <c r="D2" s="2"/>
      <c r="E2" s="2"/>
      <c r="F2" s="2"/>
      <c r="G2" s="2"/>
      <c r="H2" s="3"/>
      <c r="I2" s="38" t="s">
        <v>317</v>
      </c>
      <c r="J2" s="3"/>
      <c r="K2" s="35"/>
      <c r="L2" s="35"/>
      <c r="M2" s="35"/>
      <c r="N2" s="53" t="s">
        <v>318</v>
      </c>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2" t="s">
        <v>42</v>
      </c>
      <c r="I5" s="43" t="s">
        <v>268</v>
      </c>
      <c r="J5" s="44"/>
    </row>
    <row r="6" ht="60.0" customHeight="1">
      <c r="A6" s="40">
        <v>3.0</v>
      </c>
      <c r="B6" s="41" t="s">
        <v>44</v>
      </c>
      <c r="C6" s="41" t="s">
        <v>45</v>
      </c>
      <c r="D6" s="41" t="s">
        <v>46</v>
      </c>
      <c r="E6" s="41" t="s">
        <v>47</v>
      </c>
      <c r="F6" s="40" t="str">
        <f t="shared" si="1"/>
        <v>CORRECT</v>
      </c>
      <c r="G6" s="40" t="s">
        <v>48</v>
      </c>
      <c r="H6" s="42" t="s">
        <v>48</v>
      </c>
      <c r="I6" s="43" t="s">
        <v>269</v>
      </c>
      <c r="J6" s="44"/>
    </row>
    <row r="7" ht="60.0" customHeight="1">
      <c r="A7" s="40">
        <v>4.0</v>
      </c>
      <c r="B7" s="41" t="s">
        <v>50</v>
      </c>
      <c r="C7" s="41" t="s">
        <v>51</v>
      </c>
      <c r="D7" s="41" t="s">
        <v>52</v>
      </c>
      <c r="E7" s="41" t="s">
        <v>53</v>
      </c>
      <c r="F7" s="40" t="str">
        <f t="shared" si="1"/>
        <v>CORRECT</v>
      </c>
      <c r="G7" s="40" t="s">
        <v>42</v>
      </c>
      <c r="H7" s="44" t="s">
        <v>42</v>
      </c>
      <c r="I7" s="43" t="s">
        <v>270</v>
      </c>
      <c r="J7" s="44"/>
    </row>
    <row r="8" ht="60.0" customHeight="1">
      <c r="A8" s="40">
        <v>5.0</v>
      </c>
      <c r="B8" s="41" t="s">
        <v>55</v>
      </c>
      <c r="C8" s="41" t="s">
        <v>56</v>
      </c>
      <c r="D8" s="41" t="s">
        <v>57</v>
      </c>
      <c r="E8" s="41" t="s">
        <v>58</v>
      </c>
      <c r="F8" s="40" t="str">
        <f t="shared" si="1"/>
        <v>CORRECT</v>
      </c>
      <c r="G8" s="40" t="s">
        <v>48</v>
      </c>
      <c r="H8" s="42" t="s">
        <v>48</v>
      </c>
      <c r="I8" s="43" t="s">
        <v>319</v>
      </c>
      <c r="J8" s="44"/>
    </row>
    <row r="9" ht="60.0" customHeight="1">
      <c r="A9" s="40">
        <v>6.0</v>
      </c>
      <c r="B9" s="41" t="s">
        <v>60</v>
      </c>
      <c r="C9" s="41" t="s">
        <v>61</v>
      </c>
      <c r="D9" s="41" t="s">
        <v>62</v>
      </c>
      <c r="E9" s="41" t="s">
        <v>63</v>
      </c>
      <c r="F9" s="40" t="str">
        <f t="shared" si="1"/>
        <v>CORRECT</v>
      </c>
      <c r="G9" s="40" t="s">
        <v>42</v>
      </c>
      <c r="H9" s="44" t="s">
        <v>42</v>
      </c>
      <c r="I9" s="43" t="s">
        <v>320</v>
      </c>
      <c r="J9" s="44"/>
    </row>
    <row r="10" ht="60.0" customHeight="1">
      <c r="A10" s="40">
        <v>7.0</v>
      </c>
      <c r="B10" s="41" t="s">
        <v>65</v>
      </c>
      <c r="C10" s="41" t="s">
        <v>66</v>
      </c>
      <c r="D10" s="41" t="s">
        <v>67</v>
      </c>
      <c r="E10" s="41" t="s">
        <v>68</v>
      </c>
      <c r="F10" s="40" t="str">
        <f t="shared" si="1"/>
        <v>WRONG</v>
      </c>
      <c r="G10" s="40" t="s">
        <v>42</v>
      </c>
      <c r="H10" s="44" t="s">
        <v>36</v>
      </c>
      <c r="I10" s="43" t="s">
        <v>273</v>
      </c>
      <c r="J10" s="44"/>
    </row>
    <row r="11" ht="60.0" customHeight="1">
      <c r="A11" s="40">
        <v>8.0</v>
      </c>
      <c r="B11" s="41" t="s">
        <v>70</v>
      </c>
      <c r="C11" s="41" t="s">
        <v>71</v>
      </c>
      <c r="D11" s="41" t="s">
        <v>72</v>
      </c>
      <c r="E11" s="41" t="s">
        <v>73</v>
      </c>
      <c r="F11" s="40" t="str">
        <f t="shared" si="1"/>
        <v>CORRECT</v>
      </c>
      <c r="G11" s="40" t="s">
        <v>48</v>
      </c>
      <c r="H11" s="44" t="s">
        <v>48</v>
      </c>
      <c r="I11" s="43" t="s">
        <v>321</v>
      </c>
      <c r="J11" s="44"/>
    </row>
    <row r="12" ht="60.0" customHeight="1">
      <c r="A12" s="40">
        <v>9.0</v>
      </c>
      <c r="B12" s="41" t="s">
        <v>75</v>
      </c>
      <c r="C12" s="41" t="s">
        <v>76</v>
      </c>
      <c r="D12" s="41" t="s">
        <v>77</v>
      </c>
      <c r="E12" s="41" t="s">
        <v>78</v>
      </c>
      <c r="F12" s="40" t="str">
        <f t="shared" si="1"/>
        <v>WRONG</v>
      </c>
      <c r="G12" s="40" t="s">
        <v>42</v>
      </c>
      <c r="H12" s="44" t="s">
        <v>48</v>
      </c>
      <c r="I12" s="43" t="s">
        <v>275</v>
      </c>
      <c r="J12" s="44"/>
    </row>
    <row r="13" ht="60.0" customHeight="1">
      <c r="A13" s="40">
        <v>10.0</v>
      </c>
      <c r="B13" s="41" t="s">
        <v>80</v>
      </c>
      <c r="C13" s="41" t="s">
        <v>81</v>
      </c>
      <c r="D13" s="41" t="s">
        <v>82</v>
      </c>
      <c r="E13" s="41" t="s">
        <v>83</v>
      </c>
      <c r="F13" s="40" t="str">
        <f t="shared" si="1"/>
        <v>CORRECT</v>
      </c>
      <c r="G13" s="40" t="s">
        <v>48</v>
      </c>
      <c r="H13" s="44" t="s">
        <v>48</v>
      </c>
      <c r="I13" s="43" t="s">
        <v>276</v>
      </c>
      <c r="J13" s="44"/>
    </row>
    <row r="14" ht="60.0" customHeight="1">
      <c r="A14" s="40">
        <v>11.0</v>
      </c>
      <c r="B14" s="41" t="s">
        <v>85</v>
      </c>
      <c r="C14" s="41" t="s">
        <v>86</v>
      </c>
      <c r="D14" s="41" t="s">
        <v>87</v>
      </c>
      <c r="E14" s="41" t="s">
        <v>88</v>
      </c>
      <c r="F14" s="40" t="str">
        <f t="shared" si="1"/>
        <v>WRONG</v>
      </c>
      <c r="G14" s="40" t="s">
        <v>42</v>
      </c>
      <c r="H14" s="42" t="s">
        <v>48</v>
      </c>
      <c r="I14" s="43" t="s">
        <v>277</v>
      </c>
      <c r="J14" s="44"/>
    </row>
    <row r="15" ht="60.0" customHeight="1">
      <c r="A15" s="40">
        <v>12.0</v>
      </c>
      <c r="B15" s="41" t="s">
        <v>90</v>
      </c>
      <c r="C15" s="41" t="s">
        <v>91</v>
      </c>
      <c r="D15" s="41" t="s">
        <v>92</v>
      </c>
      <c r="E15" s="41" t="s">
        <v>93</v>
      </c>
      <c r="F15" s="40" t="str">
        <f t="shared" si="1"/>
        <v>CORRECT</v>
      </c>
      <c r="G15" s="40" t="s">
        <v>48</v>
      </c>
      <c r="H15" s="44" t="s">
        <v>48</v>
      </c>
      <c r="I15" s="43" t="s">
        <v>278</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109</v>
      </c>
      <c r="J18" s="44"/>
    </row>
    <row r="19" ht="60.0" customHeight="1">
      <c r="A19" s="40">
        <v>16.0</v>
      </c>
      <c r="B19" s="41" t="s">
        <v>110</v>
      </c>
      <c r="C19" s="41" t="s">
        <v>111</v>
      </c>
      <c r="D19" s="41" t="s">
        <v>112</v>
      </c>
      <c r="E19" s="41" t="s">
        <v>113</v>
      </c>
      <c r="F19" s="40" t="str">
        <f t="shared" si="1"/>
        <v>CORRECT</v>
      </c>
      <c r="G19" s="40" t="s">
        <v>48</v>
      </c>
      <c r="H19" s="42" t="s">
        <v>48</v>
      </c>
      <c r="I19" s="43" t="s">
        <v>322</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323</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282</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4"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202</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4" t="s">
        <v>36</v>
      </c>
      <c r="I41" s="43" t="s">
        <v>311</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WRONG</v>
      </c>
      <c r="G43" s="40" t="s">
        <v>48</v>
      </c>
      <c r="H43" s="42" t="s">
        <v>42</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284</v>
      </c>
      <c r="J46" s="44"/>
    </row>
    <row r="47" ht="60.0" customHeight="1">
      <c r="A47" s="40">
        <v>44.0</v>
      </c>
      <c r="B47" s="41" t="s">
        <v>248</v>
      </c>
      <c r="C47" s="41" t="s">
        <v>249</v>
      </c>
      <c r="D47" s="41" t="s">
        <v>250</v>
      </c>
      <c r="E47" s="41" t="s">
        <v>251</v>
      </c>
      <c r="F47" s="40" t="str">
        <f t="shared" si="1"/>
        <v>CORRECT</v>
      </c>
      <c r="G47" s="40" t="s">
        <v>36</v>
      </c>
      <c r="H47" s="42" t="s">
        <v>36</v>
      </c>
      <c r="I47" s="43" t="s">
        <v>285</v>
      </c>
      <c r="J47" s="44"/>
    </row>
    <row r="48" ht="60.0" customHeight="1">
      <c r="A48" s="40">
        <v>45.0</v>
      </c>
      <c r="B48" s="41" t="s">
        <v>253</v>
      </c>
      <c r="C48" s="41" t="s">
        <v>254</v>
      </c>
      <c r="D48" s="41" t="s">
        <v>255</v>
      </c>
      <c r="E48" s="41" t="s">
        <v>256</v>
      </c>
      <c r="F48" s="40" t="str">
        <f t="shared" si="1"/>
        <v>CORRECT</v>
      </c>
      <c r="G48" s="40" t="s">
        <v>36</v>
      </c>
      <c r="H48" s="44" t="s">
        <v>36</v>
      </c>
      <c r="I48" s="43" t="s">
        <v>257</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5" t="s">
        <v>262</v>
      </c>
      <c r="B50" s="2"/>
      <c r="C50" s="2"/>
      <c r="D50" s="2"/>
      <c r="E50" s="3"/>
      <c r="F50" s="46">
        <f>COUNTIFS(F4:F49,"CORRECT")</f>
        <v>28</v>
      </c>
      <c r="G50" s="47"/>
      <c r="H50" s="47"/>
      <c r="J50" s="48" t="str">
        <f>AVERAGE(J4:J49)</f>
        <v>#DIV/0!</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324</v>
      </c>
      <c r="C2" s="2"/>
      <c r="D2" s="2"/>
      <c r="E2" s="2"/>
      <c r="F2" s="2"/>
      <c r="G2" s="2"/>
      <c r="H2" s="3"/>
      <c r="I2" s="38" t="s">
        <v>325</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2" t="s">
        <v>42</v>
      </c>
      <c r="I5" s="43" t="s">
        <v>326</v>
      </c>
      <c r="J5" s="44"/>
    </row>
    <row r="6" ht="60.0" customHeight="1">
      <c r="A6" s="40">
        <v>3.0</v>
      </c>
      <c r="B6" s="41" t="s">
        <v>44</v>
      </c>
      <c r="C6" s="41" t="s">
        <v>45</v>
      </c>
      <c r="D6" s="41" t="s">
        <v>46</v>
      </c>
      <c r="E6" s="41" t="s">
        <v>47</v>
      </c>
      <c r="F6" s="40" t="str">
        <f t="shared" si="1"/>
        <v>CORRECT</v>
      </c>
      <c r="G6" s="40" t="s">
        <v>48</v>
      </c>
      <c r="H6" s="42" t="s">
        <v>48</v>
      </c>
      <c r="I6" s="43" t="s">
        <v>327</v>
      </c>
      <c r="J6" s="44"/>
    </row>
    <row r="7" ht="60.0" customHeight="1">
      <c r="A7" s="40">
        <v>4.0</v>
      </c>
      <c r="B7" s="41" t="s">
        <v>50</v>
      </c>
      <c r="C7" s="41" t="s">
        <v>51</v>
      </c>
      <c r="D7" s="41" t="s">
        <v>52</v>
      </c>
      <c r="E7" s="41" t="s">
        <v>53</v>
      </c>
      <c r="F7" s="40" t="str">
        <f t="shared" si="1"/>
        <v>CORRECT</v>
      </c>
      <c r="G7" s="40" t="s">
        <v>42</v>
      </c>
      <c r="H7" s="44" t="s">
        <v>42</v>
      </c>
      <c r="I7" s="43" t="s">
        <v>270</v>
      </c>
      <c r="J7" s="44"/>
    </row>
    <row r="8" ht="60.0" customHeight="1">
      <c r="A8" s="40">
        <v>5.0</v>
      </c>
      <c r="B8" s="41" t="s">
        <v>55</v>
      </c>
      <c r="C8" s="41" t="s">
        <v>56</v>
      </c>
      <c r="D8" s="41" t="s">
        <v>57</v>
      </c>
      <c r="E8" s="41" t="s">
        <v>58</v>
      </c>
      <c r="F8" s="40" t="str">
        <f t="shared" si="1"/>
        <v>CORRECT</v>
      </c>
      <c r="G8" s="40" t="s">
        <v>48</v>
      </c>
      <c r="H8" s="42" t="s">
        <v>48</v>
      </c>
      <c r="I8" s="43" t="s">
        <v>328</v>
      </c>
      <c r="J8" s="44"/>
    </row>
    <row r="9" ht="60.0" customHeight="1">
      <c r="A9" s="40">
        <v>6.0</v>
      </c>
      <c r="B9" s="41" t="s">
        <v>60</v>
      </c>
      <c r="C9" s="41" t="s">
        <v>61</v>
      </c>
      <c r="D9" s="41" t="s">
        <v>62</v>
      </c>
      <c r="E9" s="41" t="s">
        <v>63</v>
      </c>
      <c r="F9" s="40" t="str">
        <f t="shared" si="1"/>
        <v>CORRECT</v>
      </c>
      <c r="G9" s="40" t="s">
        <v>42</v>
      </c>
      <c r="H9" s="44" t="s">
        <v>42</v>
      </c>
      <c r="I9" s="43" t="s">
        <v>329</v>
      </c>
      <c r="J9" s="44"/>
    </row>
    <row r="10" ht="60.0" customHeight="1">
      <c r="A10" s="40">
        <v>7.0</v>
      </c>
      <c r="B10" s="41" t="s">
        <v>65</v>
      </c>
      <c r="C10" s="41" t="s">
        <v>66</v>
      </c>
      <c r="D10" s="41" t="s">
        <v>67</v>
      </c>
      <c r="E10" s="41" t="s">
        <v>68</v>
      </c>
      <c r="F10" s="40" t="str">
        <f t="shared" si="1"/>
        <v>WRONG</v>
      </c>
      <c r="G10" s="40" t="s">
        <v>42</v>
      </c>
      <c r="H10" s="44" t="s">
        <v>36</v>
      </c>
      <c r="I10" s="43" t="s">
        <v>330</v>
      </c>
      <c r="J10" s="44"/>
    </row>
    <row r="11" ht="60.0" customHeight="1">
      <c r="A11" s="40">
        <v>8.0</v>
      </c>
      <c r="B11" s="41" t="s">
        <v>70</v>
      </c>
      <c r="C11" s="41" t="s">
        <v>71</v>
      </c>
      <c r="D11" s="41" t="s">
        <v>72</v>
      </c>
      <c r="E11" s="41" t="s">
        <v>73</v>
      </c>
      <c r="F11" s="40" t="str">
        <f t="shared" si="1"/>
        <v>CORRECT</v>
      </c>
      <c r="G11" s="40" t="s">
        <v>48</v>
      </c>
      <c r="H11" s="44" t="s">
        <v>48</v>
      </c>
      <c r="I11" s="43" t="s">
        <v>331</v>
      </c>
      <c r="J11" s="44"/>
    </row>
    <row r="12" ht="60.0" customHeight="1">
      <c r="A12" s="40">
        <v>9.0</v>
      </c>
      <c r="B12" s="41" t="s">
        <v>75</v>
      </c>
      <c r="C12" s="41" t="s">
        <v>76</v>
      </c>
      <c r="D12" s="41" t="s">
        <v>77</v>
      </c>
      <c r="E12" s="41" t="s">
        <v>78</v>
      </c>
      <c r="F12" s="40" t="str">
        <f t="shared" si="1"/>
        <v>WRONG</v>
      </c>
      <c r="G12" s="40" t="s">
        <v>42</v>
      </c>
      <c r="H12" s="44" t="s">
        <v>48</v>
      </c>
      <c r="I12" s="43" t="s">
        <v>332</v>
      </c>
      <c r="J12" s="44"/>
    </row>
    <row r="13" ht="60.0" customHeight="1">
      <c r="A13" s="40">
        <v>10.0</v>
      </c>
      <c r="B13" s="41" t="s">
        <v>80</v>
      </c>
      <c r="C13" s="41" t="s">
        <v>81</v>
      </c>
      <c r="D13" s="41" t="s">
        <v>82</v>
      </c>
      <c r="E13" s="41" t="s">
        <v>83</v>
      </c>
      <c r="F13" s="40" t="str">
        <f t="shared" si="1"/>
        <v>CORRECT</v>
      </c>
      <c r="G13" s="40" t="s">
        <v>48</v>
      </c>
      <c r="H13" s="44" t="s">
        <v>48</v>
      </c>
      <c r="I13" s="43" t="s">
        <v>333</v>
      </c>
      <c r="J13" s="44"/>
    </row>
    <row r="14" ht="60.0" customHeight="1">
      <c r="A14" s="40">
        <v>11.0</v>
      </c>
      <c r="B14" s="41" t="s">
        <v>85</v>
      </c>
      <c r="C14" s="41" t="s">
        <v>86</v>
      </c>
      <c r="D14" s="41" t="s">
        <v>87</v>
      </c>
      <c r="E14" s="41" t="s">
        <v>88</v>
      </c>
      <c r="F14" s="40" t="str">
        <f t="shared" si="1"/>
        <v>WRONG</v>
      </c>
      <c r="G14" s="40" t="s">
        <v>42</v>
      </c>
      <c r="H14" s="44" t="s">
        <v>48</v>
      </c>
      <c r="I14" s="43" t="s">
        <v>277</v>
      </c>
      <c r="J14" s="44"/>
    </row>
    <row r="15" ht="60.0" customHeight="1">
      <c r="A15" s="40">
        <v>12.0</v>
      </c>
      <c r="B15" s="41" t="s">
        <v>90</v>
      </c>
      <c r="C15" s="41" t="s">
        <v>91</v>
      </c>
      <c r="D15" s="41" t="s">
        <v>92</v>
      </c>
      <c r="E15" s="41" t="s">
        <v>93</v>
      </c>
      <c r="F15" s="40" t="str">
        <f t="shared" si="1"/>
        <v>CORRECT</v>
      </c>
      <c r="G15" s="40" t="s">
        <v>48</v>
      </c>
      <c r="H15" s="44" t="s">
        <v>48</v>
      </c>
      <c r="I15" s="43" t="s">
        <v>334</v>
      </c>
      <c r="J15" s="44"/>
    </row>
    <row r="16" ht="60.0" customHeight="1">
      <c r="A16" s="40">
        <v>13.0</v>
      </c>
      <c r="B16" s="41" t="s">
        <v>95</v>
      </c>
      <c r="C16" s="41" t="s">
        <v>96</v>
      </c>
      <c r="D16" s="41" t="s">
        <v>97</v>
      </c>
      <c r="E16" s="41" t="s">
        <v>98</v>
      </c>
      <c r="F16" s="40" t="str">
        <f t="shared" si="1"/>
        <v>CORRECT</v>
      </c>
      <c r="G16" s="40" t="s">
        <v>36</v>
      </c>
      <c r="H16" s="44" t="s">
        <v>36</v>
      </c>
      <c r="I16" s="43" t="s">
        <v>335</v>
      </c>
      <c r="J16" s="44"/>
    </row>
    <row r="17" ht="60.0" customHeight="1">
      <c r="A17" s="40">
        <v>14.0</v>
      </c>
      <c r="B17" s="41" t="s">
        <v>100</v>
      </c>
      <c r="C17" s="41" t="s">
        <v>101</v>
      </c>
      <c r="D17" s="41" t="s">
        <v>102</v>
      </c>
      <c r="E17" s="41" t="s">
        <v>103</v>
      </c>
      <c r="F17" s="40" t="str">
        <f t="shared" si="1"/>
        <v>WRONG</v>
      </c>
      <c r="G17" s="40" t="s">
        <v>36</v>
      </c>
      <c r="H17" s="42" t="s">
        <v>48</v>
      </c>
      <c r="I17" s="43" t="s">
        <v>336</v>
      </c>
      <c r="J17" s="44"/>
    </row>
    <row r="18" ht="60.0" customHeight="1">
      <c r="A18" s="40">
        <v>15.0</v>
      </c>
      <c r="B18" s="41" t="s">
        <v>105</v>
      </c>
      <c r="C18" s="41" t="s">
        <v>106</v>
      </c>
      <c r="D18" s="41" t="s">
        <v>107</v>
      </c>
      <c r="E18" s="41" t="s">
        <v>108</v>
      </c>
      <c r="F18" s="40" t="str">
        <f t="shared" si="1"/>
        <v>CORRECT</v>
      </c>
      <c r="G18" s="40" t="s">
        <v>48</v>
      </c>
      <c r="H18" s="42" t="s">
        <v>48</v>
      </c>
      <c r="I18" s="43" t="s">
        <v>337</v>
      </c>
      <c r="J18" s="44"/>
    </row>
    <row r="19" ht="60.0" customHeight="1">
      <c r="A19" s="40">
        <v>16.0</v>
      </c>
      <c r="B19" s="41" t="s">
        <v>110</v>
      </c>
      <c r="C19" s="41" t="s">
        <v>111</v>
      </c>
      <c r="D19" s="41" t="s">
        <v>112</v>
      </c>
      <c r="E19" s="41" t="s">
        <v>113</v>
      </c>
      <c r="F19" s="40" t="str">
        <f t="shared" si="1"/>
        <v>CORRECT</v>
      </c>
      <c r="G19" s="40" t="s">
        <v>48</v>
      </c>
      <c r="H19" s="42" t="s">
        <v>48</v>
      </c>
      <c r="I19" s="43" t="s">
        <v>338</v>
      </c>
      <c r="J19" s="44"/>
    </row>
    <row r="20" ht="60.0" customHeight="1">
      <c r="A20" s="40">
        <v>17.0</v>
      </c>
      <c r="B20" s="41" t="s">
        <v>115</v>
      </c>
      <c r="C20" s="41" t="s">
        <v>116</v>
      </c>
      <c r="D20" s="41" t="s">
        <v>117</v>
      </c>
      <c r="E20" s="41" t="s">
        <v>118</v>
      </c>
      <c r="F20" s="40" t="str">
        <f t="shared" si="1"/>
        <v>WRONG</v>
      </c>
      <c r="G20" s="40" t="s">
        <v>42</v>
      </c>
      <c r="H20" s="44" t="s">
        <v>36</v>
      </c>
      <c r="I20" s="43" t="s">
        <v>298</v>
      </c>
      <c r="J20" s="44"/>
    </row>
    <row r="21" ht="60.0" customHeight="1">
      <c r="A21" s="40">
        <v>18.0</v>
      </c>
      <c r="B21" s="41" t="s">
        <v>120</v>
      </c>
      <c r="C21" s="41" t="s">
        <v>121</v>
      </c>
      <c r="D21" s="41" t="s">
        <v>122</v>
      </c>
      <c r="E21" s="41" t="s">
        <v>123</v>
      </c>
      <c r="F21" s="40" t="str">
        <f t="shared" si="1"/>
        <v>CORRECT</v>
      </c>
      <c r="G21" s="40" t="s">
        <v>42</v>
      </c>
      <c r="H21" s="44" t="s">
        <v>42</v>
      </c>
      <c r="I21" s="43" t="s">
        <v>339</v>
      </c>
      <c r="J21" s="44"/>
    </row>
    <row r="22" ht="60.0" customHeight="1">
      <c r="A22" s="40">
        <v>19.0</v>
      </c>
      <c r="B22" s="41" t="s">
        <v>125</v>
      </c>
      <c r="C22" s="41" t="s">
        <v>126</v>
      </c>
      <c r="D22" s="41" t="s">
        <v>127</v>
      </c>
      <c r="E22" s="41" t="s">
        <v>128</v>
      </c>
      <c r="F22" s="40" t="str">
        <f t="shared" si="1"/>
        <v>WRONG</v>
      </c>
      <c r="G22" s="40" t="s">
        <v>36</v>
      </c>
      <c r="H22" s="42" t="s">
        <v>48</v>
      </c>
      <c r="I22" s="43" t="s">
        <v>340</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341</v>
      </c>
      <c r="J24" s="44"/>
    </row>
    <row r="25" ht="60.0" customHeight="1">
      <c r="A25" s="40">
        <v>22.0</v>
      </c>
      <c r="B25" s="41" t="s">
        <v>140</v>
      </c>
      <c r="C25" s="41" t="s">
        <v>141</v>
      </c>
      <c r="D25" s="41" t="s">
        <v>142</v>
      </c>
      <c r="E25" s="41" t="s">
        <v>143</v>
      </c>
      <c r="F25" s="40" t="str">
        <f t="shared" si="1"/>
        <v>CORRECT</v>
      </c>
      <c r="G25" s="40" t="s">
        <v>42</v>
      </c>
      <c r="H25" s="44" t="s">
        <v>42</v>
      </c>
      <c r="I25" s="43" t="s">
        <v>342</v>
      </c>
      <c r="J25" s="44"/>
    </row>
    <row r="26" ht="60.0" customHeight="1">
      <c r="A26" s="40">
        <v>23.0</v>
      </c>
      <c r="B26" s="41" t="s">
        <v>145</v>
      </c>
      <c r="C26" s="41" t="s">
        <v>146</v>
      </c>
      <c r="D26" s="41" t="s">
        <v>147</v>
      </c>
      <c r="E26" s="41" t="s">
        <v>148</v>
      </c>
      <c r="F26" s="40" t="str">
        <f t="shared" si="1"/>
        <v>CORRECT</v>
      </c>
      <c r="G26" s="40" t="s">
        <v>48</v>
      </c>
      <c r="H26" s="44" t="s">
        <v>48</v>
      </c>
      <c r="I26" s="43" t="s">
        <v>343</v>
      </c>
      <c r="J26" s="44"/>
    </row>
    <row r="27" ht="60.0" customHeight="1">
      <c r="A27" s="40">
        <v>24.0</v>
      </c>
      <c r="B27" s="41" t="s">
        <v>150</v>
      </c>
      <c r="C27" s="41" t="s">
        <v>151</v>
      </c>
      <c r="D27" s="41" t="s">
        <v>152</v>
      </c>
      <c r="E27" s="41" t="s">
        <v>153</v>
      </c>
      <c r="F27" s="40" t="str">
        <f t="shared" si="1"/>
        <v>CORRECT</v>
      </c>
      <c r="G27" s="40" t="s">
        <v>36</v>
      </c>
      <c r="H27" s="44" t="s">
        <v>36</v>
      </c>
      <c r="I27" s="43" t="s">
        <v>344</v>
      </c>
      <c r="J27" s="44"/>
    </row>
    <row r="28" ht="60.0" customHeight="1">
      <c r="A28" s="40">
        <v>25.0</v>
      </c>
      <c r="B28" s="41" t="s">
        <v>155</v>
      </c>
      <c r="C28" s="41" t="s">
        <v>151</v>
      </c>
      <c r="D28" s="41" t="s">
        <v>156</v>
      </c>
      <c r="E28" s="41" t="s">
        <v>153</v>
      </c>
      <c r="F28" s="40" t="str">
        <f t="shared" si="1"/>
        <v>WRONG</v>
      </c>
      <c r="G28" s="40" t="s">
        <v>48</v>
      </c>
      <c r="H28" s="42" t="s">
        <v>36</v>
      </c>
      <c r="I28" s="43" t="s">
        <v>345</v>
      </c>
      <c r="J28" s="44"/>
    </row>
    <row r="29" ht="60.0" customHeight="1">
      <c r="A29" s="40">
        <v>26.0</v>
      </c>
      <c r="B29" s="41" t="s">
        <v>158</v>
      </c>
      <c r="C29" s="41" t="s">
        <v>159</v>
      </c>
      <c r="D29" s="41" t="s">
        <v>160</v>
      </c>
      <c r="E29" s="41" t="s">
        <v>161</v>
      </c>
      <c r="F29" s="40" t="str">
        <f t="shared" si="1"/>
        <v>WRONG</v>
      </c>
      <c r="G29" s="40" t="s">
        <v>36</v>
      </c>
      <c r="H29" s="44" t="s">
        <v>42</v>
      </c>
      <c r="I29" s="43" t="s">
        <v>346</v>
      </c>
      <c r="J29" s="44"/>
    </row>
    <row r="30" ht="60.0" customHeight="1">
      <c r="A30" s="40">
        <v>27.0</v>
      </c>
      <c r="B30" s="41" t="s">
        <v>163</v>
      </c>
      <c r="C30" s="41" t="s">
        <v>164</v>
      </c>
      <c r="D30" s="41" t="s">
        <v>165</v>
      </c>
      <c r="E30" s="41" t="s">
        <v>166</v>
      </c>
      <c r="F30" s="40" t="str">
        <f t="shared" si="1"/>
        <v>CORRECT</v>
      </c>
      <c r="G30" s="40" t="s">
        <v>42</v>
      </c>
      <c r="H30" s="44" t="s">
        <v>42</v>
      </c>
      <c r="I30" s="43" t="s">
        <v>347</v>
      </c>
      <c r="J30" s="44"/>
    </row>
    <row r="31" ht="60.0" customHeight="1">
      <c r="A31" s="40">
        <v>28.0</v>
      </c>
      <c r="B31" s="41" t="s">
        <v>168</v>
      </c>
      <c r="C31" s="41" t="s">
        <v>169</v>
      </c>
      <c r="D31" s="41" t="s">
        <v>170</v>
      </c>
      <c r="E31" s="41" t="s">
        <v>171</v>
      </c>
      <c r="F31" s="40" t="str">
        <f t="shared" si="1"/>
        <v>WRONG</v>
      </c>
      <c r="G31" s="40" t="s">
        <v>36</v>
      </c>
      <c r="H31" s="42" t="s">
        <v>48</v>
      </c>
      <c r="I31" s="43" t="s">
        <v>305</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4" t="s">
        <v>36</v>
      </c>
      <c r="I34" s="43" t="s">
        <v>348</v>
      </c>
      <c r="J34" s="44"/>
    </row>
    <row r="35" ht="60.0" customHeight="1">
      <c r="A35" s="40">
        <v>32.0</v>
      </c>
      <c r="B35" s="41" t="s">
        <v>188</v>
      </c>
      <c r="C35" s="41" t="s">
        <v>189</v>
      </c>
      <c r="D35" s="41" t="s">
        <v>190</v>
      </c>
      <c r="E35" s="41" t="s">
        <v>191</v>
      </c>
      <c r="F35" s="40" t="str">
        <f t="shared" si="1"/>
        <v>CORRECT</v>
      </c>
      <c r="G35" s="40" t="s">
        <v>36</v>
      </c>
      <c r="H35" s="44" t="s">
        <v>36</v>
      </c>
      <c r="I35" s="43" t="s">
        <v>349</v>
      </c>
      <c r="J35" s="44"/>
    </row>
    <row r="36" ht="60.0" customHeight="1">
      <c r="A36" s="40">
        <v>33.0</v>
      </c>
      <c r="B36" s="41" t="s">
        <v>193</v>
      </c>
      <c r="C36" s="41" t="s">
        <v>194</v>
      </c>
      <c r="D36" s="41" t="s">
        <v>195</v>
      </c>
      <c r="E36" s="41" t="s">
        <v>196</v>
      </c>
      <c r="F36" s="40" t="str">
        <f t="shared" si="1"/>
        <v>WRONG</v>
      </c>
      <c r="G36" s="40" t="s">
        <v>48</v>
      </c>
      <c r="H36" s="42" t="s">
        <v>42</v>
      </c>
      <c r="I36" s="43" t="s">
        <v>350</v>
      </c>
      <c r="J36" s="44"/>
    </row>
    <row r="37" ht="60.0" customHeight="1">
      <c r="A37" s="40">
        <v>34.0</v>
      </c>
      <c r="B37" s="41" t="s">
        <v>198</v>
      </c>
      <c r="C37" s="41" t="s">
        <v>199</v>
      </c>
      <c r="D37" s="41" t="s">
        <v>200</v>
      </c>
      <c r="E37" s="41" t="s">
        <v>201</v>
      </c>
      <c r="F37" s="40" t="str">
        <f t="shared" si="1"/>
        <v>CORRECT</v>
      </c>
      <c r="G37" s="40" t="s">
        <v>36</v>
      </c>
      <c r="H37" s="44" t="s">
        <v>36</v>
      </c>
      <c r="I37" s="43" t="s">
        <v>351</v>
      </c>
      <c r="J37" s="44"/>
    </row>
    <row r="38" ht="60.0" customHeight="1">
      <c r="A38" s="40">
        <v>35.0</v>
      </c>
      <c r="B38" s="41" t="s">
        <v>203</v>
      </c>
      <c r="C38" s="41" t="s">
        <v>204</v>
      </c>
      <c r="D38" s="41" t="s">
        <v>205</v>
      </c>
      <c r="E38" s="41" t="s">
        <v>206</v>
      </c>
      <c r="F38" s="40" t="str">
        <f t="shared" si="1"/>
        <v>CORRECT</v>
      </c>
      <c r="G38" s="40" t="s">
        <v>48</v>
      </c>
      <c r="H38" s="42" t="s">
        <v>48</v>
      </c>
      <c r="I38" s="43" t="s">
        <v>352</v>
      </c>
      <c r="J38" s="44"/>
    </row>
    <row r="39" ht="60.0" customHeight="1">
      <c r="A39" s="40">
        <v>36.0</v>
      </c>
      <c r="B39" s="41" t="s">
        <v>208</v>
      </c>
      <c r="C39" s="41" t="s">
        <v>209</v>
      </c>
      <c r="D39" s="41" t="s">
        <v>210</v>
      </c>
      <c r="E39" s="41" t="s">
        <v>211</v>
      </c>
      <c r="F39" s="40" t="str">
        <f t="shared" si="1"/>
        <v>CORRECT</v>
      </c>
      <c r="G39" s="40" t="s">
        <v>36</v>
      </c>
      <c r="H39" s="44" t="s">
        <v>36</v>
      </c>
      <c r="I39" s="43" t="s">
        <v>353</v>
      </c>
      <c r="J39" s="44"/>
    </row>
    <row r="40" ht="60.0" customHeight="1">
      <c r="A40" s="40">
        <v>37.0</v>
      </c>
      <c r="B40" s="41" t="s">
        <v>213</v>
      </c>
      <c r="C40" s="41" t="s">
        <v>214</v>
      </c>
      <c r="D40" s="41" t="s">
        <v>215</v>
      </c>
      <c r="E40" s="41" t="s">
        <v>216</v>
      </c>
      <c r="F40" s="40" t="str">
        <f t="shared" si="1"/>
        <v>WRONG</v>
      </c>
      <c r="G40" s="40" t="s">
        <v>36</v>
      </c>
      <c r="H40" s="44" t="s">
        <v>42</v>
      </c>
      <c r="I40" s="43" t="s">
        <v>354</v>
      </c>
      <c r="J40" s="44"/>
    </row>
    <row r="41" ht="60.0" customHeight="1">
      <c r="A41" s="40">
        <v>38.0</v>
      </c>
      <c r="B41" s="41" t="s">
        <v>218</v>
      </c>
      <c r="C41" s="41" t="s">
        <v>219</v>
      </c>
      <c r="D41" s="41" t="s">
        <v>220</v>
      </c>
      <c r="E41" s="41" t="s">
        <v>221</v>
      </c>
      <c r="F41" s="40" t="str">
        <f t="shared" si="1"/>
        <v>CORRECT</v>
      </c>
      <c r="G41" s="40" t="s">
        <v>36</v>
      </c>
      <c r="H41" s="44" t="s">
        <v>36</v>
      </c>
      <c r="I41" s="43" t="s">
        <v>355</v>
      </c>
      <c r="J41" s="44"/>
    </row>
    <row r="42" ht="60.0" customHeight="1">
      <c r="A42" s="40">
        <v>39.0</v>
      </c>
      <c r="B42" s="41" t="s">
        <v>223</v>
      </c>
      <c r="C42" s="41" t="s">
        <v>224</v>
      </c>
      <c r="D42" s="41" t="s">
        <v>225</v>
      </c>
      <c r="E42" s="41" t="s">
        <v>226</v>
      </c>
      <c r="F42" s="40" t="str">
        <f t="shared" si="1"/>
        <v>WRONG</v>
      </c>
      <c r="G42" s="40" t="s">
        <v>42</v>
      </c>
      <c r="H42" s="44" t="s">
        <v>48</v>
      </c>
      <c r="I42" s="43" t="s">
        <v>356</v>
      </c>
      <c r="J42" s="44"/>
    </row>
    <row r="43" ht="60.0" customHeight="1">
      <c r="A43" s="40">
        <v>40.0</v>
      </c>
      <c r="B43" s="41" t="s">
        <v>228</v>
      </c>
      <c r="C43" s="41" t="s">
        <v>229</v>
      </c>
      <c r="D43" s="41" t="s">
        <v>230</v>
      </c>
      <c r="E43" s="41" t="s">
        <v>231</v>
      </c>
      <c r="F43" s="40" t="str">
        <f t="shared" si="1"/>
        <v>CORRECT</v>
      </c>
      <c r="G43" s="40" t="s">
        <v>48</v>
      </c>
      <c r="H43" s="44" t="s">
        <v>48</v>
      </c>
      <c r="I43" s="43" t="s">
        <v>357</v>
      </c>
      <c r="J43" s="44"/>
    </row>
    <row r="44" ht="60.0" customHeight="1">
      <c r="A44" s="40">
        <v>41.0</v>
      </c>
      <c r="B44" s="41" t="s">
        <v>233</v>
      </c>
      <c r="C44" s="41" t="s">
        <v>234</v>
      </c>
      <c r="D44" s="41" t="s">
        <v>235</v>
      </c>
      <c r="E44" s="41" t="s">
        <v>236</v>
      </c>
      <c r="F44" s="40" t="str">
        <f t="shared" si="1"/>
        <v>CORRECT</v>
      </c>
      <c r="G44" s="40" t="s">
        <v>42</v>
      </c>
      <c r="H44" s="44" t="s">
        <v>42</v>
      </c>
      <c r="I44" s="43" t="s">
        <v>358</v>
      </c>
      <c r="J44" s="44"/>
    </row>
    <row r="45" ht="60.0" customHeight="1">
      <c r="A45" s="40">
        <v>42.0</v>
      </c>
      <c r="B45" s="41" t="s">
        <v>238</v>
      </c>
      <c r="C45" s="41" t="s">
        <v>239</v>
      </c>
      <c r="D45" s="41" t="s">
        <v>240</v>
      </c>
      <c r="E45" s="41" t="s">
        <v>241</v>
      </c>
      <c r="F45" s="40" t="str">
        <f t="shared" si="1"/>
        <v>WRONG</v>
      </c>
      <c r="G45" s="40" t="s">
        <v>36</v>
      </c>
      <c r="H45" s="44" t="s">
        <v>42</v>
      </c>
      <c r="I45" s="43" t="s">
        <v>359</v>
      </c>
      <c r="J45" s="44"/>
    </row>
    <row r="46" ht="60.0" customHeight="1">
      <c r="A46" s="40">
        <v>43.0</v>
      </c>
      <c r="B46" s="41" t="s">
        <v>243</v>
      </c>
      <c r="C46" s="41" t="s">
        <v>244</v>
      </c>
      <c r="D46" s="41" t="s">
        <v>245</v>
      </c>
      <c r="E46" s="41" t="s">
        <v>246</v>
      </c>
      <c r="F46" s="40" t="str">
        <f t="shared" si="1"/>
        <v>WRONG</v>
      </c>
      <c r="G46" s="40" t="s">
        <v>48</v>
      </c>
      <c r="H46" s="44" t="s">
        <v>36</v>
      </c>
      <c r="I46" s="43" t="s">
        <v>360</v>
      </c>
      <c r="J46" s="44"/>
    </row>
    <row r="47" ht="60.0" customHeight="1">
      <c r="A47" s="40">
        <v>44.0</v>
      </c>
      <c r="B47" s="41" t="s">
        <v>248</v>
      </c>
      <c r="C47" s="41" t="s">
        <v>249</v>
      </c>
      <c r="D47" s="41" t="s">
        <v>250</v>
      </c>
      <c r="E47" s="41" t="s">
        <v>251</v>
      </c>
      <c r="F47" s="40" t="str">
        <f t="shared" si="1"/>
        <v>CORRECT</v>
      </c>
      <c r="G47" s="40" t="s">
        <v>36</v>
      </c>
      <c r="H47" s="44" t="s">
        <v>36</v>
      </c>
      <c r="I47" s="43" t="s">
        <v>361</v>
      </c>
      <c r="J47" s="44"/>
    </row>
    <row r="48" ht="60.0" customHeight="1">
      <c r="A48" s="40">
        <v>45.0</v>
      </c>
      <c r="B48" s="41" t="s">
        <v>253</v>
      </c>
      <c r="C48" s="41" t="s">
        <v>254</v>
      </c>
      <c r="D48" s="41" t="s">
        <v>255</v>
      </c>
      <c r="E48" s="41" t="s">
        <v>256</v>
      </c>
      <c r="F48" s="40" t="str">
        <f t="shared" si="1"/>
        <v>CORRECT</v>
      </c>
      <c r="G48" s="40" t="s">
        <v>36</v>
      </c>
      <c r="H48" s="44" t="s">
        <v>36</v>
      </c>
      <c r="I48" s="43" t="s">
        <v>362</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5" t="s">
        <v>262</v>
      </c>
      <c r="B50" s="2"/>
      <c r="C50" s="2"/>
      <c r="D50" s="2"/>
      <c r="E50" s="3"/>
      <c r="F50" s="46">
        <f>COUNTIFS(F4:F49,"CORRECT")</f>
        <v>29</v>
      </c>
      <c r="G50" s="47"/>
      <c r="H50" s="47"/>
      <c r="J50" s="48" t="str">
        <f>AVERAGE(J4:J49)</f>
        <v>#DIV/0!</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363</v>
      </c>
      <c r="C2" s="2"/>
      <c r="D2" s="2"/>
      <c r="E2" s="2"/>
      <c r="F2" s="2"/>
      <c r="G2" s="2"/>
      <c r="H2" s="3"/>
      <c r="I2" s="38" t="s">
        <v>364</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4" t="s">
        <v>36</v>
      </c>
      <c r="I4" s="43" t="s">
        <v>365</v>
      </c>
      <c r="J4" s="55"/>
    </row>
    <row r="5" ht="60.0" customHeight="1">
      <c r="A5" s="40">
        <v>2.0</v>
      </c>
      <c r="B5" s="41" t="s">
        <v>38</v>
      </c>
      <c r="C5" s="41" t="s">
        <v>39</v>
      </c>
      <c r="D5" s="41" t="s">
        <v>40</v>
      </c>
      <c r="E5" s="41" t="s">
        <v>41</v>
      </c>
      <c r="F5" s="40" t="str">
        <f t="shared" si="1"/>
        <v>CORRECT</v>
      </c>
      <c r="G5" s="40" t="s">
        <v>42</v>
      </c>
      <c r="H5" s="54" t="s">
        <v>42</v>
      </c>
      <c r="I5" s="43" t="s">
        <v>366</v>
      </c>
      <c r="J5" s="55"/>
    </row>
    <row r="6" ht="60.0" customHeight="1">
      <c r="A6" s="40">
        <v>3.0</v>
      </c>
      <c r="B6" s="41" t="s">
        <v>44</v>
      </c>
      <c r="C6" s="41" t="s">
        <v>45</v>
      </c>
      <c r="D6" s="41" t="s">
        <v>46</v>
      </c>
      <c r="E6" s="41" t="s">
        <v>47</v>
      </c>
      <c r="F6" s="40" t="str">
        <f t="shared" si="1"/>
        <v>CORRECT</v>
      </c>
      <c r="G6" s="40" t="s">
        <v>48</v>
      </c>
      <c r="H6" s="54" t="s">
        <v>48</v>
      </c>
      <c r="I6" s="43" t="s">
        <v>367</v>
      </c>
      <c r="J6" s="55"/>
    </row>
    <row r="7" ht="60.0" customHeight="1">
      <c r="A7" s="40">
        <v>4.0</v>
      </c>
      <c r="B7" s="41" t="s">
        <v>50</v>
      </c>
      <c r="C7" s="41" t="s">
        <v>51</v>
      </c>
      <c r="D7" s="41" t="s">
        <v>52</v>
      </c>
      <c r="E7" s="41" t="s">
        <v>53</v>
      </c>
      <c r="F7" s="40" t="str">
        <f t="shared" si="1"/>
        <v>CORRECT</v>
      </c>
      <c r="G7" s="40" t="s">
        <v>42</v>
      </c>
      <c r="H7" s="55" t="s">
        <v>42</v>
      </c>
      <c r="I7" s="43" t="s">
        <v>368</v>
      </c>
      <c r="J7" s="55"/>
    </row>
    <row r="8" ht="60.0" customHeight="1">
      <c r="A8" s="40">
        <v>5.0</v>
      </c>
      <c r="B8" s="41" t="s">
        <v>55</v>
      </c>
      <c r="C8" s="41" t="s">
        <v>56</v>
      </c>
      <c r="D8" s="41" t="s">
        <v>57</v>
      </c>
      <c r="E8" s="41" t="s">
        <v>58</v>
      </c>
      <c r="F8" s="40" t="str">
        <f t="shared" si="1"/>
        <v>CORRECT</v>
      </c>
      <c r="G8" s="40" t="s">
        <v>48</v>
      </c>
      <c r="H8" s="54" t="s">
        <v>48</v>
      </c>
      <c r="I8" s="43" t="s">
        <v>369</v>
      </c>
      <c r="J8" s="55"/>
    </row>
    <row r="9" ht="60.0" customHeight="1">
      <c r="A9" s="40">
        <v>6.0</v>
      </c>
      <c r="B9" s="41" t="s">
        <v>60</v>
      </c>
      <c r="C9" s="41" t="s">
        <v>61</v>
      </c>
      <c r="D9" s="41" t="s">
        <v>62</v>
      </c>
      <c r="E9" s="41" t="s">
        <v>63</v>
      </c>
      <c r="F9" s="40" t="str">
        <f t="shared" si="1"/>
        <v>CORRECT</v>
      </c>
      <c r="G9" s="40" t="s">
        <v>42</v>
      </c>
      <c r="H9" s="55" t="s">
        <v>42</v>
      </c>
      <c r="I9" s="43" t="s">
        <v>370</v>
      </c>
      <c r="J9" s="55"/>
    </row>
    <row r="10" ht="60.0" customHeight="1">
      <c r="A10" s="40">
        <v>7.0</v>
      </c>
      <c r="B10" s="41" t="s">
        <v>65</v>
      </c>
      <c r="C10" s="41" t="s">
        <v>66</v>
      </c>
      <c r="D10" s="41" t="s">
        <v>67</v>
      </c>
      <c r="E10" s="41" t="s">
        <v>68</v>
      </c>
      <c r="F10" s="40" t="str">
        <f t="shared" si="1"/>
        <v>WRONG</v>
      </c>
      <c r="G10" s="40" t="s">
        <v>42</v>
      </c>
      <c r="H10" s="54" t="s">
        <v>48</v>
      </c>
      <c r="I10" s="43" t="s">
        <v>371</v>
      </c>
      <c r="J10" s="55"/>
    </row>
    <row r="11" ht="60.0" customHeight="1">
      <c r="A11" s="40">
        <v>8.0</v>
      </c>
      <c r="B11" s="41" t="s">
        <v>70</v>
      </c>
      <c r="C11" s="41" t="s">
        <v>71</v>
      </c>
      <c r="D11" s="41" t="s">
        <v>72</v>
      </c>
      <c r="E11" s="41" t="s">
        <v>73</v>
      </c>
      <c r="F11" s="40" t="str">
        <f t="shared" si="1"/>
        <v>WRONG</v>
      </c>
      <c r="G11" s="40" t="s">
        <v>48</v>
      </c>
      <c r="H11" s="54" t="s">
        <v>42</v>
      </c>
      <c r="I11" s="43" t="s">
        <v>372</v>
      </c>
      <c r="J11" s="55"/>
    </row>
    <row r="12" ht="60.0" customHeight="1">
      <c r="A12" s="40">
        <v>9.0</v>
      </c>
      <c r="B12" s="41" t="s">
        <v>75</v>
      </c>
      <c r="C12" s="41" t="s">
        <v>76</v>
      </c>
      <c r="D12" s="41" t="s">
        <v>77</v>
      </c>
      <c r="E12" s="41" t="s">
        <v>78</v>
      </c>
      <c r="F12" s="40" t="str">
        <f t="shared" si="1"/>
        <v>WRONG</v>
      </c>
      <c r="G12" s="40" t="s">
        <v>42</v>
      </c>
      <c r="H12" s="55" t="s">
        <v>48</v>
      </c>
      <c r="I12" s="43" t="s">
        <v>373</v>
      </c>
      <c r="J12" s="55"/>
    </row>
    <row r="13" ht="60.0" customHeight="1">
      <c r="A13" s="40">
        <v>10.0</v>
      </c>
      <c r="B13" s="41" t="s">
        <v>80</v>
      </c>
      <c r="C13" s="41" t="s">
        <v>81</v>
      </c>
      <c r="D13" s="41" t="s">
        <v>82</v>
      </c>
      <c r="E13" s="41" t="s">
        <v>83</v>
      </c>
      <c r="F13" s="40" t="str">
        <f t="shared" si="1"/>
        <v>CORRECT</v>
      </c>
      <c r="G13" s="40" t="s">
        <v>48</v>
      </c>
      <c r="H13" s="55" t="s">
        <v>48</v>
      </c>
      <c r="I13" s="43" t="s">
        <v>374</v>
      </c>
      <c r="J13" s="55"/>
    </row>
    <row r="14" ht="60.0" customHeight="1">
      <c r="A14" s="40">
        <v>11.0</v>
      </c>
      <c r="B14" s="41" t="s">
        <v>85</v>
      </c>
      <c r="C14" s="41" t="s">
        <v>86</v>
      </c>
      <c r="D14" s="41" t="s">
        <v>87</v>
      </c>
      <c r="E14" s="41" t="s">
        <v>88</v>
      </c>
      <c r="F14" s="40" t="str">
        <f t="shared" si="1"/>
        <v>WRONG</v>
      </c>
      <c r="G14" s="40" t="s">
        <v>42</v>
      </c>
      <c r="H14" s="55" t="s">
        <v>48</v>
      </c>
      <c r="I14" s="43" t="s">
        <v>375</v>
      </c>
      <c r="J14" s="55"/>
    </row>
    <row r="15" ht="60.0" customHeight="1">
      <c r="A15" s="40">
        <v>12.0</v>
      </c>
      <c r="B15" s="41" t="s">
        <v>90</v>
      </c>
      <c r="C15" s="41" t="s">
        <v>91</v>
      </c>
      <c r="D15" s="41" t="s">
        <v>92</v>
      </c>
      <c r="E15" s="41" t="s">
        <v>93</v>
      </c>
      <c r="F15" s="40" t="str">
        <f t="shared" si="1"/>
        <v>CORRECT</v>
      </c>
      <c r="G15" s="40" t="s">
        <v>48</v>
      </c>
      <c r="H15" s="55" t="s">
        <v>48</v>
      </c>
      <c r="I15" s="43" t="s">
        <v>376</v>
      </c>
      <c r="J15" s="55"/>
    </row>
    <row r="16" ht="60.0" customHeight="1">
      <c r="A16" s="40">
        <v>13.0</v>
      </c>
      <c r="B16" s="41" t="s">
        <v>95</v>
      </c>
      <c r="C16" s="41" t="s">
        <v>96</v>
      </c>
      <c r="D16" s="41" t="s">
        <v>97</v>
      </c>
      <c r="E16" s="41" t="s">
        <v>98</v>
      </c>
      <c r="F16" s="40" t="str">
        <f t="shared" si="1"/>
        <v>CORRECT</v>
      </c>
      <c r="G16" s="40" t="s">
        <v>36</v>
      </c>
      <c r="H16" s="54" t="s">
        <v>36</v>
      </c>
      <c r="I16" s="43" t="s">
        <v>377</v>
      </c>
      <c r="J16" s="55"/>
    </row>
    <row r="17" ht="60.0" customHeight="1">
      <c r="A17" s="40">
        <v>14.0</v>
      </c>
      <c r="B17" s="41" t="s">
        <v>100</v>
      </c>
      <c r="C17" s="41" t="s">
        <v>101</v>
      </c>
      <c r="D17" s="41" t="s">
        <v>102</v>
      </c>
      <c r="E17" s="41" t="s">
        <v>103</v>
      </c>
      <c r="F17" s="40" t="str">
        <f t="shared" si="1"/>
        <v>WRONG</v>
      </c>
      <c r="G17" s="40" t="s">
        <v>36</v>
      </c>
      <c r="H17" s="54" t="s">
        <v>48</v>
      </c>
      <c r="I17" s="43" t="s">
        <v>378</v>
      </c>
      <c r="J17" s="55"/>
    </row>
    <row r="18" ht="60.0" customHeight="1">
      <c r="A18" s="40">
        <v>15.0</v>
      </c>
      <c r="B18" s="41" t="s">
        <v>105</v>
      </c>
      <c r="C18" s="41" t="s">
        <v>106</v>
      </c>
      <c r="D18" s="41" t="s">
        <v>107</v>
      </c>
      <c r="E18" s="41" t="s">
        <v>108</v>
      </c>
      <c r="F18" s="40" t="str">
        <f t="shared" si="1"/>
        <v>CORRECT</v>
      </c>
      <c r="G18" s="40" t="s">
        <v>48</v>
      </c>
      <c r="H18" s="55" t="s">
        <v>48</v>
      </c>
      <c r="I18" s="43" t="s">
        <v>379</v>
      </c>
      <c r="J18" s="55"/>
    </row>
    <row r="19" ht="60.0" customHeight="1">
      <c r="A19" s="40">
        <v>16.0</v>
      </c>
      <c r="B19" s="41" t="s">
        <v>110</v>
      </c>
      <c r="C19" s="41" t="s">
        <v>111</v>
      </c>
      <c r="D19" s="41" t="s">
        <v>112</v>
      </c>
      <c r="E19" s="41" t="s">
        <v>113</v>
      </c>
      <c r="F19" s="40" t="str">
        <f t="shared" si="1"/>
        <v>CORRECT</v>
      </c>
      <c r="G19" s="40" t="s">
        <v>48</v>
      </c>
      <c r="H19" s="54" t="s">
        <v>48</v>
      </c>
      <c r="I19" s="43" t="s">
        <v>380</v>
      </c>
      <c r="J19" s="55"/>
    </row>
    <row r="20" ht="60.0" customHeight="1">
      <c r="A20" s="40">
        <v>17.0</v>
      </c>
      <c r="B20" s="41" t="s">
        <v>115</v>
      </c>
      <c r="C20" s="41" t="s">
        <v>116</v>
      </c>
      <c r="D20" s="41" t="s">
        <v>117</v>
      </c>
      <c r="E20" s="41" t="s">
        <v>118</v>
      </c>
      <c r="F20" s="40" t="str">
        <f t="shared" si="1"/>
        <v>WRONG</v>
      </c>
      <c r="G20" s="40" t="s">
        <v>42</v>
      </c>
      <c r="H20" s="55" t="s">
        <v>36</v>
      </c>
      <c r="I20" s="43" t="s">
        <v>381</v>
      </c>
      <c r="J20" s="55"/>
    </row>
    <row r="21" ht="60.0" customHeight="1">
      <c r="A21" s="40">
        <v>18.0</v>
      </c>
      <c r="B21" s="41" t="s">
        <v>120</v>
      </c>
      <c r="C21" s="41" t="s">
        <v>121</v>
      </c>
      <c r="D21" s="41" t="s">
        <v>122</v>
      </c>
      <c r="E21" s="41" t="s">
        <v>123</v>
      </c>
      <c r="F21" s="40" t="str">
        <f t="shared" si="1"/>
        <v>CORRECT</v>
      </c>
      <c r="G21" s="40" t="s">
        <v>42</v>
      </c>
      <c r="H21" s="55" t="s">
        <v>42</v>
      </c>
      <c r="I21" s="43" t="s">
        <v>382</v>
      </c>
      <c r="J21" s="55"/>
    </row>
    <row r="22" ht="60.0" customHeight="1">
      <c r="A22" s="40">
        <v>19.0</v>
      </c>
      <c r="B22" s="41" t="s">
        <v>125</v>
      </c>
      <c r="C22" s="41" t="s">
        <v>126</v>
      </c>
      <c r="D22" s="41" t="s">
        <v>127</v>
      </c>
      <c r="E22" s="41" t="s">
        <v>128</v>
      </c>
      <c r="F22" s="40" t="str">
        <f t="shared" si="1"/>
        <v>WRONG</v>
      </c>
      <c r="G22" s="40" t="s">
        <v>36</v>
      </c>
      <c r="H22" s="55" t="s">
        <v>42</v>
      </c>
      <c r="I22" s="43" t="s">
        <v>383</v>
      </c>
      <c r="J22" s="55"/>
    </row>
    <row r="23" ht="60.0" customHeight="1">
      <c r="A23" s="40">
        <v>20.0</v>
      </c>
      <c r="B23" s="41" t="s">
        <v>130</v>
      </c>
      <c r="C23" s="41" t="s">
        <v>131</v>
      </c>
      <c r="D23" s="41" t="s">
        <v>132</v>
      </c>
      <c r="E23" s="41" t="s">
        <v>133</v>
      </c>
      <c r="F23" s="40" t="str">
        <f t="shared" si="1"/>
        <v>CORRECT</v>
      </c>
      <c r="G23" s="40" t="s">
        <v>42</v>
      </c>
      <c r="H23" s="55" t="s">
        <v>42</v>
      </c>
      <c r="I23" s="43" t="s">
        <v>384</v>
      </c>
      <c r="J23" s="55"/>
    </row>
    <row r="24" ht="60.0" customHeight="1">
      <c r="A24" s="40">
        <v>21.0</v>
      </c>
      <c r="B24" s="41" t="s">
        <v>135</v>
      </c>
      <c r="C24" s="41" t="s">
        <v>136</v>
      </c>
      <c r="D24" s="41" t="s">
        <v>137</v>
      </c>
      <c r="E24" s="41" t="s">
        <v>138</v>
      </c>
      <c r="F24" s="40" t="str">
        <f t="shared" si="1"/>
        <v>CORRECT</v>
      </c>
      <c r="G24" s="40" t="s">
        <v>42</v>
      </c>
      <c r="H24" s="55" t="s">
        <v>42</v>
      </c>
      <c r="I24" s="43" t="s">
        <v>385</v>
      </c>
      <c r="J24" s="55"/>
    </row>
    <row r="25" ht="60.0" customHeight="1">
      <c r="A25" s="40">
        <v>22.0</v>
      </c>
      <c r="B25" s="41" t="s">
        <v>140</v>
      </c>
      <c r="C25" s="41" t="s">
        <v>141</v>
      </c>
      <c r="D25" s="41" t="s">
        <v>142</v>
      </c>
      <c r="E25" s="41" t="s">
        <v>143</v>
      </c>
      <c r="F25" s="40" t="str">
        <f t="shared" si="1"/>
        <v>CORRECT</v>
      </c>
      <c r="G25" s="40" t="s">
        <v>42</v>
      </c>
      <c r="H25" s="54" t="s">
        <v>42</v>
      </c>
      <c r="I25" s="43" t="s">
        <v>386</v>
      </c>
      <c r="J25" s="55"/>
    </row>
    <row r="26" ht="60.0" customHeight="1">
      <c r="A26" s="40">
        <v>23.0</v>
      </c>
      <c r="B26" s="41" t="s">
        <v>145</v>
      </c>
      <c r="C26" s="41" t="s">
        <v>146</v>
      </c>
      <c r="D26" s="41" t="s">
        <v>147</v>
      </c>
      <c r="E26" s="41" t="s">
        <v>148</v>
      </c>
      <c r="F26" s="40" t="str">
        <f t="shared" si="1"/>
        <v>CORRECT</v>
      </c>
      <c r="G26" s="40" t="s">
        <v>48</v>
      </c>
      <c r="H26" s="54" t="s">
        <v>48</v>
      </c>
      <c r="I26" s="43" t="s">
        <v>387</v>
      </c>
      <c r="J26" s="55"/>
    </row>
    <row r="27" ht="60.0" customHeight="1">
      <c r="A27" s="40">
        <v>24.0</v>
      </c>
      <c r="B27" s="41" t="s">
        <v>150</v>
      </c>
      <c r="C27" s="41" t="s">
        <v>151</v>
      </c>
      <c r="D27" s="41" t="s">
        <v>152</v>
      </c>
      <c r="E27" s="41" t="s">
        <v>153</v>
      </c>
      <c r="F27" s="40" t="str">
        <f t="shared" si="1"/>
        <v>CORRECT</v>
      </c>
      <c r="G27" s="40" t="s">
        <v>36</v>
      </c>
      <c r="H27" s="54" t="s">
        <v>36</v>
      </c>
      <c r="I27" s="43" t="s">
        <v>344</v>
      </c>
      <c r="J27" s="55"/>
    </row>
    <row r="28" ht="60.0" customHeight="1">
      <c r="A28" s="40">
        <v>25.0</v>
      </c>
      <c r="B28" s="41" t="s">
        <v>155</v>
      </c>
      <c r="C28" s="41" t="s">
        <v>151</v>
      </c>
      <c r="D28" s="41" t="s">
        <v>156</v>
      </c>
      <c r="E28" s="41" t="s">
        <v>153</v>
      </c>
      <c r="F28" s="40" t="str">
        <f t="shared" si="1"/>
        <v>WRONG</v>
      </c>
      <c r="G28" s="40" t="s">
        <v>48</v>
      </c>
      <c r="H28" s="54" t="s">
        <v>36</v>
      </c>
      <c r="I28" s="43" t="s">
        <v>388</v>
      </c>
      <c r="J28" s="55"/>
    </row>
    <row r="29" ht="60.0" customHeight="1">
      <c r="A29" s="40">
        <v>26.0</v>
      </c>
      <c r="B29" s="41" t="s">
        <v>158</v>
      </c>
      <c r="C29" s="41" t="s">
        <v>159</v>
      </c>
      <c r="D29" s="41" t="s">
        <v>160</v>
      </c>
      <c r="E29" s="41" t="s">
        <v>161</v>
      </c>
      <c r="F29" s="40" t="str">
        <f t="shared" si="1"/>
        <v>WRONG</v>
      </c>
      <c r="G29" s="40" t="s">
        <v>36</v>
      </c>
      <c r="H29" s="54" t="s">
        <v>42</v>
      </c>
      <c r="I29" s="43" t="s">
        <v>389</v>
      </c>
      <c r="J29" s="55"/>
    </row>
    <row r="30" ht="60.0" customHeight="1">
      <c r="A30" s="40">
        <v>27.0</v>
      </c>
      <c r="B30" s="41" t="s">
        <v>163</v>
      </c>
      <c r="C30" s="41" t="s">
        <v>164</v>
      </c>
      <c r="D30" s="41" t="s">
        <v>165</v>
      </c>
      <c r="E30" s="41" t="s">
        <v>166</v>
      </c>
      <c r="F30" s="40" t="str">
        <f t="shared" si="1"/>
        <v>CORRECT</v>
      </c>
      <c r="G30" s="40" t="s">
        <v>42</v>
      </c>
      <c r="H30" s="55" t="s">
        <v>42</v>
      </c>
      <c r="I30" s="43" t="s">
        <v>390</v>
      </c>
      <c r="J30" s="55"/>
    </row>
    <row r="31" ht="60.0" customHeight="1">
      <c r="A31" s="40">
        <v>28.0</v>
      </c>
      <c r="B31" s="41" t="s">
        <v>168</v>
      </c>
      <c r="C31" s="41" t="s">
        <v>169</v>
      </c>
      <c r="D31" s="41" t="s">
        <v>170</v>
      </c>
      <c r="E31" s="41" t="s">
        <v>171</v>
      </c>
      <c r="F31" s="40" t="str">
        <f t="shared" si="1"/>
        <v>WRONG</v>
      </c>
      <c r="G31" s="40" t="s">
        <v>36</v>
      </c>
      <c r="H31" s="55" t="s">
        <v>48</v>
      </c>
      <c r="I31" s="43" t="s">
        <v>391</v>
      </c>
      <c r="J31" s="55"/>
    </row>
    <row r="32" ht="60.0" customHeight="1">
      <c r="A32" s="40">
        <v>29.0</v>
      </c>
      <c r="B32" s="41" t="s">
        <v>173</v>
      </c>
      <c r="C32" s="41" t="s">
        <v>174</v>
      </c>
      <c r="D32" s="41" t="s">
        <v>175</v>
      </c>
      <c r="E32" s="41" t="s">
        <v>176</v>
      </c>
      <c r="F32" s="40" t="str">
        <f t="shared" si="1"/>
        <v>CORRECT</v>
      </c>
      <c r="G32" s="40" t="s">
        <v>42</v>
      </c>
      <c r="H32" s="55" t="s">
        <v>42</v>
      </c>
      <c r="I32" s="43" t="s">
        <v>392</v>
      </c>
      <c r="J32" s="55"/>
    </row>
    <row r="33" ht="60.0" customHeight="1">
      <c r="A33" s="40">
        <v>30.0</v>
      </c>
      <c r="B33" s="41" t="s">
        <v>178</v>
      </c>
      <c r="C33" s="41" t="s">
        <v>179</v>
      </c>
      <c r="D33" s="41" t="s">
        <v>180</v>
      </c>
      <c r="E33" s="41" t="s">
        <v>181</v>
      </c>
      <c r="F33" s="40" t="str">
        <f t="shared" si="1"/>
        <v>WRONG</v>
      </c>
      <c r="G33" s="40" t="s">
        <v>48</v>
      </c>
      <c r="H33" s="55" t="s">
        <v>36</v>
      </c>
      <c r="I33" s="43" t="s">
        <v>393</v>
      </c>
      <c r="J33" s="55"/>
    </row>
    <row r="34" ht="60.0" customHeight="1">
      <c r="A34" s="40">
        <v>31.0</v>
      </c>
      <c r="B34" s="41" t="s">
        <v>183</v>
      </c>
      <c r="C34" s="41" t="s">
        <v>184</v>
      </c>
      <c r="D34" s="41" t="s">
        <v>185</v>
      </c>
      <c r="E34" s="41" t="s">
        <v>186</v>
      </c>
      <c r="F34" s="40" t="str">
        <f t="shared" si="1"/>
        <v>WRONG</v>
      </c>
      <c r="G34" s="40" t="s">
        <v>42</v>
      </c>
      <c r="H34" s="55" t="s">
        <v>36</v>
      </c>
      <c r="I34" s="43" t="s">
        <v>394</v>
      </c>
      <c r="J34" s="55"/>
    </row>
    <row r="35" ht="60.0" customHeight="1">
      <c r="A35" s="40">
        <v>32.0</v>
      </c>
      <c r="B35" s="41" t="s">
        <v>188</v>
      </c>
      <c r="C35" s="41" t="s">
        <v>189</v>
      </c>
      <c r="D35" s="41" t="s">
        <v>190</v>
      </c>
      <c r="E35" s="41" t="s">
        <v>191</v>
      </c>
      <c r="F35" s="40" t="str">
        <f t="shared" si="1"/>
        <v>CORRECT</v>
      </c>
      <c r="G35" s="40" t="s">
        <v>36</v>
      </c>
      <c r="H35" s="55" t="s">
        <v>36</v>
      </c>
      <c r="I35" s="43" t="s">
        <v>395</v>
      </c>
      <c r="J35" s="55"/>
    </row>
    <row r="36" ht="60.0" customHeight="1">
      <c r="A36" s="40">
        <v>33.0</v>
      </c>
      <c r="B36" s="41" t="s">
        <v>193</v>
      </c>
      <c r="C36" s="41" t="s">
        <v>194</v>
      </c>
      <c r="D36" s="41" t="s">
        <v>195</v>
      </c>
      <c r="E36" s="41" t="s">
        <v>196</v>
      </c>
      <c r="F36" s="40" t="str">
        <f t="shared" si="1"/>
        <v>WRONG</v>
      </c>
      <c r="G36" s="40" t="s">
        <v>48</v>
      </c>
      <c r="H36" s="54" t="s">
        <v>42</v>
      </c>
      <c r="I36" s="43" t="s">
        <v>396</v>
      </c>
      <c r="J36" s="55"/>
    </row>
    <row r="37" ht="60.0" customHeight="1">
      <c r="A37" s="40">
        <v>34.0</v>
      </c>
      <c r="B37" s="41" t="s">
        <v>198</v>
      </c>
      <c r="C37" s="41" t="s">
        <v>199</v>
      </c>
      <c r="D37" s="41" t="s">
        <v>200</v>
      </c>
      <c r="E37" s="41" t="s">
        <v>201</v>
      </c>
      <c r="F37" s="40" t="str">
        <f t="shared" si="1"/>
        <v>CORRECT</v>
      </c>
      <c r="G37" s="40" t="s">
        <v>36</v>
      </c>
      <c r="H37" s="55" t="s">
        <v>36</v>
      </c>
      <c r="I37" s="43" t="s">
        <v>397</v>
      </c>
      <c r="J37" s="55"/>
    </row>
    <row r="38" ht="60.0" customHeight="1">
      <c r="A38" s="40">
        <v>35.0</v>
      </c>
      <c r="B38" s="41" t="s">
        <v>203</v>
      </c>
      <c r="C38" s="41" t="s">
        <v>204</v>
      </c>
      <c r="D38" s="41" t="s">
        <v>205</v>
      </c>
      <c r="E38" s="41" t="s">
        <v>206</v>
      </c>
      <c r="F38" s="40" t="str">
        <f t="shared" si="1"/>
        <v>CORRECT</v>
      </c>
      <c r="G38" s="40" t="s">
        <v>48</v>
      </c>
      <c r="H38" s="54" t="s">
        <v>48</v>
      </c>
      <c r="I38" s="43" t="s">
        <v>398</v>
      </c>
      <c r="J38" s="55"/>
    </row>
    <row r="39" ht="60.0" customHeight="1">
      <c r="A39" s="40">
        <v>36.0</v>
      </c>
      <c r="B39" s="41" t="s">
        <v>208</v>
      </c>
      <c r="C39" s="41" t="s">
        <v>209</v>
      </c>
      <c r="D39" s="41" t="s">
        <v>210</v>
      </c>
      <c r="E39" s="41" t="s">
        <v>211</v>
      </c>
      <c r="F39" s="40" t="str">
        <f t="shared" si="1"/>
        <v>CORRECT</v>
      </c>
      <c r="G39" s="40" t="s">
        <v>36</v>
      </c>
      <c r="H39" s="55" t="s">
        <v>36</v>
      </c>
      <c r="I39" s="43" t="s">
        <v>399</v>
      </c>
      <c r="J39" s="55"/>
    </row>
    <row r="40" ht="60.0" customHeight="1">
      <c r="A40" s="40">
        <v>37.0</v>
      </c>
      <c r="B40" s="41" t="s">
        <v>213</v>
      </c>
      <c r="C40" s="41" t="s">
        <v>214</v>
      </c>
      <c r="D40" s="41" t="s">
        <v>215</v>
      </c>
      <c r="E40" s="41" t="s">
        <v>216</v>
      </c>
      <c r="F40" s="40" t="str">
        <f t="shared" si="1"/>
        <v>WRONG</v>
      </c>
      <c r="G40" s="40" t="s">
        <v>36</v>
      </c>
      <c r="H40" s="55" t="s">
        <v>42</v>
      </c>
      <c r="I40" s="43" t="s">
        <v>400</v>
      </c>
      <c r="J40" s="55"/>
    </row>
    <row r="41" ht="60.0" customHeight="1">
      <c r="A41" s="40">
        <v>38.0</v>
      </c>
      <c r="B41" s="41" t="s">
        <v>218</v>
      </c>
      <c r="C41" s="41" t="s">
        <v>219</v>
      </c>
      <c r="D41" s="41" t="s">
        <v>220</v>
      </c>
      <c r="E41" s="41" t="s">
        <v>221</v>
      </c>
      <c r="F41" s="40" t="str">
        <f t="shared" si="1"/>
        <v>CORRECT</v>
      </c>
      <c r="G41" s="40" t="s">
        <v>36</v>
      </c>
      <c r="H41" s="55" t="s">
        <v>36</v>
      </c>
      <c r="I41" s="43" t="s">
        <v>401</v>
      </c>
      <c r="J41" s="55"/>
    </row>
    <row r="42" ht="60.0" customHeight="1">
      <c r="A42" s="40">
        <v>39.0</v>
      </c>
      <c r="B42" s="41" t="s">
        <v>223</v>
      </c>
      <c r="C42" s="41" t="s">
        <v>224</v>
      </c>
      <c r="D42" s="41" t="s">
        <v>225</v>
      </c>
      <c r="E42" s="41" t="s">
        <v>226</v>
      </c>
      <c r="F42" s="40" t="str">
        <f t="shared" si="1"/>
        <v>WRONG</v>
      </c>
      <c r="G42" s="40" t="s">
        <v>42</v>
      </c>
      <c r="H42" s="54" t="s">
        <v>36</v>
      </c>
      <c r="I42" s="43" t="s">
        <v>402</v>
      </c>
      <c r="J42" s="55"/>
    </row>
    <row r="43" ht="60.0" customHeight="1">
      <c r="A43" s="40">
        <v>40.0</v>
      </c>
      <c r="B43" s="41" t="s">
        <v>228</v>
      </c>
      <c r="C43" s="41" t="s">
        <v>229</v>
      </c>
      <c r="D43" s="41" t="s">
        <v>230</v>
      </c>
      <c r="E43" s="41" t="s">
        <v>231</v>
      </c>
      <c r="F43" s="40" t="str">
        <f t="shared" si="1"/>
        <v>CORRECT</v>
      </c>
      <c r="G43" s="40" t="s">
        <v>48</v>
      </c>
      <c r="H43" s="54" t="s">
        <v>48</v>
      </c>
      <c r="I43" s="43" t="s">
        <v>403</v>
      </c>
      <c r="J43" s="55"/>
    </row>
    <row r="44" ht="60.0" customHeight="1">
      <c r="A44" s="40">
        <v>41.0</v>
      </c>
      <c r="B44" s="41" t="s">
        <v>233</v>
      </c>
      <c r="C44" s="41" t="s">
        <v>234</v>
      </c>
      <c r="D44" s="41" t="s">
        <v>235</v>
      </c>
      <c r="E44" s="41" t="s">
        <v>236</v>
      </c>
      <c r="F44" s="40" t="str">
        <f t="shared" si="1"/>
        <v>CORRECT</v>
      </c>
      <c r="G44" s="40" t="s">
        <v>42</v>
      </c>
      <c r="H44" s="55" t="s">
        <v>42</v>
      </c>
      <c r="I44" s="43" t="s">
        <v>404</v>
      </c>
      <c r="J44" s="55"/>
    </row>
    <row r="45" ht="60.0" customHeight="1">
      <c r="A45" s="40">
        <v>42.0</v>
      </c>
      <c r="B45" s="41" t="s">
        <v>238</v>
      </c>
      <c r="C45" s="41" t="s">
        <v>239</v>
      </c>
      <c r="D45" s="41" t="s">
        <v>240</v>
      </c>
      <c r="E45" s="41" t="s">
        <v>241</v>
      </c>
      <c r="F45" s="40" t="str">
        <f t="shared" si="1"/>
        <v>WRONG</v>
      </c>
      <c r="G45" s="40" t="s">
        <v>36</v>
      </c>
      <c r="H45" s="55" t="s">
        <v>42</v>
      </c>
      <c r="I45" s="43" t="s">
        <v>405</v>
      </c>
      <c r="J45" s="55"/>
    </row>
    <row r="46" ht="60.0" customHeight="1">
      <c r="A46" s="40">
        <v>43.0</v>
      </c>
      <c r="B46" s="41" t="s">
        <v>243</v>
      </c>
      <c r="C46" s="41" t="s">
        <v>244</v>
      </c>
      <c r="D46" s="41" t="s">
        <v>245</v>
      </c>
      <c r="E46" s="41" t="s">
        <v>246</v>
      </c>
      <c r="F46" s="40" t="str">
        <f t="shared" si="1"/>
        <v>WRONG</v>
      </c>
      <c r="G46" s="40" t="s">
        <v>48</v>
      </c>
      <c r="H46" s="55" t="s">
        <v>42</v>
      </c>
      <c r="I46" s="43" t="s">
        <v>406</v>
      </c>
      <c r="J46" s="55"/>
    </row>
    <row r="47" ht="60.0" customHeight="1">
      <c r="A47" s="40">
        <v>44.0</v>
      </c>
      <c r="B47" s="41" t="s">
        <v>248</v>
      </c>
      <c r="C47" s="41" t="s">
        <v>249</v>
      </c>
      <c r="D47" s="41" t="s">
        <v>250</v>
      </c>
      <c r="E47" s="41" t="s">
        <v>251</v>
      </c>
      <c r="F47" s="40" t="str">
        <f t="shared" si="1"/>
        <v>WRONG</v>
      </c>
      <c r="G47" s="40" t="s">
        <v>36</v>
      </c>
      <c r="H47" s="54" t="s">
        <v>48</v>
      </c>
      <c r="I47" s="43" t="s">
        <v>407</v>
      </c>
      <c r="J47" s="55"/>
    </row>
    <row r="48" ht="60.0" customHeight="1">
      <c r="A48" s="40">
        <v>45.0</v>
      </c>
      <c r="B48" s="41" t="s">
        <v>253</v>
      </c>
      <c r="C48" s="41" t="s">
        <v>254</v>
      </c>
      <c r="D48" s="41" t="s">
        <v>255</v>
      </c>
      <c r="E48" s="41" t="s">
        <v>256</v>
      </c>
      <c r="F48" s="40" t="str">
        <f t="shared" si="1"/>
        <v>CORRECT</v>
      </c>
      <c r="G48" s="40" t="s">
        <v>36</v>
      </c>
      <c r="H48" s="55" t="s">
        <v>36</v>
      </c>
      <c r="I48" s="43" t="s">
        <v>408</v>
      </c>
      <c r="J48" s="55"/>
    </row>
    <row r="49" ht="60.0" customHeight="1">
      <c r="A49" s="40">
        <v>46.0</v>
      </c>
      <c r="B49" s="41" t="s">
        <v>258</v>
      </c>
      <c r="C49" s="41" t="s">
        <v>39</v>
      </c>
      <c r="D49" s="41" t="s">
        <v>259</v>
      </c>
      <c r="E49" s="41" t="s">
        <v>260</v>
      </c>
      <c r="F49" s="40" t="str">
        <f t="shared" si="1"/>
        <v>CORRECT</v>
      </c>
      <c r="G49" s="40" t="s">
        <v>36</v>
      </c>
      <c r="H49" s="55" t="s">
        <v>36</v>
      </c>
      <c r="I49" s="43" t="s">
        <v>409</v>
      </c>
      <c r="J49" s="55"/>
    </row>
    <row r="50">
      <c r="A50" s="45" t="s">
        <v>262</v>
      </c>
      <c r="B50" s="2"/>
      <c r="C50" s="2"/>
      <c r="D50" s="2"/>
      <c r="E50" s="3"/>
      <c r="F50" s="46">
        <f>COUNTIFS(F4:F49,"CORRECT")</f>
        <v>28</v>
      </c>
      <c r="G50" s="47"/>
      <c r="H50" s="47"/>
      <c r="J50" s="48" t="str">
        <f>AVERAGE(J4:J49)</f>
        <v>#DIV/0!</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410</v>
      </c>
      <c r="C2" s="2"/>
      <c r="D2" s="2"/>
      <c r="E2" s="2"/>
      <c r="F2" s="2"/>
      <c r="G2" s="2"/>
      <c r="H2" s="3"/>
      <c r="I2" s="38" t="s">
        <v>411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4" t="s">
        <v>36</v>
      </c>
      <c r="I4" s="43" t="s">
        <v>267</v>
      </c>
      <c r="J4" s="55"/>
    </row>
    <row r="5" ht="60.0" customHeight="1">
      <c r="A5" s="40">
        <v>2.0</v>
      </c>
      <c r="B5" s="41" t="s">
        <v>38</v>
      </c>
      <c r="C5" s="41" t="s">
        <v>39</v>
      </c>
      <c r="D5" s="41" t="s">
        <v>40</v>
      </c>
      <c r="E5" s="41" t="s">
        <v>41</v>
      </c>
      <c r="F5" s="40" t="str">
        <f t="shared" si="1"/>
        <v>CORRECT</v>
      </c>
      <c r="G5" s="40" t="s">
        <v>42</v>
      </c>
      <c r="H5" s="54" t="s">
        <v>42</v>
      </c>
      <c r="I5" s="43" t="s">
        <v>268</v>
      </c>
      <c r="J5" s="55"/>
    </row>
    <row r="6" ht="60.0" customHeight="1">
      <c r="A6" s="40">
        <v>3.0</v>
      </c>
      <c r="B6" s="41" t="s">
        <v>44</v>
      </c>
      <c r="C6" s="41" t="s">
        <v>45</v>
      </c>
      <c r="D6" s="41" t="s">
        <v>46</v>
      </c>
      <c r="E6" s="41" t="s">
        <v>47</v>
      </c>
      <c r="F6" s="40" t="str">
        <f t="shared" si="1"/>
        <v>CORRECT</v>
      </c>
      <c r="G6" s="40" t="s">
        <v>48</v>
      </c>
      <c r="H6" s="54" t="s">
        <v>48</v>
      </c>
      <c r="I6" s="43" t="s">
        <v>269</v>
      </c>
      <c r="J6" s="55"/>
    </row>
    <row r="7" ht="60.0" customHeight="1">
      <c r="A7" s="40">
        <v>4.0</v>
      </c>
      <c r="B7" s="41" t="s">
        <v>50</v>
      </c>
      <c r="C7" s="41" t="s">
        <v>51</v>
      </c>
      <c r="D7" s="41" t="s">
        <v>52</v>
      </c>
      <c r="E7" s="41" t="s">
        <v>53</v>
      </c>
      <c r="F7" s="40" t="str">
        <f t="shared" si="1"/>
        <v>CORRECT</v>
      </c>
      <c r="G7" s="40" t="s">
        <v>42</v>
      </c>
      <c r="H7" s="55" t="s">
        <v>42</v>
      </c>
      <c r="I7" s="43" t="s">
        <v>270</v>
      </c>
      <c r="J7" s="55"/>
    </row>
    <row r="8" ht="60.0" customHeight="1">
      <c r="A8" s="40">
        <v>5.0</v>
      </c>
      <c r="B8" s="41" t="s">
        <v>55</v>
      </c>
      <c r="C8" s="41" t="s">
        <v>56</v>
      </c>
      <c r="D8" s="41" t="s">
        <v>57</v>
      </c>
      <c r="E8" s="41" t="s">
        <v>58</v>
      </c>
      <c r="F8" s="40" t="str">
        <f t="shared" si="1"/>
        <v>CORRECT</v>
      </c>
      <c r="G8" s="40" t="s">
        <v>48</v>
      </c>
      <c r="H8" s="54" t="s">
        <v>48</v>
      </c>
      <c r="I8" s="43" t="s">
        <v>319</v>
      </c>
      <c r="J8" s="55"/>
    </row>
    <row r="9" ht="60.0" customHeight="1">
      <c r="A9" s="40">
        <v>6.0</v>
      </c>
      <c r="B9" s="41" t="s">
        <v>60</v>
      </c>
      <c r="C9" s="41" t="s">
        <v>61</v>
      </c>
      <c r="D9" s="41" t="s">
        <v>62</v>
      </c>
      <c r="E9" s="41" t="s">
        <v>63</v>
      </c>
      <c r="F9" s="40" t="str">
        <f t="shared" si="1"/>
        <v>CORRECT</v>
      </c>
      <c r="G9" s="40" t="s">
        <v>42</v>
      </c>
      <c r="H9" s="55" t="s">
        <v>42</v>
      </c>
      <c r="I9" s="43" t="s">
        <v>320</v>
      </c>
      <c r="J9" s="55"/>
    </row>
    <row r="10" ht="60.0" customHeight="1">
      <c r="A10" s="40">
        <v>7.0</v>
      </c>
      <c r="B10" s="41" t="s">
        <v>65</v>
      </c>
      <c r="C10" s="41" t="s">
        <v>66</v>
      </c>
      <c r="D10" s="41" t="s">
        <v>67</v>
      </c>
      <c r="E10" s="41" t="s">
        <v>68</v>
      </c>
      <c r="F10" s="40" t="str">
        <f t="shared" si="1"/>
        <v>WRONG</v>
      </c>
      <c r="G10" s="40" t="s">
        <v>42</v>
      </c>
      <c r="H10" s="55" t="s">
        <v>36</v>
      </c>
      <c r="I10" s="43" t="s">
        <v>273</v>
      </c>
      <c r="J10" s="55"/>
    </row>
    <row r="11" ht="60.0" customHeight="1">
      <c r="A11" s="40">
        <v>8.0</v>
      </c>
      <c r="B11" s="41" t="s">
        <v>70</v>
      </c>
      <c r="C11" s="41" t="s">
        <v>71</v>
      </c>
      <c r="D11" s="41" t="s">
        <v>72</v>
      </c>
      <c r="E11" s="41" t="s">
        <v>73</v>
      </c>
      <c r="F11" s="40" t="str">
        <f t="shared" si="1"/>
        <v>CORRECT</v>
      </c>
      <c r="G11" s="40" t="s">
        <v>48</v>
      </c>
      <c r="H11" s="55" t="s">
        <v>48</v>
      </c>
      <c r="I11" s="43" t="s">
        <v>321</v>
      </c>
      <c r="J11" s="55"/>
    </row>
    <row r="12" ht="60.0" customHeight="1">
      <c r="A12" s="40">
        <v>9.0</v>
      </c>
      <c r="B12" s="41" t="s">
        <v>75</v>
      </c>
      <c r="C12" s="41" t="s">
        <v>76</v>
      </c>
      <c r="D12" s="41" t="s">
        <v>77</v>
      </c>
      <c r="E12" s="41" t="s">
        <v>78</v>
      </c>
      <c r="F12" s="40" t="str">
        <f t="shared" si="1"/>
        <v>WRONG</v>
      </c>
      <c r="G12" s="40" t="s">
        <v>42</v>
      </c>
      <c r="H12" s="54" t="s">
        <v>48</v>
      </c>
      <c r="I12" s="43" t="s">
        <v>275</v>
      </c>
      <c r="J12" s="55"/>
    </row>
    <row r="13" ht="60.0" customHeight="1">
      <c r="A13" s="40">
        <v>10.0</v>
      </c>
      <c r="B13" s="41" t="s">
        <v>80</v>
      </c>
      <c r="C13" s="41" t="s">
        <v>81</v>
      </c>
      <c r="D13" s="41" t="s">
        <v>82</v>
      </c>
      <c r="E13" s="41" t="s">
        <v>83</v>
      </c>
      <c r="F13" s="40" t="str">
        <f t="shared" si="1"/>
        <v>CORRECT</v>
      </c>
      <c r="G13" s="40" t="s">
        <v>48</v>
      </c>
      <c r="H13" s="55" t="s">
        <v>48</v>
      </c>
      <c r="I13" s="43" t="s">
        <v>276</v>
      </c>
      <c r="J13" s="55"/>
    </row>
    <row r="14" ht="60.0" customHeight="1">
      <c r="A14" s="40">
        <v>11.0</v>
      </c>
      <c r="B14" s="41" t="s">
        <v>85</v>
      </c>
      <c r="C14" s="41" t="s">
        <v>86</v>
      </c>
      <c r="D14" s="41" t="s">
        <v>87</v>
      </c>
      <c r="E14" s="41" t="s">
        <v>88</v>
      </c>
      <c r="F14" s="40" t="str">
        <f t="shared" si="1"/>
        <v>WRONG</v>
      </c>
      <c r="G14" s="40" t="s">
        <v>42</v>
      </c>
      <c r="H14" s="54" t="s">
        <v>48</v>
      </c>
      <c r="I14" s="43" t="s">
        <v>277</v>
      </c>
      <c r="J14" s="55"/>
    </row>
    <row r="15" ht="60.0" customHeight="1">
      <c r="A15" s="40">
        <v>12.0</v>
      </c>
      <c r="B15" s="41" t="s">
        <v>90</v>
      </c>
      <c r="C15" s="41" t="s">
        <v>91</v>
      </c>
      <c r="D15" s="41" t="s">
        <v>92</v>
      </c>
      <c r="E15" s="41" t="s">
        <v>93</v>
      </c>
      <c r="F15" s="40" t="str">
        <f t="shared" si="1"/>
        <v>CORRECT</v>
      </c>
      <c r="G15" s="40" t="s">
        <v>48</v>
      </c>
      <c r="H15" s="54" t="s">
        <v>48</v>
      </c>
      <c r="I15" s="43" t="s">
        <v>278</v>
      </c>
      <c r="J15" s="55"/>
    </row>
    <row r="16" ht="60.0" customHeight="1">
      <c r="A16" s="40">
        <v>13.0</v>
      </c>
      <c r="B16" s="41" t="s">
        <v>95</v>
      </c>
      <c r="C16" s="41" t="s">
        <v>96</v>
      </c>
      <c r="D16" s="41" t="s">
        <v>97</v>
      </c>
      <c r="E16" s="41" t="s">
        <v>98</v>
      </c>
      <c r="F16" s="40" t="str">
        <f t="shared" si="1"/>
        <v>CORRECT</v>
      </c>
      <c r="G16" s="40" t="s">
        <v>36</v>
      </c>
      <c r="H16" s="55" t="s">
        <v>36</v>
      </c>
      <c r="I16" s="43" t="s">
        <v>99</v>
      </c>
      <c r="J16" s="55"/>
    </row>
    <row r="17" ht="60.0" customHeight="1">
      <c r="A17" s="40">
        <v>14.0</v>
      </c>
      <c r="B17" s="41" t="s">
        <v>100</v>
      </c>
      <c r="C17" s="41" t="s">
        <v>101</v>
      </c>
      <c r="D17" s="41" t="s">
        <v>102</v>
      </c>
      <c r="E17" s="41" t="s">
        <v>103</v>
      </c>
      <c r="F17" s="40" t="str">
        <f t="shared" si="1"/>
        <v>WRONG</v>
      </c>
      <c r="G17" s="40" t="s">
        <v>36</v>
      </c>
      <c r="H17" s="54" t="s">
        <v>48</v>
      </c>
      <c r="I17" s="43" t="s">
        <v>104</v>
      </c>
      <c r="J17" s="55"/>
    </row>
    <row r="18" ht="60.0" customHeight="1">
      <c r="A18" s="40">
        <v>15.0</v>
      </c>
      <c r="B18" s="41" t="s">
        <v>105</v>
      </c>
      <c r="C18" s="41" t="s">
        <v>106</v>
      </c>
      <c r="D18" s="41" t="s">
        <v>107</v>
      </c>
      <c r="E18" s="41" t="s">
        <v>108</v>
      </c>
      <c r="F18" s="40" t="str">
        <f t="shared" si="1"/>
        <v>CORRECT</v>
      </c>
      <c r="G18" s="40" t="s">
        <v>48</v>
      </c>
      <c r="H18" s="55" t="s">
        <v>48</v>
      </c>
      <c r="I18" s="43" t="s">
        <v>109</v>
      </c>
      <c r="J18" s="55"/>
    </row>
    <row r="19" ht="60.0" customHeight="1">
      <c r="A19" s="40">
        <v>16.0</v>
      </c>
      <c r="B19" s="41" t="s">
        <v>110</v>
      </c>
      <c r="C19" s="41" t="s">
        <v>111</v>
      </c>
      <c r="D19" s="41" t="s">
        <v>112</v>
      </c>
      <c r="E19" s="41" t="s">
        <v>113</v>
      </c>
      <c r="F19" s="40" t="str">
        <f t="shared" si="1"/>
        <v>CORRECT</v>
      </c>
      <c r="G19" s="40" t="s">
        <v>48</v>
      </c>
      <c r="H19" s="54" t="s">
        <v>48</v>
      </c>
      <c r="I19" s="43" t="s">
        <v>322</v>
      </c>
      <c r="J19" s="55"/>
    </row>
    <row r="20" ht="60.0" customHeight="1">
      <c r="A20" s="40">
        <v>17.0</v>
      </c>
      <c r="B20" s="41" t="s">
        <v>115</v>
      </c>
      <c r="C20" s="41" t="s">
        <v>116</v>
      </c>
      <c r="D20" s="41" t="s">
        <v>117</v>
      </c>
      <c r="E20" s="41" t="s">
        <v>118</v>
      </c>
      <c r="F20" s="40" t="str">
        <f t="shared" si="1"/>
        <v>WRONG</v>
      </c>
      <c r="G20" s="40" t="s">
        <v>42</v>
      </c>
      <c r="H20" s="55" t="s">
        <v>36</v>
      </c>
      <c r="I20" s="43" t="s">
        <v>119</v>
      </c>
      <c r="J20" s="55"/>
    </row>
    <row r="21" ht="60.0" customHeight="1">
      <c r="A21" s="40">
        <v>18.0</v>
      </c>
      <c r="B21" s="41" t="s">
        <v>120</v>
      </c>
      <c r="C21" s="41" t="s">
        <v>121</v>
      </c>
      <c r="D21" s="41" t="s">
        <v>122</v>
      </c>
      <c r="E21" s="41" t="s">
        <v>123</v>
      </c>
      <c r="F21" s="40" t="str">
        <f t="shared" si="1"/>
        <v>CORRECT</v>
      </c>
      <c r="G21" s="40" t="s">
        <v>42</v>
      </c>
      <c r="H21" s="55" t="s">
        <v>42</v>
      </c>
      <c r="I21" s="43" t="s">
        <v>412</v>
      </c>
      <c r="J21" s="55"/>
    </row>
    <row r="22" ht="60.0" customHeight="1">
      <c r="A22" s="40">
        <v>19.0</v>
      </c>
      <c r="B22" s="41" t="s">
        <v>125</v>
      </c>
      <c r="C22" s="41" t="s">
        <v>126</v>
      </c>
      <c r="D22" s="41" t="s">
        <v>127</v>
      </c>
      <c r="E22" s="41" t="s">
        <v>128</v>
      </c>
      <c r="F22" s="40" t="str">
        <f t="shared" si="1"/>
        <v>WRONG</v>
      </c>
      <c r="G22" s="40" t="s">
        <v>36</v>
      </c>
      <c r="H22" s="54" t="s">
        <v>48</v>
      </c>
      <c r="I22" s="43" t="s">
        <v>413</v>
      </c>
      <c r="J22" s="55"/>
    </row>
    <row r="23" ht="60.0" customHeight="1">
      <c r="A23" s="40">
        <v>20.0</v>
      </c>
      <c r="B23" s="41" t="s">
        <v>130</v>
      </c>
      <c r="C23" s="41" t="s">
        <v>131</v>
      </c>
      <c r="D23" s="41" t="s">
        <v>132</v>
      </c>
      <c r="E23" s="41" t="s">
        <v>133</v>
      </c>
      <c r="F23" s="40" t="str">
        <f t="shared" si="1"/>
        <v>CORRECT</v>
      </c>
      <c r="G23" s="40" t="s">
        <v>42</v>
      </c>
      <c r="H23" s="55" t="s">
        <v>42</v>
      </c>
      <c r="I23" s="43" t="s">
        <v>134</v>
      </c>
      <c r="J23" s="55"/>
    </row>
    <row r="24" ht="60.0" customHeight="1">
      <c r="A24" s="40">
        <v>21.0</v>
      </c>
      <c r="B24" s="41" t="s">
        <v>135</v>
      </c>
      <c r="C24" s="41" t="s">
        <v>136</v>
      </c>
      <c r="D24" s="41" t="s">
        <v>137</v>
      </c>
      <c r="E24" s="41" t="s">
        <v>138</v>
      </c>
      <c r="F24" s="40" t="str">
        <f t="shared" si="1"/>
        <v>WRONG</v>
      </c>
      <c r="G24" s="40" t="s">
        <v>42</v>
      </c>
      <c r="H24" s="55" t="s">
        <v>36</v>
      </c>
      <c r="I24" s="43" t="s">
        <v>282</v>
      </c>
      <c r="J24" s="55"/>
    </row>
    <row r="25" ht="60.0" customHeight="1">
      <c r="A25" s="40">
        <v>22.0</v>
      </c>
      <c r="B25" s="41" t="s">
        <v>140</v>
      </c>
      <c r="C25" s="41" t="s">
        <v>141</v>
      </c>
      <c r="D25" s="41" t="s">
        <v>142</v>
      </c>
      <c r="E25" s="41" t="s">
        <v>143</v>
      </c>
      <c r="F25" s="40" t="str">
        <f t="shared" si="1"/>
        <v>CORRECT</v>
      </c>
      <c r="G25" s="40" t="s">
        <v>42</v>
      </c>
      <c r="H25" s="55" t="s">
        <v>42</v>
      </c>
      <c r="I25" s="43" t="s">
        <v>144</v>
      </c>
      <c r="J25" s="55"/>
    </row>
    <row r="26" ht="60.0" customHeight="1">
      <c r="A26" s="40">
        <v>23.0</v>
      </c>
      <c r="B26" s="41" t="s">
        <v>145</v>
      </c>
      <c r="C26" s="41" t="s">
        <v>146</v>
      </c>
      <c r="D26" s="41" t="s">
        <v>147</v>
      </c>
      <c r="E26" s="41" t="s">
        <v>148</v>
      </c>
      <c r="F26" s="40" t="str">
        <f t="shared" si="1"/>
        <v>CORRECT</v>
      </c>
      <c r="G26" s="40" t="s">
        <v>48</v>
      </c>
      <c r="H26" s="55" t="s">
        <v>48</v>
      </c>
      <c r="I26" s="43" t="s">
        <v>149</v>
      </c>
      <c r="J26" s="55"/>
    </row>
    <row r="27" ht="60.0" customHeight="1">
      <c r="A27" s="40">
        <v>24.0</v>
      </c>
      <c r="B27" s="41" t="s">
        <v>150</v>
      </c>
      <c r="C27" s="41" t="s">
        <v>151</v>
      </c>
      <c r="D27" s="41" t="s">
        <v>152</v>
      </c>
      <c r="E27" s="41" t="s">
        <v>153</v>
      </c>
      <c r="F27" s="40" t="str">
        <f t="shared" si="1"/>
        <v>CORRECT</v>
      </c>
      <c r="G27" s="40" t="s">
        <v>36</v>
      </c>
      <c r="H27" s="55" t="s">
        <v>36</v>
      </c>
      <c r="I27" s="43" t="s">
        <v>154</v>
      </c>
      <c r="J27" s="55"/>
    </row>
    <row r="28" ht="60.0" customHeight="1">
      <c r="A28" s="40">
        <v>25.0</v>
      </c>
      <c r="B28" s="41" t="s">
        <v>155</v>
      </c>
      <c r="C28" s="41" t="s">
        <v>151</v>
      </c>
      <c r="D28" s="41" t="s">
        <v>156</v>
      </c>
      <c r="E28" s="41" t="s">
        <v>153</v>
      </c>
      <c r="F28" s="40" t="str">
        <f t="shared" si="1"/>
        <v>WRONG</v>
      </c>
      <c r="G28" s="40" t="s">
        <v>48</v>
      </c>
      <c r="H28" s="54" t="s">
        <v>36</v>
      </c>
      <c r="I28" s="43" t="s">
        <v>157</v>
      </c>
      <c r="J28" s="55"/>
    </row>
    <row r="29" ht="60.0" customHeight="1">
      <c r="A29" s="40">
        <v>26.0</v>
      </c>
      <c r="B29" s="41" t="s">
        <v>158</v>
      </c>
      <c r="C29" s="41" t="s">
        <v>159</v>
      </c>
      <c r="D29" s="41" t="s">
        <v>160</v>
      </c>
      <c r="E29" s="41" t="s">
        <v>161</v>
      </c>
      <c r="F29" s="40" t="str">
        <f t="shared" si="1"/>
        <v>WRONG</v>
      </c>
      <c r="G29" s="40" t="s">
        <v>36</v>
      </c>
      <c r="H29" s="54" t="s">
        <v>42</v>
      </c>
      <c r="I29" s="43" t="s">
        <v>162</v>
      </c>
      <c r="J29" s="55"/>
    </row>
    <row r="30" ht="60.0" customHeight="1">
      <c r="A30" s="40">
        <v>27.0</v>
      </c>
      <c r="B30" s="41" t="s">
        <v>163</v>
      </c>
      <c r="C30" s="41" t="s">
        <v>164</v>
      </c>
      <c r="D30" s="41" t="s">
        <v>165</v>
      </c>
      <c r="E30" s="41" t="s">
        <v>166</v>
      </c>
      <c r="F30" s="40" t="str">
        <f t="shared" si="1"/>
        <v>CORRECT</v>
      </c>
      <c r="G30" s="40" t="s">
        <v>42</v>
      </c>
      <c r="H30" s="54" t="s">
        <v>42</v>
      </c>
      <c r="I30" s="43" t="s">
        <v>167</v>
      </c>
      <c r="J30" s="55"/>
    </row>
    <row r="31" ht="60.0" customHeight="1">
      <c r="A31" s="40">
        <v>28.0</v>
      </c>
      <c r="B31" s="41" t="s">
        <v>168</v>
      </c>
      <c r="C31" s="41" t="s">
        <v>169</v>
      </c>
      <c r="D31" s="41" t="s">
        <v>170</v>
      </c>
      <c r="E31" s="41" t="s">
        <v>171</v>
      </c>
      <c r="F31" s="40" t="str">
        <f t="shared" si="1"/>
        <v>WRONG</v>
      </c>
      <c r="G31" s="40" t="s">
        <v>36</v>
      </c>
      <c r="H31" s="54" t="s">
        <v>48</v>
      </c>
      <c r="I31" s="43" t="s">
        <v>172</v>
      </c>
      <c r="J31" s="55"/>
    </row>
    <row r="32" ht="60.0" customHeight="1">
      <c r="A32" s="40">
        <v>29.0</v>
      </c>
      <c r="B32" s="41" t="s">
        <v>173</v>
      </c>
      <c r="C32" s="41" t="s">
        <v>174</v>
      </c>
      <c r="D32" s="41" t="s">
        <v>175</v>
      </c>
      <c r="E32" s="41" t="s">
        <v>176</v>
      </c>
      <c r="F32" s="40" t="str">
        <f t="shared" si="1"/>
        <v>CORRECT</v>
      </c>
      <c r="G32" s="40" t="s">
        <v>42</v>
      </c>
      <c r="H32" s="55" t="s">
        <v>42</v>
      </c>
      <c r="I32" s="43" t="s">
        <v>177</v>
      </c>
      <c r="J32" s="55"/>
    </row>
    <row r="33" ht="60.0" customHeight="1">
      <c r="A33" s="40">
        <v>30.0</v>
      </c>
      <c r="B33" s="41" t="s">
        <v>178</v>
      </c>
      <c r="C33" s="41" t="s">
        <v>179</v>
      </c>
      <c r="D33" s="41" t="s">
        <v>180</v>
      </c>
      <c r="E33" s="41" t="s">
        <v>181</v>
      </c>
      <c r="F33" s="40" t="str">
        <f t="shared" si="1"/>
        <v>WRONG</v>
      </c>
      <c r="G33" s="40" t="s">
        <v>48</v>
      </c>
      <c r="H33" s="55" t="s">
        <v>36</v>
      </c>
      <c r="I33" s="43" t="s">
        <v>182</v>
      </c>
      <c r="J33" s="55"/>
    </row>
    <row r="34" ht="60.0" customHeight="1">
      <c r="A34" s="40">
        <v>31.0</v>
      </c>
      <c r="B34" s="41" t="s">
        <v>183</v>
      </c>
      <c r="C34" s="41" t="s">
        <v>184</v>
      </c>
      <c r="D34" s="41" t="s">
        <v>185</v>
      </c>
      <c r="E34" s="41" t="s">
        <v>186</v>
      </c>
      <c r="F34" s="40" t="str">
        <f t="shared" si="1"/>
        <v>WRONG</v>
      </c>
      <c r="G34" s="40" t="s">
        <v>42</v>
      </c>
      <c r="H34" s="55" t="s">
        <v>36</v>
      </c>
      <c r="I34" s="43" t="s">
        <v>308</v>
      </c>
      <c r="J34" s="55"/>
    </row>
    <row r="35" ht="60.0" customHeight="1">
      <c r="A35" s="40">
        <v>32.0</v>
      </c>
      <c r="B35" s="41" t="s">
        <v>188</v>
      </c>
      <c r="C35" s="41" t="s">
        <v>189</v>
      </c>
      <c r="D35" s="41" t="s">
        <v>190</v>
      </c>
      <c r="E35" s="41" t="s">
        <v>191</v>
      </c>
      <c r="F35" s="40" t="str">
        <f t="shared" si="1"/>
        <v>CORRECT</v>
      </c>
      <c r="G35" s="40" t="s">
        <v>36</v>
      </c>
      <c r="H35" s="54" t="s">
        <v>36</v>
      </c>
      <c r="I35" s="43" t="s">
        <v>192</v>
      </c>
      <c r="J35" s="55"/>
    </row>
    <row r="36" ht="60.0" customHeight="1">
      <c r="A36" s="40">
        <v>33.0</v>
      </c>
      <c r="B36" s="41" t="s">
        <v>193</v>
      </c>
      <c r="C36" s="41" t="s">
        <v>194</v>
      </c>
      <c r="D36" s="41" t="s">
        <v>195</v>
      </c>
      <c r="E36" s="41" t="s">
        <v>196</v>
      </c>
      <c r="F36" s="40" t="str">
        <f t="shared" si="1"/>
        <v>WRONG</v>
      </c>
      <c r="G36" s="40" t="s">
        <v>48</v>
      </c>
      <c r="H36" s="54" t="s">
        <v>42</v>
      </c>
      <c r="I36" s="43" t="s">
        <v>197</v>
      </c>
      <c r="J36" s="55"/>
    </row>
    <row r="37" ht="60.0" customHeight="1">
      <c r="A37" s="40">
        <v>34.0</v>
      </c>
      <c r="B37" s="41" t="s">
        <v>198</v>
      </c>
      <c r="C37" s="41" t="s">
        <v>199</v>
      </c>
      <c r="D37" s="41" t="s">
        <v>200</v>
      </c>
      <c r="E37" s="41" t="s">
        <v>201</v>
      </c>
      <c r="F37" s="40" t="str">
        <f t="shared" si="1"/>
        <v>CORRECT</v>
      </c>
      <c r="G37" s="40" t="s">
        <v>36</v>
      </c>
      <c r="H37" s="55" t="s">
        <v>36</v>
      </c>
      <c r="I37" s="43" t="s">
        <v>202</v>
      </c>
      <c r="J37" s="55"/>
    </row>
    <row r="38" ht="60.0" customHeight="1">
      <c r="A38" s="40">
        <v>35.0</v>
      </c>
      <c r="B38" s="41" t="s">
        <v>203</v>
      </c>
      <c r="C38" s="41" t="s">
        <v>204</v>
      </c>
      <c r="D38" s="41" t="s">
        <v>205</v>
      </c>
      <c r="E38" s="41" t="s">
        <v>206</v>
      </c>
      <c r="F38" s="40" t="str">
        <f t="shared" si="1"/>
        <v>CORRECT</v>
      </c>
      <c r="G38" s="40" t="s">
        <v>48</v>
      </c>
      <c r="H38" s="54" t="s">
        <v>48</v>
      </c>
      <c r="I38" s="43" t="s">
        <v>207</v>
      </c>
      <c r="J38" s="55"/>
    </row>
    <row r="39" ht="60.0" customHeight="1">
      <c r="A39" s="40">
        <v>36.0</v>
      </c>
      <c r="B39" s="41" t="s">
        <v>208</v>
      </c>
      <c r="C39" s="41" t="s">
        <v>209</v>
      </c>
      <c r="D39" s="41" t="s">
        <v>210</v>
      </c>
      <c r="E39" s="41" t="s">
        <v>211</v>
      </c>
      <c r="F39" s="40" t="str">
        <f t="shared" si="1"/>
        <v>CORRECT</v>
      </c>
      <c r="G39" s="40" t="s">
        <v>36</v>
      </c>
      <c r="H39" s="55" t="s">
        <v>36</v>
      </c>
      <c r="I39" s="43" t="s">
        <v>212</v>
      </c>
      <c r="J39" s="55"/>
    </row>
    <row r="40" ht="60.0" customHeight="1">
      <c r="A40" s="40">
        <v>37.0</v>
      </c>
      <c r="B40" s="41" t="s">
        <v>213</v>
      </c>
      <c r="C40" s="41" t="s">
        <v>214</v>
      </c>
      <c r="D40" s="41" t="s">
        <v>215</v>
      </c>
      <c r="E40" s="41" t="s">
        <v>216</v>
      </c>
      <c r="F40" s="40" t="str">
        <f t="shared" si="1"/>
        <v>WRONG</v>
      </c>
      <c r="G40" s="40" t="s">
        <v>36</v>
      </c>
      <c r="H40" s="55" t="s">
        <v>42</v>
      </c>
      <c r="I40" s="43" t="s">
        <v>217</v>
      </c>
      <c r="J40" s="55"/>
    </row>
    <row r="41" ht="60.0" customHeight="1">
      <c r="A41" s="40">
        <v>38.0</v>
      </c>
      <c r="B41" s="41" t="s">
        <v>218</v>
      </c>
      <c r="C41" s="41" t="s">
        <v>219</v>
      </c>
      <c r="D41" s="41" t="s">
        <v>220</v>
      </c>
      <c r="E41" s="41" t="s">
        <v>221</v>
      </c>
      <c r="F41" s="40" t="str">
        <f t="shared" si="1"/>
        <v>CORRECT</v>
      </c>
      <c r="G41" s="40" t="s">
        <v>36</v>
      </c>
      <c r="H41" s="55" t="s">
        <v>36</v>
      </c>
      <c r="I41" s="43" t="s">
        <v>311</v>
      </c>
      <c r="J41" s="55"/>
    </row>
    <row r="42" ht="60.0" customHeight="1">
      <c r="A42" s="40">
        <v>39.0</v>
      </c>
      <c r="B42" s="41" t="s">
        <v>223</v>
      </c>
      <c r="C42" s="41" t="s">
        <v>224</v>
      </c>
      <c r="D42" s="41" t="s">
        <v>225</v>
      </c>
      <c r="E42" s="41" t="s">
        <v>226</v>
      </c>
      <c r="F42" s="40" t="str">
        <f t="shared" si="1"/>
        <v>WRONG</v>
      </c>
      <c r="G42" s="40" t="s">
        <v>42</v>
      </c>
      <c r="H42" s="55" t="s">
        <v>48</v>
      </c>
      <c r="I42" s="43" t="s">
        <v>227</v>
      </c>
      <c r="J42" s="55"/>
    </row>
    <row r="43" ht="60.0" customHeight="1">
      <c r="A43" s="40">
        <v>40.0</v>
      </c>
      <c r="B43" s="41" t="s">
        <v>228</v>
      </c>
      <c r="C43" s="41" t="s">
        <v>229</v>
      </c>
      <c r="D43" s="41" t="s">
        <v>230</v>
      </c>
      <c r="E43" s="41" t="s">
        <v>231</v>
      </c>
      <c r="F43" s="40" t="str">
        <f t="shared" si="1"/>
        <v>WRONG</v>
      </c>
      <c r="G43" s="40" t="s">
        <v>48</v>
      </c>
      <c r="H43" s="54" t="s">
        <v>42</v>
      </c>
      <c r="I43" s="43" t="s">
        <v>232</v>
      </c>
      <c r="J43" s="55"/>
    </row>
    <row r="44" ht="60.0" customHeight="1">
      <c r="A44" s="40">
        <v>41.0</v>
      </c>
      <c r="B44" s="41" t="s">
        <v>233</v>
      </c>
      <c r="C44" s="41" t="s">
        <v>234</v>
      </c>
      <c r="D44" s="41" t="s">
        <v>235</v>
      </c>
      <c r="E44" s="41" t="s">
        <v>236</v>
      </c>
      <c r="F44" s="40" t="str">
        <f t="shared" si="1"/>
        <v>CORRECT</v>
      </c>
      <c r="G44" s="40" t="s">
        <v>42</v>
      </c>
      <c r="H44" s="55" t="s">
        <v>42</v>
      </c>
      <c r="I44" s="43" t="s">
        <v>237</v>
      </c>
      <c r="J44" s="55"/>
    </row>
    <row r="45" ht="60.0" customHeight="1">
      <c r="A45" s="40">
        <v>42.0</v>
      </c>
      <c r="B45" s="41" t="s">
        <v>238</v>
      </c>
      <c r="C45" s="41" t="s">
        <v>239</v>
      </c>
      <c r="D45" s="41" t="s">
        <v>240</v>
      </c>
      <c r="E45" s="41" t="s">
        <v>241</v>
      </c>
      <c r="F45" s="40" t="str">
        <f t="shared" si="1"/>
        <v>WRONG</v>
      </c>
      <c r="G45" s="40" t="s">
        <v>36</v>
      </c>
      <c r="H45" s="55" t="s">
        <v>42</v>
      </c>
      <c r="I45" s="43" t="s">
        <v>414</v>
      </c>
      <c r="J45" s="55"/>
    </row>
    <row r="46" ht="60.0" customHeight="1">
      <c r="A46" s="40">
        <v>43.0</v>
      </c>
      <c r="B46" s="41" t="s">
        <v>243</v>
      </c>
      <c r="C46" s="41" t="s">
        <v>244</v>
      </c>
      <c r="D46" s="41" t="s">
        <v>245</v>
      </c>
      <c r="E46" s="41" t="s">
        <v>246</v>
      </c>
      <c r="F46" s="40" t="str">
        <f t="shared" si="1"/>
        <v>WRONG</v>
      </c>
      <c r="G46" s="40" t="s">
        <v>48</v>
      </c>
      <c r="H46" s="55" t="s">
        <v>36</v>
      </c>
      <c r="I46" s="43" t="s">
        <v>284</v>
      </c>
      <c r="J46" s="55"/>
    </row>
    <row r="47" ht="60.0" customHeight="1">
      <c r="A47" s="40">
        <v>44.0</v>
      </c>
      <c r="B47" s="41" t="s">
        <v>248</v>
      </c>
      <c r="C47" s="41" t="s">
        <v>249</v>
      </c>
      <c r="D47" s="41" t="s">
        <v>250</v>
      </c>
      <c r="E47" s="41" t="s">
        <v>251</v>
      </c>
      <c r="F47" s="40" t="str">
        <f t="shared" si="1"/>
        <v>CORRECT</v>
      </c>
      <c r="G47" s="40" t="s">
        <v>36</v>
      </c>
      <c r="H47" s="54" t="s">
        <v>36</v>
      </c>
      <c r="I47" s="43" t="s">
        <v>285</v>
      </c>
      <c r="J47" s="55"/>
    </row>
    <row r="48" ht="60.0" customHeight="1">
      <c r="A48" s="40">
        <v>45.0</v>
      </c>
      <c r="B48" s="41" t="s">
        <v>253</v>
      </c>
      <c r="C48" s="41" t="s">
        <v>254</v>
      </c>
      <c r="D48" s="41" t="s">
        <v>255</v>
      </c>
      <c r="E48" s="41" t="s">
        <v>256</v>
      </c>
      <c r="F48" s="40" t="str">
        <f t="shared" si="1"/>
        <v>CORRECT</v>
      </c>
      <c r="G48" s="40" t="s">
        <v>36</v>
      </c>
      <c r="H48" s="55" t="s">
        <v>36</v>
      </c>
      <c r="I48" s="43" t="s">
        <v>257</v>
      </c>
      <c r="J48" s="55"/>
    </row>
    <row r="49" ht="60.0" customHeight="1">
      <c r="A49" s="40">
        <v>46.0</v>
      </c>
      <c r="B49" s="41" t="s">
        <v>258</v>
      </c>
      <c r="C49" s="41" t="s">
        <v>39</v>
      </c>
      <c r="D49" s="41" t="s">
        <v>259</v>
      </c>
      <c r="E49" s="41" t="s">
        <v>260</v>
      </c>
      <c r="F49" s="40" t="str">
        <f t="shared" si="1"/>
        <v>CORRECT</v>
      </c>
      <c r="G49" s="40" t="s">
        <v>36</v>
      </c>
      <c r="H49" s="55" t="s">
        <v>36</v>
      </c>
      <c r="I49" s="43" t="s">
        <v>261</v>
      </c>
      <c r="J49" s="55"/>
    </row>
    <row r="50">
      <c r="A50" s="45" t="s">
        <v>262</v>
      </c>
      <c r="B50" s="2"/>
      <c r="C50" s="2"/>
      <c r="D50" s="2"/>
      <c r="E50" s="3"/>
      <c r="F50" s="46">
        <f>COUNTIFS(F4:F49,"CORRECT")</f>
        <v>28</v>
      </c>
      <c r="G50" s="47"/>
      <c r="H50" s="47"/>
      <c r="J50" s="48" t="str">
        <f>AVERAGE(J4:J49)</f>
        <v>#DIV/0!</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415</v>
      </c>
      <c r="C2" s="2"/>
      <c r="D2" s="2"/>
      <c r="E2" s="2"/>
      <c r="F2" s="2"/>
      <c r="G2" s="2"/>
      <c r="H2" s="3"/>
      <c r="I2" s="38" t="s">
        <v>416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4" t="s">
        <v>36</v>
      </c>
      <c r="I4" s="43" t="s">
        <v>417</v>
      </c>
      <c r="J4" s="55"/>
    </row>
    <row r="5" ht="60.0" customHeight="1">
      <c r="A5" s="40">
        <v>2.0</v>
      </c>
      <c r="B5" s="41" t="s">
        <v>38</v>
      </c>
      <c r="C5" s="41" t="s">
        <v>39</v>
      </c>
      <c r="D5" s="41" t="s">
        <v>40</v>
      </c>
      <c r="E5" s="41" t="s">
        <v>41</v>
      </c>
      <c r="F5" s="40" t="str">
        <f t="shared" si="1"/>
        <v>CORRECT</v>
      </c>
      <c r="G5" s="40" t="s">
        <v>42</v>
      </c>
      <c r="H5" s="54" t="s">
        <v>42</v>
      </c>
      <c r="I5" s="43" t="s">
        <v>418</v>
      </c>
      <c r="J5" s="55"/>
    </row>
    <row r="6" ht="60.0" customHeight="1">
      <c r="A6" s="40">
        <v>3.0</v>
      </c>
      <c r="B6" s="41" t="s">
        <v>44</v>
      </c>
      <c r="C6" s="41" t="s">
        <v>45</v>
      </c>
      <c r="D6" s="41" t="s">
        <v>46</v>
      </c>
      <c r="E6" s="41" t="s">
        <v>47</v>
      </c>
      <c r="F6" s="40" t="str">
        <f t="shared" si="1"/>
        <v>CORRECT</v>
      </c>
      <c r="G6" s="40" t="s">
        <v>48</v>
      </c>
      <c r="H6" s="54" t="s">
        <v>48</v>
      </c>
      <c r="I6" s="43" t="s">
        <v>419</v>
      </c>
      <c r="J6" s="55"/>
    </row>
    <row r="7" ht="60.0" customHeight="1">
      <c r="A7" s="40">
        <v>4.0</v>
      </c>
      <c r="B7" s="41" t="s">
        <v>50</v>
      </c>
      <c r="C7" s="41" t="s">
        <v>51</v>
      </c>
      <c r="D7" s="41" t="s">
        <v>52</v>
      </c>
      <c r="E7" s="41" t="s">
        <v>53</v>
      </c>
      <c r="F7" s="40" t="str">
        <f t="shared" si="1"/>
        <v>CORRECT</v>
      </c>
      <c r="G7" s="40" t="s">
        <v>42</v>
      </c>
      <c r="H7" s="55" t="s">
        <v>42</v>
      </c>
      <c r="I7" s="43" t="s">
        <v>420</v>
      </c>
      <c r="J7" s="55"/>
    </row>
    <row r="8" ht="60.0" customHeight="1">
      <c r="A8" s="40">
        <v>5.0</v>
      </c>
      <c r="B8" s="41" t="s">
        <v>55</v>
      </c>
      <c r="C8" s="41" t="s">
        <v>56</v>
      </c>
      <c r="D8" s="41" t="s">
        <v>57</v>
      </c>
      <c r="E8" s="41" t="s">
        <v>58</v>
      </c>
      <c r="F8" s="40" t="str">
        <f t="shared" si="1"/>
        <v>CORRECT</v>
      </c>
      <c r="G8" s="40" t="s">
        <v>48</v>
      </c>
      <c r="H8" s="54" t="s">
        <v>48</v>
      </c>
      <c r="I8" s="43" t="s">
        <v>421</v>
      </c>
      <c r="J8" s="55"/>
    </row>
    <row r="9" ht="60.0" customHeight="1">
      <c r="A9" s="40">
        <v>6.0</v>
      </c>
      <c r="B9" s="41" t="s">
        <v>60</v>
      </c>
      <c r="C9" s="41" t="s">
        <v>61</v>
      </c>
      <c r="D9" s="41" t="s">
        <v>62</v>
      </c>
      <c r="E9" s="41" t="s">
        <v>63</v>
      </c>
      <c r="F9" s="40" t="str">
        <f t="shared" si="1"/>
        <v>CORRECT</v>
      </c>
      <c r="G9" s="40" t="s">
        <v>42</v>
      </c>
      <c r="H9" s="55" t="s">
        <v>42</v>
      </c>
      <c r="I9" s="43" t="s">
        <v>422</v>
      </c>
      <c r="J9" s="55"/>
    </row>
    <row r="10" ht="60.0" customHeight="1">
      <c r="A10" s="40">
        <v>7.0</v>
      </c>
      <c r="B10" s="41" t="s">
        <v>65</v>
      </c>
      <c r="C10" s="41" t="s">
        <v>66</v>
      </c>
      <c r="D10" s="41" t="s">
        <v>67</v>
      </c>
      <c r="E10" s="41" t="s">
        <v>68</v>
      </c>
      <c r="F10" s="40" t="str">
        <f t="shared" si="1"/>
        <v>WRONG</v>
      </c>
      <c r="G10" s="40" t="s">
        <v>42</v>
      </c>
      <c r="H10" s="55" t="s">
        <v>36</v>
      </c>
      <c r="I10" s="43" t="s">
        <v>423</v>
      </c>
      <c r="J10" s="55"/>
    </row>
    <row r="11" ht="60.0" customHeight="1">
      <c r="A11" s="40">
        <v>8.0</v>
      </c>
      <c r="B11" s="41" t="s">
        <v>70</v>
      </c>
      <c r="C11" s="41" t="s">
        <v>71</v>
      </c>
      <c r="D11" s="41" t="s">
        <v>72</v>
      </c>
      <c r="E11" s="41" t="s">
        <v>73</v>
      </c>
      <c r="F11" s="40" t="str">
        <f t="shared" si="1"/>
        <v>CORRECT</v>
      </c>
      <c r="G11" s="40" t="s">
        <v>48</v>
      </c>
      <c r="H11" s="55" t="s">
        <v>48</v>
      </c>
      <c r="I11" s="43" t="s">
        <v>424</v>
      </c>
      <c r="J11" s="55"/>
    </row>
    <row r="12" ht="60.0" customHeight="1">
      <c r="A12" s="40">
        <v>9.0</v>
      </c>
      <c r="B12" s="41" t="s">
        <v>75</v>
      </c>
      <c r="C12" s="41" t="s">
        <v>76</v>
      </c>
      <c r="D12" s="41" t="s">
        <v>77</v>
      </c>
      <c r="E12" s="41" t="s">
        <v>78</v>
      </c>
      <c r="F12" s="40" t="str">
        <f t="shared" si="1"/>
        <v>WRONG</v>
      </c>
      <c r="G12" s="40" t="s">
        <v>42</v>
      </c>
      <c r="H12" s="54" t="s">
        <v>48</v>
      </c>
      <c r="I12" s="43" t="s">
        <v>425</v>
      </c>
      <c r="J12" s="55"/>
    </row>
    <row r="13" ht="60.0" customHeight="1">
      <c r="A13" s="40">
        <v>10.0</v>
      </c>
      <c r="B13" s="41" t="s">
        <v>80</v>
      </c>
      <c r="C13" s="41" t="s">
        <v>81</v>
      </c>
      <c r="D13" s="41" t="s">
        <v>82</v>
      </c>
      <c r="E13" s="41" t="s">
        <v>83</v>
      </c>
      <c r="F13" s="40" t="str">
        <f t="shared" si="1"/>
        <v>CORRECT</v>
      </c>
      <c r="G13" s="40" t="s">
        <v>48</v>
      </c>
      <c r="H13" s="55" t="s">
        <v>48</v>
      </c>
      <c r="I13" s="43" t="s">
        <v>426</v>
      </c>
      <c r="J13" s="55"/>
    </row>
    <row r="14" ht="60.0" customHeight="1">
      <c r="A14" s="40">
        <v>11.0</v>
      </c>
      <c r="B14" s="41" t="s">
        <v>85</v>
      </c>
      <c r="C14" s="41" t="s">
        <v>86</v>
      </c>
      <c r="D14" s="41" t="s">
        <v>87</v>
      </c>
      <c r="E14" s="41" t="s">
        <v>88</v>
      </c>
      <c r="F14" s="40" t="str">
        <f t="shared" si="1"/>
        <v>WRONG</v>
      </c>
      <c r="G14" s="40" t="s">
        <v>42</v>
      </c>
      <c r="H14" s="54" t="s">
        <v>48</v>
      </c>
      <c r="I14" s="43" t="s">
        <v>427</v>
      </c>
      <c r="J14" s="55"/>
    </row>
    <row r="15" ht="60.0" customHeight="1">
      <c r="A15" s="40">
        <v>12.0</v>
      </c>
      <c r="B15" s="41" t="s">
        <v>90</v>
      </c>
      <c r="C15" s="41" t="s">
        <v>91</v>
      </c>
      <c r="D15" s="41" t="s">
        <v>92</v>
      </c>
      <c r="E15" s="41" t="s">
        <v>93</v>
      </c>
      <c r="F15" s="40" t="str">
        <f t="shared" si="1"/>
        <v>CORRECT</v>
      </c>
      <c r="G15" s="40" t="s">
        <v>48</v>
      </c>
      <c r="H15" s="54" t="s">
        <v>48</v>
      </c>
      <c r="I15" s="43" t="s">
        <v>428</v>
      </c>
      <c r="J15" s="55"/>
    </row>
    <row r="16" ht="60.0" customHeight="1">
      <c r="A16" s="40">
        <v>13.0</v>
      </c>
      <c r="B16" s="41" t="s">
        <v>95</v>
      </c>
      <c r="C16" s="41" t="s">
        <v>96</v>
      </c>
      <c r="D16" s="41" t="s">
        <v>97</v>
      </c>
      <c r="E16" s="41" t="s">
        <v>98</v>
      </c>
      <c r="F16" s="40" t="str">
        <f t="shared" si="1"/>
        <v>CORRECT</v>
      </c>
      <c r="G16" s="40" t="s">
        <v>36</v>
      </c>
      <c r="H16" s="55" t="s">
        <v>36</v>
      </c>
      <c r="I16" s="43" t="s">
        <v>429</v>
      </c>
      <c r="J16" s="55"/>
    </row>
    <row r="17" ht="60.0" customHeight="1">
      <c r="A17" s="40">
        <v>14.0</v>
      </c>
      <c r="B17" s="41" t="s">
        <v>100</v>
      </c>
      <c r="C17" s="41" t="s">
        <v>101</v>
      </c>
      <c r="D17" s="41" t="s">
        <v>102</v>
      </c>
      <c r="E17" s="41" t="s">
        <v>103</v>
      </c>
      <c r="F17" s="40" t="str">
        <f t="shared" si="1"/>
        <v>WRONG</v>
      </c>
      <c r="G17" s="40" t="s">
        <v>36</v>
      </c>
      <c r="H17" s="54" t="s">
        <v>48</v>
      </c>
      <c r="I17" s="43" t="s">
        <v>430</v>
      </c>
      <c r="J17" s="55"/>
    </row>
    <row r="18" ht="60.0" customHeight="1">
      <c r="A18" s="40">
        <v>15.0</v>
      </c>
      <c r="B18" s="41" t="s">
        <v>105</v>
      </c>
      <c r="C18" s="41" t="s">
        <v>106</v>
      </c>
      <c r="D18" s="41" t="s">
        <v>107</v>
      </c>
      <c r="E18" s="41" t="s">
        <v>108</v>
      </c>
      <c r="F18" s="40" t="str">
        <f t="shared" si="1"/>
        <v>CORRECT</v>
      </c>
      <c r="G18" s="40" t="s">
        <v>48</v>
      </c>
      <c r="H18" s="55" t="s">
        <v>48</v>
      </c>
      <c r="I18" s="43" t="s">
        <v>431</v>
      </c>
      <c r="J18" s="55"/>
    </row>
    <row r="19" ht="60.0" customHeight="1">
      <c r="A19" s="40">
        <v>16.0</v>
      </c>
      <c r="B19" s="41" t="s">
        <v>110</v>
      </c>
      <c r="C19" s="41" t="s">
        <v>111</v>
      </c>
      <c r="D19" s="41" t="s">
        <v>112</v>
      </c>
      <c r="E19" s="41" t="s">
        <v>113</v>
      </c>
      <c r="F19" s="40" t="str">
        <f t="shared" si="1"/>
        <v>CORRECT</v>
      </c>
      <c r="G19" s="40" t="s">
        <v>48</v>
      </c>
      <c r="H19" s="55" t="s">
        <v>48</v>
      </c>
      <c r="I19" s="43" t="s">
        <v>432</v>
      </c>
      <c r="J19" s="55"/>
    </row>
    <row r="20" ht="60.0" customHeight="1">
      <c r="A20" s="40">
        <v>17.0</v>
      </c>
      <c r="B20" s="41" t="s">
        <v>115</v>
      </c>
      <c r="C20" s="41" t="s">
        <v>116</v>
      </c>
      <c r="D20" s="41" t="s">
        <v>117</v>
      </c>
      <c r="E20" s="41" t="s">
        <v>118</v>
      </c>
      <c r="F20" s="40" t="str">
        <f t="shared" si="1"/>
        <v>WRONG</v>
      </c>
      <c r="G20" s="40" t="s">
        <v>42</v>
      </c>
      <c r="H20" s="55" t="s">
        <v>36</v>
      </c>
      <c r="I20" s="43" t="s">
        <v>433</v>
      </c>
      <c r="J20" s="55"/>
    </row>
    <row r="21" ht="60.0" customHeight="1">
      <c r="A21" s="40">
        <v>18.0</v>
      </c>
      <c r="B21" s="41" t="s">
        <v>120</v>
      </c>
      <c r="C21" s="41" t="s">
        <v>121</v>
      </c>
      <c r="D21" s="41" t="s">
        <v>122</v>
      </c>
      <c r="E21" s="41" t="s">
        <v>123</v>
      </c>
      <c r="F21" s="40" t="str">
        <f t="shared" si="1"/>
        <v>CORRECT</v>
      </c>
      <c r="G21" s="40" t="s">
        <v>42</v>
      </c>
      <c r="H21" s="55" t="s">
        <v>42</v>
      </c>
      <c r="I21" s="43" t="s">
        <v>434</v>
      </c>
      <c r="J21" s="55"/>
    </row>
    <row r="22" ht="60.0" customHeight="1">
      <c r="A22" s="40">
        <v>19.0</v>
      </c>
      <c r="B22" s="41" t="s">
        <v>125</v>
      </c>
      <c r="C22" s="41" t="s">
        <v>126</v>
      </c>
      <c r="D22" s="41" t="s">
        <v>127</v>
      </c>
      <c r="E22" s="41" t="s">
        <v>128</v>
      </c>
      <c r="F22" s="40" t="str">
        <f t="shared" si="1"/>
        <v>WRONG</v>
      </c>
      <c r="G22" s="40" t="s">
        <v>36</v>
      </c>
      <c r="H22" s="54" t="s">
        <v>48</v>
      </c>
      <c r="I22" s="43" t="s">
        <v>435</v>
      </c>
      <c r="J22" s="55"/>
    </row>
    <row r="23" ht="60.0" customHeight="1">
      <c r="A23" s="40">
        <v>20.0</v>
      </c>
      <c r="B23" s="41" t="s">
        <v>130</v>
      </c>
      <c r="C23" s="41" t="s">
        <v>131</v>
      </c>
      <c r="D23" s="41" t="s">
        <v>132</v>
      </c>
      <c r="E23" s="41" t="s">
        <v>133</v>
      </c>
      <c r="F23" s="40" t="str">
        <f t="shared" si="1"/>
        <v>CORRECT</v>
      </c>
      <c r="G23" s="40" t="s">
        <v>42</v>
      </c>
      <c r="H23" s="55" t="s">
        <v>42</v>
      </c>
      <c r="I23" s="43" t="s">
        <v>436</v>
      </c>
      <c r="J23" s="55"/>
    </row>
    <row r="24" ht="60.0" customHeight="1">
      <c r="A24" s="40">
        <v>21.0</v>
      </c>
      <c r="B24" s="41" t="s">
        <v>135</v>
      </c>
      <c r="C24" s="41" t="s">
        <v>136</v>
      </c>
      <c r="D24" s="41" t="s">
        <v>137</v>
      </c>
      <c r="E24" s="41" t="s">
        <v>138</v>
      </c>
      <c r="F24" s="40" t="str">
        <f t="shared" si="1"/>
        <v>WRONG</v>
      </c>
      <c r="G24" s="40" t="s">
        <v>42</v>
      </c>
      <c r="H24" s="55" t="s">
        <v>36</v>
      </c>
      <c r="I24" s="43" t="s">
        <v>437</v>
      </c>
      <c r="J24" s="55"/>
    </row>
    <row r="25" ht="60.0" customHeight="1">
      <c r="A25" s="40">
        <v>22.0</v>
      </c>
      <c r="B25" s="41" t="s">
        <v>140</v>
      </c>
      <c r="C25" s="41" t="s">
        <v>141</v>
      </c>
      <c r="D25" s="41" t="s">
        <v>142</v>
      </c>
      <c r="E25" s="41" t="s">
        <v>143</v>
      </c>
      <c r="F25" s="40" t="str">
        <f t="shared" si="1"/>
        <v>CORRECT</v>
      </c>
      <c r="G25" s="40" t="s">
        <v>42</v>
      </c>
      <c r="H25" s="55" t="s">
        <v>42</v>
      </c>
      <c r="I25" s="43" t="s">
        <v>438</v>
      </c>
      <c r="J25" s="55"/>
    </row>
    <row r="26" ht="60.0" customHeight="1">
      <c r="A26" s="40">
        <v>23.0</v>
      </c>
      <c r="B26" s="41" t="s">
        <v>145</v>
      </c>
      <c r="C26" s="41" t="s">
        <v>146</v>
      </c>
      <c r="D26" s="41" t="s">
        <v>147</v>
      </c>
      <c r="E26" s="41" t="s">
        <v>148</v>
      </c>
      <c r="F26" s="40" t="str">
        <f t="shared" si="1"/>
        <v>CORRECT</v>
      </c>
      <c r="G26" s="40" t="s">
        <v>48</v>
      </c>
      <c r="H26" s="55" t="s">
        <v>48</v>
      </c>
      <c r="I26" s="43" t="s">
        <v>439</v>
      </c>
      <c r="J26" s="55"/>
    </row>
    <row r="27" ht="60.0" customHeight="1">
      <c r="A27" s="40">
        <v>24.0</v>
      </c>
      <c r="B27" s="41" t="s">
        <v>150</v>
      </c>
      <c r="C27" s="41" t="s">
        <v>151</v>
      </c>
      <c r="D27" s="41" t="s">
        <v>152</v>
      </c>
      <c r="E27" s="41" t="s">
        <v>153</v>
      </c>
      <c r="F27" s="40" t="str">
        <f t="shared" si="1"/>
        <v>CORRECT</v>
      </c>
      <c r="G27" s="40" t="s">
        <v>36</v>
      </c>
      <c r="H27" s="55" t="s">
        <v>36</v>
      </c>
      <c r="I27" s="43" t="s">
        <v>440</v>
      </c>
      <c r="J27" s="55"/>
    </row>
    <row r="28" ht="60.0" customHeight="1">
      <c r="A28" s="40">
        <v>25.0</v>
      </c>
      <c r="B28" s="41" t="s">
        <v>155</v>
      </c>
      <c r="C28" s="41" t="s">
        <v>151</v>
      </c>
      <c r="D28" s="41" t="s">
        <v>156</v>
      </c>
      <c r="E28" s="41" t="s">
        <v>153</v>
      </c>
      <c r="F28" s="40" t="str">
        <f t="shared" si="1"/>
        <v>WRONG</v>
      </c>
      <c r="G28" s="40" t="s">
        <v>48</v>
      </c>
      <c r="H28" s="54" t="s">
        <v>36</v>
      </c>
      <c r="I28" s="43" t="s">
        <v>441</v>
      </c>
      <c r="J28" s="55"/>
    </row>
    <row r="29" ht="60.0" customHeight="1">
      <c r="A29" s="40">
        <v>26.0</v>
      </c>
      <c r="B29" s="41" t="s">
        <v>158</v>
      </c>
      <c r="C29" s="41" t="s">
        <v>159</v>
      </c>
      <c r="D29" s="41" t="s">
        <v>160</v>
      </c>
      <c r="E29" s="41" t="s">
        <v>161</v>
      </c>
      <c r="F29" s="40" t="str">
        <f t="shared" si="1"/>
        <v>WRONG</v>
      </c>
      <c r="G29" s="40" t="s">
        <v>36</v>
      </c>
      <c r="H29" s="54" t="s">
        <v>42</v>
      </c>
      <c r="I29" s="43" t="s">
        <v>442</v>
      </c>
      <c r="J29" s="55"/>
    </row>
    <row r="30" ht="60.0" customHeight="1">
      <c r="A30" s="40">
        <v>27.0</v>
      </c>
      <c r="B30" s="41" t="s">
        <v>163</v>
      </c>
      <c r="C30" s="41" t="s">
        <v>164</v>
      </c>
      <c r="D30" s="41" t="s">
        <v>165</v>
      </c>
      <c r="E30" s="41" t="s">
        <v>166</v>
      </c>
      <c r="F30" s="40" t="str">
        <f t="shared" si="1"/>
        <v>CORRECT</v>
      </c>
      <c r="G30" s="40" t="s">
        <v>42</v>
      </c>
      <c r="H30" s="54" t="s">
        <v>42</v>
      </c>
      <c r="I30" s="43" t="s">
        <v>443</v>
      </c>
      <c r="J30" s="55"/>
    </row>
    <row r="31" ht="60.0" customHeight="1">
      <c r="A31" s="40">
        <v>28.0</v>
      </c>
      <c r="B31" s="41" t="s">
        <v>168</v>
      </c>
      <c r="C31" s="41" t="s">
        <v>169</v>
      </c>
      <c r="D31" s="41" t="s">
        <v>170</v>
      </c>
      <c r="E31" s="41" t="s">
        <v>171</v>
      </c>
      <c r="F31" s="40" t="str">
        <f t="shared" si="1"/>
        <v>WRONG</v>
      </c>
      <c r="G31" s="40" t="s">
        <v>36</v>
      </c>
      <c r="H31" s="55" t="s">
        <v>48</v>
      </c>
      <c r="I31" s="43" t="s">
        <v>444</v>
      </c>
      <c r="J31" s="55"/>
    </row>
    <row r="32" ht="60.0" customHeight="1">
      <c r="A32" s="40">
        <v>29.0</v>
      </c>
      <c r="B32" s="41" t="s">
        <v>173</v>
      </c>
      <c r="C32" s="41" t="s">
        <v>174</v>
      </c>
      <c r="D32" s="41" t="s">
        <v>175</v>
      </c>
      <c r="E32" s="41" t="s">
        <v>176</v>
      </c>
      <c r="F32" s="40" t="str">
        <f t="shared" si="1"/>
        <v>CORRECT</v>
      </c>
      <c r="G32" s="40" t="s">
        <v>42</v>
      </c>
      <c r="H32" s="55" t="s">
        <v>42</v>
      </c>
      <c r="I32" s="43" t="s">
        <v>445</v>
      </c>
      <c r="J32" s="55"/>
    </row>
    <row r="33" ht="60.0" customHeight="1">
      <c r="A33" s="40">
        <v>30.0</v>
      </c>
      <c r="B33" s="41" t="s">
        <v>178</v>
      </c>
      <c r="C33" s="41" t="s">
        <v>179</v>
      </c>
      <c r="D33" s="41" t="s">
        <v>180</v>
      </c>
      <c r="E33" s="41" t="s">
        <v>181</v>
      </c>
      <c r="F33" s="40" t="str">
        <f t="shared" si="1"/>
        <v>WRONG</v>
      </c>
      <c r="G33" s="40" t="s">
        <v>48</v>
      </c>
      <c r="H33" s="55" t="s">
        <v>36</v>
      </c>
      <c r="I33" s="43" t="s">
        <v>446</v>
      </c>
      <c r="J33" s="55"/>
    </row>
    <row r="34" ht="60.0" customHeight="1">
      <c r="A34" s="40">
        <v>31.0</v>
      </c>
      <c r="B34" s="41" t="s">
        <v>183</v>
      </c>
      <c r="C34" s="41" t="s">
        <v>184</v>
      </c>
      <c r="D34" s="41" t="s">
        <v>185</v>
      </c>
      <c r="E34" s="41" t="s">
        <v>186</v>
      </c>
      <c r="F34" s="40" t="str">
        <f t="shared" si="1"/>
        <v>WRONG</v>
      </c>
      <c r="G34" s="40" t="s">
        <v>42</v>
      </c>
      <c r="H34" s="55" t="s">
        <v>36</v>
      </c>
      <c r="I34" s="43" t="s">
        <v>447</v>
      </c>
      <c r="J34" s="55"/>
    </row>
    <row r="35" ht="60.0" customHeight="1">
      <c r="A35" s="40">
        <v>32.0</v>
      </c>
      <c r="B35" s="41" t="s">
        <v>188</v>
      </c>
      <c r="C35" s="41" t="s">
        <v>189</v>
      </c>
      <c r="D35" s="41" t="s">
        <v>190</v>
      </c>
      <c r="E35" s="41" t="s">
        <v>191</v>
      </c>
      <c r="F35" s="40" t="str">
        <f t="shared" si="1"/>
        <v>CORRECT</v>
      </c>
      <c r="G35" s="40" t="s">
        <v>36</v>
      </c>
      <c r="H35" s="54" t="s">
        <v>36</v>
      </c>
      <c r="I35" s="43" t="s">
        <v>448</v>
      </c>
      <c r="J35" s="55"/>
    </row>
    <row r="36" ht="60.0" customHeight="1">
      <c r="A36" s="40">
        <v>33.0</v>
      </c>
      <c r="B36" s="41" t="s">
        <v>193</v>
      </c>
      <c r="C36" s="41" t="s">
        <v>194</v>
      </c>
      <c r="D36" s="41" t="s">
        <v>195</v>
      </c>
      <c r="E36" s="41" t="s">
        <v>196</v>
      </c>
      <c r="F36" s="40" t="str">
        <f t="shared" si="1"/>
        <v>WRONG</v>
      </c>
      <c r="G36" s="40" t="s">
        <v>48</v>
      </c>
      <c r="H36" s="54" t="s">
        <v>42</v>
      </c>
      <c r="I36" s="43" t="s">
        <v>449</v>
      </c>
      <c r="J36" s="55"/>
    </row>
    <row r="37" ht="60.0" customHeight="1">
      <c r="A37" s="40">
        <v>34.0</v>
      </c>
      <c r="B37" s="41" t="s">
        <v>198</v>
      </c>
      <c r="C37" s="41" t="s">
        <v>199</v>
      </c>
      <c r="D37" s="41" t="s">
        <v>200</v>
      </c>
      <c r="E37" s="41" t="s">
        <v>201</v>
      </c>
      <c r="F37" s="40" t="str">
        <f t="shared" si="1"/>
        <v>CORRECT</v>
      </c>
      <c r="G37" s="40" t="s">
        <v>36</v>
      </c>
      <c r="H37" s="55" t="s">
        <v>36</v>
      </c>
      <c r="I37" s="43" t="s">
        <v>450</v>
      </c>
      <c r="J37" s="55"/>
    </row>
    <row r="38" ht="60.0" customHeight="1">
      <c r="A38" s="40">
        <v>35.0</v>
      </c>
      <c r="B38" s="41" t="s">
        <v>203</v>
      </c>
      <c r="C38" s="41" t="s">
        <v>204</v>
      </c>
      <c r="D38" s="41" t="s">
        <v>205</v>
      </c>
      <c r="E38" s="41" t="s">
        <v>206</v>
      </c>
      <c r="F38" s="40" t="str">
        <f t="shared" si="1"/>
        <v>CORRECT</v>
      </c>
      <c r="G38" s="40" t="s">
        <v>48</v>
      </c>
      <c r="H38" s="55" t="s">
        <v>48</v>
      </c>
      <c r="I38" s="43" t="s">
        <v>451</v>
      </c>
      <c r="J38" s="55"/>
    </row>
    <row r="39" ht="60.0" customHeight="1">
      <c r="A39" s="40">
        <v>36.0</v>
      </c>
      <c r="B39" s="41" t="s">
        <v>208</v>
      </c>
      <c r="C39" s="41" t="s">
        <v>209</v>
      </c>
      <c r="D39" s="41" t="s">
        <v>210</v>
      </c>
      <c r="E39" s="41" t="s">
        <v>211</v>
      </c>
      <c r="F39" s="40" t="str">
        <f t="shared" si="1"/>
        <v>CORRECT</v>
      </c>
      <c r="G39" s="40" t="s">
        <v>36</v>
      </c>
      <c r="H39" s="55" t="s">
        <v>36</v>
      </c>
      <c r="I39" s="43" t="s">
        <v>452</v>
      </c>
      <c r="J39" s="55"/>
    </row>
    <row r="40" ht="60.0" customHeight="1">
      <c r="A40" s="40">
        <v>37.0</v>
      </c>
      <c r="B40" s="41" t="s">
        <v>213</v>
      </c>
      <c r="C40" s="41" t="s">
        <v>214</v>
      </c>
      <c r="D40" s="41" t="s">
        <v>215</v>
      </c>
      <c r="E40" s="41" t="s">
        <v>216</v>
      </c>
      <c r="F40" s="40" t="str">
        <f t="shared" si="1"/>
        <v>WRONG</v>
      </c>
      <c r="G40" s="40" t="s">
        <v>36</v>
      </c>
      <c r="H40" s="55" t="s">
        <v>42</v>
      </c>
      <c r="I40" s="43" t="s">
        <v>453</v>
      </c>
      <c r="J40" s="55"/>
    </row>
    <row r="41" ht="60.0" customHeight="1">
      <c r="A41" s="40">
        <v>38.0</v>
      </c>
      <c r="B41" s="41" t="s">
        <v>218</v>
      </c>
      <c r="C41" s="41" t="s">
        <v>219</v>
      </c>
      <c r="D41" s="41" t="s">
        <v>220</v>
      </c>
      <c r="E41" s="41" t="s">
        <v>221</v>
      </c>
      <c r="F41" s="40" t="str">
        <f t="shared" si="1"/>
        <v>CORRECT</v>
      </c>
      <c r="G41" s="40" t="s">
        <v>36</v>
      </c>
      <c r="H41" s="55" t="s">
        <v>36</v>
      </c>
      <c r="I41" s="43" t="s">
        <v>454</v>
      </c>
      <c r="J41" s="55"/>
    </row>
    <row r="42" ht="60.0" customHeight="1">
      <c r="A42" s="40">
        <v>39.0</v>
      </c>
      <c r="B42" s="41" t="s">
        <v>223</v>
      </c>
      <c r="C42" s="41" t="s">
        <v>224</v>
      </c>
      <c r="D42" s="41" t="s">
        <v>225</v>
      </c>
      <c r="E42" s="41" t="s">
        <v>226</v>
      </c>
      <c r="F42" s="40" t="str">
        <f t="shared" si="1"/>
        <v>WRONG</v>
      </c>
      <c r="G42" s="40" t="s">
        <v>42</v>
      </c>
      <c r="H42" s="55" t="s">
        <v>48</v>
      </c>
      <c r="I42" s="43" t="s">
        <v>455</v>
      </c>
      <c r="J42" s="55"/>
    </row>
    <row r="43" ht="60.0" customHeight="1">
      <c r="A43" s="40">
        <v>40.0</v>
      </c>
      <c r="B43" s="41" t="s">
        <v>228</v>
      </c>
      <c r="C43" s="41" t="s">
        <v>229</v>
      </c>
      <c r="D43" s="41" t="s">
        <v>230</v>
      </c>
      <c r="E43" s="41" t="s">
        <v>231</v>
      </c>
      <c r="F43" s="40" t="str">
        <f t="shared" si="1"/>
        <v>CORRECT</v>
      </c>
      <c r="G43" s="40" t="s">
        <v>48</v>
      </c>
      <c r="H43" s="55" t="s">
        <v>48</v>
      </c>
      <c r="I43" s="43" t="s">
        <v>456</v>
      </c>
      <c r="J43" s="55"/>
    </row>
    <row r="44" ht="60.0" customHeight="1">
      <c r="A44" s="40">
        <v>41.0</v>
      </c>
      <c r="B44" s="41" t="s">
        <v>233</v>
      </c>
      <c r="C44" s="41" t="s">
        <v>234</v>
      </c>
      <c r="D44" s="41" t="s">
        <v>235</v>
      </c>
      <c r="E44" s="41" t="s">
        <v>236</v>
      </c>
      <c r="F44" s="40" t="str">
        <f t="shared" si="1"/>
        <v>CORRECT</v>
      </c>
      <c r="G44" s="40" t="s">
        <v>42</v>
      </c>
      <c r="H44" s="55" t="s">
        <v>42</v>
      </c>
      <c r="I44" s="43" t="s">
        <v>457</v>
      </c>
      <c r="J44" s="55"/>
    </row>
    <row r="45" ht="60.0" customHeight="1">
      <c r="A45" s="40">
        <v>42.0</v>
      </c>
      <c r="B45" s="41" t="s">
        <v>238</v>
      </c>
      <c r="C45" s="41" t="s">
        <v>239</v>
      </c>
      <c r="D45" s="41" t="s">
        <v>240</v>
      </c>
      <c r="E45" s="41" t="s">
        <v>241</v>
      </c>
      <c r="F45" s="40" t="str">
        <f t="shared" si="1"/>
        <v>WRONG</v>
      </c>
      <c r="G45" s="40" t="s">
        <v>36</v>
      </c>
      <c r="H45" s="55" t="s">
        <v>42</v>
      </c>
      <c r="I45" s="43" t="s">
        <v>458</v>
      </c>
      <c r="J45" s="55"/>
    </row>
    <row r="46" ht="60.0" customHeight="1">
      <c r="A46" s="40">
        <v>43.0</v>
      </c>
      <c r="B46" s="41" t="s">
        <v>243</v>
      </c>
      <c r="C46" s="41" t="s">
        <v>244</v>
      </c>
      <c r="D46" s="41" t="s">
        <v>245</v>
      </c>
      <c r="E46" s="41" t="s">
        <v>246</v>
      </c>
      <c r="F46" s="40" t="str">
        <f t="shared" si="1"/>
        <v>WRONG</v>
      </c>
      <c r="G46" s="40" t="s">
        <v>48</v>
      </c>
      <c r="H46" s="55" t="s">
        <v>42</v>
      </c>
      <c r="I46" s="43" t="s">
        <v>459</v>
      </c>
      <c r="J46" s="55"/>
    </row>
    <row r="47" ht="60.0" customHeight="1">
      <c r="A47" s="40">
        <v>44.0</v>
      </c>
      <c r="B47" s="41" t="s">
        <v>248</v>
      </c>
      <c r="C47" s="41" t="s">
        <v>249</v>
      </c>
      <c r="D47" s="41" t="s">
        <v>250</v>
      </c>
      <c r="E47" s="41" t="s">
        <v>251</v>
      </c>
      <c r="F47" s="40" t="str">
        <f t="shared" si="1"/>
        <v>CORRECT</v>
      </c>
      <c r="G47" s="40" t="s">
        <v>36</v>
      </c>
      <c r="H47" s="54" t="s">
        <v>36</v>
      </c>
      <c r="I47" s="43" t="s">
        <v>460</v>
      </c>
      <c r="J47" s="55"/>
    </row>
    <row r="48" ht="60.0" customHeight="1">
      <c r="A48" s="40">
        <v>45.0</v>
      </c>
      <c r="B48" s="41" t="s">
        <v>253</v>
      </c>
      <c r="C48" s="41" t="s">
        <v>254</v>
      </c>
      <c r="D48" s="41" t="s">
        <v>255</v>
      </c>
      <c r="E48" s="41" t="s">
        <v>256</v>
      </c>
      <c r="F48" s="40" t="str">
        <f t="shared" si="1"/>
        <v>CORRECT</v>
      </c>
      <c r="G48" s="40" t="s">
        <v>36</v>
      </c>
      <c r="H48" s="55" t="s">
        <v>36</v>
      </c>
      <c r="I48" s="43" t="s">
        <v>461</v>
      </c>
      <c r="J48" s="55"/>
    </row>
    <row r="49" ht="60.0" customHeight="1">
      <c r="A49" s="40">
        <v>46.0</v>
      </c>
      <c r="B49" s="41" t="s">
        <v>258</v>
      </c>
      <c r="C49" s="41" t="s">
        <v>39</v>
      </c>
      <c r="D49" s="41" t="s">
        <v>259</v>
      </c>
      <c r="E49" s="41" t="s">
        <v>260</v>
      </c>
      <c r="F49" s="40" t="str">
        <f t="shared" si="1"/>
        <v>CORRECT</v>
      </c>
      <c r="G49" s="40" t="s">
        <v>36</v>
      </c>
      <c r="H49" s="55" t="s">
        <v>36</v>
      </c>
      <c r="I49" s="43" t="s">
        <v>462</v>
      </c>
      <c r="J49" s="55"/>
    </row>
    <row r="50">
      <c r="A50" s="45" t="s">
        <v>262</v>
      </c>
      <c r="B50" s="2"/>
      <c r="C50" s="2"/>
      <c r="D50" s="2"/>
      <c r="E50" s="3"/>
      <c r="F50" s="46">
        <f>COUNTIFS(F4:F49,"CORRECT")</f>
        <v>29</v>
      </c>
      <c r="G50" s="47"/>
      <c r="H50" s="47"/>
      <c r="J50" s="48" t="str">
        <f>AVERAGE(J4:J49)</f>
        <v>#DIV/0!</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463</v>
      </c>
      <c r="C2" s="2"/>
      <c r="D2" s="2"/>
      <c r="E2" s="2"/>
      <c r="F2" s="2"/>
      <c r="G2" s="2"/>
      <c r="H2" s="3"/>
      <c r="I2" s="38" t="s">
        <v>464</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4" t="s">
        <v>36</v>
      </c>
      <c r="I4" s="56" t="s">
        <v>465</v>
      </c>
      <c r="J4" s="55"/>
    </row>
    <row r="5" ht="60.0" customHeight="1">
      <c r="A5" s="40">
        <v>2.0</v>
      </c>
      <c r="B5" s="41" t="s">
        <v>38</v>
      </c>
      <c r="C5" s="41" t="s">
        <v>39</v>
      </c>
      <c r="D5" s="41" t="s">
        <v>40</v>
      </c>
      <c r="E5" s="41" t="s">
        <v>41</v>
      </c>
      <c r="F5" s="40" t="str">
        <f t="shared" si="1"/>
        <v>WRONG</v>
      </c>
      <c r="G5" s="40" t="s">
        <v>42</v>
      </c>
      <c r="H5" s="54" t="s">
        <v>36</v>
      </c>
      <c r="I5" s="43" t="s">
        <v>466</v>
      </c>
      <c r="J5" s="55"/>
    </row>
    <row r="6" ht="60.0" customHeight="1">
      <c r="A6" s="40">
        <v>3.0</v>
      </c>
      <c r="B6" s="41" t="s">
        <v>44</v>
      </c>
      <c r="C6" s="41" t="s">
        <v>45</v>
      </c>
      <c r="D6" s="41" t="s">
        <v>46</v>
      </c>
      <c r="E6" s="41" t="s">
        <v>47</v>
      </c>
      <c r="F6" s="40" t="str">
        <f t="shared" si="1"/>
        <v>WRONG</v>
      </c>
      <c r="G6" s="40" t="s">
        <v>48</v>
      </c>
      <c r="H6" s="54" t="s">
        <v>36</v>
      </c>
      <c r="I6" s="43" t="s">
        <v>467</v>
      </c>
      <c r="J6" s="55"/>
    </row>
    <row r="7" ht="60.0" customHeight="1">
      <c r="A7" s="40">
        <v>4.0</v>
      </c>
      <c r="B7" s="41" t="s">
        <v>50</v>
      </c>
      <c r="C7" s="41" t="s">
        <v>51</v>
      </c>
      <c r="D7" s="41" t="s">
        <v>52</v>
      </c>
      <c r="E7" s="41" t="s">
        <v>53</v>
      </c>
      <c r="F7" s="40" t="str">
        <f t="shared" si="1"/>
        <v>CORRECT</v>
      </c>
      <c r="G7" s="40" t="s">
        <v>42</v>
      </c>
      <c r="H7" s="54" t="s">
        <v>42</v>
      </c>
      <c r="I7" s="43" t="s">
        <v>468</v>
      </c>
      <c r="J7" s="55"/>
    </row>
    <row r="8" ht="60.0" customHeight="1">
      <c r="A8" s="40">
        <v>5.0</v>
      </c>
      <c r="B8" s="41" t="s">
        <v>55</v>
      </c>
      <c r="C8" s="41" t="s">
        <v>56</v>
      </c>
      <c r="D8" s="41" t="s">
        <v>57</v>
      </c>
      <c r="E8" s="41" t="s">
        <v>58</v>
      </c>
      <c r="F8" s="40" t="str">
        <f t="shared" si="1"/>
        <v>WRONG</v>
      </c>
      <c r="G8" s="40" t="s">
        <v>48</v>
      </c>
      <c r="H8" s="54" t="s">
        <v>36</v>
      </c>
      <c r="I8" s="43" t="s">
        <v>469</v>
      </c>
      <c r="J8" s="55"/>
    </row>
    <row r="9" ht="60.0" customHeight="1">
      <c r="A9" s="40">
        <v>6.0</v>
      </c>
      <c r="B9" s="41" t="s">
        <v>60</v>
      </c>
      <c r="C9" s="41" t="s">
        <v>61</v>
      </c>
      <c r="D9" s="41" t="s">
        <v>62</v>
      </c>
      <c r="E9" s="41" t="s">
        <v>63</v>
      </c>
      <c r="F9" s="40" t="str">
        <f t="shared" si="1"/>
        <v>CORRECT</v>
      </c>
      <c r="G9" s="40" t="s">
        <v>42</v>
      </c>
      <c r="H9" s="54" t="s">
        <v>42</v>
      </c>
      <c r="I9" s="43" t="s">
        <v>470</v>
      </c>
      <c r="J9" s="55"/>
    </row>
    <row r="10" ht="60.0" customHeight="1">
      <c r="A10" s="40">
        <v>7.0</v>
      </c>
      <c r="B10" s="41" t="s">
        <v>65</v>
      </c>
      <c r="C10" s="41" t="s">
        <v>66</v>
      </c>
      <c r="D10" s="41" t="s">
        <v>67</v>
      </c>
      <c r="E10" s="41" t="s">
        <v>68</v>
      </c>
      <c r="F10" s="40" t="str">
        <f t="shared" si="1"/>
        <v>WRONG</v>
      </c>
      <c r="G10" s="40" t="s">
        <v>42</v>
      </c>
      <c r="H10" s="54" t="s">
        <v>36</v>
      </c>
      <c r="I10" s="43" t="s">
        <v>471</v>
      </c>
      <c r="J10" s="55"/>
    </row>
    <row r="11" ht="60.0" customHeight="1">
      <c r="A11" s="40">
        <v>8.0</v>
      </c>
      <c r="B11" s="41" t="s">
        <v>70</v>
      </c>
      <c r="C11" s="41" t="s">
        <v>71</v>
      </c>
      <c r="D11" s="41" t="s">
        <v>72</v>
      </c>
      <c r="E11" s="41" t="s">
        <v>73</v>
      </c>
      <c r="F11" s="40" t="str">
        <f t="shared" si="1"/>
        <v>WRONG</v>
      </c>
      <c r="G11" s="40" t="s">
        <v>48</v>
      </c>
      <c r="H11" s="54" t="s">
        <v>42</v>
      </c>
      <c r="I11" s="43" t="s">
        <v>472</v>
      </c>
      <c r="J11" s="55"/>
    </row>
    <row r="12" ht="60.0" customHeight="1">
      <c r="A12" s="40">
        <v>9.0</v>
      </c>
      <c r="B12" s="41" t="s">
        <v>75</v>
      </c>
      <c r="C12" s="41" t="s">
        <v>76</v>
      </c>
      <c r="D12" s="41" t="s">
        <v>77</v>
      </c>
      <c r="E12" s="41" t="s">
        <v>78</v>
      </c>
      <c r="F12" s="40" t="str">
        <f t="shared" si="1"/>
        <v>CORRECT</v>
      </c>
      <c r="G12" s="40" t="s">
        <v>42</v>
      </c>
      <c r="H12" s="54" t="s">
        <v>42</v>
      </c>
      <c r="I12" s="43" t="s">
        <v>473</v>
      </c>
      <c r="J12" s="55"/>
    </row>
    <row r="13" ht="60.0" customHeight="1">
      <c r="A13" s="40">
        <v>10.0</v>
      </c>
      <c r="B13" s="41" t="s">
        <v>80</v>
      </c>
      <c r="C13" s="41" t="s">
        <v>81</v>
      </c>
      <c r="D13" s="41" t="s">
        <v>82</v>
      </c>
      <c r="E13" s="41" t="s">
        <v>83</v>
      </c>
      <c r="F13" s="40" t="str">
        <f t="shared" si="1"/>
        <v>WRONG</v>
      </c>
      <c r="G13" s="40" t="s">
        <v>48</v>
      </c>
      <c r="H13" s="54" t="s">
        <v>42</v>
      </c>
      <c r="I13" s="43" t="s">
        <v>474</v>
      </c>
      <c r="J13" s="55"/>
    </row>
    <row r="14" ht="60.0" customHeight="1">
      <c r="A14" s="40">
        <v>11.0</v>
      </c>
      <c r="B14" s="41" t="s">
        <v>85</v>
      </c>
      <c r="C14" s="41" t="s">
        <v>86</v>
      </c>
      <c r="D14" s="41" t="s">
        <v>87</v>
      </c>
      <c r="E14" s="41" t="s">
        <v>88</v>
      </c>
      <c r="F14" s="40" t="str">
        <f t="shared" si="1"/>
        <v>WRONG</v>
      </c>
      <c r="G14" s="40" t="s">
        <v>42</v>
      </c>
      <c r="H14" s="54" t="s">
        <v>48</v>
      </c>
      <c r="I14" s="43" t="s">
        <v>475</v>
      </c>
      <c r="J14" s="55"/>
    </row>
    <row r="15" ht="60.0" customHeight="1">
      <c r="A15" s="40">
        <v>12.0</v>
      </c>
      <c r="B15" s="41" t="s">
        <v>90</v>
      </c>
      <c r="C15" s="41" t="s">
        <v>91</v>
      </c>
      <c r="D15" s="41" t="s">
        <v>92</v>
      </c>
      <c r="E15" s="41" t="s">
        <v>93</v>
      </c>
      <c r="F15" s="40" t="str">
        <f t="shared" si="1"/>
        <v>CORRECT</v>
      </c>
      <c r="G15" s="40" t="s">
        <v>48</v>
      </c>
      <c r="H15" s="54" t="s">
        <v>48</v>
      </c>
      <c r="I15" s="43" t="s">
        <v>476</v>
      </c>
      <c r="J15" s="55"/>
    </row>
    <row r="16" ht="60.0" customHeight="1">
      <c r="A16" s="40">
        <v>13.0</v>
      </c>
      <c r="B16" s="41" t="s">
        <v>95</v>
      </c>
      <c r="C16" s="41" t="s">
        <v>96</v>
      </c>
      <c r="D16" s="41" t="s">
        <v>97</v>
      </c>
      <c r="E16" s="41" t="s">
        <v>98</v>
      </c>
      <c r="F16" s="40" t="str">
        <f t="shared" si="1"/>
        <v>CORRECT</v>
      </c>
      <c r="G16" s="40" t="s">
        <v>36</v>
      </c>
      <c r="H16" s="54" t="s">
        <v>36</v>
      </c>
      <c r="I16" s="43" t="s">
        <v>477</v>
      </c>
      <c r="J16" s="55"/>
    </row>
    <row r="17" ht="60.0" customHeight="1">
      <c r="A17" s="40">
        <v>14.0</v>
      </c>
      <c r="B17" s="41" t="s">
        <v>100</v>
      </c>
      <c r="C17" s="41" t="s">
        <v>101</v>
      </c>
      <c r="D17" s="41" t="s">
        <v>102</v>
      </c>
      <c r="E17" s="41" t="s">
        <v>103</v>
      </c>
      <c r="F17" s="40" t="str">
        <f t="shared" si="1"/>
        <v>WRONG</v>
      </c>
      <c r="G17" s="40" t="s">
        <v>36</v>
      </c>
      <c r="H17" s="54" t="s">
        <v>42</v>
      </c>
      <c r="I17" s="56" t="s">
        <v>478</v>
      </c>
      <c r="J17" s="55"/>
    </row>
    <row r="18" ht="60.0" customHeight="1">
      <c r="A18" s="40">
        <v>15.0</v>
      </c>
      <c r="B18" s="41" t="s">
        <v>105</v>
      </c>
      <c r="C18" s="41" t="s">
        <v>106</v>
      </c>
      <c r="D18" s="41" t="s">
        <v>107</v>
      </c>
      <c r="E18" s="41" t="s">
        <v>108</v>
      </c>
      <c r="F18" s="40" t="str">
        <f t="shared" si="1"/>
        <v>CORRECT</v>
      </c>
      <c r="G18" s="40" t="s">
        <v>48</v>
      </c>
      <c r="H18" s="54" t="s">
        <v>48</v>
      </c>
      <c r="I18" s="56" t="s">
        <v>479</v>
      </c>
      <c r="J18" s="55"/>
    </row>
    <row r="19" ht="60.0" customHeight="1">
      <c r="A19" s="40">
        <v>16.0</v>
      </c>
      <c r="B19" s="41" t="s">
        <v>110</v>
      </c>
      <c r="C19" s="41" t="s">
        <v>111</v>
      </c>
      <c r="D19" s="41" t="s">
        <v>112</v>
      </c>
      <c r="E19" s="41" t="s">
        <v>113</v>
      </c>
      <c r="F19" s="40" t="str">
        <f t="shared" si="1"/>
        <v>WRONG</v>
      </c>
      <c r="G19" s="40" t="s">
        <v>48</v>
      </c>
      <c r="H19" s="54" t="s">
        <v>36</v>
      </c>
      <c r="I19" s="43" t="s">
        <v>480</v>
      </c>
      <c r="J19" s="55"/>
    </row>
    <row r="20" ht="60.0" customHeight="1">
      <c r="A20" s="40">
        <v>17.0</v>
      </c>
      <c r="B20" s="41" t="s">
        <v>115</v>
      </c>
      <c r="C20" s="41" t="s">
        <v>116</v>
      </c>
      <c r="D20" s="41" t="s">
        <v>117</v>
      </c>
      <c r="E20" s="41" t="s">
        <v>118</v>
      </c>
      <c r="F20" s="40" t="str">
        <f t="shared" si="1"/>
        <v>WRONG</v>
      </c>
      <c r="G20" s="40" t="s">
        <v>42</v>
      </c>
      <c r="H20" s="54" t="s">
        <v>36</v>
      </c>
      <c r="I20" s="43" t="s">
        <v>481</v>
      </c>
      <c r="J20" s="55"/>
    </row>
    <row r="21" ht="60.0" customHeight="1">
      <c r="A21" s="40">
        <v>18.0</v>
      </c>
      <c r="B21" s="41" t="s">
        <v>120</v>
      </c>
      <c r="C21" s="41" t="s">
        <v>121</v>
      </c>
      <c r="D21" s="41" t="s">
        <v>122</v>
      </c>
      <c r="E21" s="41" t="s">
        <v>123</v>
      </c>
      <c r="F21" s="40" t="str">
        <f t="shared" si="1"/>
        <v>CORRECT</v>
      </c>
      <c r="G21" s="40" t="s">
        <v>42</v>
      </c>
      <c r="H21" s="54" t="s">
        <v>42</v>
      </c>
      <c r="I21" s="43" t="s">
        <v>482</v>
      </c>
      <c r="J21" s="55"/>
    </row>
    <row r="22" ht="60.0" customHeight="1">
      <c r="A22" s="40">
        <v>19.0</v>
      </c>
      <c r="B22" s="41" t="s">
        <v>125</v>
      </c>
      <c r="C22" s="41" t="s">
        <v>126</v>
      </c>
      <c r="D22" s="41" t="s">
        <v>127</v>
      </c>
      <c r="E22" s="41" t="s">
        <v>128</v>
      </c>
      <c r="F22" s="40" t="str">
        <f t="shared" si="1"/>
        <v>WRONG</v>
      </c>
      <c r="G22" s="40" t="s">
        <v>36</v>
      </c>
      <c r="H22" s="54" t="s">
        <v>48</v>
      </c>
      <c r="I22" s="43" t="s">
        <v>483</v>
      </c>
      <c r="J22" s="55"/>
    </row>
    <row r="23" ht="60.0" customHeight="1">
      <c r="A23" s="40">
        <v>20.0</v>
      </c>
      <c r="B23" s="41" t="s">
        <v>130</v>
      </c>
      <c r="C23" s="41" t="s">
        <v>131</v>
      </c>
      <c r="D23" s="41" t="s">
        <v>132</v>
      </c>
      <c r="E23" s="41" t="s">
        <v>133</v>
      </c>
      <c r="F23" s="40" t="str">
        <f t="shared" si="1"/>
        <v>WRONG</v>
      </c>
      <c r="G23" s="40" t="s">
        <v>42</v>
      </c>
      <c r="H23" s="54" t="s">
        <v>36</v>
      </c>
      <c r="I23" s="43" t="s">
        <v>484</v>
      </c>
      <c r="J23" s="55"/>
    </row>
    <row r="24" ht="60.0" customHeight="1">
      <c r="A24" s="40">
        <v>21.0</v>
      </c>
      <c r="B24" s="41" t="s">
        <v>135</v>
      </c>
      <c r="C24" s="41" t="s">
        <v>136</v>
      </c>
      <c r="D24" s="41" t="s">
        <v>137</v>
      </c>
      <c r="E24" s="41" t="s">
        <v>138</v>
      </c>
      <c r="F24" s="40" t="str">
        <f t="shared" si="1"/>
        <v>WRONG</v>
      </c>
      <c r="G24" s="40" t="s">
        <v>42</v>
      </c>
      <c r="H24" s="54" t="s">
        <v>48</v>
      </c>
      <c r="I24" s="43" t="s">
        <v>485</v>
      </c>
      <c r="J24" s="55"/>
    </row>
    <row r="25" ht="60.0" customHeight="1">
      <c r="A25" s="40">
        <v>22.0</v>
      </c>
      <c r="B25" s="41" t="s">
        <v>140</v>
      </c>
      <c r="C25" s="41" t="s">
        <v>141</v>
      </c>
      <c r="D25" s="41" t="s">
        <v>142</v>
      </c>
      <c r="E25" s="41" t="s">
        <v>143</v>
      </c>
      <c r="F25" s="40" t="str">
        <f t="shared" si="1"/>
        <v>CORRECT</v>
      </c>
      <c r="G25" s="40" t="s">
        <v>42</v>
      </c>
      <c r="H25" s="54" t="s">
        <v>42</v>
      </c>
      <c r="I25" s="43" t="s">
        <v>486</v>
      </c>
      <c r="J25" s="55"/>
    </row>
    <row r="26" ht="60.0" customHeight="1">
      <c r="A26" s="40">
        <v>23.0</v>
      </c>
      <c r="B26" s="41" t="s">
        <v>145</v>
      </c>
      <c r="C26" s="41" t="s">
        <v>146</v>
      </c>
      <c r="D26" s="41" t="s">
        <v>147</v>
      </c>
      <c r="E26" s="41" t="s">
        <v>148</v>
      </c>
      <c r="F26" s="40" t="str">
        <f t="shared" si="1"/>
        <v>CORRECT</v>
      </c>
      <c r="G26" s="40" t="s">
        <v>48</v>
      </c>
      <c r="H26" s="55" t="s">
        <v>48</v>
      </c>
      <c r="I26" s="43" t="s">
        <v>487</v>
      </c>
      <c r="J26" s="55"/>
    </row>
    <row r="27" ht="60.0" customHeight="1">
      <c r="A27" s="40">
        <v>24.0</v>
      </c>
      <c r="B27" s="41" t="s">
        <v>150</v>
      </c>
      <c r="C27" s="41" t="s">
        <v>151</v>
      </c>
      <c r="D27" s="41" t="s">
        <v>152</v>
      </c>
      <c r="E27" s="41" t="s">
        <v>153</v>
      </c>
      <c r="F27" s="40" t="str">
        <f t="shared" si="1"/>
        <v>CORRECT</v>
      </c>
      <c r="G27" s="40" t="s">
        <v>36</v>
      </c>
      <c r="H27" s="54" t="s">
        <v>36</v>
      </c>
      <c r="I27" s="43" t="s">
        <v>488</v>
      </c>
      <c r="J27" s="55"/>
    </row>
    <row r="28" ht="60.0" customHeight="1">
      <c r="A28" s="40">
        <v>25.0</v>
      </c>
      <c r="B28" s="41" t="s">
        <v>155</v>
      </c>
      <c r="C28" s="41" t="s">
        <v>151</v>
      </c>
      <c r="D28" s="41" t="s">
        <v>156</v>
      </c>
      <c r="E28" s="41" t="s">
        <v>153</v>
      </c>
      <c r="F28" s="40" t="str">
        <f t="shared" si="1"/>
        <v>WRONG</v>
      </c>
      <c r="G28" s="40" t="s">
        <v>48</v>
      </c>
      <c r="H28" s="54" t="s">
        <v>36</v>
      </c>
      <c r="I28" s="43" t="s">
        <v>489</v>
      </c>
      <c r="J28" s="55"/>
    </row>
    <row r="29" ht="60.0" customHeight="1">
      <c r="A29" s="40">
        <v>26.0</v>
      </c>
      <c r="B29" s="41" t="s">
        <v>158</v>
      </c>
      <c r="C29" s="41" t="s">
        <v>159</v>
      </c>
      <c r="D29" s="41" t="s">
        <v>160</v>
      </c>
      <c r="E29" s="41" t="s">
        <v>161</v>
      </c>
      <c r="F29" s="40" t="str">
        <f t="shared" si="1"/>
        <v>WRONG</v>
      </c>
      <c r="G29" s="40" t="s">
        <v>36</v>
      </c>
      <c r="H29" s="54" t="s">
        <v>48</v>
      </c>
      <c r="I29" s="43" t="s">
        <v>490</v>
      </c>
      <c r="J29" s="55"/>
    </row>
    <row r="30" ht="60.0" customHeight="1">
      <c r="A30" s="40">
        <v>27.0</v>
      </c>
      <c r="B30" s="41" t="s">
        <v>163</v>
      </c>
      <c r="C30" s="41" t="s">
        <v>164</v>
      </c>
      <c r="D30" s="41" t="s">
        <v>165</v>
      </c>
      <c r="E30" s="41" t="s">
        <v>166</v>
      </c>
      <c r="F30" s="40" t="str">
        <f t="shared" si="1"/>
        <v>WRONG</v>
      </c>
      <c r="G30" s="40" t="s">
        <v>42</v>
      </c>
      <c r="H30" s="54" t="s">
        <v>36</v>
      </c>
      <c r="I30" s="43" t="s">
        <v>491</v>
      </c>
      <c r="J30" s="55"/>
    </row>
    <row r="31" ht="60.0" customHeight="1">
      <c r="A31" s="40">
        <v>28.0</v>
      </c>
      <c r="B31" s="41" t="s">
        <v>168</v>
      </c>
      <c r="C31" s="41" t="s">
        <v>169</v>
      </c>
      <c r="D31" s="41" t="s">
        <v>170</v>
      </c>
      <c r="E31" s="41" t="s">
        <v>171</v>
      </c>
      <c r="F31" s="40" t="str">
        <f t="shared" si="1"/>
        <v>WRONG</v>
      </c>
      <c r="G31" s="40" t="s">
        <v>36</v>
      </c>
      <c r="H31" s="54" t="s">
        <v>48</v>
      </c>
      <c r="I31" s="43" t="s">
        <v>492</v>
      </c>
      <c r="J31" s="55"/>
    </row>
    <row r="32" ht="60.0" customHeight="1">
      <c r="A32" s="40">
        <v>29.0</v>
      </c>
      <c r="B32" s="41" t="s">
        <v>173</v>
      </c>
      <c r="C32" s="41" t="s">
        <v>174</v>
      </c>
      <c r="D32" s="41" t="s">
        <v>175</v>
      </c>
      <c r="E32" s="41" t="s">
        <v>176</v>
      </c>
      <c r="F32" s="40" t="str">
        <f t="shared" si="1"/>
        <v>WRONG</v>
      </c>
      <c r="G32" s="40" t="s">
        <v>42</v>
      </c>
      <c r="H32" s="54" t="s">
        <v>48</v>
      </c>
      <c r="I32" s="43" t="s">
        <v>493</v>
      </c>
      <c r="J32" s="55"/>
    </row>
    <row r="33" ht="60.0" customHeight="1">
      <c r="A33" s="40">
        <v>30.0</v>
      </c>
      <c r="B33" s="41" t="s">
        <v>178</v>
      </c>
      <c r="C33" s="41" t="s">
        <v>179</v>
      </c>
      <c r="D33" s="41" t="s">
        <v>180</v>
      </c>
      <c r="E33" s="41" t="s">
        <v>181</v>
      </c>
      <c r="F33" s="40" t="str">
        <f t="shared" si="1"/>
        <v>WRONG</v>
      </c>
      <c r="G33" s="40" t="s">
        <v>48</v>
      </c>
      <c r="H33" s="54" t="s">
        <v>36</v>
      </c>
      <c r="I33" s="43" t="s">
        <v>494</v>
      </c>
      <c r="J33" s="55"/>
    </row>
    <row r="34" ht="60.0" customHeight="1">
      <c r="A34" s="40">
        <v>31.0</v>
      </c>
      <c r="B34" s="41" t="s">
        <v>183</v>
      </c>
      <c r="C34" s="41" t="s">
        <v>184</v>
      </c>
      <c r="D34" s="41" t="s">
        <v>185</v>
      </c>
      <c r="E34" s="41" t="s">
        <v>186</v>
      </c>
      <c r="F34" s="40" t="str">
        <f t="shared" si="1"/>
        <v>CORRECT</v>
      </c>
      <c r="G34" s="40" t="s">
        <v>42</v>
      </c>
      <c r="H34" s="54" t="s">
        <v>42</v>
      </c>
      <c r="I34" s="43" t="s">
        <v>495</v>
      </c>
      <c r="J34" s="55"/>
    </row>
    <row r="35" ht="60.0" customHeight="1">
      <c r="A35" s="40">
        <v>32.0</v>
      </c>
      <c r="B35" s="41" t="s">
        <v>188</v>
      </c>
      <c r="C35" s="41" t="s">
        <v>189</v>
      </c>
      <c r="D35" s="41" t="s">
        <v>190</v>
      </c>
      <c r="E35" s="41" t="s">
        <v>191</v>
      </c>
      <c r="F35" s="40" t="str">
        <f t="shared" si="1"/>
        <v>WRONG</v>
      </c>
      <c r="G35" s="40" t="s">
        <v>36</v>
      </c>
      <c r="H35" s="54" t="s">
        <v>42</v>
      </c>
      <c r="I35" s="43" t="s">
        <v>496</v>
      </c>
      <c r="J35" s="55"/>
    </row>
    <row r="36" ht="60.0" customHeight="1">
      <c r="A36" s="40">
        <v>33.0</v>
      </c>
      <c r="B36" s="41" t="s">
        <v>193</v>
      </c>
      <c r="C36" s="41" t="s">
        <v>194</v>
      </c>
      <c r="D36" s="41" t="s">
        <v>195</v>
      </c>
      <c r="E36" s="41" t="s">
        <v>196</v>
      </c>
      <c r="F36" s="40" t="str">
        <f t="shared" si="1"/>
        <v>WRONG</v>
      </c>
      <c r="G36" s="40" t="s">
        <v>48</v>
      </c>
      <c r="H36" s="54" t="s">
        <v>42</v>
      </c>
      <c r="I36" s="43" t="s">
        <v>497</v>
      </c>
      <c r="J36" s="55"/>
    </row>
    <row r="37" ht="60.0" customHeight="1">
      <c r="A37" s="40">
        <v>34.0</v>
      </c>
      <c r="B37" s="41" t="s">
        <v>198</v>
      </c>
      <c r="C37" s="41" t="s">
        <v>199</v>
      </c>
      <c r="D37" s="41" t="s">
        <v>200</v>
      </c>
      <c r="E37" s="41" t="s">
        <v>201</v>
      </c>
      <c r="F37" s="40" t="str">
        <f t="shared" si="1"/>
        <v>CORRECT</v>
      </c>
      <c r="G37" s="40" t="s">
        <v>36</v>
      </c>
      <c r="H37" s="54" t="s">
        <v>36</v>
      </c>
      <c r="I37" s="43" t="s">
        <v>498</v>
      </c>
      <c r="J37" s="55"/>
    </row>
    <row r="38" ht="60.0" customHeight="1">
      <c r="A38" s="40">
        <v>35.0</v>
      </c>
      <c r="B38" s="41" t="s">
        <v>203</v>
      </c>
      <c r="C38" s="41" t="s">
        <v>204</v>
      </c>
      <c r="D38" s="41" t="s">
        <v>205</v>
      </c>
      <c r="E38" s="41" t="s">
        <v>206</v>
      </c>
      <c r="F38" s="40" t="str">
        <f t="shared" si="1"/>
        <v>CORRECT</v>
      </c>
      <c r="G38" s="40" t="s">
        <v>48</v>
      </c>
      <c r="H38" s="54" t="s">
        <v>48</v>
      </c>
      <c r="I38" s="43" t="s">
        <v>499</v>
      </c>
      <c r="J38" s="55"/>
    </row>
    <row r="39" ht="60.0" customHeight="1">
      <c r="A39" s="40">
        <v>36.0</v>
      </c>
      <c r="B39" s="41" t="s">
        <v>208</v>
      </c>
      <c r="C39" s="41" t="s">
        <v>209</v>
      </c>
      <c r="D39" s="41" t="s">
        <v>210</v>
      </c>
      <c r="E39" s="41" t="s">
        <v>211</v>
      </c>
      <c r="F39" s="40" t="str">
        <f t="shared" si="1"/>
        <v>CORRECT</v>
      </c>
      <c r="G39" s="40" t="s">
        <v>36</v>
      </c>
      <c r="H39" s="54" t="s">
        <v>36</v>
      </c>
      <c r="I39" s="43" t="s">
        <v>500</v>
      </c>
      <c r="J39" s="55"/>
    </row>
    <row r="40" ht="60.0" customHeight="1">
      <c r="A40" s="40">
        <v>37.0</v>
      </c>
      <c r="B40" s="41" t="s">
        <v>213</v>
      </c>
      <c r="C40" s="41" t="s">
        <v>214</v>
      </c>
      <c r="D40" s="41" t="s">
        <v>215</v>
      </c>
      <c r="E40" s="41" t="s">
        <v>216</v>
      </c>
      <c r="F40" s="40" t="str">
        <f t="shared" si="1"/>
        <v>WRONG</v>
      </c>
      <c r="G40" s="40" t="s">
        <v>36</v>
      </c>
      <c r="H40" s="54" t="s">
        <v>42</v>
      </c>
      <c r="I40" s="43" t="s">
        <v>501</v>
      </c>
      <c r="J40" s="55"/>
    </row>
    <row r="41" ht="60.0" customHeight="1">
      <c r="A41" s="40">
        <v>38.0</v>
      </c>
      <c r="B41" s="41" t="s">
        <v>218</v>
      </c>
      <c r="C41" s="41" t="s">
        <v>219</v>
      </c>
      <c r="D41" s="41" t="s">
        <v>220</v>
      </c>
      <c r="E41" s="41" t="s">
        <v>221</v>
      </c>
      <c r="F41" s="40" t="str">
        <f t="shared" si="1"/>
        <v>CORRECT</v>
      </c>
      <c r="G41" s="40" t="s">
        <v>36</v>
      </c>
      <c r="H41" s="55" t="s">
        <v>36</v>
      </c>
      <c r="I41" s="43" t="s">
        <v>502</v>
      </c>
      <c r="J41" s="55"/>
    </row>
    <row r="42" ht="60.0" customHeight="1">
      <c r="A42" s="40">
        <v>39.0</v>
      </c>
      <c r="B42" s="41" t="s">
        <v>223</v>
      </c>
      <c r="C42" s="41" t="s">
        <v>224</v>
      </c>
      <c r="D42" s="41" t="s">
        <v>225</v>
      </c>
      <c r="E42" s="41" t="s">
        <v>226</v>
      </c>
      <c r="F42" s="40" t="str">
        <f t="shared" si="1"/>
        <v>WRONG</v>
      </c>
      <c r="G42" s="40" t="s">
        <v>42</v>
      </c>
      <c r="H42" s="54" t="s">
        <v>36</v>
      </c>
      <c r="I42" s="43" t="s">
        <v>503</v>
      </c>
      <c r="J42" s="55"/>
    </row>
    <row r="43" ht="60.0" customHeight="1">
      <c r="A43" s="40">
        <v>40.0</v>
      </c>
      <c r="B43" s="41" t="s">
        <v>228</v>
      </c>
      <c r="C43" s="41" t="s">
        <v>229</v>
      </c>
      <c r="D43" s="41" t="s">
        <v>230</v>
      </c>
      <c r="E43" s="41" t="s">
        <v>231</v>
      </c>
      <c r="F43" s="40" t="str">
        <f t="shared" si="1"/>
        <v>WRONG</v>
      </c>
      <c r="G43" s="40" t="s">
        <v>48</v>
      </c>
      <c r="H43" s="54" t="s">
        <v>42</v>
      </c>
      <c r="I43" s="43" t="s">
        <v>504</v>
      </c>
      <c r="J43" s="55"/>
    </row>
    <row r="44" ht="60.0" customHeight="1">
      <c r="A44" s="40">
        <v>41.0</v>
      </c>
      <c r="B44" s="41" t="s">
        <v>233</v>
      </c>
      <c r="C44" s="41" t="s">
        <v>234</v>
      </c>
      <c r="D44" s="41" t="s">
        <v>235</v>
      </c>
      <c r="E44" s="41" t="s">
        <v>236</v>
      </c>
      <c r="F44" s="40" t="str">
        <f t="shared" si="1"/>
        <v>CORRECT</v>
      </c>
      <c r="G44" s="40" t="s">
        <v>42</v>
      </c>
      <c r="H44" s="54" t="s">
        <v>42</v>
      </c>
      <c r="I44" s="43" t="s">
        <v>505</v>
      </c>
      <c r="J44" s="55"/>
    </row>
    <row r="45" ht="60.0" customHeight="1">
      <c r="A45" s="40">
        <v>42.0</v>
      </c>
      <c r="B45" s="41" t="s">
        <v>238</v>
      </c>
      <c r="C45" s="41" t="s">
        <v>239</v>
      </c>
      <c r="D45" s="41" t="s">
        <v>240</v>
      </c>
      <c r="E45" s="41" t="s">
        <v>241</v>
      </c>
      <c r="F45" s="40" t="str">
        <f t="shared" si="1"/>
        <v>WRONG</v>
      </c>
      <c r="G45" s="40" t="s">
        <v>36</v>
      </c>
      <c r="H45" s="54" t="s">
        <v>42</v>
      </c>
      <c r="I45" s="43" t="s">
        <v>506</v>
      </c>
      <c r="J45" s="55"/>
    </row>
    <row r="46" ht="60.0" customHeight="1">
      <c r="A46" s="40">
        <v>43.0</v>
      </c>
      <c r="B46" s="41" t="s">
        <v>243</v>
      </c>
      <c r="C46" s="41" t="s">
        <v>244</v>
      </c>
      <c r="D46" s="41" t="s">
        <v>245</v>
      </c>
      <c r="E46" s="41" t="s">
        <v>246</v>
      </c>
      <c r="F46" s="40" t="str">
        <f t="shared" si="1"/>
        <v>WRONG</v>
      </c>
      <c r="G46" s="40" t="s">
        <v>48</v>
      </c>
      <c r="H46" s="54" t="s">
        <v>36</v>
      </c>
      <c r="I46" s="43" t="s">
        <v>507</v>
      </c>
      <c r="J46" s="55"/>
    </row>
    <row r="47" ht="60.0" customHeight="1">
      <c r="A47" s="40">
        <v>44.0</v>
      </c>
      <c r="B47" s="41" t="s">
        <v>248</v>
      </c>
      <c r="C47" s="41" t="s">
        <v>249</v>
      </c>
      <c r="D47" s="41" t="s">
        <v>250</v>
      </c>
      <c r="E47" s="41" t="s">
        <v>251</v>
      </c>
      <c r="F47" s="40" t="str">
        <f t="shared" si="1"/>
        <v>CORRECT</v>
      </c>
      <c r="G47" s="40" t="s">
        <v>36</v>
      </c>
      <c r="H47" s="54" t="s">
        <v>36</v>
      </c>
      <c r="I47" s="43" t="s">
        <v>508</v>
      </c>
      <c r="J47" s="55"/>
    </row>
    <row r="48" ht="60.0" customHeight="1">
      <c r="A48" s="40">
        <v>45.0</v>
      </c>
      <c r="B48" s="41" t="s">
        <v>253</v>
      </c>
      <c r="C48" s="41" t="s">
        <v>254</v>
      </c>
      <c r="D48" s="41" t="s">
        <v>255</v>
      </c>
      <c r="E48" s="41" t="s">
        <v>256</v>
      </c>
      <c r="F48" s="40" t="str">
        <f t="shared" si="1"/>
        <v>WRONG</v>
      </c>
      <c r="G48" s="40" t="s">
        <v>36</v>
      </c>
      <c r="H48" s="54" t="s">
        <v>48</v>
      </c>
      <c r="I48" s="43" t="s">
        <v>509</v>
      </c>
      <c r="J48" s="55"/>
    </row>
    <row r="49" ht="60.0" customHeight="1">
      <c r="A49" s="40">
        <v>46.0</v>
      </c>
      <c r="B49" s="41" t="s">
        <v>258</v>
      </c>
      <c r="C49" s="41" t="s">
        <v>39</v>
      </c>
      <c r="D49" s="41" t="s">
        <v>259</v>
      </c>
      <c r="E49" s="41" t="s">
        <v>260</v>
      </c>
      <c r="F49" s="40" t="str">
        <f t="shared" si="1"/>
        <v>CORRECT</v>
      </c>
      <c r="G49" s="40" t="s">
        <v>36</v>
      </c>
      <c r="H49" s="54" t="s">
        <v>36</v>
      </c>
      <c r="I49" s="56" t="s">
        <v>510</v>
      </c>
      <c r="J49" s="55"/>
    </row>
    <row r="50">
      <c r="A50" s="45" t="s">
        <v>262</v>
      </c>
      <c r="B50" s="2"/>
      <c r="C50" s="2"/>
      <c r="D50" s="2"/>
      <c r="E50" s="3"/>
      <c r="F50" s="46">
        <f>COUNTIFS(F4:F49,"CORRECT")</f>
        <v>19</v>
      </c>
      <c r="G50" s="47"/>
      <c r="H50" s="47"/>
      <c r="J50" s="48" t="str">
        <f>AVERAGE(J4:J49)</f>
        <v>#DIV/0!</v>
      </c>
    </row>
    <row r="51">
      <c r="A51" s="49" t="s">
        <v>263</v>
      </c>
      <c r="B51" s="2"/>
      <c r="C51" s="2"/>
      <c r="D51" s="2"/>
      <c r="E51" s="3"/>
      <c r="F51" s="50">
        <v>46.0</v>
      </c>
      <c r="G51" s="47"/>
      <c r="H51" s="47"/>
    </row>
    <row r="52">
      <c r="A52" s="45" t="s">
        <v>264</v>
      </c>
      <c r="B52" s="2"/>
      <c r="C52" s="2"/>
      <c r="D52" s="2"/>
      <c r="E52" s="3"/>
      <c r="F52" s="51">
        <f>F50/F51</f>
        <v>0.4130434783</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