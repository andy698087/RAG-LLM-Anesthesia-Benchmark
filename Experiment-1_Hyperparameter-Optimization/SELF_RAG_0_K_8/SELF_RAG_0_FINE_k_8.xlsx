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<sst xmlns="http://schemas.openxmlformats.org/spreadsheetml/2006/main" count="3482" uniqueCount="294">
  <si>
    <t>SUMMARY RESULT BETWEEN TEST</t>
  </si>
  <si>
    <t>Temp</t>
  </si>
  <si>
    <t>Topp</t>
  </si>
  <si>
    <t>Parameters</t>
  </si>
  <si>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</si>
  <si>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</si>
  <si>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</si>
  <si>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</si>
  <si>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</si>
  <si>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</si>
  <si>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</si>
  <si>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</si>
  <si>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r>
      <rPr>
        <rFont val="Arial"/>
        <color theme="1"/>
      </rPr>
      <t>embed_model="</t>
    </r>
    <r>
      <rPr>
        <rFont val="Arial"/>
        <b/>
        <color rgb="FF3D85C6"/>
      </rPr>
      <t>dunzhang/stella_en_400M_v5</t>
    </r>
    <r>
      <rPr>
        <rFont val="Arial"/>
        <color theme="1"/>
      </rPr>
      <t>"
len = 500
k = 8
k_ws = 4</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</si>
  <si>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</si>
  <si>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</si>
  <si>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</si>
  <si>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</si>
  <si>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</si>
  <si>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</si>
  <si>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</si>
  <si>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</si>
  <si>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</si>
  <si>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</si>
  <si>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</si>
  <si>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</si>
  <si>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</si>
  <si>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</si>
  <si>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</si>
  <si>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</si>
  <si>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</si>
  <si>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</si>
  <si>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</si>
  <si>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</si>
  <si>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</si>
  <si>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</si>
  <si>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</si>
  <si>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</si>
  <si>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as it innervates the medial leg and can extend as far as the base of the great toe."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</si>
  <si>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</si>
  <si>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</si>
  <si>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</si>
  <si>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</si>
  <si>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</si>
  <si>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right upper quadrant abdominal pain and nausea after receiving morphine and midazolam, which are both opioids. This suggests that the pain is likely due to spasm of the sphincter of Oddi, which can be treated with naloxone, an opioid antagonist. Therefore, naloxone is the most appropriate therapy for this patient's pain."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</si>
  <si>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</si>
  <si>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</si>
  <si>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</si>
  <si>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</si>
  <si>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</si>
  <si>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lead to dehydration and electrolyte imbalances, and normal saline can help to replenish fluids and electrolytes. Additionally, normal saline can help to reduce the severity of symptoms such as nausea, vomiting, and constipation."</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</si>
  <si>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</si>
  <si>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</si>
  <si>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</si>
  <si>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</si>
  <si>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</si>
  <si>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</si>
  <si>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</si>
  <si>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</si>
  <si>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</si>
  <si>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anesthetic added to the fresh gas stream. The vaporizer adds 100 mL/min of anesthetic vapor to the oxygen flow, which is then mixed with the fresh gas flow of 5 L/min. To find the concentration, we can use the formula: concentration = (amount of anesthetic added / total gas flow) x 100%. In this case, the amount of anesthetic added is 100 mL/min, and the total gas flow is 5.1 L/min (100 mL/min + 5 L/min). Plugging in the numbers, we get: concentration = (100 mL/min / 5100 mL/min) x 100% = 2%. However, the correct answer is 0.5%, which is the correct calculation: concentration = (150 mmHg / 760 mmHg) x 100%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</si>
  <si>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</si>
  <si>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</si>
  <si>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</si>
  <si>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</si>
  <si>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anesthetized with 1 MAC of isoflurane, as it helps to reduce heat loss by constricting blood vessels and conserving body heat."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</si>
  <si>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</si>
  <si>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</si>
  <si>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</si>
  <si>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</si>
  <si>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effects of midazolam may still be present even after the patient is sent home, and the patient may still experience recurrent sedation or respiratory depression." }</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</si>
  <si>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</si>
  <si>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</si>
  <si>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</si>
  <si>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</si>
  <si>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is the greatest factor that exerts an effect on the extent of spread of local anesthetic following subarachnoid block with hyperbaric bupivacaine, as it can alter the distribution of the anesthetic solution in the cerebrospinal fluid."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</si>
  <si>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</si>
  <si>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</si>
  <si>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</si>
  <si>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</si>
  <si>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which is a common cause of postobstructive pulmonary edema. The most appropriate management is to provide positive-pressure ventilation to help reduce the negative intrathoracic pressure and promote venous return, thereby reducing fluid transudation and improving oxygenation."</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</si>
  <si>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</si>
  <si>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</si>
  <si>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</si>
  <si>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</si>
  <si>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"C",   "Explain": "The patient suddenly develops sharp pain in the left shoulder, which is an unusual symptom for TURP syndrome. The most likely cause is inadequate spinal sensory level, as the sensory level of T10 provides satisfactory regional anesthesia for TURP, and a higher sensory level might mask symptoms of accidental bladder perforation or other complications."</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</si>
  <si>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</si>
  <si>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</si>
  <si>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</si>
  <si>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</si>
  <si>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 is in the Trendelenburg position with CO2 insufflation, which can cause compression of the vena cava, leading to decreased SpO2."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</si>
  <si>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</si>
  <si>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</si>
  <si>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</si>
  <si>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</si>
  <si>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and her SpO2 is 90% on room air, indicating hypoxemia. The most likely cause of her hypoxemia is hypoventilation, as mentioned in the context, which states that alveolar hypoventilation is one of the most common causes of postoperative hypoxemia in the PACU."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</si>
  <si>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</si>
  <si>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</si>
  <si>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</si>
  <si>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</si>
  <si>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as the ventilator senses the patient's inspiratory effort and provides additional pressure to assist their breathing."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</si>
  <si>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</si>
  <si>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</si>
  <si>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</si>
  <si>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</si>
  <si>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increased coronary perfusion pressure is necessary to ensure adequate oxygen delivery to the heart muscle. This is because the increased heart rate and contractility require more oxygen, and increased coronary perfusion pressure helps to meet this increased demand."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</si>
  <si>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</si>
  <si>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</si>
  <si>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</si>
  <si>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</si>
  <si>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value that is most likely to confirm adequate synthetic hepatic function. This is because the liver plays a crucial role in the production of clotting factors, and a prolonged PT indicates impaired liver function." }</t>
  </si>
  <si>
    <t>Which of the following strategies BEST prevents ventricular dysrhythmias in a patient undergoing extracorporeal shock wave lithotripsy?</t>
  </si>
  <si>
    <t>A. Beta-adrenergic blockade</t>
  </si>
  <si>
    <t>B. ECG synchronization</t>
  </si>
  <si>
    <t>C. Epidural blockade to T4</t>
  </si>
  <si>
    <t>{   "Answer": "B",   "Explain": "Shock waves in ESWL are timed with the patient's heart rate and are triggered by the R wave on the patient's electrocardiogram,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</si>
  <si>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</si>
  <si>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</si>
  <si>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</si>
  <si>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</si>
  <si>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has a higher rate of fresh gas inflow, which helps to eliminate CO2 and prevent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</si>
  <si>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</si>
  <si>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</si>
  <si>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</si>
  <si>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</si>
  <si>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patient's position, being in the lateral position, can cause a shift of the diaphragm and reduce lung volume, leading to a decrease in tidal volume and a more gradual slope of the capnogram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</si>
  <si>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</si>
  <si>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</si>
  <si>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</si>
  <si>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</si>
  <si>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anesthesiologist should administer hydrocortisone, followed by cefazolin, as the patient has a history of a rash with past administration of penicillin, indicating a possible allergy, and cefazolin is a cephalosporin, which may cause cross-reactivity." }</t>
  </si>
  <si>
    <t>Which of the following factors DECREASES the MAC of isoflurane?</t>
  </si>
  <si>
    <t>A. Acute cocaine intoxication</t>
  </si>
  <si>
    <t>B. Chronic ethanol abuse</t>
  </si>
  <si>
    <t>C. Symptomatic hyponatremia</t>
  </si>
  <si>
    <t>{   "Answer": "C",   "Explain": "Symptomatic hyponatremia decreases the MAC of isoflurane, as mentioned in the context."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</si>
  <si>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</si>
  <si>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</si>
  <si>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</si>
  <si>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</si>
  <si>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cardiac output and blood pressure."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</si>
  <si>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</si>
  <si>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</si>
  <si>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</si>
  <si>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</si>
  <si>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a given PO2, more oxygen will be released from hemoglobin to the tissues." }</t>
  </si>
  <si>
    <t>Which of the following findings is most likely to be DECREASED in a patient with clinical hypothyroidism?</t>
  </si>
  <si>
    <t>A. MAC</t>
  </si>
  <si>
    <t>B. Myocardial contractility</t>
  </si>
  <si>
    <t>C. Peripheral vascular tone</t>
  </si>
  <si>
    <t>{   "Answer": "B",   "Explain": "Hypothyroidism decreases myocardial contractility, leading to a decrease in cardiac output and peripheral resistance, making option B the most likely to be decreased in a patient with clinical hypothyroidism."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</si>
  <si>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</si>
  <si>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</si>
  <si>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</si>
  <si>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</si>
  <si>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stated in the context." }</t>
  </si>
  <si>
    <t>Which of the following drugs does NOT cause enhanced activity of the GABA receptor?</t>
  </si>
  <si>
    <t>B. Ketamine</t>
  </si>
  <si>
    <t>{   "Answer": B,   "Explain": "Ketamine is a NMDA receptor antagonist, which does not enhance activity of GABA receptors." }</t>
  </si>
  <si>
    <t>Which of the following components is MISPLACED in the circle system shown in the above illustration?</t>
  </si>
  <si>
    <t>A. Fresh gas inlet</t>
  </si>
  <si>
    <t>B. CO2 absorber</t>
  </si>
  <si>
    <t>C. Expiratory valve</t>
  </si>
  <si>
    <t>{   "Answer": "C",   "Explain": "The expiratory valve is closed during the inspiratory phase, which is not shown in the illustration. In a classic circle breathing system, the expiratory valve is typically open during exhalation and closed during inhalation."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</si>
  <si>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</si>
  <si>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</si>
  <si>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</si>
  <si>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</si>
  <si>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indicates that the drug is distributed widely throughout the body, which is consistent with low plasma protein binding. This is because a large volume of distribution suggests that the drug is not being bound to plasma proteins, allowing it to be distributed more freely throughout the body." }</t>
  </si>
  <si>
    <t>Which of the following drugs has the LONGEST duration of action in a patient with renal failure?</t>
  </si>
  <si>
    <t>A. Neostigmine</t>
  </si>
  <si>
    <t>B. Rocuronium</t>
  </si>
  <si>
    <t>C. Succinylcholine</t>
  </si>
  <si>
    <t>{   "Answer": "B",   "Explain": "Rocuronium has an elimination half-life increased in renal failure due to an increase in volume of distribution with no change in clearance, which might account for a longer duration of action in anephric patients."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</si>
  <si>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</si>
  <si>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</si>
  <si>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</si>
  <si>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</si>
  <si>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located in the trachea and innervates the larynx."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</si>
  <si>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</si>
  <si>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</si>
  <si>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</si>
  <si>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</si>
  <si>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</si>
  <si>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</si>
  <si>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</si>
  <si>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</si>
  <si>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</si>
  <si>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occurs when anesthetics suppress the normal autoregulatory mechanisms that maintain blood flow to the brain and other vital organs, leading to a reduction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</si>
  <si>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</si>
  <si>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</si>
  <si>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</si>
  <si>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</si>
  <si>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over 1 hour, and then improved to 92% when FiO2 was increased to 1.0. This suggests that the hypoxemia was caused by a decrease in functional residual capacity (FRC), leading to intrapulmonary shunting and decreased oxygenation."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</si>
  <si>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</si>
  <si>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</si>
  <si>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</si>
  <si>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</si>
  <si>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after a supraclavicular block, which suggests that the block is effective for the distal trunk-proximal division level of the brachial plexus. Therefore, the most appropriate next step is to supplement the block with the musculocutaneous nerve, which is not blocked by the current block, to ensure adequate anesthesia for the entire surgical procedure."</t>
  </si>
  <si>
    <t>Which of the following mechanisms is PRIMARILY responsible for emergence after a single dose of propofol?</t>
  </si>
  <si>
    <t>A. Redistribution</t>
  </si>
  <si>
    <t>B. Metabolism</t>
  </si>
  <si>
    <t>C. Excretion</t>
  </si>
  <si>
    <t>{   "Answer": "A",   "Explain": "Propofol's emergence after a single dose is primarily due to redistribution from the brain and other highly perfused organs to other tissues with lower blood flow, such as muscle and fat, allowing the brain to regain its normal function."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</si>
  <si>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</si>
  <si>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</si>
  <si>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</si>
  <si>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</si>
  <si>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"The O2 analyzer reading decreased from 50% to 30% over 30 minutes, which suggests that the O2 being delivered is not being accurately measured. This could be due to accumulation of water on the O2 sensor membrane, which would cause a decrease in the O2 reading. Therefore, the most likely cause of the decrease in O2 analyzer reading is the accumulation of water on the O2 sensor membrane." }No relevant document was found, therefore the answer is based solely on the model trained parameters!!!</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</si>
  <si>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</si>
  <si>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</si>
  <si>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</si>
  <si>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</si>
  <si>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awake with eyes remaining open and slow nystagmic gaze."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</si>
  <si>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</si>
  <si>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</si>
  <si>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</si>
  <si>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</si>
  <si>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</si>
  <si>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</si>
  <si>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</si>
  <si>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</si>
  <si>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</si>
  <si>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sample mean as an estimate of the population mean. It measures the amount of variation in the sample means that would be expected if the sampling were repeated many times. In other words, it's a measure of how close the sample mean is likely to be to the true population mean." }No relevant document was found, therefore the answer is based solely on the model trained parameters!!!</t>
  </si>
  <si>
    <t>Pulse oximetry accurately reflects SaO2 in which of the following situations?</t>
  </si>
  <si>
    <t>A. Administration of indocyanine green</t>
  </si>
  <si>
    <t>B. Carboxyhemoglobinemia</t>
  </si>
  <si>
    <t>C. 40% fetal hemoglobin concentration</t>
  </si>
  <si>
    <t>{   "Answer": "A",   "Explain": "Pulse oximetry accurately reflects SaO2 in situations where there is tight placement of adhesive finger probes and no other substances or species of Hb are present, allowing the device to accurately calculate the saturation of oxygen in the peripheral artery."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</si>
  <si>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</si>
  <si>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</si>
  <si>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</si>
  <si>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</si>
  <si>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patient with a fasting blood glucose of 100 mg/dL is already at a normal range. During anesthesia, glucose levels often decrease due to decreased glucose production and increased glucose utilization. Therefore, on emergence, a mild hypoglycemia (blood glucose concentration C. Mild hypoglycemia) is the most likely expected outcome."</t>
  </si>
  <si>
    <t>Which of the following drugs INCREASES gastric pH while decreasing gastric volume?</t>
  </si>
  <si>
    <t>A. Glycopyrrolate</t>
  </si>
  <si>
    <t>B. Metoclopramide</t>
  </si>
  <si>
    <t>C. Ranitidine</t>
  </si>
  <si>
    <t>{   "Answer": "C",   "Explain": "Ranitidine, an H2 receptor antagonist, increases gastric pH while decreasing gastric volume, making it the correct answer."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</si>
  <si>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</si>
  <si>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</si>
  <si>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</si>
  <si>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</si>
  <si>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"The lower blood gas solubility of nitrous oxide compared to desflurane allows for a more rapid equilibration of alveolar and inspired concentrations, as less time is required for the gas to be dissolved in the blood before reaching equilibrium." }</t>
  </si>
  <si>
    <t>Which of the following goals is the PRIMARY purpose of denitrogenation prior to anesthetic induction?</t>
  </si>
  <si>
    <t>A. Improving matching of ventilation and perfusion</t>
  </si>
  <si>
    <t>B. Increasing O2 reserve in the FRC</t>
  </si>
  <si>
    <t>C. Maximizing arterial O2 content</t>
  </si>
  <si>
    <t>{   "Answer": "A",   "Explain": "Preoxygenation prior to anesthetic induction is primarily to improve matching of ventilation and perfusion, as it increases the time period a patient can safely be apneic, allowing for a longer window to secure the airway and resume ventilation."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</si>
  <si>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</si>
  <si>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</si>
  <si>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</si>
  <si>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</si>
  <si>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which is likely to cause unilateral recurrent laryngeal nerve injury. This would lead to unopposed adduction of the left vocal cord, resulting in adduction of the left vocal cord at rest."</t>
  </si>
  <si>
    <t>Which of the following values, in mmHg, is the expected mixed venous O2 tension in a normal adult after breathing 100% O2 for 10 minutes?</t>
  </si>
  <si>
    <t>A. 45</t>
  </si>
  <si>
    <t>B. 95</t>
  </si>
  <si>
    <t>C. 150</t>
  </si>
  <si>
    <t>{   "Answer": "A",   "Explain": "After breathing 100% O2 for 10 minutes, the mixed venous O2 tension is expected to be low, around 45 mmHg, as the body's tissues and organs are saturated with oxygen, and the excess oxygen is not being utilized, resulting in a decrease in mixed venous O2 tension." }</t>
  </si>
  <si>
    <t>Which of the following drugs has the SHORTEST elimination half-life?</t>
  </si>
  <si>
    <t>B. Lorazepam</t>
  </si>
  <si>
    <t>C. Midazolam</t>
  </si>
  <si>
    <t>{   "Answer": "A",   "Explain": "According to the context, flumazenil has a very rapid clearance and short elimination half-life, making it the shortest-lived compound among the options." }</t>
  </si>
  <si>
    <t>TOTAL CORRECT ANSWERS</t>
  </si>
  <si>
    <t>TOTAL QUESTIONS</t>
  </si>
  <si>
    <t>RATIO</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</si>
  <si>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</si>
  <si>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</si>
  <si>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procedures that also involve the medial aspect of the leg, the femoral nerve can be blocked, commonly at the adductor canal, at the level of the knee via the medial femoral condyle, below the knee with local infiltration distal to the medial condyle of the tibia, or above the medial malleolus of the foot." }</t>
  </si>
  <si>
    <t>{   "Answer": "B",   "Explain": "The patient's serum calcium level is 15 mg/dL, which is significantly elevated. Normal saline is the most appropriate initial management to help lower the serum calcium level and alleviate symptoms. This is because normal saline can help dilute the excess calcium in the blood, reducing its concentration and alleviating symptoms." }No relevant document was found, therefore the answer is based solely on the model trained parameters!!!</t>
  </si>
  <si>
    <t>{   "Answer": "C",   "Explain": "The caffeine-halothane contracture test has the highest sensitivity and specificity for malignant hyperthermia, making it the most reliable predictor of the likelihood of developing the condition." }</t>
  </si>
  <si>
    <t>{   "Answer": "B",   "Explain": "To find the delivered anesthetic concentration, we need to calculate the amount of anesthetic added to the fresh gas stream. The vaporizer adds 100 mL/min of anesthetic vapor to the oxygen flow, which is then mixed with the fresh gas flow of 5 L/min. The anesthetic vapor pressure is 150 mmHg. To find the delivered anesthetic concentration, we need to calculate the volume of anesthetic vapor in the fresh gas flow. The volume of anesthetic vapor is 100 mL/min, and the fresh gas flow is 5 L/min. To convert the volume of anesthetic vapor to liters per minute, we divide 100 mL/min by 1000 (since there are 1000 mL in 1 L). This gives us 0.1 L/min. The delivered anesthetic concentration is then calculated by dividing the volume of anesthetic vapor (0.1 L/min) by the total flow rate (5 L/min + 0.1 L/min = 5.1 L/min). This gives us a delivered anesthetic concentration of 1.96% (0.1 L/min / 5.1 L/min). The closest answer choice is 0.5%."</t>
  </si>
  <si>
    <t>{   "Answer": "C",   "Explain": "Vasoconstriction is the most effective mechanism for maintaining body temperature in an adult patient with mild hypothermia anesthetized with 1 MAC of isoflurane, as it reduces heat loss by convection and radiation, and helps to conserve heat in the core of the body." }</t>
  </si>
  <si>
    <t>{   "Answer": "A",   "Explain": "Flumazenil has low affinity for benzodiazepine receptors, which means it can easily displace the midazolam from the receptor, allowing for rapid reversal of sedation. This is in contrast to other benzodiazepines that have a longer duration of action and may not be easily antagonized by flumazenil."</t>
  </si>
  <si>
    <t>{   "Answer": "B",   "Explain": "The patient's position is the greatest factor in determining the extent of spread of local anesthetic following subarachnoid block with hyperbaric bupivacaine, as it affects the distribution of the anesthetic solution in the cerebrospinal fluid and the pressure gradient that drives its spread." }</t>
  </si>
  <si>
    <t>{   "Answer": B,   "Explain": "The patient is experiencing non-cardiogenic pulmonary edema secondary to postoperative laryngospasm, which is characterized by increased pulmonary hydrostatic pressures. Furosemide, a diuretic, is the most appropriate management strategy to reduce these pressures and alleviate the edema." }</t>
  </si>
  <si>
    <t>{   "Answer": "B",   "Explain": "The patient's symptoms of nausea, diaphoresis, and sharp pain in the left shoulder suggest a sudden and severe complication, which is unlikely to be related to inadequate spinal sensory level. Bladder perforation is a possible cause of these symptoms, as it can lead to extravasation of irrigating solution and subsequent systemic complications." }</t>
  </si>
  <si>
    <t>{   "Answer": "B",   "Explain": "The patient's SpO2 is 90% on room air, indicating mild hypoxemia. Alveolar hypoventilation is a common cause of postoperative hypoxemia, and it is more likely to occur in a patient with obesity. The patient's obesity and recent laparoscopic cholecystectomy may also contribute to hypoventilation." }</t>
  </si>
  <si>
    <t>{   "Answer": "B",   "Explain": "The anesthesiologist should administer hydrocortisone, followed by cefazolin, as the patient has a history of a rash with past administration of penicillin, indicating a possible allergy. This approach allows for the administration of a different antibiotic, cefazolin, while also providing treatment for any potential allergic reaction."</t>
  </si>
  <si>
    <t>{   "Answer": "A",   "Explain": "Bupivacaine's primary toxic effect on the cardiovascular system is the blockade of norepinephrine release, which can lead to a rapid and profound cardiovascular depression." }</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</si>
  <si>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</si>
  <si>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</si>
  <si>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</si>
  <si>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</si>
  <si>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</si>
  <si>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</si>
  <si>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</si>
  <si>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</si>
  <si>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</si>
  <si>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</si>
  <si>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</si>
  <si>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</si>
  <si>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</si>
  <si>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8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</si>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</sst>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Arial"/>
    </font>
    <font>
      <sz val="10.0"/>
      <color theme="1"/>
      <name val="&quot;Liberation Sans&quot;"/>
    </font>
    <font>
      <sz val="11.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30</v>
      </c>
      <c r="C5" s="14">
        <f t="shared" si="1"/>
        <v>29</v>
      </c>
      <c r="D5" s="14">
        <f t="shared" si="1"/>
        <v>30</v>
      </c>
      <c r="E5" s="14">
        <f t="shared" si="1"/>
        <v>29</v>
      </c>
      <c r="F5" s="14">
        <f t="shared" si="1"/>
        <v>30</v>
      </c>
      <c r="G5" s="14">
        <f t="shared" si="1"/>
        <v>29</v>
      </c>
      <c r="H5" s="14">
        <f t="shared" si="1"/>
        <v>29</v>
      </c>
      <c r="I5" s="14">
        <f t="shared" si="1"/>
        <v>29</v>
      </c>
      <c r="J5" s="14">
        <f t="shared" si="1"/>
        <v>29</v>
      </c>
    </row>
    <row r="6">
      <c r="A6" s="13" t="s">
        <v>14</v>
      </c>
      <c r="B6" s="13">
        <v>46.0</v>
      </c>
      <c r="C6" s="13">
        <v>46.0</v>
      </c>
      <c r="D6" s="13">
        <v>46.0</v>
      </c>
      <c r="E6" s="13">
        <v>46.0</v>
      </c>
      <c r="F6" s="13">
        <v>46.0</v>
      </c>
      <c r="G6" s="13">
        <v>46.0</v>
      </c>
      <c r="H6" s="13">
        <v>46.0</v>
      </c>
      <c r="I6" s="13">
        <v>46.0</v>
      </c>
      <c r="J6" s="13">
        <v>46.0</v>
      </c>
    </row>
    <row r="7">
      <c r="A7" s="15" t="s">
        <v>15</v>
      </c>
      <c r="B7" s="16">
        <f t="shared" ref="B7:J7" si="2">B5/B6</f>
        <v>0.652173913</v>
      </c>
      <c r="C7" s="16">
        <f t="shared" si="2"/>
        <v>0.6304347826</v>
      </c>
      <c r="D7" s="17">
        <f t="shared" si="2"/>
        <v>0.652173913</v>
      </c>
      <c r="E7" s="17">
        <f t="shared" si="2"/>
        <v>0.6304347826</v>
      </c>
      <c r="F7" s="17">
        <f t="shared" si="2"/>
        <v>0.652173913</v>
      </c>
      <c r="G7" s="17">
        <f t="shared" si="2"/>
        <v>0.6304347826</v>
      </c>
      <c r="H7" s="17">
        <f t="shared" si="2"/>
        <v>0.6304347826</v>
      </c>
      <c r="I7" s="17">
        <f t="shared" si="2"/>
        <v>0.6304347826</v>
      </c>
      <c r="J7" s="17">
        <f t="shared" si="2"/>
        <v>0.6304347826</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16</v>
      </c>
      <c r="H9" s="27" t="s">
        <v>16</v>
      </c>
      <c r="I9" s="26" t="s">
        <v>16</v>
      </c>
      <c r="J9" s="26" t="s">
        <v>16</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16</v>
      </c>
      <c r="H12" s="27" t="s">
        <v>16</v>
      </c>
      <c r="I12" s="26" t="s">
        <v>16</v>
      </c>
      <c r="J12" s="26" t="s">
        <v>16</v>
      </c>
    </row>
    <row r="13">
      <c r="A13" s="19">
        <v>6.0</v>
      </c>
      <c r="B13" s="20" t="s">
        <v>16</v>
      </c>
      <c r="C13" s="21" t="s">
        <v>16</v>
      </c>
      <c r="D13" s="25" t="s">
        <v>16</v>
      </c>
      <c r="E13" s="26" t="s">
        <v>16</v>
      </c>
      <c r="F13" s="26" t="s">
        <v>16</v>
      </c>
      <c r="G13" s="26" t="s">
        <v>16</v>
      </c>
      <c r="H13" s="27" t="s">
        <v>16</v>
      </c>
      <c r="I13" s="26" t="s">
        <v>16</v>
      </c>
      <c r="J13" s="26" t="s">
        <v>16</v>
      </c>
    </row>
    <row r="14">
      <c r="A14" s="19">
        <v>7.0</v>
      </c>
      <c r="B14" s="20" t="s">
        <v>16</v>
      </c>
      <c r="C14" s="21" t="s">
        <v>17</v>
      </c>
      <c r="D14" s="25" t="s">
        <v>16</v>
      </c>
      <c r="E14" s="26" t="s">
        <v>17</v>
      </c>
      <c r="F14" s="26" t="s">
        <v>16</v>
      </c>
      <c r="G14" s="26" t="s">
        <v>17</v>
      </c>
      <c r="H14" s="27" t="s">
        <v>17</v>
      </c>
      <c r="I14" s="26" t="s">
        <v>17</v>
      </c>
      <c r="J14" s="26" t="s">
        <v>17</v>
      </c>
    </row>
    <row r="15">
      <c r="A15" s="19">
        <v>8.0</v>
      </c>
      <c r="B15" s="20" t="s">
        <v>16</v>
      </c>
      <c r="C15" s="21" t="s">
        <v>16</v>
      </c>
      <c r="D15" s="25" t="s">
        <v>16</v>
      </c>
      <c r="E15" s="26" t="s">
        <v>16</v>
      </c>
      <c r="F15" s="26" t="s">
        <v>16</v>
      </c>
      <c r="G15" s="26" t="s">
        <v>16</v>
      </c>
      <c r="H15" s="27" t="s">
        <v>16</v>
      </c>
      <c r="I15" s="26" t="s">
        <v>16</v>
      </c>
      <c r="J15" s="26" t="s">
        <v>16</v>
      </c>
    </row>
    <row r="16">
      <c r="A16" s="19">
        <v>9.0</v>
      </c>
      <c r="B16" s="20" t="s">
        <v>16</v>
      </c>
      <c r="C16" s="21" t="s">
        <v>17</v>
      </c>
      <c r="D16" s="25" t="s">
        <v>17</v>
      </c>
      <c r="E16" s="26" t="s">
        <v>17</v>
      </c>
      <c r="F16" s="26" t="s">
        <v>17</v>
      </c>
      <c r="G16" s="26" t="s">
        <v>17</v>
      </c>
      <c r="H16" s="27" t="s">
        <v>17</v>
      </c>
      <c r="I16" s="26" t="s">
        <v>17</v>
      </c>
      <c r="J16" s="26" t="s">
        <v>17</v>
      </c>
    </row>
    <row r="17">
      <c r="A17" s="19">
        <v>10.0</v>
      </c>
      <c r="B17" s="20" t="s">
        <v>17</v>
      </c>
      <c r="C17" s="21" t="s">
        <v>16</v>
      </c>
      <c r="D17" s="25" t="s">
        <v>16</v>
      </c>
      <c r="E17" s="26" t="s">
        <v>16</v>
      </c>
      <c r="F17" s="26" t="s">
        <v>16</v>
      </c>
      <c r="G17" s="26" t="s">
        <v>16</v>
      </c>
      <c r="H17" s="27" t="s">
        <v>16</v>
      </c>
      <c r="I17" s="26" t="s">
        <v>16</v>
      </c>
      <c r="J17" s="26" t="s">
        <v>16</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16</v>
      </c>
      <c r="E23" s="26" t="s">
        <v>16</v>
      </c>
      <c r="F23" s="26" t="s">
        <v>16</v>
      </c>
      <c r="G23" s="26" t="s">
        <v>16</v>
      </c>
      <c r="H23" s="27" t="s">
        <v>16</v>
      </c>
      <c r="I23" s="26" t="s">
        <v>16</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16</v>
      </c>
      <c r="C27" s="21" t="s">
        <v>16</v>
      </c>
      <c r="D27" s="25" t="s">
        <v>16</v>
      </c>
      <c r="E27" s="26" t="s">
        <v>16</v>
      </c>
      <c r="F27" s="26" t="s">
        <v>16</v>
      </c>
      <c r="G27" s="26" t="s">
        <v>16</v>
      </c>
      <c r="H27" s="27" t="s">
        <v>16</v>
      </c>
      <c r="I27" s="26" t="s">
        <v>16</v>
      </c>
      <c r="J27" s="26" t="s">
        <v>16</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16</v>
      </c>
    </row>
    <row r="31">
      <c r="A31" s="19">
        <v>24.0</v>
      </c>
      <c r="B31" s="20" t="s">
        <v>16</v>
      </c>
      <c r="C31" s="21" t="s">
        <v>16</v>
      </c>
      <c r="D31" s="25" t="s">
        <v>16</v>
      </c>
      <c r="E31" s="26" t="s">
        <v>16</v>
      </c>
      <c r="F31" s="26" t="s">
        <v>16</v>
      </c>
      <c r="G31" s="26" t="s">
        <v>16</v>
      </c>
      <c r="H31" s="27" t="s">
        <v>16</v>
      </c>
      <c r="I31" s="26" t="s">
        <v>16</v>
      </c>
      <c r="J31" s="26" t="s">
        <v>16</v>
      </c>
    </row>
    <row r="32">
      <c r="A32" s="19">
        <v>25.0</v>
      </c>
      <c r="B32" s="20" t="s">
        <v>16</v>
      </c>
      <c r="C32" s="21" t="s">
        <v>16</v>
      </c>
      <c r="D32" s="25" t="s">
        <v>16</v>
      </c>
      <c r="E32" s="26" t="s">
        <v>16</v>
      </c>
      <c r="F32" s="26" t="s">
        <v>16</v>
      </c>
      <c r="G32" s="26" t="s">
        <v>16</v>
      </c>
      <c r="H32" s="27" t="s">
        <v>16</v>
      </c>
      <c r="I32" s="26" t="s">
        <v>16</v>
      </c>
      <c r="J32" s="26" t="s">
        <v>16</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16</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17</v>
      </c>
      <c r="C40" s="21" t="s">
        <v>17</v>
      </c>
      <c r="D40" s="25" t="s">
        <v>17</v>
      </c>
      <c r="E40" s="26" t="s">
        <v>17</v>
      </c>
      <c r="F40" s="26" t="s">
        <v>17</v>
      </c>
      <c r="G40" s="26" t="s">
        <v>17</v>
      </c>
      <c r="H40" s="27" t="s">
        <v>17</v>
      </c>
      <c r="I40" s="26" t="s">
        <v>17</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17</v>
      </c>
      <c r="C44" s="21" t="s">
        <v>17</v>
      </c>
      <c r="D44" s="25" t="s">
        <v>17</v>
      </c>
      <c r="E44" s="26" t="s">
        <v>17</v>
      </c>
      <c r="F44" s="26" t="s">
        <v>17</v>
      </c>
      <c r="G44" s="26" t="s">
        <v>17</v>
      </c>
      <c r="H44" s="27" t="s">
        <v>17</v>
      </c>
      <c r="I44" s="26" t="s">
        <v>17</v>
      </c>
      <c r="J44" s="26" t="s">
        <v>17</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17</v>
      </c>
      <c r="C47" s="21" t="s">
        <v>17</v>
      </c>
      <c r="D47" s="25" t="s">
        <v>17</v>
      </c>
      <c r="E47" s="26" t="s">
        <v>17</v>
      </c>
      <c r="F47" s="26" t="s">
        <v>17</v>
      </c>
      <c r="G47" s="26" t="s">
        <v>17</v>
      </c>
      <c r="H47" s="27" t="s">
        <v>17</v>
      </c>
      <c r="I47" s="26" t="s">
        <v>17</v>
      </c>
      <c r="J47" s="26" t="s">
        <v>17</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17</v>
      </c>
      <c r="C50" s="21" t="s">
        <v>17</v>
      </c>
      <c r="D50" s="25" t="s">
        <v>17</v>
      </c>
      <c r="E50" s="26" t="s">
        <v>17</v>
      </c>
      <c r="F50" s="26" t="s">
        <v>17</v>
      </c>
      <c r="G50" s="26" t="s">
        <v>17</v>
      </c>
      <c r="H50" s="27" t="s">
        <v>17</v>
      </c>
      <c r="I50" s="26" t="s">
        <v>17</v>
      </c>
      <c r="J50" s="26" t="s">
        <v>17</v>
      </c>
    </row>
    <row r="51">
      <c r="A51" s="19">
        <v>44.0</v>
      </c>
      <c r="B51" s="20" t="s">
        <v>16</v>
      </c>
      <c r="C51" s="21" t="s">
        <v>16</v>
      </c>
      <c r="D51" s="25" t="s">
        <v>16</v>
      </c>
      <c r="E51" s="26" t="s">
        <v>16</v>
      </c>
      <c r="F51" s="26" t="s">
        <v>16</v>
      </c>
      <c r="G51" s="26" t="s">
        <v>16</v>
      </c>
      <c r="H51" s="27" t="s">
        <v>16</v>
      </c>
      <c r="I51" s="26" t="s">
        <v>16</v>
      </c>
      <c r="J51" s="26" t="s">
        <v>16</v>
      </c>
    </row>
    <row r="52">
      <c r="A52" s="19">
        <v>45.0</v>
      </c>
      <c r="B52" s="20" t="s">
        <v>16</v>
      </c>
      <c r="C52" s="21" t="s">
        <v>16</v>
      </c>
      <c r="D52" s="25" t="s">
        <v>16</v>
      </c>
      <c r="E52" s="26" t="s">
        <v>16</v>
      </c>
      <c r="F52" s="26" t="s">
        <v>16</v>
      </c>
      <c r="G52" s="26" t="s">
        <v>16</v>
      </c>
      <c r="H52" s="27" t="s">
        <v>16</v>
      </c>
      <c r="I52" s="26" t="s">
        <v>16</v>
      </c>
      <c r="J52" s="26" t="s">
        <v>16</v>
      </c>
    </row>
    <row r="53">
      <c r="A53" s="19">
        <v>46.0</v>
      </c>
      <c r="B53" s="28" t="s">
        <v>16</v>
      </c>
      <c r="C53" s="29" t="s">
        <v>16</v>
      </c>
      <c r="D53" s="30" t="s">
        <v>16</v>
      </c>
      <c r="E53" s="31" t="s">
        <v>16</v>
      </c>
      <c r="F53" s="31" t="s">
        <v>16</v>
      </c>
      <c r="G53" s="31" t="s">
        <v>16</v>
      </c>
      <c r="H53" s="32" t="s">
        <v>16</v>
      </c>
      <c r="I53" s="31" t="s">
        <v>16</v>
      </c>
      <c r="J53" s="31" t="s">
        <v>16</v>
      </c>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20</v>
      </c>
      <c r="C2" s="2"/>
      <c r="D2" s="2"/>
      <c r="E2" s="2"/>
      <c r="F2" s="2"/>
      <c r="G2" s="2"/>
      <c r="H2" s="3"/>
      <c r="I2" s="38" t="s">
        <v>21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37</v>
      </c>
      <c r="J4" s="44"/>
    </row>
    <row r="5" ht="60.0" customHeight="1">
      <c r="A5" s="40">
        <v>2.0</v>
      </c>
      <c r="B5" s="41" t="s">
        <v>38</v>
      </c>
      <c r="C5" s="41" t="s">
        <v>39</v>
      </c>
      <c r="D5" s="41" t="s">
        <v>40</v>
      </c>
      <c r="E5" s="41" t="s">
        <v>41</v>
      </c>
      <c r="F5" s="40" t="str">
        <f t="shared" si="1"/>
        <v>CORRECT</v>
      </c>
      <c r="G5" s="40" t="s">
        <v>42</v>
      </c>
      <c r="H5" s="44" t="s">
        <v>42</v>
      </c>
      <c r="I5" s="43" t="s">
        <v>43</v>
      </c>
      <c r="J5" s="44"/>
    </row>
    <row r="6" ht="60.0" customHeight="1">
      <c r="A6" s="40">
        <v>3.0</v>
      </c>
      <c r="B6" s="41" t="s">
        <v>44</v>
      </c>
      <c r="C6" s="41" t="s">
        <v>45</v>
      </c>
      <c r="D6" s="41" t="s">
        <v>46</v>
      </c>
      <c r="E6" s="41" t="s">
        <v>47</v>
      </c>
      <c r="F6" s="40" t="str">
        <f t="shared" si="1"/>
        <v>CORRECT</v>
      </c>
      <c r="G6" s="40" t="s">
        <v>48</v>
      </c>
      <c r="H6" s="45" t="s">
        <v>48</v>
      </c>
      <c r="I6" s="43" t="s">
        <v>49</v>
      </c>
      <c r="J6" s="44"/>
    </row>
    <row r="7" ht="60.0" customHeight="1">
      <c r="A7" s="40">
        <v>4.0</v>
      </c>
      <c r="B7" s="41" t="s">
        <v>50</v>
      </c>
      <c r="C7" s="41" t="s">
        <v>51</v>
      </c>
      <c r="D7" s="41" t="s">
        <v>52</v>
      </c>
      <c r="E7" s="41" t="s">
        <v>53</v>
      </c>
      <c r="F7" s="40" t="str">
        <f t="shared" si="1"/>
        <v>CORRECT</v>
      </c>
      <c r="G7" s="40" t="s">
        <v>42</v>
      </c>
      <c r="H7" s="44" t="s">
        <v>42</v>
      </c>
      <c r="I7" s="43" t="s">
        <v>54</v>
      </c>
      <c r="J7" s="44"/>
    </row>
    <row r="8" ht="60.0" customHeight="1">
      <c r="A8" s="40">
        <v>5.0</v>
      </c>
      <c r="B8" s="41" t="s">
        <v>55</v>
      </c>
      <c r="C8" s="41" t="s">
        <v>56</v>
      </c>
      <c r="D8" s="41" t="s">
        <v>57</v>
      </c>
      <c r="E8" s="41" t="s">
        <v>58</v>
      </c>
      <c r="F8" s="40" t="str">
        <f t="shared" si="1"/>
        <v>CORRECT</v>
      </c>
      <c r="G8" s="40" t="s">
        <v>48</v>
      </c>
      <c r="H8" s="45" t="s">
        <v>48</v>
      </c>
      <c r="I8" s="43" t="s">
        <v>59</v>
      </c>
      <c r="J8" s="44"/>
    </row>
    <row r="9" ht="60.0" customHeight="1">
      <c r="A9" s="40">
        <v>6.0</v>
      </c>
      <c r="B9" s="41" t="s">
        <v>60</v>
      </c>
      <c r="C9" s="41" t="s">
        <v>61</v>
      </c>
      <c r="D9" s="41" t="s">
        <v>62</v>
      </c>
      <c r="E9" s="41" t="s">
        <v>63</v>
      </c>
      <c r="F9" s="40" t="str">
        <f t="shared" si="1"/>
        <v>CORRECT</v>
      </c>
      <c r="G9" s="40" t="s">
        <v>42</v>
      </c>
      <c r="H9" s="44" t="s">
        <v>42</v>
      </c>
      <c r="I9" s="43" t="s">
        <v>64</v>
      </c>
      <c r="J9" s="44"/>
    </row>
    <row r="10" ht="60.0" customHeight="1">
      <c r="A10" s="40">
        <v>7.0</v>
      </c>
      <c r="B10" s="41" t="s">
        <v>65</v>
      </c>
      <c r="C10" s="41" t="s">
        <v>66</v>
      </c>
      <c r="D10" s="41" t="s">
        <v>67</v>
      </c>
      <c r="E10" s="41" t="s">
        <v>68</v>
      </c>
      <c r="F10" s="40" t="str">
        <f t="shared" si="1"/>
        <v>CORRECT</v>
      </c>
      <c r="G10" s="40" t="s">
        <v>42</v>
      </c>
      <c r="H10" s="44" t="s">
        <v>42</v>
      </c>
      <c r="I10" s="43" t="s">
        <v>69</v>
      </c>
      <c r="J10" s="44"/>
    </row>
    <row r="11" ht="60.0" customHeight="1">
      <c r="A11" s="40">
        <v>8.0</v>
      </c>
      <c r="B11" s="41" t="s">
        <v>70</v>
      </c>
      <c r="C11" s="41" t="s">
        <v>71</v>
      </c>
      <c r="D11" s="41" t="s">
        <v>72</v>
      </c>
      <c r="E11" s="41" t="s">
        <v>73</v>
      </c>
      <c r="F11" s="40" t="str">
        <f t="shared" si="1"/>
        <v>CORRECT</v>
      </c>
      <c r="G11" s="40" t="s">
        <v>48</v>
      </c>
      <c r="H11" s="44" t="s">
        <v>48</v>
      </c>
      <c r="I11" s="43" t="s">
        <v>74</v>
      </c>
      <c r="J11" s="44"/>
    </row>
    <row r="12" ht="60.0" customHeight="1">
      <c r="A12" s="40">
        <v>9.0</v>
      </c>
      <c r="B12" s="41" t="s">
        <v>75</v>
      </c>
      <c r="C12" s="41" t="s">
        <v>76</v>
      </c>
      <c r="D12" s="41" t="s">
        <v>77</v>
      </c>
      <c r="E12" s="41" t="s">
        <v>78</v>
      </c>
      <c r="F12" s="40" t="str">
        <f t="shared" si="1"/>
        <v>CORRECT</v>
      </c>
      <c r="G12" s="40" t="s">
        <v>42</v>
      </c>
      <c r="H12" s="42" t="s">
        <v>42</v>
      </c>
      <c r="I12" s="43" t="s">
        <v>79</v>
      </c>
      <c r="J12" s="44"/>
    </row>
    <row r="13" ht="60.0" customHeight="1">
      <c r="A13" s="40">
        <v>10.0</v>
      </c>
      <c r="B13" s="41" t="s">
        <v>80</v>
      </c>
      <c r="C13" s="41" t="s">
        <v>81</v>
      </c>
      <c r="D13" s="41" t="s">
        <v>82</v>
      </c>
      <c r="E13" s="41" t="s">
        <v>83</v>
      </c>
      <c r="F13" s="40" t="str">
        <f t="shared" si="1"/>
        <v>WRONG</v>
      </c>
      <c r="G13" s="40" t="s">
        <v>48</v>
      </c>
      <c r="H13" s="42" t="s">
        <v>42</v>
      </c>
      <c r="I13" s="43" t="s">
        <v>84</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2" t="s">
        <v>48</v>
      </c>
      <c r="I15" s="43" t="s">
        <v>94</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4"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129</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139</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CORRECT</v>
      </c>
      <c r="G28" s="40" t="s">
        <v>48</v>
      </c>
      <c r="H28" s="42" t="s">
        <v>48</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2"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36</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CORRECT</v>
      </c>
      <c r="G47" s="40" t="s">
        <v>36</v>
      </c>
      <c r="H47" s="42" t="s">
        <v>36</v>
      </c>
      <c r="I47" s="43" t="s">
        <v>252</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30</v>
      </c>
      <c r="G50" s="48"/>
      <c r="H50" s="48"/>
      <c r="J50" s="49" t="str">
        <f>AVERAGE(J4:J49)</f>
        <v>#DIV/0!</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265</v>
      </c>
      <c r="C2" s="2"/>
      <c r="D2" s="2"/>
      <c r="E2" s="2"/>
      <c r="F2" s="2"/>
      <c r="G2" s="2"/>
      <c r="H2" s="3"/>
      <c r="I2" s="38" t="s">
        <v>266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43</v>
      </c>
      <c r="J5" s="44"/>
    </row>
    <row r="6" ht="60.0" customHeight="1">
      <c r="A6" s="40">
        <v>3.0</v>
      </c>
      <c r="B6" s="41" t="s">
        <v>44</v>
      </c>
      <c r="C6" s="41" t="s">
        <v>45</v>
      </c>
      <c r="D6" s="41" t="s">
        <v>46</v>
      </c>
      <c r="E6" s="41" t="s">
        <v>47</v>
      </c>
      <c r="F6" s="40" t="str">
        <f t="shared" si="1"/>
        <v>CORRECT</v>
      </c>
      <c r="G6" s="40" t="s">
        <v>48</v>
      </c>
      <c r="H6" s="42" t="s">
        <v>48</v>
      </c>
      <c r="I6" s="43" t="s">
        <v>268</v>
      </c>
      <c r="J6" s="44"/>
    </row>
    <row r="7" ht="60.0" customHeight="1">
      <c r="A7" s="40">
        <v>4.0</v>
      </c>
      <c r="B7" s="41" t="s">
        <v>50</v>
      </c>
      <c r="C7" s="41" t="s">
        <v>51</v>
      </c>
      <c r="D7" s="41" t="s">
        <v>52</v>
      </c>
      <c r="E7" s="41" t="s">
        <v>53</v>
      </c>
      <c r="F7" s="40" t="str">
        <f t="shared" si="1"/>
        <v>CORRECT</v>
      </c>
      <c r="G7" s="40" t="s">
        <v>42</v>
      </c>
      <c r="H7" s="44" t="s">
        <v>42</v>
      </c>
      <c r="I7" s="43" t="s">
        <v>269</v>
      </c>
      <c r="J7" s="44"/>
    </row>
    <row r="8" ht="60.0" customHeight="1">
      <c r="A8" s="40">
        <v>5.0</v>
      </c>
      <c r="B8" s="41" t="s">
        <v>55</v>
      </c>
      <c r="C8" s="41" t="s">
        <v>56</v>
      </c>
      <c r="D8" s="41" t="s">
        <v>57</v>
      </c>
      <c r="E8" s="41" t="s">
        <v>58</v>
      </c>
      <c r="F8" s="40" t="str">
        <f t="shared" si="1"/>
        <v>CORRECT</v>
      </c>
      <c r="G8" s="40" t="s">
        <v>48</v>
      </c>
      <c r="H8" s="42" t="s">
        <v>48</v>
      </c>
      <c r="I8" s="43" t="s">
        <v>270</v>
      </c>
      <c r="J8" s="44"/>
    </row>
    <row r="9" ht="60.0" customHeight="1">
      <c r="A9" s="40">
        <v>6.0</v>
      </c>
      <c r="B9" s="41" t="s">
        <v>60</v>
      </c>
      <c r="C9" s="41" t="s">
        <v>61</v>
      </c>
      <c r="D9" s="41" t="s">
        <v>62</v>
      </c>
      <c r="E9" s="41" t="s">
        <v>63</v>
      </c>
      <c r="F9" s="40" t="str">
        <f t="shared" si="1"/>
        <v>CORRECT</v>
      </c>
      <c r="G9" s="40" t="s">
        <v>42</v>
      </c>
      <c r="H9" s="44" t="s">
        <v>42</v>
      </c>
      <c r="I9" s="43" t="s">
        <v>271</v>
      </c>
      <c r="J9" s="44"/>
    </row>
    <row r="10" ht="60.0" customHeight="1">
      <c r="A10" s="40">
        <v>7.0</v>
      </c>
      <c r="B10" s="41" t="s">
        <v>65</v>
      </c>
      <c r="C10" s="41" t="s">
        <v>66</v>
      </c>
      <c r="D10" s="41" t="s">
        <v>67</v>
      </c>
      <c r="E10" s="41" t="s">
        <v>68</v>
      </c>
      <c r="F10" s="40" t="str">
        <f t="shared" si="1"/>
        <v>WRONG</v>
      </c>
      <c r="G10" s="40" t="s">
        <v>42</v>
      </c>
      <c r="H10" s="42" t="s">
        <v>36</v>
      </c>
      <c r="I10" s="43" t="s">
        <v>272</v>
      </c>
      <c r="J10" s="44"/>
    </row>
    <row r="11" ht="60.0" customHeight="1">
      <c r="A11" s="40">
        <v>8.0</v>
      </c>
      <c r="B11" s="41" t="s">
        <v>70</v>
      </c>
      <c r="C11" s="41" t="s">
        <v>71</v>
      </c>
      <c r="D11" s="41" t="s">
        <v>72</v>
      </c>
      <c r="E11" s="41" t="s">
        <v>73</v>
      </c>
      <c r="F11" s="40" t="str">
        <f t="shared" si="1"/>
        <v>CORRECT</v>
      </c>
      <c r="G11" s="40" t="s">
        <v>48</v>
      </c>
      <c r="H11" s="44" t="s">
        <v>48</v>
      </c>
      <c r="I11" s="43" t="s">
        <v>273</v>
      </c>
      <c r="J11" s="44"/>
    </row>
    <row r="12" ht="60.0" customHeight="1">
      <c r="A12" s="40">
        <v>9.0</v>
      </c>
      <c r="B12" s="41" t="s">
        <v>75</v>
      </c>
      <c r="C12" s="41" t="s">
        <v>76</v>
      </c>
      <c r="D12" s="41" t="s">
        <v>77</v>
      </c>
      <c r="E12" s="41" t="s">
        <v>78</v>
      </c>
      <c r="F12" s="40" t="str">
        <f t="shared" si="1"/>
        <v>WRONG</v>
      </c>
      <c r="G12" s="40" t="s">
        <v>42</v>
      </c>
      <c r="H12" s="42" t="s">
        <v>48</v>
      </c>
      <c r="I12" s="43" t="s">
        <v>274</v>
      </c>
      <c r="J12" s="44"/>
    </row>
    <row r="13" ht="60.0" customHeight="1">
      <c r="A13" s="40">
        <v>10.0</v>
      </c>
      <c r="B13" s="41" t="s">
        <v>80</v>
      </c>
      <c r="C13" s="41" t="s">
        <v>81</v>
      </c>
      <c r="D13" s="41" t="s">
        <v>82</v>
      </c>
      <c r="E13" s="41" t="s">
        <v>83</v>
      </c>
      <c r="F13" s="40" t="str">
        <f t="shared" si="1"/>
        <v>CORRECT</v>
      </c>
      <c r="G13" s="40" t="s">
        <v>48</v>
      </c>
      <c r="H13" s="44" t="s">
        <v>48</v>
      </c>
      <c r="I13" s="43" t="s">
        <v>275</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4" t="s">
        <v>48</v>
      </c>
      <c r="I15" s="43" t="s">
        <v>276</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4"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277</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278</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CORRECT</v>
      </c>
      <c r="G28" s="40" t="s">
        <v>48</v>
      </c>
      <c r="H28" s="42" t="s">
        <v>48</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36</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CORRECT</v>
      </c>
      <c r="G47" s="40" t="s">
        <v>36</v>
      </c>
      <c r="H47" s="42" t="s">
        <v>36</v>
      </c>
      <c r="I47" s="43" t="s">
        <v>252</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29</v>
      </c>
      <c r="G50" s="48"/>
      <c r="H50" s="48"/>
      <c r="J50" s="49" t="str">
        <f>AVERAGE(J4:J49)</f>
        <v>#DIV/0!</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279</v>
      </c>
      <c r="C2" s="2"/>
      <c r="D2" s="2"/>
      <c r="E2" s="2"/>
      <c r="F2" s="2"/>
      <c r="G2" s="2"/>
      <c r="H2" s="3"/>
      <c r="I2" s="38" t="s">
        <v>280</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43</v>
      </c>
      <c r="J5" s="44"/>
    </row>
    <row r="6" ht="60.0" customHeight="1">
      <c r="A6" s="40">
        <v>3.0</v>
      </c>
      <c r="B6" s="41" t="s">
        <v>44</v>
      </c>
      <c r="C6" s="41" t="s">
        <v>45</v>
      </c>
      <c r="D6" s="41" t="s">
        <v>46</v>
      </c>
      <c r="E6" s="41" t="s">
        <v>47</v>
      </c>
      <c r="F6" s="40" t="str">
        <f t="shared" si="1"/>
        <v>CORRECT</v>
      </c>
      <c r="G6" s="40" t="s">
        <v>48</v>
      </c>
      <c r="H6" s="42" t="s">
        <v>48</v>
      </c>
      <c r="I6" s="43" t="s">
        <v>268</v>
      </c>
      <c r="J6" s="44"/>
    </row>
    <row r="7" ht="60.0" customHeight="1">
      <c r="A7" s="40">
        <v>4.0</v>
      </c>
      <c r="B7" s="41" t="s">
        <v>50</v>
      </c>
      <c r="C7" s="41" t="s">
        <v>51</v>
      </c>
      <c r="D7" s="41" t="s">
        <v>52</v>
      </c>
      <c r="E7" s="41" t="s">
        <v>53</v>
      </c>
      <c r="F7" s="40" t="str">
        <f t="shared" si="1"/>
        <v>CORRECT</v>
      </c>
      <c r="G7" s="40" t="s">
        <v>42</v>
      </c>
      <c r="H7" s="44" t="s">
        <v>42</v>
      </c>
      <c r="I7" s="43" t="s">
        <v>269</v>
      </c>
      <c r="J7" s="44"/>
    </row>
    <row r="8" ht="60.0" customHeight="1">
      <c r="A8" s="40">
        <v>5.0</v>
      </c>
      <c r="B8" s="41" t="s">
        <v>55</v>
      </c>
      <c r="C8" s="41" t="s">
        <v>56</v>
      </c>
      <c r="D8" s="41" t="s">
        <v>57</v>
      </c>
      <c r="E8" s="41" t="s">
        <v>58</v>
      </c>
      <c r="F8" s="40" t="str">
        <f t="shared" si="1"/>
        <v>CORRECT</v>
      </c>
      <c r="G8" s="40" t="s">
        <v>48</v>
      </c>
      <c r="H8" s="42" t="s">
        <v>48</v>
      </c>
      <c r="I8" s="43" t="s">
        <v>270</v>
      </c>
      <c r="J8" s="44"/>
    </row>
    <row r="9" ht="60.0" customHeight="1">
      <c r="A9" s="40">
        <v>6.0</v>
      </c>
      <c r="B9" s="41" t="s">
        <v>60</v>
      </c>
      <c r="C9" s="41" t="s">
        <v>61</v>
      </c>
      <c r="D9" s="41" t="s">
        <v>62</v>
      </c>
      <c r="E9" s="41" t="s">
        <v>63</v>
      </c>
      <c r="F9" s="40" t="str">
        <f t="shared" si="1"/>
        <v>CORRECT</v>
      </c>
      <c r="G9" s="40" t="s">
        <v>42</v>
      </c>
      <c r="H9" s="44" t="s">
        <v>42</v>
      </c>
      <c r="I9" s="43" t="s">
        <v>271</v>
      </c>
      <c r="J9" s="44"/>
    </row>
    <row r="10" ht="60.0" customHeight="1">
      <c r="A10" s="40">
        <v>7.0</v>
      </c>
      <c r="B10" s="41" t="s">
        <v>65</v>
      </c>
      <c r="C10" s="41" t="s">
        <v>66</v>
      </c>
      <c r="D10" s="41" t="s">
        <v>67</v>
      </c>
      <c r="E10" s="41" t="s">
        <v>68</v>
      </c>
      <c r="F10" s="40" t="str">
        <f t="shared" si="1"/>
        <v>CORRECT</v>
      </c>
      <c r="G10" s="40" t="s">
        <v>42</v>
      </c>
      <c r="H10" s="44" t="s">
        <v>42</v>
      </c>
      <c r="I10" s="43" t="s">
        <v>272</v>
      </c>
      <c r="J10" s="44"/>
    </row>
    <row r="11" ht="60.0" customHeight="1">
      <c r="A11" s="40">
        <v>8.0</v>
      </c>
      <c r="B11" s="41" t="s">
        <v>70</v>
      </c>
      <c r="C11" s="41" t="s">
        <v>71</v>
      </c>
      <c r="D11" s="41" t="s">
        <v>72</v>
      </c>
      <c r="E11" s="41" t="s">
        <v>73</v>
      </c>
      <c r="F11" s="40" t="str">
        <f t="shared" si="1"/>
        <v>CORRECT</v>
      </c>
      <c r="G11" s="40" t="s">
        <v>48</v>
      </c>
      <c r="H11" s="44" t="s">
        <v>48</v>
      </c>
      <c r="I11" s="43" t="s">
        <v>273</v>
      </c>
      <c r="J11" s="44"/>
    </row>
    <row r="12" ht="60.0" customHeight="1">
      <c r="A12" s="40">
        <v>9.0</v>
      </c>
      <c r="B12" s="41" t="s">
        <v>75</v>
      </c>
      <c r="C12" s="41" t="s">
        <v>76</v>
      </c>
      <c r="D12" s="41" t="s">
        <v>77</v>
      </c>
      <c r="E12" s="41" t="s">
        <v>78</v>
      </c>
      <c r="F12" s="40" t="str">
        <f t="shared" si="1"/>
        <v>WRONG</v>
      </c>
      <c r="G12" s="40" t="s">
        <v>42</v>
      </c>
      <c r="H12" s="42" t="s">
        <v>48</v>
      </c>
      <c r="I12" s="43" t="s">
        <v>274</v>
      </c>
      <c r="J12" s="44"/>
    </row>
    <row r="13" ht="60.0" customHeight="1">
      <c r="A13" s="40">
        <v>10.0</v>
      </c>
      <c r="B13" s="41" t="s">
        <v>80</v>
      </c>
      <c r="C13" s="41" t="s">
        <v>81</v>
      </c>
      <c r="D13" s="41" t="s">
        <v>82</v>
      </c>
      <c r="E13" s="41" t="s">
        <v>83</v>
      </c>
      <c r="F13" s="40" t="str">
        <f t="shared" si="1"/>
        <v>CORRECT</v>
      </c>
      <c r="G13" s="40" t="s">
        <v>48</v>
      </c>
      <c r="H13" s="44" t="s">
        <v>48</v>
      </c>
      <c r="I13" s="43" t="s">
        <v>275</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4" t="s">
        <v>48</v>
      </c>
      <c r="I15" s="43" t="s">
        <v>276</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4"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277</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278</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CORRECT</v>
      </c>
      <c r="G28" s="40" t="s">
        <v>48</v>
      </c>
      <c r="H28" s="42" t="s">
        <v>48</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36</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CORRECT</v>
      </c>
      <c r="G47" s="40" t="s">
        <v>36</v>
      </c>
      <c r="H47" s="42" t="s">
        <v>36</v>
      </c>
      <c r="I47" s="43" t="s">
        <v>252</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30</v>
      </c>
      <c r="G50" s="48"/>
      <c r="H50" s="48"/>
      <c r="J50" s="49" t="str">
        <f>AVERAGE(J4:J49)</f>
        <v>#DIV/0!</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281</v>
      </c>
      <c r="C2" s="2"/>
      <c r="D2" s="2"/>
      <c r="E2" s="2"/>
      <c r="F2" s="2"/>
      <c r="G2" s="2"/>
      <c r="H2" s="3"/>
      <c r="I2" s="38" t="s">
        <v>282</v>
      </c>
      <c r="J2" s="3"/>
      <c r="K2" s="35"/>
      <c r="L2" s="35"/>
      <c r="M2" s="35"/>
      <c r="N2" s="54" t="s">
        <v>283</v>
      </c>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43</v>
      </c>
      <c r="J5" s="44"/>
    </row>
    <row r="6" ht="60.0" customHeight="1">
      <c r="A6" s="40">
        <v>3.0</v>
      </c>
      <c r="B6" s="41" t="s">
        <v>44</v>
      </c>
      <c r="C6" s="41" t="s">
        <v>45</v>
      </c>
      <c r="D6" s="41" t="s">
        <v>46</v>
      </c>
      <c r="E6" s="41" t="s">
        <v>47</v>
      </c>
      <c r="F6" s="40" t="str">
        <f t="shared" si="1"/>
        <v>CORRECT</v>
      </c>
      <c r="G6" s="40" t="s">
        <v>48</v>
      </c>
      <c r="H6" s="42" t="s">
        <v>48</v>
      </c>
      <c r="I6" s="43" t="s">
        <v>268</v>
      </c>
      <c r="J6" s="44"/>
    </row>
    <row r="7" ht="60.0" customHeight="1">
      <c r="A7" s="40">
        <v>4.0</v>
      </c>
      <c r="B7" s="41" t="s">
        <v>50</v>
      </c>
      <c r="C7" s="41" t="s">
        <v>51</v>
      </c>
      <c r="D7" s="41" t="s">
        <v>52</v>
      </c>
      <c r="E7" s="41" t="s">
        <v>53</v>
      </c>
      <c r="F7" s="40" t="str">
        <f t="shared" si="1"/>
        <v>CORRECT</v>
      </c>
      <c r="G7" s="40" t="s">
        <v>42</v>
      </c>
      <c r="H7" s="44" t="s">
        <v>42</v>
      </c>
      <c r="I7" s="43" t="s">
        <v>269</v>
      </c>
      <c r="J7" s="44"/>
    </row>
    <row r="8" ht="60.0" customHeight="1">
      <c r="A8" s="40">
        <v>5.0</v>
      </c>
      <c r="B8" s="41" t="s">
        <v>55</v>
      </c>
      <c r="C8" s="41" t="s">
        <v>56</v>
      </c>
      <c r="D8" s="41" t="s">
        <v>57</v>
      </c>
      <c r="E8" s="41" t="s">
        <v>58</v>
      </c>
      <c r="F8" s="40" t="str">
        <f t="shared" si="1"/>
        <v>CORRECT</v>
      </c>
      <c r="G8" s="40" t="s">
        <v>48</v>
      </c>
      <c r="H8" s="42" t="s">
        <v>48</v>
      </c>
      <c r="I8" s="43" t="s">
        <v>270</v>
      </c>
      <c r="J8" s="44"/>
    </row>
    <row r="9" ht="60.0" customHeight="1">
      <c r="A9" s="40">
        <v>6.0</v>
      </c>
      <c r="B9" s="41" t="s">
        <v>60</v>
      </c>
      <c r="C9" s="41" t="s">
        <v>61</v>
      </c>
      <c r="D9" s="41" t="s">
        <v>62</v>
      </c>
      <c r="E9" s="41" t="s">
        <v>63</v>
      </c>
      <c r="F9" s="40" t="str">
        <f t="shared" si="1"/>
        <v>CORRECT</v>
      </c>
      <c r="G9" s="40" t="s">
        <v>42</v>
      </c>
      <c r="H9" s="44" t="s">
        <v>42</v>
      </c>
      <c r="I9" s="43" t="s">
        <v>271</v>
      </c>
      <c r="J9" s="44"/>
    </row>
    <row r="10" ht="60.0" customHeight="1">
      <c r="A10" s="40">
        <v>7.0</v>
      </c>
      <c r="B10" s="41" t="s">
        <v>65</v>
      </c>
      <c r="C10" s="41" t="s">
        <v>66</v>
      </c>
      <c r="D10" s="41" t="s">
        <v>67</v>
      </c>
      <c r="E10" s="41" t="s">
        <v>68</v>
      </c>
      <c r="F10" s="40" t="str">
        <f t="shared" si="1"/>
        <v>WRONG</v>
      </c>
      <c r="G10" s="40" t="s">
        <v>42</v>
      </c>
      <c r="H10" s="42" t="s">
        <v>36</v>
      </c>
      <c r="I10" s="43" t="s">
        <v>272</v>
      </c>
      <c r="J10" s="44"/>
    </row>
    <row r="11" ht="60.0" customHeight="1">
      <c r="A11" s="40">
        <v>8.0</v>
      </c>
      <c r="B11" s="41" t="s">
        <v>70</v>
      </c>
      <c r="C11" s="41" t="s">
        <v>71</v>
      </c>
      <c r="D11" s="41" t="s">
        <v>72</v>
      </c>
      <c r="E11" s="41" t="s">
        <v>73</v>
      </c>
      <c r="F11" s="40" t="str">
        <f t="shared" si="1"/>
        <v>CORRECT</v>
      </c>
      <c r="G11" s="40" t="s">
        <v>48</v>
      </c>
      <c r="H11" s="44" t="s">
        <v>48</v>
      </c>
      <c r="I11" s="43" t="s">
        <v>273</v>
      </c>
      <c r="J11" s="44"/>
    </row>
    <row r="12" ht="60.0" customHeight="1">
      <c r="A12" s="40">
        <v>9.0</v>
      </c>
      <c r="B12" s="41" t="s">
        <v>75</v>
      </c>
      <c r="C12" s="41" t="s">
        <v>76</v>
      </c>
      <c r="D12" s="41" t="s">
        <v>77</v>
      </c>
      <c r="E12" s="41" t="s">
        <v>78</v>
      </c>
      <c r="F12" s="40" t="str">
        <f t="shared" si="1"/>
        <v>WRONG</v>
      </c>
      <c r="G12" s="40" t="s">
        <v>42</v>
      </c>
      <c r="H12" s="42" t="s">
        <v>48</v>
      </c>
      <c r="I12" s="43" t="s">
        <v>274</v>
      </c>
      <c r="J12" s="44"/>
    </row>
    <row r="13" ht="60.0" customHeight="1">
      <c r="A13" s="40">
        <v>10.0</v>
      </c>
      <c r="B13" s="41" t="s">
        <v>80</v>
      </c>
      <c r="C13" s="41" t="s">
        <v>81</v>
      </c>
      <c r="D13" s="41" t="s">
        <v>82</v>
      </c>
      <c r="E13" s="41" t="s">
        <v>83</v>
      </c>
      <c r="F13" s="40" t="str">
        <f t="shared" si="1"/>
        <v>CORRECT</v>
      </c>
      <c r="G13" s="40" t="s">
        <v>48</v>
      </c>
      <c r="H13" s="44" t="s">
        <v>48</v>
      </c>
      <c r="I13" s="43" t="s">
        <v>275</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4" t="s">
        <v>48</v>
      </c>
      <c r="I15" s="43" t="s">
        <v>276</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4"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277</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278</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CORRECT</v>
      </c>
      <c r="G28" s="40" t="s">
        <v>48</v>
      </c>
      <c r="H28" s="42" t="s">
        <v>48</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36</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CORRECT</v>
      </c>
      <c r="G47" s="40" t="s">
        <v>36</v>
      </c>
      <c r="H47" s="42" t="s">
        <v>36</v>
      </c>
      <c r="I47" s="43" t="s">
        <v>252</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29</v>
      </c>
      <c r="G50" s="48"/>
      <c r="H50" s="48"/>
      <c r="J50" s="49" t="str">
        <f>AVERAGE(J4:J49)</f>
        <v>#DIV/0!</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284</v>
      </c>
      <c r="C2" s="2"/>
      <c r="D2" s="2"/>
      <c r="E2" s="2"/>
      <c r="F2" s="2"/>
      <c r="G2" s="2"/>
      <c r="H2" s="3"/>
      <c r="I2" s="38" t="s">
        <v>285</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43</v>
      </c>
      <c r="J5" s="44"/>
    </row>
    <row r="6" ht="60.0" customHeight="1">
      <c r="A6" s="40">
        <v>3.0</v>
      </c>
      <c r="B6" s="41" t="s">
        <v>44</v>
      </c>
      <c r="C6" s="41" t="s">
        <v>45</v>
      </c>
      <c r="D6" s="41" t="s">
        <v>46</v>
      </c>
      <c r="E6" s="41" t="s">
        <v>47</v>
      </c>
      <c r="F6" s="40" t="str">
        <f t="shared" si="1"/>
        <v>CORRECT</v>
      </c>
      <c r="G6" s="40" t="s">
        <v>48</v>
      </c>
      <c r="H6" s="42" t="s">
        <v>48</v>
      </c>
      <c r="I6" s="43" t="s">
        <v>268</v>
      </c>
      <c r="J6" s="44"/>
    </row>
    <row r="7" ht="60.0" customHeight="1">
      <c r="A7" s="40">
        <v>4.0</v>
      </c>
      <c r="B7" s="41" t="s">
        <v>50</v>
      </c>
      <c r="C7" s="41" t="s">
        <v>51</v>
      </c>
      <c r="D7" s="41" t="s">
        <v>52</v>
      </c>
      <c r="E7" s="41" t="s">
        <v>53</v>
      </c>
      <c r="F7" s="40" t="str">
        <f t="shared" si="1"/>
        <v>CORRECT</v>
      </c>
      <c r="G7" s="40" t="s">
        <v>42</v>
      </c>
      <c r="H7" s="44" t="s">
        <v>42</v>
      </c>
      <c r="I7" s="43" t="s">
        <v>269</v>
      </c>
      <c r="J7" s="44"/>
    </row>
    <row r="8" ht="60.0" customHeight="1">
      <c r="A8" s="40">
        <v>5.0</v>
      </c>
      <c r="B8" s="41" t="s">
        <v>55</v>
      </c>
      <c r="C8" s="41" t="s">
        <v>56</v>
      </c>
      <c r="D8" s="41" t="s">
        <v>57</v>
      </c>
      <c r="E8" s="41" t="s">
        <v>58</v>
      </c>
      <c r="F8" s="40" t="str">
        <f t="shared" si="1"/>
        <v>CORRECT</v>
      </c>
      <c r="G8" s="40" t="s">
        <v>48</v>
      </c>
      <c r="H8" s="42" t="s">
        <v>48</v>
      </c>
      <c r="I8" s="43" t="s">
        <v>270</v>
      </c>
      <c r="J8" s="44"/>
    </row>
    <row r="9" ht="60.0" customHeight="1">
      <c r="A9" s="40">
        <v>6.0</v>
      </c>
      <c r="B9" s="41" t="s">
        <v>60</v>
      </c>
      <c r="C9" s="41" t="s">
        <v>61</v>
      </c>
      <c r="D9" s="41" t="s">
        <v>62</v>
      </c>
      <c r="E9" s="41" t="s">
        <v>63</v>
      </c>
      <c r="F9" s="40" t="str">
        <f t="shared" si="1"/>
        <v>CORRECT</v>
      </c>
      <c r="G9" s="40" t="s">
        <v>42</v>
      </c>
      <c r="H9" s="44" t="s">
        <v>42</v>
      </c>
      <c r="I9" s="43" t="s">
        <v>271</v>
      </c>
      <c r="J9" s="44"/>
    </row>
    <row r="10" ht="60.0" customHeight="1">
      <c r="A10" s="40">
        <v>7.0</v>
      </c>
      <c r="B10" s="41" t="s">
        <v>65</v>
      </c>
      <c r="C10" s="41" t="s">
        <v>66</v>
      </c>
      <c r="D10" s="41" t="s">
        <v>67</v>
      </c>
      <c r="E10" s="41" t="s">
        <v>68</v>
      </c>
      <c r="F10" s="40" t="str">
        <f t="shared" si="1"/>
        <v>CORRECT</v>
      </c>
      <c r="G10" s="40" t="s">
        <v>42</v>
      </c>
      <c r="H10" s="44" t="s">
        <v>42</v>
      </c>
      <c r="I10" s="43" t="s">
        <v>272</v>
      </c>
      <c r="J10" s="44"/>
    </row>
    <row r="11" ht="60.0" customHeight="1">
      <c r="A11" s="40">
        <v>8.0</v>
      </c>
      <c r="B11" s="41" t="s">
        <v>70</v>
      </c>
      <c r="C11" s="41" t="s">
        <v>71</v>
      </c>
      <c r="D11" s="41" t="s">
        <v>72</v>
      </c>
      <c r="E11" s="41" t="s">
        <v>73</v>
      </c>
      <c r="F11" s="40" t="str">
        <f t="shared" si="1"/>
        <v>CORRECT</v>
      </c>
      <c r="G11" s="40" t="s">
        <v>48</v>
      </c>
      <c r="H11" s="44" t="s">
        <v>48</v>
      </c>
      <c r="I11" s="43" t="s">
        <v>273</v>
      </c>
      <c r="J11" s="44"/>
    </row>
    <row r="12" ht="60.0" customHeight="1">
      <c r="A12" s="40">
        <v>9.0</v>
      </c>
      <c r="B12" s="41" t="s">
        <v>75</v>
      </c>
      <c r="C12" s="41" t="s">
        <v>76</v>
      </c>
      <c r="D12" s="41" t="s">
        <v>77</v>
      </c>
      <c r="E12" s="41" t="s">
        <v>78</v>
      </c>
      <c r="F12" s="40" t="str">
        <f t="shared" si="1"/>
        <v>WRONG</v>
      </c>
      <c r="G12" s="40" t="s">
        <v>42</v>
      </c>
      <c r="H12" s="42" t="s">
        <v>48</v>
      </c>
      <c r="I12" s="43" t="s">
        <v>274</v>
      </c>
      <c r="J12" s="44"/>
    </row>
    <row r="13" ht="60.0" customHeight="1">
      <c r="A13" s="40">
        <v>10.0</v>
      </c>
      <c r="B13" s="41" t="s">
        <v>80</v>
      </c>
      <c r="C13" s="41" t="s">
        <v>81</v>
      </c>
      <c r="D13" s="41" t="s">
        <v>82</v>
      </c>
      <c r="E13" s="41" t="s">
        <v>83</v>
      </c>
      <c r="F13" s="40" t="str">
        <f t="shared" si="1"/>
        <v>CORRECT</v>
      </c>
      <c r="G13" s="40" t="s">
        <v>48</v>
      </c>
      <c r="H13" s="44" t="s">
        <v>48</v>
      </c>
      <c r="I13" s="43" t="s">
        <v>275</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4" t="s">
        <v>48</v>
      </c>
      <c r="I15" s="43" t="s">
        <v>276</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4"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277</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278</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CORRECT</v>
      </c>
      <c r="G28" s="40" t="s">
        <v>48</v>
      </c>
      <c r="H28" s="42" t="s">
        <v>48</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36</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CORRECT</v>
      </c>
      <c r="G47" s="40" t="s">
        <v>36</v>
      </c>
      <c r="H47" s="42" t="s">
        <v>36</v>
      </c>
      <c r="I47" s="43" t="s">
        <v>252</v>
      </c>
      <c r="J47" s="44"/>
    </row>
    <row r="48" ht="60.0" customHeight="1">
      <c r="A48" s="40">
        <v>45.0</v>
      </c>
      <c r="B48" s="41" t="s">
        <v>253</v>
      </c>
      <c r="C48" s="41" t="s">
        <v>254</v>
      </c>
      <c r="D48" s="41" t="s">
        <v>255</v>
      </c>
      <c r="E48" s="41" t="s">
        <v>256</v>
      </c>
      <c r="F48" s="40" t="str">
        <f t="shared" si="1"/>
        <v>CORRECT</v>
      </c>
      <c r="G48" s="40" t="s">
        <v>36</v>
      </c>
      <c r="H48" s="42"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30</v>
      </c>
      <c r="G50" s="48"/>
      <c r="H50" s="48"/>
      <c r="J50" s="49" t="str">
        <f>AVERAGE(J4:J49)</f>
        <v>#DIV/0!</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286</v>
      </c>
      <c r="C2" s="2"/>
      <c r="D2" s="2"/>
      <c r="E2" s="2"/>
      <c r="F2" s="2"/>
      <c r="G2" s="2"/>
      <c r="H2" s="3"/>
      <c r="I2" s="38" t="s">
        <v>287</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43</v>
      </c>
      <c r="J5" s="44"/>
    </row>
    <row r="6" ht="60.0" customHeight="1">
      <c r="A6" s="40">
        <v>3.0</v>
      </c>
      <c r="B6" s="41" t="s">
        <v>44</v>
      </c>
      <c r="C6" s="41" t="s">
        <v>45</v>
      </c>
      <c r="D6" s="41" t="s">
        <v>46</v>
      </c>
      <c r="E6" s="41" t="s">
        <v>47</v>
      </c>
      <c r="F6" s="40" t="str">
        <f t="shared" si="1"/>
        <v>CORRECT</v>
      </c>
      <c r="G6" s="40" t="s">
        <v>48</v>
      </c>
      <c r="H6" s="42" t="s">
        <v>48</v>
      </c>
      <c r="I6" s="43" t="s">
        <v>268</v>
      </c>
      <c r="J6" s="44"/>
    </row>
    <row r="7" ht="60.0" customHeight="1">
      <c r="A7" s="40">
        <v>4.0</v>
      </c>
      <c r="B7" s="41" t="s">
        <v>50</v>
      </c>
      <c r="C7" s="41" t="s">
        <v>51</v>
      </c>
      <c r="D7" s="41" t="s">
        <v>52</v>
      </c>
      <c r="E7" s="41" t="s">
        <v>53</v>
      </c>
      <c r="F7" s="40" t="str">
        <f t="shared" si="1"/>
        <v>CORRECT</v>
      </c>
      <c r="G7" s="40" t="s">
        <v>42</v>
      </c>
      <c r="H7" s="44" t="s">
        <v>42</v>
      </c>
      <c r="I7" s="43" t="s">
        <v>269</v>
      </c>
      <c r="J7" s="44"/>
    </row>
    <row r="8" ht="60.0" customHeight="1">
      <c r="A8" s="40">
        <v>5.0</v>
      </c>
      <c r="B8" s="41" t="s">
        <v>55</v>
      </c>
      <c r="C8" s="41" t="s">
        <v>56</v>
      </c>
      <c r="D8" s="41" t="s">
        <v>57</v>
      </c>
      <c r="E8" s="41" t="s">
        <v>58</v>
      </c>
      <c r="F8" s="40" t="str">
        <f t="shared" si="1"/>
        <v>CORRECT</v>
      </c>
      <c r="G8" s="40" t="s">
        <v>48</v>
      </c>
      <c r="H8" s="42" t="s">
        <v>48</v>
      </c>
      <c r="I8" s="43" t="s">
        <v>270</v>
      </c>
      <c r="J8" s="44"/>
    </row>
    <row r="9" ht="60.0" customHeight="1">
      <c r="A9" s="40">
        <v>6.0</v>
      </c>
      <c r="B9" s="41" t="s">
        <v>60</v>
      </c>
      <c r="C9" s="41" t="s">
        <v>61</v>
      </c>
      <c r="D9" s="41" t="s">
        <v>62</v>
      </c>
      <c r="E9" s="41" t="s">
        <v>63</v>
      </c>
      <c r="F9" s="40" t="str">
        <f t="shared" si="1"/>
        <v>CORRECT</v>
      </c>
      <c r="G9" s="40" t="s">
        <v>42</v>
      </c>
      <c r="H9" s="44" t="s">
        <v>42</v>
      </c>
      <c r="I9" s="43" t="s">
        <v>271</v>
      </c>
      <c r="J9" s="44"/>
    </row>
    <row r="10" ht="60.0" customHeight="1">
      <c r="A10" s="40">
        <v>7.0</v>
      </c>
      <c r="B10" s="41" t="s">
        <v>65</v>
      </c>
      <c r="C10" s="41" t="s">
        <v>66</v>
      </c>
      <c r="D10" s="41" t="s">
        <v>67</v>
      </c>
      <c r="E10" s="41" t="s">
        <v>68</v>
      </c>
      <c r="F10" s="40" t="str">
        <f t="shared" si="1"/>
        <v>WRONG</v>
      </c>
      <c r="G10" s="40" t="s">
        <v>42</v>
      </c>
      <c r="H10" s="42" t="s">
        <v>36</v>
      </c>
      <c r="I10" s="43" t="s">
        <v>272</v>
      </c>
      <c r="J10" s="44"/>
    </row>
    <row r="11" ht="60.0" customHeight="1">
      <c r="A11" s="40">
        <v>8.0</v>
      </c>
      <c r="B11" s="41" t="s">
        <v>70</v>
      </c>
      <c r="C11" s="41" t="s">
        <v>71</v>
      </c>
      <c r="D11" s="41" t="s">
        <v>72</v>
      </c>
      <c r="E11" s="41" t="s">
        <v>73</v>
      </c>
      <c r="F11" s="40" t="str">
        <f t="shared" si="1"/>
        <v>CORRECT</v>
      </c>
      <c r="G11" s="40" t="s">
        <v>48</v>
      </c>
      <c r="H11" s="44" t="s">
        <v>48</v>
      </c>
      <c r="I11" s="43" t="s">
        <v>273</v>
      </c>
      <c r="J11" s="44"/>
    </row>
    <row r="12" ht="60.0" customHeight="1">
      <c r="A12" s="40">
        <v>9.0</v>
      </c>
      <c r="B12" s="41" t="s">
        <v>75</v>
      </c>
      <c r="C12" s="41" t="s">
        <v>76</v>
      </c>
      <c r="D12" s="41" t="s">
        <v>77</v>
      </c>
      <c r="E12" s="41" t="s">
        <v>78</v>
      </c>
      <c r="F12" s="40" t="str">
        <f t="shared" si="1"/>
        <v>WRONG</v>
      </c>
      <c r="G12" s="40" t="s">
        <v>42</v>
      </c>
      <c r="H12" s="42" t="s">
        <v>48</v>
      </c>
      <c r="I12" s="43" t="s">
        <v>274</v>
      </c>
      <c r="J12" s="44"/>
    </row>
    <row r="13" ht="60.0" customHeight="1">
      <c r="A13" s="40">
        <v>10.0</v>
      </c>
      <c r="B13" s="41" t="s">
        <v>80</v>
      </c>
      <c r="C13" s="41" t="s">
        <v>81</v>
      </c>
      <c r="D13" s="41" t="s">
        <v>82</v>
      </c>
      <c r="E13" s="41" t="s">
        <v>83</v>
      </c>
      <c r="F13" s="40" t="str">
        <f t="shared" si="1"/>
        <v>CORRECT</v>
      </c>
      <c r="G13" s="40" t="s">
        <v>48</v>
      </c>
      <c r="H13" s="44" t="s">
        <v>48</v>
      </c>
      <c r="I13" s="43" t="s">
        <v>275</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4" t="s">
        <v>48</v>
      </c>
      <c r="I15" s="43" t="s">
        <v>276</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4"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277</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278</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CORRECT</v>
      </c>
      <c r="G28" s="40" t="s">
        <v>48</v>
      </c>
      <c r="H28" s="42" t="s">
        <v>48</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36</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CORRECT</v>
      </c>
      <c r="G47" s="40" t="s">
        <v>36</v>
      </c>
      <c r="H47" s="42" t="s">
        <v>36</v>
      </c>
      <c r="I47" s="43" t="s">
        <v>252</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29</v>
      </c>
      <c r="G50" s="48"/>
      <c r="H50" s="48"/>
      <c r="J50" s="49" t="str">
        <f>AVERAGE(J4:J49)</f>
        <v>#DIV/0!</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288</v>
      </c>
      <c r="C2" s="2"/>
      <c r="D2" s="2"/>
      <c r="E2" s="2"/>
      <c r="F2" s="2"/>
      <c r="G2" s="2"/>
      <c r="H2" s="3"/>
      <c r="I2" s="38" t="s">
        <v>289</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43</v>
      </c>
      <c r="J5" s="44"/>
    </row>
    <row r="6" ht="60.0" customHeight="1">
      <c r="A6" s="40">
        <v>3.0</v>
      </c>
      <c r="B6" s="41" t="s">
        <v>44</v>
      </c>
      <c r="C6" s="41" t="s">
        <v>45</v>
      </c>
      <c r="D6" s="41" t="s">
        <v>46</v>
      </c>
      <c r="E6" s="41" t="s">
        <v>47</v>
      </c>
      <c r="F6" s="40" t="str">
        <f t="shared" si="1"/>
        <v>CORRECT</v>
      </c>
      <c r="G6" s="40" t="s">
        <v>48</v>
      </c>
      <c r="H6" s="42" t="s">
        <v>48</v>
      </c>
      <c r="I6" s="43" t="s">
        <v>268</v>
      </c>
      <c r="J6" s="44"/>
    </row>
    <row r="7" ht="60.0" customHeight="1">
      <c r="A7" s="40">
        <v>4.0</v>
      </c>
      <c r="B7" s="41" t="s">
        <v>50</v>
      </c>
      <c r="C7" s="41" t="s">
        <v>51</v>
      </c>
      <c r="D7" s="41" t="s">
        <v>52</v>
      </c>
      <c r="E7" s="41" t="s">
        <v>53</v>
      </c>
      <c r="F7" s="40" t="str">
        <f t="shared" si="1"/>
        <v>CORRECT</v>
      </c>
      <c r="G7" s="40" t="s">
        <v>42</v>
      </c>
      <c r="H7" s="44" t="s">
        <v>42</v>
      </c>
      <c r="I7" s="43" t="s">
        <v>269</v>
      </c>
      <c r="J7" s="44"/>
    </row>
    <row r="8" ht="60.0" customHeight="1">
      <c r="A8" s="40">
        <v>5.0</v>
      </c>
      <c r="B8" s="41" t="s">
        <v>55</v>
      </c>
      <c r="C8" s="41" t="s">
        <v>56</v>
      </c>
      <c r="D8" s="41" t="s">
        <v>57</v>
      </c>
      <c r="E8" s="41" t="s">
        <v>58</v>
      </c>
      <c r="F8" s="40" t="str">
        <f t="shared" si="1"/>
        <v>CORRECT</v>
      </c>
      <c r="G8" s="40" t="s">
        <v>48</v>
      </c>
      <c r="H8" s="42" t="s">
        <v>48</v>
      </c>
      <c r="I8" s="43" t="s">
        <v>270</v>
      </c>
      <c r="J8" s="44"/>
    </row>
    <row r="9" ht="60.0" customHeight="1">
      <c r="A9" s="40">
        <v>6.0</v>
      </c>
      <c r="B9" s="41" t="s">
        <v>60</v>
      </c>
      <c r="C9" s="41" t="s">
        <v>61</v>
      </c>
      <c r="D9" s="41" t="s">
        <v>62</v>
      </c>
      <c r="E9" s="41" t="s">
        <v>63</v>
      </c>
      <c r="F9" s="40" t="str">
        <f t="shared" si="1"/>
        <v>CORRECT</v>
      </c>
      <c r="G9" s="40" t="s">
        <v>42</v>
      </c>
      <c r="H9" s="44" t="s">
        <v>42</v>
      </c>
      <c r="I9" s="43" t="s">
        <v>271</v>
      </c>
      <c r="J9" s="44"/>
    </row>
    <row r="10" ht="60.0" customHeight="1">
      <c r="A10" s="40">
        <v>7.0</v>
      </c>
      <c r="B10" s="41" t="s">
        <v>65</v>
      </c>
      <c r="C10" s="41" t="s">
        <v>66</v>
      </c>
      <c r="D10" s="41" t="s">
        <v>67</v>
      </c>
      <c r="E10" s="41" t="s">
        <v>68</v>
      </c>
      <c r="F10" s="40" t="str">
        <f t="shared" si="1"/>
        <v>WRONG</v>
      </c>
      <c r="G10" s="40" t="s">
        <v>42</v>
      </c>
      <c r="H10" s="42" t="s">
        <v>36</v>
      </c>
      <c r="I10" s="43" t="s">
        <v>272</v>
      </c>
      <c r="J10" s="44"/>
    </row>
    <row r="11" ht="60.0" customHeight="1">
      <c r="A11" s="40">
        <v>8.0</v>
      </c>
      <c r="B11" s="41" t="s">
        <v>70</v>
      </c>
      <c r="C11" s="41" t="s">
        <v>71</v>
      </c>
      <c r="D11" s="41" t="s">
        <v>72</v>
      </c>
      <c r="E11" s="41" t="s">
        <v>73</v>
      </c>
      <c r="F11" s="40" t="str">
        <f t="shared" si="1"/>
        <v>CORRECT</v>
      </c>
      <c r="G11" s="40" t="s">
        <v>48</v>
      </c>
      <c r="H11" s="44" t="s">
        <v>48</v>
      </c>
      <c r="I11" s="43" t="s">
        <v>273</v>
      </c>
      <c r="J11" s="44"/>
    </row>
    <row r="12" ht="60.0" customHeight="1">
      <c r="A12" s="40">
        <v>9.0</v>
      </c>
      <c r="B12" s="41" t="s">
        <v>75</v>
      </c>
      <c r="C12" s="41" t="s">
        <v>76</v>
      </c>
      <c r="D12" s="41" t="s">
        <v>77</v>
      </c>
      <c r="E12" s="41" t="s">
        <v>78</v>
      </c>
      <c r="F12" s="40" t="str">
        <f t="shared" si="1"/>
        <v>WRONG</v>
      </c>
      <c r="G12" s="40" t="s">
        <v>42</v>
      </c>
      <c r="H12" s="42" t="s">
        <v>48</v>
      </c>
      <c r="I12" s="43" t="s">
        <v>274</v>
      </c>
      <c r="J12" s="44"/>
    </row>
    <row r="13" ht="60.0" customHeight="1">
      <c r="A13" s="40">
        <v>10.0</v>
      </c>
      <c r="B13" s="41" t="s">
        <v>80</v>
      </c>
      <c r="C13" s="41" t="s">
        <v>81</v>
      </c>
      <c r="D13" s="41" t="s">
        <v>82</v>
      </c>
      <c r="E13" s="41" t="s">
        <v>83</v>
      </c>
      <c r="F13" s="40" t="str">
        <f t="shared" si="1"/>
        <v>CORRECT</v>
      </c>
      <c r="G13" s="40" t="s">
        <v>48</v>
      </c>
      <c r="H13" s="44" t="s">
        <v>48</v>
      </c>
      <c r="I13" s="43" t="s">
        <v>275</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4" t="s">
        <v>48</v>
      </c>
      <c r="I15" s="43" t="s">
        <v>276</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4"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277</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278</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CORRECT</v>
      </c>
      <c r="G28" s="40" t="s">
        <v>48</v>
      </c>
      <c r="H28" s="42" t="s">
        <v>48</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36</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CORRECT</v>
      </c>
      <c r="G47" s="40" t="s">
        <v>36</v>
      </c>
      <c r="H47" s="42" t="s">
        <v>36</v>
      </c>
      <c r="I47" s="43" t="s">
        <v>252</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29</v>
      </c>
      <c r="G50" s="48"/>
      <c r="H50" s="48"/>
      <c r="J50" s="49" t="str">
        <f>AVERAGE(J4:J49)</f>
        <v>#DIV/0!</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290</v>
      </c>
      <c r="C2" s="2"/>
      <c r="D2" s="2"/>
      <c r="E2" s="2"/>
      <c r="F2" s="2"/>
      <c r="G2" s="2"/>
      <c r="H2" s="3"/>
      <c r="I2" s="38" t="s">
        <v>291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43</v>
      </c>
      <c r="J5" s="44"/>
    </row>
    <row r="6" ht="60.0" customHeight="1">
      <c r="A6" s="40">
        <v>3.0</v>
      </c>
      <c r="B6" s="41" t="s">
        <v>44</v>
      </c>
      <c r="C6" s="41" t="s">
        <v>45</v>
      </c>
      <c r="D6" s="41" t="s">
        <v>46</v>
      </c>
      <c r="E6" s="41" t="s">
        <v>47</v>
      </c>
      <c r="F6" s="40" t="str">
        <f t="shared" si="1"/>
        <v>CORRECT</v>
      </c>
      <c r="G6" s="40" t="s">
        <v>48</v>
      </c>
      <c r="H6" s="42" t="s">
        <v>48</v>
      </c>
      <c r="I6" s="43" t="s">
        <v>268</v>
      </c>
      <c r="J6" s="44"/>
    </row>
    <row r="7" ht="60.0" customHeight="1">
      <c r="A7" s="40">
        <v>4.0</v>
      </c>
      <c r="B7" s="41" t="s">
        <v>50</v>
      </c>
      <c r="C7" s="41" t="s">
        <v>51</v>
      </c>
      <c r="D7" s="41" t="s">
        <v>52</v>
      </c>
      <c r="E7" s="41" t="s">
        <v>53</v>
      </c>
      <c r="F7" s="40" t="str">
        <f t="shared" si="1"/>
        <v>CORRECT</v>
      </c>
      <c r="G7" s="40" t="s">
        <v>42</v>
      </c>
      <c r="H7" s="44" t="s">
        <v>42</v>
      </c>
      <c r="I7" s="43" t="s">
        <v>269</v>
      </c>
      <c r="J7" s="44"/>
    </row>
    <row r="8" ht="60.0" customHeight="1">
      <c r="A8" s="40">
        <v>5.0</v>
      </c>
      <c r="B8" s="41" t="s">
        <v>55</v>
      </c>
      <c r="C8" s="41" t="s">
        <v>56</v>
      </c>
      <c r="D8" s="41" t="s">
        <v>57</v>
      </c>
      <c r="E8" s="41" t="s">
        <v>58</v>
      </c>
      <c r="F8" s="40" t="str">
        <f t="shared" si="1"/>
        <v>CORRECT</v>
      </c>
      <c r="G8" s="40" t="s">
        <v>48</v>
      </c>
      <c r="H8" s="42" t="s">
        <v>48</v>
      </c>
      <c r="I8" s="43" t="s">
        <v>270</v>
      </c>
      <c r="J8" s="44"/>
    </row>
    <row r="9" ht="60.0" customHeight="1">
      <c r="A9" s="40">
        <v>6.0</v>
      </c>
      <c r="B9" s="41" t="s">
        <v>60</v>
      </c>
      <c r="C9" s="41" t="s">
        <v>61</v>
      </c>
      <c r="D9" s="41" t="s">
        <v>62</v>
      </c>
      <c r="E9" s="41" t="s">
        <v>63</v>
      </c>
      <c r="F9" s="40" t="str">
        <f t="shared" si="1"/>
        <v>CORRECT</v>
      </c>
      <c r="G9" s="40" t="s">
        <v>42</v>
      </c>
      <c r="H9" s="44" t="s">
        <v>42</v>
      </c>
      <c r="I9" s="43" t="s">
        <v>271</v>
      </c>
      <c r="J9" s="44"/>
    </row>
    <row r="10" ht="60.0" customHeight="1">
      <c r="A10" s="40">
        <v>7.0</v>
      </c>
      <c r="B10" s="41" t="s">
        <v>65</v>
      </c>
      <c r="C10" s="41" t="s">
        <v>66</v>
      </c>
      <c r="D10" s="41" t="s">
        <v>67</v>
      </c>
      <c r="E10" s="41" t="s">
        <v>68</v>
      </c>
      <c r="F10" s="40" t="str">
        <f t="shared" si="1"/>
        <v>WRONG</v>
      </c>
      <c r="G10" s="40" t="s">
        <v>42</v>
      </c>
      <c r="H10" s="42" t="s">
        <v>36</v>
      </c>
      <c r="I10" s="43" t="s">
        <v>272</v>
      </c>
      <c r="J10" s="44"/>
    </row>
    <row r="11" ht="60.0" customHeight="1">
      <c r="A11" s="40">
        <v>8.0</v>
      </c>
      <c r="B11" s="41" t="s">
        <v>70</v>
      </c>
      <c r="C11" s="41" t="s">
        <v>71</v>
      </c>
      <c r="D11" s="41" t="s">
        <v>72</v>
      </c>
      <c r="E11" s="41" t="s">
        <v>73</v>
      </c>
      <c r="F11" s="40" t="str">
        <f t="shared" si="1"/>
        <v>CORRECT</v>
      </c>
      <c r="G11" s="40" t="s">
        <v>48</v>
      </c>
      <c r="H11" s="44" t="s">
        <v>48</v>
      </c>
      <c r="I11" s="43" t="s">
        <v>273</v>
      </c>
      <c r="J11" s="44"/>
    </row>
    <row r="12" ht="60.0" customHeight="1">
      <c r="A12" s="40">
        <v>9.0</v>
      </c>
      <c r="B12" s="41" t="s">
        <v>75</v>
      </c>
      <c r="C12" s="41" t="s">
        <v>76</v>
      </c>
      <c r="D12" s="41" t="s">
        <v>77</v>
      </c>
      <c r="E12" s="41" t="s">
        <v>78</v>
      </c>
      <c r="F12" s="40" t="str">
        <f t="shared" si="1"/>
        <v>WRONG</v>
      </c>
      <c r="G12" s="40" t="s">
        <v>42</v>
      </c>
      <c r="H12" s="42" t="s">
        <v>48</v>
      </c>
      <c r="I12" s="43" t="s">
        <v>274</v>
      </c>
      <c r="J12" s="44"/>
    </row>
    <row r="13" ht="60.0" customHeight="1">
      <c r="A13" s="40">
        <v>10.0</v>
      </c>
      <c r="B13" s="41" t="s">
        <v>80</v>
      </c>
      <c r="C13" s="41" t="s">
        <v>81</v>
      </c>
      <c r="D13" s="41" t="s">
        <v>82</v>
      </c>
      <c r="E13" s="41" t="s">
        <v>83</v>
      </c>
      <c r="F13" s="40" t="str">
        <f t="shared" si="1"/>
        <v>CORRECT</v>
      </c>
      <c r="G13" s="40" t="s">
        <v>48</v>
      </c>
      <c r="H13" s="44" t="s">
        <v>48</v>
      </c>
      <c r="I13" s="43" t="s">
        <v>275</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4" t="s">
        <v>48</v>
      </c>
      <c r="I15" s="43" t="s">
        <v>276</v>
      </c>
      <c r="J15" s="44"/>
    </row>
    <row r="16" ht="60.0" customHeight="1">
      <c r="A16" s="40">
        <v>13.0</v>
      </c>
      <c r="B16" s="41" t="s">
        <v>95</v>
      </c>
      <c r="C16" s="41" t="s">
        <v>96</v>
      </c>
      <c r="D16" s="41" t="s">
        <v>97</v>
      </c>
      <c r="E16" s="41" t="s">
        <v>98</v>
      </c>
      <c r="F16" s="40" t="str">
        <f t="shared" si="1"/>
        <v>CORRECT</v>
      </c>
      <c r="G16" s="40" t="s">
        <v>36</v>
      </c>
      <c r="H16" s="42"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4"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277</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278</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CORRECT</v>
      </c>
      <c r="G28" s="40" t="s">
        <v>48</v>
      </c>
      <c r="H28" s="42" t="s">
        <v>48</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36</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CORRECT</v>
      </c>
      <c r="G47" s="40" t="s">
        <v>36</v>
      </c>
      <c r="H47" s="42" t="s">
        <v>36</v>
      </c>
      <c r="I47" s="43" t="s">
        <v>252</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29</v>
      </c>
      <c r="G50" s="48"/>
      <c r="H50" s="48"/>
      <c r="J50" s="49" t="str">
        <f>AVERAGE(J4:J49)</f>
        <v>#DIV/0!</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292</v>
      </c>
      <c r="C2" s="2"/>
      <c r="D2" s="2"/>
      <c r="E2" s="2"/>
      <c r="F2" s="2"/>
      <c r="G2" s="2"/>
      <c r="H2" s="3"/>
      <c r="I2" s="38" t="s">
        <v>293</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4" t="s">
        <v>42</v>
      </c>
      <c r="I5" s="43" t="s">
        <v>43</v>
      </c>
      <c r="J5" s="44"/>
    </row>
    <row r="6" ht="60.0" customHeight="1">
      <c r="A6" s="40">
        <v>3.0</v>
      </c>
      <c r="B6" s="41" t="s">
        <v>44</v>
      </c>
      <c r="C6" s="41" t="s">
        <v>45</v>
      </c>
      <c r="D6" s="41" t="s">
        <v>46</v>
      </c>
      <c r="E6" s="41" t="s">
        <v>47</v>
      </c>
      <c r="F6" s="40" t="str">
        <f t="shared" si="1"/>
        <v>CORRECT</v>
      </c>
      <c r="G6" s="40" t="s">
        <v>48</v>
      </c>
      <c r="H6" s="42" t="s">
        <v>48</v>
      </c>
      <c r="I6" s="43" t="s">
        <v>268</v>
      </c>
      <c r="J6" s="44"/>
    </row>
    <row r="7" ht="60.0" customHeight="1">
      <c r="A7" s="40">
        <v>4.0</v>
      </c>
      <c r="B7" s="41" t="s">
        <v>50</v>
      </c>
      <c r="C7" s="41" t="s">
        <v>51</v>
      </c>
      <c r="D7" s="41" t="s">
        <v>52</v>
      </c>
      <c r="E7" s="41" t="s">
        <v>53</v>
      </c>
      <c r="F7" s="40" t="str">
        <f t="shared" si="1"/>
        <v>CORRECT</v>
      </c>
      <c r="G7" s="40" t="s">
        <v>42</v>
      </c>
      <c r="H7" s="44" t="s">
        <v>42</v>
      </c>
      <c r="I7" s="43" t="s">
        <v>269</v>
      </c>
      <c r="J7" s="44"/>
    </row>
    <row r="8" ht="60.0" customHeight="1">
      <c r="A8" s="40">
        <v>5.0</v>
      </c>
      <c r="B8" s="41" t="s">
        <v>55</v>
      </c>
      <c r="C8" s="41" t="s">
        <v>56</v>
      </c>
      <c r="D8" s="41" t="s">
        <v>57</v>
      </c>
      <c r="E8" s="41" t="s">
        <v>58</v>
      </c>
      <c r="F8" s="40" t="str">
        <f t="shared" si="1"/>
        <v>CORRECT</v>
      </c>
      <c r="G8" s="40" t="s">
        <v>48</v>
      </c>
      <c r="H8" s="42" t="s">
        <v>48</v>
      </c>
      <c r="I8" s="43" t="s">
        <v>270</v>
      </c>
      <c r="J8" s="44"/>
    </row>
    <row r="9" ht="60.0" customHeight="1">
      <c r="A9" s="40">
        <v>6.0</v>
      </c>
      <c r="B9" s="41" t="s">
        <v>60</v>
      </c>
      <c r="C9" s="41" t="s">
        <v>61</v>
      </c>
      <c r="D9" s="41" t="s">
        <v>62</v>
      </c>
      <c r="E9" s="41" t="s">
        <v>63</v>
      </c>
      <c r="F9" s="40" t="str">
        <f t="shared" si="1"/>
        <v>CORRECT</v>
      </c>
      <c r="G9" s="40" t="s">
        <v>42</v>
      </c>
      <c r="H9" s="44" t="s">
        <v>42</v>
      </c>
      <c r="I9" s="43" t="s">
        <v>271</v>
      </c>
      <c r="J9" s="44"/>
    </row>
    <row r="10" ht="60.0" customHeight="1">
      <c r="A10" s="40">
        <v>7.0</v>
      </c>
      <c r="B10" s="41" t="s">
        <v>65</v>
      </c>
      <c r="C10" s="41" t="s">
        <v>66</v>
      </c>
      <c r="D10" s="41" t="s">
        <v>67</v>
      </c>
      <c r="E10" s="41" t="s">
        <v>68</v>
      </c>
      <c r="F10" s="40" t="str">
        <f t="shared" si="1"/>
        <v>WRONG</v>
      </c>
      <c r="G10" s="40" t="s">
        <v>42</v>
      </c>
      <c r="H10" s="42" t="s">
        <v>36</v>
      </c>
      <c r="I10" s="43" t="s">
        <v>272</v>
      </c>
      <c r="J10" s="44"/>
    </row>
    <row r="11" ht="60.0" customHeight="1">
      <c r="A11" s="40">
        <v>8.0</v>
      </c>
      <c r="B11" s="41" t="s">
        <v>70</v>
      </c>
      <c r="C11" s="41" t="s">
        <v>71</v>
      </c>
      <c r="D11" s="41" t="s">
        <v>72</v>
      </c>
      <c r="E11" s="41" t="s">
        <v>73</v>
      </c>
      <c r="F11" s="40" t="str">
        <f t="shared" si="1"/>
        <v>CORRECT</v>
      </c>
      <c r="G11" s="40" t="s">
        <v>48</v>
      </c>
      <c r="H11" s="44" t="s">
        <v>48</v>
      </c>
      <c r="I11" s="43" t="s">
        <v>273</v>
      </c>
      <c r="J11" s="44"/>
    </row>
    <row r="12" ht="60.0" customHeight="1">
      <c r="A12" s="40">
        <v>9.0</v>
      </c>
      <c r="B12" s="41" t="s">
        <v>75</v>
      </c>
      <c r="C12" s="41" t="s">
        <v>76</v>
      </c>
      <c r="D12" s="41" t="s">
        <v>77</v>
      </c>
      <c r="E12" s="41" t="s">
        <v>78</v>
      </c>
      <c r="F12" s="40" t="str">
        <f t="shared" si="1"/>
        <v>WRONG</v>
      </c>
      <c r="G12" s="40" t="s">
        <v>42</v>
      </c>
      <c r="H12" s="42" t="s">
        <v>48</v>
      </c>
      <c r="I12" s="43" t="s">
        <v>274</v>
      </c>
      <c r="J12" s="44"/>
    </row>
    <row r="13" ht="60.0" customHeight="1">
      <c r="A13" s="40">
        <v>10.0</v>
      </c>
      <c r="B13" s="41" t="s">
        <v>80</v>
      </c>
      <c r="C13" s="41" t="s">
        <v>81</v>
      </c>
      <c r="D13" s="41" t="s">
        <v>82</v>
      </c>
      <c r="E13" s="41" t="s">
        <v>83</v>
      </c>
      <c r="F13" s="40" t="str">
        <f t="shared" si="1"/>
        <v>CORRECT</v>
      </c>
      <c r="G13" s="40" t="s">
        <v>48</v>
      </c>
      <c r="H13" s="44" t="s">
        <v>48</v>
      </c>
      <c r="I13" s="43" t="s">
        <v>275</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4" t="s">
        <v>48</v>
      </c>
      <c r="I15" s="43" t="s">
        <v>276</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4"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277</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278</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CORRECT</v>
      </c>
      <c r="G28" s="40" t="s">
        <v>48</v>
      </c>
      <c r="H28" s="42" t="s">
        <v>48</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2"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2" t="s">
        <v>36</v>
      </c>
      <c r="I41" s="43" t="s">
        <v>222</v>
      </c>
      <c r="J41" s="44"/>
    </row>
    <row r="42" ht="60.0" customHeight="1">
      <c r="A42" s="40">
        <v>39.0</v>
      </c>
      <c r="B42" s="41" t="s">
        <v>223</v>
      </c>
      <c r="C42" s="41" t="s">
        <v>224</v>
      </c>
      <c r="D42" s="41" t="s">
        <v>225</v>
      </c>
      <c r="E42" s="41" t="s">
        <v>226</v>
      </c>
      <c r="F42" s="40" t="str">
        <f t="shared" si="1"/>
        <v>WRONG</v>
      </c>
      <c r="G42" s="40" t="s">
        <v>42</v>
      </c>
      <c r="H42" s="44" t="s">
        <v>36</v>
      </c>
      <c r="I42" s="43" t="s">
        <v>227</v>
      </c>
      <c r="J42" s="44"/>
    </row>
    <row r="43" ht="60.0" customHeight="1">
      <c r="A43" s="40">
        <v>40.0</v>
      </c>
      <c r="B43" s="41" t="s">
        <v>228</v>
      </c>
      <c r="C43" s="41" t="s">
        <v>229</v>
      </c>
      <c r="D43" s="41" t="s">
        <v>230</v>
      </c>
      <c r="E43" s="41" t="s">
        <v>231</v>
      </c>
      <c r="F43" s="40" t="str">
        <f t="shared" si="1"/>
        <v>WRONG</v>
      </c>
      <c r="G43" s="40" t="s">
        <v>48</v>
      </c>
      <c r="H43" s="42" t="s">
        <v>42</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CORRECT</v>
      </c>
      <c r="G47" s="40" t="s">
        <v>36</v>
      </c>
      <c r="H47" s="42" t="s">
        <v>36</v>
      </c>
      <c r="I47" s="43" t="s">
        <v>252</v>
      </c>
      <c r="J47" s="44"/>
    </row>
    <row r="48" ht="60.0" customHeight="1">
      <c r="A48" s="40">
        <v>45.0</v>
      </c>
      <c r="B48" s="41" t="s">
        <v>253</v>
      </c>
      <c r="C48" s="41" t="s">
        <v>254</v>
      </c>
      <c r="D48" s="41" t="s">
        <v>255</v>
      </c>
      <c r="E48" s="41" t="s">
        <v>256</v>
      </c>
      <c r="F48" s="40" t="str">
        <f t="shared" si="1"/>
        <v>CORRECT</v>
      </c>
      <c r="G48" s="40" t="s">
        <v>36</v>
      </c>
      <c r="H48" s="44"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6" t="s">
        <v>262</v>
      </c>
      <c r="B50" s="2"/>
      <c r="C50" s="2"/>
      <c r="D50" s="2"/>
      <c r="E50" s="3"/>
      <c r="F50" s="47">
        <f>COUNTIFS(F4:F49,"CORRECT")</f>
        <v>29</v>
      </c>
      <c r="G50" s="48"/>
      <c r="H50" s="48"/>
      <c r="J50" s="49" t="str">
        <f>AVERAGE(J4:J49)</f>
        <v>#DIV/0!</v>
      </c>
    </row>
    <row r="51">
      <c r="A51" s="50" t="s">
        <v>263</v>
      </c>
      <c r="B51" s="2"/>
      <c r="C51" s="2"/>
      <c r="D51" s="2"/>
      <c r="E51" s="3"/>
      <c r="F51" s="51">
        <v>46.0</v>
      </c>
      <c r="G51" s="48"/>
      <c r="H51" s="48"/>
    </row>
    <row r="52">
      <c r="A52" s="46" t="s">
        <v>264</v>
      </c>
      <c r="B52" s="2"/>
      <c r="C52" s="2"/>
      <c r="D52" s="2"/>
      <c r="E52" s="3"/>
      <c r="F52" s="52">
        <f>F50/F51</f>
        <v>0.6304347826</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