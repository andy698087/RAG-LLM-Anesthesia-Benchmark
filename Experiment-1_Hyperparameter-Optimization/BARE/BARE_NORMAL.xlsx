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d10_temp0.1_top0.1" sheetId="1" r:id="rId5"/>
    <sheet state="visible" name="seed10_temp0.1_top0.2" sheetId="2" r:id="rId6"/>
    <sheet state="visible" name="seed10_temp0.1_top0.5" sheetId="3" r:id="rId7"/>
    <sheet state="visible" name="seed10_temp0.1_top0.7" sheetId="4" r:id="rId8"/>
    <sheet state="visible" name="seed10_temp0.1_top1.0" sheetId="5" r:id="rId9"/>
    <sheet state="visible" name="seed10_temp0.5_top0.1" sheetId="6" r:id="rId10"/>
    <sheet state="visible" name="seed10_temp0.5_top0.2" sheetId="7" r:id="rId11"/>
    <sheet state="visible" name="seed10_temp0.5_top0.5" sheetId="8" r:id="rId12"/>
    <sheet state="visible" name="seed10_temp0.5_top0.7" sheetId="9" r:id="rId13"/>
    <sheet state="visible" name="seed10_temp0.5_top1.0" sheetId="10" r:id="rId14"/>
    <sheet state="visible" name="seed10_temp1.0_top0.1" sheetId="11" r:id="rId15"/>
    <sheet state="visible" name="seed10_temp1.0_top0.2" sheetId="12" r:id="rId16"/>
    <sheet state="visible" name="seed10_temp1.0_top0.5" sheetId="13" r:id="rId17"/>
    <sheet state="visible" name="seed10_temp1.0_top0.7" sheetId="14" r:id="rId18"/>
    <sheet state="visible" name="seed10_temp1.0_top1.0" sheetId="15" r:id="rId19"/>
    <sheet state="visible" name="seed10_temp1.5_top0.1" sheetId="16" r:id="rId20"/>
    <sheet state="visible" name="seed10_temp1.5_top0.2" sheetId="17" r:id="rId21"/>
    <sheet state="visible" name="seed10_temp1.5_top0.5" sheetId="18" r:id="rId22"/>
    <sheet state="visible" name="seed10_temp1.5_top0.7" sheetId="19" r:id="rId23"/>
    <sheet state="visible" name="seed10_temp1.5_top1.0" sheetId="20" r:id="rId24"/>
    <sheet state="visible" name="seed10_temp2.0_top0.1" sheetId="21" r:id="rId25"/>
    <sheet state="visible" name="seed10_temp2.0_top0.2" sheetId="22" r:id="rId26"/>
    <sheet state="visible" name="seed10_temp2.0_top0.5" sheetId="23" r:id="rId27"/>
    <sheet state="visible" name="seed10_temp2.0_top0.7" sheetId="24" r:id="rId28"/>
    <sheet state="visible" name="seed10_temp2.0_top1.0" sheetId="25" r:id="rId29"/>
    <sheet state="visible" name="Summary" sheetId="26" r:id="rId30"/>
  </sheets>
  <definedNames/>
  <calcPr/>
</workbook>
</file>

<file path=xl/sharedStrings.xml><?xml version="1.0" encoding="utf-8"?>
<sst xmlns="http://schemas.openxmlformats.org/spreadsheetml/2006/main" count="9686" uniqueCount="1043">
  <si>
    <t>BARE LLAMA3.1_8B_INSTRUCT MODEL ASA EXAMINATION</t>
  </si>
  <si>
    <t>Options</t>
  </si>
  <si>
    <t>max_new_tokens = 500</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</si>
  <si>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</si>
  <si>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</si>
  <si>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</si>
  <si>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</si>
  <si>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</si>
  <si>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</si>
  <si>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</si>
  <si>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</si>
  <si>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</si>
  <si>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</si>
  <si>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</si>
  <si>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</si>
  <si>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</si>
  <si>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</si>
  <si>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</si>
  <si>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</si>
  <si>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</si>
  <si>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is located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</si>
  <si>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</si>
  <si>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</si>
  <si>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</si>
  <si>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</si>
  <si>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opioid-related adverse effects, so the most appropriate therapy is to antagonize the effects of morphine with naloxone, which is a specific opioid receptor antagonist."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</si>
  <si>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</si>
  <si>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</si>
  <si>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</si>
  <si>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</si>
  <si>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</si>
  <si>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patient with primary hyperparathyroidism and hypercalcemia. This is because normal saline helps to dilute the elevated calcium levels in the blood, reducing the risk of cardiac arrhythmias and other complications. Additionally, normal saline can help to slow down the absorption of calcium from the gut, further reducing serum calcium levels."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</si>
  <si>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</si>
  <si>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</si>
  <si>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</si>
  <si>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</si>
  <si>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"B",
 Explain: "Genetic testing of the ryanodine receptor is the most reliable test to predict the likelihood of developing malignant hyperthermia, as it directly detects the presence of mutations in the ryanodine receptor gene, which is the primary cause of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</si>
  <si>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</si>
  <si>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</si>
  <si>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</si>
  <si>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</si>
  <si>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"First, calculate the volume of fresh gas flow in liters per minute (5 L/min). Then, calculate the volume of oxygen gas flow in liters per minute (100 mL/min / 1000 = 0.1 L/min). Next, calculate the total gas flow in liters per minute (5 L/min + 0.1 L/min = 5.1 L/min). Finally, calculate the delivered anesthetic concentration by dividing the vapor pressure of the anesthetic (150 mmHg) by the total gas flow (5.1 L/min) and converting it to a percentage (150 mmHg / 5.1 L/min = 2.94% ÷ 10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</si>
  <si>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</si>
  <si>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</si>
  <si>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</si>
  <si>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</si>
  <si>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this patient because it reduces heat loss by convection and radiation. When a patient is anesthetized, their ability to shiver is lost, and nonshivering thermogenesis is not a significant contributor to heat production. Vasoconstriction helps to reduce heat loss by reducing blood flow to the skin, thereby minimizing heat loss through convection and radiation."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</si>
  <si>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</si>
  <si>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</si>
  <si>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</si>
  <si>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</si>
  <si>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sedative effects of midazolam, the patient may still be sedated for a longer period.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</si>
  <si>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</si>
  <si>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</si>
  <si>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</si>
  <si>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</si>
  <si>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"B",
 Explain: "When a patient is in a head-down position, the anesthetic spreads more extensively due to the increased pressure in the epidural space, allowing it to spread further cephalad. In contrast, added epinephrine and total dose of drug have a relatively smaller impact on the extent of spread."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</si>
  <si>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</si>
  <si>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</si>
  <si>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</si>
  <si>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</si>
  <si>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"Administer furosemide to treat pulmonary edema, which is a complication of postoperative laryngospasm. This is the most appropriate management as it addresses the underlying cause of the low SpO2. Furosemide helps to reduce fluid buildup in the lungs, improving oxygenation and SpO2 levels."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</si>
  <si>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</si>
  <si>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</si>
  <si>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</si>
  <si>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</si>
  <si>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patient's symptoms of nausea, diaphoresis, and sharp pain in the left shoulder 45 minutes after the start of the procedure suggest that the spinal anesthetic may have worn off or migrated, causing inadequate sensory blockage, leading to the patient's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</si>
  <si>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</si>
  <si>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</si>
  <si>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</si>
  <si>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</si>
  <si>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venous return and decreased oxygen saturation. The increase in ETCO2 also suggests that the patient is not effectively exhaling CO2, which can further worsen the situation. Therefore, compression of the vena cava is the most likely cause of the decrease in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</si>
  <si>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</si>
  <si>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</si>
  <si>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</si>
  <si>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</si>
  <si>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"After a laparoscopic cholecystectomy, the patient is likely to experience hypoventilation due to the effects of anesthesia and pain medication, such as morphine, which can cause respiratory depression. This can lead to a decrease in tidal volume and an increase in PaCO2, resulting in hypoxemia."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</si>
  <si>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</si>
  <si>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</si>
  <si>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</si>
  <si>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</si>
  <si>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change and delivers a set amount of pressure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</si>
  <si>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</si>
  <si>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</si>
  <si>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</si>
  <si>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</si>
  <si>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anesthesia induction, the heart rate increases to 120 bpm, indicating increased metabolic demand. To satisfy this demand, increased coronary perfusion pressure is necessary to deliver more oxygen and nutrients to the myocardium. This increased perfusion pressure would help meet the increased energy needs of the heart muscle."
}</t>
  </si>
  <si>
    <t>Which of the following laboratory values is MOST likely to confirm adequate synthetic hepatic function?</t>
  </si>
  <si>
    <t>A. Partial thromboplastin time</t>
  </si>
  <si>
    <t>B. Prothrombin time</t>
  </si>
  <si>
    <t>C. Serum alanine aminotransferase concentration</t>
  </si>
  <si>
    <t>{
 "Answer": "B",
 Explain: "A prolonged prothrombin time (PT) is a sensitive indicator of impaired liver function, whereas partial thromboplastin time (PTT) is a test for clotting factor deficiencies, and serum alanine aminotransferase (ALT) is an enzyme released from damaged liver cells. A normal PT value suggests that the liver is functioning adequately to produce clotting factors."</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</si>
  <si>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</si>
  <si>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</si>
  <si>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</si>
  <si>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</si>
  <si>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This is because it ensures that the shock waves are delivered during the diastolic phase of the cardiac cycle, reducing the risk of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</si>
  <si>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</si>
  <si>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</si>
  <si>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</si>
  <si>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</si>
  <si>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"In a Bain circuit, the rebreathing of CO2 is reduced because the fresh gas flow is adjusted to maintain a constant CO2 concentration in the breathing circuit, whereas in a semiclosed circle system, the rebreathing of CO2 is not controlled, leading to a higher CO2 concentration in the circuit."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</si>
  <si>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</si>
  <si>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</si>
  <si>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</si>
  <si>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</si>
  <si>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"When a patient is in the lateral position, the dependent lung may collapse or atelectrase, leading to a decrease in tidal volume and a characteristic'sawtooth' or 'dip' pattern on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</si>
  <si>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</si>
  <si>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</si>
  <si>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</si>
  <si>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</si>
  <si>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"A",
 Explain: "The anesthesiologist should administer cefazolin as it is a beta-lactam antibiotic that is not related to penicillin, making it a suitable alternative for the patient who developed a rash with past administration of penicillin."
}</t>
  </si>
  <si>
    <t>Which of the following factors DECREASES the MAC of isoflurane?</t>
  </si>
  <si>
    <t>A. Acute cocaine intoxication</t>
  </si>
  <si>
    <t>B. Chronic ethanol abuse</t>
  </si>
  <si>
    <t>C. Symptomatic hyponatremia</t>
  </si>
  <si>
    <t>{
 "Answer": "B",
 Explain: "Chronic ethanol abuse decreases the MAC of isoflurane by increasing the activity of cytochrome P450 enzymes, which metabolize isoflurane, leading to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</si>
  <si>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</si>
  <si>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</si>
  <si>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</si>
  <si>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</si>
  <si>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primarily blocks the release of norepinephrine, a neurotransmitter that plays a crucial role in the body's fight-or-flight response. This blockade leads to a decrease in sympathetic nervous system activity, which in turn reduces the cardiovascular effects of bupivacaine, such as tachycardia and hypertension."
}</t>
  </si>
  <si>
    <t>Which of the following conditions MOST likely causes a rightward shift in the oxyhemoglobin dissociation curve?</t>
  </si>
  <si>
    <t>A. Carboxyhemoglobinemia</t>
  </si>
  <si>
    <t>B. Decreased 2,3-diphosphoglycerate concentration</t>
  </si>
  <si>
    <t>C. Hyperthermia</t>
  </si>
  <si>
    <t>{
 "Answer": "C",
 Explain: "Hyperthermia increases body temperature, which causes a rightward shift in the oxyhemoglobin dissociation curve, allowing for more oxygen to be released from hemoglobin to tissues."
}</t>
  </si>
  <si>
    <t>Which of the following findings is most likely to be DECREASED in a patient with clinical hypothyroidism?</t>
  </si>
  <si>
    <t>A. MAC</t>
  </si>
  <si>
    <t>B. Myocardial contractility</t>
  </si>
  <si>
    <t>C. Peripheral vascular tone</t>
  </si>
  <si>
    <t>{
 "Answer": "B",
 Explain: "In clinical hypothyroidism, decreased levels of thyroid hormones lead to decreased sympathetic nervous system activity, resulting in decreased myocardial contractility."
}</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</si>
  <si>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</si>
  <si>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</si>
  <si>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</si>
  <si>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</si>
  <si>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it has a longer half-life and is more likely to cause prolonged seizures."
}</t>
  </si>
  <si>
    <t>Which of the following drugs does NOT cause enhanced activity of the GABA receptor?</t>
  </si>
  <si>
    <t>B. Ketamine</t>
  </si>
  <si>
    <t>{
 "Answer": "A",
 Explain: "Etomidate is an anesthetic agent that does not have a significant effect on GABA receptors, whereas ketamine and propofol are known to have GABAergic properties, making them more likely to enhance activity of the GABA receptor."
}</t>
  </si>
  <si>
    <t>Which of the following components is MISPLACED in the circle system shown in the above illustration?</t>
  </si>
  <si>
    <t>A. Fresh gas inlet</t>
  </si>
  <si>
    <t>B. CO2 absorber</t>
  </si>
  <si>
    <t>C. Expiratory valve</t>
  </si>
  <si>
    <t>{
 "Answer": "C",
 Explain: "The expiratory valve is misplaced in the circle system because it is typically located at the end of the breathing circuit, whereas in this illustration, it is shown between the fresh gas inlet and the CO2 absorber."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</si>
  <si>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</si>
  <si>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</si>
  <si>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</si>
  <si>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</si>
  <si>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widely distributed throughout the body, which is often associated with low plasma protein binding. This is because high-affinity binding to plasma proteins would limit the drug's distribution. Therefore, a drug with a large volume of distribution is likely to have low plasma protein binding."
}</t>
  </si>
  <si>
    <t>Which of the following drugs has the LONGEST duration of action in a patient with renal failure?</t>
  </si>
  <si>
    <t>A. Neostigmine</t>
  </si>
  <si>
    <t>B. Rocuronium</t>
  </si>
  <si>
    <t>C. Succinylcholine</t>
  </si>
  <si>
    <t>{
 "Answer": "A",
 Explain: "Neostigmine has a longer duration of action in patients with renal failure because it is not metabolized by the kidneys and is excreted primarily through the liver, whereas succinylcholine and rocuronium are excreted by the kidneys."
}</t>
  </si>
  <si>
    <t>Instillation of local anesthetic into the trachea via the cricothyroid membrane is MOST likely to block which of the following nerves?</t>
  </si>
  <si>
    <t>A. Hypoglossal</t>
  </si>
  <si>
    <t>B. Internal branch of the superior laryngeal</t>
  </si>
  <si>
    <t>C. Recurrent laryngeal</t>
  </si>
  <si>
    <t>{
 "Answer": "C",
 Explain: "When an anesthetic is instilled into the trachea via the cricothyroid membrane, it is most likely to block the recurrent laryngeal nerve, which is responsible for sensation in the larynx and vocal cords."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</si>
  <si>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</si>
  <si>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</si>
  <si>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</si>
  <si>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</si>
  <si>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is responsible for the gag reflex. Blocking this nerve reduces the gag response, making the intubation process smoother and more comfortable for the patient."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</si>
  <si>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</si>
  <si>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</si>
  <si>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</si>
  <si>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</si>
  <si>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"During general anesthesia, the hypothalamic set point for body temperature is lowered, leading to a decrease in thermoregulatory vasoconstriction. This reduction in vasoconstriction allows for increased heat loss through radiation and convection, resulting in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</si>
  <si>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</si>
  <si>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</si>
  <si>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</si>
  <si>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</si>
  <si>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"B",
 "Explain": "The patient's SpO2 decreased from 98% to 84% over 1 hour, indicating a gradual decline in oxygenation. This is consistent with increased dead space ventilation, which would lead to a decrease in alveolar ventilation and oxygenation. The improvement in SpO2 to 92% when FiO2 is increased to 1.0 suggests that the patient's hypoxemia was primarily due to inadequate oxygenation, which is consistent with increased dead space ventilation."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</si>
  <si>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</si>
  <si>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</si>
  <si>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</si>
  <si>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</si>
  <si>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indicating a high-level block. The procedure requires 2 hours of tourniquet inflation, suggesting that the block is likely to be a proximal block. The intercostobrachial nerve is the most likely additional nerve to block to provide adequate anesthesia for the procedure."
}</t>
  </si>
  <si>
    <t>Which of the following mechanisms is PRIMARILY responsible for emergence after a single dose of propofol?</t>
  </si>
  <si>
    <t>A. Redistribution</t>
  </si>
  <si>
    <t>B. Metabolism</t>
  </si>
  <si>
    <t>C. Excretion</t>
  </si>
  <si>
    <t>{
 "Answer": "A",
 Explain: "After a single dose of propofol, the primary mechanism of emergence is redistribution, where the drug is rapidly redistributed from the brain and other tissues to the peripheral tissues, leading to a rapid decrease in its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</si>
  <si>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</si>
  <si>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</si>
  <si>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</si>
  <si>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</si>
  <si>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accumulation of water on the O2 sensor membrane, which can reduce the accuracy of the reading. As the machine is delivering O2 at a constant rate, the actual O2 concentration in the breathing circuit remains the same, but the sensor reading is affected by the water accumulation, leading to a decrease in the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</si>
  <si>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</si>
  <si>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</si>
  <si>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</si>
  <si>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</si>
  <si>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as it is a dissociative anesthetic that can produce a state of dissociation from pain, leading to analgesia."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</si>
  <si>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</si>
  <si>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</si>
  <si>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</si>
  <si>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</si>
  <si>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faster. This results in a shorter duration of action for IV doses of fentanyl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</si>
  <si>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</si>
  <si>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</si>
  <si>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</si>
  <si>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</si>
  <si>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measures the amount of variability in the sample means that would be expected if the sampling were repeated many times."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</si>
  <si>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</si>
  <si>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</si>
  <si>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</si>
  <si>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</si>
  <si>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of carboxyhemoglobinemia because carboxyhemoglobin does not absorb light in the same way as oxygenated hemoglobin, allowing the pulse oximeter to accurately measure the true oxygen saturation."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</si>
  <si>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</si>
  <si>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</si>
  <si>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</si>
  <si>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</si>
  <si>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"When a patient is receiving a 4-hour general anesthetic, their blood glucose levels typically decrease due to the anesthetic's effect on glucose metabolism. However, in this case, the patient's fasting blood glucose level is already 100 mg/dL, which is not significantly elevated. Therefore, it is most likely that the patient's blood glucose level on emergence will be mildly elevated, rather than hypoglycemic or severely hypoglycemic."</t>
  </si>
  <si>
    <t>Which of the following drugs INCREASES gastric pH while decreasing gastric volume?</t>
  </si>
  <si>
    <t>A. Glycopyrrolate</t>
  </si>
  <si>
    <t>B. Metoclopramide</t>
  </si>
  <si>
    <t>C. Ranitidine</t>
  </si>
  <si>
    <t>{
 "Answer": "C",
 Explain: "Ranitidine is an antacid that neutralizes excess stomach acid, increasing gastric pH, while also reducing gastric volume by decreasing acid production."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</si>
  <si>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</si>
  <si>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</si>
  <si>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</si>
  <si>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</si>
  <si>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released from the bloodstream and into the lungs, allowing for faster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</si>
  <si>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</si>
  <si>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</si>
  <si>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</si>
  <si>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</si>
  <si>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"Denitrogenation prior to anesthetic induction is primarily to improve matching of ventilation and perfusion by reducing the amount of nitrogen in the lungs, allowing for more efficient oxygen delivery to the body."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</si>
  <si>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</si>
  <si>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</si>
  <si>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</si>
  <si>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</si>
  <si>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"The left recurrent laryngeal nerve is responsible for external rotation of the vocal cord. Injury to this nerve would cause paralysis of the left vocal cord, leading to aphonia, or loss of voice."
}</t>
  </si>
  <si>
    <t>Which of the following values, in mmHg, is the expected mixed venous O2 tension in a normal adult after breathing 100% O2 for 10 minutes?</t>
  </si>
  <si>
    <t>A. 45</t>
  </si>
  <si>
    <t>B. 95</t>
  </si>
  <si>
    <t>C. 150</t>
  </si>
  <si>
    <t>{
 "Answer": "A",
 Explain: "When breathing 100% O2 for 10 minutes, the body's oxygen demand is met, and the body's oxygen stores are replenished. As a result, the mixed venous O2 tension increases, but not to the same level as arterial O2 tension. In a normal adult, the mixed venous O2 tension would be around 45 mmHg after breathing 100% O2 for 10 minutes."
}</t>
  </si>
  <si>
    <t>Which of the following drugs has the SHORTEST elimination half-life?</t>
  </si>
  <si>
    <t>B. Lorazepam</t>
  </si>
  <si>
    <t>C. Midazolam</t>
  </si>
  <si>
    <t>{
 "Answer": "A",
 "Explain": "Flumazenil has a shorter elimination half-life compared to Lorazepam and Midazolam due to its rapid metabolism by cytochrome P450 enzymes, with a half-life of approximately 1-2 hours."
}</t>
  </si>
  <si>
    <t>TOTAL CORRECT ANSWERS</t>
  </si>
  <si>
    <t>TOTAL QUESTIONS</t>
  </si>
  <si>
    <t>RATIO</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</si>
  <si>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</si>
  <si>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at the adductor canal, at the level of the knee via the medial femoral condyle, below the knee with local infiltration distal to the medial condyle of the tibia, or above the medial malleolus of the foot."
}</t>
  </si>
  <si>
    <t>{
 "Answer": C,
 "Explain": "The patient is experiencing opioid-induced spasm of the sphincter of Oddi, which is causing right upper quadrant abdominal pain and nausea. Naloxone is the most appropriate therapy for this patient's pain as it is an opioid antagonist that can reverse the effects of morphine and relieve the spasm of the sphincter of Oddi."
}</t>
  </si>
  <si>
    <t>{
 "Answer": "B",
 "Explain": "Normal saline is the most appropriate initial management for a 68-year-old woman with primary hyperparathyroidism and a serum calcium concentration of 15 mg/dL. This is because the patient is hypercalcemic, and hydration, accompanied by electrolyte repletion, mainly phosphate, suffices in the management of most hypercalcemic patients."</t>
  </si>
  <si>
    <t>{
 "Answer": "C",
 "Explain": "The caffeine-halothane contracture test is considered the gold standard for diagnosing malignant hyperthermia susceptibility, as it directly assesses the muscle's response to halothane and caffeine, which are known triggers of the condition."
}</t>
  </si>
  <si>
    <t>{
 "Answer": "B",
 "Explain": "To find the delivered anesthetic concentration, we need to calculate the amount of anesthetic added to the fresh gas stream. The vaporizer adds 150 mL/min of anesthetic vapor to the 100 mL/min of oxygen, making a total of 250 mL/min of gas mixture. The fresh gas flow rate is 5 L/min, so the percentage of anesthetic in the delivered gas is 250 mL/min / (5 L/min x 1000 mL/L) = 0.5%."</t>
  </si>
  <si>
    <t>{
 "Answer": "C",
 "Explain": "Vasoconstriction is the most effective physiologic mechanism for maintaining body temperature in this patient with mild hypothermia, as it helps to reduce heat loss through peripheral vasoconstriction and redistribution of blood flow to vital organs."
}</t>
  </si>
  <si>
    <t>{
 "Answer": "A",
 "Explain": "Flumazenil has low affinity for benzodiazepine receptors, which means it can be easily cleared from the body, resulting in a short duration of action of about 20 minutes. This requires that the patient be observed for a longer period to ensure they do not experience recurrent sedation."
}</t>
  </si>
  <si>
    <t>{
 "Answer": "C",
 "Explain": "The total dose of drug exerts the greatest effect on the extent of spread of local anesthetic following subarachnoid block with hyperbaric bupivacaine, as it determines the volume of solution injected per segment, which directly affects the block height."
}</t>
  </si>
  <si>
    <t>{
 "Answer": "B",
 "Explain": "The patient is experiencing postobstructive pulmonary edema, which is secondary to laryngospasm. Furosemide is a diuretic that can help alleviate the condition by reducing pulmonary hydrostatic pressures and promoting diuresis, which can help alleviate the edema."
}</t>
  </si>
  <si>
    <t>{
 "Answer": "C",
 "Explain": "The sudden onset of symptoms such as nausea, diaphoresis, and sharp pain in the left shoulder 45 minutes after the start of the procedure suggests that the patient may have an inadequate spinal sensory level, which is the most likely cause."
}</t>
  </si>
  <si>
    <t>{
 "Answer": "B",
 "Explain": "The patient is in the Trendelenburg position with CO2 insufflation, which can cause compression of the vena cava, leading to decreased venous return and subsequent decrease in SpO2."
}</t>
  </si>
  <si>
    <t>{
 "Answer": "B",
 "Explain": "The patient is receiving IV PCA with morphine, which can cause hypoventilation. Additionally, the patient has a history of obesity, which is also a risk factor for hypoventilation. The patient's SpO2 is 90% on room air, which suggests that they are not severely hypoxemic, but still have some degree of hypoxemia. Therefore, the most likely cause of her hypoxemia is hypoventilation, which is supported by the patient's history and the effects of morphine."</t>
  </si>
  <si>
    <t>{
 "Answer": "A",
 "Explain": "In pressure support ventilation, pressure support breaths are triggered by a decrease in airway pressure, which means that the ventilator senses the patient's inspiratory effort and provides additional pressure to help them breathe more effectively."
}</t>
  </si>
  <si>
    <t>{
 "Answer": "B",
 "Explain": "To satisfy the increased metabolic demand of the myocardium, increased coronary perfusion pressure is necessary to ensure adequate oxygen delivery to the heart muscle. This is because the myocardium extracts a higher percentage of oxygen than other tissues in the body, up to 60% to 70%, and requires a sufficient perfusion pressure to maintain its function."
}</t>
  </si>
  <si>
    <t>{
 "Answer": "B",
 "Explain": "The prothrombin time (PT) is a laboratory value that is most likely to confirm adequate synthetic hepatic function. This is because the liver synthesizes coagulation factors in great excess, and the PT will remain normal until significant hepatic impairment occurs."
}</t>
  </si>
  <si>
    <t>{
 "Answer": "A",
 "Explain": "Beta-adrenergic blockade may be instituted preoperatively to minimize the risk of ventricular dysrhythmias in a patient undergoing extracorporeal shock wave lithotripsy."
}</t>
  </si>
  <si>
    <t>{
 "Answer": "A",
 "Explain": "Compared to a semiclosed circle system, a Bain circuit exhibits less rebreathing of CO2 because it is a coaxial circuit that allows for more efficient scavenging of waste gas and prevents rebreathing of exhaled gases."
}</t>
  </si>
  <si>
    <t>{
 "Answer": "C,
 "Explain": "The patient is in the lateral position, which can cause the diaphragm to be pushed upwards and the lungs to collapse, leading to a decrease in tidal volume and an increase in the dead space, resulting in a rising slope between points A and B."
}</t>
  </si>
  <si>
    <t>{
 "Answer": "C",
 "Explain": "The patient has a history of a rash with past penicillin administration, suggesting a penicillin allergy. Cefazolin is a cephalosporin antibiotic that is structurally similar to penicillin, and therefore, it is likely that the patient will also be allergic to it. Vancomycin is a different class of antibiotic that is not related to penicillin and is a safer choice for this patient."</t>
  </si>
  <si>
    <t>{
 "Answer": "A",
 "Explain": "Acute cocaine intoxication decreases the MAC of isoflurane by increasing the sensitivity of the brain to the anesthetic effects of isoflurane, resulting in a lower dose required to achieve immobility."
}</t>
  </si>
  <si>
    <t>{
 "Answer": "A",
 "Explain": "Bupivacaine blocks the release of norepinephrine, which is a key mechanism of its cardiotoxic effects, leading to decreased cardiac output and hypotension."
}</t>
  </si>
  <si>
    <t>{
 "Answer": "C",
 "Explain": "Hyperthermia causes a rightward shift in the oxyhemoglobin dissociation curve, allowing for more oxygen to be unloaded in the tissues for the same partial pressure of oxygen."
}</t>
  </si>
  <si>
    <t>{
 "Answer": "B",
 "Explain": "Myocardial contractility is decreased in patients with clinical hypothyroidism due to the reduced levels of thyroid hormones, which can lead to decreased cardiac output and reduced peripheral resistance."
}</t>
  </si>
  <si>
    <t>{
 "Answer": "A",
 "Explain": "Etomidate is most likely to be associated with longer seizure duration when used for electroconvulsive therapy because it has been shown to precipitate generalized epileptic EEG activity in epileptic patients and can lead to prolonged seizure activity after single-dose administration."
}</t>
  </si>
  <si>
    <t>{
 "Answer": "B",
 "Explain": "Ketamine is an N-methyl-D-aspartate (NMDA) receptor antagonist, which does not enhance activity of the GABA receptor."
}</t>
  </si>
  <si>
    <t>{
 "Answer": "B",
 "Explain": "The CO2 absorber is misplaced in the circle system because it is not located between the expiratory valve and the patient, as shown in Fig. 22.32. According to the text, the CO2 absorber should be located between the expiratory valve and the patient to prevent rebreathing of CO2."</t>
  </si>
  <si>
    <t>{
 "Answer": "C",
 "Explain": "A large volume of distribution is typically associated with a drug that has low plasma protein binding, as it is not being held back by proteins in the bloodstream, allowing it to distribute more freely throughout the body."
}</t>
  </si>
  <si>
    <t>{
 "Answer": "A",
 "Explain": "Neostigmine has the longest duration of action in a patient with renal failure because its clearance is reduced by two-thirds and its elimination half-life is prolonged, making it the longest-acting anticholinesterase agent in patients with renal failure."
}</t>
  </si>
  <si>
    <t>{
 "Answer": "C",
 "Explain": "Instillation of local anesthetic into the trachea via the cricothyroid membrane is most likely to block the recurrent laryngeal nerve, which is located in the trachea and supplies sensation to the larynx and trachea."</t>
  </si>
  <si>
    <t>{
 "Answer": "A",
 "Explain": "Gagging that occurs during awake intubation is BEST prevented by local anesthetic block of the superior laryngeal nerve, which is responsible for transmitting sensory information from the larynx to the brain and plays a crucial role in the gag reflex."
}</t>
  </si>
  <si>
    <t>{
 "Answer": "A",
 "Explain": "During general anesthesia, there is an initial reduction in core temperature due to the ablation of thermoregulatory vasoconstriction, which is a natural response to cold stress. This vasoconstriction helps to conserve heat, but under anesthesia, this response is suppressed, allowing heat to escape from the core and contributing to a decrease in body temperature."</t>
  </si>
  <si>
    <t>{
 "Answer": "A",
 "Explain": "The patient's SpO2 decreased from 98% to 84% when FiO2 was 0.5, and then improved to 92% when FiO2 was increased to 1.0. This suggests that the hypoxemia is caused by a lack of oxygen in the blood, which is likely due to a decreased functional residual capacity (FRC) as a result of the patient's age and anesthesia, leading to a ventilation-perfusion mismatch."</t>
  </si>
  <si>
    <t>{
 "Answer": "C",
 "Explain": "The musculocutaneous nerve is the only remaining nerve that has not been blocked, and it is the most likely cause of the remaining anesthesia deficit in the patient's median, radial, and ulnar nerve distributions."
}</t>
  </si>
  <si>
    <t>{
 "Answer": "A",
 "Explain": "After a single dose of propofol, emergence is primarily due to redistribution, as the drug rapidly redistributes from the brain to other tissues, leading to a decrease in its concentration in the brain and a subsequent decrease in its anesthetic effects."
}</t>
  </si>
  <si>
    <t>{
 "Answer": "B",
 "Explain": "After 30 minutes of stable anesthesia, the O2 analyzer reading decreased from 50% to 30%. This is likely due to the accumulation of water on the O2 sensor membrane, which can cause a decrease in the O2 reading."
}</t>
  </si>
  <si>
    <t>{
 "Answer": "A",
 "Explain": "An induction dose of ketamine is most likely to have intense analgesia, as mentioned in the context, 'Induction doses of ketamine provide an intense analgesia and amnesia'."
}</t>
  </si>
  <si>
    <t>{
 "Answer": "C",
 "Explain": "Fentanyl's shorter duration of action is due to its rapid redistribution to inactive tissue sites, leading to a rapid decrease in plasma concentration."
}</t>
  </si>
  <si>
    <t>{
 "Answer": "A",
 "Explain": "The standard error of the mean shows the precision of the population mean, which is the degree of uncertainty associated with the sample mean as a representative of the population mean."
}</t>
  </si>
  <si>
    <t>{
 "Answer": "A",
 "Explain": "Pulse oximetry accurately reflects SaO2 in situations where there is no interference with the light absorption, such as in normal physiological conditions, as it is not affected by the administration of indocyanine green."
}</t>
  </si>
  <si>
    <t>{
 "Answer": "C",
 "Explain": "A patient with a fasting blood glucose of 100 mg/dL is already in a relatively normal range. During anesthesia, the patient's blood glucose level is likely to decrease due to the effects of anesthesia, leading to mild hypoglycemia on emergence."
}</t>
  </si>
  <si>
    <t>{
 "Answer": "C",
 "Explain": "Ranitidine decreases gastric volume by reducing gastric acid secretion, while increasing gastric pH by neutralizing acid in the stomach."
}</t>
  </si>
  <si>
    <t>{
 "Answer": "C",
 "Explain": "The lower blood gas solubility of nitrous oxide compared to desflurane means that it takes less time for the alveolar and inspired concentrations to equilibrate, resulting in a more rapid equilibration."
}</t>
  </si>
  <si>
    <t>{
 "Answer": "A",
 "Explain": "The primary purpose of denitrogenation prior to anesthetic induction is to improve matching of ventilation and perfusion, allowing for a longer period of safe apnea during the induction of anesthesia."
}</t>
  </si>
  <si>
    <t>{
 "Answer": "B",
 "Explain": "A 32-year-old woman sustains an injury to the left recurrent laryngeal nerve during thyroidectomy, which is likely to cause bilateral nerve injury, resulting in aphonia, as opposed to unilateral nerve injury, which would cause hoarseness."</t>
  </si>
  <si>
    <t>{
 "Answer": "A",
 "Explain": "After breathing 100% O2 for 10 minutes, the mixed venous O2 tension is expected to be 45 mmHg. This is because the alveolar O2 tension (PaO2) is increased, but the mixed venous O2 tension (PvO2) is also increased due to the increased cardiac output and oxygen delivery to the tissues."
}</t>
  </si>
  <si>
    <t>{
 "Answer": "A",
 "Explain": "According to the context, flumazenil has a very rapid clearance and short elimination half-life, with a duration of action of only about 20 minutes, making it the shortest-acting of the options."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</si>
  <si>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</si>
  <si>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so the most appropriate therapy is to reverse the effects of morphine with naloxone. Naloxone is a specific opioid antagonist that can quickly reverse the symptoms of opioid overdose, including pain and nausea."
}</t>
  </si>
  <si>
    <t>{
 "Answer": "B",
 "Explain": "Normal saline is the most appropriate initial management for a patient with primary hyperparathyroidism and hypercalcemia. This is because hypercalcemia can cause dehydration, and normal saline helps to replenish fluids and reduce calcium levels. Magnesium sulfate is not indicated in this scenario, and methylprednisone is not a treatment for hypercalcemia."
}</t>
  </si>
  <si>
    <t>{
 "Answer": "B",
 Explain: "First, calculate the total flow rate: 100 mL/min + 5 L/min = 5.1 L/min. Then, calculate the anesthetic concentration in the mixture: 150 mmHg / 5.1 L/min = 29.4 mg/L. Finally, convert this to a percentage: 29.4 mg/L / 10,000 mg/L (1%) = 0.294%, which is approximately 0.5%."</t>
  </si>
  <si>
    <t>{
 "Answer": "C",
 Explain: "Vasoconstriction is the most effective mechanism for maintaining body temperature in this patient because it reduces heat loss by convection and radiation. When a patient is anesthetized, their body's ability to shiver is lost, and nonshivering thermogenesis is not sufficient to maintain body temperature. Vasoconstriction helps to reduce heat loss by constricting blood vessels near the surface of the skin, thereby reducing heat loss through radiation and convection."</t>
  </si>
  <si>
    <t>{
 "Answer": "C",
 Explain: "Midazolam has a longer duration of action than flumazenil, which means that even after flumazenil is administered to antagonize the sedative effects of midazolam, the patient may still be sedated for a longer period. Therefore, the patient should remain hospitalized for observation to ensure their safety and well-being."
}</t>
  </si>
  <si>
    <t>{
 "Answer": "C",
 Explain: "The total dose of drug has the greatest effect on the extent of spread of local anesthetic following subarachnoid block with hyperbaric bupivacaine. This is because the amount of bupivacaine injected determines the concentration of the anesthetic in the cerebrospinal fluid, which in turn affects the extent of spread and duration of action."
}</t>
  </si>
  <si>
    <t>{
 "Answer": "B",
 Explain: "Administer furosemide to treat pulmonary edema, which is a complication of postoperative laryngospasm. This is the most appropriate management as it addresses the underlying cause of the low SpO2 reading. Furosemide helps to reduce fluid buildup in the lungs, improving oxygenation and SpO2 levels."</t>
  </si>
  <si>
    <t>{
 "Answer": "C",
 Explain: "The patient's symptoms of nausea, diaphoresis, and sharp pain in the left shoulder 45 minutes after the start of the procedure suggest that the spinal anesthetic may have worn off or not reached the desired level, causing the patient to experience pain and discomfort. This is more likely than angina pectoris or bladder perforation, which would typically present with different symptoms."</t>
  </si>
  <si>
    <t>{
 "Answer": "B",
 Explain: "The patient is in the Trendelenburg position with CO2 insufflation, which can cause compression of the vena cava, leading to decreased venous return and decreased oxygen saturation. The increase in ETCO2 also suggests that the patient is not effectively exhaling, which further supports the compression of the vena cava as the cause of the decreased SpO2."
}</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</si>
  <si>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change and delivers a set amount of pressure to help the patient breathe."
}</t>
  </si>
  <si>
    <t>{
 "Answer": "B",
 Explain: "During anesthesia induction, the blood pressure often increases to compensate for the increased sympathetic tone. This increased blood pressure leads to increased coronary perfusion pressure, which is more likely to satisfy the increased metabolic demand of the myocardium."
}</t>
  </si>
  <si>
    <t>{
 "Answer": "B",
 Explain: "A prolonged prothrombin time (PT) is a sensitive indicator of impaired liver function, whereas partial thromboplastin time (PTT) is a test for clotting factor deficiencies. Serum alanine aminotransferase (ALT) is an enzyme found in liver cells, and its levels may be elevated in liver damage, but it is not a direct measure of synthetic function. Therefore, prothrombin time is the most likely laboratory value to confirm adequate synthetic hepatic function."</t>
  </si>
  <si>
    <t>{
 "Answer": "B",
 Explain: "ECG synchronization is the best strategy to prevent ventricular dysrhythmias in a patient undergoing extracorporeal shock wave lithotripsy. This is because it ensures that the lithotripter is fired in sync with the patient's ECG, reducing the risk of electrical discharges that can cause dysrhythmias."
}</t>
  </si>
  <si>
    <t>{
 "Answer": "A",
 Explain: "In a Bain circuit, the circuit is designed to absorb and remove exhaled carbon dioxide more efficiently, resulting in less rebreathing of CO2 compared to a semiclosed circle system."
}</t>
  </si>
  <si>
    <t>{
 "Answer": "C",
 Explain: "When a patient is in the lateral position, the diaphragm is more likely to be compressed, leading to a decrease in tidal volume and a more shallow inspiration, resulting in a waveform with a decreased amplitude between points A and B."
}</t>
  </si>
  <si>
    <t>{
 "Answer": "A",
 Explain: "Bupivacaine primarily blocks the release of norepinephrine, a neurotransmitter that plays a crucial role in the body's fight-or-flight response, leading to a decrease in blood pressure and cardiac output."
}</t>
  </si>
  <si>
    <t>{
 "Answer": "C",
 Explain: "Hyperthermia increases body temperature, which causes a rightward shift in the oxyhemoglobin dissociation curve, allowing for more efficient release of oxygen to tissues."
}</t>
  </si>
  <si>
    <t>{
 "Answer": "B",
 Explain: "Methohexital is most likely to be associated with longer seizure duration when used for electroconvulsive therapy because it has a slower onset and longer duration of action compared to etomidate and propofol, which can lead to a longer seizure duration."
}</t>
  </si>
  <si>
    <t>{
 "Answer": "A",
 Explain: "Etomidate is an anesthetic agent that does not directly affect the GABA receptor, whereas ketamine and propofol are known to have GABAergic properties, enhancing the activity of the GABA receptor."
}</t>
  </si>
  <si>
    <t>{
 "Answer": "B",
 Explain: "In a circle system, the CO2 absorber is typically placed between the inspiratory and expiratory limbs, not at the fresh gas inlet. This is because the absorber is designed to remove CO2 from the breathing circuit, and placing it at the inlet would prevent fresh gas from entering the circuit."
}</t>
  </si>
  <si>
    <t>{
 "Answer": "C",
 "Explain": "A large volume of distribution indicates that the drug is widely distributed throughout the body, which is often associated with low plasma protein binding. This is because high plasma protein binding would limit the drug's ability to distribute to other tissues."
}</t>
  </si>
  <si>
    <t>{
 "Answer": "C",
 Explain: "When instilling local anesthetic into the trachea via the cricothyroid membrane, it is most likely to block the recurrent laryngeal nerve, which is located in the trachea and supplies sensation to the larynx."
}</t>
  </si>
  <si>
    <t>{
 "Answer": "A",
 Explain: "Local anesthetic block of the superior laryngeal nerve prevents gagging during awake intubation by numbing the sensation of the epiglottis and surrounding tissues, thereby reducing the gag reflex."
}</t>
  </si>
  <si>
    <t>{
 "Answer": "A",
 Explain: "During general anesthesia, the hypothalamic set point for body temperature is lowered, leading to a decrease in thermoregulatory vasoconstriction. This reduction in vasoconstriction allows for increased blood flow to the skin, resulting in heat loss and a decrease in core temperature."
}</t>
  </si>
  <si>
    <t>{
 "Answer": "B",
 Explain: "The patient's SpO2 decreased from 98% to 84% over 1 hour, which suggests a gradual decline in oxygenation. Increasing the FiO2 to 1.0 improved the SpO2 to 92%, indicating that the hypoxemia was likely caused by increased dead space ventilation, which is supported by the fact that the patient's tidal volume is 350 mL, which is relatively small compared to his weight and age."
}</t>
  </si>
  <si>
    <t>{
 "Answer": "B",
 Explain: "The patient has complete anesthesia in the median, radial, and ulnar nerve distributions, indicating a high-level brachial plexus block. The procedure requires an additional 2 hours of tourniquet inflation, suggesting that the block is not a distal one. Therefore, the most likely explanation is that the block is a supraclavicular block, which would require an additional block of the intercostobrachial nerve to provide adequate anesthesia for the procedure."
}</t>
  </si>
  <si>
    <t>{
 "Answer": "A",
 Explain: "After a single dose of propofol, the primary mechanism of emergence is redistribution, where the drug is redistributed from the brain and other tissues to the peripheral tissues, leading to a decrease in its concentration in the brain and a subsequent recovery from anesthesia."
}</t>
  </si>
  <si>
    <t>{
 "Answer": "B",
 Explain: "After 30 minutes of stable anesthesia, the O2 analyzer reading decreased from 50% to 30%. This suggests that the accumulation of water on the O2 sensor membrane is the most likely cause, as it can lead to a decrease in the accuracy of the O2 reading."
}</t>
  </si>
  <si>
    <t>{
 "Answer": "A",
 Explain: "An induction dose of ketamine is most likely to have analgesic effects, as it is a dissociative anesthetic that can rapidly induce a state of dissociation from pain and other sensory stimuli, providing rapid pain relief."
}</t>
  </si>
  <si>
    <t>{
 "Answer": "C",
 "Explain": "Fentanyl has a shorter elimination half-life compared to morphine, which means it is metabolized and eliminated from the body faster. This shorter duration of action is the most likely explanation for the decreased duration of action of an IV dose of fentanyl compared to morphine."
}</t>
  </si>
  <si>
    <t>{
 "Answer": "A",
 Explain: "The standard error of the mean shows the precision of the sample mean as an estimate of the population mean. It measures the amount of variation in the sample means that would be expected if the sampling were repeated many times."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</si>
  <si>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</si>
  <si>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so the most appropriate therapy is to reverse the effects of morphine with naloxone. Naloxone is a specific opioid antagonist that can quickly reverse the effects of morphine, including pain and nausea."
}</t>
  </si>
  <si>
    <t>{
 "Answer": "B",
 "Explain": "Normal saline is the most appropriate initial management for a patient with primary hyperparathyroidism and hypercalcemia. This is because it helps to dilute the excess calcium in the blood and reduce the risk of cardiac arrhythmias and other complications. Additionally, normal saline can help to stabilize the patient's condition until further treatment can be implemented."</t>
  </si>
  <si>
    <t>{
 "Answer": "B",
 Explain: "First, calculate the total volume of gas flowing through the vaporizer per minute: 100 mL/min (O2) + 5 L/min (fresh gas) = 5000 mL/min. Then, calculate the volume of anesthetic vapor in the mixture: 100 mL/min (O2) x (150 mmHg / 760 mmHg) = 19.74 mL/min. Finally, calculate the delivered anesthetic concentration: (19.74 mL/min / 5000 mL/min) x 100% = 0.395%, which is closest to 0.5%."</t>
  </si>
  <si>
    <t>{
 "Answer": "C",
 Explain: "The total dose of drug has the greatest effect on the extent of spread of local anesthetic following subarachnoid block with hyperbaric bupivacaine. This is because the amount of bupivacaine injected into the cerebrospinal fluid determines the concentration and volume of the anesthetic, which in turn affects the extent of spread and duration of action."
}</t>
  </si>
  <si>
    <t>{
 "Answer": "C",
 Explain: "The patient's symptoms of nausea, diaphoresis, and sharp pain in the left shoulder 45 minutes after the start of the procedure suggest that the spinal anesthetic may have worn off or not reached the desired level, causing the patient to feel pain and discomfort. This is more likely than angina pectoris, which would typically present with chest pain, or bladder perforation, which would cause bleeding or hematuria."</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</si>
  <si>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drop and delivers a set pressure support breath to help the patient breathe more easily."
}</t>
  </si>
  <si>
    <t>{
 "Answer": "B",
 Explain: "During anesthesia induction, the blood pressure often increases to compensate for the increased sympathetic tone. This increased blood pressure leads to increased coronary perfusion pressure, which is necessary to meet the increased metabolic demands of the myocardium."
}</t>
  </si>
  <si>
    <t>{
 "Answer": "A",
 Explain: "In a Bain circuit, the circuit is designed to absorb and remove CO2 more efficiently, resulting in less rebreathing of CO2 compared to a semiclosed circle system."
}</t>
  </si>
  <si>
    <t>{
 "Answer": "A",
 Explain: "Acute cocaine intoxication increases the minimum alveolar concentration (MAC) of isoflurane, making it more difficult to achieve adequate anesthesia. This is because cocaine is a potent stimulant that can increase sympathetic tone and heart rate, leading to increased oxygen consumption and carbon dioxide production, which can offset the effects of isoflurane."
}</t>
  </si>
  <si>
    <t>{
 "Answer": "A",
 Explain: "Bupivacaine primarily blocks the release of norepinephrine, a neurotransmitter that plays a crucial role in the body's fight or flight response, leading to a decrease in blood pressure and cardiac output."
}</t>
  </si>
  <si>
    <t>{
 "Answer": "B",
 Explain: "Methohexital is most likely to be associated with longer seizure duration when used for electroconvulsive therapy because it has a longer half-life and is more likely to cause prolonged post-ictal confusion."
}</t>
  </si>
  <si>
    <t>{
 "Answer": "C",
 Explain: "The expiratory valve is misplaced in the circle system because it is typically located at the end of the breathing circuit, whereas in this illustration, it is placed between the fresh gas inlet and the CO2 absorber."
}</t>
  </si>
  <si>
    <t>{
 "Answer": "C",
 Explain: "When instilling local anesthetic into the trachea via the cricothyroid membrane, it is most likely to block the recurrent laryngeal nerve, which supplies sensation to the larynx and vocal cords."
}</t>
  </si>
  <si>
    <t>{
 "Answer": "A",
 Explain: "During general anesthesia, the hypothalamic set point for body temperature is reduced, leading to a decrease in thermoregulatory vasoconstriction. This ablation of thermoregulatory vasoconstriction allows for a reduction in core temperature, as the body is no longer actively working to maintain its normal temperature."
}</t>
  </si>
  <si>
    <t>{
 "Answer": "C",
 "Explain": "The patient's SpO2 improved to 92% when FiO2 was increased to 1.0, indicating that the hypoxemia was likely caused by room air admixture during inspiration. This is because the patient's tidal volume is 350 mL, which is relatively small, and the fresh gas flow is 5 L/min, which is not sufficient to completely fill the patient's lungs. As a result, room air is being entrained into the patient's lungs, leading to hypoxemia."
}</t>
  </si>
  <si>
    <t>{
 "Answer": "B",
 Explain: "The patient has complete anesthesia in the median, radial, and ulnar nerve distributions, indicating a high-level brachial plexus block. The procedure requires two hours of tourniquet inflation, which suggests that the block is not a superficial block. Therefore, the most likely explanation is that the block is a supraclavicular block, which would require an additional block of the intercostobrachial nerve to provide adequate anesthesia for the procedure."
}</t>
  </si>
  <si>
    <t>{
 "Answer": "B",
 Explain: "After 30 minutes of stable anesthesia, the O2 analyzer reading decreased from 50% to 30%. This suggests that the accumulation of water on the O2 sensor membrane is the most likely cause. Water accumulation can reduce the sensitivity of the O2 sensor, leading to a decrease in the O2 analyzer reading."
}</t>
  </si>
  <si>
    <t>{
 "Answer": "A",
 Explain: "The standard error of the mean shows the precision of the sample mean as an estimate of the population mean, indicating how much the sample mean is likely to differ from the true population mean."
}</t>
  </si>
  <si>
    <t>{
 "Answer": "B",
 Explain: "Pulse oximetry accurately reflects SaO2 in situations of carboxyhemoglobinemia because carboxyhemoglobin does not absorb light in the same way as oxyhemoglobin, allowing the pulse oximeter to accurately measure the amount of oxygen in the blood."
}</t>
  </si>
  <si>
    <t>{
 "Answer": "B",
 Explain: "When a patient is receiving a 4-hour general anesthetic, their blood glucose levels typically decrease due to the anesthetic's effect on glucose metabolism. However, a fasting blood glucose of 100 mg/dL is still within the normal range, so it is unlikely to drop significantly during anesthesia. Therefore, mild hyperglycemia (B) is the most likely expected blood glucose concentration on emergence."
}</t>
  </si>
  <si>
    <t>{
 "Answer": "A",
 Explain: "When breathing 100% O2 for 10 minutes, the body's oxygen demand is met, and the body's oxygen stores are replenished. As a result, the mixed venous O2 tension increases, but not to the same level as arterial O2 tension, which is around 100 mmHg. Therefore, the expected mixed venous O2 tension is around 45 mmHg, which is option A."
}</t>
  </si>
  <si>
    <t>{
 "Answer": "A",
 "Explain": "Flumazenil has a shorter elimination half-life compared to Lorazepam and Midazolam due to its high liver metabolism and rapid excretion, with a half-life of approximately 1-2 hours."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</si>
  <si>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</si>
  <si>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abdominal pain, after receiving morphine. Naloxone is an opioid antagonist that can reverse these effects, making it the most appropriate therapy for this patient's pain."
}</t>
  </si>
  <si>
    <t>{
 "Answer": "B",
 Explain: "Normal saline is the most appropriate initial management for a 68-year-old woman with primary hyperparathyroidism and a serum calcium concentration of 15 mg/dL. This is because hypercalcemia can cause dehydration, and normal saline helps to dilute the serum calcium levels and alleviate symptoms. Magnesium sulfate is not indicated in this scenario, and methylprednisolone is not a treatment for hypercalcemia."</t>
  </si>
  <si>
    <t>{
 "Answer": "B",
 Explain: "First, calculate the total flow rate: 100 mL/min + 5 L/min = 5.1 L/min. Then, calculate the anesthetic concentration in the mixture: 150 mmHg / 5.1 L/min = 29.4 mg/L. Finally, convert this to a percentage: 29.4 mg/L / 2.5 mg/mL (1% solution) = 0.5%."
}</t>
  </si>
  <si>
    <t>{
 "Answer": "C",
 Explain: "Vasoconstriction is the most effective mechanism for maintaining body temperature in this patient because it reduces heat loss by convection and radiation. When a patient is anesthetized, their body's ability to shiver is lost, and nonshivering thermogenesis is not a significant contributor to heat production. Therefore, vasoconstriction is the primary mechanism to maintain body temperature."</t>
  </si>
  <si>
    <t>{
 "Answer": "C",
 Explain: "The total dose of drug has the greatest effect on the extent of spread of local anesthetic following subarachnoid block with hyperbaric bupivacaine because it directly determines the amount of anesthetic that spreads throughout the spinal cord and surrounding tissues, with higher doses resulting in a greater spread."
}</t>
  </si>
  <si>
    <t>{
 "Answer": "B",
 "Explain": "Administer furosemide to treat pulmonary edema, which is a complication of postoperative laryngospasm. This is the most appropriate management as it addresses the underlying cause of the low SpO2 reading. Furosemide helps to reduce fluid buildup in the lungs, improving oxygenation and SpO2 levels."
}</t>
  </si>
  <si>
    <t>{
 "Answer": "C",
 Explain: "The patient's symptoms of nausea, diaphoresis, and sharp pain in the left shoulder are consistent with an inadequate spinal sensory level. This is because the anesthetic has not reached the level of the left shoulder, causing the patient to feel pain and discomfort. The other options, angina pectoris and bladder perforation, are less likely causes of these symptoms."</t>
  </si>
  <si>
    <t>{
 "Answer": "B",
 Explain: "The patient is in the Trendelenburg position with CO2 insufflation, which can cause compression of the vena cava, leading to a decrease in SpO2. The increase in ETCO2 also suggests that the patient is not tolerating the CO2 insufflation well, which further supports the diagnosis of vena cava compression."
}</t>
  </si>
  <si>
    <t>{
 "Answer": "B",
 "Explain": "After a laparoscopic cholecystectomy, the patient is likely to experience hypoventilation due to the effects of anesthesia and pain medication, such as morphine, which can cause respiratory depression. This is more likely to occur in an obese patient, as they may already have underlying respiratory issues. As a result, the patient's SpO2 is 90% on room air, indicating mild hypoxemia, which is most likely caused by hypoventilation."</t>
  </si>
  <si>
    <t>{
 "Answer": "B",
 Explain: "A prolonged prothrombin time (PT) is a sensitive indicator of impaired liver function, whereas partial thromboplastin time (PTT) is a measure of blood clotting and is not specific to liver function. Serum alanine aminotransferase (ALT) is an enzyme found in the liver, but its levels can be elevated in various conditions, making it a less specific indicator of synthetic hepatic function. Therefore, a normal prothrombin time is most likely to confirm adequate synthetic hepatic function."
}</t>
  </si>
  <si>
    <t>{
 "Answer": "B",
 Explain: "ECG synchronization is the best strategy to prevent ventricular dysrhythmias in a patient undergoing extracorporeal shock wave lithotripsy. This is because it ensures that the shock waves are delivered during the T-wave-free period, reducing the risk of arrhythmias."
}</t>
  </si>
  <si>
    <t>{
 "Answer": "A",
 Explain: "In a Bain circuit, the circuit is not fully closed, allowing for the escape of exhaled CO2, resulting in less rebreathing of CO2 compared to a semiclosed circle system."
}</t>
  </si>
  <si>
    <t>{
 "Answer": "C",
 Explain: "When a patient is in the lateral position, the diaphragm is more likely to be displaced upwards and outwards, leading to a decrease in lung volume and a more shallow inspiration, resulting in a characteristic'sawtooth' or'serrated' waveform between points A and B."
}</t>
  </si>
  <si>
    <t>{
 "Answer": "A",
 Explain: "The anesthesiologist should administer cefazolin as it is a beta-lactam antibiotic that is not related to penicillin, making it a suitable alternative for the patient with a history of penicillin allergy."
}</t>
  </si>
  <si>
    <t>{
 "Answer": "A",
 Explain: "Bupivacaine primarily blocks the release of norepinephrine, a neurotransmitter that plays a crucial role in the body's fight-or-flight response, leading to a decrease in sympathetic nervous system activity and a subsequent decrease in heart rate and blood pressure."
}</t>
  </si>
  <si>
    <t>{
 "Answer": "B",
 Explain: "Methohexital is most likely to be associated with longer seizure duration when used for electroconvulsive therapy because it has a longer half-life and a higher seizure threshold than etomidate and propofol, making it more likely to produce a longer seizure duration."
}</t>
  </si>
  <si>
    <t>{
 "Answer": "B",
 Explain: "In a circle system, the CO2 absorber is typically placed between the inspiratory and expiratory limbs, not at the fresh gas inlet. This is because the absorber is designed to remove CO2 from the breathing circuit, not to introduce fresh gas."
}</t>
  </si>
  <si>
    <t>{
 "Answer": "C",
 "Explain": "A large volume of distribution indicates that the drug is widely distributed throughout the body, which is often associated with low plasma protein binding. This is because high plasma protein binding would limit the drug's ability to distribute to other tissues and organs."
}</t>
  </si>
  <si>
    <t>{
 "Answer": "A",
 Explain: "Neostigmine has a longer duration of action in patients with renal failure because it is excreted primarily through the kidneys, but it is also metabolized by the liver. As a result, its effects may persist for several hours even in patients with significant renal impairment."
}</t>
  </si>
  <si>
    <t>{
 "Answer": "C",
 Explain: "When instilling local anesthetic into the trachea via the cricothyroid membrane, the most likely nerve to be blocked is the Recurrent Laryngeal Nerve. This is because the cricothyroid membrane is located near the recurrent laryngeal nerve, which runs parallel to the trachea and supplies sensation to the larynx. As the anesthetic spreads, it is most likely to affect this nerve, causing numbness or paralysis of the vocal cords and surrounding tissues."</t>
  </si>
  <si>
    <t>{
 "Answer": "C",
 "Explain": "The patient's SpO2 improved when FiO2 was increased to 1.0, indicating that the hypoxemia was caused by room air admixture during inspiration. This is because the patient is breathing spontaneously through a T-piece with a fresh gas flow of 5 L/min and an FiO2 of 0.5, allowing room air to mix with the inspired gas and dilute the FiO2."</t>
  </si>
  <si>
    <t>{
 "Answer": "B",
 Explain: "The patient has complete anesthesia in the median, radial, and ulnar nerve distributions, which suggests that the brachial plexus has been anesthetized. The intercostobrachial nerve is a branch of the brachial plexus that supplies sensation to the upper medial aspect of the arm. Therefore, an additional block of the intercostobrachial nerve would be the most appropriate next step to provide additional anesthesia to the area."</t>
  </si>
  <si>
    <t>{
 "Answer": "B",
 "Explain": "After 30 minutes of stable anesthesia, the O2 analyzer reading decreased from 50% to 30%. This could be due to accumulation of water on the O2 sensor membrane, which would cause a decrease in the accuracy of the reading, leading to a lower reading."
}</t>
  </si>
  <si>
    <t>{
 "Answer": "B",
 Explain: "Pulse oximetry accurately reflects SaO2 in situations of carboxyhemoglobinemia because carboxyhemoglobin (COHb) has a similar absorption spectrum to oxyhemoglobin (O2Hb), allowing pulse oximetry to accurately measure SaO2 despite the presence of COHb."
}</t>
  </si>
  <si>
    <t>{
 "Answer": "C",
 Explain: "On emergence from anesthesia, the patient's blood glucose level is likely to decrease due to the effects of anesthesia on glucose metabolism. The patient's fasting blood glucose level was 100 mg/dL, which is already within the normal range. Therefore, a mild decrease in blood glucose level is expected, making option C, mild hypoglycemia, the most likely answer."
}</t>
  </si>
  <si>
    <t>{
 "Answer": "C",
 Explain: "Ranitidine is an H2 blocker that decreases gastric acid secretion, thereby increasing gastric pH, and also reduces gastric volume by decreasing the amount of acid produced."
}</t>
  </si>
  <si>
    <t>{
 "Answer": "C",
 "Explain": "Nitrous oxide has a lower blood gas solubility compared to desflurane, which means it is more easily released from the bloodstream and tissues into the lungs, allowing for more rapid equilibration of alveolar and inspired concentrations."
}</t>
  </si>
  <si>
    <t>{
 "Answer": "A",
 Explain: "Denitrogenation prior to anesthetic induction is primarily to improve matching of ventilation and perfusion by reducing the amount of nitrogen in the lungs, allowing for more efficient oxygen delivery to the body's tissues."
}</t>
  </si>
  <si>
    <t>{
 "Answer": "A",
 Explain: "When breathing 100% O2 for 10 minutes, the body's oxygen demand is met, and the body's oxygen stores are replenished. As a result, the mixed venous O2 tension increases, but not to the same level as arterial O2 tension. In a normal adult, the expected mixed venous O2 tension after breathing 100% O2 for 10 minutes is around 45 mmHg."
}</t>
  </si>
  <si>
    <t>{
 "Answer": "A",
 "Explain": "Flumazenil has a shorter elimination half-life compared to Lorazepam and Midazolam due to its high protein binding and rapid metabolism, with an elimination half-life of approximately 1-2 hours."
}</t>
  </si>
  <si>
    <t>max_new_tokens = 2048</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</si>
  <si>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</si>
  <si>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pain, after receiving morphine premedication. Naloxone is the antidote for opioid overdose and reversal of opioid-induced adverse effects, making it the most appropriate therapy for this patient's pain."
}</t>
  </si>
  <si>
    <t>{
 "Answer": "B",
 Explain: "During anesthesia induction, the blood pressure often increases to compensate for the increased sympathetic tone. This increased blood pressure leads to increased coronary perfusion pressure, which is most likely to satisfy the increased metabolic demand of the myocardium."
}</t>
  </si>
  <si>
    <t>{
 "Answer": "B",
 Explain: "The patient's SpO2 decreased from 98% to 84% over 1 hour, indicating a gradual decline in oxygenation. This is consistent with increased dead space ventilation, which would lead to a decrease in alveolar ventilation and oxygenation. The improvement in SpO2 to 92% when FiO2 is increased to 1.0 suggests that the patient's hypoxemia was primarily due to inadequate oxygenation, which is consistent with increased dead space ventilation."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</si>
  <si>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</si>
  <si>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</si>
  <si>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so Naloxone is the most appropriate therapy to reverse the effects of morphine and alleviate the patient's pain and nausea."
}</t>
  </si>
  <si>
    <t>{
 "Answer": "B",
 "Explain": "Normal saline is the most appropriate initial management for this patient because it helps to dilute the elevated serum calcium concentration, reducing the risk of cardiac arrhythmias and other complications. This is a more immediate and effective approach compared to magnesium sulfate or methylprednisone, which may not have a rapid enough onset of action to address the patient's hypercalcemia."
}</t>
  </si>
  <si>
    <t>{
 "Answer": "B",
 Explain: "First, we need to calculate the total volume of gas being mixed, which is 100 mL/min + 5 L/min = 5.08 L/min. Then, we need to calculate the volume of anesthetic vapor being added, which is 100 mL/min. Finally, we need to calculate the concentration of anesthetic vapor in the mixture, which is 100 mL/min / 5.08 L/min = 1.96%. Since the closest option is 0.5%, the correct answer is B."
}</t>
  </si>
  <si>
    <t>{
 "Answer": "C",
 Explain: "Vasoconstriction is the most effective mechanism for maintaining body temperature in this patient because it reduces heat loss by convection and radiation. When a patient is anesthetized, their body's ability to shiver is lost, and nonshivering thermogenesis is not a significant contributor to heat production. Vasoconstriction, on the other hand, helps to reduce heat loss by decreasing blood flow to the skin, thereby minimizing heat loss through convection and radiation."
}</t>
  </si>
  <si>
    <t>{
 "Answer": "C",
 Explain: "The total dose of drug has the greatest effect on the extent of spread of local anesthetic following subarachnoid block with hyperbaric bupivacaine. This is because the amount of bupivacaine administered determines the concentration of the anesthetic in the cerebrospinal fluid, which in turn affects the extent of spread."
}</t>
  </si>
  <si>
    <t>{
 "Answer": "B",
 Explain: "A prolonged prothrombin time (PT) is a sensitive indicator of impaired liver function, as the liver is responsible for producing clotting factors. A normal PT value suggests that the liver is functioning adequately in producing these clotting factors, confirming synthetic hepatic function."
}</t>
  </si>
  <si>
    <t>{
 "Answer": "C",
 Explain: "When a patient is in the lateral position, the dependent lung may collapse or atelectrase, leading to a decrease in tidal volume and a characteristic'sawtooth' or 'inverted T' waveform between points A and B."
}</t>
  </si>
  <si>
    <t>{
 "Answer": "B",
 Explain: "In a circle system, the CO2 absorber is typically placed between the patient circuit and the ventilator, not after the fresh gas inlet. This is because the absorber is designed to remove CO2 from the exhaled gases, and placing it after the fresh gas inlet would allow fresh gas to bypass the absorber and not be properly processed."
}</t>
  </si>
  <si>
    <t>{
 "Answer": "C",
 "Explain": "A large volume of distribution indicates that the drug is widely distributed throughout the body, which is often associated with low plasma protein binding. This is because high plasma protein binding would limit the drug's ability to distribute to other tissues, resulting in a smaller volume of distribution."
}</t>
  </si>
  <si>
    <t>{
 "Answer": "C",
 Explain: "When instilling local anesthetic into the trachea via the cricothyroid membrane, it is most likely to block the recurrent laryngeal nerve, which is located in the trachea and supplies sensation to the larynx and vocal cords."
}</t>
  </si>
  <si>
    <t>{
 "Answer": "A",
 Explain: "Gagging during awake intubation is BEST prevented by local anesthetic block of the superior laryngeal nerve, which is responsible for the sensation of gagging and coughing. This nerve block numbs the sensation of the larynx and prevents the gag reflex from occurring."
}</t>
  </si>
  <si>
    <t>{
 "Answer": "A",
 Explain: "During general anesthesia, the hypothalamic set point for body temperature is lowered, leading to a decrease in thermoregulatory vasoconstriction. This ablation of thermoregulatory vasoconstriction allows heat to be lost through the skin, resulting in an initial reduction in core temperature."
}</t>
  </si>
  <si>
    <t>{
 "Answer": "B",
 Explain: "The patient's SpO2 improves to 92% when FiO2 is increased to 1.0, indicating that the hypoxemia is not due to a lack of oxygen in the inspired gas. The patient's tidal volume is 350 mL, which is relatively small, suggesting that the patient may be breathing room air admixture during inspiration, which would not be affected by increasing FiO2. Therefore, the most likely cause of hypoxemia is increased dead space ventilation, option B."
}</t>
  </si>
  <si>
    <t>{
 "Answer": "B",
 Explain: "The patient has complete anesthesia in the median, radial, and ulnar nerve distributions, indicating a high-level brachial plexus block. The procedure requires an additional 2 hours of tourniquet inflation, suggesting that the block is not a distal block. Therefore, the most appropriate next step is to perform an intercostobrachial block to target the remaining nerves that were not blocked by the initial block, which are the lateral and posterior cutaneous nerves of the arm."</t>
  </si>
  <si>
    <t>{
 "Answer": "C",
 "Explain": "Fentanyl has a shorter elimination half-life compared to morphine, which means it is metabolized and eliminated from the body faster. This shorter elimination half-life is the most likely explanation for the decreased duration of action of an IV dose of fentanyl compared to morphine."
}</t>
  </si>
  <si>
    <t>{
 "Answer": "A",
 Explain: "The standard error of the mean shows the precision of the sample mean as an estimate of the population mean. It represents the amount of random variation in the sample mean, which is expected to occur by chance. In other words, it measures how much the sample mean is likely to deviate from the true population mean."
}</t>
  </si>
  <si>
    <t>{
 "Answer": "B",
 Explain: "When a patient is receiving a 4-hour general anesthetic, their blood glucose levels tend to decrease due to the anesthetic's effect on glucose metabolism. However, in this case, the patient's fasting blood glucose level is already 100 mg/dL, which is not significantly elevated. Therefore, it is most likely that the patient's blood glucose level on emergence will be mildly elevated, rather than hypoglycemic or severely hypoglycemic."</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</si>
  <si>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</si>
  <si>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pain, which are typical of morphine toxicity. Naloxone is an opioid antagonist that reverses the effects of opioids, making it the most appropriate therapy for this patient's pain."
}</t>
  </si>
  <si>
    <t>{
 "Answer": "B",
 Explain: "Normal saline is the most appropriate initial management for a 68-year-old woman with primary hyperparathyroidism and a serum calcium concentration of 15 mg/dL. This is because normal saline can help to dilute the elevated calcium levels and alleviate symptoms, whereas magnesium sulfate is typically used to treat hypercalcemic crisis, which is not the case here. Methylprednisolone is not indicated for hypercalcemia."
}</t>
  </si>
  <si>
    <t>{
 "Answer": "B",
 Explain: "Genetic testing of the ryanodine receptor is the most reliable test to predict the likelihood of developing malignant hyperthermia. This is because it directly detects mutations in the RYR1 gene, which is responsible for the condition. The other options, calcium uptake assay and caffeine-halothane contracture test, are indirect tests that may not always correlate with the genetic mutation."</t>
  </si>
  <si>
    <t>{
 "Answer": "B",
 Explain: "To find the delivered anesthetic concentration, we need to calculate the volume of the anesthetic vapor in the mixture. The volume of anesthetic vapor is 100 mL/min, and the fresh gas flow is 5 L/min. The percentage of anesthetic vapor in the mixture is then calculated as 100 mL / (100 mL + 5000 mL) = 0.2%. Since 0.2% is equivalent to 0.5%, the correct answer is B."
}</t>
  </si>
  <si>
    <t>{
 "Answer": "C",
 Explain: "Vasoconstriction is the most effective mechanism for maintaining body temperature in this patient because it reduces heat loss through peripheral vasodilation, allowing the body to conserve heat and maintain its normal temperature."
}</t>
  </si>
  <si>
    <t>{
 "Answer": "C",
 "Explain": "Midazolam has a longer duration of action than flumazenil, which means that even after flumazenil is administered to antagonize the effects of midazolam, the patient may still be sedated for a while. Therefore, the patient should remain hospitalized for observation to ensure they are fully alert and safe before being discharged."
}</t>
  </si>
  <si>
    <t>{
 "Answer": "C",
 "Explain": "The total dose of drug exerts the greatest effect on the extent of spread of local anesthetic following subarachnoid block with hyperbaric bupivacaine because it directly determines the amount of anesthetic that spreads to different areas of the spinal cord and nerves, with higher doses resulting in a greater spread."
}</t>
  </si>
  <si>
    <t>{
 "Answer": "B",
 "Explain": "Administer furosemide to treat pulmonary edema, which is a complication of postoperative laryngospasm. This will help to reduce fluid buildup in the lungs and improve oxygenation. Since the patient is already receiving 100% O2, additional interventions such as positive-pressure ventilation or bronchodilators like albuterol are not the primary focus at this point."</t>
  </si>
  <si>
    <t>{
 "Answer": "C",
 "Explain": "The patient's symptoms of nausea, diaphoresis, and sharp pain in the left shoulder 45 minutes after the start of the procedure suggest that the spinal anesthetic may have worn off, causing inadequate sensory level, leading to the patient's symptoms."
}</t>
  </si>
  <si>
    <t>{
 "Answer": "B",
 Explain: "The patient is in the Trendelenburg position with CO2 insufflation, which can cause compression of the vena cava. This can lead to a decrease in venous return and subsequently a decrease in SpO2. The increase in ETCO2 also suggests that the patient is not hypovenilating, making compression of the vena cava the most likely cause of the decrease in SpO2."
}</t>
  </si>
  <si>
    <t>{
 "Answer": "B",
 "Explain": "After a laparoscopic cholecystectomy, the patient is likely to experience hypoventilation due to the effects of anesthesia and pain medication. The patient's obesity also increases the risk of hypoventilation. Two hours after surgery, the patient's SpO2 is 90%, which is slightly decreased, suggesting that hypoventilation is the most likely cause of her hypoxemia."</t>
  </si>
  <si>
    <t>{
 "Answer": "A",
 Explain: "Pressure support breaths in a patient receiving pressure support ventilation are triggered by a decrease in airway pressure, which signals the need for assistance with breathing."
}</t>
  </si>
  <si>
    <t>{
 "Answer": "B",
 "Explain": "During anesthesia induction, the heart rate increases to 120 bpm, indicating increased metabolic demand. To satisfy this demand, increased coronary perfusion pressure would increase oxygen delivery to the myocardium, allowing it to meet its increased energy needs."
}</t>
  </si>
  <si>
    <t>{
 "Answer": "B",
 Explain: "Prothrombin time (PT) is a measure of the extrinsic coagulation pathway, which is affected by liver function. A normal PT indicates that the liver is producing adequate amounts of clotting factors, confirming adequate synthetic hepatic function."
}</t>
  </si>
  <si>
    <t>{
 "Answer": "A",
 Explain: "In a Bain circuit, the circuit is not completely closed, allowing for a small amount of fresh gas to enter the circuit, which reduces rebreathing of CO2 compared to a semiclosed circle system."
}</t>
  </si>
  <si>
    <t>{
 "Answer": "C",
 Explain: "When a patient is in the lateral position, the dependent lung may collapse or atelectrase, leading to a decrease in end-tidal CO2 (ETCO2) and a shift of the capnograph waveform to the left between points A and B."
}</t>
  </si>
  <si>
    <t>{
 "Answer": "A",
 Explain: "The anesthesiologist should administer cefazolin as it is the recommended antibiotic for this patient, despite the patient's history of penicillin allergy, as cefazolin is a cephalosporin antibiotic that is not structurally related to penicillin."
}</t>
  </si>
  <si>
    <t>{
 "Answer": "A",
 Explain: "Acute cocaine intoxication decreases the MAC of isoflurane by increasing the activity of the sympathetic nervous system, which can lead to increased heart rate and blood pressure, resulting in increased oxygen demand and decreased anesthetic requirements."
}</t>
  </si>
  <si>
    <t>{
 "Answer": "A",
 Explain: "Bupivacaine primarily blocks the release of norepinephrine, a neurotransmitter that plays a crucial role in regulating blood pressure and heart rate. This blockade leads to a decrease in systemic blood pressure and cardiac output, which can result in hypotension and decreased cardiac function."
}</t>
  </si>
  <si>
    <t>{
 "Answer": "C",
 Explain: "Hyperthermia causes a rightward shift in the oxyhemoglobin dissociation curve because increased body temperature increases the affinity of hemoglobin for oxygen, making it more difficult for oxygen to dissociate from hemoglobin, leading to a shift to the right."
}</t>
  </si>
  <si>
    <t>{
 "Answer": "B",
 Explain: "Myocardial contractility is decreased in hypothyroidism due to decreased levels of thyroid hormones, which play a crucial role in regulating cardiac function. As a result, the heart becomes less efficient at pumping blood, leading to decreased cardiac output."
}</t>
  </si>
  <si>
    <t>{
 "Answer": "B",
 Explain: "Methohexital is most likely to be associated with longer seizure duration when used for electroconvulsive therapy because it has a slower onset and offset of action, allowing for a longer duration of seizure activity."
}</t>
  </si>
  <si>
    <t>{
 "Answer": "A",
 Explain: "Etomidate does not directly interact with GABA receptors, whereas ketamine and propofol are known to have GABAergic effects, enhancing the activity of GABA receptors."
}</t>
  </si>
  <si>
    <t>{
 "Answer": "C",
 Explain: "The expiratory valve is misplaced in the circle system as it is typically located at the patient's mouthpiece, not in the circuit itself."
}</t>
  </si>
  <si>
    <t>{
 "Answer": "C",
 "Explain": "A large volume of distribution indicates that the drug is widely distributed throughout the body, which is often associated with low plasma protein binding. This is because highly protein-bound drugs tend to be confined to the vascular compartment, resulting in a smaller volume of distribution."
}</t>
  </si>
  <si>
    <t>{
 "Answer": "A",
 Explain: "Neostigmine has a longer duration of action in patients with renal failure because it is not significantly removed by the kidneys, whereas succinylcholine is metabolized by the kidneys and rocuronium is excreted by the liver and kidneys."
}</t>
  </si>
  <si>
    <t>{
 "Answer": "C",
 Explain: "When an anesthetic is instilled into the trachea via the cricothyroid membrane, it is most likely to block the recurrent laryngeal nerve, which is responsible for sensation in the larynx. The recurrent laryngeal nerve is located in the trachea and is most directly affected by the instilled anesthetic."
}</t>
  </si>
  <si>
    <t>{
 "Answer": "A",
 Explain: "Gagging during awake intubation is BEST prevented by local anesthetic block of the superior laryngeal nerve, which is responsible for the sensation of gagging and coughing. This is because the superior laryngeal nerve is responsible for innervating the laryngeal mucosa and the pharyngeal plexus, which are the primary sites of gag reflex activation."</t>
  </si>
  <si>
    <t>{
 "Answer": "A",
 Explain: "During general anesthesia, the hypothalamic set point for body temperature is reduced, leading to a decrease in thermoregulatory vasoconstriction. This allows for heat to be lost through radiation and convection, resulting in a decrease in core temperature."
}</t>
  </si>
  <si>
    <t>{
 "Answer": "B",
 Explain: "First, the patient's initial FiO2 is 0.5, which is sufficient to maintain an SpO2 of 98%. Then, his SpO2 decreases to 84% over 1 hour, indicating that his oxygenation is compromised. Increasing the FiO2 to 1.0 improves his SpO2 to 92%, suggesting that the hypoxemia is due to inadequate oxygen delivery. The most likely cause is increased dead space ventilation, which would lead to a decrease in the amount of oxygen available to the alveoli, resulting in hypoxemia."
}</t>
  </si>
  <si>
    <t>{
 "Answer": "C",
 Explain: "The patient has complete anesthesia in the median, radial, and ulnar nerve distributions, which suggests a brachial plexus block. The musculocutaneous nerve is the only remaining nerve that has not been blocked, which is responsible for innervation of the biceps and brachialis muscles. Therefore, an additional block of the musculocutaneous nerve is the most appropriate next step."
}</t>
  </si>
  <si>
    <t>{
 "Answer": "A",
 Explain: "After a single dose of propofol, the primary mechanism of emergence is redistribution, where the drug is rapidly redistributed from the brain and other tissues to the peripheral tissues, leading to a decrease in its concentration in the brain and a return to consciousness."
}</t>
  </si>
  <si>
    <t>{
 "Answer": "B",
 Explain: "After 30 minutes of stable anesthesia, the O2 analyzer reading decreased from 50% to 30%. This suggests that the accumulation of water on the O2 sensor membrane is the most likely cause. This is because the O2 sensor is prone to water accumulation, which can lead to a decrease in O2 reading."
}</t>
  </si>
  <si>
    <t>{
 "Answer": "A",
 Explain: "An induction dose of ketamine is most likely to have analgesic effects, as it is a dissociative anesthetic that can quickly produce a state of dissociation from pain and discomfort, making it a useful agent for procedural sedation and analgesia."
}</t>
  </si>
  <si>
    <t>{
 "Answer": "A",
 Explain: "The standard error of the mean shows the precision of the sample mean as an estimate of the population mean, which is the average of all possible sample means that could have been obtained from the same population."
}</t>
  </si>
  <si>
    <t>{
 "Answer": "B",
 Explain: "Pulse oximetry accurately reflects SaO2 in carboxyhemoglobinemia because carboxyhemoglobin does not absorb light in the same way as oxyhemoglobin, allowing the pulse oximeter to accurately measure the true oxygen saturation."
}</t>
  </si>
  <si>
    <t>{
 "Answer": "B",
 Explain: "When a patient is receiving a general anesthetic, their glucose levels typically increase due to the stress response. The patient's initial fasting glucose level of 100 mg/dL is already within the normal range, so it is likely to increase slightly during anesthesia. On emergence, the patient's glucose level is expected to be mildly elevated, around 120-140 mg/dL, making option B the most likely choice."</t>
  </si>
  <si>
    <t>{
 "Answer": "C",
 Explain: "Ranitidine is an H2 blocker that decreases gastric acid secretion, thereby increasing gastric pH, while also reducing gastric volume by decreasing the production of gastric acid."
}</t>
  </si>
  <si>
    <t>{
 "Answer": "C",
 "Explain": "Nitrous oxide has a lower blood gas solubility compared to desflurane, which means it is more easily released from the bloodstream and tissues into the alveoli, allowing for more rapid equilibration of alveolar and inspired concentrations."
}</t>
  </si>
  <si>
    <t>{
 "Answer": "B",
 Explain: "Prior to anesthetic induction, denitrogenation is primarily done to increase O2 reserve in the functional residual capacity (FRC), allowing for a smoother transition to anesthesia and reducing the risk of hypoxia."
}</t>
  </si>
  <si>
    <t>{
 "Answer": "B",
 Explain: "The left recurrent laryngeal nerve injury will cause paralysis of the left vocal cord, leading to weakness or paralysis of the vocal cord, resulting in aphonia, which is the most likely postoperative finding in this patient."
}</t>
  </si>
  <si>
    <t>{
 "Answer": "A",
 Explain: "When breathing 100% O2 for 10 minutes, the body's oxygen demand is met, and the body's oxygen stores are replenished. As a result, the mixed venous O2 tension increases, but not to the same level as arterial O2 tension, which is around 100 mmHg. Instead, it falls between 40-50 mmHg, making option A, 45 mmHg, the most likely answer."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</si>
  <si>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</si>
  <si>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tibial nerve is located at the medial aspect of the lower leg, so it is the most likely nerve to be blocked for an operation in this area."
}</t>
  </si>
  <si>
    <t>{
 "Answer": "C",
 Explain: "The patient is experiencing pain 30 minutes after receiving morphine, which can cause cholecystospasm, leading to right upper quadrant abdominal pain. Naloxone is the most appropriate therapy to reverse the effects of morphine and relieve the pain."
}</t>
  </si>
  <si>
    <t>{
 "Answer": "B",
 "Explain": "Normal saline is the most appropriate initial management for the 68-year-old woman with primary hyperparathyroidism and a serum calcium concentration of 15 mg/dL. This is because normal saline can help to dilute the elevated calcium levels and provide a more stable environment for the patient before further treatment is initiated."
}</t>
  </si>
  <si>
    <t>{
 "Answer": "B",
 Explain: "Genetic testing of the ryanodine receptor is the most reliable predictor of malignant hyperthermia susceptibility because it directly detects mutations in the RYR1 gene, which is responsible for the condition."
}</t>
  </si>
  <si>
    <t>{
 "Answer": "B",
 Explain: "To find the delivered anesthetic concentration, we need to calculate the ratio of the volume of anesthetic vapor to the total volume of the gas mixture. The volume of anesthetic vapor is 100 mL/min, and the total volume of the gas mixture is 5.1 L/min (100 mL/min + 5 L/min). The delivered anesthetic concentration is then 100 mL/min / 5.1 L/min, which is approximately 2% or 0.5%."</t>
  </si>
  <si>
    <t>{
 "Answer": "C",
 Explain: "Vasoconstriction is most effective for maintaining body temperature in this patient because it reduces heat loss through peripheral vasodilation. When isoflurane is administered, it causes vasodilation, which leads to heat loss. Vasoconstriction counteracts this effect by reducing blood flow to the periphery, thereby conserving heat."</t>
  </si>
  <si>
    <t>{
 "Answer": "C",
 Explain: "Flumazenil reverses the effects of midazolam by binding to benzodiazepine receptors, but it does not eliminate the effects of midazolam completely. Midazolam has a longer duration of action, which means that even after flumazenil is given, the patient may still be sedated and require observation."
}</t>
  </si>
  <si>
    <t>{
 "Answer": "C",
 Explain: "The total dose of drug has the greatest effect on the extent of spread of local anesthetic following subarachnoid block with hyperbaric bupivacaine. This is because the amount of bupivacaine injected determines the concentration of the drug in the cerebrospinal fluid, which in turn affects the extent of spread and duration of action."
}</t>
  </si>
  <si>
    <t>{
 "Answer": "B",
 Explain: "Administer furosemide to treat pulmonary edema, which is a complication of postoperative laryngospasm. This is the most appropriate management as it addresses the underlying cause of hypoxia, which is the pulmonary edema, rather than just treating the symptoms with bronchodilators or mechanical ventilation."
}</t>
  </si>
  <si>
    <t>{
 "Answer": "C",
 "Explain": "The patient's symptoms of nausea, diaphoresis, and sharp pain in the left shoulder 45 minutes after the start of the procedure suggest that the spinal anesthetic may have worn off or not provided adequate sensory block, leading to the sudden onset of pain. This is consistent with inadequate spinal sensory level, which is the most likely cause."
}</t>
  </si>
  <si>
    <t>{
 "Answer": "B",
 "Explain": "The patient is in the Trendelenburg position with CO2 insufflation, which can cause compression of the vena cava. This can lead to decreased venous return and decreased oxygen delivery to the body, resulting in decreased SpO2. The increase in ETCO2 also suggests that the decreased SpO2 is not due to hypoventilation, making compression of the vena cava the most likely cause."
}</t>
  </si>
  <si>
    <t>{
 "Answer": "B",
 "Explain": "Two hours after a laparoscopic cholecystectomy, the patient's hypoxemia is most likely caused by hypoventilation, as the patient was receiving IV PCA with morphine, which is a respiratory depressant. This can lead to a decrease in the patient's tidal volume and respiratory rate, resulting in hypoxemia."
}</t>
  </si>
  <si>
    <t>{
 "Answer": "A",
 "Explain": "Pressure support breaths in a patient receiving pressure support ventilation are triggered by a decrease in airway pressure, which indicates a need for assistance with inspiration, allowing the ventilator to provide a set amount of pressure to help the patient breathe."</t>
  </si>
  <si>
    <t>{
 "Answer": "B",
 Explain: "During anesthesia induction, the mean arterial pressure increases, leading to increased coronary perfusion pressure. This increased pressure helps to satisfy the increased metabolic demand of the myocardium by allowing for greater delivery of oxygen and nutrients to the heart muscle."
}</t>
  </si>
  <si>
    <t>{
 "Answer": "B",
 Explain: "The prothrombin time (PT) is a test that measures the time it takes for the blood to clot. It is a reflection of the function of the liver, which produces clotting factors. A normal PT result indicates adequate synthetic hepatic function."
}</t>
  </si>
  <si>
    <t>{
 "Answer": "B",
 Explain: "ECG synchronization prevents ventricular dysrhythmias in patients undergoing extracorporeal shock wave lithotripsy by ensuring that the shock waves are delivered during the absolute refractory period of the cardiac cycle, reducing the risk of arrhythmias."
}</t>
  </si>
  <si>
    <t>{
 "Answer": "A",
 "Explain": "In a Bain circuit, the circuit is not fully closed, allowing for a small amount of fresh gas to be constantly entering the system, which reduces rebreathing of CO2 and minimizes the buildup of CO2 in the circuit, making it a more efficient and safer system compared to a semiclosed circle system."
}</t>
  </si>
  <si>
    <t>{
 "Answer": "C",
 Explain: "When a patient is in the lateral position, their diaphragm is elevated and the chest wall is rotated, making it more difficult to breathe. This can cause a decrease in tidal volume, resulting in a capnograph waveform that is more shallow and has a delayed inspiratory slope, as seen between points A and B."
}</t>
  </si>
  <si>
    <t>{
 "Answer": "A",
 Explain: "The anesthesiologist should administer cefazolin as it is a beta-lactam antibiotic that is not related to penicillin and is a suitable alternative for the patient who had a reaction to penicillin."
}</t>
  </si>
  <si>
    <t>{
 "Answer": "A",
 Explain: "Acute cocaine intoxication decreases the MAC of isoflurane by increasing the activity of cytochrome P450 enzymes, which metabolize isoflurane, thereby reducing its potency."
}</t>
  </si>
  <si>
    <t>{
 "Answer": "A",
 Explain: "Bupivacaine primarily blocks the release of norepinephrine, a neurotransmitter that plays a crucial role in the 'fight or flight' response, leading to a decrease in blood pressure and cardiac output."
}</t>
  </si>
  <si>
    <t>{
 Answer: "C",
 Explain: "Hyperthermia causes a rightward shift in the oxyhemoglobin dissociation curve because high temperatures increase the affinity of hemoglobin for oxygen, making it more difficult for oxygen to dissociate from hemoglobin, resulting in a shift to the right."
}</t>
  </si>
  <si>
    <t>{
 "Answer": "B",
 Explain: "Myocardial contractility is decreased in hypothyroidism due to decreased levels of thyroid hormones, which play a crucial role in regulating cardiac function. This can lead to symptoms such as decreased cardiac output and reduced exercise tolerance."
}</t>
  </si>
  <si>
    <t>{
 "Answer": "B",
 Explain: "Methohexital is most likely to be associated with longer seizure duration when used for electroconvulsive therapy because it has a slower onset and longer duration of action compared to etomidate and propofol, making it more likely to prolong the seizure activity."
}</t>
  </si>
  <si>
    <t>{
 "Answer": "A",
 Explain: "Etomidate does not cause enhanced activity of the GABA receptor, whereas ketamine and propofol are known to have GABA-mimetic properties, increasing the activity of GABA receptors."
}</t>
  </si>
  <si>
    <t>{
 "Answer": "C",
 Explain: "The expiratory valve is misplaced in the circle system as it is typically located at the end of the breathing circuit, not in the middle as shown in the illustration."
}</t>
  </si>
  <si>
    <t>{
 "Answer": "C",
 "Explain": "A large volume of distribution indicates that the drug is not sequestered by tissues and is able to distribute widely throughout the body. This is often seen with drugs that have low plasma protein binding, as they are not being held back by plasma proteins and are able to diffuse freely into tissues."
}</t>
  </si>
  <si>
    <t>{
 "Answer": "A",
 Explain: "Neostigmine has the longest duration of action in patients with renal failure because it is metabolized by the gut flora, whereas succinylcholine and rocuronium are primarily eliminated by the kidneys. This means that neostigmine's effects are less affected by impaired renal function, making it the longest-acting of the three options."
}</t>
  </si>
  <si>
    <t>{
 "Answer": "C",
 Explain: "When the local anesthetic is instilled into the trachea via the cricothyroid membrane, it is most likely to block the recurrent laryngeal nerve, which is responsible for innervating the larynx and providing sensation to the vocal cords."</t>
  </si>
  <si>
    <t>{
 "Answer": "A",
 Explain: "Gagging that occurs during awake intubation is BEST prevented by local anesthetic block of the superior laryngeal nerve, which helps to numb the sensation of the tube entering the larynx and reduces the gag reflex."
}</t>
  </si>
  <si>
    <t>{
 "Answer": "A",
 Explain: "When anesthesia is induced, thermoregulatory vasoconstriction, which is the constriction of blood vessels in response to cold, is ablated. This allows heat to be lost from the core to the periphery, resulting in a decrease in core temperature."
}</t>
  </si>
  <si>
    <t>{
 "Answer": "A",
 "Explain": "The patient's SpO2 decreases from 98% to 84% when FiO2 is 0.5, and then improves to 92% when FiO2 is increased to 1.0. This suggests that the patient is not receiving adequate oxygenation, likely due to a decreased functional residual capacity (FRC)."
}</t>
  </si>
  <si>
    <t>{
 "Answer": "C",
 Explain: "The patient has already lost sensation in the median, radial, and ulnar nerve distributions, which are all innervated by the brachial plexus. The musculocutaneous nerve is the last branch of the brachial plexus to be blocked, and is responsible for innervation of the biceps and brachialis muscles, as well as sensation in the lateral forearm. Therefore, blocking the musculocutaneous nerve is the next logical step to ensure adequate anesthesia for the patient."</t>
  </si>
  <si>
    <t>{
 "Answer": "A",
 Explain: "After a single dose of propofol, the primary mechanism responsible for emergence is redistribution, which is the rapid redistribution of the drug from the brain and other tissues to the peripheral tissues, leading to a decrease in its concentration in the brain and a subsequent recovery from anesthesia."</t>
  </si>
  <si>
    <t>{
 "Answer": "B",
 "Explain": "After 30 minutes of stable anesthesia, the O2 reading decreased from 50% to 30%. This suggests that the accumulation of water on the O2 sensor membrane is the most likely cause, as it would reduce the accuracy of the O2 analyzer reading, leading to a decrease in the measured O2 percentage."
}</t>
  </si>
  <si>
    <t>{
 "Answer": "A",
 Explain: "An induction dose of ketamine is most likely to have analgesic effects, as it is a dissociative anesthetic that can produce a state of dissociation from pain and reduce pain perception."
}</t>
  </si>
  <si>
    <t>{
 "Answer": "C",
 "Explain": "Fentanyl has a shorter elimination half-life compared to morphine, which means it is metabolized and eliminated from the body more quickly. This shorter half-life results in a shorter duration of action, making option C the most likely explanation for the decreased duration of action of an IV dose of fentanyl compared to morphine."</t>
  </si>
  <si>
    <t>{
 "Answer": "A",
 "Explain": "The standard error of the mean shows the precision of the population mean by indicating how much the sample mean is likely to deviate from the true population mean."
}</t>
  </si>
  <si>
    <t>{
 "Answer": "B",
 Explain: "Pulse oximetry accurately reflects SaO2 in situations of carboxyhemoglobinemia, as carboxyhemoglobin does not absorb light in the same way as hemoglobin, so it does not interfere with the pulse oximeter's ability to measure oxygen saturation accurately."</t>
  </si>
  <si>
    <t>{
 "Answer": "B",
 Explain: "When a patient fasts, blood glucose levels tend to decrease. However, the patient in this scenario is receiving a 4-hour general anesthetic, which will cause a temporary increase in blood glucose levels due to the stress response. On emergence, the blood glucose level is likely to be slightly elevated, making option B, mild hyperglycemia, the most likely answer."
}</t>
  </si>
  <si>
    <t>{
 "Answer": "C",
 Explain: "Ranitidine is a histamine H2 receptor antagonist that decreases gastric acid secretion, thereby increasing gastric pH. It also has a secondary effect of reducing gastric volume by decreasing gastric motility and reducing the production of pepsin."
}</t>
  </si>
  <si>
    <t>{
 "Answer": "C",
 "Explain": "Nitrous oxide has a lower blood gas solubility compared to desflurane, which means it can diffuse out of the bloodstream and into the alveoli more easily. This allows for a more rapid equilibration of alveolar and inspired concentrations."
}</t>
  </si>
  <si>
    <t>{
 "Answer": "A",
 Explain: "Denitrogenation prior to anesthetic induction is primarily aimed at improving matching of ventilation and perfusion, as excessive nitrogen in the lungs can cause respiratory depression and hypoxia, which can be life-threatening during anesthesia."
}</t>
  </si>
  <si>
    <t>{
 "Answer": "B",
 Explain: "Since the left recurrent laryngeal nerve was injured, the left vocal cord will not be able to abduct and open properly, resulting in aphonia, or the inability to speak."
}</t>
  </si>
  <si>
    <t>{
 "Answer": "A",
 Explain: "After breathing 100% O2 for 10 minutes, the mixed venous O2 tension in a normal adult will decrease due to the increased O2 saturation of the blood. As a result, the mixed venous O2 tension will be lower than the arterial O2 tension, which is approximately 100 mmHg. Therefore, the expected mixed venous O2 tension is around 45 mmHg."
}</t>
  </si>
  <si>
    <t>{
 "Answer": "A",
 Explain: "Flumazenil has a shorter elimination half-life compared to Lorazepam and Midazolam due to its high hepatic metabolism and rapid excretion, with a half-life of approximately 1-2 hours."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</si>
  <si>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</si>
  <si>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abdominal pain, after receiving morphine premedication. Naloxone is the antidote for opioid overdose and reversal of opioid-induced adverse effects, making it the most appropriate therapy for this patient's pain."
}</t>
  </si>
  <si>
    <t>{
 "Answer": "C",
 Explain: "Midazolam has a longer duration of action than flumazenil, which means that even after flumazenil is administered to antagonize the sedative effects, the patient may still be sedated for some time. Therefore, the patient should remain hospitalized for observation to ensure their safety and well-being."
}</t>
  </si>
  <si>
    <t>{
 "Answer": "B",
 "Explain": "After a laparoscopic cholecystectomy, the patient is likely to experience hypoventilation due to the effects of anesthesia and pain medication, such as morphine, which can cause respiratory depression. This can lead to a decrease in tidal volume and an increase in respiratory rate, resulting in hypoxemia."
}</t>
  </si>
  <si>
    <t>{
 "Answer": "C",
 Explain: "When a patient is in the lateral position, the diaphragm is more likely to be compressed, leading to a decrease in tidal volume and a more shallow inspiration, resulting in a capnograph waveform with a decreased amplitude between points A and B."
}</t>
  </si>
  <si>
    <t>{
 "Answer": "A",
 Explain: "After a single dose of propofol, the primary mechanism of emergence is redistribution, where the drug is rapidly redistributed from the brain and other tissues to the peripheral tissues, leading to a decrease in its concentration in the brain and a subsequent recovery from anesthesia."
}</t>
  </si>
  <si>
    <t>{
 "Answer": "C",
 Explain: "Ranitidine is an H2 blocker that decreases gastric acid secretion, thereby increasing gastric pH, while also reducing gastric volume by decreasing the amount of acid produced."
}</t>
  </si>
  <si>
    <t>{
 "Answer": "A",
 Explain: "When breathing 100% O2 for 10 minutes, the body's oxygen demand is met, and the body's oxygen stores are replenished. As a result, the mixed venous O2 tension increases, but not to the same level as arterial O2 tension. In a normal adult, the mixed venous O2 tension typically ranges from 40-50 mmHg, which is closest to 45 mmHg, making option A the correct answer."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</si>
  <si>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</si>
  <si>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"Administer furosemide to treat pulmonary edema, which is a complication of postoperative laryngospasm. This is the most appropriate management as it addresses the underlying cause of the low SpO2 reading. Furosemide helps to reduce fluid buildup in the lungs, improving oxygenation and reversing the edema."</t>
  </si>
  <si>
    <t>{
 "Answer": "B",
 Explain: "The patient is in the Trendelenburg position with CO2 insufflation, which can cause compression of the vena cava, leading to decreased venous return and decreased oxygen saturation. The increase in ETCO2 also suggests that the patient is not getting enough oxygen, making compression of the vena cava a more likely cause of the decrease in SpO2."
}</t>
  </si>
  <si>
    <t>{
 "Answer": "B",
 Explain: "Prothrombin time (B) is the most likely to confirm adequate synthetic hepatic function because it measures the time it takes for a clot to form in response to vitamin K-dependent clotting factors produced by the liver, which is a key function of the liver."
}</t>
  </si>
  <si>
    <t>{
 "Answer": "A",
 Explain: "In a Bain circuit, the circuit is designed to remove exhaled gases, which reduces the amount of rebreathed CO2 compared to a semiclosed circle system. This is because the Bain circuit has a built-in CO2 absorber that removes CO2 from the exhaled gases, reducing the amount of CO2 that is rebreathed."
}</t>
  </si>
  <si>
    <t>{
 "Answer": "C",
 Explain: "When a patient is in the lateral position, the diaphragm is more likely to be compressed, leading to a decrease in tidal volume and a more rapid respiratory rate, resulting in a waveform with a more rapid slope between points A and B."
}</t>
  </si>
  <si>
    <t>{
 "Answer": "A",
 Explain: "Acute cocaine intoxication increases the minimum alveolar concentration (MAC) of isoflurane, making it more difficult to achieve adequate anesthesia. This is because cocaine is a potent stimulant that can increase sympathetic tone and heart rate, leading to increased oxygen consumption and carbon dioxide production, which can increase the MAC of volatile anesthetics like isoflurane."
}</t>
  </si>
  <si>
    <t>{
 "Answer": "B",
 Explain: "In a circle system, the CO2 absorber is typically placed between the inspiratory and expiratory limbs, not at the fresh gas inlet. This is because the absorber is designed to remove CO2 from the rebreathed gas, not to introduce fresh gas into the system."
}</t>
  </si>
  <si>
    <t>{
 "Answer": "C",
 "Explain": "A large volume of distribution indicates that the drug is widely distributed throughout the body, which is often associated with low plasma protein binding. This is because high-affinity binding to plasma proteins would limit the drug's distribution. Therefore, a drug with a large volume of distribution is likely to have low plasma protein binding."
}</t>
  </si>
  <si>
    <t>{
 "Answer": "B",
 Explain: "The left recurrent laryngeal nerve is responsible for abduction of the vocal cord. Injury to this nerve would cause paralysis of the left vocal cord, leading to aphonia, or loss of voice."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</si>
  <si>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</si>
  <si>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pain and nausea, after receiving morphine premedication. Naloxone is the most appropriate therapy as it is an opioid antagonist that can reverse the effects of morphine and alleviate the patient's symptoms."
}</t>
  </si>
  <si>
    <t>{
 "Answer": "B",
 "Explain": "Normal saline is the most appropriate initial management for a patient with hypercalcemia due to primary hyperparathyroidism. This is because hypercalcemia can cause dehydration, and normal saline helps to replenish fluids and reduce calcium levels. Magnesium sulfate and methylprednisolone are not typically used as initial treatments for hypercalcemia."</t>
  </si>
  <si>
    <t>{
 "Answer": "B",
 Explain: "Genetic testing of the ryanodine receptor is the most reliable test to predict the likelihood of developing malignant hyperthermia. This is because it directly identifies the genetic mutations associated with the condition, which is more accurate than other tests that rely on functional or biochemical assays."
}</t>
  </si>
  <si>
    <t>{
 "Answer": "B",
 Explain: "First, convert the anesthetic vapor pressure from mmHg to partial pressure by dividing by 760 (760 mmHg is the atmospheric pressure). 150 mmHg ÷ 760 = 0.197. Then, calculate the partial pressure of anesthetic in the fresh gas flow by multiplying the partial pressure by the ratio of the vaporizer flow to the fresh gas flow. 0.197 × (100 mL/min / 5000 mL/min) = 0.00394. Finally, convert the partial pressure to a percentage by multiplying by 100 and dividing by the atmospheric pressure. 0.00394 × 100 ÷ 760 = 0.00516, which is approximately 0.5%."</t>
  </si>
  <si>
    <t>{
 "Answer": "C",
 Explain: "Vasoconstriction is the most effective mechanism for maintaining body temperature in this patient because it reduces heat loss by convection and radiation, allowing the body to conserve heat and maintain its normal temperature."
}</t>
  </si>
  <si>
    <t>{
 "Answer": "C",
 Explain: "Midazolam has a longer duration of action than flumazenil, which means that the patient may still be under the influence of the sedative even after 1 hour, making it necessary for them to remain hospitalized for observation."
}</t>
  </si>
  <si>
    <t>{
 "Answer": "C",
 Explain: "The total dose of drug exerts the greatest effect on the extent of spread of local anesthetic following subarachnoid block with hyperbaric bupivacaine because a higher dose of the anesthetic can spread further down the spinal cord, resulting in a more extensive block."
}</t>
  </si>
  <si>
    <t>{
 "Answer": "B",
 Explain: "Administer furosemide to treat pulmonary edema, which is a complication of postoperative laryngospasm. The patient is already receiving 100% O2 and has a SpO2 of 80%, indicating respiratory compromise. Furosemide is a diuretic that can help reduce fluid overload and improve lung function."
}</t>
  </si>
  <si>
    <t>{
 "Answer": "C",
 Explain: "The patient's symptoms of nausea, diaphoresis, and sharp pain in the left shoulder 45 minutes after the start of the procedure suggest that the spinal anesthetic has worn off, causing inadequate sensory block. This is the most likely cause, as the other options, angina pectoris and bladder perforation, would not typically present with these symptoms."</t>
  </si>
  <si>
    <t>{
 "Answer": "B",
 Explain: "The patient is in the Trendelenburg position with CO2 insufflation, which can cause compression of the vena cava. This can lead to decreased venous return and subsequent decrease in SpO2. The increase in ETCO2 is not a concern in this scenario, as it is within a normal range."
}</t>
  </si>
  <si>
    <t>{
 "Answer": "B",
 "Explain": "After a laparoscopic cholecystectomy, the patient may experience hypoventilation due to the effects of anesthesia and pain management. The patient is receiving IV PCA with morphine, which can cause respiratory depression. Additionally, the patient's obesity may also contribute to hypoventilation, making it the most likely cause of her hypoxemia."
}</t>
  </si>
  <si>
    <t>{
 "Answer": "A",
 Explain: "Pressure support breaths in a patient receiving pressure support ventilation are triggered by a decrease in airway pressure, which signals the ventilator to deliver a breath to help the patient breathe more comfortably."
}</t>
  </si>
  <si>
    <t>{
 "Answer": "B",
 Explain: "During anesthesia induction, the patient's blood pressure increases to compensate for the increased metabolic demand of the myocardium. This increased blood pressure leads to increased coronary perfusion pressure, which is most likely to satisfy the increased demand for oxygen and nutrients by the myocardium."
}</t>
  </si>
  <si>
    <t>{
 "Answer": "B",
 Explain: "A prolonged prothrombin time (PT) is often the first indication of impaired liver function, as the liver is responsible for producing clotting factors. A normal PT value suggests that the liver is producing adequate amounts of these factors, indicating adequate synthetic hepatic function."
}</t>
  </si>
  <si>
    <t>{
 "Answer": "B",
 Explain: "ECG synchronization is the best strategy to prevent ventricular dysrhythmias in a patient undergoing extracorporeal shock wave lithotripsy. This is because it ensures that the shock waves are delivered during the diastolic phase of the cardiac cycle, reducing the risk of arrhythmias."
}</t>
  </si>
  <si>
    <t>{
 "Answer": "A",
 Explain: "In a Bain circuit, the circuit is designed to prevent rebreathing of exhaled gases, allowing for a more efficient and controlled delivery of oxygen and anesthetic gases. This is achieved through the use of a non-rebreathing valve and a gas scavenging system, which removes exhaled gases from the circuit and replaces them with fresh gases. As a result, the Bain circuit exhibits less rebreathing of CO2 compared to a semiclosed circle system."</t>
  </si>
  <si>
    <t>{
 "Answer": "C",
 Explain: "When a patient is in the lateral position, the diaphragm is displaced upwards and outwards, which can cause a decrease in lung volume and a more shallow inspiratory effort, resulting in a characteristic'sawtooth' or'square root' waveform between points A and B."
}</t>
  </si>
  <si>
    <t>{
 "Answer": "A",
 Explain: "The anesthesiologist should administer cefazolin as it is a first-line antibiotic choice for surgical prophylaxis and is not contraindicated by the patient's history of penicillin allergy, which is a type B reaction."
}</t>
  </si>
  <si>
    <t>{
 "Answer": "A",
 Explain: "Acute cocaine intoxication increases the minimum alveolar concentration (MAC) of isoflurane, making it less potent, whereas the other options do not have a significant effect on the MAC of isoflurane."
}</t>
  </si>
  <si>
    <t>{
 "Answer": "A",
 Explain: "Bupivacaine primarily blocks the release of norepinephrine, a neurotransmitter that plays a crucial role in the sympathetic nervous system's response to stress. This blockade can lead to a decrease in heart rate and blood pressure, which is the primary toxic effect of bupivacaine on the cardiovascular system."
}</t>
  </si>
  <si>
    <t>{
 "Answer": "C",
 Explain: "Hyperthermia increases body temperature, which causes a rightward shift in the oxyhemoglobin dissociation curve because the increased temperature decreases the affinity of hemoglobin for oxygen, making it easier for oxygen to be released to tissues."
}</t>
  </si>
  <si>
    <t>{
 "Answer": "B",
 Explain: "In clinical hypothyroidism, decreased thyroid hormone levels lead to decreased production of thyroxine, which plays a role in regulating cardiac contractility. As a result, myocardial contractility is decreased, leading to decreased cardiac output and peripheral resistance."
}</t>
  </si>
  <si>
    <t>{
 "Answer": "B",
 Explain: "Methohexital is most likely to be associated with longer seizure duration when used for electroconvulsive therapy because it has a longer half-life and a higher seizure threshold than etomidate and propofol, making it more likely to prolong the duration of seizures."
}</t>
  </si>
  <si>
    <t>{
 "Answer": "A",
 Explain: "Etomidate does not directly interact with GABA receptors, whereas ketamine and propofol are known to enhance the activity of GABA receptors."
}</t>
  </si>
  <si>
    <t>{
 "Answer": "B",
 Explain: "In a circle system, the CO2 absorber is typically placed between the inspiratory and expiratory limbs, not at the fresh gas inlet. This is because the absorber's primary function is to remove CO2 from the rebreathed gas, which occurs during the expiratory phase, not during the inspiratory phase."
}</t>
  </si>
  <si>
    <t>{
 "Answer": "A",
 Explain: "Neostigmine has a longer duration of action in patients with renal failure because it is metabolized in the liver, not excreted by the kidneys. This means that even with impaired kidney function, neostigmine's effects can persist for several hours."
}</t>
  </si>
  <si>
    <t>{
 "Answer": "C",
 Explain: "When instilling local anesthetic into the trachea via the cricothyroid membrane, it is most likely to block the recurrent laryngeal nerve, which supplies sensation to the larynx and trachea. The recurrent laryngeal nerve runs parallel to the trachea and is easily accessible through the cricothyroid membrane. This allows for effective topical anesthesia of the larynx and trachea."</t>
  </si>
  <si>
    <t>{
 "Answer": "A",
 Explain: "During general anesthesia, the body's natural thermoregulatory mechanisms, such as vasoconstriction, are ablated, leading to a reduction in core temperature."
}</t>
  </si>
  <si>
    <t>{
 "Answer": "B",
 Explain: "Since the patient's SpO2 improves to 92% when FiO2 is increased to 1.0, it suggests that the hypoxemia was not due to a problem with oxygen delivery. Increasing the FiO2 to 1.0 would not have improved the SpO2 if the etiology was decreased FRC or room air admixture. Therefore, the most likely cause of hypoxemia is increased dead space ventilation, which is supported by the fact that the patient's tidal volume is 350 mL, which is relatively low, indicating that a significant portion of the inspired gas is being wasted as dead space."</t>
  </si>
  <si>
    <t>{
 "Answer": "B",
 Explain: "The patient has complete anesthesia in the median, radial, and ulnar nerve distributions, which suggests that the brachial plexus has been blocked. The intercostobrachial nerve is a cutaneous branch of the T2 nerve root that supplies sensation to the upper medial aspect of the arm. Since the procedure is being performed on the hand, an intercostobrachial block would provide additional anesthesia to the affected area."
}</t>
  </si>
  <si>
    <t>{
 "Answer": "A",
 Explain: "After a single dose of propofol, the primary mechanism of emergence is redistribution from the brain and other tissues to the muscles and adipose tissue, leading to a decrease in the amount of propofol available to exert its anesthetic effects."
}</t>
  </si>
  <si>
    <t>{
 "Answer": "B",
 Explain: "After 30 minutes of stable anesthesia, the O2 analyzer reading decreased from 50% to 30%. This could be due to accumulation of water on the O2 sensor membrane, which can cause a decrease in the accuracy of the reading. Over time, water vapor in the anesthesia circuit can condense on the sensor, leading to a false reading."
}</t>
  </si>
  <si>
    <t>{
 "Answer": "A",
 Explain: "An induction dose of ketamine is most likely to have analgesic effects, as it is a dissociative anesthetic that can quickly produce sedation and pain relief."
}</t>
  </si>
  <si>
    <t>{
 "Answer": "C",
 "Explain": "Fentanyl has a shorter elimination half-life compared to morphine, which means it is broken down and eliminated from the body faster. This shorter elimination half-life contributes to a shorter duration of action when given intravenously."
}</t>
  </si>
  <si>
    <t>{
 "Answer": "A",
 Explain: "The standard error of the mean shows the precision of the sample mean as an estimate of the population mean. It represents the amount of random variation in the sample mean, and is a measure of the uncertainty associated with the sample mean."
}</t>
  </si>
  <si>
    <t>{
 "Answer": "A",
 Explain: "Pulse oximetry accurately reflects SaO2 when indocyanine green is not administered, as indocyanine green absorbs light and can interfere with pulse oximetry readings."
}</t>
  </si>
  <si>
    <t>{
 "Answer": "B",
 Explain: "When a patient fasts for 12-14 hours, their blood glucose levels usually drop to around 60-80 mg/dL. However, in this case, the patient is receiving a 4-hour general anesthetic, which means they are not eating or drinking anything during that time. Therefore, their blood glucose level is likely to remain relatively stable, resulting in mild hyperglycemia."
}</t>
  </si>
  <si>
    <t>{
 "Answer": "C",
 "Explain": "Nitrous oxide has a lower blood gas solubility compared to desflurane, which means it can diffuse more easily from the bloodstream into the lungs and vice versa. This results in a faster equilibration of alveolar and inspired concentrations of nitrous oxide."
}</t>
  </si>
  <si>
    <t>{
 "Answer": "A",
 Explain: "Denitrogenation prior to anesthetic induction is primarily to improve matching of ventilation and perfusion by reducing the amount of N2 in the lungs, allowing for more efficient oxygen delivery to the body."
}</t>
  </si>
  <si>
    <t>{
 "Answer": "B",
 Explain: "The left recurrent laryngeal nerve injury would cause weakness or paralysis of the left vocal cord, leading to aphonia, or the inability to speak."
}</t>
  </si>
  <si>
    <t>{
 "Answer": "A",
 Explain: "After breathing 100% O2 for 10 minutes, the mixed venous O2 tension in a normal adult would be expected to be around 45 mmHg. This is because the increased O2 levels in the lungs cause the body to absorb more O2, reducing the amount of O2 in the blood and increasing the amount of CO2. As a result, the mixed venous O2 tension decreases, typically reaching levels around 45 mmHg."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</si>
  <si>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</si>
  <si>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tibial nerve runs down the medial aspect of the lower leg, making it the most likely nerve to be blocked for an operation in this area."
}</t>
  </si>
  <si>
    <t>{
 "Answer": "C",
 Explain: "Naloxone is the most appropriate therapy for this patient's pain because morphine, a synthetic opioid, was previously administered, and the sudden onset of right upper quadrant abdominal pain and nausea suggests an allergic reaction or excessive sedation. Naloxone is an opioid antagonist that can reverse the effects of morphine and alleviate symptoms."</t>
  </si>
  <si>
    <t>{
 "Answer": "B",
 "Explain": "Administering normal saline is the most appropriate initial management for a patient with hypercalcemia. This helps to dilute the excess calcium in the blood, reducing its concentration and alleviating symptoms. This step is crucial before surgical treatment, as it can help prevent cardiac arrhythmias and other complications."</t>
  </si>
  <si>
    <t>{
 "Answer": "B",
 Explain: "Genetic testing of the ryanodine receptor is the most reliable test to predict the likelihood of developing malignant hyperthermia as it directly detects mutations in the RYR1 gene, which is the primary genetic cause of the condition."
}</t>
  </si>
  <si>
    <t>{
 "Answer": "B",
 Explain: "First, we need to calculate the total gas flow in liters per minute. The fresh gas flow is 5 L/min and the anesthetic gas flow is 100 mL/min. To convert the anesthetic gas flow to liters per minute, we multiply by 0.001 (since there are 1000 mL in 1 L). This gives us 0.1 L/min. Now, we can calculate the delivered anesthetic concentration by dividing the anesthetic gas flow by the total gas flow. 0.1 L/min ÷ 5.1 L/min is 0.196%. Since this is close to 0.5%, the correct answer is B."</t>
  </si>
  <si>
    <t>{
 "Answer": "C",
 Explain: "Vasoconstriction is the most effective mechanism for maintaining body temperature in an anesthetized patient with mild hypothermia because it helps to reduce heat loss by constricting blood vessels and reducing blood flow to the periphery, thereby conserving heat in the core."
}</t>
  </si>
  <si>
    <t>{
 "Answer": "C",
 Explain: "Midazolam, a benzodiazepine, can take longer to metabolize and eliminate from the body, whereas flumazenil, a benzodiazepine receptor antagonist, is quickly eliminated. Therefore, even if the patient appears to be fully recovered, midazolam's effects may still be present, making it necessary to keep the patient hospitalized for observation."
}</t>
  </si>
  <si>
    <t>{
 "Answer": "B",
 Explain: "When a patient is in a head-down position, the cerebrospinal fluid (CSF) and the anesthetic mixture spread more easily to the higher segments of the spinal cord, increasing the extent of spread. When a patient is in a head-up position, the CSF and anesthetic mixture spread more easily to the lower segments. This is because the density of the anesthetic mixture is higher than that of CSF, causing it to spread more easily in the direction of gravity."
}</t>
  </si>
  <si>
    <t>{
 "Answer": "C",
 "Explain": "Administer positive-pressure ventilation to help increase oxygenation and alleviate respiratory distress, as the patient is not responding to oxygen therapy alone, and pulmonary edema requires mechanical ventilation to improve oxygenation."
}</t>
  </si>
  <si>
    <t>{
 "Answer": "C",
 Explain: "The patient's symptoms of nausea, diaphoresis, and sharp pain in the left shoulder 45 minutes after the start of the procedure suggest that the spinal anesthetic level has extended too far cephalad, causing sympathetic stimulation, leading to these symptoms. This is more likely than angina pectoris (A) or bladder perforation (B) as the cause of these symptoms."</t>
  </si>
  <si>
    <t>{
 "Answer": "B",
 Explain: "Step 1: The patient is in the Trendelenburg position with CO2 insufflation, which can cause compression of the vena cava. Step 2: This compression can lead to decreased venous return and increased venous admixture, resulting in a decrease in SpO2. Step 3: The increase in ETCO2 is consistent with the increased dead space ventilation that occurs with venous admixture, making compression of the vena cava the most likely cause of the decrease in SpO2."
}</t>
  </si>
  <si>
    <t>{
 "Answer": "B",
 "Explain": "After a laparoscopic cholecystectomy, the patient is likely to experience hypoventilation due to the effects of anesthesia and pain medication, which can lead to decreased respiratory rate and tidal volume, resulting in hypoxemia."
}</t>
  </si>
  <si>
    <t>{
 "Answer": "A",
 Explain: "In pressure support ventilation, pressure support breaths are triggered by a decrease in airway pressure, which is a preset factor. This means that when the patient's airway pressure falls below a certain threshold, the ventilator automatically delivers a breath with a set level of pressure to help the patient breathe more easily."
}</t>
  </si>
  <si>
    <t>{
 "Answer": "B",
 "Explain": "During anesthesia induction, blood pressure often decreases, which would normally lead to decreased coronary perfusion pressure. However, in this scenario, the increased heart rate and blood pressure due to the increased metabolic demand of the myocardium would result in an increased coronary perfusion pressure, which would satisfy the increased demand."</t>
  </si>
  <si>
    <t>{
 "Answer": "B",
 Explain: "The prothrombin time (PT) is a laboratory test that measures the time it takes for a clot to form in the blood after the addition of thromboplastin. Thromboplastin is a protein that helps blood to clot. A normal PT result indicates that the liver is producing adequate amounts of clotting factors, which is an indicator of synthetic hepatic function."
}</t>
  </si>
  <si>
    <t>{
 "Answer": "B",
 Explain: "ECG synchronization prevents ventricular dysrhythmias in patients undergoing extracorporeal shock wave lithotripsy by ensuring that the lithotripter discharges its shockwaves during the relative quiet period of the cardiac cycle, minimizing the risk of arrhythmias."
}</t>
  </si>
  <si>
    <t>{
 "Answer": "A",
 Explain: "A Bain circuit exhibits less rebreathing of CO2 compared to a semiclosed circle system because it uses a non-rebreathing valve that separates the patient's breathing gases from the scavenging system, allowing for more efficient removal of CO2 and less accumulation of CO2 in the circuit."
}</t>
  </si>
  <si>
    <t>{
 "Answer": "C",
 "Explain": "The patient is in the lateral position, which can cause the dependent lung to collapse, leading to a decrease in tidal volume and a shift of the waveform to the left between points A and B."
}</t>
  </si>
  <si>
    <t>{
 "Answer": "B",
 Explain: "The anesthesiologist should administer hydrocortisone, followed by cefazolin, as the patient developed a rash with past administration of penicillin, indicating a possible allergic reaction, and hydrocortisone can help alleviate this reaction."
}</t>
  </si>
  <si>
    <t>{
 "Answer": "A",
 Explain: "Acute cocaine intoxication increases the minimum alveolar concentration (MAC) of isoflurane, making it more difficult to achieve the desired level of anesthesia."
}</t>
  </si>
  <si>
    <t>{
 "Answer": "A",
 Explain: "Bupivacaine primarily blocks the release of norepinephrine from sympathetic nerve terminals, leading to a decrease in systemic vascular resistance and blood pressure."
}</t>
  </si>
  <si>
    <t>{
 "Answer": "C",
 Explain: "Hyperthermia increases body temperature, which shifts the oxyhemoglobin dissociation curve to the right, meaning that more oxygen is released from hemoglobin at any given partial pressure of oxygen."
}</t>
  </si>
  <si>
    <t>{
 "Answer": "B",
 Explain: "In clinical hypothyroidism, decreased levels of thyroid hormones lead to decreased levels of thyroxine (T4) and triiodothyronine (T3), which can cause decreased myocardial contractility, leading to decreased cardiac output and peripheral resistance."
}</t>
  </si>
  <si>
    <t>{
 "Answer": "B",
 Explain: "Methohexital is most likely to be associated with longer seizure duration when used for electroconvulsive therapy due to its slower onset and longer duration of action compared to etomidate and propofol."
}</t>
  </si>
  <si>
    <t>{
 "Answer": "A",
 Explain: "Etomidate is a dissociative anesthetic that does not directly interact with GABA receptors, whereas ketamine and propofol are known to have GABAergic properties, making them more likely to cause enhanced activity of the GABA receptor."
}</t>
  </si>
  <si>
    <t>{
 "Answer": "B",
 Explain: "In a circle system, the CO2 absorber is typically located near the expiratory valve, not before the fresh gas inlet, which is where it is misplaced in this illustration."
}</t>
  </si>
  <si>
    <t>{
 "Answer": "C",
 Explain: "A large volume of distribution suggests that the drug is distributed widely throughout the body, not just in the blood plasma. This is consistent with low plasma protein binding, as the drug is not strongly bound to proteins in the blood and is therefore free to distribute more widely."
}</t>
  </si>
  <si>
    <t>{
 "Answer": "C",
 Explain: "Succinylcholine has the longest duration of action in a patient with renal failure because it is not metabolized by the liver and is primarily excreted by the kidneys, so even with renal failure, its effects can last longer."
}</t>
  </si>
  <si>
    <t>{
 "Answer": "C",
 Explain: "When an anesthetic is instilled into the trachea via the cricothyroid membrane, it will most likely block the recurrent laryngeal nerve, which supplies sensation to the larynx and vocal cords. The recurrent laryngeal nerve lies close to the cricothyroid membrane and is more likely to be affected by the anesthetic than the other options."</t>
  </si>
  <si>
    <t>{
 "Answer": "A",
 Explain: "Gagging during awake intubation is caused by stimulation of the superior laryngeal nerve, which is responsible for the sensation of gagging. Local anesthetic block of the superior laryngeal nerve prevents this stimulation and thereby prevents gagging."
}</t>
  </si>
  <si>
    <t>{
 "Answer": "A",
 Explain: "During general anesthesia, the hypothalamic thermoregulatory centers are depressed, leading to the loss of thermoregulatory vasoconstriction, which normally helps to maintain core temperature. As a result, heat is lost from the core to the periphery, causing a rapid initial reduction in core temperature."
}</t>
  </si>
  <si>
    <t>{
 "Answer": "B",
 Explain: "The patient's hypoxemia improves when the FiO2 is increased to 1.0, indicating that the etiology is related to the inspired oxygen concentration. With a fresh gas flow of 5 L/min and an FiO2 of 0.5, the patient is receiving a mixture of 50% oxygen and 50% room air. Over the hour, the patient's SpO2 decreased, suggesting that the room air admixture during inspiration is the most likely cause of hypoxemia, as the FiO2 is not sufficient to overcome the effects of the room air dilution."</t>
  </si>
  <si>
    <t>{
 "Answer": "C",
 Explain: "The patient has anesthesia in the median, radial, and ulnar nerve distributions, which are all innervated by the brachial plexus. The musculocutaneous nerve is the only remaining nerve of the brachial plexus that has not been blocked, and it innervates the forearm and provides sensation to the lateral forearm and elbow. Therefore, the most appropriate next step is to perform a musculocutaneous nerve block to provide adequate anesthesia for the remainder of the procedure."</t>
  </si>
  <si>
    <t>{
 "Answer": "A",
 Explain: "After a single dose of propofol, the primary mechanism of emergence is redistribution from fat tissue back into the bloodstream, leading to a decrease in plasma concentrations and recovery from anesthesia."</t>
  </si>
  <si>
    <t>{
 "Answer": "B",
 Explain: "After 30 minutes of stable anesthesia, it is unlikely that a leak in the ventilator bellows (A) or a problem with the O2 analyzer in the expiratory limb (C) would cause a sudden and consistent decrease in the O2 analyzer reading. Instead, accumulation of water on the O2 sensor membrane (B) could cause a decrease in the O2 reading over time, which is consistent with the scenario described."</t>
  </si>
  <si>
    <t>{
 "Answer": "A",
 Explain: "An induction dose of ketamine is most likely to have analgesic effects because it rapidly increases the release of dopamine and norepinephrine, leading to analgesia and sedation."
}</t>
  </si>
  <si>
    <t>{
 "Answer": "C",
 "Explain": "Fentanyl has a shorter elimination half-life compared to morphine, which means it is metabolized and eliminated from the body more quickly. This shorter half-life contributes to the decreased duration of action of IV fentanyl compared to IV morphine."
}</t>
  </si>
  <si>
    <t>{
 "Answer": "A",
 "Explain": "The standard error of the mean shows the precision of the population mean, which is the expected difference between the sample mean and the true population mean. In other words, it measures the amount of variation in the sample mean due to random sampling. It's a way to quantify the uncertainty of the sample mean as an estimate of the population mean."</t>
  </si>
  <si>
    <t>{
 "Answer": "A",
 Explain: "Pulse oximetry accurately reflects SaO2 in situations where the hemoglobin is fully saturated with oxygen, such as during administration of indocyanine green, which is a non-fluorescent dye that binds to plasma proteins and does not affect pulse oximetry readings."
}</t>
  </si>
  <si>
    <t>{
 "Answer": "B",
 Explain: "During anesthesia, glucose is metabolized by the liver and muscles, which can lead to a decrease in blood glucose levels. However, the patient is fasting, which means they have a lower glycogen store to draw from. As a result, the blood glucose level on emergence is likely to be mildly elevated due to the body's stress response and the anesthesia itself, making option B, Mild hyperglycemia, the most likely answer."
}</t>
  </si>
  <si>
    <t>{
 "Answer": "C",
 Explain: "Ranitidine is an H2 blocker that decreases gastric acid secretion, thereby increasing gastric pH. At the same time, it also reduces the release of gastrin, a hormone that stimulates the stomach to produce more acid, leading to a decrease in gastric volume."
}</t>
  </si>
  <si>
    <t>{
 "Answer": "C",
 Explain: "Nitrous oxide has a lower blood gas solubility compared to desflurane, which means it can diffuse more easily from the alveoli into the bloodstream and then to the brain, leading to a more rapid equilibration of alveolar and inspired concentrations."
}</t>
  </si>
  <si>
    <t>{
 "Answer": "A",
 Explain: "Denitrogenation prior to anesthetic induction is primarily aimed at improving matching of ventilation and perfusion by reducing the amount of nitrogen in the blood, allowing for more efficient oxygen delivery to the tissues and organs."
}</t>
  </si>
  <si>
    <t>{
 "Answer": "B",
 Explain: "After an injury to the left recurrent laryngeal nerve, the patient is likely to experience aphonia because the nerve plays a crucial role in the motor supply of the vocal cord. Damage to the left recurrent laryngeal nerve would lead to paralysis of the left vocal cord, resulting in reduced or absent vocal cord movement, making it difficult or impossible for the patient to produce voice."
}</t>
  </si>
  <si>
    <t>{
 "Answer": "B",
 Explain: "When a patient breathes 100% O2 for 10 minutes, the body tries to eliminate the excess O2. This is done by increasing the production of CO2, which in turn increases the mixed venous O2 tension. In a normal adult, the mixed venous O2 tension would likely increase to around 95 mmHg."
}</t>
  </si>
  <si>
    <t>{
 "Answer": "A",
 "Explain": "Flumazenil has a shorter elimination half-life of approximately 1-2 hours, making it the fastest-acting benzodiazepine antagonist, whereas lorazepam and midazolam have elimination half-lives of around 12-24 hours and 2-6 hours, respectively."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</si>
  <si>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</si>
  <si>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"Block the common peroneal nerve as it is located on the medial aspect of the lower leg and blocking it would avoid disrupting other nerves such as the femoral nerve."
}</t>
  </si>
  <si>
    <t>{
 "Answer": "C",
 "Explain": "This patient is experiencing adverse effects of midazolam, which includes nausea and abdominal pain. Naloxone is used to reverse the effects of morphine, but flumazenil is used to reverse the effects of benzodiazepines. Ketorolac is a non-steroidal anti-inflammatory drug, which is not effective in reversing the adverse effects of midazolam. Therefore, naloxone is the most appropriate therapy for this patient's pain."</t>
  </si>
  <si>
    <t>{
 "Answer": "B",
 Explain: "Normal saline is the most appropriate initial management for this patient because it will help to dilute the excessive calcium in the woman's body, reducing its effects on the cardiovascular and nervous systems. This is more effective than magnesium sulfate or methylprednisolone, which would only address specific symptoms or potential calcium-induced complications."
}</t>
  </si>
  <si>
    <t>{
 "Answer": "B",
 Explain: "Genetic testing of the ryanodine receptor is considered the most reliable method as it directly detects mutations in the CYS1A1 gene that are associated with malignant hyperthermia, whereas calcium uptake assay and caffeine-halothane contracture tests are functional tests that can be affected by various factors and are not foolproof."
}</t>
  </si>
  <si>
    <t>{
 "Answer": "A",
 Explain: "Start with the anesthetic vapor pressure of 150 mmHg and the fresh gas flow of 5 L/min. Convert the fresh gas flow to mL/min (5 L/min * 1000 mL/L = 5000 mL/min). Multiply the anesthetic vapor pressure by the anesthetic flow rate (150 mmHg * 100 mL/min = 15000 mmL/min). The total gas flow in mmL/min is 5000 + 100 = 5100. Convert the total gas flow to milliliters (5100 + 1000 = 5510). Multiply the anesthetic vapor pressure in mmHg by the total gas flow in mL (150 * 5.51 = 82.65) and divide by the total gas flow in mL (82.65 ÷ 5510 = 0.015 = 1.5% ÷ 6 = 0.25%)."
}</t>
  </si>
  <si>
    <t>{
 "Answer": "C",
 Explain: "Vasoconstriction is the most effective mechanism to maintain body temperature in an anesthetized patient with mild hypothermia as it helps to decrease heat loss through peripheral vasodilation and reduces the body's surface area. It can be achieved through anesthesia and is not dependent on muscle activity or metabolic rates."
}</t>
  </si>
  <si>
    <t>{
 "Answer": "C",
 "Explain": "After midazolam administration, even if flumazenil is given to antagonize the sedative effects, the duration of action of midazolam can still exceed the time suggested for discharge. Midazolam's longer duration of action means the patient is still at risk of lingering sedation after the initial intention to send him home in 1 hour, making it the best reason to remain hospitalized for observation."
}</t>
  </si>
  <si>
    <t>{
 "Answer": "B",
 Explain: "The patient's position has the greatest effect on the extent of spread of local anesthetic following subarachnoid block with hyperbaric bupivacaine because it affects the density gradient that drives the spread of the anesthetic Agent. In the supine position, the spread is more extensive, whereas in the prone position it is more limited, due to the influence of gravity on the cerebrospinal fluid. This is because the fluid moves from areas of higher density to areas of lower density, and the patient's position determines the direction and spread of this movement."
}</t>
  </si>
  <si>
    <t>{
 "Answer": "B",
 "Explain": "The correct answer is B. Furosemide is the most appropriate management for this patient with pulmonary edema, as it can help reduce fluid accumulation in the lungs and improve oxygenation. Administering furosemide can reduce the need for mechanical ventilation and further improve the patient's overall condition."</t>
  </si>
  <si>
    <t>{
 "Answer": "C",
 Explain: "Following a spinal anesthetic, symptoms such as nausea, diaphoresis, and sharp pain in the left shoulder are more likely due to an unintended high or unilaterally altered level of anesthesia, making choice C, Inadequate spinal sensory level, the most likely cause."</t>
  </si>
  <si>
    <t>{
 Answer: "B",
 Explain: "Due to the patient being in the Trendelenburg position and receiving CO2 insufflation, the pressure on the vena cava increases, which can cause a decrease in SpO2. As the ventilation settings have been constant and FiO2 has not increased, the etiology of the decreased SpO2 is unlikely to be respiratory depression or airway compromise. Therefore, the most likely cause is compression of the vena cava."</t>
  </si>
  <si>
    <t>{
 "Answer": "B",
 "Explain": "After 2 hours of surgery, the patient is still under the effect of general anesthesia. Since the patient's SpO2 is 90% on room air, this suggests that the main issue is not related to hypoxemia but rather hypoventilation. Therefore, option B, hypovventilation, is the most likely cause of her hypoxemia."
}</t>
  </si>
  <si>
    <t>{
 "Answer": "A",
 Explain: "Pressure support breaths in a patient receiving pressure support ventilation are triggered by a decrease in airway pressure, indicating that the patient needs assistance to breathe. When airway pressure falls below a predetermined level, the ventilator automatically delivers a breath at a fixed pressure to help the patient inhale."
}</t>
  </si>
  <si>
    <t>{
 "Answer": "B",
 Explain: "When a person is anesthetized, their heart rate increases significantly. To meet the increased metabolic demand of the myocardium, the body increases coronary perfusion pressure, which is the pressure that pushes blood through the coronary arteries. As a result, more oxygenated blood is delivered to the heart muscle, allowing it to function more efficiently."
}</t>
  </si>
  <si>
    <t>{
 "Answer": "B",
 Explain: "Prothrombon time (B) is the most likely laboratory value to confirm adequate synthetic hepatic function as it reflects the liver's role in blood clotting and measures the time it takes for a clot to form in response to tissue damage."
}</t>
  </si>
  <si>
    <t>{
 "Answer": "B",
 Explain: "The best way to prevent ventricular dysrhythmias during extracorporeal shock wave lithotripsy is to synchronize the lithotripsy with the ECG to avoid delivery of energy during the cardiac refractory period, reducing the risk of dysrhythmias."
}</t>
  </si>
  <si>
    <t>{
 "Answer": "A",
 Explain: "A Bain circuit reduces rebreathing of CO2 because the circuit is designed to minimize rebreathing of exhaled gases. In a Bain circuit, the fresh gas flow is designed to flush out exhaled gases, reducing the amount of CO2 that is rebreathed. This results in less accumulation of CO2 in the circuit, preventing excessive levels of CO2 in the patient's inspired gases."
}</t>
  </si>
  <si>
    <t>{
 "Answer": "C",
 "Explain": "The patient is in the lateral position during hip surgery, which can cause the head of the lung to collapse, reducing vital capacity and increasing respiratory resistance, resulting in the characteristic waveform seen between points A and B."
}</t>
  </si>
  <si>
    <t>{
 "Answer": "B",
 "Explain": "The anesthesiologist should administrate hydrocortisone followed by cefazolin to treat the patient's allergy to penicillin. Hydrocortisone is an anti-inflammatory medication that will help alleviate the allergic reaction, while cefazolin is a cephalosporin antibiotic that is not linked to penicillin; it can still be effective in treating infections, despite the patient's allergy."</t>
  </si>
  <si>
    <t>{
 "Answer": "A",
 Explain: " Isoflurane's minimum alveolar concentration (MAC) decreases with acute cocaine intoxication due to the stimulatory effects of cocaine on the nervous system, which can increase respiratory drive and deepen anesthesia."
}</t>
  </si>
  <si>
    <t>{
 "Answer": "A",
 Explain: "Bupivacaine primarily blocks the release of norepinephrine, a neurotransmitter that plays a crucial role in sympathetic nervous system functioning, leading to decreased blood pressure, bradycardia, and altered perfusion of vital organs."
}</t>
  </si>
  <si>
    <t>{
 "Answer": "B",
 Explain: "A decrease in 2,3-diphosphoglycerate concentration shifts the oxyhemoglobin dissociation curve rightward, as less binding affinity is observed, resulting in a decreased affinity for oxygen."
}</t>
  </si>
  <si>
    <t>{
 "Answer": "B",
 "Explain": "In clinical hypothyroidism, the production of thyroid hormones (T3 and T4) is decreased, leading to slower metabolism and decreased myocardial contractility."
}</t>
  </si>
  <si>
    <t>{
 "Answer": "B",
 Explain: "Methohexital is known to cause prolonged post-ictal confusion and increased seizure duration when used for electroconvulsive therapy, making it the most likely choice among the options to be associated with longer seizure duration."
}</t>
  </si>
  <si>
    <t>{
 "Answer": "A",
 Explain: "Etomidate is a barbiturate that enhances the activity of the GABA receptor. In contrast, ketamine is a non-competitive antagonist at the N-methyl-D-aspartate (NMDA) receptor, while propofol is a GABA receptor agonist. Therefore, etomidate is the only option that does not cause enhanced activity of the GABA receptor."
}</t>
  </si>
  <si>
    <t>{
 "Answer": "C",
 Explain: "The exhalation valve is typically located on the patient's side of the ventilator circuit, allowing for the release of CO2 produced by the patient. The options A and B are normal components of a ventilator circuit."
}</t>
  </si>
  <si>
    <t>{
 "Answer": "B",
 Explain: "When a drug has a large volume of distribution, it means it spreads out to many areas of the body. This is often associated with a high rate of ionization, because ionized particles are more soluble in water and can therefore spread further throughout the body."
}</t>
  </si>
  <si>
    <t>{
 "Answer": "A",
 Explain: "Neostigmine is a cholinesterase inhibitor that irreversibly binds to cholinesterase enzymes, resulting in a prolonged duration of action, even in patients with renal failure, whereas succinylcholine and rocuronium are both reversible neuromuscular blockers, whose duration of action is dependent on renal excretion, making them shorter-acting in renal failure."
}</t>
  </si>
  <si>
    <t>{
 "Answer": "C",
 Explain: "When an anesthetic is instilled into the trachea via the cricothyroid membrane, it is most likely to block the recurrent laryngeal nerve. This is because the recurrent laryngeal nerve runs close to the cricothyroid membrane and can be directly affected by the anesthetic solution."
}</t>
  </si>
  <si>
    <t>{
 "Answer": "A",
 Explain: "Gagging during awake intubation is BEST prevented by local anesthetic block of the superior laryngeal nerve, which is responsible for the gag reflex, and blocking it reduces gagging and makes the intubation process smoother."
}</t>
  </si>
  <si>
    <t>{
 "Answer": "A",
 Explain: "When a patient is anesthetized, the body's thermoregulatory vasoconstriction mechanism to maintain core temperature is reduced or ablated, leading to an initial decrease in core temperature."
}</t>
  </si>
  <si>
    <t>{
 "Answer": "A",
 "Explain": "The patient's oxygen saturation decreases from 98% to 84% over 1 hour despite an unchanged tidal volume of 350 mL. This suggests that the lung's initial FRC is decreased, leading to hypoxemia. The oxygen saturation improves significantly when the FiO2 is increased to 1.0, further supporting this theory."
}</t>
  </si>
  <si>
    <t>{
 "Answer": "A",
 "Explain": "Since the patient has complete anesthesia in the median, radial, and ulnar nerve distributions, an additional block of the axillary nerve would be necessary to ensure adequate anesthesia for the arm and shoulder, which is needed for the rest of the procedure."</t>
  </si>
  <si>
    <t>{
 "Answer": "A",
 Explain: "After a single dose of propofol, emergence is primarily due to redistribution. Propofol is highly lipophilic and readily deposits into body tissues, displacing other anesthetics and decreasing the concentration in the bloodstream, allowing for spontaneous recovery from anesthesia."
}</t>
  </si>
  <si>
    <t>{
 "Answer": "B",
 "Explain": "After 30 minutes of stable anesthesia, water accumulation on the O2 sensor membrane would likely cause a decrease in O2 analyzer reading from 50% to 30%. This is because water molecules can diffuse across the membrane and bind to the O2 detector sites, leading to a false reading."
}</t>
  </si>
  <si>
    <t>{
 Answer: "A",
 Explain: "An induction dose of ketamine is most likely to have analgesic effects, as it induces dissociative anesthesia which can lead to a loss of pain perception."
}</t>
  </si>
  <si>
    <t>{
 "Answer": "C",
 "Explain": "Fentanyl has a shorter elimination half-life compared to morphine, which means it is broken down and excreted from the body at a faster rate. This results in a decreased duration of action."
}</t>
  </si>
  <si>
    <t>{
 "Answer": "A",
 Explain: "The standard error of the mean shows the precision of the sample mean as an estimate of the population mean. It measures the amount of uncertainty or variability in the sample mean as representative of the population mean."
}</t>
  </si>
  <si>
    <t>{
 "Answer": "A",
 Explain: "Pulse oximetry accurately reflects SaO2 during administration of indocyanine green as it does not bind to the hemoglobin and does not interfere with the pulse oximetry reading."
}</t>
  </si>
  <si>
    <t>{
 "Answer": "C.",
 Explain: "When a patient receives a general anesthetic, their body's glucose regulatory mechanisms are impaired. This often leads to a decrease in glucose levels, making it likely that the patient's blood glucose level on emergence will be mildly hypoglycemic (100-70 mg/dL range)."</t>
  </si>
  <si>
    <t>{
 "Answer": "A",
 "Explain": "Glycopyrrolate, an anticholinergic agent, increases gastric pH by decreasing gastric secretions and slowing gastric emptying, while decreasing gastric volume by reducing water absorption in the intestines."
}</t>
  </si>
  <si>
    <t>{
 "Answer": "C",
 Explain: "Nitrous oxide has a lower blood gas solubility than desflurane, meaning it can partition more readily from the blood to the alveoli and be exhaled. This lower solubility allows for faster equilibration of alveolar and inspired concentrations of nitrous oxide compared to desflurane, which has a higher blood gas solubility."
}</t>
  </si>
  <si>
    <t>{
 "Answer": "B",
 Explain: "Step 1: Before anesthesia induction, it is essential to increase O2 reserve in the functional residual capacity (FRC) of the patient's lungs. Step 2: Denitrogenation is a process that replaces the nitrogen in the FRC with oxygen, thereby increasing the oxygen reserve in the lungs."</t>
  </si>
  <si>
    <t>{
 "Answer": "A",
 Explain: "After an injury to the left recurrent laryngeal nerve, the left vocal cord will be paralyzed and abduct at rest, leading to adduction of the left vocal cord as it is not opposed by any opposing force."
}</t>
  </si>
  <si>
    <t>{
 "Answer": "A",
 "Explain": "When breathing 100% O2 for 10 minutes, the mixed venous O2 tension will decrease due to the reduced metabolic demand for O2. Normal mixed venous O2 tension is around 40-45 mmHg, which is equivalent to 'A'."
}</t>
  </si>
  <si>
    <t>{
 "Answer": "A",
 Explain: "Flumazenil has an elimination half-life of around 1-2 hours, which is significantly shorter compared to Lorazepam (12-24 hours) and Midazolam (1-6 hours)."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</si>
  <si>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</si>
  <si>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 is in the Trendelenburg position with CO2 insufflation, which can cause compression of the vena cava, leading to decreased venous return and decreased oxygen saturation. The increase in ETCO2 also suggests that the patient is not effectively ventilating, which further supports the diagnosis of vena cava compression."
}</t>
  </si>
  <si>
    <t>{
 "Answer": "B",
 Explain: "A prolonged prothrombin time (PT) is a sensitive indicator of impaired liver function, whereas partial thromboplastin time (PTT) is a test for clotting factor deficiencies. Serum alanine aminotransferase (ALT) is an enzyme found in liver cells, and its levels may be elevated in liver damage, but it is not a direct measure of synthetic function. Therefore, prothrombin time is the most likely laboratory value to confirm adequate synthetic hepatic function."
}</t>
  </si>
  <si>
    <t>{
 "Answer": "A",
 Explain: "The standard error of the mean shows the precision of the sample mean as an estimate of the population mean. It measures the amount of random variation in the sample mean, providing a sense of how close the sample mean is likely to be to the true population mean."
}</t>
  </si>
  <si>
    <t>{
 "Answer": "B",
 Explain: "When a patient is receiving a 4-hour general anesthetic, their blood glucose levels typically remain stable or slightly increase due to the anesthetic's glucose-sparing effect. As the patient is not eating during this time, their fasting blood glucose of 100 mg/dL is unlikely to decrease significantly. Therefore, mild hyperglycemia is the most likely expected blood glucose concentration on emergence."
}</t>
  </si>
  <si>
    <t>{
 "Answer": "C",
 "Explain": "Nitrous oxide has a lower blood gas solubility compared to desflurane, which means it is more easily released from the bloodstream and into the lungs, allowing for more rapid equilibration of alveolar and inspired concentrations."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</si>
  <si>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</si>
  <si>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pain and nausea 30 minutes after receiving morphine and midazolam, which suggests an exaggerated response to the opioids. Naloxone is the most appropriate therapy to reverse the effects of morphine and alleviate the patient's symptoms."
}</t>
  </si>
  <si>
    <t>{
 "Answer": "B",
 "Explain": "The patient's serum calcium level is 15 mg/dL, indicating severe hypercalcemia. Normal saline is the most appropriate initial management to help dilute the excess calcium in the blood and reduce its effects on the body. This is a more effective and rapid way to treat hypercalcemia compared to magnesium sulfate or methylprednisone."</t>
  </si>
  <si>
    <t>{
 "Answer": "B",
 Explain: "First, we need to calculate the total volume of gas being mixed, which is 100 mL/min + 5 L/min = 5.083 L/min. Then, we need to calculate the volume of anesthetic vapor being added, which is 100 mL/min. Finally, we need to calculate the concentration of anesthetic vapor, which is 100 mL/min / 5.083 L/min = 0.0197 L/L. To convert this to percentage, we multiply by 100, which gives us 1.97%. Since the correct answer choices are in percentage, we need to find the closest value, which is 0.5%."
}</t>
  </si>
  <si>
    <t>{
 "Answer": "C",
 Explain: "Vasoconstriction is the most effective mechanism for maintaining body temperature in this patient because it reduces heat loss by convection and radiation. When a patient is anesthetized, their hypothalamic set point is lowered, and their body temperature drops. Vasoconstriction helps to reduce heat loss by decreasing blood flow to the skin, thereby conserving heat and maintaining body temperature."</t>
  </si>
  <si>
    <t>{
 "Answer": "B",
 Explain: "Step 1: The patient is in the Trendelenburg position, which can cause compression of the vena cava. Step 2: The increase in ETCO2 suggests that there is increased CO2 production, which is not consistent with a CO2 embolus. Step 3: Right mainstem endobronchial intubation would not cause a decrease in SpO2, but rather a decrease in EtCO2. Therefore, the most likely cause of the decrease in SpO2 is compression of the vena cava."
}</t>
  </si>
  <si>
    <t>{
 "Answer": "B",
 "Explain": "After a laparoscopic cholecystectomy, the patient is likely to experience hypoventilation due to the residual anesthesia and the pain from the procedure. This can lead to a decrease in tidal volume and an increase in respiratory rate, resulting in hypoxemia."
}</t>
  </si>
  <si>
    <t>{
 "Answer": "A",
 Explain: "Pressure support breaths in a patient receiving pressure support ventilation are triggered by a decrease in airway pressure, which is sensed by the ventilator's pressure sensor. When the patient's lungs deflate, the airway pressure decreases, triggering the ventilator to deliver a pressure support breath to help the patient breathe."
}</t>
  </si>
  <si>
    <t>{
 "Answer": "B",
 Explain: "During anesthesia induction, the patient's blood pressure typically increases to compensate for the increased metabolic demand of the myocardium. This increased blood pressure leads to increased coronary perfusion pressure, which is most likely to satisfy the increased metabolic demand of the myocardium."
}</t>
  </si>
  <si>
    <t>{
 "Answer": "A",
 Explain: "In a Bain circuit, the circuit is designed to allow for the rebreathing of exhaled gases, which reduces the amount of CO2 in the circuit. This results in less rebreathing of CO2 compared to a semiclosed circle system."
}</t>
  </si>
  <si>
    <t>{
 "Answer": "C",
 Explain: "When a patient is in the lateral position, the diaphragm is elevated and the abdominal contents compress the lungs, leading to a decrease in tidal volume and a more gradual decline in end-tidal CO2 (ETCO2) between points A and B."
}</t>
  </si>
  <si>
    <t>{
 "Answer": "A",
 Explain: "Acute cocaine intoxication increases the minimum alveolar concentration (MAC) of isoflurane, whereas the other options, chronic ethanol abuse and symptomatic hyponatremia, do not have a significant effect on MAC."
}</t>
  </si>
  <si>
    <t>{
 "Answer": "C",
 Explain: "Hyperthermia increases body temperature, which causes a rightward shift in the oxyhemoglobin dissociation curve by increasing the affinity of hemoglobin for oxygen, making it more difficult for oxygen to dissociate from hemoglobin."
}</t>
  </si>
  <si>
    <t>{
 "Answer": "B",
 Explain: "In clinical hypothyroidism, decreased levels of thyroid hormones lead to decreased myocardial contractility, resulting in decreased cardiac output and peripheral resistance."
}</t>
  </si>
  <si>
    <t>{
 "Answer": "A",
 Explain: "Etomidate is an anesthetic agent that does not directly interact with GABA receptors, whereas ketamine and propofol are known to have GABAergic effects, enhancing the activity of GABA receptors."
}</t>
  </si>
  <si>
    <t>{
 "Answer": "C",
 "Explain": "A large volume of distribution indicates that the drug is widely distributed throughout the body, which is characteristic of a drug with low plasma protein binding. This is because plasma proteins, such as albumin, play a role in binding and removing drugs from the circulation. A drug with low plasma protein binding will have a larger volume of distribution as it is not being bound and removed by the body's proteins, allowing it to spread out and distribute more widely."
}</t>
  </si>
  <si>
    <t>{
 "Answer": "A",
 Explain: "Local anesthetic block of the superior laryngeal nerve prevents gagging during awake intubation by numbing the sensation of the epiglottis and larynx, reducing the gag reflex."
}</t>
  </si>
  <si>
    <t>{
 "Answer": "A",
 Explain: "During general anesthesia, the initial reduction in core temperature is most likely due to the ablation of thermoregulatory vasoconstriction. This occurs when the anesthetic agents suppress the normal thermoregulatory mechanisms, leading to a decrease in blood flow to the skin and peripheral tissues, resulting in a redistribution of heat from the core to the periphery."
}</t>
  </si>
  <si>
    <t>{
 "Answer": "B",
 Explain: "First, the patient's initial SpO2 was 98%, which is normal. Then, it decreased to 84% over 1 hour, indicating a developing hypoxemia. The increase in FiO2 to 1.0 improved the SpO2 to 92%, which suggests that the hypoxemia was caused by a reversible condition. Given that the patient's tidal volume is normal, it is unlikely that decreased FRC or room air admixture during inspiration is the cause. Therefore, the most likely cause of the hypoxemia is increased dead space ventilation, which is the answer B."</t>
  </si>
  <si>
    <t>{
 "Answer": "B",
 Explain: "The patient has complete anesthesia in the median, radial, and ulnar nerve distributions, indicating a high block level. The tourniquet inflation is not the cause of the anesthesia as it would only affect the distal extremity. Therefore, the most likely cause is a supraclavicular block, which blocks the brachial plexus. The intercostobrachial nerve is the most likely nerve to be targeted to restore sensation and motor function to the hand, making it the next step."
}</t>
  </si>
  <si>
    <t>{
 "Answer": "A",
 Explain: "An induction dose of ketamine is most likely to have analgesic effects, as it is a dissociative anesthetic that can quickly produce a state of dissociation from pain, making it a useful agent for inducing anesthesia in emergency situations."
}</t>
  </si>
  <si>
    <t>{
 "Answer": "B",
 Explain: "On emergence from anesthesia, the patient's blood glucose level is expected to be mildly elevated due to the stress response and the anesthetic agents used. The patient's initial fasting blood glucose of 100 mg/dL is likely to increase slightly due to the anesthetic-induced stress response, making mild hyperglycemia the most likely expected blood glucose concentration on emergence."</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</si>
  <si>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</si>
  <si>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tibial nerve runs along the medial aspect of the lower leg, so blocking it would be the most likely choice for an operation in this area."
}</t>
  </si>
  <si>
    <t>{
 "Answer": "C",
 Explain: "Naloxone is the most appropriate therapy for this patient's pain because morphine, which was given preoperatively, may have caused the patient's sudden development of right upper quadrant abdominal pain and nausea. Naloxone is an opioid antagonist that can reverse the effects of morphine and other opioids, which is the primary cause of the patient's symptoms."</t>
  </si>
  <si>
    <t>{
 "Answer": "B",
 "Explain": "Normal saline is the most appropriate initial management as it helps to replenish fluids and electrolytes, which is essential in a patient with hypercalcemia. It is also a safe and non-specific treatment option that can be used in conjunction with further specific treatment for the underlying condition, such as parathyroidectomy."
}</t>
  </si>
  <si>
    <t>{
 "Answer": "B",
 Explain: "Genetic testing of the ryanodine receptor is the most reliable predictor of malignant hyperthermia susceptibility, as it directly detects mutations in the RYR1 gene that are associated with the condition."
}</t>
  </si>
  <si>
    <t>{
 "Answer": "B",
 Explain: "First, convert the vapor pressure to percentage: 150 mmHg / 760 mmHg (atmospheric pressure) = 0.197. Since 100 mL of O2 is being bubbled through the vaporizer, the percentage of anesthetic in the mixture is 0.197. Finally, add this mixture to the fresh gas flow of 5 L/min, resulting in a total flow of 5.1 L/min. Calculate the percentage of anesthetic in the delivered gas: (0.197 x 100 mL) / (5100 mL) = 0.0039 or 0.39%. Convert this to percentage by multiplying by 100, resulting in 0.5%."
}</t>
  </si>
  <si>
    <t>{
 "Answer": "C",
 Explain: "Vasoconstriction is the most effective mechanism for maintaining body temperature in an anesthetized patient with mild hypothermia. This is because vasoconstriction reduces heat loss by decreasing blood flow to the skin and extremities, allowing the body to conserve heat. Additionally, vasoconstriction also increases the skin's thermal gradient, which further enhances heat conservation."
}</t>
  </si>
  <si>
    <t>{
 "Answer": "C",
 Explain: "Midazolam has a longer duration of action than flumazenil, which means that the patient may still be sedated even after the initial effects of flumazenil have worn off, making it necessary for the patient to remain hospitalized for observation to ensure they are alert and able to safely go home."
}</t>
  </si>
  <si>
    <t>{
 "Answer": "C",
 Explain: "The total dose of drug has the greatest effect on the extent of spread of local anesthetic following subarachnoid block with hyperbaric bupivacaine. This is because the total dose of the anesthetic determines the concentration of the drug in the cerebrospinal fluid, which in turn affects the extent of the block."
}</t>
  </si>
  <si>
    <t>{
 "Answer": "B",
 Explain: "The most appropriate management is to administer furosemide, as the patient has developed pulmonary edema, which is a common complication of postoperative respiratory failure. The administration of furosemide will help to reduce the fluid overload and improve lung function, allowing for better oxygenation and a higher SpO2."
}</t>
  </si>
  <si>
    <t>{
 "Answer": "C",
 Explain: "The patient's symptoms of nausea, diaphoresis, and sharp pain in the left shoulder are more consistent with an incomplete or inadequate spinal sensory level, which can cause sympathetic stimulation leading to these symptoms. The sudden onset of symptoms also supports this diagnosis. Angina pectoris and bladder perforation are less likely causes given the sudden onset and the specific location of the pain."</t>
  </si>
  <si>
    <t>{
 "Answer": "B",
 Explain: "First, the patient's SpO2 decreased from 99% to 90%, which suggests a possible cause of decreased oxygen delivery to the body. The increase in ETCO2 from 38 to 43 mmHg suggests increased carbon dioxide production or decreased ventilation. Given that all ventilator settings have been constant, the most likely cause is compression of the vena cava, which can reduce venous return and subsequently lead to decreased oxygen delivery to the body."
}</t>
  </si>
  <si>
    <t>{
 "Answer": "B",
 "Explain": "After a laparoscopic cholecystectomy, the patient may experience hypoventilation due to the sedative effects of the anesthesia. Additionally, the patient's obesity may also contribute to hypoventilation. As a result, it is the most likely cause of her hypoxemia."
}</t>
  </si>
  <si>
    <t>{
 "Answer": "A",
 Explain: "Pressure support breaths in a patient receiving pressure support ventilation are triggered by a decrease in airway pressure, which is sensed by the ventilator's pressure sensor. When the airway pressure drops below a certain threshold, the ventilator delivers a preset volume of air to help the patient breathe more easily."
}</t>
  </si>
  <si>
    <t>{
 "Answer": "B",
 Explain: "During anesthesia induction, there is a significant increase in sympathetic tone, leading to increased systemic vascular resistance and blood pressure. This increased blood pressure and perfusion pressure will help satisfy the increased metabolic demand of the myocardium."
}</t>
  </si>
  <si>
    <t>{
 "Answer": "B",
 Explain: "A prothrombin time (PT) measures the time it takes for the liver to produce and release clotting factors into the bloodstream, which is an indicator of synthetic hepatic function. A normal PT result suggests that the liver is functioning adequately in producing clotting factors."
}</t>
  </si>
  <si>
    <t>{
 "Answer": "B",
 Explain: "ECG synchronization prevents ventricular dysrhythmias in patients undergoing extracorporeal shock wave lithotripsy by ensuring that the lithotripter is fired during the Q-T interval, minimizing the risk of arrhythmias caused by the shock waves."
}</t>
  </si>
  <si>
    <t>{
 "Answer": "A",
 Explain: "In a Bain circuit, the fresh gas flow is adjusted to maintain a partial pressure of CO2 in the circuit similar to that of the patient's expired gas, reducing rebreathing of CO2."
}</t>
  </si>
  <si>
    <t>{
 "Answer": "C",
 Explain: "When a patient is in the lateral position, the dependent lung may be compressed, leading to reduced tidal volume and a decrease in end-tidal CO2 levels between points A and B."
}</t>
  </si>
  <si>
    <t>{
 "Answer": "B",
 Explain: "The anesthesiologist should administer hydrocortisone, followed by cefazolin, because the patient developed a rash with penicillin, indicating a penicillin allergy, and cefazolin is a penicillin derivative, making it likely that the patient will also have an allergic reaction. Hydrocortisone is given to counteract the allergic reaction before administering cefazolin."</t>
  </si>
  <si>
    <t>{
 "Answer": "B",
 Explain: "Chronic ethanol abuse can lead to a decrease in cytochrome P450 enzymes, which are involved in the metabolism of isoflurane, thereby increasing its duration of action and decreasing its MAC."
}</t>
  </si>
  <si>
    <t>{
 "Answer": "A",
 Explain: "Bupivacaine primarily causes blockade of norepinephrine release, leading to a decrease in systemic blood pressure and cardiac output, which can result in cardiovascular collapse."
}</t>
  </si>
  <si>
    <t>{
 "Answer": "C",
 Explain: "Hyperthermia causes a rightward shift in the oxyhemoglobin dissociation curve because it increases the concentration of deoxygenated hemoglobin, making it easier for oxygen to dissociate from hemoglobin, thereby shifting the curve to the right."
}</t>
  </si>
  <si>
    <t>{
 "Answer": "B",
 Explain: "Myocardial contractility is decreased in clinical hypothyroidism due to decreased production of thyroid hormones, which play a crucial role in maintaining normal cardiac function. With decreased thyroid hormones, the heart becomes less efficient at pumping blood, leading to decreased cardiac output and contractility."
}</t>
  </si>
  <si>
    <t>{
 "Answer": "B",
 Explain: "Methohexital is most likely to be associated with longer seizure duration when used for electroconvulsive therapy because it has a longer duration of action and can cause a more prolonged period of seizure activity."
}</t>
  </si>
  <si>
    <t>{
 "Answer": "A",
 Explain: "Etomidate does not directly affect GABA receptors, whereas ketamine and propofol both have been shown to increase the activity of GABA receptors, leading to anxiolytic and sedative effects."
}</t>
  </si>
  <si>
    <t>{
 "Answer": "C",
 Explain: "The expiratory valve is typically placed at the mouthpiece of the circle system, whereas in the given illustration, it is placed after the CO2 absorber, which is incorrect."
}</t>
  </si>
  <si>
    <t>{
 "Answer": "C",
 "Explain": "A large volume of distribution suggests that the drug is not being sequestered by tissues or organs, so it's likely that the drug is having a low affinity for plasma proteins, resulting in low plasma protein binding."
}</t>
  </si>
  <si>
    <t>{
 "Answer": "A",
 Explain: "Neostigmine has a longer duration of action in patients with renal failure because it is metabolized by the liver, not excreted by the kidneys, so its clearance is not affected by impaired renal function."
}</t>
  </si>
  <si>
    <t>{
 "Answer": "C",
 Explain: "When an anesthetic is instilled into the trachea via the cricothyroid membrane, it will spread down into the trachea and eventually reach the recurrent laryngeal nerve, which lies near the posterior aspect of the larynx. This nerve is responsible for innervating the vocal cords and glottis, making it the most likely to be blocked by the anesthetic."
}</t>
  </si>
  <si>
    <t>{
 "Answer": "A",
 Explain: "Local anesthetic block of the superior laryngeal nerve is the most effective way to prevent gagging during awake intubation, as it blocks the sensory fibers that transmit the gag reflex."
}</t>
  </si>
  <si>
    <t>{
 "Answer": "A",
 Explain: "During general anesthesia, the initial reduction in core temperature is most likely due to the ablation of thermoregulatory vasoconstriction. This is because the body's natural response to cold stress, such as vasoconstriction, is suppressed under anesthesia, allowing heat to escape from the core and leading to a drop in body temperature."</t>
  </si>
  <si>
    <t>{
 "Answer": "A",
 Explain: "First, the patient's baseline SpO2 is 98%, which suggests a normal oxygenation. Then, his SpO2 decreases to 84% over 1 hour, indicating hypoxemia. The increase in FiO2 to 1.0 improves his SpO2 to 92%, suggesting that the hypoxemia was caused by a low FiO2. Given the patient's decreased tidal volume, it is likely that his functional residual capacity (FRC) decreased, leading to a lower oxygen reserve and subsequent hypoxemia."</t>
  </si>
  <si>
    <t>{
 "Answer": "C",
 Explain: "The patient has anesthesia in the median, radial, and ulnar nerve distributions, which are all innervated by the brachial plexus. The musculocutaneous nerve is the only nerve not blocked, which supplies the flexor muscles of the forearm and the sensation of the volar forearm. Therefore, the next step would be to perform a musculocutaneous nerve block to restore sensation and motor function to the patient's hand."</t>
  </si>
  <si>
    <t>{
 "Answer": "A",
 Explain: "After a single dose of propofol, emergence is primarily due to redistribution from fatty tissues to the CNS, which leads to a rapid decrease in the anesthetic effect, allowing the patient to awaken."</t>
  </si>
  <si>
    <t>{
 "Answer": "B",
 Explain: "As the anesthesia machine is set to deliver O2 2 L/min, the O2 analyzer reading is expected to remain stable at 50%. After 30 minutes, a sudden decrease in O2 analyzer reading from 50% to 30% is unlikely due to a leak in the ventilator bellows (A) or the presence of the O2 analyzer in the expiratory limb (C). The most likely cause is the accumulation of water on the O2 sensor membrane (B), which can reduce the accuracy of the O2 analyzer reading."
}</t>
  </si>
  <si>
    <t>{
 "Answer": "A",
 Explain: "An induction dose of ketamine is most likely to have analgesic effects, which can lead to a rapid reduction in pain, making it an effective agent for inducing anesthesia in surgical procedures."
}</t>
  </si>
  <si>
    <t>{
 "Answer": "C",
 "Explain": "Fentanyl has a shorter elimination half-life compared to morphine, which means it is metabolized and eliminated from the body faster. This shorter elimination half-life contributes to a shorter duration of action, making option C the most likely explanation for the decreased duration of action of an IV dose of fentanyl compared to morphine."</t>
  </si>
  <si>
    <t>{
 "Answer": "A",
 Explain: "The standard error of the mean shows the precision of the sample mean as an estimate of the population mean. It measures the amount of random variation in the sample means that would occur by chance if the sampling were repeated. In other words, it represents the spread of the sampling distribution of the mean."
}</t>
  </si>
  <si>
    <t>{
 "Answer": "A",
 Explain: "Pulse oximetry accurately reflects SaO2 when not interfering substances like indocyanine green are not being administered, which can alter the reading."
}</t>
  </si>
  <si>
    <t>{
 "Answer": "C",
 Explain: "The patient is receiving a general anesthetic and is fasting, which means they have not eaten for several hours. Fasting causes a natural decrease in blood glucose levels. On emergence from anesthesia, the blood glucose level is likely to be mildly decreased, but not severely low."
}</t>
  </si>
  <si>
    <t>{
 "Answer": "C",
 Explain: "Ranitidine is an H2 blocker that decreases gastric acid secretion, thereby increasing gastric pH. At the same time, it also decreases gastric volume by reducing the production of pepsin and reducing the movement of food through the stomach, resulting in a decrease in gastric volume."
}</t>
  </si>
  <si>
    <t>{
 "Answer": "C",
 "Explain": "Nitrous oxide has a lower blood gas solubility compared to desflurane, which means it partitions more readily from the bloodstream into the alveoli. This allows for a more rapid equilibration of alveolar and inspired concentrations."
}</t>
  </si>
  <si>
    <t>{
 "Answer": "A",
 Explain: "Prior to anesthetic induction, denitrogenation is primarily aimed at improving matching of ventilation and perfusion, which is crucial to ensure optimal gas exchange and prevent hypoxia. This is achieved by reducing the amount of inert gases in the lungs, allowing for more efficient transfer of oxygen and carbon dioxide."
}</t>
  </si>
  <si>
    <t>{
 "Answer": "B",
 Explain: "During a thyroidectomy, the left recurrent laryngeal nerve is responsible for controlling the abduction of the left vocal cord. Damage to this nerve would lead to a weakened or paralyzed left vocal cord, resulting in aphonia, or loss of voice."
}</t>
  </si>
  <si>
    <t>{
 "Answer": "A",
 Explain: "After breathing 100% O2 for 10 minutes, the mixed venous O2 tension is expected to be around 45 mmHg. This is because 100% O2 in the lungs causes an increase in alveolar O2 partial pressure, which leads to a shift of the oxygen dissociation curve to the right. As a result, the amount of oxygen bound to hemoglobin decreases, and the mixed venous O2 tension increases, but not to the point of being near 95 or 150 mmHg."
}</t>
  </si>
  <si>
    <t>{
 "Answer": "A",
 "Explain": "Flumazenil has a very short elimination half-life of approximately 1-2 hours, making it the shortest among the options."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</si>
  <si>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</si>
  <si>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"When performing an operation at the medial aspect of the lower leg, the tibial nerve would be the most likely nerve to be blocked, as it runs vertically down the leg and passes under the medial condyle of the tibia."
}</t>
  </si>
  <si>
    <t>{
 "Answer": "C",
 Explain: "Since the patient developed sudden right upper quadrant abdominal pain and nausea after receiving morphine, which is an opioid, naloxone is the most appropriate therapy to counteract the opioid-induced adverse effects."
}</t>
  </si>
  <si>
    <t>{
 "Answer": "B",
 Explain: "A serum calcium level of 15 mg/dL in a patient with primary hyperparathyroidism indicates severe hypercalcemia. Initial management involves hydration with normal saline to dilute the calcium levels in the blood and plasma, which is the most appropriate approach."
}</t>
  </si>
  <si>
    <t>{
 "Answer": "B",
 Explain: "Step 1: Genetic testing of the ryanodine receptor detects the mutation responsible for the development of malignant hyperthermia. Step 2: This test is more sensitive and specific compared to the other options, as it directly detects the genetic alteration causing the condition. Therefore, option B, genetic testing of the ryanodine receptor, is the most reliable test for predicting the likelihood of developing malignant hyperthermia."
}</t>
  </si>
  <si>
    <t>{
 "Answer": "B",
 Explain: "First, we know that the vaporizer produces an anesthetic with a vapor pressure of 150 mmHg. Second, 100 mL of this mixture is added to a fresh gas flow of 5 L/min, which means the concentration of anesthetic in the total flow is 100 mL / (100 mL + 5 L) = 2% (0.02). This corresponds to answer B."
}</t>
  </si>
  <si>
    <t>{
 "Answer": "C",
 Explain: "Isoflurane decreases muscle activity and reduces shivering, making vasoconstriction the most effective physiologic mechanism for maintaining body temperature in this patient. Vasoconstriction helps to conserve heat by reducing blood flow to the extremities and conserving heat in the core."
}</t>
  </si>
  <si>
    <t>{
 "Answer": "C",
 "Explain": "After administering midazolam, the patient's sedation may not be completely reversed by flumazenil due to midazolam's longer duration of action, which can still cause residual sedation even after flumazenil is administered. As a result, the patient should remain hospitalized for observation to ensure a safe recovery."
}</t>
  </si>
  <si>
    <t>{
 "Answer": "C",
 "Explain": "The total dose of the drug has the greatest effect on the extent of spread of local anesthetic following subarachnoid block with hyperbaric bupivacaine. This is because the total dose of the drug determines the concentration of the anesthetic in the cerebrospinal fluid, which in turn affects the extent of spread."
}</t>
  </si>
  <si>
    <t>{
 "Answer": "B",
 "Explain": "Administration of furosemide is the most appropriate management for the patient with pulmonary edema. Step 1: Confirm the diagnosis of pulmonary edema through chest X-ray or echocardiogram. Step 2: Administer furosemide to reduce fluid overload and relieve symptoms."</t>
  </si>
  <si>
    <t>{
 "Answer": "C",
 "Explain": "The patient's symptoms of nausea, diaphoresis, and sharp pain in the left shoulder 45 minutes after the start of the procedure suggest an early spinal sensory level rise, which can occur due to factors such as inadequate dose of anesthetic, faulty technique, or individual variability in sensitivity. This would result in a sudden withdrawal response from the inadequate anesthetic coverage, leading to the patient's symptoms."</t>
  </si>
  <si>
    <t>{
 "Answer": "B",
 Explain: "With the patient in the Trendelenburg position, compression of the vena cava is the most likely cause of the decrease in SpO2. This is because the vena cava is compressed, which reduces venous return and can lead to a decrease in oxygen saturation. Additionally, the increased ETCO2 suggests that the lungs are not adequately ventilated, which is consistent with compression of the vena cava."
}</t>
  </si>
  <si>
    <t>{
 "Answer": "B",
 Explain: "Since the patient is receiving PCA with morphine, which is a respiratory depressant, hypoventilation is the most likely cause of her hypoxemia. Two hours after surgery, the patient's breathing rate and depth may still be altered due to the medication. Her SpO2 is only slightly decreased, indicating mild hypoxemia, which is consistent with the mild respiratory depression caused by morphine."
}</t>
  </si>
  <si>
    <t>{
 "Answer": "A",
 Explain: "In pressure support ventilation, pressure support breaths are triggered by a decrease in airway pressure. This means that when the patient's lungs start to relax and the airway pressure decreases, the ventilator recognizes this as a natural breath initiation and provides support to help the patient breathe."</t>
  </si>
  <si>
    <t>{
 "Answer": "B",
 Explain: "Increased coronary perfusion pressure is the most likely factor to satisfy the increased metabolic demand of the myocardium because it increases oxygen delivery to the heart muscle, allowing it to meet its increased energy needs during anesthesia induction."
}</t>
  </si>
  <si>
    <t>{
 "Answer": "B",
 Explain: "Step 1: Prothrombin time measures the extrinsic pathway of blood clotting, which involves liver production of clotting factors. Step 2: Adequate synthetic liver function would result in normal production of these clotting factors, thus a normal Prothrombin time. Hence, a normal Prothrombin time is most likely to confirm adequate synthetic hepatic function."
}</t>
  </si>
  <si>
    <t>{
 "Answer": "B",
 Explain: "ECG synchronization during extracorporeal shock wave lithotripsy helps to prevent ventricular dysrhythmias by ensuring that the shockwaves are delivered during the relative safety period of the cardiac cycle, when the heart is less susceptible to electrical instability."
}</t>
  </si>
  <si>
    <t>{
 "Answer": "A",
 Explain: "In a Bain circuit, the partial rebreathing of CO2 is minimized because a proportion of the expired gas is constantly being replaced with fresh gas, unlike in a semi-closed circle system where expired gas can build up."
}</t>
  </si>
  <si>
    <t>{
 "Answer": "C",
 Explain: "As the patient is in the lateral position, this can cause increased intra-thoracic pressure and decreased functional residual capacity, leading to a more prominent "saw-tooth" pattern between point A and point B on the capnograph waveform, compared to when the patient is in a supine position."
}</t>
  </si>
  <si>
    <t>{
 "Answer": "B",
 Explain: "Because the patient developed a rash with past penicillin administration, he may have an allergic reaction to cephalosporins like cefazolin. To proceed with the surgery, it is recommended to administer hydrocortisone to counteract the allergic reaction, followed by cefazolin."
}</t>
  </si>
  <si>
    <t>{
 "Answer": "B",
 Explain: "Chronic ethanol abuse decreases the MAC of isoflurane by increasing the activity of cytochrome P450 enzymes in the liver, leading to increased biotransformation of isoflurane into less potent metabolites."
}</t>
  </si>
  <si>
    <t>{
 "Answer": "A",
 Explain: "Bupivacaine primarily blocks the release of norepinephrine from sympathetic nerve endings, which leads to a reduction in peripheral vascular resistance and a decrease in blood pressure."
}</t>
  </si>
  <si>
    <t>{
 "Answer": "C",
 Explain: "Hyperthermia increases body temperature, which raises the P50 value of hemoglobin, causing a rightward shift in the oxyhemoglobin dissociation curve."
}</t>
  </si>
  <si>
    <t>{
 "Answer": "B",
 Explain: "Myocardial contractility is decreased in hypothyroidism due to the decreased levels of thyroid hormones, particularly triiodothyronine (T3), which plays a crucial role in regulating cardiac function. In hypothyroidism, the decreased T3 levels lead to decreased cardiac contractility, resulting in decreased cardiac output."
}</t>
  </si>
  <si>
    <t>{
 "Answer": "B",
 "Explain": "Methohexital is the anesthetic drug most likely to be associated with longer seizure duration when used for electroconvulsive therapy due to its slower metabolism and longer half-life compared to etomidate and propofol, which are both rapidly metabolized and excreted."
}</t>
  </si>
  <si>
    <t>{
 "Answer": "A",
 Explain: "Etomidate does not affect GABA receptors, whereas ketamine is an NMDA antagonist that can increase the activity of NMDA receptors, and propofol is a GABA facilitatory anesthetic that increases GABA receptor activity."
}</t>
  </si>
  <si>
    <t>{
 "Answer": "C",
 Explain: "The expiratory valve should be located at the patient end, allowing the exhaled air to exit the circuit, whereas in the given illustration, it is placed at the air compressor side."
}</t>
  </si>
  <si>
    <t>{
 "Answer": "C",
 "Explain": "A drug with a large volume of distribution typically distributes quickly throughout the body's tissues, including fatty tissues. Since the anesthetic is distributed throughout the body, it is less likely to be bound to plasma proteins, so it would have low plasma protein binding. This means option C, low plasma protein binding, is the most likely property of this new anesthetic."</t>
  </si>
  <si>
    <t>{
 "Answer": "A",
 Explain: "Neostigmine, an anticholinesterase, is not broken down by the kidneys and is removed from the body mainly through the liver, which can prolong its duration of action in patients with renal failure."</t>
  </si>
  <si>
    <t>{
 "Answer": "C",
 Explain: "When the local anesthetic is instilled into the trachea via the cricothyroid membrane, it spreads inferiorly into the trachea and can block the recurrent laryngeal nerve, which is responsible for sensation in the larynx."
}</t>
  </si>
  <si>
    <t>{
 "Answer": "A",
 Explain: "Gagging during awake intubation is BEST prevented by local anesthetic block of the Superior laryngeal nerve, which innervates the laryngeal mucosa and helps to stimulate the gag reflex."
}</t>
  </si>
  <si>
    <t>{
 "Answer": "A",
 Explain: "When general anesthesia is induced, the sympathetic nervous system's thermoregulatory vasoconstriction is suppressed, leading to a reduction in peripheral vascular resistance. As a result, blood is redirected from the core to the periphery, causing a decrease in core temperature."
}</t>
  </si>
  <si>
    <t>{
 "Answer": "C",
 "Explain": "Given the improvement in SpO2 when FiO2 is increased to 1.0, and then returning to a normal level, the most likely cause of hypoxemia is likely due to room air admixture during inspiration. The 65-kg, 70-year-old man is breathing at 20 breaths/minute through an ETT, and with a tidal volume of 350 mL, room air may be entraining into the system, diluting the FiO2."</t>
  </si>
  <si>
    <t>{
 "Answer": "C",
 "Explain": "The patient has complete anesthesia in the median, radial, and ulnar nerve distributions, which indicates that the cervical plexus (C5-T1) has been anesthetized. The musculocutaneous nerve (C5-C7) innervates the brachialis, biceps, and brachioradialis muscles. As the tourniquet is inflated, it is possible that the musculocutaneous nerve has been compressed, leading to loss of muscle contractions. Therefore, the most appropriate next step is to perform an additional block of the musculocutaneous nerve to restore sensation and motor function in the involved areas."</t>
  </si>
  <si>
    <t>{
 "Answer": "A",
 Explain: "After a single dose of propofol, its plasma concentration decreases primarily due to redistribution from brain and other highly perfused tissues to less perfused tissues, which is known as context-sensitive half-time, not affected by its metabolism or excretion."
}</t>
  </si>
  <si>
    <t>{
 "Answer": "C",
 "Explain": "As the anesthesia machine delivers O2 and nitrous oxide at a constant rate, a leak in the ventilator bellows (A) or accumulation of water on the O2 sensor membrane (B) would not affect the O2 analyzer reading. The presence of the O2 analyzer in the expiratory limb (C) could cause a decrease in the O2 reading as the analyzer draws off a portion of the delivered O2 gas, leading to a decrease in the O2 percentage reading."</t>
  </si>
  <si>
    <t>{
 "Answer": "A",
 Explain: "An induction dose of ketamine is most likely to have an analgesic effect, which is the primary mechanism of action. Ketamine blocks N-methyl-D-aspartate (NMDA) receptors in the brain, leading to a rapid onset of analgesia."</t>
  </si>
  <si>
    <t>{
 "Answer": "C",
 "Explain": "Fentanyl has a shorter elimination half-life compared to morphine, which means it is metabolized and excreted from the body more quickly. As a result, its duration of action is shorter compared to morphine, which has a longer elimination half-life."</t>
  </si>
  <si>
    <t>{
 "Answer": "A",
 Explain: "The standard error of the mean shows the amount of variation in the population mean that can be expected to occur due to sampling variability, which is a measure of the precision of the population mean."
}</t>
  </si>
  <si>
    <t>{
 "Answer": "B",
 "Explain": "Pulse oximetry accurately reflects SaO2 in carboxyhemoglobinemia because carboxyhemoglobin has a similar absorption spectrum to oxyhemoglobin, allowing pulse oximeters to detect it as oxyhemoglobin and accurately estimate arterial oxygen saturation."
}</t>
  </si>
  <si>
    <t>{
 "Answer": "B",
 Explain: "During general anesthesia, patients tend to have reduced cortisol production, leading to decreased glucose uptake by muscles and increased glucose production by liver. This can cause blood glucose levels to increase. After a 4-hour procedure, the patient's fasting blood glucose of 100 mg/dL is likely to increase slightly, making B. Mild hyperglycemia the most likely expected blood glucose concentration on emergence."</t>
  </si>
  <si>
    <t>{
 "Answer": "C",
 Explain: "Ranitidine, a histamine H2 receptor antagonist, reduces gastric acid secretion, leading to increased gastric pH, while it also decreases gastric volume due to decreased gastrin secretion."
}</t>
  </si>
  <si>
    <t>{
 "Answer": "C",
 "Explain": "Nitrous oxide has a lower blood gas solubility compared to desflurane, which means it can diffuse out of the bloodstream and into the alveoli more quickly, allowing alveolar and inspired concentrations to equilibrate more rapidly."
}</t>
  </si>
  <si>
    <t>{
 "Answer": "A",
 Explain: "Denitrogenation prior to anesthetic induction is primarily aimed at improving matching of ventilation and perfusion, which helps to prevent hypoxia and ensures that the body receives the necessary oxygen during the induction of anesthesia."
}</t>
  </si>
  <si>
    <t>{
 "Answer": "B",
 Explain: "A patient with an injury to the left recurrent laryngeal nerve during thyroidectomy will likely experience vocal cord paralysis, leading to paralysis of the left vocal cord. At rest, the left vocal cord will be flaccid, resulting in aphonia, or loss of voice."
}</t>
  </si>
  <si>
    <t>{
 "Answer": "A",
 Explain: "In a normal adult, the mixed venous O2 tension is usually around 45 mmHg. When a person breathes 100% O2 for 10 minutes, the mixed venous O2 tension does not change significantly because the high inspired O2 concentration is not utilized efficiently by the tissues. As a result, the mixed venous O2 tension remains close to the normal range, which is around 45 mmHg."
}</t>
  </si>
  <si>
    <t>{
 "Answer": "A",
 "Explain": "Flumazenil has a half-life of around 55-60 minutes, which is the shortest among the three options, making it the answer choice."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</si>
  <si>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</si>
  <si>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is located on the medial aspect of the lower leg. It is a group of nerves that innervates muscles involved in flexion of the thigh, knee, and ankle. The procedure being performed at the medial aspect of the lower leg would likely affect this area, making it the optimal nerve to block for effective execution."
}</t>
  </si>
  <si>
    <t>{
 Answer: B,
 Explain: "Midazolam and morphine, both given before the episode, cause constipation of sympathetic reflex leading to rebounding excitation pain. Flumazenil (A) is not effective. Naloxone (C) is useful only in reversing opioid pain medication. Therefore, choice for the pain is Ketorolac a selective prostaglandin inhibitor helping to relieve spasm leading to pain relief."</t>
  </si>
  <si>
    <t>{
 "Answer": "B",
 Explain: "Administer normal saline IV to help to alleviate hypercalcemia and prevent cardiac arrhythmias, and then adjust further treatment plan according to laboratory testing for patient's hyperparathyroidism."
}</t>
  </si>
  <si>
    <t>{
 "Answer": "B",
 Explain: "B Genetic testing of the ryanodine receptor is currently the most reliable test to predict the likelihood of a patient developing malignant hyperthermia due to its high sensitivity and specificity. The others, such as calcium uptake assay and caffeine-halothane contracture test, have drawbacks like false positives and false negatives."</t>
  </si>
  <si>
    <t>{
 "Answer": "A",
 Explain: "To solve this problem, first find the mixing ratio: (100 mL/min*150 mmHg)/(20,800 L/min*736 mmHg) = 11.7%. Convert this ratio to a percentage by multiplying by 100: 0.2. Now, the percentage will be half this value since it contains half an anesthetic: 0.05 or 0.5%."
}</t>
  </si>
  <si>
    <t>None</t>
  </si>
  <si>
    <r>
      <rPr>
        <rFont val="Arial"/>
        <color theme="1"/>
        <sz val="8.0"/>
      </rPr>
      <t>{
 "Answer":</t>
    </r>
    <r>
      <rPr>
        <rFont val="Arial"/>
        <color rgb="FFFF0000"/>
        <sz val="8.0"/>
      </rPr>
      <t xml:space="preserve"> ""</t>
    </r>
    <r>
      <rPr>
        <rFont val="Arial"/>
        <color theme="1"/>
        <sz val="8.0"/>
      </rPr>
      <t xml:space="preserve">
 Explain: "In mild hypothermia, most of the heat is lost through radiation, conduction, and convection from the surface of the body. Shivering thermogenesis, choice B, is important at moderate and severe hypothermia, but not at mild levels. Vasoconstriction, choice C, helps to minimize core-to-skin blood flow, but this mechanism alone is not sufficient to counteract the rapid rate of heat loss, and thus shivering is a more effective way to maintain body temperature in this patient. In the presence of anesthesia, shivering itself is not an option, therefore, the best option is not shivering thermogenesis."
}</t>
    </r>
  </si>
  <si>
    <t>{
 "Answer": `"A"`,
 Explain: "Midazolam has relatively low potency and rapid onset of action compared to other clinically used benzodiazepines. As such, its mid-treatment effects can be quickly antagonized by flumazenil, requiring monitoring of the patient for a suitable amount of time to guarantee they do not experience adverse effects such as confusion, loss of consciousness, or respiratory depression after sedative reversal. If the midazolam has wore off quickly, the patient should remain hospitalised"
}</t>
  </si>
  <si>
    <t>{
 "Answer": "A",
 Explain: "Increased doses of epinephrine bind to a receptor on the wall of capillaries, caused contraction which limits capillary blood flow thereby reducing the total amount of anesthetic spread"
}</t>
  </si>
  <si>
    <t>{
 "Answer": "B",
 Explain: "First, give 1 ampule of furosemide (25 mg). Diuretics decrease cardiac preload, reduce lung congestion, and increase oxygen delivery. Since the cause of lung edema is mostly extrinsic, intravenous furosemide is the most appropriate choice at this step."
}</t>
  </si>
  <si>
    <t>{
 Answer: "A",
 Explain: "After 45 minutes since the start of the procedure, the patient's symptoms such as nausea, diaphoresis, and sharp pain in the left shoulder suggest an acute cardiovascular disorder, which is most likely angina pectoris."
}</t>
  </si>
  <si>
    <t>{
 Answer: "A",
 Explain: "Higher PEEP may be likely, but since FiO2 is maintained at 0.3 and ventilator settings were constant, the most plausible cause for decrease in SpO2 is the cumulative respiratory and cardiovascular derecruitment causing V/Q mismatch, often due to CO2 insufflation. As more CO2 enters the system, respiratory minute ventilation increases but V/Q abnormality contributes to reduced SpO2."
}</t>
  </si>
  <si>
    <t>"Answer": "B",
"Explain": "Two hours after a laparoscopic cholecystectomy, the pain from the surgery would still be recent and uncomfortable for the patient, causing hypoventilation due to a breathing shallow due to discomfort, which is the most likely cause of the patient's hypoxemia."</t>
  </si>
  <si>
    <r>
      <rPr>
        <rFont val="Arial"/>
        <color rgb="FFFF0000"/>
        <sz val="8.0"/>
      </rPr>
      <t>Here is the answer in JSON format:</t>
    </r>
    <r>
      <rPr>
        <rFont val="Arial"/>
        <color theme="1"/>
        <sz val="8.0"/>
      </rPr>
      <t xml:space="preserve">
{
 "Answer": "A",
 "Explain": "With pressure support ventilation, patients breathe spontaneously; thus, pressure support breaths are triggered by changes in airway pressure. The preset limit in the ventilator monitors the transpulmonary pressure and automatically deploys a set pressure level in response to a fall in airway pressure when the patient inhales, facilitating proper lung expansion and inspiratory flow."
}</t>
    </r>
  </si>
  <si>
    <t>{
 Answer: "B",
 Explain: "Increased coronary perfusion pressure is most likely to satisfy the increased metabolic demand of the myocardium during increased heart rate because it delivers more oxygen and nutrients to the heart muscle. This occurs during anesthesia induction as anesthesia has a profound vasodilatory effect, leading to increased coronary artery conductance and increased perfusion pressure."</t>
  </si>
  <si>
    <t>{
 "Answer": "B",
 "Explain": "Step 1: Prothrombin time (PT) measures the time it takes for the extrinsic pathway of blood clotting to occur. Step 2: As PT specifically measures factor VII, a liver-dependent cofactor, abnormalities in PT would be indicative of impaired liver function. Step 3: Therefore, if PT is within normal range, it suggests that the liver is functionally intact and is producing its necessary proteins, like coagulation factors."</t>
  </si>
  <si>
    <t>{
 Answer: "B",
 Explain: " synchronize extracorporeal shock wave lithotripsy with ECG to avoid disorganization of the depolarization waves generated by the electrical activity, thereby preventing ventricular dysrhythmias"
}</t>
  </si>
  <si>
    <t>{
 "Answer": "C",
 "Explain": "A Bain circuit allows for more rapid change in inspired gas concentration compared to a semi-closed circle system because the fresh gas flow rate is higher and rebreathed carbon dioxide cannot accumulate, resulting in a quicker dissipation of carbon dioxide and a lower inspired concentration."</t>
  </si>
  <si>
    <t>{
 "Answer": "C",
 Explain: "The waveform shape shifted from a normal bell-shaped curve at point A to a flat curve at point B due to the patient's change in position, causing a decrease in end-tidal CO2 (ETCO2) levels, which is a characteristic finding between point A and point B."
}</t>
  </si>
  <si>
    <t>{
 Answer: "B",
 Explain: "Since cephalexin caused a rash in the patient previously, it is likely that he has a beta-lactamase-producing bacterium. In such cases, penicillinase-resistant cephalosporins (vancomycin) are commonly used, but cefazolin has beta-lactamase inactivation action, which will not effectively combat that bacterium. Therefore, hydrocortisone for allergic reaction to penicillin, followed by a different antimicrobial agent."</t>
  </si>
  <si>
    <t>{
 "Answer": "A",
 Explain: "Prolonged infusion of isoflurane, a potent inhihi- tors of MAC, can overcome this effect, and the combination may lead to unpredictable prolongment of anesthesia recovery."
}</t>
  </si>
  <si>
    <t>{
 "Answer": "A",
 Explain: "Bupivacaine works by blocking norepinephrine release, which is a mechanism unique among local anesthetics that prolongs its cardiotoxicity, and is the primary concern in large doses or unintentional IV administration."
}</t>
  </si>
  <si>
    <t>{
 "Answer": "C",
 Explain: "Step 1: Increasing body temperature (hyperthermia) causes less rigid binding of hydrogen ions onto the proteins. This Step 2: Displaces oxygen from hemoglobin, causing a rightward shift in the oxyhemoglobin dissociation curve."
}</t>
  </si>
  <si>
    <t>{
"Answer": "B",
"Explain": "In hypothyroidism, myocardial contractility often decreases due to lower levels of thyroid hormones, a key factor in regulating the cardio-pulmonary system, leading to decreased cardiac output and a decreased level fo left-sided ventricular ejection fraction."
}</t>
  </si>
  <si>
    <t>{
 "Answer": "B",
 "Explain": "Methohexital is more likely to be associated with longer seizure duration when used for electroconvulsive therapy due to its higher seizure threshold and the need for higher dosages to achieve adequate anesthesia."
}</t>
  </si>
  <si>
    <t>{
 "Answer": "A",
 Explain: "Etomidate, a barbiturate, tends to either directly or indirectly antagonize GABA receptors, thereby suppressing gamma-aminobutyric acid's inhibitory effects. Thus, Etomidate does not enhance activity of the GABA receptor."
}</t>
  </si>
  <si>
    <t>{
 "Answer": "A",
 Explain: "In a circle system, the fresh gas inlet usually supplies oxygen and other gases directly to the patient through the ventilator tubes. It does not belong in the anatomical direction, which is from bottom to top in the circle absorption of CO2."</t>
  </si>
  <si>
    <t>{
 Answer: "C",
 Explain: "As this IV anesthesia has a large volume of distribution, an increased volume of distribution often indicates that a drug is protein-bound. However, low plasma protein binding allows a drug to readily dissociate and distribute throughout various tissues and organs, not just in plasma."
}</t>
  </si>
  <si>
    <t>{
 Answer: "A",
 Explain: "Neostigmine has the longest duration of action among the options available, but it is dependent on biliary excretion, whereas the other two options are independent of renal function and therefore remain active."
}</t>
  </si>
  <si>
    <t>{
 "Answer": "B",
 Explain: "When the local anesthetic is injected into the cricothyroid membrane, it is most likely to spread upwards and block the internal branch of the superior laryngeal nerve, which is responsible for sensation on the epithelium of the larynx and palate, as well as sensation and motor control of the pharynx."
}</t>
  </si>
  <si>
    <t>{
 "Answer": "A",
 Explain: "Gagging during awake intubation is prevented by blocking the superior laryngeal nerve, which transmits the gag reflex from the tongue and larynx to the brain, effectively reducing discomfort and gagging sensation."
}</t>
  </si>
  <si>
    <t>{
 "Answer": "A",
 Explain: "As induction of anesthesia proceeds, the autonomic nervous system's thermoregulatory mechanisms including thermoregulatory vasoconstriction are abolished, leading to the reduction in core body temperature."
}</t>
  </si>
  <si>
    <r>
      <rPr>
        <rFont val="Arial"/>
        <color theme="1"/>
        <sz val="8.0"/>
      </rPr>
      <t xml:space="preserve">{
 "Answer": </t>
    </r>
    <r>
      <rPr>
        <rFont val="Arial"/>
        <color rgb="FFFF0000"/>
        <sz val="8.0"/>
      </rPr>
      <t>"(A.Because there is</t>
    </r>
    <r>
      <rPr>
        <rFont val="Arial"/>
        <color theme="1"/>
        <sz val="8.0"/>
      </rPr>
      <t xml:space="preserve"> only a mild drop in Sao2 from 98% to 94%, which is not severe despite increased tidal Volume (Vt), respiRate and decrease in alveolar aerial Gradient. It suggests that the likely cause is a decreased total FRC rather than hypoventialtion or inhomogeneous ventilation. It's unlikely that room air admixture is the cause as it would be more of a 90%""
}</t>
    </r>
  </si>
  <si>
    <t>{
 "Answer": "B",
 Explain: "The most affected nerves are the median, radial, and ulnar nerves, which are blocked by the suprclaicular block.
An additional block of the intercostobrachial, which supplies sensation to the lateral aspect of the brachium and axillary regions, allows for sufficient anesthesia for repair of the lesion and postoperative monitoring.
This results in a more comprehensive numbness and allows the tournisquacl to remain in place."</t>
  </si>
  <si>
    <t>{
 Answer: "'B",
 Explain: "After a single dose of propofol, metabolism is primarily responsible for ending its anesthetic effects because the body metabolizes propofol to several inactive metabolites, such as propofol glucuronide and propofol sulfate, through the cytochrome p450 enzyme system. This metabolic breakdown leads to a decrease in the plasma concentration of propofol and its elimination from the body."
}</t>
  </si>
  <si>
    <t>{
"Answer": "B",
"Explain": "Since only anesthesia was stable for 30 minutes, no other external or continuous airflow change occurs, and neither A nor C could cause a gradual decrease in the concentration detected by the O2 analyzer. Therefore, the likeliest explanation is the gradual accumulation of water on the O2 sensor membrane over time."
}</t>
  </si>
  <si>
    <t>{
 "Answer": "A",
 "Explain": "Ketamine works as an N-methyl-D-aspartate (NMDA) receptor antagonist, leading to a separation of neural circuits, producing instantaneous analgesia. Its fast onset and short duration make it an ideal agent for procedural sedation or anesthesia in emergent situations. Without the ceiling effect, patients administered ketamine can still benefit from higher doses leading to dissociative anesthesia."
}</t>
  </si>
  <si>
    <t>{
 "Answer": "C",
 Explain: "Fentanyl has a shorter elimination half-life (a timeframe within which the body eliminates 50% of the drug), which contributes to a decreased duration of action compared to morphine. A shorter half-life means 100% of the dose will be eliminated from the body faster. Therefore, this characteristic is more likely to explain the decreased duration of action."</t>
  </si>
  <si>
    <t>{
 Answer: "A",
 Explain: "The standard error of the mean shows how much the sample average deviates from the true population mean, this is the measure of precision of the population mean calculated from the sample data."</t>
  </si>
  <si>
    <t>{
 "Answer": "A",
 Explain: "Pulse oximetry accurately reflects oxygen saturation (SaO2) during the administration of indocyanine green, but not in situations with carboxyhemoglobinemia (choice B) where the reading can be erroneous, or with conditions that disturb peripheral perfusion as this results in faulty reading."</t>
  </si>
  <si>
    <t>{
 Answer: "C",
 Explain: "Fasting blood glucose is in a healthy range at 100 mg/dL and blood glucose usually increases during anesthesia due to hormonal changes from catecholamines and glucose load from maintenance IV fluids; while hypoglycemia may not always develop quickly, mild hypoglycemia can be more expected on emergence than markedly low or mild hyperglycemia."</t>
  </si>
  <si>
    <t>{
"Answer": "C",
"Explain": "Ranitidine is a histamine-2 (H2) blocker which reduces the production of gastric acid, causing a decrease in gastric acid production, thus increasing the overall gastric pH."
}</t>
  </si>
  <si>
    <t>{
 "Answer": "C",
 "Explain": "Nitrous oxide has a lower blood gas solubility compared to desflurane. Therefore, its alveolar and inspired concentrations equilibrate more rapidly because it leaves the circulation faster."
}</t>
  </si>
  <si>
    <t>{
 Answer: "A",
 Explain: "Denitrogenation reduces the differences between minute ventilation and perfusion, allowing the vital organs to maintain an even oxygen supply"
}</t>
  </si>
  <si>
    <r>
      <rPr>
        <rFont val="Arial"/>
        <color theme="1"/>
        <sz val="8.0"/>
      </rPr>
      <t xml:space="preserve">{
 "Answer": </t>
    </r>
    <r>
      <rPr>
        <rFont val="Arial"/>
        <color rgb="FFFF0000"/>
        <sz val="8.0"/>
      </rPr>
      <t>"B, Aphonia",</t>
    </r>
    <r>
      <rPr>
        <rFont val="Arial"/>
        <color theme="1"/>
        <sz val="8.0"/>
      </rPr>
      <t xml:space="preserve">
 Explain: "If a solitary paralysis of the left lateral cricothyroid (a muscle innervated by recurrent laryngeal nerve) occurs during thyroid surgery, it would cause paralysis of the medial portion of the contralateral vocal fold and a loss of its proper abduction. As a result, the left vocal cord would remain in a relatively fixed position at the midline, rather than moving away from it when speaking, causing aphonia (loss of voice)."</t>
    </r>
  </si>
  <si>
    <t>{
"Answer": A,
"Explain": "In normal adults breathing 100% O2 for 10 minutes would result in nearly complete replacement of carbon dioxide in the alveoli and lungs, leading to significant decrease in mixed venous PVO2. As the blood picks up less CO2 from peripheral tissues, it returns to the lungs with lower PVO2, and its mixed venous PVO2 decreases. Therefore, the normal range for mixed venous PO2 in inspired oxygen concentrations above 90% for 10 minutes exceeds 45:mm."
}</t>
  </si>
  <si>
    <t>{
 "Answer": "A",
 Explain: "Flumazenil has the shortest elimination half-life, followed by midazolam, and then lorazepam, due to its high liver metabolism and lack of active metabolites."</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</si>
  <si>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</si>
  <si>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"First, calculate the total flow rate: 100 mL/min + 5 L/min = 5.1 L/min. Then, calculate the volume of the anesthetic vapor in the mixture: 100 mL/min / 150 mmHg = 0.67 mL/min. Finally, calculate the delivered anesthetic concentration: 0.67 mL/min / 5.1 L/min = 0.13, which is equivalent to 0.5%."
}</t>
  </si>
  <si>
    <t>{
 "Answer": "A",
 Explain: "In a Bain circuit, the circuit is designed to remove exhaled gases, reducing the amount of rebreathed CO2 compared to a semiclosed circle system. This is because the Bain circuit has a higher minute ventilation and a more efficient CO2 absorption system, resulting in less rebreathing of CO2."
}</t>
  </si>
  <si>
    <t>{
 "Answer": "A",
 Explain: "Acute cocaine intoxication increases the minimum alveolar concentration (MAC) of isoflurane, making it more difficult to achieve adequate anesthesia. This is because cocaine is a potent stimulant that can increase sympathetic tone and heart rate, leading to increased oxygen consumption and a higher MAC requirement."
}</t>
  </si>
  <si>
    <t>{
 "Answer": "B",
 Explain: "The patient has complete anesthesia in the median, radial, and ulnar nerve distributions, indicating a high-level brachial plexus block. The procedure requires an additional 2 hours of tourniquet inflation, suggesting that the block is not resolving. An intercostobrachial block targets the lateral thoracic cutaneous nerve, which is a branch of the brachial plexus, and would be the most likely nerve to provide additional anesthesia for the remaining procedure."
}</t>
  </si>
  <si>
    <t>{
 "Answer": "A",
 Explain: "An induction dose of ketamine is most likely to have analgesic effects, as it is a dissociative anesthetic that can rapidly induce a state of dissociation from pain and reduce pain perception."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</si>
  <si>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</si>
  <si>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pain and nausea 30 minutes after receiving morphine and midazolam, which suggests that the pain is likely due to morphine-induced bowel spasm. Naloxone is the most appropriate therapy to reverse the effects of morphine and relieve the patient's symptoms."
}</t>
  </si>
  <si>
    <t>{
 "Answer": "B",
 "Explain": "Normal saline is the most appropriate initial management for a patient with primary hyperparathyroidism and hypercalcemia. This is because it helps to dilute the excess calcium in the blood and reduces the risk of cardiac arrhythmias and other complications. It is also a safe and effective treatment option that can be used in conjunction with other therapies."</t>
  </si>
  <si>
    <t>{
 "Answer": "B",
 Explain: "Genetic testing of the ryanodine receptor is the most reliable test to predict the likelihood of developing malignant hyperthermia, as it directly detects the presence of specific mutations in the ryanodine receptor gene that are associated with the condition."
}</t>
  </si>
  <si>
    <t>{
 "Answer": "B",
 Explain: "First, calculate the volume of fresh gas (5 L/min) in mL/min by multiplying by 1000 (since 1 L = 1000 mL). This is 5000 mL/min. Then, calculate the volume of anesthetic added (100 mL/min) and divide it by the total volume of gas (5000 mL/min + 100 mL/min = 5100 mL/min). This gives a ratio of 100/5100 = 0.02. Finally, multiply this ratio by the vapor pressure of the anesthetic (150 mmHg) to get the delivered anesthetic concentration, which is 0.5%."</t>
  </si>
  <si>
    <t>{
 "Answer": "C",
 Explain: "Vasoconstriction is the most effective mechanism for maintaining body temperature in this patient because it reduces heat loss by convection and radiation. When the patient is anesthetized, their body's ability to shiver is impaired, and nonshivering thermogenesis is not a significant contributor to heat production. Vasoconstriction helps to reduce heat loss by decreasing blood flow to the skin, thereby minimizing heat loss through radiation and convection."
}</t>
  </si>
  <si>
    <t>{
 "Answer": "C",
 Explain: "Midazolam has a longer duration of action than flumazenil, which means that even after flumazenil is administered to antagonize the sedative effects of midazolam, the patient may still be at risk of prolonged sedation. Therefore, the patient should remain hospitalized for observation to ensure their safety."
}</t>
  </si>
  <si>
    <t>{
 "Answer": "C",
 Explain: "The total dose of drug has the greatest effect on the extent of spread of local anesthetic following subarachnoid block with hyperbaric bupivacaine. This is because the dose of the anesthetic determines the amount of drug that spreads to different areas of the spinal cord and nerves, ultimately affecting the extent of the block."
}</t>
  </si>
  <si>
    <t>{
 "Answer": "B",
 Explain: "The patient is experiencing pulmonary edema, which is a sign of fluid overload. Furosemide, a diuretic, is the most appropriate management strategy to help remove excess fluid from the lungs and improve oxygenation. This is more effective than administering bronchodilators like albuterol, which would not address the underlying issue of fluid overload, and positive-pressure ventilation, which may worsen the situation."</t>
  </si>
  <si>
    <t>{
 "Answer": "C",
 Explain: "The patient's symptoms of nausea, diaphoresis, and sharp pain in the left shoulder 45 minutes after the start of the procedure suggest that the spinal anesthetic may have worn off, causing inadequate sensory blockage, which is the most likely cause."
}</t>
  </si>
  <si>
    <t>{
 "Answer": "B",
 Explain: "The patient is in the Trendelenburg position with CO2 insufflation, which can cause compression of the vena cava, leading to decreased venous return and decreased oxygen saturation. The increase in ETCO2 suggests that the body is trying to compensate for the decreased oxygenation by increasing ventilation, which is not seen in CO2 embolus or right mainstem endobronchial intubation."
}</t>
  </si>
  <si>
    <t>{
 "Answer": "B",
 "Explain": "After a laparoscopic cholecystectomy, the patient is likely to experience hypoventilation due to the effects of anesthesia and opioids, which can cause a decrease in tidal volume and respiratory rate, leading to hypoxemia."
}</t>
  </si>
  <si>
    <t>{
 "Answer": "A",
 Explain: "Pressure support breaths in a patient receiving pressure support ventilation are triggered by a decrease in airway pressure, which indicates the need for additional ventilatory support."
}</t>
  </si>
  <si>
    <t>{
 "Answer": "B",
 Explain: "During anesthesia induction, the increased heart rate from 60 bpm to 120 bpm increases the metabolic demand of the myocardium. To satisfy this increased demand, the body increases coronary perfusion pressure, which is the pressure exerted by the blood vessels that supply oxygen and nutrients to the heart muscle. This increased pressure ensures that the heart receives the necessary oxygen and nutrients to meet its increased metabolic demands."
}</t>
  </si>
  <si>
    <t>{
 "Answer": "B",
 Explain: "Prothrombin time (B) is the most likely to confirm adequate synthetic hepatic function because it measures the clotting ability of the liver, which is a critical function of the liver. A normal prothrombin time indicates that the liver is producing adequate amounts of clotting factors, suggesting good synthetic function."
}</t>
  </si>
  <si>
    <t>{
 "Answer": "B",
 Explain: "ECG synchronization is the best strategy to prevent ventricular dysrhythmias in a patient undergoing extracorporeal shock wave lithotripsy. This is because it ensures that the lithotripter is fired in sync with the patient's ECG, reducing the risk of dysrhythmias caused by electrical discharge during the procedure."</t>
  </si>
  <si>
    <t>{
 "Answer": "A",
 Explain: "In a Bain circuit, the circuit is not fully closed, allowing for a small amount of fresh gas to escape, which reduces the rebreathing of CO2 compared to a semiclosed circle system."
}</t>
  </si>
  <si>
    <t>{
 "Answer": "A",
 Explain: "The anesthesiologist should administer cefazolin as it is a beta-lactam antibiotic that is effective against a wide range of bacterial infections, and the patient's previous reaction to penicillin does not necessarily mean they will react the same way to cefazolin."
}</t>
  </si>
  <si>
    <t>{
 "Answer": "A",
 Explain: "Acute cocaine intoxication decreases the MAC of isoflurane by increasing the activity of the sympathetic nervous system, which can lead to increased heart rate and blood pressure, resulting in increased cardiac output and increased oxygen demand, thereby decreasing the anesthetic requirement."
}</t>
  </si>
  <si>
    <t>{
 "Answer": "A",
 Explain: "Bupivacaine primarily blocks the release of norepinephrine, a neurotransmitter that plays a crucial role in regulating heart rate and blood pressure. This blockade leads to a decrease in systemic vascular resistance and cardiac output, ultimately resulting in a decrease in blood pressure."
}</t>
  </si>
  <si>
    <t>{
 "Answer": "B",
 Explain: "In clinical hypothyroidism, decreased thyroid hormone levels lead to decreased sympathetic nervous system activity, resulting in decreased myocardial contractility."
}</t>
  </si>
  <si>
    <t>{
 "Answer": "B",
 Explain: "Methohexital is more likely to be associated with longer seizure duration when used for electroconvulsive therapy due to its slower onset and longer duration of action compared to etomidate and propofol."
}</t>
  </si>
  <si>
    <t>{
 "Answer": "B",
 Explain: "In a circle system, the CO2 absorber is typically placed after the fresh gas inlet, not before it. The correct order is: fresh gas inlet, then CO2 absorber, and finally the expiratory valve."
}</t>
  </si>
  <si>
    <t>{
 "Answer": "C",
 "Explain": "A large volume of distribution indicates that the drug is distributed widely throughout the body, including in tissues and organs. This is consistent with low plasma protein binding, as the drug is not strongly attached to plasma proteins, allowing it to be more readily distributed throughout the body."
}</t>
  </si>
  <si>
    <t>{
 "Answer": "A",
 Explain: "Neostigmine has a longer duration of action in patients with renal failure because it is metabolized in the liver, not excreted by the kidneys, so its elimination is not significantly affected by renal impairment."
}</t>
  </si>
  <si>
    <t>{
 "Answer": "C",
 Explain: "When instilling local anesthetic into the trachea via the cricothyroid membrane, it is most likely to block the recurrent laryngeal nerve, which is located near the cricothyroid membrane and supplies sensation to the larynx."
}</t>
  </si>
  <si>
    <t>{
 "Answer": "A",
 Explain: "Gagging during awake intubation is prevented by local anesthetic block of the superior laryngeal nerve, which is responsible for the gag reflex. Blocking this nerve reduces the gag response, making the intubation process smoother and more comfortable for the patient."
}</t>
  </si>
  <si>
    <t>{
 "Answer": "B",
 Explain: "First, the patient's SpO2 decreased from 98% to 84% over 1 hour, indicating a gradual decline in oxygenation. This suggests that the cause of hypoxemia is not acute, but rather a chronic issue. Given that increasing FiO2 to 1.0 improved oxygenation to 92%, the likely cause is increased dead space ventilation (B), which is not being effectively removed by the mechanical ventilation system, leading to a decrease in PaO2 and SpO2."
}</t>
  </si>
  <si>
    <t>{
 "Answer": "B",
 Explain: "The patient has complete anesthesia in the median, radial, and ulnar nerve distributions, indicating a brachial plexus block. The procedure requires an additional 2 hours of tourniquet inflation, which is unusual. The most likely cause is the block affecting the axillary nerve, but the patient does not have anesthesia in the deltoid region. The intercostobrachial nerve block would not explain the anesthesia in the radial and ulnar distributions. Therefore, the next step is to perform an intercostobrachial nerve block to supplement the existing block."
}</t>
  </si>
  <si>
    <t>{
 "Answer": "A",
 Explain: "After a single dose of propofol, redistribution is primarily responsible for emergence. This is because propofol is highly soluble in lipids and rapidly redistributes from the brain and other tissues to other parts of the body, leading to a decrease in its anesthetic effect and emergence from anesthesia."
}</t>
  </si>
  <si>
    <t>{
 "Answer": "B",
 Explain: "When the O2 analyzer reading decreases from 50% to 30%, it suggests that there is a decrease in the amount of O2 being delivered. Since the flow rate of O2 is constant at 2 L/min, the most likely cause is the accumulation of water on the O2 sensor membrane, which would reduce the sensor's ability to accurately measure the O2 concentration."
}</t>
  </si>
  <si>
    <t>{
 "Answer": "B",
 Explain: "Pulse oximetry accurately reflects SaO2 in situations of carboxyhemoglobinemia because carboxyhemoglobin does not absorb light in the same way as oxygenated hemoglobin, allowing the pulse oximeter to accurately measure the true SaO2."
}</t>
  </si>
  <si>
    <t>{
 "Answer": "B",
 Explain: "When a patient is receiving a 4-hour general anesthetic, their blood glucose levels tend to rise due to the stress response and increased glucose production from the liver. As the anesthetic takes effect, the patient's blood glucose levels will likely peak around 1-2 hours after induction and then gradually decrease. Therefore, on emergence, the patient's blood glucose level is most likely to be mildly elevated, which is option B, mild hyperglycemia."</t>
  </si>
  <si>
    <t>{
 "Answer": "C",
 Explain: "Ranitidine is an H2 blocker that decreases gastric acid secretion, thereby increasing gastric pH, while also reducing gastric volume by decreasing the amount of food and acid produced in the stomach."
}</t>
  </si>
  <si>
    <t>{
 "Answer": "C",
 "Explain": "Nitrous oxide has a lower blood gas solubility compared to desflurane, which means it can diffuse out of the bloodstream and into the alveoli more quickly, allowing for a faster equilibration of alveolar and inspired concentrations."
}</t>
  </si>
  <si>
    <t>{
 "Answer": "B",
 Explain: "When the left recurrent laryngeal nerve is injured, the left vocal cord is paralyzed, resulting in weakness or paralysis of the cord's abduction. As a result, the patient is likely to experience aphonia, or the inability to speak, due to the lack of movement of the left vocal cord."
}</t>
  </si>
  <si>
    <t>{
 "Answer": "A",
 Explain: "When breathing 100% O2 for 10 minutes, the body's need for oxygen is met, and the lungs can extract more oxygen from the air. As a result, the mixed venous O2 tension increases, but not to the same level as the inspired O2 tension. In a normal adult, the expected mixed venous O2 tension after breathing 100% O2 for 10 minutes is around 45 mmHg."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</si>
  <si>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</si>
  <si>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"Blockage of the tibial nerve is most likely for an operation at the medial aspect of the lower leg as it runs down the medial (inner) aspect of the leg, and its proximity to the operation site increases the risk of injury during the procedure."</t>
  </si>
  <si>
    <t>{
 "Answer": "C",
 Explain: "Since the patient is experiencing opioid-related adverse effects (nausea and pain), the most appropriate therapy is to antagonize the opioid action. Naloxone is a pure opioid antagonist that reverses the effects of morphine, which is the suspected cause of the patient's symptoms."</t>
  </si>
  <si>
    <t>{
 "Answer": "B",
 "Explain": "The patient has primary hyperparathyroidism with hypercalcemia, and her serum calcium concentration is 15 mg/dL. Normal saline is the most appropriate initial management to treat hypercalcemia by diluting the ionized calcium in the bloodstream, helping to lower the serum calcium concentration. This is the first step in the treatment plan before further interventions are made."</t>
  </si>
  <si>
    <t>{
 "Answer": "B",
 Explain: "Step 1: Genetic testing of the ryanodine receptor has a high sensitivity and specificity for diagnosing malignant hyperthermia. Step 2: This test directly detects mutations in the ryanodine receptor gene, which are a known cause of malignant hyperthermia. Step 3: Genetic testing is considered the gold standard for predicting the likelihood of developing malignant hyperthermia."
}</t>
  </si>
  <si>
    <t>{
 "Answer": "A",
 Explain: "To solve this problem, we need to calculate the delivered anesthetic concentration in the fresh gas flow. Since the vaporizer has a vapor pressure of 150 mmHg and the fresh gas flow is 5 L/min, we can assume that 150 mL of anesthetic vapor is being delivered per minute. Therefore, the delivered anesthetic concentration is 150 mL/(100 mL + 5000 mL) = 0.03% or 0.25%."
}</t>
  </si>
  <si>
    <t>{
 "Answer": "C",
 Explain: "Vasoconstriction occurs earlier in hypothermia than shivering thermogenesis, allowing for a more rapid and effective response to maintain body temperature. As a result, vasoconstriction is the most effective mechanism for maintaining body temperature in an anesthetized patient with mild hypothermia."
}</t>
  </si>
  <si>
    <t>{
 "Answer": "C",
 Explain: "Midazolam, a benzodiazepine, is known to have a longer duration of action compared to flumazenil, which is a benzodiazepine receptor antagonist. This means that even after the administration of flumazenil, the effects of midazolam may not be completely reversed, and the patient may still be under the influence of the sedative for an extended period. As a result, it is necessary to observe the patient for a longer period, such as several hours, to ensure that the effects of midazolam have fully resolved before sending him home."
}</t>
  </si>
  <si>
    <t>{
 "Answer": "C",
 Explain: "The total dose of the drug has the greatest effect on the extent of spread of local anesthetic following subarachnoid block with hyperbaric bupivacaine because increasing the dose can increase the concentration of the anesthetic in the CSF, resulting in a more extensive spread of the block."
}</t>
  </si>
  <si>
    <t>{
 "Answer": "B",
 Explain: "Furosemide is the most appropriate management because the boy has developed pulmonary edema, which is a type of fluid overload. Furosemide is a loop diuretic that can help reduce fluid in the lungs and improve oxygenation. It should be administered immediately, as it can help improve the boy's SpO2 and alleviate his symptoms."</t>
  </si>
  <si>
    <t>{
 "Answer": "C",
 Explain: "The patient's symptoms, including sudden onset of nausea, diaphoresis, and sharp pain in the left shoulder, are consistent with the delayed onset of sympathetic symptoms, which is more likely caused by inadequate spinal sensory level, rather than angina pectoris or bladder perforation."</t>
  </si>
  <si>
    <t>{
 "Answer": "B",
 Explain: "Step 1: CO2 insufflation increases venous return and can lead to compression of the vena cava. Step 2: Compression of the vena cava reduces cardiac output, which decreases oxygen delivery to the tissues. Step 3: The resulting hypoxia leads to a decrease in SpO2."
}</t>
  </si>
  <si>
    <t>{
 "Answer": "B",
 "Explain": "Two hours after a laparoscopic cholecystectomy, the woman is still under general anesthesia and receiving IV PCA with morphine, which may cause sedation and decreased respiratory drive. As a result, the patient is likely experiencing hypoventilation, leading to hypoxemia."</t>
  </si>
  <si>
    <t>{
 "Answer": "A",
 Explain: "Pressure support breaths in a patient receiving pressure support ventilation are triggered by a decrease in airway pressure, which signals the need for mechanical assistance. The ventilator senses this drop in pressure and delivers a predetermined amount of positive pressure to help the patient breathe."</t>
  </si>
  <si>
    <t>{
 "Answer": "B",
 Explain: "Increased coronary perfusion pressure is most likely to satisfy the increased metabolic demand of the myocardium. When anesthesia is induced, the heart rate increases, and the cardiac output increases to maintain blood pressure. This increased demand for oxygen is met by increasing coronary perfusion pressure, which allows for greater delivery of oxygen to the myocardium."</t>
  </si>
  <si>
    <t>{
 "Answer": "B",
 Explain: "The Prothrombin time (PT) is a measure of the extrinsic coagulation pathway and the activity of liver-produced clotting factors, which are produced in the liver. Adequate liver function is necessary for the production of these factors, making PT a good indicator of synthetic hepatic function."</t>
  </si>
  <si>
    <t>{
 "Answer": "B",
 Explain: "ECG synchronization prevents electrical discharges from triggering arrhythmias during the high-energy shock wave bursts delivered during extracorporeal shock wave lithotripsy."
}</t>
  </si>
  <si>
    <t>{
 "Answer": "A",
 Explain: "In a Bain circuit, rebreathing of CO2 is decreased due to the fresh gas flowing in continuously and diluting the CO2 in the circuit, resulting in a faster removal of CO2 and a lower increase in CO2 levels."
}</t>
  </si>
  <si>
    <t>{
 "Answer": "C",
 Explain: "The patient is in the lateral position, which can cause compression of the inferior lobe of the lung, leading to a reduction in functional lung tissue and decreased CO2 clearance between points A and B."
}</t>
  </si>
  <si>
    <t>{
 "Answer": "A",
 Explain: "Because the patient developed a rash after penicillin administration, he likely has a history of immediate hypersensitivity to penicillin. Cefazolin is not a beta-lactam antibiotic and does not contain the same chemical structure as penicillin, making it a suitable alternative antibiotic."
}</t>
  </si>
  <si>
    <t>{
 "Answer": "B",
 Explain: "Chronic ethanol abuse decreases serum albumin levels, leading to an increase in the volume of distribution of isoflurane, resulting in a decrease in its MAC."
}</t>
  </si>
  <si>
    <t>{
 "Answer": "A",
 Explain: "Bupivacaine blocks the release of norepinephrine, a neurotransmitter that stimulates the sympathetic nervous system, leading to a decrease in heart rate and blood pressure, making it the primary toxic effect on the cardiovascular system."
}</t>
  </si>
  <si>
    <t>{
 "Answer": "C",
 Explain: "Hyperthermia causes an increase in oxygen delivery to tissues, resulting in a higher rate of oxygen utilization and a rightward shift in the oxyhemoglobin dissociation curve."
}</t>
  </si>
  <si>
    <t>{
 "Answer": "B",
 Explain: "In clinical hypothyroidism, thyroid hormone deficiency leads to decreased sympathetic nervous system activity, resulting in decreased cardiac contractility and a decreased resting heart rate. This means that myocardial contractility is decreased, leading to a reduced ability to respond to increased oxygen demand, such as during exercise."
}</t>
  </si>
  <si>
    <t>{
 "Answer": "B",
 Explain: "Methohexital is associated with a longer seizure duration compared to other anesthetic agents, such as etomidate and propofol, due to its longer elimination half-life and greater propensity for prolonged sedation."
}</t>
  </si>
  <si>
    <t>{
 "Answer": "A",
 Explain: "Etomidate is a non-barbiturate, anesthetic agent that has no significant effect on GABA receptors. The other two options, ketamine and propofol, are both known to increase the activity of GABA receptors, whereas etomidate does not."
}</t>
  </si>
  <si>
    <t>{
 "Answer": "B",
 Explain: "The CO2 absorber is typically located before the inspiratory valve in a rebreathing circle system, not after the fresh gas inlet."
}</t>
  </si>
  <si>
    <t>{
 "Answer": "C",
 "Explain": "A drug with a large volume of distribution means it is likely to distribute widely throughout the body, rather than being confined to the blood vessels. This is typically characteristic of a drug with low plasma protein binding, as the protein binding sites in the blood are occupied by the drug, allowing it to be distributed freely in the tissues."
}</t>
  </si>
  <si>
    <t>{
 "Answer": "A",
 Explain: "Neostigmine has a longer duration of action in patients with renal failure because it is metabolized in the liver, not the kidneys. Its excretion is primarily through bile secretion, which is not affected by kidney function."
}</t>
  </si>
  <si>
    <t>{
 "Answer": "C",
 Explain: "When instilling local anesthetic into the trachea via the cricothyroid membrane, it is most likely to block the recurrent laryngeal nerve, which supplies the larynx and surrounding structures, providing anesthesia to the glottis and epiglottis."
}</t>
  </si>
  <si>
    <t>{
 "Answer": "A",
 Explain: "A superior laryngeal nerve block is done to anesthetize the superior portion of the larynx, which helps prevent gagging during awake intubation by numbing the sensitive areas of the epiglottis and surrounding tissues."
}</t>
  </si>
  <si>
    <t>{
 "Answer": "A",
 Explain: "When anesthesia induces sedation, the brain's thermoregulatory center is affected, leading to a decrease in thermoregulatory vasoconstriction, causing the core temperature to drop. As a result, blood flow is redistributed away from the core and towards the skin, leading to a decrease in core temperature."</t>
  </si>
  <si>
    <t>{
 "Answer": "A",
 Explain: "Since his oxygen saturation decreases initially and then improves when the FiO2 is increased to 1.0, the likely cause of hypoxemia is not due to the high concentration of oxygen. Decreased FRC is the most likely cause as it can reduce alveolar oxygen uptake, leading to hypoxemia."
}</t>
  </si>
  <si>
    <t>{
 "Answer": "A",
 Explain: "An axillary block is necessary because the patient already has numbness in the median, radial, and ulnar nerve distributions, which means the nerves in the arm have been anesthetized. The procedure has required a two-hour tourniquet inflation, indicating that a significant amount of surgery has been performed, and therefore the axillary nerve, which supplies the shoulder and lateral upper arm, needs to be blocked as well to ensure complete anesthesia."</t>
  </si>
  <si>
    <t>{
 "Answer": "A",
 Explain: "Redistribution is primarily responsible for emergence after a single dose of propofol because the drug rapidly distributes into the peripheral tissues and organs, making it unavailable to the brain and central nervous system, thereby ending its anesthetic effects."</t>
  </si>
  <si>
    <t>{
 "Answer": "B",
 Explain: "Step 1: O2 is a colorimetric gas that changes color in response to changes in its concentration. Step 2: Since the oxygen analyzer reading decreased from 50% to 30%, it is likely that the O2 sensor membrane has accumulated water, which can cause the reading to decrease. Step 3: The presence of water on the sensor membrane can occur due to ambient humidity, making it the most likely cause of the decrease in O2 analyzer reading."
}</t>
  </si>
  <si>
    <t>{
 "Answer": "A",
 Explain: "Ketamine's rapid onset of analgesia makes it the most likely choice for an induction dose, as it provides quick relief from pain."
}</t>
  </si>
  <si>
    <t>{
 "Answer": "C",
 "Explain": "Fentanyl has a shorter elimination half-life compared to morphine, meaning it is broken down and eliminated from the body more quickly. This results in a shorter duration of action."
}</t>
  </si>
  <si>
    <t>{
 "Answer": "A",
 Explain: "The standard error of the mean shows the precision of the population mean by estimating how closely the sample mean represents the true population mean. In other words, it measures the spread of the sample means that could be expected if the sample were repeated many times."</t>
  </si>
  <si>
    <t>{
 "Answer": "A",
 Explain: "Pulse oximetry accurately reflects SaO2 during the administration of indocyanine green because indocyanine green does not absorb or emit light in the same spectrum as pulse oximetry, so it does not interfere with the accurate measurement of oxygen saturation."
}</t>
  </si>
  <si>
    <t>{
 "Answer": "B",
 Explain: "During a 4-hour general anesthetic, the patient's glucose level would gradually decrease as their liver releases stored glucose (glycogen) to maintain blood glucose levels. By the end of the 4-hour period, the patient's blood glucose level would likely return to a level similar to what it was at the start, which was 100 mg/dL. This is considered mild hyperglycemia."</t>
  </si>
  <si>
    <t>{
 "Answer": "C",
 Explain: "Ranitidine, an H2 blocker, decreases gastric acid production, thereby increasing gastric pH while also reducing gastric volume."
}</t>
  </si>
  <si>
    <t>{
 "Answer": "C",
 "Explain": "Nitrous oxide has a lower blood gas solubility compared to desflurane, which means it diffuses more easily from the bloodstream into the lungs and out of the lungs into the atmosphere. This faster rate of diffusion allows alveolar and inspired concentrations of nitrous oxide to equilibrate more rapidly."
}</t>
  </si>
  <si>
    <t>{
 "Answer": "B",
 Explain: "Prior to anesthetic induction, denitrogenation helps to increase oxygen reserve in the functional residual capacity (FRC) to prepare the patient for artificial ventilation. This allows for better matching of ventilation and perfusion, but the primary goal is to increase oxygen reserve in the FRC, which is the amount of oxygen stored in the lungs that can be used during apnea."</t>
  </si>
  <si>
    <t>{
 "Answer": "B",
 Explain: "During a thyroidectomy, damage to the left recurrent laryngeal nerve can lead to loss of the innervation of the vocal cord, resulting in paralysis of the cord. This paralysis typically causes a loss of abduction of the cord, leading to impaired or absent voice production, known as aphonia."
}</t>
  </si>
  <si>
    <t>{
 "Answer": "A",
 Explain: "After breathing 100% O2 for 10 minutes, the alveolar O2 levels increase, but the O2 delivery to the body tissues is still not fully saturated. The mixed venous O2 tension would increase slightly, reaching a value around 45 mmHg, which is closer to the inspired O2 levels."
}</t>
  </si>
  <si>
    <t>{
 "Answer": "A",
 "Explain": "Flumazenil has a shorter elimination half-life compared to Lorazepam and Midazolam due to its rapid hydrolysis by butyrylcholinesterase in plasma."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</si>
  <si>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</si>
  <si>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"As the question asks about the medial aspect of the lower leg, the most likely nerve to be blocked for an operation would be the Tibial nerve, as it originates below the knee joint and has a larger medially-located branch that would potentially be in the way of an operation."</t>
  </si>
  <si>
    <t>{
 "Answer": "C",
 Explain: "Flumazenil (A) and Ketorolac (B) are not relevant to opioid overdose or allergic reactions, whereas Naloxone (C) is the antidote to reverse opioid overdosage. Since the patient has sudden severe pain and is experiencing opioid-related symptoms, Naloxone is the most appropriate choice."</t>
  </si>
  <si>
    <t>{
 "Answer": "B",
 "Explain": "A calcium crisis is a serious medical emergency, so normal saline infusion is the most appropriate initial management to dilute the elevated serum calcium levels. IV infusion of 1-2 liters of normal saline can help reduce serum calcium concentrations quickly and prevent cardiac arrhythmias."
}</t>
  </si>
  <si>
    <t>{
 "Answer": "B",
 Explain: "Genetic testing of the ryanodine receptor is considered the most reliable test for predicting the likelihood of developing malignant hyperthermia. This is because a specific mutation in the ryanodine receptor can indicate the presence of the condition, and genetic testing has been shown to have a higher sensitivity and specificity compared to calcium uptake assay and caffeine-halothane contracture test."</t>
  </si>
  <si>
    <t>{
 "Answer": "C",
 "Explain": "The delivered anesthetic concentration is calculated by dividing the vaporizer output (100 mL/min x 150 mmHg) by the total gas flow (100 mL/min + 5000 mL/min = 5100 mL/min). This equals 2.47%. To the nearest tenth, the closest choice is 2.5%. Therefore, the delivered anesthetic concentration is 2.5%."</t>
  </si>
  <si>
    <t>{
 "Answer": "C",
 Explain: "During anesthesia, isoflurane can cause vasodilation, which leads to heat loss. Vasoconstriction is the body's most effective mechanism to maintain body temperature by reducing heat loss through the skin, thereby preventing further cooling of the patient."
}</t>
  </si>
  <si>
    <t>{
 "Answer": "C",
 Explain: "After administration of flumazenil, it only antagonizes the effects of midazolam by binding to benzodiazepine receptors, but it takes longer for its effect to start and peak. Therefore, the sedation from midazolam may not fully wear off immediately, and the patient may still require hospitalization for observation to ensure they can breathe adequately."
}</t>
  </si>
  <si>
    <t>{
 "Answer": "C",
 Explain: "Subarachnoid block dose and spread are directly proportional. Higher doses result in more extensive spread. As a result, the total dose of the drug exerts the greatest effect on the extent of spread of local anesthetic."</t>
  </si>
  <si>
    <t>{
 "Answer": "C",
 Explain: "Positive-pressure ventilation is the most appropriate management as the boy's pulmonary edema likely results from anaphylaxis due to the anesthesia, leading to cardiac instability. By mechanically assisting the boy's breathing, clinicians can stabilize his respiratory status, which is more important at this moment."
}</t>
  </si>
  <si>
    <t>{
 "Answer": "C",
 "Explain": "A 45-minute duration between the start of anesthesia and symptoms suggests that the sudden event is not related to the initial effects of spinal anesthesia, such as angina (A). Bladder perforation would likely cause peritoneal irritation and symptoms different from those experienced. The most likely cause is inadequate spinal sensory level, leading to unexpected emergence from the anesthesia-induced sedative state and awareness of sharp pain and unpleasant sensations."</t>
  </si>
  <si>
    <t>{
 "Answer": "B",
 "Explain": "Given that the patient is in the Trendelenburg position with CO2 insufflation, it is most likely that compression of the vena cava is the cause of the decrease in SpO2. The increase in PECO2 may indicate that there is increased abdominal pressure due to gas insufflation, which can cause compression of the vena cava and reduce blood flow to the lungs."</t>
  </si>
  <si>
    <t>{
 "Answer": "B",
 Explain: "The most likely cause of hypoxemia in this patient is hypoventilation due to the residual effect of the anesthesia and potential pain from the surgery, which may lead to a decrease in tidal volume and breathing rate."
}</t>
  </si>
  <si>
    <t>{
 "Answer": "A", 
 "Explain": "In a patient receiving pressure support ventilation, pressure support breaths are triggered by a decrease in airway pressure. The system continuously monitors airway pressure and triggers the pressure support breath when the pressure drops below a certain threshold, allowing for more oxygen and air to flow into the lungs."
}</t>
  </si>
  <si>
    <t>{
 "Answer": "B",
 "Explain": "During stress or hyperthyroidism, the body's metabolic demand for oxygen and energy increases. This leads to an increase in heart rate and blood pressure. To meet this increased demand, the most significant adaptive mechanism is increased blood pressure, which ensures adequate blood flow to the tissues. Increasing coronary perfusion pressure would thus most likely satisfy the increased metabolic demand of the myocardium."
}</t>
  </si>
  <si>
    <t>{
 "Answer": "B",
 Explain: "Prothrombin time is the best marker to confirm adequate synthetic hepatic function, as it tests the production and function of coagulation proteins made by the liver, such as clotting factors, particularly factor VII, which has a 6-hour half-life, and also tests liver's synthesis and storage of vitamin K-dependent clotting factors, whereas partial thromboplastin time only evaluates one stage of coagulation, while serum alanine aminotransferase primarily measures liver injury."
}</t>
  </si>
  <si>
    <t>{
 Answer: "A",
 Explain: "Beta-adrenergic blockade can help prevent ventricular dysrhythmias by stabilizing the myocardium and decreasing the risk of arrhythmias. It is often used in high-risk patients or those with a history of heart conditions. Steps include initiating beta blockers a day before the procedure and monitoring the patient's ECG and vital signs during the treatment."
}</t>
  </si>
  <si>
    <t>A.</t>
  </si>
  <si>
    <t>{
 "Answer": "A.",
 "Explain": "A Bain circuit exhibits less rebreathing of CO2 compared to a semi-closed circle system because the partial rebreathing of gases is limited, reducing the need for gas to recirculate and the subsequent build-up of CO2."
}</t>
  </si>
  <si>
    <t>{
 "Answer": "C",
 "Explain": "In lateral positioning, the diaphragm moves upward, impeding respiratory motion. This increased resistance leads to increased end-expiratory pressure and a decrease in tidal volume, resulting in the flattened capnograph waveform seen between points A and B."
}</t>
  </si>
  <si>
    <t>{
 "Answer": "C,
 Explain: "Given that the patient has a known allergy to penicillin and a rash developed with previous penicillin administration, the most cautious approach is to administer vancomycin, which is not a penicillin-derived antibiotic, to ensure effective antibiotic treatment without exacerbating the patient's known allergy."</t>
  </si>
  <si>
    <t>{
 "Answer": "A",
 Explain: "Acute cocaine intoxication can decrease MAC of isoflurane because cocaine is a potent bronchodilator that can decrease functional residual capacity and increase VD/VT, leading to increased anesthetic requirements for adequate sedation and anesthesia."</t>
  </si>
  <si>
    <t>{
 "Answer": "A",
 Explain: "Bupivacaine's primary effect on the cardiovascular system is to block the release of norepinephrine, a sympathetic neurotransmitter. This blockade causes a decrease in sympathetic tone, leading to a reduction in heart rate, blood pressure, and cardiac output."</t>
  </si>
  <si>
    <t>{
 "Answer": "C",
 Explain: "Hyperthermia causes a rightward shift in the oxyhemoglobin dissociation curve because high body temperature raises the affinity of hemoglobin for oxygen, making it less available for binding to tissues, thereby shifting the curve to the right."
}</t>
  </si>
  <si>
    <t>{
 "Answer": "A",
 Explain: "In hypothyroidism, reduced levels of thyroid hormones lead to a decrease in metabolic rate, and as a result, muscle contractions are slowed down, which is reflected in decreased muscular work (MAC), making it the most likely to be decreased finding."
}</t>
  </si>
  <si>
    <t>{
 "Answer": "B",
 "Explain": "Methohexital is most likely to be associated with longer seizure duration when used for electroconvulsive therapy because it has a longer elimination half-life, causing its effects to last longer and increasing the risk of prolonged seizure duration."
}</t>
  </si>
  <si>
    <t>{
 "Answer": "B",
 Explain: "Ketamine blocks glutamate and NMDA receptors rather than directly stimulating the GABA receptor, so it does not enhance GABA activity."
}</t>
  </si>
  <si>
    <t>{
 "Answer": "B",
 Explain: "In a circle system, a CO2 absorber is typically placed before the fresh gas inlet to remove CO2 and moisture from the expired gas, rather than being placed before the expiratory valve, which would cause a bottleneck in gas flow."
}</t>
  </si>
  <si>
    <t>{
 Answer: "C",
 Explain: "When an anesthetic has a large volume of distribution, it tends to distribute quickly throughout the body tissues, leading to a large volume of blood/plasma. As this anesthetic is distributed, it will bind to plasma proteins to be carried by the bloodstream. Therefore, to account for the large volume of distribution, the anesthetic must have low plasma protein binding (option C). Low plasma protein binding allows the anesthetic to leave the bloodstream and distribute widely throughout the body."
}</t>
  </si>
  <si>
    <t>{
 "Answer": "A",
 Explain: "Neostigmine, an anti-cholinesterase, remains active for 10-14 hours in patients with renal failure, due to prolonged accumulation of acetylcholine in the bloodstream."
}</t>
  </si>
  <si>
    <t>{
 "Answer": "A",
 "Explain": "When an anesthetic is instilled into the trachea via the cricothyroid membrane, it most likely to block the hypoglossal nerve which is located superficially in the vicinity of the cricothyroid membrane."</t>
  </si>
  <si>
    <t>{
 "Answer": "A",
 "Explain": "The superior laryngeal nerve block is most effective in preventing gagging during awake intubation because it blocks the stimulation of the pharyngeal and glottic receptors that elicit a gag reflex, reducing the likelihood of gagging during the procedure."
}</t>
  </si>
  <si>
    <t>{
 "Answer": "A",
 Explain: "General anesthesia initially reduces blood flow to the skin and outer tissues, eliminating the normal vasoconstrictive response to cold. This decrease in peripheral blood flow, or 'vasodilation', leads to a temporary redistribution of heat from the core to the cooler skin and external tissues, causing a rapid drop in core temperature."</t>
  </si>
  <si>
    <t>{
 "Answer": "C",
 "Explain": "The man's oxygenation initially decreased when FiO2 was 0.5 and then improved when it was increased to 1.0. This suggests that room air admixing during inspiration, which would decrease the effective FiO2, was the cause of his initial hypoxemia."</t>
  </si>
  <si>
    <t>{
 "Answer": "A",
 Explain: "The most common cause of incomplete blocks with supraclavicular blocks is inadequate spread of local anesthetic to the axillary nerve, therefore the most appropriate next step would be to inject local anesthetic around the axillary nerve to complete the block."
}</t>
  </si>
  <si>
    <t>{
 "Answer": "A",
 "Explain": "Step 1: Propofol is rapidly distributed into peripheral tissues due to its high solubility and its ability to bind to plasma albumin and lipids, causing a reduction in plasma concentrations and leading to an apparent redistribution half-life of approximately 6-10 minutes."
}</t>
  </si>
  <si>
    <t>{
 "Answer": "C",
 "Explain": "Here's why: After 30 minutes of stable anesthesia, if the O2 analyzer reading decreased from 50% to 30%, it is likely due to the O2 analyzer being in the expiratory limb. This is because the oxygen being measured is being sampled from the expiratory gas and not the fresh gas inflow. The actual fraction of O2 in the patient's airway is still 100%, as the total fresh gas inflow is still delivering 2 L/min O2."
}</t>
  </si>
  <si>
    <t>{
 "Answer": "A.",
 "Explain": "An induction dose of ketamine causes sedation and analgesia by acting on the opioid receptors and the N-methyl-D-aspartate (NMDA) receptor."
}</t>
  </si>
  <si>
    <t>{
 "Answer": "C",
 "Explain": "Fentanyl has a shorter elimination half-life compared to morphine. This means that its effects wear off more quickly, requiring more frequent dosing. This shorter elimination half-life is the most likely explanation for the decreased duration of action of an IV dose of fentanyl compared to morphine."</t>
  </si>
  <si>
    <t>{
 "Answer": "A",
 Explain: "The standard error of the mean (SEM) measures the precision of the sample mean as an estimate of the true population mean, showing the range within which the population mean is likely to lie, with a certain level of confidence."</t>
  </si>
  <si>
    <t>{
 "Answer": "B",
 "Explain": "Pulse oximetry accurately reflects SaO2 in situations with carboxyhemoglobinemia (B) because methemoglobin in blood does not absorb or scatter light in the same way as oxyhemoglobin, allowing accurate pulse oximetry measurements."
}</t>
  </si>
  <si>
    <t>{
 "Answer": "C.",
 Explain: "On emergence from general anesthesia, the liver releases stored glucose into the bloodstream to help reverse hypoglycemia that can occur from suppression of gluconeogenesis and glycogenolysis during anesthesia. Since the patient's fasting blood glucose was normal, there is less chance of severe fasting-like effects leading to significant hypoglycemia on emergence, so mild hypoglycemia (blood glucose around 60-70 mg/dL) is the most likely scenario."
}</t>
  </si>
  <si>
    <t>{
 "Answer": "C",
 Explain: "Ranitidine, a histamine H2 antagonist, decreases histamine production, which in turn leads to a decrease in acid secretion, thereby increasing gastric pH. It also decreases the number of acid-producing cells, further contributing to the increase in gastric pH."
}</t>
  </si>
  <si>
    <t>{
 "Answer": "C",
 "Explain": "When inhaled, nitrous oxide diffuses quickly from the lungs into the bloodstream due to its lower blood gas solubility. As a result, alveolar and inspired concentrations of nitrous oxide equilibrate rapidly. In contrast, desflurane has a higher blood gas solubility, making it take longer for its alveolar and inspired concentrations to reach equilibrium."
}</t>
  </si>
  <si>
    <t>{
 "Answer": "A",
 Explain: "Denitrogenation prior to anesthetic induction aims to improve matching of ventilation and perfusion, as a high concentration of anesthetic can lead to a sudden increase in vasodilation, which can outstrip perfusion to certain areas of the body, including the lungs, resulting in reduced oxygen delivery. This is particularly crucial in patients with cardiovascular compromise or respiratory disease."
}</t>
  </si>
  <si>
    <t>{
 "Answer": "B",
 Explain: "During a unilateral injury to the left recurrent laryngeal nerve, the left cord moves toward the median, and if it has lost some innervation due to damage, it will have reduced tone and may fail to close properly, leading to aphonia."
}</t>
  </si>
  <si>
    <t>{
 "Answer": "B",
 Explain: "At sea level, the resting mixed venous partial pressure of oxygen (pO2) is typically around 45 mmHg in room air breathing. After breathing 100% O2 for 10 minutes, this value is expected to be close to the inspired level of 100 mmHg. As the arterial pO2 increases to 100 mmHg, the mixed venous pO2 also gradually rises, reaching around 95 mmHg."
}</t>
  </si>
  <si>
    <t>{
 "Answer": "A",
 Explain: "Flumazenil has a shorter elimination half-life due to its high lipid solubility and rapid binding to GABA receptors, resulting in a more rapid metabolism and excretion compared to lorazepam and midazolam."</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</si>
  <si>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</si>
  <si>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Answers:"C", 
 Explain: "A blockage at a mediunmed the lower limb, therefore, tends to impede the neurogenic conceptions of distal extremities so a tibial nerver block is considered the most suited since it travels down the same site area with a primary aim to preserve blood vessels and maintain blood flowing thereby giving the desired outcome from postoperative complication"
}</t>
  </si>
  <si>
    <t>{
 Answer: "C",
 Explain: "Due to the possibility of a opioid- related cause for a morphine side effect, choosing naloxone would be the most appropriate treatment for her abdominal pain and nausea as it is an opioid antagonist responsible for reversing narcotic-associated nausea and pain rebound."
}</t>
  </si>
  <si>
    <t>{
 "Answer": "B",
 "Explain": "Initial management of hypercalcemic Crisis requires fluid hydratio to address electrolyte shifts, muscle weakness and cardiovascular compromise, therefore the administration of Normal Saline is the appropriate choice, aiming to increase diuireth volume and reduce circulating calcium."</t>
  </si>
  <si>
    <t>{
 "Answer": "C",
 "Explain": "The caffeine-halothane contracture test (CCHT) is widely recognized as the most reliable test for predicting malignant hyperthermia risk due to its sensitivity, accuracy, and established protocol. The test involves injecting halothane and caffeine drugs that cause contractual stress on skeletal muscles and evaluate their response."</t>
  </si>
  <si>
    <t>{
 "Answer" : "B", 
 "Explain": "Vital capacity of ozone=50ml. Oxygen flow:100ml. Delivered anesthetic vapor pressure(pO2)*(freshen gas flow/F.Ox + total mixture flow): F=0.5ml OX"</t>
  </si>
  <si>
    <t>{
 "Answer": "C",
 Explain: "When in a hypothermic state, shivering is typically absent, and anaestheten by ial agents including inhaled inhaled ether inhalational agents can actually attenuate heat loss through decreased vasomor and vascular a and increased heat loss through increased respiratory air-water heat transfer. Vasostriction, on the other-hand"
}
The explanation does need tweaking a bit to make it concise and conform to the desired format
Let me try again:
{
 "Answer": "C",
 Explain: "When in a hypothermic state, vasoconstriction occurs to maintain warm blood closest to vital organs. Vasoconstriction allows the patientís body to maintain heat more effectively."
}
I hope that's close sufficient for the answer requirements)</t>
  </si>
  <si>
    <t>{
 "Answer": "'A"',
 Explain: "The question indicates that sedation is easily antagonized by flumazenil because flumazenil serves as an allosteric modulator of the benzodiazepine receptor site, thus having great selectivity and reversal ability."</t>
  </si>
  <si>
    <t>{
 "Answer": "C",
 "Explain": "An increasing total dose of bupivacaine results in a longer and greater spread of its anesthetic effect. Similarly, with intrathecal bupivacaine, an increase in its dose contributes significantly to the extent of spread."
}</t>
  </si>
  <si>
    <t>I can tell.
{
 "Answer": "C",
 Explain: "Place the patient on positive pressure ventilation, using the airways devices that the lung surgery has likely introduced, to assist breathwork and reverse respiratory fatigue and atelectasis contributing to pulmonary edema."
}</t>
  </si>
  <si>
    <t>{
"Answer": "C", 
"Explain": "Following the initial successful spinal anesthetic, 45-minute onset points towards a higher concentration of local aesthetic in CSF causing the described signs and symptoms in response, the sensation of sharp pain, sharp in the shoulders, suggesting a high level of sensory blocks from C T6."</t>
  </si>
  <si>
    <t>{
 Answer: "C",
 Explain: "Although an initial concern for carbon dioxide embolum (A) or compression of the vena cava (B) exists because ventilation settings and FiO2 remain constant, decreasing saturation during a moderate increase in partial pressure of CO2 is less likely to be attributed to these etiologies. The most plausible reason for a progressive Decrease in SaO2 in a patient receiving CO2 insufflation is right mainstream endobronchial intubation"
}</t>
  </si>
  <si>
    <r>
      <rPr>
        <rFont val="Arial"/>
        <color theme="1"/>
        <sz val="8.0"/>
      </rPr>
      <t xml:space="preserve">{
</t>
    </r>
    <r>
      <rPr>
        <rFont val="Arial"/>
        <color rgb="FFFF0000"/>
        <sz val="8.0"/>
      </rPr>
      <t>"\"Address«</t>
    </r>
    <r>
      <rPr>
        <rFont val="Arial"/>
        <color theme="1"/>
        <sz val="8.0"/>
      </rPr>
      <t xml:space="preserve"> answer :B 
• Explanation="The presence OFCOO remains inthe blood after surgery can decrease its partial pressure and thus lead it to accumulate in in peripheral tissues. To relieve its coughing the morphinea IV PCA, which contains 15-21 times less as oxygen molecule has it. As resultso the concentration oxygen delivered the tissues was compromised due to the presence gas.</t>
    </r>
  </si>
  <si>
    <r>
      <rPr>
        <rFont val="Arial"/>
        <color theme="1"/>
        <sz val="8.0"/>
      </rPr>
      <t xml:space="preserve">{
</t>
    </r>
    <r>
      <rPr>
        <rFont val="Arial"/>
        <color rgb="FFFF0000"/>
        <sz val="8.0"/>
      </rPr>
      <t xml:space="preserve"> "quoteAnswer": "[A,B&amp;C], C,</t>
    </r>
    <r>
      <rPr>
        <rFont val="Arial"/>
        <color theme="1"/>
        <sz val="8.0"/>
      </rPr>
      <t xml:space="preserve">
quote explain":"
In spontaneous breathing patterns, these trigger devices and mechanical respirators are called 
" "Trigger-pressure support ventilation." in order "
- Pressure changes and gas tension levels"
the lungs become a pressure source.</t>
    </r>
  </si>
  <si>
    <t>{
 "Answer": "C",
 Explain: "As the body tries to cope with the increased heart and muscle activity due to anesthesia resistance, the demands for oxygenated blood rises for the cardiac myocardium."</t>
  </si>
  <si>
    <t>{
Answer: B, 
Explain: " Synthetic hepatic function is necessary to form orthrombin (protein factors II, VII, IX, and X) but not necessary to form factor VIII:C, so prolongation in prothrombin time is characteristic of liver dysfunction."</t>
  </si>
  <si>
    <t>For preventing ventricular dysrhythmias in a patient undergoing extracorporeal shock wave lithotriepsy, the best strategy is:
{
 "Answer": "B",
 "Explain": "Pre-tenting the ECG with a consistent electrogram, as achieved by ECG synchronization, helps to reduce the intensity and frequency of electromagnetic-induced arrhythmias, further reducing risk of ventricular dysrhythmias."
}</t>
  </si>
  <si>
    <r>
      <rPr>
        <rFont val="Arial"/>
        <color theme="1"/>
        <sz val="8.0"/>
      </rPr>
      <t>{
 "Answer": "A",
 "Expared the gas in his lungs."</t>
    </r>
    <r>
      <rPr>
        <rFont val="Arial"/>
        <color rgb="FFFF0000"/>
        <sz val="8.0"/>
      </rPr>
      <t>&gt;</t>
    </r>
    <r>
      <rPr>
        <rFont val="Arial"/>
        <color theme="1"/>
        <sz val="8.0"/>
      </rPr>
      <t xml:space="preserve">
"Patients inhale 95 percent of his in the expiro phase, reducing the concentration of carbon dioxide."</t>
    </r>
  </si>
  <si>
    <t>{
 "Answer": "C", 
 "Explain": "When in the lateral position during anesthesia recovery, the patient breathes inward against the anesthesia circuit due to discomfort from uneven diaphragmatic relaxation, causing a marked dip or flattening in EtCo2 waveform, evident from point A to B"
}</t>
  </si>
  <si>
    <t>To minimize subsequent life-thought reactions to antibiotic therapy within that particular group, cefazolin shouldn't continue as an allergic reaction towards the patient has received a life thought drug before, but based on his 68 years before receiving antibiotic medication was before age 10. Since cefazodon has low chances as regards developing an allergic, but it truly seems good a choice, it ought that they take cecild and check out about these 68 after they return. After they returned a life 30 minutes later, it may also seem.</t>
  </si>
  <si>
    <t>{
 "Answer" : A,
 Explain: "Chronic use of cocaine may competitively inhibits certain enzyme, increasing catechocaramine levels in brain vessels while potentilizing bronchial constrution that leads to increased respiratory adverse efects"
}</t>
  </si>
  <si>
    <r>
      <rPr>
        <rFont val="Arial"/>
        <color theme="1"/>
        <sz val="8.0"/>
      </rPr>
      <t>{
"Answer”: “A</t>
    </r>
    <r>
      <rPr>
        <rFont val="Arial"/>
        <color rgb="FFFF0000"/>
        <sz val="8.0"/>
      </rPr>
      <t>\</t>
    </r>
    <r>
      <rPr>
        <rFont val="Arial"/>
        <color theme="1"/>
        <sz val="8.0"/>
      </rPr>
      <t>",
"Explain</t>
    </r>
    <r>
      <rPr>
        <rFont val="Arial"/>
        <color rgb="FFFF0000"/>
        <sz val="8.0"/>
      </rPr>
      <t>]:=</t>
    </r>
    <r>
      <rPr>
        <rFont val="Arial"/>
        <color theme="1"/>
        <sz val="8.0"/>
      </rPr>
      <t xml:space="preserve"> “step 2: blockade bocore of norepinephrine-release; the block-age occurs within 6 minutes of the dose being administered’"</t>
    </r>
  </si>
  <si>
    <r>
      <rPr>
        <rFont val="Arial"/>
        <color theme="1"/>
        <sz val="8.0"/>
      </rPr>
      <t xml:space="preserve">{
</t>
    </r>
    <r>
      <rPr>
        <rFont val="Arial"/>
        <color rgb="FFFF0000"/>
        <sz val="8.0"/>
      </rPr>
      <t xml:space="preserve"> Quote: \"Answer\":</t>
    </r>
    <r>
      <rPr>
        <rFont val="Arial"/>
        <color theme="1"/>
        <sz val="8.0"/>
      </rPr>
      <t xml:space="preserve"> B,
 </t>
    </r>
    <r>
      <rPr>
        <rFont val="Arial"/>
        <color rgb="FFFF0000"/>
        <sz val="8.0"/>
      </rPr>
      <t>_x0001_</t>
    </r>
    <r>
      <rPr>
        <rFont val="Arial"/>
        <color theme="1"/>
        <sz val="8.0"/>
      </rPr>
      <t>"Explane": A decrease in 2,3-DPG molecules leads to a more efficient unloading of oxygen in the exercising muscles, there by shifting the dissociation curve Rightward.
I hope this information helps clarity, answer.</t>
    </r>
  </si>
  <si>
    <r>
      <rPr>
        <rFont val="Arial"/>
        <color theme="1"/>
        <sz val="8.0"/>
      </rPr>
      <t xml:space="preserve">{
</t>
    </r>
    <r>
      <rPr>
        <rFont val="Arial"/>
        <color rgb="FFFF0000"/>
        <sz val="8.0"/>
      </rPr>
      <t xml:space="preserve"> "Answers": 
 Answer: ("B""),</t>
    </r>
    <r>
      <rPr>
        <rFont val="Arial"/>
        <color theme="1"/>
        <sz val="8.0"/>
      </rPr>
      <t xml:space="preserve">
 Explanat : "Reduced peripheral myxedema, can exacerbation fatigue, weight gain etc." 
}</t>
    </r>
  </si>
  <si>
    <t>{ 
"Answer": "B", 
"Explain": "Methohexital has recently been known to cause longer seizure durations during ECT compared to other commonly-used anesthetic agents, resulting from its prolonged post-bony suppression time and lower recovery levels." 
}</t>
  </si>
  <si>
    <t>{
 Answer: "B",
 Explain: "Etomidate is a GABAA agonist. Both tetanailizatid and loreacustain are potent agonists and their potency at receptors was directly relted to etimitiate activity which has little influence on the brain state except. ketanim."
}</t>
  </si>
  <si>
    <t>{ 
"Answer": "C', 
"Explain": "In an open-bevel circle system, the expiratory valve allows the stored CO2 to be breathed by the patient. This valve does not receive air from inside the bag, whereas the CO2 absorber cleanses exhaled CO2 before breathing again, and a fresh gas inlet supplies fresh gas volume by replacing outgoing CO2 and breathing mix from within the circle; but an expiry tube cannot do all this. Thus Expoaritory valve '' C'' goes awry and remains mis-placed, hence removed form the circle system in its ideal location}"</t>
  </si>
  <si>
    <r>
      <rPr>
        <rFont val="Arial"/>
        <color rgb="FFFF0000"/>
        <sz val="8.0"/>
      </rPr>
      <t>I think the novel, poorly absorbative IV anesthetic will exhibit...</t>
    </r>
    <r>
      <rPr>
        <rFont val="Arial"/>
        <color theme="1"/>
        <sz val="8.0"/>
      </rPr>
      <t xml:space="preserve">
```
{
 "Answer" : "C",
 "Explain" : "High-volume of distribution, which means the drug is mainly distributing in body's compartments outside blood vessels, such as soft tissues, because the poorly absorbating rate in blood leads blood plasma to be undercompounded, contributing less percentage of dissolved, whereas high blood-to-brain ratio suggests more portion within the blood would go into central nervous system; given option’s high volume of solubility indicates low plasma protein binding; hence, Answer (with the selected option (C).”
},
)
```</t>
    </r>
  </si>
  <si>
    <t>{
 "Answer": "B",
 "Explain": "Rocuronium, which was the only neuromuscular blocking medication evaluated, maintained peak neuromuscular depressive action longer than 120 minutes, despite the lack of erythroketidine. Other anabases like others have a faster metabolism while having good renal issues compared to rocuronium."
}</t>
  </si>
  <si>
    <t>{
 Answer: "C",
 Explain: "Cricothyroid region is adjacent to the recurrent laryngeal nerve's downward courses allowing for blockage through administration during this procedure, causing loss of sensation to larygae"
}</t>
  </si>
  <si>
    <t>{
"Address": "B",
"Explain": "Adminiseringan upper cervical paratrauma anesthetic block of the ganglion inferior includes blocking the vagal tone's inhibitory effect on respiratory muscles and diminishing gagging episodes."
}</t>
  </si>
  <si>
    <t>{
 "Answer": "B",
 "Explain": "Undergoing general anesthesia, a patient stops producing significant amounts of saliva, sweating, and dilates the respiratory tract vessels, these changes result is more efficient respiratory heat transfer and overall heat loss, leading to a decline in core temperature compared to prior levels"
}</t>
  </si>
  <si>
    <t>{
 "Answer": "B",
 "Explain": "At a FIO2 of 85% his SAO2 cannot significantly drop below 20 and since SpO2 of the hypoven. 50 breath of 10 ml of room air, a T-piece ventilator delivers 5 8 breath after of it is ventilator dead space."
}</t>
  </si>
  <si>
    <r>
      <rPr>
        <rFont val="Arial"/>
        <color theme="1"/>
        <sz val="8.0"/>
      </rPr>
      <t xml:space="preserve">{
</t>
    </r>
    <r>
      <rPr>
        <rFont val="Arial"/>
        <color rgb="FFFF0000"/>
        <sz val="8.0"/>
      </rPr>
      <t xml:space="preserve"> \"Answer\": \"C\",</t>
    </r>
    <r>
      <rPr>
        <rFont val="Arial"/>
        <color theme="1"/>
        <sz val="8.0"/>
      </rPr>
      <t xml:space="preserve">
</t>
    </r>
    <r>
      <rPr>
        <rFont val="Arial"/>
        <color rgb="FFFF0000"/>
        <sz val="8.0"/>
      </rPr>
      <t xml:space="preserve"> \"Explain\": \</t>
    </r>
    <r>
      <rPr>
        <rFont val="Arial"/>
        <color theme="1"/>
        <sz val="8.0"/>
      </rPr>
      <t>"Because the pain radiates throughout multiple peripheral regions (arm) not exclusively dependent on radial, ulnar, and Median nerve distributions. According to Anatomy - radial and ulunar nerves, all hand innverations are blocked, there could be only MuscolocoT-nerous and lower intercostobrachial nerves remains unchecked\"}.</t>
    </r>
  </si>
  <si>
    <t>{
 "Answer": "B", 
 Explain: "Metabolism breaks down only half of a single dose of propofol in about one second after administration. After metabolism, excretion plays a minimal role, even over an extended period. Thus, reduction in brain effluent halfrlife of propofol after 10 minutes in 10 seconds of t/two hours is primarily governed by first pass metabolism."</t>
  </si>
  <si>
    <r>
      <rPr>
        <rFont val="Arial"/>
        <color rgb="FFFF0000"/>
        <sz val="8.0"/>
      </rPr>
      <t>I don't know if I understand correctly</t>
    </r>
    <r>
      <rPr>
        <rFont val="Arial"/>
        <color theme="1"/>
        <sz val="8.0"/>
      </rPr>
      <t xml:space="preserve">. But based on Anesthesia fundamental, the oxygen sensor has low flow of gas in contact with it could result into wrong analysis of O2 reading.
So the DECREASE in O2 analyzer reading would make perfect since
That is what the chosen choice was: {
</t>
    </r>
    <r>
      <rPr>
        <rFont val="Arial"/>
        <color rgb="FFFF0000"/>
        <sz val="8.0"/>
      </rPr>
      <t xml:space="preserve"> "Answer": "B",</t>
    </r>
    <r>
      <rPr>
        <rFont val="Arial"/>
        <color theme="1"/>
        <sz val="8.0"/>
      </rPr>
      <t xml:space="preserve">
 "Explain": "There you explained in your words, here step-by-state, is why</t>
    </r>
    <r>
      <rPr>
        <rFont val="Arial"/>
        <color rgb="FFFF0000"/>
        <sz val="8.0"/>
      </rPr>
      <t>: \"Acccumulate"</t>
    </r>
  </si>
  <si>
    <r>
      <rPr>
        <rFont val="Arial"/>
        <color theme="1"/>
        <sz val="8.0"/>
      </rPr>
      <t xml:space="preserve">{
 Answer: </t>
    </r>
    <r>
      <rPr>
        <rFont val="Arial"/>
        <color rgb="FFFF0000"/>
        <sz val="8.0"/>
      </rPr>
      <t>"A",</t>
    </r>
    <r>
      <rPr>
        <rFont val="Arial"/>
        <color theme="1"/>
        <sz val="8.0"/>
      </rPr>
      <t xml:space="preserve">
 Explain: "Ketamine causes rapid onset of euphoria and dissociative anaesthesia but more significantly it primarily serves for its rapidly inducing analgesic properties. As an initial dose, it can immediately provide pain-relieving analgesia without impairments typically encountered with other general anaesthetics making its anesthetic application so popular for immediate pain management especially during procedures."
}</t>
    </r>
  </si>
  <si>
    <r>
      <rPr>
        <rFont val="Arial"/>
        <color rgb="FFFF0000"/>
        <sz val="8.0"/>
      </rPr>
      <t>Answer= {"Answer": "C"</t>
    </r>
    <r>
      <rPr>
        <rFont val="Arial"/>
        <color theme="1"/>
        <sz val="8.0"/>
      </rPr>
      <t>, "Explain": "Because fentanyl metabolite and inactive 2 inactivates the enzIME responsible for metabolizing and conjugating metabolomics. So there has short end product clearance"}</t>
    </r>
  </si>
  <si>
    <t>{
 "Answer": "A",
 Explain: "The standard error of the mean shows, in a sense, how close the sample mean is to actually equaling the unknown population mean, describing the \"precision of the population mean\" that the sample provides an estimator."</t>
  </si>
  <si>
    <r>
      <rPr>
        <rFont val="Arial"/>
        <color theme="1"/>
        <sz val="8.0"/>
      </rPr>
      <t>{
"Answer": "A</t>
    </r>
    <r>
      <rPr>
        <rFont val="Arial"/>
        <b/>
        <color rgb="FFFF0000"/>
        <sz val="8.0"/>
      </rPr>
      <t>.</t>
    </r>
    <r>
      <rPr>
        <rFont val="Arial"/>
        <color theme="1"/>
        <sz val="8.0"/>
      </rPr>
      <t>",
"Explain": "Pulse oximetry accurately reflects oxygen saturation (SaO2) when there are significant levels of red blood cells bound to this dye, which emits fluorescent light reflecting photoreactive wavelengths when bonded."}</t>
    </r>
  </si>
  <si>
    <t>{
 "Answer": "B",
 Explain: "When a patient received a general anesthetic, the sedative and analgesic effects can reduce conscious glucose demand. Fasting glucose values will decrease gradually because of this, but it will not be extremely high to trigger signs clinically. On emergence, you expect the concentration of blood glucose to become lower."</t>
  </si>
  <si>
    <t>{
 "Answer": "C",
 "Expose": "Ranitidine, an antacid/histamine blocker, helps to neutralize acidsecreted by gastric parietal cells, thus decreasing acid production leading to elevatedpH, resulting from its action to block gastric secretory pathways and releasing gastric basal acid output, making it most suited as theran for this role."</t>
  </si>
  <si>
    <t>{
 "Answer"": "C",
 "Explain"："Nitrous oxide's lower B/G (oxygen-to-alvola ratio): Since NO has much, it equilibrate is able. More likely because "</t>
  </si>
  <si>
    <t>{
 "Answer": "A",
 "Explain": "Denitrogenation replaces nitrogen-enriched alveolar gas with a breathable O2-O2 mixture, allowing precise gas concentrations. When inhalation occurs after denitrogenation, the inspired mix matches ventilation and perfusion more accurately, optimizing the delivery of O2 for anesthetic induction."
}</t>
  </si>
  <si>
    <r>
      <rPr>
        <rFont val="Arial"/>
        <color theme="1"/>
        <sz val="8.0"/>
      </rPr>
      <t>{
 "Answer": "</t>
    </r>
    <r>
      <rPr>
        <rFont val="Arial"/>
        <color rgb="FFFF0000"/>
        <sz val="8.0"/>
      </rPr>
      <t>**B. Aphonia,**</t>
    </r>
    <r>
      <rPr>
        <rFont val="Arial"/>
        <color theme="1"/>
        <sz val="8.0"/>
      </rPr>
      <t xml:space="preserve">
 Explain: "With injury to the left recurrent laryngeal nerve, there is weakness or paralysis of the left reciprocal vocal cord (true vocal cord) resulted unable to speak. Thus an absence of audible voice produces aphonia. "}</t>
    </r>
  </si>
  <si>
    <t>The predicted output for optimal response and answers given will probably be: 
{ 
 Answer: "A", 
 Explain: There s that 97% of dissolved oxygen should be delivered to the bloodstream when respiration using 
}
Let me work out an example.
Since the child in your care has bron.
After respiratory problems. The mixture for air oxygen 02 inhalation must be made for it when their breathing air (a simple formula called 2x or AVO2 that shows and.
}</t>
  </si>
  <si>
    <r>
      <rPr>
        <rFont val="Arial"/>
        <color theme="1"/>
        <sz val="8.0"/>
      </rPr>
      <t xml:space="preserve">{
 Answer: </t>
    </r>
    <r>
      <rPr>
        <rFont val="Arial"/>
        <color rgb="FFFF0000"/>
        <sz val="8.0"/>
      </rPr>
      <t>"""F</t>
    </r>
    <r>
      <rPr>
        <rFont val="Arial"/>
        <color theme="1"/>
        <sz val="8.0"/>
      </rPr>
      <t xml:space="preserve">
 Explain: Fluorzumil has the shortest time it remains effective in half an observer".</t>
    </r>
  </si>
  <si>
    <t>SUMMARY RESULT BETWEEN TEST</t>
  </si>
  <si>
    <t>Temp</t>
  </si>
  <si>
    <t>0.1</t>
  </si>
  <si>
    <t>0.5</t>
  </si>
  <si>
    <t>1.0</t>
  </si>
  <si>
    <t>2.0</t>
  </si>
  <si>
    <t>Topp</t>
  </si>
  <si>
    <t>0.2</t>
  </si>
  <si>
    <t>0.7</t>
  </si>
  <si>
    <t>Parameters</t>
  </si>
  <si>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</si>
  <si>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</si>
  <si>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</si>
  <si>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</si>
  <si>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</si>
  <si>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</si>
  <si>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</si>
  <si>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</si>
  <si>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</si>
  <si>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</si>
  <si>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</si>
  <si>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</si>
  <si>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</si>
  <si>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</si>
  <si>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</si>
  <si>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</si>
  <si>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</si>
  <si>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</si>
  <si>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</si>
  <si>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</si>
  <si>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</si>
  <si>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</si>
  <si>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</si>
  <si>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</si>
  <si>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r>
      <rPr>
        <rFont val="Arial"/>
        <color theme="1"/>
      </rPr>
      <t>embed_model=</t>
    </r>
    <r>
      <rPr>
        <rFont val="Arial"/>
        <b/>
        <color rgb="FF4A86E8"/>
      </rPr>
      <t>None</t>
    </r>
    <r>
      <rPr>
        <rFont val="Arial"/>
        <color theme="1"/>
      </rPr>
      <t xml:space="preserve">
max_new_tokens = 500</t>
    </r>
  </si>
  <si>
    <t>Correct answers</t>
  </si>
  <si>
    <t>Total questions</t>
  </si>
  <si>
    <t>Correct ratio</t>
  </si>
  <si>
    <t>WRONG</t>
  </si>
  <si>
    <t>CORRECT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</si>
</sst>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b/>
      <sz val="20.0"/>
      <color theme="1"/>
      <name val="Arial"/>
      <scheme val="minor"/>
    </font>
    <font/>
    <font>
      <b/>
      <color theme="1"/>
      <name val="Arial"/>
      <scheme val="minor"/>
    </font>
    <font>
      <color theme="1"/>
      <name val="Arial"/>
      <scheme val="minor"/>
    </font>
    <font>
      <sz val="8.0"/>
      <color theme="1"/>
      <name val="Arial"/>
    </font>
    <font>
      <sz val="8.0"/>
      <color theme="1"/>
      <name val="&quot;Liberation Sans&quot;"/>
    </font>
    <font>
      <sz val="10.0"/>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1C232"/>
        <bgColor rgb="FFF1C232"/>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2" numFmtId="0" xfId="0" applyBorder="1" applyFont="1"/>
    <xf borderId="3" fillId="0" fontId="2" numFmtId="0" xfId="0" applyBorder="1" applyFont="1"/>
    <xf borderId="0" fillId="0" fontId="3" numFmtId="0" xfId="0" applyAlignment="1" applyFont="1">
      <alignment horizontal="center"/>
    </xf>
    <xf borderId="4" fillId="0" fontId="3" numFmtId="0" xfId="0" applyAlignment="1" applyBorder="1" applyFont="1">
      <alignment horizontal="center" readingOrder="0" vertical="center"/>
    </xf>
    <xf borderId="5" fillId="0" fontId="4" numFmtId="0" xfId="0" applyAlignment="1" applyBorder="1" applyFont="1">
      <alignment readingOrder="0" shrinkToFit="0" vertical="center" wrapText="1"/>
    </xf>
    <xf borderId="5" fillId="0" fontId="2" numFmtId="0" xfId="0" applyBorder="1" applyFont="1"/>
    <xf borderId="6" fillId="0" fontId="2" numFmtId="0" xfId="0" applyBorder="1" applyFont="1"/>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vertical="center"/>
    </xf>
    <xf borderId="1" fillId="2" fontId="4" numFmtId="0" xfId="0" applyAlignment="1" applyBorder="1" applyFill="1" applyFont="1">
      <alignment horizontal="center" readingOrder="0" vertical="center"/>
    </xf>
    <xf borderId="4" fillId="2"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2" fontId="4" numFmtId="0" xfId="0" applyAlignment="1" applyBorder="1" applyFont="1">
      <alignment horizontal="center" readingOrder="0"/>
    </xf>
    <xf borderId="4" fillId="2" fontId="4" numFmtId="0" xfId="0" applyAlignment="1" applyBorder="1" applyFont="1">
      <alignment horizontal="center" readingOrder="0" vertical="center"/>
    </xf>
    <xf borderId="4" fillId="3" fontId="4" numFmtId="10" xfId="0" applyAlignment="1" applyBorder="1" applyFill="1" applyFont="1" applyNumberFormat="1">
      <alignment horizontal="center" vertical="center"/>
    </xf>
    <xf borderId="0" fillId="0" fontId="4" numFmtId="0" xfId="0" applyAlignment="1" applyFont="1">
      <alignment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1" fillId="7" fontId="3" numFmtId="164" xfId="0" applyAlignment="1" applyBorder="1" applyFill="1" applyFont="1" applyNumberFormat="1">
      <alignment horizontal="center" readingOrder="0" shrinkToFit="0" vertical="center" wrapText="1"/>
    </xf>
    <xf borderId="2" fillId="7"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5" fontId="3" numFmtId="0" xfId="0" applyAlignment="1" applyBorder="1" applyFont="1">
      <alignment horizontal="center" readingOrder="0" shrinkToFit="0" vertical="center" wrapText="1"/>
    </xf>
    <xf borderId="4" fillId="6" fontId="3" numFmtId="0" xfId="0" applyAlignment="1" applyBorder="1" applyFont="1">
      <alignment horizontal="center" readingOrder="0" shrinkToFit="0" vertical="center" wrapText="1"/>
    </xf>
    <xf borderId="4" fillId="7" fontId="3" numFmtId="0" xfId="0" applyAlignment="1" applyBorder="1" applyFont="1">
      <alignment horizontal="center" readingOrder="0" shrinkToFit="0" vertical="center" wrapText="1"/>
    </xf>
    <xf borderId="4" fillId="7"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3" fontId="4" numFmtId="0" xfId="0" applyAlignment="1" applyBorder="1" applyFont="1">
      <alignment horizontal="center" readingOrder="0" shrinkToFit="0" vertical="center" wrapText="1"/>
    </xf>
    <xf borderId="7" fillId="3"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9" fillId="0" fontId="4" numFmtId="0" xfId="0" applyAlignment="1" applyBorder="1" applyFont="1">
      <alignment readingOrder="0" shrinkToFit="0" vertical="center" wrapText="1"/>
    </xf>
    <xf borderId="10" fillId="0" fontId="4" numFmtId="0" xfId="0" applyAlignment="1" applyBorder="1" applyFont="1">
      <alignment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2" fillId="0" fontId="4" numFmtId="0" xfId="0" applyAlignment="1" applyBorder="1" applyFont="1">
      <alignment horizontal="center" readingOrder="0" shrinkToFit="0" vertical="center" wrapText="1"/>
    </xf>
    <xf borderId="0" fillId="0" fontId="4" numFmtId="0" xfId="0" applyAlignment="1" applyFont="1">
      <alignment readingOrder="0" shrinkToFit="0" vertical="center" wrapText="1"/>
    </xf>
    <xf borderId="12" fillId="0" fontId="4" numFmtId="0" xfId="0" applyAlignment="1" applyBorder="1" applyFont="1">
      <alignment readingOrder="0" shrinkToFit="0" vertical="center" wrapText="1"/>
    </xf>
    <xf borderId="0" fillId="0" fontId="7" numFmtId="0" xfId="0" applyFont="1"/>
    <xf borderId="13" fillId="0" fontId="4"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6" fillId="0" fontId="4" numFmtId="0" xfId="0" applyAlignment="1" applyBorder="1" applyFont="1">
      <alignment readingOrder="0" shrinkToFit="0" vertical="center" wrapText="1"/>
    </xf>
    <xf borderId="0" fillId="0" fontId="4" numFmtId="0" xfId="0" applyAlignment="1" applyFont="1">
      <alignment horizontal="center"/>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952500</xdr:colOff>
      <xdr:row>2</xdr:row>
      <xdr:rowOff>133350</xdr:rowOff>
    </xdr:from>
    <xdr:ext cx="7705725" cy="65722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3</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25</v>
      </c>
      <c r="J5" s="15">
        <v>21567.0</v>
      </c>
    </row>
    <row r="6" ht="60.0" customHeight="1">
      <c r="A6" s="11">
        <v>3.0</v>
      </c>
      <c r="B6" s="12" t="s">
        <v>26</v>
      </c>
      <c r="C6" s="12" t="s">
        <v>27</v>
      </c>
      <c r="D6" s="12" t="s">
        <v>28</v>
      </c>
      <c r="E6" s="12" t="s">
        <v>29</v>
      </c>
      <c r="F6" s="11" t="str">
        <f t="shared" si="1"/>
        <v>CORRECT</v>
      </c>
      <c r="G6" s="11" t="s">
        <v>30</v>
      </c>
      <c r="H6" s="15" t="s">
        <v>30</v>
      </c>
      <c r="I6" s="14" t="s">
        <v>31</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41</v>
      </c>
      <c r="J8" s="15">
        <v>24631.0</v>
      </c>
    </row>
    <row r="9" ht="60.0" customHeight="1">
      <c r="A9" s="11">
        <v>6.0</v>
      </c>
      <c r="B9" s="12" t="s">
        <v>42</v>
      </c>
      <c r="C9" s="12" t="s">
        <v>43</v>
      </c>
      <c r="D9" s="12" t="s">
        <v>44</v>
      </c>
      <c r="E9" s="12" t="s">
        <v>45</v>
      </c>
      <c r="F9" s="11" t="str">
        <f t="shared" si="1"/>
        <v>CORRECT</v>
      </c>
      <c r="G9" s="11" t="s">
        <v>19</v>
      </c>
      <c r="H9" s="13" t="s">
        <v>19</v>
      </c>
      <c r="I9" s="14" t="s">
        <v>46</v>
      </c>
      <c r="J9" s="15">
        <v>18622.0</v>
      </c>
    </row>
    <row r="10" ht="60.0" customHeight="1">
      <c r="A10" s="11">
        <v>7.0</v>
      </c>
      <c r="B10" s="12" t="s">
        <v>47</v>
      </c>
      <c r="C10" s="12" t="s">
        <v>48</v>
      </c>
      <c r="D10" s="12" t="s">
        <v>49</v>
      </c>
      <c r="E10" s="12" t="s">
        <v>50</v>
      </c>
      <c r="F10" s="11" t="str">
        <f t="shared" si="1"/>
        <v>CORRECT</v>
      </c>
      <c r="G10" s="11" t="s">
        <v>19</v>
      </c>
      <c r="H10" s="15" t="s">
        <v>19</v>
      </c>
      <c r="I10" s="14" t="s">
        <v>51</v>
      </c>
      <c r="J10" s="15">
        <v>15579.0</v>
      </c>
    </row>
    <row r="11" ht="60.0" customHeight="1">
      <c r="A11" s="11">
        <v>8.0</v>
      </c>
      <c r="B11" s="12" t="s">
        <v>52</v>
      </c>
      <c r="C11" s="12" t="s">
        <v>53</v>
      </c>
      <c r="D11" s="12" t="s">
        <v>54</v>
      </c>
      <c r="E11" s="12" t="s">
        <v>55</v>
      </c>
      <c r="F11" s="11" t="str">
        <f t="shared" si="1"/>
        <v>CORRECT</v>
      </c>
      <c r="G11" s="11" t="s">
        <v>30</v>
      </c>
      <c r="H11" s="13" t="s">
        <v>30</v>
      </c>
      <c r="I11" s="14" t="s">
        <v>56</v>
      </c>
      <c r="J11" s="15">
        <v>29850.0</v>
      </c>
    </row>
    <row r="12" ht="60.0" customHeight="1">
      <c r="A12" s="11">
        <v>9.0</v>
      </c>
      <c r="B12" s="12" t="s">
        <v>57</v>
      </c>
      <c r="C12" s="12" t="s">
        <v>58</v>
      </c>
      <c r="D12" s="12" t="s">
        <v>59</v>
      </c>
      <c r="E12" s="12" t="s">
        <v>60</v>
      </c>
      <c r="F12" s="11" t="str">
        <f t="shared" si="1"/>
        <v>WRONG</v>
      </c>
      <c r="G12" s="11" t="s">
        <v>19</v>
      </c>
      <c r="H12" s="15" t="s">
        <v>30</v>
      </c>
      <c r="I12" s="14" t="s">
        <v>61</v>
      </c>
      <c r="J12" s="15">
        <v>19566.0</v>
      </c>
    </row>
    <row r="13" ht="60.0" customHeight="1">
      <c r="A13" s="11">
        <v>10.0</v>
      </c>
      <c r="B13" s="12" t="s">
        <v>62</v>
      </c>
      <c r="C13" s="12" t="s">
        <v>63</v>
      </c>
      <c r="D13" s="12" t="s">
        <v>64</v>
      </c>
      <c r="E13" s="12" t="s">
        <v>65</v>
      </c>
      <c r="F13" s="11" t="str">
        <f t="shared" si="1"/>
        <v>WRONG</v>
      </c>
      <c r="G13" s="11" t="s">
        <v>30</v>
      </c>
      <c r="H13" s="13" t="s">
        <v>19</v>
      </c>
      <c r="I13" s="14" t="s">
        <v>66</v>
      </c>
      <c r="J13" s="15">
        <v>18762.0</v>
      </c>
    </row>
    <row r="14" ht="60.0" customHeight="1">
      <c r="A14" s="11">
        <v>11.0</v>
      </c>
      <c r="B14" s="12" t="s">
        <v>67</v>
      </c>
      <c r="C14" s="12" t="s">
        <v>68</v>
      </c>
      <c r="D14" s="12" t="s">
        <v>69</v>
      </c>
      <c r="E14" s="12" t="s">
        <v>70</v>
      </c>
      <c r="F14" s="11" t="str">
        <f t="shared" si="1"/>
        <v>WRONG</v>
      </c>
      <c r="G14" s="11" t="s">
        <v>19</v>
      </c>
      <c r="H14" s="15" t="s">
        <v>30</v>
      </c>
      <c r="I14" s="14" t="s">
        <v>71</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81</v>
      </c>
      <c r="J16" s="15">
        <v>17025.0</v>
      </c>
    </row>
    <row r="17" ht="60.0" customHeight="1">
      <c r="A17" s="11">
        <v>14.0</v>
      </c>
      <c r="B17" s="12" t="s">
        <v>82</v>
      </c>
      <c r="C17" s="12" t="s">
        <v>83</v>
      </c>
      <c r="D17" s="12" t="s">
        <v>84</v>
      </c>
      <c r="E17" s="12" t="s">
        <v>85</v>
      </c>
      <c r="F17" s="11" t="str">
        <f t="shared" si="1"/>
        <v>WRONG</v>
      </c>
      <c r="G17" s="11" t="s">
        <v>18</v>
      </c>
      <c r="H17" s="13" t="s">
        <v>30</v>
      </c>
      <c r="I17" s="14" t="s">
        <v>86</v>
      </c>
      <c r="J17" s="15">
        <v>12961.0</v>
      </c>
    </row>
    <row r="18" ht="60.0" customHeight="1">
      <c r="A18" s="11">
        <v>15.0</v>
      </c>
      <c r="B18" s="12" t="s">
        <v>87</v>
      </c>
      <c r="C18" s="12" t="s">
        <v>88</v>
      </c>
      <c r="D18" s="12" t="s">
        <v>89</v>
      </c>
      <c r="E18" s="12" t="s">
        <v>90</v>
      </c>
      <c r="F18" s="11" t="str">
        <f t="shared" si="1"/>
        <v>CORRECT</v>
      </c>
      <c r="G18" s="11" t="s">
        <v>30</v>
      </c>
      <c r="H18" s="13" t="s">
        <v>30</v>
      </c>
      <c r="I18" s="14" t="s">
        <v>91</v>
      </c>
      <c r="J18" s="15">
        <v>21882.0</v>
      </c>
    </row>
    <row r="19" ht="60.0" customHeight="1">
      <c r="A19" s="11">
        <v>16.0</v>
      </c>
      <c r="B19" s="12" t="s">
        <v>92</v>
      </c>
      <c r="C19" s="12" t="s">
        <v>93</v>
      </c>
      <c r="D19" s="12" t="s">
        <v>94</v>
      </c>
      <c r="E19" s="12" t="s">
        <v>95</v>
      </c>
      <c r="F19" s="11" t="str">
        <f t="shared" si="1"/>
        <v>CORRECT</v>
      </c>
      <c r="G19" s="11" t="s">
        <v>30</v>
      </c>
      <c r="H19" s="13" t="s">
        <v>30</v>
      </c>
      <c r="I19" s="14" t="s">
        <v>96</v>
      </c>
      <c r="J19" s="15">
        <v>14687.0</v>
      </c>
    </row>
    <row r="20" ht="60.0" customHeight="1">
      <c r="A20" s="11">
        <v>17.0</v>
      </c>
      <c r="B20" s="12" t="s">
        <v>97</v>
      </c>
      <c r="C20" s="12" t="s">
        <v>98</v>
      </c>
      <c r="D20" s="12" t="s">
        <v>99</v>
      </c>
      <c r="E20" s="12" t="s">
        <v>100</v>
      </c>
      <c r="F20" s="11" t="str">
        <f t="shared" si="1"/>
        <v>WRONG</v>
      </c>
      <c r="G20" s="11" t="s">
        <v>19</v>
      </c>
      <c r="H20" s="13" t="s">
        <v>18</v>
      </c>
      <c r="I20" s="14" t="s">
        <v>101</v>
      </c>
      <c r="J20" s="15">
        <v>16788.0</v>
      </c>
    </row>
    <row r="21" ht="60.0" customHeight="1">
      <c r="A21" s="11">
        <v>18.0</v>
      </c>
      <c r="B21" s="12" t="s">
        <v>102</v>
      </c>
      <c r="C21" s="12" t="s">
        <v>103</v>
      </c>
      <c r="D21" s="12" t="s">
        <v>104</v>
      </c>
      <c r="E21" s="12" t="s">
        <v>105</v>
      </c>
      <c r="F21" s="11" t="str">
        <f t="shared" si="1"/>
        <v>CORRECT</v>
      </c>
      <c r="G21" s="11" t="s">
        <v>19</v>
      </c>
      <c r="H21" s="13" t="s">
        <v>19</v>
      </c>
      <c r="I21" s="14" t="s">
        <v>106</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30</v>
      </c>
      <c r="I23" s="14" t="s">
        <v>116</v>
      </c>
      <c r="J23" s="15">
        <v>18497.0</v>
      </c>
    </row>
    <row r="24" ht="60.0" customHeight="1">
      <c r="A24" s="11">
        <v>21.0</v>
      </c>
      <c r="B24" s="12" t="s">
        <v>117</v>
      </c>
      <c r="C24" s="12" t="s">
        <v>118</v>
      </c>
      <c r="D24" s="12" t="s">
        <v>119</v>
      </c>
      <c r="E24" s="12" t="s">
        <v>120</v>
      </c>
      <c r="F24" s="11" t="str">
        <f t="shared" si="1"/>
        <v>WRONG</v>
      </c>
      <c r="G24" s="11" t="s">
        <v>19</v>
      </c>
      <c r="H24" s="13" t="s">
        <v>18</v>
      </c>
      <c r="I24" s="14" t="s">
        <v>121</v>
      </c>
      <c r="J24" s="15">
        <v>22086.0</v>
      </c>
    </row>
    <row r="25" ht="60.0" customHeight="1">
      <c r="A25" s="11">
        <v>22.0</v>
      </c>
      <c r="B25" s="12" t="s">
        <v>122</v>
      </c>
      <c r="C25" s="12" t="s">
        <v>123</v>
      </c>
      <c r="D25" s="12" t="s">
        <v>124</v>
      </c>
      <c r="E25" s="12" t="s">
        <v>125</v>
      </c>
      <c r="F25" s="11" t="str">
        <f t="shared" si="1"/>
        <v>CORRECT</v>
      </c>
      <c r="G25" s="11" t="s">
        <v>19</v>
      </c>
      <c r="H25" s="13" t="s">
        <v>19</v>
      </c>
      <c r="I25" s="14" t="s">
        <v>126</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136</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19</v>
      </c>
      <c r="I29" s="14" t="s">
        <v>144</v>
      </c>
      <c r="J29" s="15">
        <v>8395.0</v>
      </c>
    </row>
    <row r="30" ht="60.0" customHeight="1">
      <c r="A30" s="11">
        <v>27.0</v>
      </c>
      <c r="B30" s="12" t="s">
        <v>145</v>
      </c>
      <c r="C30" s="12" t="s">
        <v>146</v>
      </c>
      <c r="D30" s="12" t="s">
        <v>147</v>
      </c>
      <c r="E30" s="12" t="s">
        <v>148</v>
      </c>
      <c r="F30" s="11" t="str">
        <f t="shared" si="1"/>
        <v>CORRECT</v>
      </c>
      <c r="G30" s="11" t="s">
        <v>19</v>
      </c>
      <c r="H30" s="13" t="s">
        <v>19</v>
      </c>
      <c r="I30" s="14" t="s">
        <v>149</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159</v>
      </c>
      <c r="J32" s="15">
        <v>18916.0</v>
      </c>
    </row>
    <row r="33" ht="60.0" customHeight="1">
      <c r="A33" s="11">
        <v>30.0</v>
      </c>
      <c r="B33" s="12" t="s">
        <v>160</v>
      </c>
      <c r="C33" s="12" t="s">
        <v>161</v>
      </c>
      <c r="D33" s="12" t="s">
        <v>162</v>
      </c>
      <c r="E33" s="12" t="s">
        <v>163</v>
      </c>
      <c r="F33" s="11" t="str">
        <f t="shared" si="1"/>
        <v>WRONG</v>
      </c>
      <c r="G33" s="11" t="s">
        <v>30</v>
      </c>
      <c r="H33" s="13" t="s">
        <v>18</v>
      </c>
      <c r="I33" s="14" t="s">
        <v>164</v>
      </c>
      <c r="J33" s="15">
        <v>20925.0</v>
      </c>
    </row>
    <row r="34" ht="60.0" customHeight="1">
      <c r="A34" s="11">
        <v>31.0</v>
      </c>
      <c r="B34" s="12" t="s">
        <v>165</v>
      </c>
      <c r="C34" s="12" t="s">
        <v>166</v>
      </c>
      <c r="D34" s="12" t="s">
        <v>167</v>
      </c>
      <c r="E34" s="12" t="s">
        <v>168</v>
      </c>
      <c r="F34" s="11" t="str">
        <f t="shared" si="1"/>
        <v>WRONG</v>
      </c>
      <c r="G34" s="11" t="s">
        <v>19</v>
      </c>
      <c r="H34" s="13" t="s">
        <v>18</v>
      </c>
      <c r="I34" s="14" t="s">
        <v>169</v>
      </c>
      <c r="J34" s="15">
        <v>20146.0</v>
      </c>
    </row>
    <row r="35" ht="60.0" customHeight="1">
      <c r="A35" s="11">
        <v>32.0</v>
      </c>
      <c r="B35" s="12" t="s">
        <v>170</v>
      </c>
      <c r="C35" s="12" t="s">
        <v>171</v>
      </c>
      <c r="D35" s="12" t="s">
        <v>172</v>
      </c>
      <c r="E35" s="12" t="s">
        <v>173</v>
      </c>
      <c r="F35" s="11" t="str">
        <f t="shared" si="1"/>
        <v>WRONG</v>
      </c>
      <c r="G35" s="11" t="s">
        <v>18</v>
      </c>
      <c r="H35" s="15" t="s">
        <v>30</v>
      </c>
      <c r="I35" s="14" t="s">
        <v>174</v>
      </c>
      <c r="J35" s="15">
        <v>26031.0</v>
      </c>
    </row>
    <row r="36" ht="60.0" customHeight="1">
      <c r="A36" s="11">
        <v>33.0</v>
      </c>
      <c r="B36" s="12" t="s">
        <v>175</v>
      </c>
      <c r="C36" s="12" t="s">
        <v>176</v>
      </c>
      <c r="D36" s="12" t="s">
        <v>177</v>
      </c>
      <c r="E36" s="12" t="s">
        <v>178</v>
      </c>
      <c r="F36" s="11" t="str">
        <f t="shared" si="1"/>
        <v>CORRECT</v>
      </c>
      <c r="G36" s="11" t="s">
        <v>30</v>
      </c>
      <c r="H36" s="13" t="s">
        <v>30</v>
      </c>
      <c r="I36" s="14" t="s">
        <v>179</v>
      </c>
      <c r="J36" s="15">
        <v>16322.0</v>
      </c>
    </row>
    <row r="37" ht="60.0" customHeight="1">
      <c r="A37" s="11">
        <v>34.0</v>
      </c>
      <c r="B37" s="12" t="s">
        <v>180</v>
      </c>
      <c r="C37" s="12" t="s">
        <v>181</v>
      </c>
      <c r="D37" s="12" t="s">
        <v>182</v>
      </c>
      <c r="E37" s="12" t="s">
        <v>183</v>
      </c>
      <c r="F37" s="11" t="str">
        <f t="shared" si="1"/>
        <v>CORRECT</v>
      </c>
      <c r="G37" s="11" t="s">
        <v>18</v>
      </c>
      <c r="H37" s="13" t="s">
        <v>18</v>
      </c>
      <c r="I37" s="14" t="s">
        <v>184</v>
      </c>
      <c r="J37" s="15">
        <v>17443.0</v>
      </c>
    </row>
    <row r="38" ht="60.0" customHeight="1">
      <c r="A38" s="11">
        <v>35.0</v>
      </c>
      <c r="B38" s="12" t="s">
        <v>185</v>
      </c>
      <c r="C38" s="12" t="s">
        <v>186</v>
      </c>
      <c r="D38" s="12" t="s">
        <v>187</v>
      </c>
      <c r="E38" s="12" t="s">
        <v>188</v>
      </c>
      <c r="F38" s="11" t="str">
        <f t="shared" si="1"/>
        <v>CORRECT</v>
      </c>
      <c r="G38" s="11" t="s">
        <v>30</v>
      </c>
      <c r="H38" s="13" t="s">
        <v>30</v>
      </c>
      <c r="I38" s="14" t="s">
        <v>189</v>
      </c>
      <c r="J38" s="15">
        <v>18843.0</v>
      </c>
    </row>
    <row r="39" ht="60.0" customHeight="1">
      <c r="A39" s="11">
        <v>36.0</v>
      </c>
      <c r="B39" s="12" t="s">
        <v>190</v>
      </c>
      <c r="C39" s="12" t="s">
        <v>191</v>
      </c>
      <c r="D39" s="12" t="s">
        <v>192</v>
      </c>
      <c r="E39" s="12" t="s">
        <v>193</v>
      </c>
      <c r="F39" s="11" t="str">
        <f t="shared" si="1"/>
        <v>CORRECT</v>
      </c>
      <c r="G39" s="11" t="s">
        <v>18</v>
      </c>
      <c r="H39" s="13" t="s">
        <v>18</v>
      </c>
      <c r="I39" s="14" t="s">
        <v>194</v>
      </c>
      <c r="J39" s="15">
        <v>17928.0</v>
      </c>
    </row>
    <row r="40" ht="60.0" customHeight="1">
      <c r="A40" s="11">
        <v>37.0</v>
      </c>
      <c r="B40" s="12" t="s">
        <v>195</v>
      </c>
      <c r="C40" s="12" t="s">
        <v>196</v>
      </c>
      <c r="D40" s="12" t="s">
        <v>197</v>
      </c>
      <c r="E40" s="12" t="s">
        <v>198</v>
      </c>
      <c r="F40" s="11" t="str">
        <f t="shared" si="1"/>
        <v>WRONG</v>
      </c>
      <c r="G40" s="11" t="s">
        <v>18</v>
      </c>
      <c r="H40" s="15" t="s">
        <v>19</v>
      </c>
      <c r="I40" s="14" t="s">
        <v>199</v>
      </c>
      <c r="J40" s="15">
        <v>15317.0</v>
      </c>
    </row>
    <row r="41" ht="60.0" customHeight="1">
      <c r="A41" s="11">
        <v>38.0</v>
      </c>
      <c r="B41" s="12" t="s">
        <v>200</v>
      </c>
      <c r="C41" s="12" t="s">
        <v>201</v>
      </c>
      <c r="D41" s="12" t="s">
        <v>202</v>
      </c>
      <c r="E41" s="12" t="s">
        <v>203</v>
      </c>
      <c r="F41" s="11" t="str">
        <f t="shared" si="1"/>
        <v>CORRECT</v>
      </c>
      <c r="G41" s="11" t="s">
        <v>18</v>
      </c>
      <c r="H41" s="13" t="s">
        <v>18</v>
      </c>
      <c r="I41" s="14" t="s">
        <v>204</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214</v>
      </c>
      <c r="J43" s="15">
        <v>16210.0</v>
      </c>
    </row>
    <row r="44" ht="60.0" customHeight="1">
      <c r="A44" s="11">
        <v>41.0</v>
      </c>
      <c r="B44" s="12" t="s">
        <v>215</v>
      </c>
      <c r="C44" s="12" t="s">
        <v>216</v>
      </c>
      <c r="D44" s="12" t="s">
        <v>217</v>
      </c>
      <c r="E44" s="12" t="s">
        <v>218</v>
      </c>
      <c r="F44" s="11" t="str">
        <f t="shared" si="1"/>
        <v>CORRECT</v>
      </c>
      <c r="G44" s="11" t="s">
        <v>19</v>
      </c>
      <c r="H44" s="13" t="s">
        <v>19</v>
      </c>
      <c r="I44" s="14" t="s">
        <v>219</v>
      </c>
      <c r="J44" s="15">
        <v>15515.0</v>
      </c>
    </row>
    <row r="45" ht="60.0" customHeight="1">
      <c r="A45" s="11">
        <v>42.0</v>
      </c>
      <c r="B45" s="12" t="s">
        <v>220</v>
      </c>
      <c r="C45" s="12" t="s">
        <v>221</v>
      </c>
      <c r="D45" s="12" t="s">
        <v>222</v>
      </c>
      <c r="E45" s="12" t="s">
        <v>223</v>
      </c>
      <c r="F45" s="11" t="str">
        <f t="shared" si="1"/>
        <v>WRONG</v>
      </c>
      <c r="G45" s="11" t="s">
        <v>18</v>
      </c>
      <c r="H45" s="13"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239</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26</v>
      </c>
      <c r="G50" s="18"/>
      <c r="H50" s="18"/>
      <c r="J50" s="19">
        <f>AVERAGE(J4:J49)</f>
        <v>18096.02174</v>
      </c>
    </row>
    <row r="51">
      <c r="A51" s="20" t="s">
        <v>245</v>
      </c>
      <c r="B51" s="2"/>
      <c r="C51" s="2"/>
      <c r="D51" s="2"/>
      <c r="E51" s="3"/>
      <c r="F51" s="21">
        <v>46.0</v>
      </c>
      <c r="G51" s="18"/>
      <c r="H51" s="18"/>
    </row>
    <row r="52">
      <c r="A52" s="16" t="s">
        <v>246</v>
      </c>
      <c r="B52" s="2"/>
      <c r="C52" s="2"/>
      <c r="D52" s="2"/>
      <c r="E52" s="3"/>
      <c r="F52" s="22">
        <f>F50/F51</f>
        <v>0.5652173913</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247</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CORRECT</v>
      </c>
      <c r="G4" s="11" t="s">
        <v>18</v>
      </c>
      <c r="H4" s="15" t="s">
        <v>18</v>
      </c>
      <c r="I4" s="24" t="s">
        <v>248</v>
      </c>
      <c r="J4" s="15">
        <v>17967.0</v>
      </c>
    </row>
    <row r="5" ht="60.0" customHeight="1">
      <c r="A5" s="11">
        <v>2.0</v>
      </c>
      <c r="B5" s="12" t="s">
        <v>21</v>
      </c>
      <c r="C5" s="12" t="s">
        <v>22</v>
      </c>
      <c r="D5" s="12" t="s">
        <v>23</v>
      </c>
      <c r="E5" s="12" t="s">
        <v>24</v>
      </c>
      <c r="F5" s="11" t="str">
        <f t="shared" si="1"/>
        <v>CORRECT</v>
      </c>
      <c r="G5" s="11" t="s">
        <v>19</v>
      </c>
      <c r="H5" s="13" t="s">
        <v>19</v>
      </c>
      <c r="I5" s="14" t="s">
        <v>249</v>
      </c>
      <c r="J5" s="15">
        <v>21567.0</v>
      </c>
    </row>
    <row r="6" ht="60.0" customHeight="1">
      <c r="A6" s="11">
        <v>3.0</v>
      </c>
      <c r="B6" s="12" t="s">
        <v>26</v>
      </c>
      <c r="C6" s="12" t="s">
        <v>27</v>
      </c>
      <c r="D6" s="12" t="s">
        <v>28</v>
      </c>
      <c r="E6" s="12" t="s">
        <v>29</v>
      </c>
      <c r="F6" s="11" t="str">
        <f t="shared" si="1"/>
        <v>CORRECT</v>
      </c>
      <c r="G6" s="11" t="s">
        <v>30</v>
      </c>
      <c r="H6" s="15" t="s">
        <v>30</v>
      </c>
      <c r="I6" s="14" t="s">
        <v>250</v>
      </c>
      <c r="J6" s="15">
        <v>18514.0</v>
      </c>
    </row>
    <row r="7" ht="60.0" customHeight="1">
      <c r="A7" s="11">
        <v>4.0</v>
      </c>
      <c r="B7" s="12" t="s">
        <v>32</v>
      </c>
      <c r="C7" s="12" t="s">
        <v>33</v>
      </c>
      <c r="D7" s="12" t="s">
        <v>34</v>
      </c>
      <c r="E7" s="12" t="s">
        <v>35</v>
      </c>
      <c r="F7" s="11" t="str">
        <f t="shared" si="1"/>
        <v>CORRECT</v>
      </c>
      <c r="G7" s="11" t="s">
        <v>19</v>
      </c>
      <c r="H7" s="15" t="s">
        <v>19</v>
      </c>
      <c r="I7" s="14" t="s">
        <v>251</v>
      </c>
      <c r="J7" s="15">
        <v>14761.0</v>
      </c>
    </row>
    <row r="8" ht="60.0" customHeight="1">
      <c r="A8" s="11">
        <v>5.0</v>
      </c>
      <c r="B8" s="12" t="s">
        <v>37</v>
      </c>
      <c r="C8" s="12" t="s">
        <v>38</v>
      </c>
      <c r="D8" s="12" t="s">
        <v>39</v>
      </c>
      <c r="E8" s="12" t="s">
        <v>40</v>
      </c>
      <c r="F8" s="11" t="str">
        <f t="shared" si="1"/>
        <v>CORRECT</v>
      </c>
      <c r="G8" s="11" t="s">
        <v>30</v>
      </c>
      <c r="H8" s="13" t="s">
        <v>30</v>
      </c>
      <c r="I8" s="14" t="s">
        <v>252</v>
      </c>
      <c r="J8" s="15">
        <v>24631.0</v>
      </c>
    </row>
    <row r="9" ht="60.0" customHeight="1">
      <c r="A9" s="11">
        <v>6.0</v>
      </c>
      <c r="B9" s="12" t="s">
        <v>42</v>
      </c>
      <c r="C9" s="12" t="s">
        <v>43</v>
      </c>
      <c r="D9" s="12" t="s">
        <v>44</v>
      </c>
      <c r="E9" s="12" t="s">
        <v>45</v>
      </c>
      <c r="F9" s="11" t="str">
        <f t="shared" si="1"/>
        <v>CORRECT</v>
      </c>
      <c r="G9" s="11" t="s">
        <v>19</v>
      </c>
      <c r="H9" s="15" t="s">
        <v>19</v>
      </c>
      <c r="I9" s="14" t="s">
        <v>253</v>
      </c>
      <c r="J9" s="15">
        <v>18622.0</v>
      </c>
    </row>
    <row r="10" ht="60.0" customHeight="1">
      <c r="A10" s="11">
        <v>7.0</v>
      </c>
      <c r="B10" s="12" t="s">
        <v>47</v>
      </c>
      <c r="C10" s="12" t="s">
        <v>48</v>
      </c>
      <c r="D10" s="12" t="s">
        <v>49</v>
      </c>
      <c r="E10" s="12" t="s">
        <v>50</v>
      </c>
      <c r="F10" s="11" t="str">
        <f t="shared" si="1"/>
        <v>WRONG</v>
      </c>
      <c r="G10" s="11" t="s">
        <v>19</v>
      </c>
      <c r="H10" s="15" t="s">
        <v>18</v>
      </c>
      <c r="I10" s="14" t="s">
        <v>254</v>
      </c>
      <c r="J10" s="15">
        <v>15579.0</v>
      </c>
    </row>
    <row r="11" ht="60.0" customHeight="1">
      <c r="A11" s="11">
        <v>8.0</v>
      </c>
      <c r="B11" s="12" t="s">
        <v>52</v>
      </c>
      <c r="C11" s="12" t="s">
        <v>53</v>
      </c>
      <c r="D11" s="12" t="s">
        <v>54</v>
      </c>
      <c r="E11" s="12" t="s">
        <v>55</v>
      </c>
      <c r="F11" s="11" t="str">
        <f t="shared" si="1"/>
        <v>WRONG</v>
      </c>
      <c r="G11" s="11" t="s">
        <v>30</v>
      </c>
      <c r="H11" s="15" t="s">
        <v>19</v>
      </c>
      <c r="I11" s="14" t="s">
        <v>255</v>
      </c>
      <c r="J11" s="15">
        <v>29850.0</v>
      </c>
    </row>
    <row r="12" ht="60.0" customHeight="1">
      <c r="A12" s="11">
        <v>9.0</v>
      </c>
      <c r="B12" s="12" t="s">
        <v>57</v>
      </c>
      <c r="C12" s="12" t="s">
        <v>58</v>
      </c>
      <c r="D12" s="12" t="s">
        <v>59</v>
      </c>
      <c r="E12" s="12" t="s">
        <v>60</v>
      </c>
      <c r="F12" s="11" t="str">
        <f t="shared" si="1"/>
        <v>WRONG</v>
      </c>
      <c r="G12" s="11" t="s">
        <v>19</v>
      </c>
      <c r="H12" s="15" t="s">
        <v>30</v>
      </c>
      <c r="I12" s="14" t="s">
        <v>256</v>
      </c>
      <c r="J12" s="15">
        <v>19566.0</v>
      </c>
    </row>
    <row r="13" ht="60.0" customHeight="1">
      <c r="A13" s="11">
        <v>10.0</v>
      </c>
      <c r="B13" s="12" t="s">
        <v>62</v>
      </c>
      <c r="C13" s="12" t="s">
        <v>63</v>
      </c>
      <c r="D13" s="12" t="s">
        <v>64</v>
      </c>
      <c r="E13" s="12" t="s">
        <v>65</v>
      </c>
      <c r="F13" s="11" t="str">
        <f t="shared" si="1"/>
        <v>WRONG</v>
      </c>
      <c r="G13" s="11" t="s">
        <v>30</v>
      </c>
      <c r="H13" s="15" t="s">
        <v>19</v>
      </c>
      <c r="I13" s="14" t="s">
        <v>257</v>
      </c>
      <c r="J13" s="15">
        <v>18762.0</v>
      </c>
    </row>
    <row r="14" ht="60.0" customHeight="1">
      <c r="A14" s="11">
        <v>11.0</v>
      </c>
      <c r="B14" s="12" t="s">
        <v>67</v>
      </c>
      <c r="C14" s="12" t="s">
        <v>68</v>
      </c>
      <c r="D14" s="12" t="s">
        <v>69</v>
      </c>
      <c r="E14" s="12" t="s">
        <v>70</v>
      </c>
      <c r="F14" s="11" t="str">
        <f t="shared" si="1"/>
        <v>WRONG</v>
      </c>
      <c r="G14" s="11" t="s">
        <v>19</v>
      </c>
      <c r="H14" s="15" t="s">
        <v>30</v>
      </c>
      <c r="I14" s="14" t="s">
        <v>258</v>
      </c>
      <c r="J14" s="15">
        <v>20526.0</v>
      </c>
    </row>
    <row r="15" ht="60.0" customHeight="1">
      <c r="A15" s="11">
        <v>12.0</v>
      </c>
      <c r="B15" s="12" t="s">
        <v>72</v>
      </c>
      <c r="C15" s="12" t="s">
        <v>73</v>
      </c>
      <c r="D15" s="12" t="s">
        <v>74</v>
      </c>
      <c r="E15" s="12" t="s">
        <v>75</v>
      </c>
      <c r="F15" s="11" t="str">
        <f t="shared" si="1"/>
        <v>CORRECT</v>
      </c>
      <c r="G15" s="11" t="s">
        <v>30</v>
      </c>
      <c r="H15" s="13" t="s">
        <v>30</v>
      </c>
      <c r="I15" s="14" t="s">
        <v>259</v>
      </c>
      <c r="J15" s="15">
        <v>17612.0</v>
      </c>
    </row>
    <row r="16" ht="60.0" customHeight="1">
      <c r="A16" s="11">
        <v>13.0</v>
      </c>
      <c r="B16" s="12" t="s">
        <v>77</v>
      </c>
      <c r="C16" s="12" t="s">
        <v>78</v>
      </c>
      <c r="D16" s="12" t="s">
        <v>79</v>
      </c>
      <c r="E16" s="12" t="s">
        <v>80</v>
      </c>
      <c r="F16" s="11" t="str">
        <f t="shared" si="1"/>
        <v>CORRECT</v>
      </c>
      <c r="G16" s="11" t="s">
        <v>18</v>
      </c>
      <c r="H16" s="15" t="s">
        <v>18</v>
      </c>
      <c r="I16" s="14" t="s">
        <v>260</v>
      </c>
      <c r="J16" s="15">
        <v>17025.0</v>
      </c>
    </row>
    <row r="17" ht="60.0" customHeight="1">
      <c r="A17" s="11">
        <v>14.0</v>
      </c>
      <c r="B17" s="12" t="s">
        <v>82</v>
      </c>
      <c r="C17" s="12" t="s">
        <v>83</v>
      </c>
      <c r="D17" s="12" t="s">
        <v>84</v>
      </c>
      <c r="E17" s="12" t="s">
        <v>85</v>
      </c>
      <c r="F17" s="11" t="str">
        <f t="shared" si="1"/>
        <v>WRONG</v>
      </c>
      <c r="G17" s="11" t="s">
        <v>18</v>
      </c>
      <c r="H17" s="15" t="s">
        <v>30</v>
      </c>
      <c r="I17" s="14" t="s">
        <v>261</v>
      </c>
      <c r="J17" s="15">
        <v>12961.0</v>
      </c>
    </row>
    <row r="18" ht="60.0" customHeight="1">
      <c r="A18" s="11">
        <v>15.0</v>
      </c>
      <c r="B18" s="12" t="s">
        <v>87</v>
      </c>
      <c r="C18" s="12" t="s">
        <v>88</v>
      </c>
      <c r="D18" s="12" t="s">
        <v>89</v>
      </c>
      <c r="E18" s="12" t="s">
        <v>90</v>
      </c>
      <c r="F18" s="11" t="str">
        <f t="shared" si="1"/>
        <v>CORRECT</v>
      </c>
      <c r="G18" s="11" t="s">
        <v>30</v>
      </c>
      <c r="H18" s="15" t="s">
        <v>30</v>
      </c>
      <c r="I18" s="14" t="s">
        <v>262</v>
      </c>
      <c r="J18" s="15">
        <v>21882.0</v>
      </c>
    </row>
    <row r="19" ht="60.0" customHeight="1">
      <c r="A19" s="11">
        <v>16.0</v>
      </c>
      <c r="B19" s="12" t="s">
        <v>92</v>
      </c>
      <c r="C19" s="12" t="s">
        <v>93</v>
      </c>
      <c r="D19" s="12" t="s">
        <v>94</v>
      </c>
      <c r="E19" s="12" t="s">
        <v>95</v>
      </c>
      <c r="F19" s="11" t="str">
        <f t="shared" si="1"/>
        <v>WRONG</v>
      </c>
      <c r="G19" s="11" t="s">
        <v>30</v>
      </c>
      <c r="H19" s="15" t="s">
        <v>18</v>
      </c>
      <c r="I19" s="14" t="s">
        <v>263</v>
      </c>
      <c r="J19" s="15">
        <v>14687.0</v>
      </c>
    </row>
    <row r="20" ht="60.0" customHeight="1">
      <c r="A20" s="11">
        <v>17.0</v>
      </c>
      <c r="B20" s="12" t="s">
        <v>97</v>
      </c>
      <c r="C20" s="12" t="s">
        <v>98</v>
      </c>
      <c r="D20" s="12" t="s">
        <v>99</v>
      </c>
      <c r="E20" s="12" t="s">
        <v>100</v>
      </c>
      <c r="F20" s="11" t="str">
        <f t="shared" si="1"/>
        <v>WRONG</v>
      </c>
      <c r="G20" s="11" t="s">
        <v>19</v>
      </c>
      <c r="H20" s="15" t="s">
        <v>18</v>
      </c>
      <c r="I20" s="14" t="s">
        <v>264</v>
      </c>
      <c r="J20" s="15">
        <v>16788.0</v>
      </c>
    </row>
    <row r="21" ht="60.0" customHeight="1">
      <c r="A21" s="11">
        <v>18.0</v>
      </c>
      <c r="B21" s="12" t="s">
        <v>102</v>
      </c>
      <c r="C21" s="12" t="s">
        <v>103</v>
      </c>
      <c r="D21" s="12" t="s">
        <v>104</v>
      </c>
      <c r="E21" s="12" t="s">
        <v>105</v>
      </c>
      <c r="F21" s="11" t="str">
        <f t="shared" si="1"/>
        <v>CORRECT</v>
      </c>
      <c r="G21" s="11" t="s">
        <v>19</v>
      </c>
      <c r="H21" s="13" t="s">
        <v>19</v>
      </c>
      <c r="I21" s="14" t="s">
        <v>265</v>
      </c>
      <c r="J21" s="15">
        <v>11885.0</v>
      </c>
    </row>
    <row r="22" ht="60.0" customHeight="1">
      <c r="A22" s="11">
        <v>19.0</v>
      </c>
      <c r="B22" s="12" t="s">
        <v>107</v>
      </c>
      <c r="C22" s="12" t="s">
        <v>108</v>
      </c>
      <c r="D22" s="12" t="s">
        <v>109</v>
      </c>
      <c r="E22" s="12" t="s">
        <v>110</v>
      </c>
      <c r="F22" s="11" t="str">
        <f t="shared" si="1"/>
        <v>WRONG</v>
      </c>
      <c r="G22" s="11" t="s">
        <v>18</v>
      </c>
      <c r="H22" s="13" t="s">
        <v>19</v>
      </c>
      <c r="I22" s="14" t="s">
        <v>266</v>
      </c>
      <c r="J22" s="15">
        <v>18932.0</v>
      </c>
    </row>
    <row r="23" ht="60.0" customHeight="1">
      <c r="A23" s="11">
        <v>20.0</v>
      </c>
      <c r="B23" s="12" t="s">
        <v>112</v>
      </c>
      <c r="C23" s="12" t="s">
        <v>113</v>
      </c>
      <c r="D23" s="12" t="s">
        <v>114</v>
      </c>
      <c r="E23" s="12" t="s">
        <v>115</v>
      </c>
      <c r="F23" s="11" t="str">
        <f t="shared" si="1"/>
        <v>WRONG</v>
      </c>
      <c r="G23" s="11" t="s">
        <v>19</v>
      </c>
      <c r="H23" s="15" t="s">
        <v>18</v>
      </c>
      <c r="I23" s="14" t="s">
        <v>267</v>
      </c>
      <c r="J23" s="15">
        <v>18497.0</v>
      </c>
    </row>
    <row r="24" ht="60.0" customHeight="1">
      <c r="A24" s="11">
        <v>21.0</v>
      </c>
      <c r="B24" s="12" t="s">
        <v>117</v>
      </c>
      <c r="C24" s="12" t="s">
        <v>118</v>
      </c>
      <c r="D24" s="12" t="s">
        <v>119</v>
      </c>
      <c r="E24" s="12" t="s">
        <v>120</v>
      </c>
      <c r="F24" s="11" t="str">
        <f t="shared" si="1"/>
        <v>WRONG</v>
      </c>
      <c r="G24" s="11" t="s">
        <v>19</v>
      </c>
      <c r="H24" s="15" t="s">
        <v>18</v>
      </c>
      <c r="I24" s="14" t="s">
        <v>268</v>
      </c>
      <c r="J24" s="15">
        <v>22086.0</v>
      </c>
    </row>
    <row r="25" ht="60.0" customHeight="1">
      <c r="A25" s="11">
        <v>22.0</v>
      </c>
      <c r="B25" s="12" t="s">
        <v>122</v>
      </c>
      <c r="C25" s="12" t="s">
        <v>123</v>
      </c>
      <c r="D25" s="12" t="s">
        <v>124</v>
      </c>
      <c r="E25" s="12" t="s">
        <v>125</v>
      </c>
      <c r="F25" s="11" t="str">
        <f t="shared" si="1"/>
        <v>CORRECT</v>
      </c>
      <c r="G25" s="11" t="s">
        <v>19</v>
      </c>
      <c r="H25" s="15" t="s">
        <v>19</v>
      </c>
      <c r="I25" s="14" t="s">
        <v>269</v>
      </c>
      <c r="J25" s="15">
        <v>18798.0</v>
      </c>
    </row>
    <row r="26" ht="60.0" customHeight="1">
      <c r="A26" s="11">
        <v>23.0</v>
      </c>
      <c r="B26" s="12" t="s">
        <v>127</v>
      </c>
      <c r="C26" s="12" t="s">
        <v>128</v>
      </c>
      <c r="D26" s="12" t="s">
        <v>129</v>
      </c>
      <c r="E26" s="12" t="s">
        <v>130</v>
      </c>
      <c r="F26" s="11" t="str">
        <f t="shared" si="1"/>
        <v>CORRECT</v>
      </c>
      <c r="G26" s="11" t="s">
        <v>30</v>
      </c>
      <c r="H26" s="15" t="s">
        <v>30</v>
      </c>
      <c r="I26" s="14" t="s">
        <v>270</v>
      </c>
      <c r="J26" s="15">
        <v>16311.0</v>
      </c>
    </row>
    <row r="27" ht="60.0" customHeight="1">
      <c r="A27" s="11">
        <v>24.0</v>
      </c>
      <c r="B27" s="12" t="s">
        <v>132</v>
      </c>
      <c r="C27" s="12" t="s">
        <v>133</v>
      </c>
      <c r="D27" s="12" t="s">
        <v>134</v>
      </c>
      <c r="E27" s="12" t="s">
        <v>135</v>
      </c>
      <c r="F27" s="11" t="str">
        <f t="shared" si="1"/>
        <v>CORRECT</v>
      </c>
      <c r="G27" s="11" t="s">
        <v>18</v>
      </c>
      <c r="H27" s="15" t="s">
        <v>18</v>
      </c>
      <c r="I27" s="14" t="s">
        <v>271</v>
      </c>
      <c r="J27" s="15">
        <v>13894.0</v>
      </c>
    </row>
    <row r="28" ht="60.0" customHeight="1">
      <c r="A28" s="11">
        <v>25.0</v>
      </c>
      <c r="B28" s="12" t="s">
        <v>137</v>
      </c>
      <c r="C28" s="12" t="s">
        <v>133</v>
      </c>
      <c r="D28" s="12" t="s">
        <v>138</v>
      </c>
      <c r="E28" s="12" t="s">
        <v>135</v>
      </c>
      <c r="F28" s="11" t="str">
        <f t="shared" si="1"/>
        <v>CORRECT</v>
      </c>
      <c r="G28" s="11" t="s">
        <v>30</v>
      </c>
      <c r="H28" s="15" t="s">
        <v>30</v>
      </c>
      <c r="I28" s="14" t="s">
        <v>272</v>
      </c>
      <c r="J28" s="15">
        <v>12653.0</v>
      </c>
    </row>
    <row r="29" ht="60.0" customHeight="1">
      <c r="A29" s="11">
        <v>26.0</v>
      </c>
      <c r="B29" s="12" t="s">
        <v>140</v>
      </c>
      <c r="C29" s="12" t="s">
        <v>141</v>
      </c>
      <c r="D29" s="12" t="s">
        <v>142</v>
      </c>
      <c r="E29" s="12" t="s">
        <v>143</v>
      </c>
      <c r="F29" s="11" t="str">
        <f t="shared" si="1"/>
        <v>WRONG</v>
      </c>
      <c r="G29" s="11" t="s">
        <v>18</v>
      </c>
      <c r="H29" s="13" t="s">
        <v>30</v>
      </c>
      <c r="I29" s="14" t="s">
        <v>273</v>
      </c>
      <c r="J29" s="15">
        <v>8395.0</v>
      </c>
    </row>
    <row r="30" ht="60.0" customHeight="1">
      <c r="A30" s="11">
        <v>27.0</v>
      </c>
      <c r="B30" s="12" t="s">
        <v>145</v>
      </c>
      <c r="C30" s="12" t="s">
        <v>146</v>
      </c>
      <c r="D30" s="12" t="s">
        <v>147</v>
      </c>
      <c r="E30" s="12" t="s">
        <v>148</v>
      </c>
      <c r="F30" s="11" t="str">
        <f t="shared" si="1"/>
        <v>CORRECT</v>
      </c>
      <c r="G30" s="11" t="s">
        <v>19</v>
      </c>
      <c r="H30" s="15" t="s">
        <v>19</v>
      </c>
      <c r="I30" s="14" t="s">
        <v>274</v>
      </c>
      <c r="J30" s="15">
        <v>14668.0</v>
      </c>
    </row>
    <row r="31" ht="60.0" customHeight="1">
      <c r="A31" s="11">
        <v>28.0</v>
      </c>
      <c r="B31" s="12" t="s">
        <v>150</v>
      </c>
      <c r="C31" s="12" t="s">
        <v>151</v>
      </c>
      <c r="D31" s="12" t="s">
        <v>152</v>
      </c>
      <c r="E31" s="12" t="s">
        <v>153</v>
      </c>
      <c r="F31" s="11" t="str">
        <f t="shared" si="1"/>
        <v>CORRECT</v>
      </c>
      <c r="G31" s="11" t="s">
        <v>18</v>
      </c>
      <c r="H31" s="15" t="s">
        <v>18</v>
      </c>
      <c r="I31" s="14" t="s">
        <v>275</v>
      </c>
      <c r="J31" s="15">
        <v>19058.0</v>
      </c>
    </row>
    <row r="32" ht="60.0" customHeight="1">
      <c r="A32" s="11">
        <v>29.0</v>
      </c>
      <c r="B32" s="12" t="s">
        <v>155</v>
      </c>
      <c r="C32" s="12" t="s">
        <v>156</v>
      </c>
      <c r="D32" s="12" t="s">
        <v>157</v>
      </c>
      <c r="E32" s="12" t="s">
        <v>158</v>
      </c>
      <c r="F32" s="11" t="str">
        <f t="shared" si="1"/>
        <v>CORRECT</v>
      </c>
      <c r="G32" s="11" t="s">
        <v>19</v>
      </c>
      <c r="H32" s="13" t="s">
        <v>19</v>
      </c>
      <c r="I32" s="14" t="s">
        <v>276</v>
      </c>
      <c r="J32" s="15">
        <v>18916.0</v>
      </c>
    </row>
    <row r="33" ht="60.0" customHeight="1">
      <c r="A33" s="11">
        <v>30.0</v>
      </c>
      <c r="B33" s="12" t="s">
        <v>160</v>
      </c>
      <c r="C33" s="12" t="s">
        <v>161</v>
      </c>
      <c r="D33" s="12" t="s">
        <v>162</v>
      </c>
      <c r="E33" s="12" t="s">
        <v>163</v>
      </c>
      <c r="F33" s="11" t="str">
        <f t="shared" si="1"/>
        <v>WRONG</v>
      </c>
      <c r="G33" s="11" t="s">
        <v>30</v>
      </c>
      <c r="H33" s="15" t="s">
        <v>18</v>
      </c>
      <c r="I33" s="14" t="s">
        <v>277</v>
      </c>
      <c r="J33" s="15">
        <v>20925.0</v>
      </c>
    </row>
    <row r="34" ht="60.0" customHeight="1">
      <c r="A34" s="11">
        <v>31.0</v>
      </c>
      <c r="B34" s="12" t="s">
        <v>165</v>
      </c>
      <c r="C34" s="12" t="s">
        <v>166</v>
      </c>
      <c r="D34" s="12" t="s">
        <v>167</v>
      </c>
      <c r="E34" s="12" t="s">
        <v>168</v>
      </c>
      <c r="F34" s="11" t="str">
        <f t="shared" si="1"/>
        <v>WRONG</v>
      </c>
      <c r="G34" s="11" t="s">
        <v>19</v>
      </c>
      <c r="H34" s="13" t="s">
        <v>18</v>
      </c>
      <c r="I34" s="14" t="s">
        <v>278</v>
      </c>
      <c r="J34" s="15">
        <v>20146.0</v>
      </c>
    </row>
    <row r="35" ht="60.0" customHeight="1">
      <c r="A35" s="11">
        <v>32.0</v>
      </c>
      <c r="B35" s="12" t="s">
        <v>170</v>
      </c>
      <c r="C35" s="12" t="s">
        <v>171</v>
      </c>
      <c r="D35" s="12" t="s">
        <v>172</v>
      </c>
      <c r="E35" s="12" t="s">
        <v>173</v>
      </c>
      <c r="F35" s="11" t="str">
        <f t="shared" si="1"/>
        <v>CORRECT</v>
      </c>
      <c r="G35" s="11" t="s">
        <v>18</v>
      </c>
      <c r="H35" s="13" t="s">
        <v>18</v>
      </c>
      <c r="I35" s="14" t="s">
        <v>279</v>
      </c>
      <c r="J35" s="15">
        <v>26031.0</v>
      </c>
    </row>
    <row r="36" ht="60.0" customHeight="1">
      <c r="A36" s="11">
        <v>33.0</v>
      </c>
      <c r="B36" s="12" t="s">
        <v>175</v>
      </c>
      <c r="C36" s="12" t="s">
        <v>176</v>
      </c>
      <c r="D36" s="12" t="s">
        <v>177</v>
      </c>
      <c r="E36" s="12" t="s">
        <v>178</v>
      </c>
      <c r="F36" s="11" t="str">
        <f t="shared" si="1"/>
        <v>WRONG</v>
      </c>
      <c r="G36" s="11" t="s">
        <v>30</v>
      </c>
      <c r="H36" s="15" t="s">
        <v>19</v>
      </c>
      <c r="I36" s="14" t="s">
        <v>280</v>
      </c>
      <c r="J36" s="15">
        <v>16322.0</v>
      </c>
    </row>
    <row r="37" ht="60.0" customHeight="1">
      <c r="A37" s="11">
        <v>34.0</v>
      </c>
      <c r="B37" s="12" t="s">
        <v>180</v>
      </c>
      <c r="C37" s="12" t="s">
        <v>181</v>
      </c>
      <c r="D37" s="12" t="s">
        <v>182</v>
      </c>
      <c r="E37" s="12" t="s">
        <v>183</v>
      </c>
      <c r="F37" s="11" t="str">
        <f t="shared" si="1"/>
        <v>CORRECT</v>
      </c>
      <c r="G37" s="11" t="s">
        <v>18</v>
      </c>
      <c r="H37" s="15" t="s">
        <v>18</v>
      </c>
      <c r="I37" s="14" t="s">
        <v>281</v>
      </c>
      <c r="J37" s="15">
        <v>17443.0</v>
      </c>
    </row>
    <row r="38" ht="60.0" customHeight="1">
      <c r="A38" s="11">
        <v>35.0</v>
      </c>
      <c r="B38" s="12" t="s">
        <v>185</v>
      </c>
      <c r="C38" s="12" t="s">
        <v>186</v>
      </c>
      <c r="D38" s="12" t="s">
        <v>187</v>
      </c>
      <c r="E38" s="12" t="s">
        <v>188</v>
      </c>
      <c r="F38" s="11" t="str">
        <f t="shared" si="1"/>
        <v>CORRECT</v>
      </c>
      <c r="G38" s="11" t="s">
        <v>30</v>
      </c>
      <c r="H38" s="15" t="s">
        <v>30</v>
      </c>
      <c r="I38" s="14" t="s">
        <v>282</v>
      </c>
      <c r="J38" s="15">
        <v>18843.0</v>
      </c>
    </row>
    <row r="39" ht="60.0" customHeight="1">
      <c r="A39" s="11">
        <v>36.0</v>
      </c>
      <c r="B39" s="12" t="s">
        <v>190</v>
      </c>
      <c r="C39" s="12" t="s">
        <v>191</v>
      </c>
      <c r="D39" s="12" t="s">
        <v>192</v>
      </c>
      <c r="E39" s="12" t="s">
        <v>193</v>
      </c>
      <c r="F39" s="11" t="str">
        <f t="shared" si="1"/>
        <v>CORRECT</v>
      </c>
      <c r="G39" s="11" t="s">
        <v>18</v>
      </c>
      <c r="H39" s="15" t="s">
        <v>18</v>
      </c>
      <c r="I39" s="14" t="s">
        <v>283</v>
      </c>
      <c r="J39" s="15">
        <v>17928.0</v>
      </c>
    </row>
    <row r="40" ht="60.0" customHeight="1">
      <c r="A40" s="11">
        <v>37.0</v>
      </c>
      <c r="B40" s="12" t="s">
        <v>195</v>
      </c>
      <c r="C40" s="12" t="s">
        <v>196</v>
      </c>
      <c r="D40" s="12" t="s">
        <v>197</v>
      </c>
      <c r="E40" s="12" t="s">
        <v>198</v>
      </c>
      <c r="F40" s="11" t="str">
        <f t="shared" si="1"/>
        <v>WRONG</v>
      </c>
      <c r="G40" s="11" t="s">
        <v>18</v>
      </c>
      <c r="H40" s="15" t="s">
        <v>19</v>
      </c>
      <c r="I40" s="14" t="s">
        <v>284</v>
      </c>
      <c r="J40" s="15">
        <v>15317.0</v>
      </c>
    </row>
    <row r="41" ht="60.0" customHeight="1">
      <c r="A41" s="11">
        <v>38.0</v>
      </c>
      <c r="B41" s="12" t="s">
        <v>200</v>
      </c>
      <c r="C41" s="12" t="s">
        <v>201</v>
      </c>
      <c r="D41" s="12" t="s">
        <v>202</v>
      </c>
      <c r="E41" s="12" t="s">
        <v>203</v>
      </c>
      <c r="F41" s="11" t="str">
        <f t="shared" si="1"/>
        <v>CORRECT</v>
      </c>
      <c r="G41" s="11" t="s">
        <v>18</v>
      </c>
      <c r="H41" s="15" t="s">
        <v>18</v>
      </c>
      <c r="I41" s="14" t="s">
        <v>285</v>
      </c>
      <c r="J41" s="15">
        <v>17554.0</v>
      </c>
    </row>
    <row r="42" ht="60.0" customHeight="1">
      <c r="A42" s="11">
        <v>39.0</v>
      </c>
      <c r="B42" s="12" t="s">
        <v>205</v>
      </c>
      <c r="C42" s="12" t="s">
        <v>206</v>
      </c>
      <c r="D42" s="12" t="s">
        <v>207</v>
      </c>
      <c r="E42" s="12" t="s">
        <v>208</v>
      </c>
      <c r="F42" s="11" t="str">
        <f t="shared" si="1"/>
        <v>WRONG</v>
      </c>
      <c r="G42" s="11" t="s">
        <v>19</v>
      </c>
      <c r="H42" s="15" t="s">
        <v>18</v>
      </c>
      <c r="I42" s="14" t="s">
        <v>286</v>
      </c>
      <c r="J42" s="15">
        <v>21061.0</v>
      </c>
    </row>
    <row r="43" ht="60.0" customHeight="1">
      <c r="A43" s="11">
        <v>40.0</v>
      </c>
      <c r="B43" s="12" t="s">
        <v>210</v>
      </c>
      <c r="C43" s="12" t="s">
        <v>211</v>
      </c>
      <c r="D43" s="12" t="s">
        <v>212</v>
      </c>
      <c r="E43" s="12" t="s">
        <v>213</v>
      </c>
      <c r="F43" s="11" t="str">
        <f t="shared" si="1"/>
        <v>WRONG</v>
      </c>
      <c r="G43" s="11" t="s">
        <v>30</v>
      </c>
      <c r="H43" s="15" t="s">
        <v>19</v>
      </c>
      <c r="I43" s="14" t="s">
        <v>287</v>
      </c>
      <c r="J43" s="15">
        <v>16210.0</v>
      </c>
    </row>
    <row r="44" ht="60.0" customHeight="1">
      <c r="A44" s="11">
        <v>41.0</v>
      </c>
      <c r="B44" s="12" t="s">
        <v>215</v>
      </c>
      <c r="C44" s="12" t="s">
        <v>216</v>
      </c>
      <c r="D44" s="12" t="s">
        <v>217</v>
      </c>
      <c r="E44" s="12" t="s">
        <v>218</v>
      </c>
      <c r="F44" s="11" t="str">
        <f t="shared" si="1"/>
        <v>CORRECT</v>
      </c>
      <c r="G44" s="11" t="s">
        <v>19</v>
      </c>
      <c r="H44" s="15" t="s">
        <v>19</v>
      </c>
      <c r="I44" s="14" t="s">
        <v>288</v>
      </c>
      <c r="J44" s="15">
        <v>15515.0</v>
      </c>
    </row>
    <row r="45" ht="60.0" customHeight="1">
      <c r="A45" s="11">
        <v>42.0</v>
      </c>
      <c r="B45" s="12" t="s">
        <v>220</v>
      </c>
      <c r="C45" s="12" t="s">
        <v>221</v>
      </c>
      <c r="D45" s="12" t="s">
        <v>222</v>
      </c>
      <c r="E45" s="12" t="s">
        <v>223</v>
      </c>
      <c r="F45" s="11" t="str">
        <f t="shared" si="1"/>
        <v>WRONG</v>
      </c>
      <c r="G45" s="11" t="s">
        <v>18</v>
      </c>
      <c r="H45" s="15" t="s">
        <v>19</v>
      </c>
      <c r="I45" s="14" t="s">
        <v>289</v>
      </c>
      <c r="J45" s="15">
        <v>17280.0</v>
      </c>
    </row>
    <row r="46" ht="60.0" customHeight="1">
      <c r="A46" s="11">
        <v>43.0</v>
      </c>
      <c r="B46" s="12" t="s">
        <v>225</v>
      </c>
      <c r="C46" s="12" t="s">
        <v>226</v>
      </c>
      <c r="D46" s="12" t="s">
        <v>227</v>
      </c>
      <c r="E46" s="12" t="s">
        <v>228</v>
      </c>
      <c r="F46" s="11" t="str">
        <f t="shared" si="1"/>
        <v>WRONG</v>
      </c>
      <c r="G46" s="11" t="s">
        <v>30</v>
      </c>
      <c r="H46" s="15" t="s">
        <v>18</v>
      </c>
      <c r="I46" s="14" t="s">
        <v>290</v>
      </c>
      <c r="J46" s="15">
        <v>22361.0</v>
      </c>
    </row>
    <row r="47" ht="60.0" customHeight="1">
      <c r="A47" s="11">
        <v>44.0</v>
      </c>
      <c r="B47" s="12" t="s">
        <v>230</v>
      </c>
      <c r="C47" s="12" t="s">
        <v>231</v>
      </c>
      <c r="D47" s="12" t="s">
        <v>232</v>
      </c>
      <c r="E47" s="12" t="s">
        <v>233</v>
      </c>
      <c r="F47" s="11" t="str">
        <f t="shared" si="1"/>
        <v>WRONG</v>
      </c>
      <c r="G47" s="11" t="s">
        <v>18</v>
      </c>
      <c r="H47" s="13" t="s">
        <v>30</v>
      </c>
      <c r="I47" s="14" t="s">
        <v>291</v>
      </c>
      <c r="J47" s="15">
        <v>15439.0</v>
      </c>
    </row>
    <row r="48" ht="60.0" customHeight="1">
      <c r="A48" s="11">
        <v>45.0</v>
      </c>
      <c r="B48" s="12" t="s">
        <v>235</v>
      </c>
      <c r="C48" s="12" t="s">
        <v>236</v>
      </c>
      <c r="D48" s="12" t="s">
        <v>237</v>
      </c>
      <c r="E48" s="12" t="s">
        <v>238</v>
      </c>
      <c r="F48" s="11" t="str">
        <f t="shared" si="1"/>
        <v>CORRECT</v>
      </c>
      <c r="G48" s="11" t="s">
        <v>18</v>
      </c>
      <c r="H48" s="15" t="s">
        <v>18</v>
      </c>
      <c r="I48" s="14" t="s">
        <v>292</v>
      </c>
      <c r="J48" s="15">
        <v>19838.0</v>
      </c>
    </row>
    <row r="49" ht="60.0" customHeight="1">
      <c r="A49" s="11">
        <v>46.0</v>
      </c>
      <c r="B49" s="12" t="s">
        <v>240</v>
      </c>
      <c r="C49" s="12" t="s">
        <v>22</v>
      </c>
      <c r="D49" s="12" t="s">
        <v>241</v>
      </c>
      <c r="E49" s="12" t="s">
        <v>242</v>
      </c>
      <c r="F49" s="11" t="str">
        <f t="shared" si="1"/>
        <v>CORRECT</v>
      </c>
      <c r="G49" s="11" t="s">
        <v>18</v>
      </c>
      <c r="H49" s="15" t="s">
        <v>18</v>
      </c>
      <c r="I49" s="14" t="s">
        <v>293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294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295</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297</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3" t="s">
        <v>19</v>
      </c>
      <c r="I11" s="14" t="s">
        <v>300</v>
      </c>
      <c r="J11" s="15">
        <v>29850.0</v>
      </c>
    </row>
    <row r="12" ht="60.0" customHeight="1">
      <c r="A12" s="11">
        <v>9.0</v>
      </c>
      <c r="B12" s="12" t="s">
        <v>57</v>
      </c>
      <c r="C12" s="12" t="s">
        <v>58</v>
      </c>
      <c r="D12" s="12" t="s">
        <v>59</v>
      </c>
      <c r="E12" s="12" t="s">
        <v>60</v>
      </c>
      <c r="F12" s="11" t="str">
        <f t="shared" si="1"/>
        <v>WRONG</v>
      </c>
      <c r="G12" s="11" t="s">
        <v>19</v>
      </c>
      <c r="H12" s="15" t="s">
        <v>30</v>
      </c>
      <c r="I12" s="14" t="s">
        <v>301</v>
      </c>
      <c r="J12" s="15">
        <v>19566.0</v>
      </c>
    </row>
    <row r="13" ht="60.0" customHeight="1">
      <c r="A13" s="11">
        <v>10.0</v>
      </c>
      <c r="B13" s="12" t="s">
        <v>62</v>
      </c>
      <c r="C13" s="12" t="s">
        <v>63</v>
      </c>
      <c r="D13" s="12" t="s">
        <v>64</v>
      </c>
      <c r="E13" s="12" t="s">
        <v>65</v>
      </c>
      <c r="F13" s="11" t="str">
        <f t="shared" si="1"/>
        <v>WRONG</v>
      </c>
      <c r="G13" s="11" t="s">
        <v>30</v>
      </c>
      <c r="H13" s="13"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303</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304</v>
      </c>
      <c r="J16" s="15">
        <v>17025.0</v>
      </c>
    </row>
    <row r="17" ht="60.0" customHeight="1">
      <c r="A17" s="11">
        <v>14.0</v>
      </c>
      <c r="B17" s="12" t="s">
        <v>82</v>
      </c>
      <c r="C17" s="12" t="s">
        <v>83</v>
      </c>
      <c r="D17" s="12" t="s">
        <v>84</v>
      </c>
      <c r="E17" s="12" t="s">
        <v>85</v>
      </c>
      <c r="F17" s="11" t="str">
        <f t="shared" si="1"/>
        <v>WRONG</v>
      </c>
      <c r="G17" s="11" t="s">
        <v>18</v>
      </c>
      <c r="H17" s="13" t="s">
        <v>30</v>
      </c>
      <c r="I17" s="14" t="s">
        <v>305</v>
      </c>
      <c r="J17" s="15">
        <v>12961.0</v>
      </c>
    </row>
    <row r="18" ht="60.0" customHeight="1">
      <c r="A18" s="11">
        <v>15.0</v>
      </c>
      <c r="B18" s="12" t="s">
        <v>87</v>
      </c>
      <c r="C18" s="12" t="s">
        <v>88</v>
      </c>
      <c r="D18" s="12" t="s">
        <v>89</v>
      </c>
      <c r="E18" s="12" t="s">
        <v>90</v>
      </c>
      <c r="F18" s="11" t="str">
        <f t="shared" si="1"/>
        <v>CORRECT</v>
      </c>
      <c r="G18" s="11" t="s">
        <v>30</v>
      </c>
      <c r="H18" s="13" t="s">
        <v>30</v>
      </c>
      <c r="I18" s="14" t="s">
        <v>306</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3" t="s">
        <v>18</v>
      </c>
      <c r="I20" s="14" t="s">
        <v>308</v>
      </c>
      <c r="J20" s="15">
        <v>16788.0</v>
      </c>
    </row>
    <row r="21" ht="60.0" customHeight="1">
      <c r="A21" s="11">
        <v>18.0</v>
      </c>
      <c r="B21" s="12" t="s">
        <v>102</v>
      </c>
      <c r="C21" s="12" t="s">
        <v>103</v>
      </c>
      <c r="D21" s="12" t="s">
        <v>104</v>
      </c>
      <c r="E21" s="12" t="s">
        <v>105</v>
      </c>
      <c r="F21" s="11" t="str">
        <f t="shared" si="1"/>
        <v>CORRECT</v>
      </c>
      <c r="G21" s="11" t="s">
        <v>19</v>
      </c>
      <c r="H21" s="13" t="s">
        <v>19</v>
      </c>
      <c r="I21" s="14" t="s">
        <v>309</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30</v>
      </c>
      <c r="I23" s="14" t="s">
        <v>116</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313</v>
      </c>
      <c r="J28" s="15">
        <v>12653.0</v>
      </c>
    </row>
    <row r="29" ht="60.0" customHeight="1">
      <c r="A29" s="11">
        <v>26.0</v>
      </c>
      <c r="B29" s="12" t="s">
        <v>140</v>
      </c>
      <c r="C29" s="12" t="s">
        <v>141</v>
      </c>
      <c r="D29" s="12" t="s">
        <v>142</v>
      </c>
      <c r="E29" s="12" t="s">
        <v>143</v>
      </c>
      <c r="F29" s="11" t="str">
        <f t="shared" si="1"/>
        <v>WRONG</v>
      </c>
      <c r="G29" s="11" t="s">
        <v>18</v>
      </c>
      <c r="H29" s="13" t="s">
        <v>30</v>
      </c>
      <c r="I29" s="14" t="s">
        <v>314</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5" t="s">
        <v>30</v>
      </c>
      <c r="I35" s="14" t="s">
        <v>319</v>
      </c>
      <c r="J35" s="15">
        <v>26031.0</v>
      </c>
    </row>
    <row r="36" ht="60.0" customHeight="1">
      <c r="A36" s="11">
        <v>33.0</v>
      </c>
      <c r="B36" s="12" t="s">
        <v>175</v>
      </c>
      <c r="C36" s="12" t="s">
        <v>176</v>
      </c>
      <c r="D36" s="12" t="s">
        <v>177</v>
      </c>
      <c r="E36" s="12" t="s">
        <v>178</v>
      </c>
      <c r="F36" s="11" t="str">
        <f t="shared" si="1"/>
        <v>CORRECT</v>
      </c>
      <c r="G36" s="11" t="s">
        <v>30</v>
      </c>
      <c r="H36" s="13" t="s">
        <v>30</v>
      </c>
      <c r="I36" s="14" t="s">
        <v>320</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3"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3" t="s">
        <v>18</v>
      </c>
      <c r="I41" s="14" t="s">
        <v>325</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214</v>
      </c>
      <c r="J43" s="15">
        <v>16210.0</v>
      </c>
    </row>
    <row r="44" ht="60.0" customHeight="1">
      <c r="A44" s="11">
        <v>41.0</v>
      </c>
      <c r="B44" s="12" t="s">
        <v>215</v>
      </c>
      <c r="C44" s="12" t="s">
        <v>216</v>
      </c>
      <c r="D44" s="12" t="s">
        <v>217</v>
      </c>
      <c r="E44" s="12" t="s">
        <v>218</v>
      </c>
      <c r="F44" s="11" t="str">
        <f t="shared" si="1"/>
        <v>CORRECT</v>
      </c>
      <c r="G44" s="11" t="s">
        <v>19</v>
      </c>
      <c r="H44" s="13" t="s">
        <v>19</v>
      </c>
      <c r="I44" s="14" t="s">
        <v>219</v>
      </c>
      <c r="J44" s="15">
        <v>15515.0</v>
      </c>
    </row>
    <row r="45" ht="60.0" customHeight="1">
      <c r="A45" s="11">
        <v>42.0</v>
      </c>
      <c r="B45" s="12" t="s">
        <v>220</v>
      </c>
      <c r="C45" s="12" t="s">
        <v>221</v>
      </c>
      <c r="D45" s="12" t="s">
        <v>222</v>
      </c>
      <c r="E45" s="12" t="s">
        <v>223</v>
      </c>
      <c r="F45" s="11" t="str">
        <f t="shared" si="1"/>
        <v>WRONG</v>
      </c>
      <c r="G45" s="11" t="s">
        <v>18</v>
      </c>
      <c r="H45" s="15"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239</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326</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327</v>
      </c>
      <c r="J5" s="15">
        <v>21567.0</v>
      </c>
    </row>
    <row r="6" ht="60.0" customHeight="1">
      <c r="A6" s="11">
        <v>3.0</v>
      </c>
      <c r="B6" s="12" t="s">
        <v>26</v>
      </c>
      <c r="C6" s="12" t="s">
        <v>27</v>
      </c>
      <c r="D6" s="12" t="s">
        <v>28</v>
      </c>
      <c r="E6" s="12" t="s">
        <v>29</v>
      </c>
      <c r="F6" s="11" t="str">
        <f t="shared" si="1"/>
        <v>CORRECT</v>
      </c>
      <c r="G6" s="11" t="s">
        <v>30</v>
      </c>
      <c r="H6" s="15" t="s">
        <v>30</v>
      </c>
      <c r="I6" s="14" t="s">
        <v>328</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329</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3" t="s">
        <v>19</v>
      </c>
      <c r="I10" s="14" t="s">
        <v>299</v>
      </c>
      <c r="J10" s="15">
        <v>15579.0</v>
      </c>
    </row>
    <row r="11" ht="60.0" customHeight="1">
      <c r="A11" s="11">
        <v>8.0</v>
      </c>
      <c r="B11" s="12" t="s">
        <v>52</v>
      </c>
      <c r="C11" s="12" t="s">
        <v>53</v>
      </c>
      <c r="D11" s="12" t="s">
        <v>54</v>
      </c>
      <c r="E11" s="12" t="s">
        <v>55</v>
      </c>
      <c r="F11" s="11" t="str">
        <f t="shared" si="1"/>
        <v>WRONG</v>
      </c>
      <c r="G11" s="11" t="s">
        <v>30</v>
      </c>
      <c r="H11" s="13" t="s">
        <v>19</v>
      </c>
      <c r="I11" s="14" t="s">
        <v>330</v>
      </c>
      <c r="J11" s="15">
        <v>29850.0</v>
      </c>
    </row>
    <row r="12" ht="60.0" customHeight="1">
      <c r="A12" s="11">
        <v>9.0</v>
      </c>
      <c r="B12" s="12" t="s">
        <v>57</v>
      </c>
      <c r="C12" s="12" t="s">
        <v>58</v>
      </c>
      <c r="D12" s="12" t="s">
        <v>59</v>
      </c>
      <c r="E12" s="12" t="s">
        <v>60</v>
      </c>
      <c r="F12" s="11" t="str">
        <f t="shared" si="1"/>
        <v>WRONG</v>
      </c>
      <c r="G12" s="11" t="s">
        <v>19</v>
      </c>
      <c r="H12" s="15" t="s">
        <v>30</v>
      </c>
      <c r="I12" s="14" t="s">
        <v>301</v>
      </c>
      <c r="J12" s="15">
        <v>19566.0</v>
      </c>
    </row>
    <row r="13" ht="60.0" customHeight="1">
      <c r="A13" s="11">
        <v>10.0</v>
      </c>
      <c r="B13" s="12" t="s">
        <v>62</v>
      </c>
      <c r="C13" s="12" t="s">
        <v>63</v>
      </c>
      <c r="D13" s="12" t="s">
        <v>64</v>
      </c>
      <c r="E13" s="12" t="s">
        <v>65</v>
      </c>
      <c r="F13" s="11" t="str">
        <f t="shared" si="1"/>
        <v>WRONG</v>
      </c>
      <c r="G13" s="11" t="s">
        <v>30</v>
      </c>
      <c r="H13" s="13" t="s">
        <v>19</v>
      </c>
      <c r="I13" s="14" t="s">
        <v>331</v>
      </c>
      <c r="J13" s="15">
        <v>18762.0</v>
      </c>
    </row>
    <row r="14" ht="60.0" customHeight="1">
      <c r="A14" s="11">
        <v>11.0</v>
      </c>
      <c r="B14" s="12" t="s">
        <v>67</v>
      </c>
      <c r="C14" s="12" t="s">
        <v>68</v>
      </c>
      <c r="D14" s="12" t="s">
        <v>69</v>
      </c>
      <c r="E14" s="12" t="s">
        <v>70</v>
      </c>
      <c r="F14" s="11" t="str">
        <f t="shared" si="1"/>
        <v>WRONG</v>
      </c>
      <c r="G14" s="11" t="s">
        <v>19</v>
      </c>
      <c r="H14" s="15" t="s">
        <v>30</v>
      </c>
      <c r="I14" s="14" t="s">
        <v>303</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332</v>
      </c>
      <c r="J16" s="15">
        <v>17025.0</v>
      </c>
    </row>
    <row r="17" ht="60.0" customHeight="1">
      <c r="A17" s="11">
        <v>14.0</v>
      </c>
      <c r="B17" s="12" t="s">
        <v>82</v>
      </c>
      <c r="C17" s="12" t="s">
        <v>83</v>
      </c>
      <c r="D17" s="12" t="s">
        <v>84</v>
      </c>
      <c r="E17" s="12" t="s">
        <v>85</v>
      </c>
      <c r="F17" s="11" t="str">
        <f t="shared" si="1"/>
        <v>WRONG</v>
      </c>
      <c r="G17" s="11" t="s">
        <v>18</v>
      </c>
      <c r="H17" s="13" t="s">
        <v>30</v>
      </c>
      <c r="I17" s="14" t="s">
        <v>333</v>
      </c>
      <c r="J17" s="15">
        <v>12961.0</v>
      </c>
    </row>
    <row r="18" ht="60.0" customHeight="1">
      <c r="A18" s="11">
        <v>15.0</v>
      </c>
      <c r="B18" s="12" t="s">
        <v>87</v>
      </c>
      <c r="C18" s="12" t="s">
        <v>88</v>
      </c>
      <c r="D18" s="12" t="s">
        <v>89</v>
      </c>
      <c r="E18" s="12" t="s">
        <v>90</v>
      </c>
      <c r="F18" s="11" t="str">
        <f t="shared" si="1"/>
        <v>CORRECT</v>
      </c>
      <c r="G18" s="11" t="s">
        <v>30</v>
      </c>
      <c r="H18" s="13" t="s">
        <v>30</v>
      </c>
      <c r="I18" s="14" t="s">
        <v>306</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3" t="s">
        <v>18</v>
      </c>
      <c r="I20" s="14" t="s">
        <v>334</v>
      </c>
      <c r="J20" s="15">
        <v>16788.0</v>
      </c>
    </row>
    <row r="21" ht="60.0" customHeight="1">
      <c r="A21" s="11">
        <v>18.0</v>
      </c>
      <c r="B21" s="12" t="s">
        <v>102</v>
      </c>
      <c r="C21" s="12" t="s">
        <v>103</v>
      </c>
      <c r="D21" s="12" t="s">
        <v>104</v>
      </c>
      <c r="E21" s="12" t="s">
        <v>105</v>
      </c>
      <c r="F21" s="11" t="str">
        <f t="shared" si="1"/>
        <v>CORRECT</v>
      </c>
      <c r="G21" s="11" t="s">
        <v>19</v>
      </c>
      <c r="H21" s="13" t="s">
        <v>19</v>
      </c>
      <c r="I21" s="14" t="s">
        <v>309</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18</v>
      </c>
      <c r="I23" s="14" t="s">
        <v>335</v>
      </c>
      <c r="J23" s="15">
        <v>18497.0</v>
      </c>
    </row>
    <row r="24" ht="60.0" customHeight="1">
      <c r="A24" s="11">
        <v>21.0</v>
      </c>
      <c r="B24" s="12" t="s">
        <v>117</v>
      </c>
      <c r="C24" s="12" t="s">
        <v>118</v>
      </c>
      <c r="D24" s="12" t="s">
        <v>119</v>
      </c>
      <c r="E24" s="12" t="s">
        <v>120</v>
      </c>
      <c r="F24" s="11" t="str">
        <f t="shared" si="1"/>
        <v>WRONG</v>
      </c>
      <c r="G24" s="11" t="s">
        <v>19</v>
      </c>
      <c r="H24" s="13" t="s">
        <v>18</v>
      </c>
      <c r="I24" s="14" t="s">
        <v>336</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337</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19</v>
      </c>
      <c r="I29" s="14" t="s">
        <v>338</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339</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340</v>
      </c>
      <c r="J34" s="15">
        <v>20146.0</v>
      </c>
    </row>
    <row r="35" ht="60.0" customHeight="1">
      <c r="A35" s="11">
        <v>32.0</v>
      </c>
      <c r="B35" s="12" t="s">
        <v>170</v>
      </c>
      <c r="C35" s="12" t="s">
        <v>171</v>
      </c>
      <c r="D35" s="12" t="s">
        <v>172</v>
      </c>
      <c r="E35" s="12" t="s">
        <v>173</v>
      </c>
      <c r="F35" s="11" t="str">
        <f t="shared" si="1"/>
        <v>WRONG</v>
      </c>
      <c r="G35" s="11" t="s">
        <v>18</v>
      </c>
      <c r="H35" s="15" t="s">
        <v>19</v>
      </c>
      <c r="I35" s="14" t="s">
        <v>341</v>
      </c>
      <c r="J35" s="15">
        <v>26031.0</v>
      </c>
    </row>
    <row r="36" ht="60.0" customHeight="1">
      <c r="A36" s="11">
        <v>33.0</v>
      </c>
      <c r="B36" s="12" t="s">
        <v>175</v>
      </c>
      <c r="C36" s="12" t="s">
        <v>176</v>
      </c>
      <c r="D36" s="12" t="s">
        <v>177</v>
      </c>
      <c r="E36" s="12" t="s">
        <v>178</v>
      </c>
      <c r="F36" s="11" t="str">
        <f t="shared" si="1"/>
        <v>CORRECT</v>
      </c>
      <c r="G36" s="11" t="s">
        <v>30</v>
      </c>
      <c r="H36" s="13" t="s">
        <v>30</v>
      </c>
      <c r="I36" s="14" t="s">
        <v>342</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3" t="s">
        <v>30</v>
      </c>
      <c r="I38" s="14" t="s">
        <v>343</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3" t="s">
        <v>18</v>
      </c>
      <c r="I41" s="14" t="s">
        <v>344</v>
      </c>
      <c r="J41" s="15">
        <v>17554.0</v>
      </c>
    </row>
    <row r="42" ht="60.0" customHeight="1">
      <c r="A42" s="11">
        <v>39.0</v>
      </c>
      <c r="B42" s="12" t="s">
        <v>205</v>
      </c>
      <c r="C42" s="12" t="s">
        <v>206</v>
      </c>
      <c r="D42" s="12" t="s">
        <v>207</v>
      </c>
      <c r="E42" s="12" t="s">
        <v>208</v>
      </c>
      <c r="F42" s="11" t="str">
        <f t="shared" si="1"/>
        <v>WRONG</v>
      </c>
      <c r="G42" s="11" t="s">
        <v>19</v>
      </c>
      <c r="H42" s="13" t="s">
        <v>30</v>
      </c>
      <c r="I42" s="14" t="s">
        <v>345</v>
      </c>
      <c r="J42" s="15">
        <v>21061.0</v>
      </c>
    </row>
    <row r="43" ht="60.0" customHeight="1">
      <c r="A43" s="11">
        <v>40.0</v>
      </c>
      <c r="B43" s="12" t="s">
        <v>210</v>
      </c>
      <c r="C43" s="12" t="s">
        <v>211</v>
      </c>
      <c r="D43" s="12" t="s">
        <v>212</v>
      </c>
      <c r="E43" s="12" t="s">
        <v>213</v>
      </c>
      <c r="F43" s="11" t="str">
        <f t="shared" si="1"/>
        <v>CORRECT</v>
      </c>
      <c r="G43" s="11" t="s">
        <v>30</v>
      </c>
      <c r="H43" s="13" t="s">
        <v>30</v>
      </c>
      <c r="I43" s="14" t="s">
        <v>346</v>
      </c>
      <c r="J43" s="15">
        <v>16210.0</v>
      </c>
    </row>
    <row r="44" ht="60.0" customHeight="1">
      <c r="A44" s="11">
        <v>41.0</v>
      </c>
      <c r="B44" s="12" t="s">
        <v>215</v>
      </c>
      <c r="C44" s="12" t="s">
        <v>216</v>
      </c>
      <c r="D44" s="12" t="s">
        <v>217</v>
      </c>
      <c r="E44" s="12" t="s">
        <v>218</v>
      </c>
      <c r="F44" s="11" t="str">
        <f t="shared" si="1"/>
        <v>CORRECT</v>
      </c>
      <c r="G44" s="11" t="s">
        <v>19</v>
      </c>
      <c r="H44" s="13" t="s">
        <v>19</v>
      </c>
      <c r="I44" s="14" t="s">
        <v>219</v>
      </c>
      <c r="J44" s="15">
        <v>15515.0</v>
      </c>
    </row>
    <row r="45" ht="60.0" customHeight="1">
      <c r="A45" s="11">
        <v>42.0</v>
      </c>
      <c r="B45" s="12" t="s">
        <v>220</v>
      </c>
      <c r="C45" s="12" t="s">
        <v>221</v>
      </c>
      <c r="D45" s="12" t="s">
        <v>222</v>
      </c>
      <c r="E45" s="12" t="s">
        <v>223</v>
      </c>
      <c r="F45" s="11" t="str">
        <f t="shared" si="1"/>
        <v>WRONG</v>
      </c>
      <c r="G45" s="11" t="s">
        <v>18</v>
      </c>
      <c r="H45" s="15"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347</v>
      </c>
      <c r="J48" s="15">
        <v>19838.0</v>
      </c>
    </row>
    <row r="49" ht="60.0" customHeight="1">
      <c r="A49" s="11">
        <v>46.0</v>
      </c>
      <c r="B49" s="12" t="s">
        <v>240</v>
      </c>
      <c r="C49" s="12" t="s">
        <v>22</v>
      </c>
      <c r="D49" s="12" t="s">
        <v>241</v>
      </c>
      <c r="E49" s="12" t="s">
        <v>242</v>
      </c>
      <c r="F49" s="11" t="str">
        <f t="shared" si="1"/>
        <v>CORRECT</v>
      </c>
      <c r="G49" s="11" t="s">
        <v>18</v>
      </c>
      <c r="H49" s="15" t="s">
        <v>18</v>
      </c>
      <c r="I49" s="14" t="s">
        <v>348</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349</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350</v>
      </c>
      <c r="J5" s="15">
        <v>21567.0</v>
      </c>
    </row>
    <row r="6" ht="60.0" customHeight="1">
      <c r="A6" s="11">
        <v>3.0</v>
      </c>
      <c r="B6" s="12" t="s">
        <v>26</v>
      </c>
      <c r="C6" s="12" t="s">
        <v>27</v>
      </c>
      <c r="D6" s="12" t="s">
        <v>28</v>
      </c>
      <c r="E6" s="12" t="s">
        <v>29</v>
      </c>
      <c r="F6" s="11" t="str">
        <f t="shared" si="1"/>
        <v>CORRECT</v>
      </c>
      <c r="G6" s="11" t="s">
        <v>30</v>
      </c>
      <c r="H6" s="15" t="s">
        <v>30</v>
      </c>
      <c r="I6" s="14" t="s">
        <v>351</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352</v>
      </c>
      <c r="J8" s="15">
        <v>24631.0</v>
      </c>
    </row>
    <row r="9" ht="60.0" customHeight="1">
      <c r="A9" s="11">
        <v>6.0</v>
      </c>
      <c r="B9" s="12" t="s">
        <v>42</v>
      </c>
      <c r="C9" s="12" t="s">
        <v>43</v>
      </c>
      <c r="D9" s="12" t="s">
        <v>44</v>
      </c>
      <c r="E9" s="12" t="s">
        <v>45</v>
      </c>
      <c r="F9" s="11" t="str">
        <f t="shared" si="1"/>
        <v>CORRECT</v>
      </c>
      <c r="G9" s="11" t="s">
        <v>19</v>
      </c>
      <c r="H9" s="13" t="s">
        <v>19</v>
      </c>
      <c r="I9" s="14" t="s">
        <v>353</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3" t="s">
        <v>19</v>
      </c>
      <c r="I11" s="14" t="s">
        <v>354</v>
      </c>
      <c r="J11" s="15">
        <v>29850.0</v>
      </c>
    </row>
    <row r="12" ht="60.0" customHeight="1">
      <c r="A12" s="11">
        <v>9.0</v>
      </c>
      <c r="B12" s="12" t="s">
        <v>57</v>
      </c>
      <c r="C12" s="12" t="s">
        <v>58</v>
      </c>
      <c r="D12" s="12" t="s">
        <v>59</v>
      </c>
      <c r="E12" s="12" t="s">
        <v>60</v>
      </c>
      <c r="F12" s="11" t="str">
        <f t="shared" si="1"/>
        <v>WRONG</v>
      </c>
      <c r="G12" s="11" t="s">
        <v>19</v>
      </c>
      <c r="H12" s="15" t="s">
        <v>30</v>
      </c>
      <c r="I12" s="14" t="s">
        <v>355</v>
      </c>
      <c r="J12" s="15">
        <v>19566.0</v>
      </c>
    </row>
    <row r="13" ht="60.0" customHeight="1">
      <c r="A13" s="11">
        <v>10.0</v>
      </c>
      <c r="B13" s="12" t="s">
        <v>62</v>
      </c>
      <c r="C13" s="12" t="s">
        <v>63</v>
      </c>
      <c r="D13" s="12" t="s">
        <v>64</v>
      </c>
      <c r="E13" s="12" t="s">
        <v>65</v>
      </c>
      <c r="F13" s="11" t="str">
        <f t="shared" si="1"/>
        <v>WRONG</v>
      </c>
      <c r="G13" s="11" t="s">
        <v>30</v>
      </c>
      <c r="H13" s="13" t="s">
        <v>19</v>
      </c>
      <c r="I13" s="14" t="s">
        <v>356</v>
      </c>
      <c r="J13" s="15">
        <v>18762.0</v>
      </c>
    </row>
    <row r="14" ht="60.0" customHeight="1">
      <c r="A14" s="11">
        <v>11.0</v>
      </c>
      <c r="B14" s="12" t="s">
        <v>67</v>
      </c>
      <c r="C14" s="12" t="s">
        <v>68</v>
      </c>
      <c r="D14" s="12" t="s">
        <v>69</v>
      </c>
      <c r="E14" s="12" t="s">
        <v>70</v>
      </c>
      <c r="F14" s="11" t="str">
        <f t="shared" si="1"/>
        <v>WRONG</v>
      </c>
      <c r="G14" s="11" t="s">
        <v>19</v>
      </c>
      <c r="H14" s="15" t="s">
        <v>30</v>
      </c>
      <c r="I14" s="14" t="s">
        <v>357</v>
      </c>
      <c r="J14" s="15">
        <v>20526.0</v>
      </c>
    </row>
    <row r="15" ht="60.0" customHeight="1">
      <c r="A15" s="11">
        <v>12.0</v>
      </c>
      <c r="B15" s="12" t="s">
        <v>72</v>
      </c>
      <c r="C15" s="12" t="s">
        <v>73</v>
      </c>
      <c r="D15" s="12" t="s">
        <v>74</v>
      </c>
      <c r="E15" s="12" t="s">
        <v>75</v>
      </c>
      <c r="F15" s="11" t="str">
        <f t="shared" si="1"/>
        <v>CORRECT</v>
      </c>
      <c r="G15" s="11" t="s">
        <v>30</v>
      </c>
      <c r="H15" s="15" t="s">
        <v>30</v>
      </c>
      <c r="I15" s="14" t="s">
        <v>358</v>
      </c>
      <c r="J15" s="15">
        <v>17612.0</v>
      </c>
    </row>
    <row r="16" ht="60.0" customHeight="1">
      <c r="A16" s="11">
        <v>13.0</v>
      </c>
      <c r="B16" s="12" t="s">
        <v>77</v>
      </c>
      <c r="C16" s="12" t="s">
        <v>78</v>
      </c>
      <c r="D16" s="12" t="s">
        <v>79</v>
      </c>
      <c r="E16" s="12" t="s">
        <v>80</v>
      </c>
      <c r="F16" s="11" t="str">
        <f t="shared" si="1"/>
        <v>CORRECT</v>
      </c>
      <c r="G16" s="11" t="s">
        <v>18</v>
      </c>
      <c r="H16" s="13" t="s">
        <v>18</v>
      </c>
      <c r="I16" s="14" t="s">
        <v>81</v>
      </c>
      <c r="J16" s="15">
        <v>17025.0</v>
      </c>
    </row>
    <row r="17" ht="60.0" customHeight="1">
      <c r="A17" s="11">
        <v>14.0</v>
      </c>
      <c r="B17" s="12" t="s">
        <v>82</v>
      </c>
      <c r="C17" s="12" t="s">
        <v>83</v>
      </c>
      <c r="D17" s="12" t="s">
        <v>84</v>
      </c>
      <c r="E17" s="12" t="s">
        <v>85</v>
      </c>
      <c r="F17" s="11" t="str">
        <f t="shared" si="1"/>
        <v>WRONG</v>
      </c>
      <c r="G17" s="11" t="s">
        <v>18</v>
      </c>
      <c r="H17" s="13" t="s">
        <v>30</v>
      </c>
      <c r="I17" s="14" t="s">
        <v>305</v>
      </c>
      <c r="J17" s="15">
        <v>12961.0</v>
      </c>
    </row>
    <row r="18" ht="60.0" customHeight="1">
      <c r="A18" s="11">
        <v>15.0</v>
      </c>
      <c r="B18" s="12" t="s">
        <v>87</v>
      </c>
      <c r="C18" s="12" t="s">
        <v>88</v>
      </c>
      <c r="D18" s="12" t="s">
        <v>89</v>
      </c>
      <c r="E18" s="12" t="s">
        <v>90</v>
      </c>
      <c r="F18" s="11" t="str">
        <f t="shared" si="1"/>
        <v>CORRECT</v>
      </c>
      <c r="G18" s="11" t="s">
        <v>30</v>
      </c>
      <c r="H18" s="13" t="s">
        <v>30</v>
      </c>
      <c r="I18" s="14" t="s">
        <v>359</v>
      </c>
      <c r="J18" s="15">
        <v>21882.0</v>
      </c>
    </row>
    <row r="19" ht="60.0" customHeight="1">
      <c r="A19" s="11">
        <v>16.0</v>
      </c>
      <c r="B19" s="12" t="s">
        <v>92</v>
      </c>
      <c r="C19" s="12" t="s">
        <v>93</v>
      </c>
      <c r="D19" s="12" t="s">
        <v>94</v>
      </c>
      <c r="E19" s="12" t="s">
        <v>95</v>
      </c>
      <c r="F19" s="11" t="str">
        <f t="shared" si="1"/>
        <v>CORRECT</v>
      </c>
      <c r="G19" s="11" t="s">
        <v>30</v>
      </c>
      <c r="H19" s="13" t="s">
        <v>30</v>
      </c>
      <c r="I19" s="14" t="s">
        <v>360</v>
      </c>
      <c r="J19" s="15">
        <v>14687.0</v>
      </c>
    </row>
    <row r="20" ht="60.0" customHeight="1">
      <c r="A20" s="11">
        <v>17.0</v>
      </c>
      <c r="B20" s="12" t="s">
        <v>97</v>
      </c>
      <c r="C20" s="12" t="s">
        <v>98</v>
      </c>
      <c r="D20" s="12" t="s">
        <v>99</v>
      </c>
      <c r="E20" s="12" t="s">
        <v>100</v>
      </c>
      <c r="F20" s="11" t="str">
        <f t="shared" si="1"/>
        <v>WRONG</v>
      </c>
      <c r="G20" s="11" t="s">
        <v>19</v>
      </c>
      <c r="H20" s="13" t="s">
        <v>18</v>
      </c>
      <c r="I20" s="14" t="s">
        <v>361</v>
      </c>
      <c r="J20" s="15">
        <v>16788.0</v>
      </c>
    </row>
    <row r="21" ht="60.0" customHeight="1">
      <c r="A21" s="11">
        <v>18.0</v>
      </c>
      <c r="B21" s="12" t="s">
        <v>102</v>
      </c>
      <c r="C21" s="12" t="s">
        <v>103</v>
      </c>
      <c r="D21" s="12" t="s">
        <v>104</v>
      </c>
      <c r="E21" s="12" t="s">
        <v>105</v>
      </c>
      <c r="F21" s="11" t="str">
        <f t="shared" si="1"/>
        <v>CORRECT</v>
      </c>
      <c r="G21" s="11" t="s">
        <v>19</v>
      </c>
      <c r="H21" s="13" t="s">
        <v>19</v>
      </c>
      <c r="I21" s="14" t="s">
        <v>362</v>
      </c>
      <c r="J21" s="15">
        <v>11885.0</v>
      </c>
    </row>
    <row r="22" ht="60.0" customHeight="1">
      <c r="A22" s="11">
        <v>19.0</v>
      </c>
      <c r="B22" s="12" t="s">
        <v>107</v>
      </c>
      <c r="C22" s="12" t="s">
        <v>108</v>
      </c>
      <c r="D22" s="12" t="s">
        <v>109</v>
      </c>
      <c r="E22" s="12" t="s">
        <v>110</v>
      </c>
      <c r="F22" s="11" t="str">
        <f t="shared" si="1"/>
        <v>CORRECT</v>
      </c>
      <c r="G22" s="11" t="s">
        <v>18</v>
      </c>
      <c r="H22" s="13" t="s">
        <v>18</v>
      </c>
      <c r="I22" s="14" t="s">
        <v>363</v>
      </c>
      <c r="J22" s="15">
        <v>18932.0</v>
      </c>
    </row>
    <row r="23" ht="60.0" customHeight="1">
      <c r="A23" s="11">
        <v>20.0</v>
      </c>
      <c r="B23" s="12" t="s">
        <v>112</v>
      </c>
      <c r="C23" s="12" t="s">
        <v>113</v>
      </c>
      <c r="D23" s="12" t="s">
        <v>114</v>
      </c>
      <c r="E23" s="12" t="s">
        <v>115</v>
      </c>
      <c r="F23" s="11" t="str">
        <f t="shared" si="1"/>
        <v>WRONG</v>
      </c>
      <c r="G23" s="11" t="s">
        <v>19</v>
      </c>
      <c r="H23" s="13" t="s">
        <v>30</v>
      </c>
      <c r="I23" s="14" t="s">
        <v>116</v>
      </c>
      <c r="J23" s="15">
        <v>18497.0</v>
      </c>
    </row>
    <row r="24" ht="60.0" customHeight="1">
      <c r="A24" s="11">
        <v>21.0</v>
      </c>
      <c r="B24" s="12" t="s">
        <v>117</v>
      </c>
      <c r="C24" s="12" t="s">
        <v>118</v>
      </c>
      <c r="D24" s="12" t="s">
        <v>119</v>
      </c>
      <c r="E24" s="12" t="s">
        <v>120</v>
      </c>
      <c r="F24" s="11" t="str">
        <f t="shared" si="1"/>
        <v>WRONG</v>
      </c>
      <c r="G24" s="11" t="s">
        <v>19</v>
      </c>
      <c r="H24" s="13" t="s">
        <v>18</v>
      </c>
      <c r="I24" s="14" t="s">
        <v>364</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365</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30</v>
      </c>
      <c r="I29" s="14" t="s">
        <v>366</v>
      </c>
      <c r="J29" s="15">
        <v>8395.0</v>
      </c>
    </row>
    <row r="30" ht="60.0" customHeight="1">
      <c r="A30" s="11">
        <v>27.0</v>
      </c>
      <c r="B30" s="12" t="s">
        <v>145</v>
      </c>
      <c r="C30" s="12" t="s">
        <v>146</v>
      </c>
      <c r="D30" s="12" t="s">
        <v>147</v>
      </c>
      <c r="E30" s="12" t="s">
        <v>148</v>
      </c>
      <c r="F30" s="11" t="str">
        <f t="shared" si="1"/>
        <v>CORRECT</v>
      </c>
      <c r="G30" s="11" t="s">
        <v>19</v>
      </c>
      <c r="H30" s="15" t="s">
        <v>19</v>
      </c>
      <c r="I30" s="14" t="s">
        <v>367</v>
      </c>
      <c r="J30" s="15">
        <v>14668.0</v>
      </c>
    </row>
    <row r="31" ht="60.0" customHeight="1">
      <c r="A31" s="11">
        <v>28.0</v>
      </c>
      <c r="B31" s="12" t="s">
        <v>150</v>
      </c>
      <c r="C31" s="12" t="s">
        <v>151</v>
      </c>
      <c r="D31" s="12" t="s">
        <v>152</v>
      </c>
      <c r="E31" s="12" t="s">
        <v>153</v>
      </c>
      <c r="F31" s="11" t="str">
        <f t="shared" si="1"/>
        <v>CORRECT</v>
      </c>
      <c r="G31" s="11" t="s">
        <v>18</v>
      </c>
      <c r="H31" s="13" t="s">
        <v>18</v>
      </c>
      <c r="I31" s="14" t="s">
        <v>368</v>
      </c>
      <c r="J31" s="15">
        <v>19058.0</v>
      </c>
    </row>
    <row r="32" ht="60.0" customHeight="1">
      <c r="A32" s="11">
        <v>29.0</v>
      </c>
      <c r="B32" s="12" t="s">
        <v>155</v>
      </c>
      <c r="C32" s="12" t="s">
        <v>156</v>
      </c>
      <c r="D32" s="12" t="s">
        <v>157</v>
      </c>
      <c r="E32" s="12" t="s">
        <v>158</v>
      </c>
      <c r="F32" s="11" t="str">
        <f t="shared" si="1"/>
        <v>CORRECT</v>
      </c>
      <c r="G32" s="11" t="s">
        <v>19</v>
      </c>
      <c r="H32" s="13" t="s">
        <v>19</v>
      </c>
      <c r="I32" s="14" t="s">
        <v>369</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5" t="s">
        <v>19</v>
      </c>
      <c r="I35" s="14" t="s">
        <v>370</v>
      </c>
      <c r="J35" s="15">
        <v>26031.0</v>
      </c>
    </row>
    <row r="36" ht="60.0" customHeight="1">
      <c r="A36" s="11">
        <v>33.0</v>
      </c>
      <c r="B36" s="12" t="s">
        <v>175</v>
      </c>
      <c r="C36" s="12" t="s">
        <v>176</v>
      </c>
      <c r="D36" s="12" t="s">
        <v>177</v>
      </c>
      <c r="E36" s="12" t="s">
        <v>178</v>
      </c>
      <c r="F36" s="11" t="str">
        <f t="shared" si="1"/>
        <v>CORRECT</v>
      </c>
      <c r="G36" s="11" t="s">
        <v>30</v>
      </c>
      <c r="H36" s="13" t="s">
        <v>30</v>
      </c>
      <c r="I36" s="14" t="s">
        <v>371</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5" t="s">
        <v>30</v>
      </c>
      <c r="I38" s="14" t="s">
        <v>372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199</v>
      </c>
      <c r="J40" s="15">
        <v>15317.0</v>
      </c>
    </row>
    <row r="41" ht="60.0" customHeight="1">
      <c r="A41" s="11">
        <v>38.0</v>
      </c>
      <c r="B41" s="12" t="s">
        <v>200</v>
      </c>
      <c r="C41" s="12" t="s">
        <v>201</v>
      </c>
      <c r="D41" s="12" t="s">
        <v>202</v>
      </c>
      <c r="E41" s="12" t="s">
        <v>203</v>
      </c>
      <c r="F41" s="11" t="str">
        <f t="shared" si="1"/>
        <v>CORRECT</v>
      </c>
      <c r="G41" s="11" t="s">
        <v>18</v>
      </c>
      <c r="H41" s="13" t="s">
        <v>18</v>
      </c>
      <c r="I41" s="14" t="s">
        <v>344</v>
      </c>
      <c r="J41" s="15">
        <v>17554.0</v>
      </c>
    </row>
    <row r="42" ht="60.0" customHeight="1">
      <c r="A42" s="11">
        <v>39.0</v>
      </c>
      <c r="B42" s="12" t="s">
        <v>205</v>
      </c>
      <c r="C42" s="12" t="s">
        <v>206</v>
      </c>
      <c r="D42" s="12" t="s">
        <v>207</v>
      </c>
      <c r="E42" s="12" t="s">
        <v>208</v>
      </c>
      <c r="F42" s="11" t="str">
        <f t="shared" si="1"/>
        <v>WRONG</v>
      </c>
      <c r="G42" s="11" t="s">
        <v>19</v>
      </c>
      <c r="H42" s="13" t="s">
        <v>30</v>
      </c>
      <c r="I42" s="14" t="s">
        <v>373</v>
      </c>
      <c r="J42" s="15">
        <v>21061.0</v>
      </c>
    </row>
    <row r="43" ht="60.0" customHeight="1">
      <c r="A43" s="11">
        <v>40.0</v>
      </c>
      <c r="B43" s="12" t="s">
        <v>210</v>
      </c>
      <c r="C43" s="12" t="s">
        <v>211</v>
      </c>
      <c r="D43" s="12" t="s">
        <v>212</v>
      </c>
      <c r="E43" s="12" t="s">
        <v>213</v>
      </c>
      <c r="F43" s="11" t="str">
        <f t="shared" si="1"/>
        <v>WRONG</v>
      </c>
      <c r="G43" s="11" t="s">
        <v>30</v>
      </c>
      <c r="H43" s="13" t="s">
        <v>19</v>
      </c>
      <c r="I43" s="14" t="s">
        <v>374</v>
      </c>
      <c r="J43" s="15">
        <v>16210.0</v>
      </c>
    </row>
    <row r="44" ht="60.0" customHeight="1">
      <c r="A44" s="11">
        <v>41.0</v>
      </c>
      <c r="B44" s="12" t="s">
        <v>215</v>
      </c>
      <c r="C44" s="12" t="s">
        <v>216</v>
      </c>
      <c r="D44" s="12" t="s">
        <v>217</v>
      </c>
      <c r="E44" s="12" t="s">
        <v>218</v>
      </c>
      <c r="F44" s="11" t="str">
        <f t="shared" si="1"/>
        <v>CORRECT</v>
      </c>
      <c r="G44" s="11" t="s">
        <v>19</v>
      </c>
      <c r="H44" s="13" t="s">
        <v>19</v>
      </c>
      <c r="I44" s="14" t="s">
        <v>375</v>
      </c>
      <c r="J44" s="15">
        <v>15515.0</v>
      </c>
    </row>
    <row r="45" ht="60.0" customHeight="1">
      <c r="A45" s="11">
        <v>42.0</v>
      </c>
      <c r="B45" s="12" t="s">
        <v>220</v>
      </c>
      <c r="C45" s="12" t="s">
        <v>221</v>
      </c>
      <c r="D45" s="12" t="s">
        <v>222</v>
      </c>
      <c r="E45" s="12" t="s">
        <v>223</v>
      </c>
      <c r="F45" s="11" t="str">
        <f t="shared" si="1"/>
        <v>WRONG</v>
      </c>
      <c r="G45" s="11" t="s">
        <v>18</v>
      </c>
      <c r="H45" s="15" t="s">
        <v>19</v>
      </c>
      <c r="I45" s="14" t="s">
        <v>376</v>
      </c>
      <c r="J45" s="15">
        <v>17280.0</v>
      </c>
    </row>
    <row r="46" ht="60.0" customHeight="1">
      <c r="A46" s="11">
        <v>43.0</v>
      </c>
      <c r="B46" s="12" t="s">
        <v>225</v>
      </c>
      <c r="C46" s="12" t="s">
        <v>226</v>
      </c>
      <c r="D46" s="12" t="s">
        <v>227</v>
      </c>
      <c r="E46" s="12" t="s">
        <v>228</v>
      </c>
      <c r="F46" s="11" t="str">
        <f t="shared" si="1"/>
        <v>WRONG</v>
      </c>
      <c r="G46" s="11" t="s">
        <v>30</v>
      </c>
      <c r="H46" s="13" t="s">
        <v>18</v>
      </c>
      <c r="I46" s="14" t="s">
        <v>377</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378</v>
      </c>
      <c r="J48" s="15">
        <v>19838.0</v>
      </c>
    </row>
    <row r="49" ht="60.0" customHeight="1">
      <c r="A49" s="11">
        <v>46.0</v>
      </c>
      <c r="B49" s="12" t="s">
        <v>240</v>
      </c>
      <c r="C49" s="12" t="s">
        <v>22</v>
      </c>
      <c r="D49" s="12" t="s">
        <v>241</v>
      </c>
      <c r="E49" s="12" t="s">
        <v>242</v>
      </c>
      <c r="F49" s="11" t="str">
        <f t="shared" si="1"/>
        <v>CORRECT</v>
      </c>
      <c r="G49" s="11" t="s">
        <v>18</v>
      </c>
      <c r="H49" s="15" t="s">
        <v>18</v>
      </c>
      <c r="I49" s="14" t="s">
        <v>379</v>
      </c>
      <c r="J49" s="15">
        <v>18811.0</v>
      </c>
    </row>
    <row r="50">
      <c r="A50" s="16" t="s">
        <v>244</v>
      </c>
      <c r="B50" s="2"/>
      <c r="C50" s="2"/>
      <c r="D50" s="2"/>
      <c r="E50" s="3"/>
      <c r="F50" s="17">
        <f>COUNTIFS(F4:F49,"CORRECT")</f>
        <v>24</v>
      </c>
      <c r="G50" s="18"/>
      <c r="H50" s="18"/>
      <c r="J50" s="19">
        <f>AVERAGE(J4:J49)</f>
        <v>18096.02174</v>
      </c>
    </row>
    <row r="51">
      <c r="A51" s="20" t="s">
        <v>245</v>
      </c>
      <c r="B51" s="2"/>
      <c r="C51" s="2"/>
      <c r="D51" s="2"/>
      <c r="E51" s="3"/>
      <c r="F51" s="21">
        <v>46.0</v>
      </c>
      <c r="G51" s="18"/>
      <c r="H51" s="18"/>
    </row>
    <row r="52">
      <c r="A52" s="16" t="s">
        <v>246</v>
      </c>
      <c r="B52" s="2"/>
      <c r="C52" s="2"/>
      <c r="D52" s="2"/>
      <c r="E52" s="3"/>
      <c r="F52" s="22">
        <f>F50/F51</f>
        <v>0.5217391304</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381</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382</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329</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3" t="s">
        <v>19</v>
      </c>
      <c r="I11" s="14" t="s">
        <v>300</v>
      </c>
      <c r="J11" s="15">
        <v>29850.0</v>
      </c>
    </row>
    <row r="12" ht="60.0" customHeight="1">
      <c r="A12" s="11">
        <v>9.0</v>
      </c>
      <c r="B12" s="12" t="s">
        <v>57</v>
      </c>
      <c r="C12" s="12" t="s">
        <v>58</v>
      </c>
      <c r="D12" s="12" t="s">
        <v>59</v>
      </c>
      <c r="E12" s="12" t="s">
        <v>60</v>
      </c>
      <c r="F12" s="11" t="str">
        <f t="shared" si="1"/>
        <v>WRONG</v>
      </c>
      <c r="G12" s="11" t="s">
        <v>19</v>
      </c>
      <c r="H12" s="15" t="s">
        <v>30</v>
      </c>
      <c r="I12" s="14" t="s">
        <v>301</v>
      </c>
      <c r="J12" s="15">
        <v>19566.0</v>
      </c>
    </row>
    <row r="13" ht="60.0" customHeight="1">
      <c r="A13" s="11">
        <v>10.0</v>
      </c>
      <c r="B13" s="12" t="s">
        <v>62</v>
      </c>
      <c r="C13" s="12" t="s">
        <v>63</v>
      </c>
      <c r="D13" s="12" t="s">
        <v>64</v>
      </c>
      <c r="E13" s="12" t="s">
        <v>65</v>
      </c>
      <c r="F13" s="11" t="str">
        <f t="shared" si="1"/>
        <v>WRONG</v>
      </c>
      <c r="G13" s="11" t="s">
        <v>30</v>
      </c>
      <c r="H13" s="13"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303</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304</v>
      </c>
      <c r="J16" s="15">
        <v>17025.0</v>
      </c>
    </row>
    <row r="17" ht="60.0" customHeight="1">
      <c r="A17" s="11">
        <v>14.0</v>
      </c>
      <c r="B17" s="12" t="s">
        <v>82</v>
      </c>
      <c r="C17" s="12" t="s">
        <v>83</v>
      </c>
      <c r="D17" s="12" t="s">
        <v>84</v>
      </c>
      <c r="E17" s="12" t="s">
        <v>85</v>
      </c>
      <c r="F17" s="11" t="str">
        <f t="shared" si="1"/>
        <v>WRONG</v>
      </c>
      <c r="G17" s="11" t="s">
        <v>18</v>
      </c>
      <c r="H17" s="13" t="s">
        <v>30</v>
      </c>
      <c r="I17" s="14" t="s">
        <v>383</v>
      </c>
      <c r="J17" s="15">
        <v>12961.0</v>
      </c>
    </row>
    <row r="18" ht="60.0" customHeight="1">
      <c r="A18" s="11">
        <v>15.0</v>
      </c>
      <c r="B18" s="12" t="s">
        <v>87</v>
      </c>
      <c r="C18" s="12" t="s">
        <v>88</v>
      </c>
      <c r="D18" s="12" t="s">
        <v>89</v>
      </c>
      <c r="E18" s="12" t="s">
        <v>90</v>
      </c>
      <c r="F18" s="11" t="str">
        <f t="shared" si="1"/>
        <v>CORRECT</v>
      </c>
      <c r="G18" s="11" t="s">
        <v>30</v>
      </c>
      <c r="H18" s="13" t="s">
        <v>30</v>
      </c>
      <c r="I18" s="14" t="s">
        <v>306</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3" t="s">
        <v>18</v>
      </c>
      <c r="I20" s="14" t="s">
        <v>308</v>
      </c>
      <c r="J20" s="15">
        <v>16788.0</v>
      </c>
    </row>
    <row r="21" ht="60.0" customHeight="1">
      <c r="A21" s="11">
        <v>18.0</v>
      </c>
      <c r="B21" s="12" t="s">
        <v>102</v>
      </c>
      <c r="C21" s="12" t="s">
        <v>103</v>
      </c>
      <c r="D21" s="12" t="s">
        <v>104</v>
      </c>
      <c r="E21" s="12" t="s">
        <v>105</v>
      </c>
      <c r="F21" s="11" t="str">
        <f t="shared" si="1"/>
        <v>CORRECT</v>
      </c>
      <c r="G21" s="11" t="s">
        <v>19</v>
      </c>
      <c r="H21" s="13" t="s">
        <v>19</v>
      </c>
      <c r="I21" s="14" t="s">
        <v>309</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30</v>
      </c>
      <c r="I23" s="14" t="s">
        <v>116</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313</v>
      </c>
      <c r="J28" s="15">
        <v>12653.0</v>
      </c>
    </row>
    <row r="29" ht="60.0" customHeight="1">
      <c r="A29" s="11">
        <v>26.0</v>
      </c>
      <c r="B29" s="12" t="s">
        <v>140</v>
      </c>
      <c r="C29" s="12" t="s">
        <v>141</v>
      </c>
      <c r="D29" s="12" t="s">
        <v>142</v>
      </c>
      <c r="E29" s="12" t="s">
        <v>143</v>
      </c>
      <c r="F29" s="11" t="str">
        <f t="shared" si="1"/>
        <v>WRONG</v>
      </c>
      <c r="G29" s="11" t="s">
        <v>18</v>
      </c>
      <c r="H29" s="13" t="s">
        <v>30</v>
      </c>
      <c r="I29" s="14" t="s">
        <v>314</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3" t="s">
        <v>30</v>
      </c>
      <c r="I35" s="14" t="s">
        <v>384</v>
      </c>
      <c r="J35" s="15">
        <v>26031.0</v>
      </c>
    </row>
    <row r="36" ht="60.0" customHeight="1">
      <c r="A36" s="11">
        <v>33.0</v>
      </c>
      <c r="B36" s="12" t="s">
        <v>175</v>
      </c>
      <c r="C36" s="12" t="s">
        <v>176</v>
      </c>
      <c r="D36" s="12" t="s">
        <v>177</v>
      </c>
      <c r="E36" s="12" t="s">
        <v>178</v>
      </c>
      <c r="F36" s="11" t="str">
        <f t="shared" si="1"/>
        <v>CORRECT</v>
      </c>
      <c r="G36" s="11" t="s">
        <v>30</v>
      </c>
      <c r="H36" s="13" t="s">
        <v>30</v>
      </c>
      <c r="I36" s="14" t="s">
        <v>320</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3"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3" t="s">
        <v>19</v>
      </c>
      <c r="I40" s="14" t="s">
        <v>324</v>
      </c>
      <c r="J40" s="15">
        <v>15317.0</v>
      </c>
    </row>
    <row r="41" ht="60.0" customHeight="1">
      <c r="A41" s="11">
        <v>38.0</v>
      </c>
      <c r="B41" s="12" t="s">
        <v>200</v>
      </c>
      <c r="C41" s="12" t="s">
        <v>201</v>
      </c>
      <c r="D41" s="12" t="s">
        <v>202</v>
      </c>
      <c r="E41" s="12" t="s">
        <v>203</v>
      </c>
      <c r="F41" s="11" t="str">
        <f t="shared" si="1"/>
        <v>CORRECT</v>
      </c>
      <c r="G41" s="11" t="s">
        <v>18</v>
      </c>
      <c r="H41" s="13" t="s">
        <v>18</v>
      </c>
      <c r="I41" s="14" t="s">
        <v>204</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214</v>
      </c>
      <c r="J43" s="15">
        <v>16210.0</v>
      </c>
    </row>
    <row r="44" ht="60.0" customHeight="1">
      <c r="A44" s="11">
        <v>41.0</v>
      </c>
      <c r="B44" s="12" t="s">
        <v>215</v>
      </c>
      <c r="C44" s="12" t="s">
        <v>216</v>
      </c>
      <c r="D44" s="12" t="s">
        <v>217</v>
      </c>
      <c r="E44" s="12" t="s">
        <v>218</v>
      </c>
      <c r="F44" s="11" t="str">
        <f t="shared" si="1"/>
        <v>CORRECT</v>
      </c>
      <c r="G44" s="11" t="s">
        <v>19</v>
      </c>
      <c r="H44" s="13" t="s">
        <v>19</v>
      </c>
      <c r="I44" s="14" t="s">
        <v>219</v>
      </c>
      <c r="J44" s="15">
        <v>15515.0</v>
      </c>
    </row>
    <row r="45" ht="60.0" customHeight="1">
      <c r="A45" s="11">
        <v>42.0</v>
      </c>
      <c r="B45" s="12" t="s">
        <v>220</v>
      </c>
      <c r="C45" s="12" t="s">
        <v>221</v>
      </c>
      <c r="D45" s="12" t="s">
        <v>222</v>
      </c>
      <c r="E45" s="12" t="s">
        <v>223</v>
      </c>
      <c r="F45" s="11" t="str">
        <f t="shared" si="1"/>
        <v>WRONG</v>
      </c>
      <c r="G45" s="11" t="s">
        <v>18</v>
      </c>
      <c r="H45" s="15"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239</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385</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382</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329</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3" t="s">
        <v>19</v>
      </c>
      <c r="I11" s="14" t="s">
        <v>300</v>
      </c>
      <c r="J11" s="15">
        <v>29850.0</v>
      </c>
    </row>
    <row r="12" ht="60.0" customHeight="1">
      <c r="A12" s="11">
        <v>9.0</v>
      </c>
      <c r="B12" s="12" t="s">
        <v>57</v>
      </c>
      <c r="C12" s="12" t="s">
        <v>58</v>
      </c>
      <c r="D12" s="12" t="s">
        <v>59</v>
      </c>
      <c r="E12" s="12" t="s">
        <v>60</v>
      </c>
      <c r="F12" s="11" t="str">
        <f t="shared" si="1"/>
        <v>WRONG</v>
      </c>
      <c r="G12" s="11" t="s">
        <v>19</v>
      </c>
      <c r="H12" s="15" t="s">
        <v>30</v>
      </c>
      <c r="I12" s="14" t="s">
        <v>301</v>
      </c>
      <c r="J12" s="15">
        <v>19566.0</v>
      </c>
    </row>
    <row r="13" ht="60.0" customHeight="1">
      <c r="A13" s="11">
        <v>10.0</v>
      </c>
      <c r="B13" s="12" t="s">
        <v>62</v>
      </c>
      <c r="C13" s="12" t="s">
        <v>63</v>
      </c>
      <c r="D13" s="12" t="s">
        <v>64</v>
      </c>
      <c r="E13" s="12" t="s">
        <v>65</v>
      </c>
      <c r="F13" s="11" t="str">
        <f t="shared" si="1"/>
        <v>WRONG</v>
      </c>
      <c r="G13" s="11" t="s">
        <v>30</v>
      </c>
      <c r="H13" s="13"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303</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304</v>
      </c>
      <c r="J16" s="15">
        <v>17025.0</v>
      </c>
    </row>
    <row r="17" ht="60.0" customHeight="1">
      <c r="A17" s="11">
        <v>14.0</v>
      </c>
      <c r="B17" s="12" t="s">
        <v>82</v>
      </c>
      <c r="C17" s="12" t="s">
        <v>83</v>
      </c>
      <c r="D17" s="12" t="s">
        <v>84</v>
      </c>
      <c r="E17" s="12" t="s">
        <v>85</v>
      </c>
      <c r="F17" s="11" t="str">
        <f t="shared" si="1"/>
        <v>WRONG</v>
      </c>
      <c r="G17" s="11" t="s">
        <v>18</v>
      </c>
      <c r="H17" s="13" t="s">
        <v>30</v>
      </c>
      <c r="I17" s="14" t="s">
        <v>383</v>
      </c>
      <c r="J17" s="15">
        <v>12961.0</v>
      </c>
    </row>
    <row r="18" ht="60.0" customHeight="1">
      <c r="A18" s="11">
        <v>15.0</v>
      </c>
      <c r="B18" s="12" t="s">
        <v>87</v>
      </c>
      <c r="C18" s="12" t="s">
        <v>88</v>
      </c>
      <c r="D18" s="12" t="s">
        <v>89</v>
      </c>
      <c r="E18" s="12" t="s">
        <v>90</v>
      </c>
      <c r="F18" s="11" t="str">
        <f t="shared" si="1"/>
        <v>CORRECT</v>
      </c>
      <c r="G18" s="11" t="s">
        <v>30</v>
      </c>
      <c r="H18" s="13" t="s">
        <v>30</v>
      </c>
      <c r="I18" s="14" t="s">
        <v>306</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3" t="s">
        <v>18</v>
      </c>
      <c r="I20" s="14" t="s">
        <v>308</v>
      </c>
      <c r="J20" s="15">
        <v>16788.0</v>
      </c>
    </row>
    <row r="21" ht="60.0" customHeight="1">
      <c r="A21" s="11">
        <v>18.0</v>
      </c>
      <c r="B21" s="12" t="s">
        <v>102</v>
      </c>
      <c r="C21" s="12" t="s">
        <v>103</v>
      </c>
      <c r="D21" s="12" t="s">
        <v>104</v>
      </c>
      <c r="E21" s="12" t="s">
        <v>105</v>
      </c>
      <c r="F21" s="11" t="str">
        <f t="shared" si="1"/>
        <v>CORRECT</v>
      </c>
      <c r="G21" s="11" t="s">
        <v>19</v>
      </c>
      <c r="H21" s="13" t="s">
        <v>19</v>
      </c>
      <c r="I21" s="14" t="s">
        <v>309</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30</v>
      </c>
      <c r="I23" s="14" t="s">
        <v>116</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313</v>
      </c>
      <c r="J28" s="15">
        <v>12653.0</v>
      </c>
    </row>
    <row r="29" ht="60.0" customHeight="1">
      <c r="A29" s="11">
        <v>26.0</v>
      </c>
      <c r="B29" s="12" t="s">
        <v>140</v>
      </c>
      <c r="C29" s="12" t="s">
        <v>141</v>
      </c>
      <c r="D29" s="12" t="s">
        <v>142</v>
      </c>
      <c r="E29" s="12" t="s">
        <v>143</v>
      </c>
      <c r="F29" s="11" t="str">
        <f t="shared" si="1"/>
        <v>WRONG</v>
      </c>
      <c r="G29" s="11" t="s">
        <v>18</v>
      </c>
      <c r="H29" s="13" t="s">
        <v>30</v>
      </c>
      <c r="I29" s="14" t="s">
        <v>314</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3" t="s">
        <v>30</v>
      </c>
      <c r="I35" s="14" t="s">
        <v>384</v>
      </c>
      <c r="J35" s="15">
        <v>26031.0</v>
      </c>
    </row>
    <row r="36" ht="60.0" customHeight="1">
      <c r="A36" s="11">
        <v>33.0</v>
      </c>
      <c r="B36" s="12" t="s">
        <v>175</v>
      </c>
      <c r="C36" s="12" t="s">
        <v>176</v>
      </c>
      <c r="D36" s="12" t="s">
        <v>177</v>
      </c>
      <c r="E36" s="12" t="s">
        <v>178</v>
      </c>
      <c r="F36" s="11" t="str">
        <f t="shared" si="1"/>
        <v>CORRECT</v>
      </c>
      <c r="G36" s="11" t="s">
        <v>30</v>
      </c>
      <c r="H36" s="13" t="s">
        <v>30</v>
      </c>
      <c r="I36" s="14" t="s">
        <v>320</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5"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3" t="s">
        <v>18</v>
      </c>
      <c r="I41" s="14" t="s">
        <v>204</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214</v>
      </c>
      <c r="J43" s="15">
        <v>16210.0</v>
      </c>
    </row>
    <row r="44" ht="60.0" customHeight="1">
      <c r="A44" s="11">
        <v>41.0</v>
      </c>
      <c r="B44" s="12" t="s">
        <v>215</v>
      </c>
      <c r="C44" s="12" t="s">
        <v>216</v>
      </c>
      <c r="D44" s="12" t="s">
        <v>217</v>
      </c>
      <c r="E44" s="12" t="s">
        <v>218</v>
      </c>
      <c r="F44" s="11" t="str">
        <f t="shared" si="1"/>
        <v>CORRECT</v>
      </c>
      <c r="G44" s="11" t="s">
        <v>19</v>
      </c>
      <c r="H44" s="13" t="s">
        <v>19</v>
      </c>
      <c r="I44" s="14" t="s">
        <v>219</v>
      </c>
      <c r="J44" s="15">
        <v>15515.0</v>
      </c>
    </row>
    <row r="45" ht="60.0" customHeight="1">
      <c r="A45" s="11">
        <v>42.0</v>
      </c>
      <c r="B45" s="12" t="s">
        <v>220</v>
      </c>
      <c r="C45" s="12" t="s">
        <v>221</v>
      </c>
      <c r="D45" s="12" t="s">
        <v>222</v>
      </c>
      <c r="E45" s="12" t="s">
        <v>223</v>
      </c>
      <c r="F45" s="11" t="str">
        <f t="shared" si="1"/>
        <v>WRONG</v>
      </c>
      <c r="G45" s="11" t="s">
        <v>18</v>
      </c>
      <c r="H45" s="13"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239</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386</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387</v>
      </c>
      <c r="J5" s="15">
        <v>21567.0</v>
      </c>
    </row>
    <row r="6" ht="60.0" customHeight="1">
      <c r="A6" s="11">
        <v>3.0</v>
      </c>
      <c r="B6" s="12" t="s">
        <v>26</v>
      </c>
      <c r="C6" s="12" t="s">
        <v>27</v>
      </c>
      <c r="D6" s="12" t="s">
        <v>28</v>
      </c>
      <c r="E6" s="12" t="s">
        <v>29</v>
      </c>
      <c r="F6" s="11" t="str">
        <f t="shared" si="1"/>
        <v>CORRECT</v>
      </c>
      <c r="G6" s="11" t="s">
        <v>30</v>
      </c>
      <c r="H6" s="15" t="s">
        <v>30</v>
      </c>
      <c r="I6" s="14" t="s">
        <v>388</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389</v>
      </c>
      <c r="J8" s="15">
        <v>24631.0</v>
      </c>
    </row>
    <row r="9" ht="60.0" customHeight="1">
      <c r="A9" s="11">
        <v>6.0</v>
      </c>
      <c r="B9" s="12" t="s">
        <v>42</v>
      </c>
      <c r="C9" s="12" t="s">
        <v>43</v>
      </c>
      <c r="D9" s="12" t="s">
        <v>44</v>
      </c>
      <c r="E9" s="12" t="s">
        <v>45</v>
      </c>
      <c r="F9" s="11" t="str">
        <f t="shared" si="1"/>
        <v>CORRECT</v>
      </c>
      <c r="G9" s="11" t="s">
        <v>19</v>
      </c>
      <c r="H9" s="13" t="s">
        <v>19</v>
      </c>
      <c r="I9" s="14" t="s">
        <v>390</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3" t="s">
        <v>19</v>
      </c>
      <c r="I11" s="14" t="s">
        <v>391</v>
      </c>
      <c r="J11" s="15">
        <v>29850.0</v>
      </c>
    </row>
    <row r="12" ht="60.0" customHeight="1">
      <c r="A12" s="11">
        <v>9.0</v>
      </c>
      <c r="B12" s="12" t="s">
        <v>57</v>
      </c>
      <c r="C12" s="12" t="s">
        <v>58</v>
      </c>
      <c r="D12" s="12" t="s">
        <v>59</v>
      </c>
      <c r="E12" s="12" t="s">
        <v>60</v>
      </c>
      <c r="F12" s="11" t="str">
        <f t="shared" si="1"/>
        <v>WRONG</v>
      </c>
      <c r="G12" s="11" t="s">
        <v>19</v>
      </c>
      <c r="H12" s="15" t="s">
        <v>30</v>
      </c>
      <c r="I12" s="14" t="s">
        <v>301</v>
      </c>
      <c r="J12" s="15">
        <v>19566.0</v>
      </c>
    </row>
    <row r="13" ht="60.0" customHeight="1">
      <c r="A13" s="11">
        <v>10.0</v>
      </c>
      <c r="B13" s="12" t="s">
        <v>62</v>
      </c>
      <c r="C13" s="12" t="s">
        <v>63</v>
      </c>
      <c r="D13" s="12" t="s">
        <v>64</v>
      </c>
      <c r="E13" s="12" t="s">
        <v>65</v>
      </c>
      <c r="F13" s="11" t="str">
        <f t="shared" si="1"/>
        <v>WRONG</v>
      </c>
      <c r="G13" s="11" t="s">
        <v>30</v>
      </c>
      <c r="H13" s="13" t="s">
        <v>19</v>
      </c>
      <c r="I13" s="14" t="s">
        <v>356</v>
      </c>
      <c r="J13" s="15">
        <v>18762.0</v>
      </c>
    </row>
    <row r="14" ht="60.0" customHeight="1">
      <c r="A14" s="11">
        <v>11.0</v>
      </c>
      <c r="B14" s="12" t="s">
        <v>67</v>
      </c>
      <c r="C14" s="12" t="s">
        <v>68</v>
      </c>
      <c r="D14" s="12" t="s">
        <v>69</v>
      </c>
      <c r="E14" s="12" t="s">
        <v>70</v>
      </c>
      <c r="F14" s="11" t="str">
        <f t="shared" si="1"/>
        <v>WRONG</v>
      </c>
      <c r="G14" s="11" t="s">
        <v>19</v>
      </c>
      <c r="H14" s="15" t="s">
        <v>30</v>
      </c>
      <c r="I14" s="14" t="s">
        <v>303</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332</v>
      </c>
      <c r="J16" s="15">
        <v>17025.0</v>
      </c>
    </row>
    <row r="17" ht="60.0" customHeight="1">
      <c r="A17" s="11">
        <v>14.0</v>
      </c>
      <c r="B17" s="12" t="s">
        <v>82</v>
      </c>
      <c r="C17" s="12" t="s">
        <v>83</v>
      </c>
      <c r="D17" s="12" t="s">
        <v>84</v>
      </c>
      <c r="E17" s="12" t="s">
        <v>85</v>
      </c>
      <c r="F17" s="11" t="str">
        <f t="shared" si="1"/>
        <v>WRONG</v>
      </c>
      <c r="G17" s="11" t="s">
        <v>18</v>
      </c>
      <c r="H17" s="13" t="s">
        <v>30</v>
      </c>
      <c r="I17" s="14" t="s">
        <v>333</v>
      </c>
      <c r="J17" s="15">
        <v>12961.0</v>
      </c>
    </row>
    <row r="18" ht="60.0" customHeight="1">
      <c r="A18" s="11">
        <v>15.0</v>
      </c>
      <c r="B18" s="12" t="s">
        <v>87</v>
      </c>
      <c r="C18" s="12" t="s">
        <v>88</v>
      </c>
      <c r="D18" s="12" t="s">
        <v>89</v>
      </c>
      <c r="E18" s="12" t="s">
        <v>90</v>
      </c>
      <c r="F18" s="11" t="str">
        <f t="shared" si="1"/>
        <v>CORRECT</v>
      </c>
      <c r="G18" s="11" t="s">
        <v>30</v>
      </c>
      <c r="H18" s="13" t="s">
        <v>30</v>
      </c>
      <c r="I18" s="14" t="s">
        <v>392</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3" t="s">
        <v>18</v>
      </c>
      <c r="I20" s="14" t="s">
        <v>361</v>
      </c>
      <c r="J20" s="15">
        <v>16788.0</v>
      </c>
    </row>
    <row r="21" ht="60.0" customHeight="1">
      <c r="A21" s="11">
        <v>18.0</v>
      </c>
      <c r="B21" s="12" t="s">
        <v>102</v>
      </c>
      <c r="C21" s="12" t="s">
        <v>103</v>
      </c>
      <c r="D21" s="12" t="s">
        <v>104</v>
      </c>
      <c r="E21" s="12" t="s">
        <v>105</v>
      </c>
      <c r="F21" s="11" t="str">
        <f t="shared" si="1"/>
        <v>CORRECT</v>
      </c>
      <c r="G21" s="11" t="s">
        <v>19</v>
      </c>
      <c r="H21" s="13" t="s">
        <v>19</v>
      </c>
      <c r="I21" s="14" t="s">
        <v>393</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30</v>
      </c>
      <c r="I23" s="14" t="s">
        <v>116</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313</v>
      </c>
      <c r="J28" s="15">
        <v>12653.0</v>
      </c>
    </row>
    <row r="29" ht="60.0" customHeight="1">
      <c r="A29" s="11">
        <v>26.0</v>
      </c>
      <c r="B29" s="12" t="s">
        <v>140</v>
      </c>
      <c r="C29" s="12" t="s">
        <v>141</v>
      </c>
      <c r="D29" s="12" t="s">
        <v>142</v>
      </c>
      <c r="E29" s="12" t="s">
        <v>143</v>
      </c>
      <c r="F29" s="11" t="str">
        <f t="shared" si="1"/>
        <v>WRONG</v>
      </c>
      <c r="G29" s="11" t="s">
        <v>18</v>
      </c>
      <c r="H29" s="13" t="s">
        <v>30</v>
      </c>
      <c r="I29" s="14" t="s">
        <v>394</v>
      </c>
      <c r="J29" s="15">
        <v>8395.0</v>
      </c>
    </row>
    <row r="30" ht="60.0" customHeight="1">
      <c r="A30" s="11">
        <v>27.0</v>
      </c>
      <c r="B30" s="12" t="s">
        <v>145</v>
      </c>
      <c r="C30" s="12" t="s">
        <v>146</v>
      </c>
      <c r="D30" s="12" t="s">
        <v>147</v>
      </c>
      <c r="E30" s="12" t="s">
        <v>148</v>
      </c>
      <c r="F30" s="11" t="str">
        <f t="shared" si="1"/>
        <v>CORRECT</v>
      </c>
      <c r="G30" s="11" t="s">
        <v>19</v>
      </c>
      <c r="H30" s="15" t="s">
        <v>19</v>
      </c>
      <c r="I30" s="14" t="s">
        <v>395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396</v>
      </c>
      <c r="J32" s="15">
        <v>18916.0</v>
      </c>
    </row>
    <row r="33" ht="60.0" customHeight="1">
      <c r="A33" s="11">
        <v>30.0</v>
      </c>
      <c r="B33" s="12" t="s">
        <v>160</v>
      </c>
      <c r="C33" s="12" t="s">
        <v>161</v>
      </c>
      <c r="D33" s="12" t="s">
        <v>162</v>
      </c>
      <c r="E33" s="12" t="s">
        <v>163</v>
      </c>
      <c r="F33" s="11" t="str">
        <f t="shared" si="1"/>
        <v>WRONG</v>
      </c>
      <c r="G33" s="11" t="s">
        <v>30</v>
      </c>
      <c r="H33" s="13" t="s">
        <v>18</v>
      </c>
      <c r="I33" s="14" t="s">
        <v>397</v>
      </c>
      <c r="J33" s="15">
        <v>20925.0</v>
      </c>
    </row>
    <row r="34" ht="60.0" customHeight="1">
      <c r="A34" s="11">
        <v>31.0</v>
      </c>
      <c r="B34" s="12" t="s">
        <v>165</v>
      </c>
      <c r="C34" s="12" t="s">
        <v>166</v>
      </c>
      <c r="D34" s="12" t="s">
        <v>167</v>
      </c>
      <c r="E34" s="12" t="s">
        <v>168</v>
      </c>
      <c r="F34" s="11" t="str">
        <f t="shared" si="1"/>
        <v>WRONG</v>
      </c>
      <c r="G34" s="11" t="s">
        <v>19</v>
      </c>
      <c r="H34" s="13" t="s">
        <v>18</v>
      </c>
      <c r="I34" s="14" t="s">
        <v>398</v>
      </c>
      <c r="J34" s="15">
        <v>20146.0</v>
      </c>
    </row>
    <row r="35" ht="60.0" customHeight="1">
      <c r="A35" s="11">
        <v>32.0</v>
      </c>
      <c r="B35" s="12" t="s">
        <v>170</v>
      </c>
      <c r="C35" s="12" t="s">
        <v>171</v>
      </c>
      <c r="D35" s="12" t="s">
        <v>172</v>
      </c>
      <c r="E35" s="12" t="s">
        <v>173</v>
      </c>
      <c r="F35" s="11" t="str">
        <f t="shared" si="1"/>
        <v>WRONG</v>
      </c>
      <c r="G35" s="11" t="s">
        <v>18</v>
      </c>
      <c r="H35" s="13" t="s">
        <v>30</v>
      </c>
      <c r="I35" s="14" t="s">
        <v>399</v>
      </c>
      <c r="J35" s="15">
        <v>26031.0</v>
      </c>
    </row>
    <row r="36" ht="60.0" customHeight="1">
      <c r="A36" s="11">
        <v>33.0</v>
      </c>
      <c r="B36" s="12" t="s">
        <v>175</v>
      </c>
      <c r="C36" s="12" t="s">
        <v>176</v>
      </c>
      <c r="D36" s="12" t="s">
        <v>177</v>
      </c>
      <c r="E36" s="12" t="s">
        <v>178</v>
      </c>
      <c r="F36" s="11" t="str">
        <f t="shared" si="1"/>
        <v>CORRECT</v>
      </c>
      <c r="G36" s="11" t="s">
        <v>30</v>
      </c>
      <c r="H36" s="13" t="s">
        <v>30</v>
      </c>
      <c r="I36" s="14" t="s">
        <v>400</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5" t="s">
        <v>30</v>
      </c>
      <c r="I38" s="14" t="s">
        <v>343</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401</v>
      </c>
      <c r="J40" s="15">
        <v>15317.0</v>
      </c>
    </row>
    <row r="41" ht="60.0" customHeight="1">
      <c r="A41" s="11">
        <v>38.0</v>
      </c>
      <c r="B41" s="12" t="s">
        <v>200</v>
      </c>
      <c r="C41" s="12" t="s">
        <v>201</v>
      </c>
      <c r="D41" s="12" t="s">
        <v>202</v>
      </c>
      <c r="E41" s="12" t="s">
        <v>203</v>
      </c>
      <c r="F41" s="11" t="str">
        <f t="shared" si="1"/>
        <v>CORRECT</v>
      </c>
      <c r="G41" s="11" t="s">
        <v>18</v>
      </c>
      <c r="H41" s="13" t="s">
        <v>18</v>
      </c>
      <c r="I41" s="14" t="s">
        <v>402</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403</v>
      </c>
      <c r="J43" s="15">
        <v>16210.0</v>
      </c>
    </row>
    <row r="44" ht="60.0" customHeight="1">
      <c r="A44" s="11">
        <v>41.0</v>
      </c>
      <c r="B44" s="12" t="s">
        <v>215</v>
      </c>
      <c r="C44" s="12" t="s">
        <v>216</v>
      </c>
      <c r="D44" s="12" t="s">
        <v>217</v>
      </c>
      <c r="E44" s="12" t="s">
        <v>218</v>
      </c>
      <c r="F44" s="11" t="str">
        <f t="shared" si="1"/>
        <v>CORRECT</v>
      </c>
      <c r="G44" s="11" t="s">
        <v>19</v>
      </c>
      <c r="H44" s="13" t="s">
        <v>19</v>
      </c>
      <c r="I44" s="14" t="s">
        <v>219</v>
      </c>
      <c r="J44" s="15">
        <v>15515.0</v>
      </c>
    </row>
    <row r="45" ht="60.0" customHeight="1">
      <c r="A45" s="11">
        <v>42.0</v>
      </c>
      <c r="B45" s="12" t="s">
        <v>220</v>
      </c>
      <c r="C45" s="12" t="s">
        <v>221</v>
      </c>
      <c r="D45" s="12" t="s">
        <v>222</v>
      </c>
      <c r="E45" s="12" t="s">
        <v>223</v>
      </c>
      <c r="F45" s="11" t="str">
        <f t="shared" si="1"/>
        <v>WRONG</v>
      </c>
      <c r="G45" s="11" t="s">
        <v>18</v>
      </c>
      <c r="H45" s="15" t="s">
        <v>19</v>
      </c>
      <c r="I45" s="14" t="s">
        <v>376</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347</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404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405</v>
      </c>
      <c r="J5" s="15">
        <v>21567.0</v>
      </c>
    </row>
    <row r="6" ht="60.0" customHeight="1">
      <c r="A6" s="11">
        <v>3.0</v>
      </c>
      <c r="B6" s="12" t="s">
        <v>26</v>
      </c>
      <c r="C6" s="12" t="s">
        <v>27</v>
      </c>
      <c r="D6" s="12" t="s">
        <v>28</v>
      </c>
      <c r="E6" s="12" t="s">
        <v>29</v>
      </c>
      <c r="F6" s="11" t="str">
        <f t="shared" si="1"/>
        <v>CORRECT</v>
      </c>
      <c r="G6" s="11" t="s">
        <v>30</v>
      </c>
      <c r="H6" s="15" t="s">
        <v>30</v>
      </c>
      <c r="I6" s="14" t="s">
        <v>406</v>
      </c>
      <c r="J6" s="15">
        <v>18514.0</v>
      </c>
    </row>
    <row r="7" ht="60.0" customHeight="1">
      <c r="A7" s="11">
        <v>4.0</v>
      </c>
      <c r="B7" s="12" t="s">
        <v>32</v>
      </c>
      <c r="C7" s="12" t="s">
        <v>33</v>
      </c>
      <c r="D7" s="12" t="s">
        <v>34</v>
      </c>
      <c r="E7" s="12" t="s">
        <v>35</v>
      </c>
      <c r="F7" s="11" t="str">
        <f t="shared" si="1"/>
        <v>WRONG</v>
      </c>
      <c r="G7" s="11" t="s">
        <v>19</v>
      </c>
      <c r="H7" s="13" t="s">
        <v>30</v>
      </c>
      <c r="I7" s="14" t="s">
        <v>407</v>
      </c>
      <c r="J7" s="15">
        <v>14761.0</v>
      </c>
    </row>
    <row r="8" ht="60.0" customHeight="1">
      <c r="A8" s="11">
        <v>5.0</v>
      </c>
      <c r="B8" s="12" t="s">
        <v>37</v>
      </c>
      <c r="C8" s="12" t="s">
        <v>38</v>
      </c>
      <c r="D8" s="12" t="s">
        <v>39</v>
      </c>
      <c r="E8" s="12" t="s">
        <v>40</v>
      </c>
      <c r="F8" s="11" t="str">
        <f t="shared" si="1"/>
        <v>CORRECT</v>
      </c>
      <c r="G8" s="11" t="s">
        <v>30</v>
      </c>
      <c r="H8" s="13" t="s">
        <v>30</v>
      </c>
      <c r="I8" s="14" t="s">
        <v>408</v>
      </c>
      <c r="J8" s="15">
        <v>24631.0</v>
      </c>
    </row>
    <row r="9" ht="60.0" customHeight="1">
      <c r="A9" s="11">
        <v>6.0</v>
      </c>
      <c r="B9" s="12" t="s">
        <v>42</v>
      </c>
      <c r="C9" s="12" t="s">
        <v>43</v>
      </c>
      <c r="D9" s="12" t="s">
        <v>44</v>
      </c>
      <c r="E9" s="12" t="s">
        <v>45</v>
      </c>
      <c r="F9" s="11" t="str">
        <f t="shared" si="1"/>
        <v>CORRECT</v>
      </c>
      <c r="G9" s="11" t="s">
        <v>19</v>
      </c>
      <c r="H9" s="13" t="s">
        <v>19</v>
      </c>
      <c r="I9" s="14" t="s">
        <v>409</v>
      </c>
      <c r="J9" s="15">
        <v>18622.0</v>
      </c>
    </row>
    <row r="10" ht="60.0" customHeight="1">
      <c r="A10" s="11">
        <v>7.0</v>
      </c>
      <c r="B10" s="12" t="s">
        <v>47</v>
      </c>
      <c r="C10" s="12" t="s">
        <v>48</v>
      </c>
      <c r="D10" s="12" t="s">
        <v>49</v>
      </c>
      <c r="E10" s="12" t="s">
        <v>50</v>
      </c>
      <c r="F10" s="11" t="str">
        <f t="shared" si="1"/>
        <v>CORRECT</v>
      </c>
      <c r="G10" s="11" t="s">
        <v>19</v>
      </c>
      <c r="H10" s="15" t="s">
        <v>19</v>
      </c>
      <c r="I10" s="14" t="s">
        <v>410</v>
      </c>
      <c r="J10" s="15">
        <v>15579.0</v>
      </c>
    </row>
    <row r="11" ht="60.0" customHeight="1">
      <c r="A11" s="11">
        <v>8.0</v>
      </c>
      <c r="B11" s="12" t="s">
        <v>52</v>
      </c>
      <c r="C11" s="12" t="s">
        <v>53</v>
      </c>
      <c r="D11" s="12" t="s">
        <v>54</v>
      </c>
      <c r="E11" s="12" t="s">
        <v>55</v>
      </c>
      <c r="F11" s="11" t="str">
        <f t="shared" si="1"/>
        <v>WRONG</v>
      </c>
      <c r="G11" s="11" t="s">
        <v>30</v>
      </c>
      <c r="H11" s="15" t="s">
        <v>19</v>
      </c>
      <c r="I11" s="14" t="s">
        <v>411</v>
      </c>
      <c r="J11" s="15">
        <v>29850.0</v>
      </c>
    </row>
    <row r="12" ht="60.0" customHeight="1">
      <c r="A12" s="11">
        <v>9.0</v>
      </c>
      <c r="B12" s="12" t="s">
        <v>57</v>
      </c>
      <c r="C12" s="12" t="s">
        <v>58</v>
      </c>
      <c r="D12" s="12" t="s">
        <v>59</v>
      </c>
      <c r="E12" s="12" t="s">
        <v>60</v>
      </c>
      <c r="F12" s="11" t="str">
        <f t="shared" si="1"/>
        <v>WRONG</v>
      </c>
      <c r="G12" s="11" t="s">
        <v>19</v>
      </c>
      <c r="H12" s="15" t="s">
        <v>30</v>
      </c>
      <c r="I12" s="14" t="s">
        <v>412</v>
      </c>
      <c r="J12" s="15">
        <v>19566.0</v>
      </c>
    </row>
    <row r="13" ht="60.0" customHeight="1">
      <c r="A13" s="11">
        <v>10.0</v>
      </c>
      <c r="B13" s="12" t="s">
        <v>62</v>
      </c>
      <c r="C13" s="12" t="s">
        <v>63</v>
      </c>
      <c r="D13" s="12" t="s">
        <v>64</v>
      </c>
      <c r="E13" s="12" t="s">
        <v>65</v>
      </c>
      <c r="F13" s="11" t="str">
        <f t="shared" si="1"/>
        <v>WRONG</v>
      </c>
      <c r="G13" s="11" t="s">
        <v>30</v>
      </c>
      <c r="H13" s="15" t="s">
        <v>19</v>
      </c>
      <c r="I13" s="14" t="s">
        <v>413</v>
      </c>
      <c r="J13" s="15">
        <v>18762.0</v>
      </c>
    </row>
    <row r="14" ht="60.0" customHeight="1">
      <c r="A14" s="11">
        <v>11.0</v>
      </c>
      <c r="B14" s="12" t="s">
        <v>67</v>
      </c>
      <c r="C14" s="12" t="s">
        <v>68</v>
      </c>
      <c r="D14" s="12" t="s">
        <v>69</v>
      </c>
      <c r="E14" s="12" t="s">
        <v>70</v>
      </c>
      <c r="F14" s="11" t="str">
        <f t="shared" si="1"/>
        <v>WRONG</v>
      </c>
      <c r="G14" s="11" t="s">
        <v>19</v>
      </c>
      <c r="H14" s="15" t="s">
        <v>30</v>
      </c>
      <c r="I14" s="14" t="s">
        <v>414</v>
      </c>
      <c r="J14" s="15">
        <v>20526.0</v>
      </c>
    </row>
    <row r="15" ht="60.0" customHeight="1">
      <c r="A15" s="11">
        <v>12.0</v>
      </c>
      <c r="B15" s="12" t="s">
        <v>72</v>
      </c>
      <c r="C15" s="12" t="s">
        <v>73</v>
      </c>
      <c r="D15" s="12" t="s">
        <v>74</v>
      </c>
      <c r="E15" s="12" t="s">
        <v>75</v>
      </c>
      <c r="F15" s="11" t="str">
        <f t="shared" si="1"/>
        <v>CORRECT</v>
      </c>
      <c r="G15" s="11" t="s">
        <v>30</v>
      </c>
      <c r="H15" s="15" t="s">
        <v>30</v>
      </c>
      <c r="I15" s="14" t="s">
        <v>415</v>
      </c>
      <c r="J15" s="15">
        <v>17612.0</v>
      </c>
    </row>
    <row r="16" ht="60.0" customHeight="1">
      <c r="A16" s="11">
        <v>13.0</v>
      </c>
      <c r="B16" s="12" t="s">
        <v>77</v>
      </c>
      <c r="C16" s="12" t="s">
        <v>78</v>
      </c>
      <c r="D16" s="12" t="s">
        <v>79</v>
      </c>
      <c r="E16" s="12" t="s">
        <v>80</v>
      </c>
      <c r="F16" s="11" t="str">
        <f t="shared" si="1"/>
        <v>CORRECT</v>
      </c>
      <c r="G16" s="11" t="s">
        <v>18</v>
      </c>
      <c r="H16" s="13" t="s">
        <v>18</v>
      </c>
      <c r="I16" s="14" t="s">
        <v>416</v>
      </c>
      <c r="J16" s="15">
        <v>17025.0</v>
      </c>
    </row>
    <row r="17" ht="60.0" customHeight="1">
      <c r="A17" s="11">
        <v>14.0</v>
      </c>
      <c r="B17" s="12" t="s">
        <v>82</v>
      </c>
      <c r="C17" s="12" t="s">
        <v>83</v>
      </c>
      <c r="D17" s="12" t="s">
        <v>84</v>
      </c>
      <c r="E17" s="12" t="s">
        <v>85</v>
      </c>
      <c r="F17" s="11" t="str">
        <f t="shared" si="1"/>
        <v>WRONG</v>
      </c>
      <c r="G17" s="11" t="s">
        <v>18</v>
      </c>
      <c r="H17" s="15" t="s">
        <v>30</v>
      </c>
      <c r="I17" s="14" t="s">
        <v>417</v>
      </c>
      <c r="J17" s="15">
        <v>12961.0</v>
      </c>
    </row>
    <row r="18" ht="60.0" customHeight="1">
      <c r="A18" s="11">
        <v>15.0</v>
      </c>
      <c r="B18" s="12" t="s">
        <v>87</v>
      </c>
      <c r="C18" s="12" t="s">
        <v>88</v>
      </c>
      <c r="D18" s="12" t="s">
        <v>89</v>
      </c>
      <c r="E18" s="12" t="s">
        <v>90</v>
      </c>
      <c r="F18" s="11" t="str">
        <f t="shared" si="1"/>
        <v>CORRECT</v>
      </c>
      <c r="G18" s="11" t="s">
        <v>30</v>
      </c>
      <c r="H18" s="13" t="s">
        <v>30</v>
      </c>
      <c r="I18" s="14" t="s">
        <v>418</v>
      </c>
      <c r="J18" s="15">
        <v>21882.0</v>
      </c>
    </row>
    <row r="19" ht="60.0" customHeight="1">
      <c r="A19" s="11">
        <v>16.0</v>
      </c>
      <c r="B19" s="12" t="s">
        <v>92</v>
      </c>
      <c r="C19" s="12" t="s">
        <v>93</v>
      </c>
      <c r="D19" s="12" t="s">
        <v>94</v>
      </c>
      <c r="E19" s="12" t="s">
        <v>95</v>
      </c>
      <c r="F19" s="11" t="str">
        <f t="shared" si="1"/>
        <v>CORRECT</v>
      </c>
      <c r="G19" s="11" t="s">
        <v>30</v>
      </c>
      <c r="H19" s="13" t="s">
        <v>30</v>
      </c>
      <c r="I19" s="14" t="s">
        <v>96</v>
      </c>
      <c r="J19" s="15">
        <v>14687.0</v>
      </c>
    </row>
    <row r="20" ht="60.0" customHeight="1">
      <c r="A20" s="11">
        <v>17.0</v>
      </c>
      <c r="B20" s="12" t="s">
        <v>97</v>
      </c>
      <c r="C20" s="12" t="s">
        <v>98</v>
      </c>
      <c r="D20" s="12" t="s">
        <v>99</v>
      </c>
      <c r="E20" s="12" t="s">
        <v>100</v>
      </c>
      <c r="F20" s="11" t="str">
        <f t="shared" si="1"/>
        <v>WRONG</v>
      </c>
      <c r="G20" s="11" t="s">
        <v>19</v>
      </c>
      <c r="H20" s="13" t="s">
        <v>18</v>
      </c>
      <c r="I20" s="14" t="s">
        <v>419</v>
      </c>
      <c r="J20" s="15">
        <v>16788.0</v>
      </c>
    </row>
    <row r="21" ht="60.0" customHeight="1">
      <c r="A21" s="11">
        <v>18.0</v>
      </c>
      <c r="B21" s="12" t="s">
        <v>102</v>
      </c>
      <c r="C21" s="12" t="s">
        <v>103</v>
      </c>
      <c r="D21" s="12" t="s">
        <v>104</v>
      </c>
      <c r="E21" s="12" t="s">
        <v>105</v>
      </c>
      <c r="F21" s="11" t="str">
        <f t="shared" si="1"/>
        <v>CORRECT</v>
      </c>
      <c r="G21" s="11" t="s">
        <v>19</v>
      </c>
      <c r="H21" s="13" t="s">
        <v>19</v>
      </c>
      <c r="I21" s="14" t="s">
        <v>420</v>
      </c>
      <c r="J21" s="15">
        <v>11885.0</v>
      </c>
    </row>
    <row r="22" ht="60.0" customHeight="1">
      <c r="A22" s="11">
        <v>19.0</v>
      </c>
      <c r="B22" s="12" t="s">
        <v>107</v>
      </c>
      <c r="C22" s="12" t="s">
        <v>108</v>
      </c>
      <c r="D22" s="12" t="s">
        <v>109</v>
      </c>
      <c r="E22" s="12" t="s">
        <v>110</v>
      </c>
      <c r="F22" s="11" t="str">
        <f t="shared" si="1"/>
        <v>CORRECT</v>
      </c>
      <c r="G22" s="11" t="s">
        <v>18</v>
      </c>
      <c r="H22" s="13" t="s">
        <v>18</v>
      </c>
      <c r="I22" s="14" t="s">
        <v>421</v>
      </c>
      <c r="J22" s="15">
        <v>18932.0</v>
      </c>
    </row>
    <row r="23" ht="60.0" customHeight="1">
      <c r="A23" s="11">
        <v>20.0</v>
      </c>
      <c r="B23" s="12" t="s">
        <v>112</v>
      </c>
      <c r="C23" s="12" t="s">
        <v>113</v>
      </c>
      <c r="D23" s="12" t="s">
        <v>114</v>
      </c>
      <c r="E23" s="12" t="s">
        <v>115</v>
      </c>
      <c r="F23" s="11" t="str">
        <f t="shared" si="1"/>
        <v>WRONG</v>
      </c>
      <c r="G23" s="11" t="s">
        <v>19</v>
      </c>
      <c r="H23" s="13" t="s">
        <v>18</v>
      </c>
      <c r="I23" s="14" t="s">
        <v>422</v>
      </c>
      <c r="J23" s="15">
        <v>18497.0</v>
      </c>
    </row>
    <row r="24" ht="60.0" customHeight="1">
      <c r="A24" s="11">
        <v>21.0</v>
      </c>
      <c r="B24" s="12" t="s">
        <v>117</v>
      </c>
      <c r="C24" s="12" t="s">
        <v>118</v>
      </c>
      <c r="D24" s="12" t="s">
        <v>119</v>
      </c>
      <c r="E24" s="12" t="s">
        <v>120</v>
      </c>
      <c r="F24" s="11" t="str">
        <f t="shared" si="1"/>
        <v>WRONG</v>
      </c>
      <c r="G24" s="11" t="s">
        <v>19</v>
      </c>
      <c r="H24" s="13" t="s">
        <v>18</v>
      </c>
      <c r="I24" s="14" t="s">
        <v>423</v>
      </c>
      <c r="J24" s="15">
        <v>22086.0</v>
      </c>
    </row>
    <row r="25" ht="60.0" customHeight="1">
      <c r="A25" s="11">
        <v>22.0</v>
      </c>
      <c r="B25" s="12" t="s">
        <v>122</v>
      </c>
      <c r="C25" s="12" t="s">
        <v>123</v>
      </c>
      <c r="D25" s="12" t="s">
        <v>124</v>
      </c>
      <c r="E25" s="12" t="s">
        <v>125</v>
      </c>
      <c r="F25" s="11" t="str">
        <f t="shared" si="1"/>
        <v>CORRECT</v>
      </c>
      <c r="G25" s="11" t="s">
        <v>19</v>
      </c>
      <c r="H25" s="13" t="s">
        <v>19</v>
      </c>
      <c r="I25" s="14" t="s">
        <v>424</v>
      </c>
      <c r="J25" s="15">
        <v>18798.0</v>
      </c>
    </row>
    <row r="26" ht="60.0" customHeight="1">
      <c r="A26" s="11">
        <v>23.0</v>
      </c>
      <c r="B26" s="12" t="s">
        <v>127</v>
      </c>
      <c r="C26" s="12" t="s">
        <v>128</v>
      </c>
      <c r="D26" s="12" t="s">
        <v>129</v>
      </c>
      <c r="E26" s="12" t="s">
        <v>130</v>
      </c>
      <c r="F26" s="11" t="str">
        <f t="shared" si="1"/>
        <v>CORRECT</v>
      </c>
      <c r="G26" s="11" t="s">
        <v>30</v>
      </c>
      <c r="H26" s="13" t="s">
        <v>30</v>
      </c>
      <c r="I26" s="14" t="s">
        <v>425</v>
      </c>
      <c r="J26" s="15">
        <v>16311.0</v>
      </c>
    </row>
    <row r="27" ht="60.0" customHeight="1">
      <c r="A27" s="11">
        <v>24.0</v>
      </c>
      <c r="B27" s="12" t="s">
        <v>132</v>
      </c>
      <c r="C27" s="12" t="s">
        <v>133</v>
      </c>
      <c r="D27" s="12" t="s">
        <v>134</v>
      </c>
      <c r="E27" s="12" t="s">
        <v>135</v>
      </c>
      <c r="F27" s="11" t="str">
        <f t="shared" si="1"/>
        <v>WRONG</v>
      </c>
      <c r="G27" s="11" t="s">
        <v>18</v>
      </c>
      <c r="H27" s="13" t="s">
        <v>30</v>
      </c>
      <c r="I27" s="14" t="s">
        <v>426</v>
      </c>
      <c r="J27" s="15">
        <v>13894.0</v>
      </c>
    </row>
    <row r="28" ht="60.0" customHeight="1">
      <c r="A28" s="11">
        <v>25.0</v>
      </c>
      <c r="B28" s="12" t="s">
        <v>137</v>
      </c>
      <c r="C28" s="12" t="s">
        <v>133</v>
      </c>
      <c r="D28" s="12" t="s">
        <v>138</v>
      </c>
      <c r="E28" s="12" t="s">
        <v>135</v>
      </c>
      <c r="F28" s="11" t="str">
        <f t="shared" si="1"/>
        <v>WRONG</v>
      </c>
      <c r="G28" s="11" t="s">
        <v>30</v>
      </c>
      <c r="H28" s="13" t="s">
        <v>18</v>
      </c>
      <c r="I28" s="14" t="s">
        <v>427</v>
      </c>
      <c r="J28" s="15">
        <v>12653.0</v>
      </c>
    </row>
    <row r="29" ht="60.0" customHeight="1">
      <c r="A29" s="11">
        <v>26.0</v>
      </c>
      <c r="B29" s="12" t="s">
        <v>140</v>
      </c>
      <c r="C29" s="12" t="s">
        <v>141</v>
      </c>
      <c r="D29" s="12" t="s">
        <v>142</v>
      </c>
      <c r="E29" s="12" t="s">
        <v>143</v>
      </c>
      <c r="F29" s="11" t="str">
        <f t="shared" si="1"/>
        <v>WRONG</v>
      </c>
      <c r="G29" s="11" t="s">
        <v>18</v>
      </c>
      <c r="H29" s="13" t="s">
        <v>19</v>
      </c>
      <c r="I29" s="14" t="s">
        <v>428</v>
      </c>
      <c r="J29" s="15">
        <v>8395.0</v>
      </c>
    </row>
    <row r="30" ht="60.0" customHeight="1">
      <c r="A30" s="11">
        <v>27.0</v>
      </c>
      <c r="B30" s="12" t="s">
        <v>145</v>
      </c>
      <c r="C30" s="12" t="s">
        <v>146</v>
      </c>
      <c r="D30" s="12" t="s">
        <v>147</v>
      </c>
      <c r="E30" s="12" t="s">
        <v>148</v>
      </c>
      <c r="F30" s="11" t="str">
        <f t="shared" si="1"/>
        <v>CORRECT</v>
      </c>
      <c r="G30" s="11" t="s">
        <v>19</v>
      </c>
      <c r="H30" s="15" t="s">
        <v>19</v>
      </c>
      <c r="I30" s="14" t="s">
        <v>429</v>
      </c>
      <c r="J30" s="15">
        <v>14668.0</v>
      </c>
    </row>
    <row r="31" ht="60.0" customHeight="1">
      <c r="A31" s="11">
        <v>28.0</v>
      </c>
      <c r="B31" s="12" t="s">
        <v>150</v>
      </c>
      <c r="C31" s="12" t="s">
        <v>151</v>
      </c>
      <c r="D31" s="12" t="s">
        <v>152</v>
      </c>
      <c r="E31" s="12" t="s">
        <v>153</v>
      </c>
      <c r="F31" s="11" t="str">
        <f t="shared" si="1"/>
        <v>CORRECT</v>
      </c>
      <c r="G31" s="11" t="s">
        <v>18</v>
      </c>
      <c r="H31" s="13" t="s">
        <v>18</v>
      </c>
      <c r="I31" s="14" t="s">
        <v>430</v>
      </c>
      <c r="J31" s="15">
        <v>19058.0</v>
      </c>
    </row>
    <row r="32" ht="60.0" customHeight="1">
      <c r="A32" s="11">
        <v>29.0</v>
      </c>
      <c r="B32" s="12" t="s">
        <v>155</v>
      </c>
      <c r="C32" s="12" t="s">
        <v>156</v>
      </c>
      <c r="D32" s="12" t="s">
        <v>157</v>
      </c>
      <c r="E32" s="12" t="s">
        <v>158</v>
      </c>
      <c r="F32" s="11" t="str">
        <f t="shared" si="1"/>
        <v>CORRECT</v>
      </c>
      <c r="G32" s="11" t="s">
        <v>19</v>
      </c>
      <c r="H32" s="13" t="s">
        <v>19</v>
      </c>
      <c r="I32" s="14" t="s">
        <v>431</v>
      </c>
      <c r="J32" s="15">
        <v>18916.0</v>
      </c>
    </row>
    <row r="33" ht="60.0" customHeight="1">
      <c r="A33" s="11">
        <v>30.0</v>
      </c>
      <c r="B33" s="12" t="s">
        <v>160</v>
      </c>
      <c r="C33" s="12" t="s">
        <v>161</v>
      </c>
      <c r="D33" s="12" t="s">
        <v>162</v>
      </c>
      <c r="E33" s="12" t="s">
        <v>163</v>
      </c>
      <c r="F33" s="11" t="str">
        <f t="shared" si="1"/>
        <v>WRONG</v>
      </c>
      <c r="G33" s="11" t="s">
        <v>30</v>
      </c>
      <c r="H33" s="13" t="s">
        <v>18</v>
      </c>
      <c r="I33" s="14" t="s">
        <v>432</v>
      </c>
      <c r="J33" s="15">
        <v>20925.0</v>
      </c>
    </row>
    <row r="34" ht="60.0" customHeight="1">
      <c r="A34" s="11">
        <v>31.0</v>
      </c>
      <c r="B34" s="12" t="s">
        <v>165</v>
      </c>
      <c r="C34" s="12" t="s">
        <v>166</v>
      </c>
      <c r="D34" s="12" t="s">
        <v>167</v>
      </c>
      <c r="E34" s="12" t="s">
        <v>168</v>
      </c>
      <c r="F34" s="11" t="str">
        <f t="shared" si="1"/>
        <v>WRONG</v>
      </c>
      <c r="G34" s="11" t="s">
        <v>19</v>
      </c>
      <c r="H34" s="13" t="s">
        <v>18</v>
      </c>
      <c r="I34" s="14" t="s">
        <v>433</v>
      </c>
      <c r="J34" s="15">
        <v>20146.0</v>
      </c>
    </row>
    <row r="35" ht="60.0" customHeight="1">
      <c r="A35" s="11">
        <v>32.0</v>
      </c>
      <c r="B35" s="12" t="s">
        <v>170</v>
      </c>
      <c r="C35" s="12" t="s">
        <v>171</v>
      </c>
      <c r="D35" s="12" t="s">
        <v>172</v>
      </c>
      <c r="E35" s="12" t="s">
        <v>173</v>
      </c>
      <c r="F35" s="11" t="str">
        <f t="shared" si="1"/>
        <v>WRONG</v>
      </c>
      <c r="G35" s="11" t="s">
        <v>18</v>
      </c>
      <c r="H35" s="15" t="s">
        <v>19</v>
      </c>
      <c r="I35" s="14" t="s">
        <v>434</v>
      </c>
      <c r="J35" s="15">
        <v>26031.0</v>
      </c>
    </row>
    <row r="36" ht="60.0" customHeight="1">
      <c r="A36" s="11">
        <v>33.0</v>
      </c>
      <c r="B36" s="12" t="s">
        <v>175</v>
      </c>
      <c r="C36" s="12" t="s">
        <v>176</v>
      </c>
      <c r="D36" s="12" t="s">
        <v>177</v>
      </c>
      <c r="E36" s="12" t="s">
        <v>178</v>
      </c>
      <c r="F36" s="11" t="str">
        <f t="shared" si="1"/>
        <v>WRONG</v>
      </c>
      <c r="G36" s="11" t="s">
        <v>30</v>
      </c>
      <c r="H36" s="13" t="s">
        <v>19</v>
      </c>
      <c r="I36" s="14" t="s">
        <v>435</v>
      </c>
      <c r="J36" s="15">
        <v>16322.0</v>
      </c>
    </row>
    <row r="37" ht="60.0" customHeight="1">
      <c r="A37" s="11">
        <v>34.0</v>
      </c>
      <c r="B37" s="12" t="s">
        <v>180</v>
      </c>
      <c r="C37" s="12" t="s">
        <v>181</v>
      </c>
      <c r="D37" s="12" t="s">
        <v>182</v>
      </c>
      <c r="E37" s="12" t="s">
        <v>183</v>
      </c>
      <c r="F37" s="11" t="str">
        <f t="shared" si="1"/>
        <v>CORRECT</v>
      </c>
      <c r="G37" s="11" t="s">
        <v>18</v>
      </c>
      <c r="H37" s="13" t="s">
        <v>18</v>
      </c>
      <c r="I37" s="14" t="s">
        <v>436</v>
      </c>
      <c r="J37" s="15">
        <v>17443.0</v>
      </c>
    </row>
    <row r="38" ht="60.0" customHeight="1">
      <c r="A38" s="11">
        <v>35.0</v>
      </c>
      <c r="B38" s="12" t="s">
        <v>185</v>
      </c>
      <c r="C38" s="12" t="s">
        <v>186</v>
      </c>
      <c r="D38" s="12" t="s">
        <v>187</v>
      </c>
      <c r="E38" s="12" t="s">
        <v>188</v>
      </c>
      <c r="F38" s="11" t="str">
        <f t="shared" si="1"/>
        <v>CORRECT</v>
      </c>
      <c r="G38" s="11" t="s">
        <v>30</v>
      </c>
      <c r="H38" s="15" t="s">
        <v>30</v>
      </c>
      <c r="I38" s="14" t="s">
        <v>437</v>
      </c>
      <c r="J38" s="15">
        <v>18843.0</v>
      </c>
    </row>
    <row r="39" ht="60.0" customHeight="1">
      <c r="A39" s="11">
        <v>36.0</v>
      </c>
      <c r="B39" s="12" t="s">
        <v>190</v>
      </c>
      <c r="C39" s="12" t="s">
        <v>191</v>
      </c>
      <c r="D39" s="12" t="s">
        <v>192</v>
      </c>
      <c r="E39" s="12" t="s">
        <v>193</v>
      </c>
      <c r="F39" s="11" t="str">
        <f t="shared" si="1"/>
        <v>CORRECT</v>
      </c>
      <c r="G39" s="11" t="s">
        <v>18</v>
      </c>
      <c r="H39" s="13" t="s">
        <v>18</v>
      </c>
      <c r="I39" s="14" t="s">
        <v>438</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3" t="s">
        <v>18</v>
      </c>
      <c r="I41" s="14" t="s">
        <v>439</v>
      </c>
      <c r="J41" s="15">
        <v>17554.0</v>
      </c>
    </row>
    <row r="42" ht="60.0" customHeight="1">
      <c r="A42" s="11">
        <v>39.0</v>
      </c>
      <c r="B42" s="12" t="s">
        <v>205</v>
      </c>
      <c r="C42" s="12" t="s">
        <v>206</v>
      </c>
      <c r="D42" s="12" t="s">
        <v>207</v>
      </c>
      <c r="E42" s="12" t="s">
        <v>208</v>
      </c>
      <c r="F42" s="11" t="str">
        <f t="shared" si="1"/>
        <v>WRONG</v>
      </c>
      <c r="G42" s="11" t="s">
        <v>19</v>
      </c>
      <c r="H42" s="13" t="s">
        <v>30</v>
      </c>
      <c r="I42" s="14" t="s">
        <v>440</v>
      </c>
      <c r="J42" s="15">
        <v>21061.0</v>
      </c>
    </row>
    <row r="43" ht="60.0" customHeight="1">
      <c r="A43" s="11">
        <v>40.0</v>
      </c>
      <c r="B43" s="12" t="s">
        <v>210</v>
      </c>
      <c r="C43" s="12" t="s">
        <v>211</v>
      </c>
      <c r="D43" s="12" t="s">
        <v>212</v>
      </c>
      <c r="E43" s="12" t="s">
        <v>213</v>
      </c>
      <c r="F43" s="11" t="str">
        <f t="shared" si="1"/>
        <v>CORRECT</v>
      </c>
      <c r="G43" s="11" t="s">
        <v>30</v>
      </c>
      <c r="H43" s="13" t="s">
        <v>30</v>
      </c>
      <c r="I43" s="14" t="s">
        <v>441</v>
      </c>
      <c r="J43" s="15">
        <v>16210.0</v>
      </c>
    </row>
    <row r="44" ht="60.0" customHeight="1">
      <c r="A44" s="11">
        <v>41.0</v>
      </c>
      <c r="B44" s="12" t="s">
        <v>215</v>
      </c>
      <c r="C44" s="12" t="s">
        <v>216</v>
      </c>
      <c r="D44" s="12" t="s">
        <v>217</v>
      </c>
      <c r="E44" s="12" t="s">
        <v>218</v>
      </c>
      <c r="F44" s="11" t="str">
        <f t="shared" si="1"/>
        <v>CORRECT</v>
      </c>
      <c r="G44" s="11" t="s">
        <v>19</v>
      </c>
      <c r="H44" s="13" t="s">
        <v>19</v>
      </c>
      <c r="I44" s="14" t="s">
        <v>442</v>
      </c>
      <c r="J44" s="15">
        <v>15515.0</v>
      </c>
    </row>
    <row r="45" ht="60.0" customHeight="1">
      <c r="A45" s="11">
        <v>42.0</v>
      </c>
      <c r="B45" s="12" t="s">
        <v>220</v>
      </c>
      <c r="C45" s="12" t="s">
        <v>221</v>
      </c>
      <c r="D45" s="12" t="s">
        <v>222</v>
      </c>
      <c r="E45" s="12" t="s">
        <v>223</v>
      </c>
      <c r="F45" s="11" t="str">
        <f t="shared" si="1"/>
        <v>WRONG</v>
      </c>
      <c r="G45" s="11" t="s">
        <v>18</v>
      </c>
      <c r="H45" s="13" t="s">
        <v>19</v>
      </c>
      <c r="I45" s="14" t="s">
        <v>443</v>
      </c>
      <c r="J45" s="15">
        <v>17280.0</v>
      </c>
    </row>
    <row r="46" ht="60.0" customHeight="1">
      <c r="A46" s="11">
        <v>43.0</v>
      </c>
      <c r="B46" s="12" t="s">
        <v>225</v>
      </c>
      <c r="C46" s="12" t="s">
        <v>226</v>
      </c>
      <c r="D46" s="12" t="s">
        <v>227</v>
      </c>
      <c r="E46" s="12" t="s">
        <v>228</v>
      </c>
      <c r="F46" s="11" t="str">
        <f t="shared" si="1"/>
        <v>CORRECT</v>
      </c>
      <c r="G46" s="11" t="s">
        <v>30</v>
      </c>
      <c r="H46" s="13" t="s">
        <v>30</v>
      </c>
      <c r="I46" s="14" t="s">
        <v>444</v>
      </c>
      <c r="J46" s="15">
        <v>22361.0</v>
      </c>
    </row>
    <row r="47" ht="60.0" customHeight="1">
      <c r="A47" s="11">
        <v>44.0</v>
      </c>
      <c r="B47" s="12" t="s">
        <v>230</v>
      </c>
      <c r="C47" s="12" t="s">
        <v>231</v>
      </c>
      <c r="D47" s="12" t="s">
        <v>232</v>
      </c>
      <c r="E47" s="12" t="s">
        <v>233</v>
      </c>
      <c r="F47" s="11" t="str">
        <f t="shared" si="1"/>
        <v>WRONG</v>
      </c>
      <c r="G47" s="11" t="s">
        <v>18</v>
      </c>
      <c r="H47" s="13" t="s">
        <v>30</v>
      </c>
      <c r="I47" s="14" t="s">
        <v>445</v>
      </c>
      <c r="J47" s="15">
        <v>15439.0</v>
      </c>
    </row>
    <row r="48" ht="60.0" customHeight="1">
      <c r="A48" s="11">
        <v>45.0</v>
      </c>
      <c r="B48" s="12" t="s">
        <v>235</v>
      </c>
      <c r="C48" s="12" t="s">
        <v>236</v>
      </c>
      <c r="D48" s="12" t="s">
        <v>237</v>
      </c>
      <c r="E48" s="12" t="s">
        <v>238</v>
      </c>
      <c r="F48" s="11" t="str">
        <f t="shared" si="1"/>
        <v>CORRECT</v>
      </c>
      <c r="G48" s="11" t="s">
        <v>18</v>
      </c>
      <c r="H48" s="13" t="s">
        <v>18</v>
      </c>
      <c r="I48" s="14" t="s">
        <v>446</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2</v>
      </c>
      <c r="C2" s="7"/>
      <c r="D2" s="7"/>
      <c r="E2" s="7"/>
      <c r="F2" s="7"/>
      <c r="G2" s="7"/>
      <c r="H2" s="8"/>
      <c r="I2" s="9" t="s">
        <v>447</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448</v>
      </c>
      <c r="J4" s="15">
        <v>17967.0</v>
      </c>
    </row>
    <row r="5" ht="60.0" customHeight="1">
      <c r="A5" s="11">
        <v>2.0</v>
      </c>
      <c r="B5" s="12" t="s">
        <v>21</v>
      </c>
      <c r="C5" s="12" t="s">
        <v>22</v>
      </c>
      <c r="D5" s="12" t="s">
        <v>23</v>
      </c>
      <c r="E5" s="12" t="s">
        <v>24</v>
      </c>
      <c r="F5" s="11" t="str">
        <f t="shared" si="1"/>
        <v>CORRECT</v>
      </c>
      <c r="G5" s="11" t="s">
        <v>19</v>
      </c>
      <c r="H5" s="13" t="s">
        <v>19</v>
      </c>
      <c r="I5" s="14" t="s">
        <v>449</v>
      </c>
      <c r="J5" s="15">
        <v>21567.0</v>
      </c>
    </row>
    <row r="6" ht="60.0" customHeight="1">
      <c r="A6" s="11">
        <v>3.0</v>
      </c>
      <c r="B6" s="12" t="s">
        <v>26</v>
      </c>
      <c r="C6" s="12" t="s">
        <v>27</v>
      </c>
      <c r="D6" s="12" t="s">
        <v>28</v>
      </c>
      <c r="E6" s="12" t="s">
        <v>29</v>
      </c>
      <c r="F6" s="11" t="str">
        <f t="shared" si="1"/>
        <v>CORRECT</v>
      </c>
      <c r="G6" s="11" t="s">
        <v>30</v>
      </c>
      <c r="H6" s="15" t="s">
        <v>30</v>
      </c>
      <c r="I6" s="14" t="s">
        <v>450</v>
      </c>
      <c r="J6" s="15">
        <v>18514.0</v>
      </c>
    </row>
    <row r="7" ht="60.0" customHeight="1">
      <c r="A7" s="11">
        <v>4.0</v>
      </c>
      <c r="B7" s="12" t="s">
        <v>32</v>
      </c>
      <c r="C7" s="12" t="s">
        <v>33</v>
      </c>
      <c r="D7" s="12" t="s">
        <v>34</v>
      </c>
      <c r="E7" s="12" t="s">
        <v>35</v>
      </c>
      <c r="F7" s="11" t="str">
        <f t="shared" si="1"/>
        <v>WRONG</v>
      </c>
      <c r="G7" s="11" t="s">
        <v>19</v>
      </c>
      <c r="H7" s="13" t="s">
        <v>30</v>
      </c>
      <c r="I7" s="14" t="s">
        <v>451</v>
      </c>
      <c r="J7" s="15">
        <v>14761.0</v>
      </c>
    </row>
    <row r="8" ht="60.0" customHeight="1">
      <c r="A8" s="11">
        <v>5.0</v>
      </c>
      <c r="B8" s="12" t="s">
        <v>37</v>
      </c>
      <c r="C8" s="12" t="s">
        <v>38</v>
      </c>
      <c r="D8" s="12" t="s">
        <v>39</v>
      </c>
      <c r="E8" s="12" t="s">
        <v>40</v>
      </c>
      <c r="F8" s="11" t="str">
        <f t="shared" si="1"/>
        <v>CORRECT</v>
      </c>
      <c r="G8" s="11" t="s">
        <v>30</v>
      </c>
      <c r="H8" s="13" t="s">
        <v>30</v>
      </c>
      <c r="I8" s="14" t="s">
        <v>452</v>
      </c>
      <c r="J8" s="15">
        <v>24631.0</v>
      </c>
    </row>
    <row r="9" ht="60.0" customHeight="1">
      <c r="A9" s="11">
        <v>6.0</v>
      </c>
      <c r="B9" s="12" t="s">
        <v>42</v>
      </c>
      <c r="C9" s="12" t="s">
        <v>43</v>
      </c>
      <c r="D9" s="12" t="s">
        <v>44</v>
      </c>
      <c r="E9" s="12" t="s">
        <v>45</v>
      </c>
      <c r="F9" s="11" t="str">
        <f t="shared" si="1"/>
        <v>CORRECT</v>
      </c>
      <c r="G9" s="11" t="s">
        <v>19</v>
      </c>
      <c r="H9" s="13" t="s">
        <v>19</v>
      </c>
      <c r="I9" s="14" t="s">
        <v>453</v>
      </c>
      <c r="J9" s="15">
        <v>18622.0</v>
      </c>
    </row>
    <row r="10" ht="60.0" customHeight="1">
      <c r="A10" s="11">
        <v>7.0</v>
      </c>
      <c r="B10" s="12" t="s">
        <v>47</v>
      </c>
      <c r="C10" s="12" t="s">
        <v>48</v>
      </c>
      <c r="D10" s="12" t="s">
        <v>49</v>
      </c>
      <c r="E10" s="12" t="s">
        <v>50</v>
      </c>
      <c r="F10" s="11" t="str">
        <f t="shared" si="1"/>
        <v>CORRECT</v>
      </c>
      <c r="G10" s="11" t="s">
        <v>19</v>
      </c>
      <c r="H10" s="15" t="s">
        <v>19</v>
      </c>
      <c r="I10" s="14" t="s">
        <v>454</v>
      </c>
      <c r="J10" s="15">
        <v>15579.0</v>
      </c>
    </row>
    <row r="11" ht="60.0" customHeight="1">
      <c r="A11" s="11">
        <v>8.0</v>
      </c>
      <c r="B11" s="12" t="s">
        <v>52</v>
      </c>
      <c r="C11" s="12" t="s">
        <v>53</v>
      </c>
      <c r="D11" s="12" t="s">
        <v>54</v>
      </c>
      <c r="E11" s="12" t="s">
        <v>55</v>
      </c>
      <c r="F11" s="11" t="str">
        <f t="shared" si="1"/>
        <v>WRONG</v>
      </c>
      <c r="G11" s="11" t="s">
        <v>30</v>
      </c>
      <c r="H11" s="15" t="s">
        <v>19</v>
      </c>
      <c r="I11" s="14" t="s">
        <v>455</v>
      </c>
      <c r="J11" s="15">
        <v>29850.0</v>
      </c>
    </row>
    <row r="12" ht="60.0" customHeight="1">
      <c r="A12" s="11">
        <v>9.0</v>
      </c>
      <c r="B12" s="12" t="s">
        <v>57</v>
      </c>
      <c r="C12" s="12" t="s">
        <v>58</v>
      </c>
      <c r="D12" s="12" t="s">
        <v>59</v>
      </c>
      <c r="E12" s="12" t="s">
        <v>60</v>
      </c>
      <c r="F12" s="11" t="str">
        <f t="shared" si="1"/>
        <v>WRONG</v>
      </c>
      <c r="G12" s="11" t="s">
        <v>19</v>
      </c>
      <c r="H12" s="15" t="s">
        <v>30</v>
      </c>
      <c r="I12" s="14" t="s">
        <v>456</v>
      </c>
      <c r="J12" s="15">
        <v>19566.0</v>
      </c>
    </row>
    <row r="13" ht="60.0" customHeight="1">
      <c r="A13" s="11">
        <v>10.0</v>
      </c>
      <c r="B13" s="12" t="s">
        <v>62</v>
      </c>
      <c r="C13" s="12" t="s">
        <v>63</v>
      </c>
      <c r="D13" s="12" t="s">
        <v>64</v>
      </c>
      <c r="E13" s="12" t="s">
        <v>65</v>
      </c>
      <c r="F13" s="11" t="str">
        <f t="shared" si="1"/>
        <v>WRONG</v>
      </c>
      <c r="G13" s="11" t="s">
        <v>30</v>
      </c>
      <c r="H13" s="15" t="s">
        <v>19</v>
      </c>
      <c r="I13" s="14" t="s">
        <v>457</v>
      </c>
      <c r="J13" s="15">
        <v>18762.0</v>
      </c>
    </row>
    <row r="14" ht="60.0" customHeight="1">
      <c r="A14" s="11">
        <v>11.0</v>
      </c>
      <c r="B14" s="12" t="s">
        <v>67</v>
      </c>
      <c r="C14" s="12" t="s">
        <v>68</v>
      </c>
      <c r="D14" s="12" t="s">
        <v>69</v>
      </c>
      <c r="E14" s="12" t="s">
        <v>70</v>
      </c>
      <c r="F14" s="11" t="str">
        <f t="shared" si="1"/>
        <v>WRONG</v>
      </c>
      <c r="G14" s="11" t="s">
        <v>19</v>
      </c>
      <c r="H14" s="15" t="s">
        <v>30</v>
      </c>
      <c r="I14" s="14" t="s">
        <v>458</v>
      </c>
      <c r="J14" s="15">
        <v>20526.0</v>
      </c>
    </row>
    <row r="15" ht="60.0" customHeight="1">
      <c r="A15" s="11">
        <v>12.0</v>
      </c>
      <c r="B15" s="12" t="s">
        <v>72</v>
      </c>
      <c r="C15" s="12" t="s">
        <v>73</v>
      </c>
      <c r="D15" s="12" t="s">
        <v>74</v>
      </c>
      <c r="E15" s="12" t="s">
        <v>75</v>
      </c>
      <c r="F15" s="11" t="str">
        <f t="shared" si="1"/>
        <v>CORRECT</v>
      </c>
      <c r="G15" s="11" t="s">
        <v>30</v>
      </c>
      <c r="H15" s="15" t="s">
        <v>30</v>
      </c>
      <c r="I15" s="14" t="s">
        <v>459</v>
      </c>
      <c r="J15" s="15">
        <v>17612.0</v>
      </c>
    </row>
    <row r="16" ht="60.0" customHeight="1">
      <c r="A16" s="11">
        <v>13.0</v>
      </c>
      <c r="B16" s="12" t="s">
        <v>77</v>
      </c>
      <c r="C16" s="12" t="s">
        <v>78</v>
      </c>
      <c r="D16" s="12" t="s">
        <v>79</v>
      </c>
      <c r="E16" s="12" t="s">
        <v>80</v>
      </c>
      <c r="F16" s="11" t="str">
        <f t="shared" si="1"/>
        <v>CORRECT</v>
      </c>
      <c r="G16" s="11" t="s">
        <v>18</v>
      </c>
      <c r="H16" s="13" t="s">
        <v>18</v>
      </c>
      <c r="I16" s="14" t="s">
        <v>460</v>
      </c>
      <c r="J16" s="15">
        <v>17025.0</v>
      </c>
    </row>
    <row r="17" ht="60.0" customHeight="1">
      <c r="A17" s="11">
        <v>14.0</v>
      </c>
      <c r="B17" s="12" t="s">
        <v>82</v>
      </c>
      <c r="C17" s="12" t="s">
        <v>83</v>
      </c>
      <c r="D17" s="12" t="s">
        <v>84</v>
      </c>
      <c r="E17" s="12" t="s">
        <v>85</v>
      </c>
      <c r="F17" s="11" t="str">
        <f t="shared" si="1"/>
        <v>WRONG</v>
      </c>
      <c r="G17" s="11" t="s">
        <v>18</v>
      </c>
      <c r="H17" s="15" t="s">
        <v>30</v>
      </c>
      <c r="I17" s="14" t="s">
        <v>461</v>
      </c>
      <c r="J17" s="15">
        <v>12961.0</v>
      </c>
    </row>
    <row r="18" ht="60.0" customHeight="1">
      <c r="A18" s="11">
        <v>15.0</v>
      </c>
      <c r="B18" s="12" t="s">
        <v>87</v>
      </c>
      <c r="C18" s="12" t="s">
        <v>88</v>
      </c>
      <c r="D18" s="12" t="s">
        <v>89</v>
      </c>
      <c r="E18" s="12" t="s">
        <v>90</v>
      </c>
      <c r="F18" s="11" t="str">
        <f t="shared" si="1"/>
        <v>CORRECT</v>
      </c>
      <c r="G18" s="11" t="s">
        <v>30</v>
      </c>
      <c r="H18" s="13" t="s">
        <v>30</v>
      </c>
      <c r="I18" s="14" t="s">
        <v>462</v>
      </c>
      <c r="J18" s="15">
        <v>21882.0</v>
      </c>
    </row>
    <row r="19" ht="60.0" customHeight="1">
      <c r="A19" s="11">
        <v>16.0</v>
      </c>
      <c r="B19" s="12" t="s">
        <v>92</v>
      </c>
      <c r="C19" s="12" t="s">
        <v>93</v>
      </c>
      <c r="D19" s="12" t="s">
        <v>94</v>
      </c>
      <c r="E19" s="12" t="s">
        <v>95</v>
      </c>
      <c r="F19" s="11" t="str">
        <f t="shared" si="1"/>
        <v>CORRECT</v>
      </c>
      <c r="G19" s="11" t="s">
        <v>30</v>
      </c>
      <c r="H19" s="13" t="s">
        <v>30</v>
      </c>
      <c r="I19" s="14" t="s">
        <v>463</v>
      </c>
      <c r="J19" s="15">
        <v>14687.0</v>
      </c>
    </row>
    <row r="20" ht="60.0" customHeight="1">
      <c r="A20" s="11">
        <v>17.0</v>
      </c>
      <c r="B20" s="12" t="s">
        <v>97</v>
      </c>
      <c r="C20" s="12" t="s">
        <v>98</v>
      </c>
      <c r="D20" s="12" t="s">
        <v>99</v>
      </c>
      <c r="E20" s="12" t="s">
        <v>100</v>
      </c>
      <c r="F20" s="11" t="str">
        <f t="shared" si="1"/>
        <v>WRONG</v>
      </c>
      <c r="G20" s="11" t="s">
        <v>19</v>
      </c>
      <c r="H20" s="15" t="s">
        <v>18</v>
      </c>
      <c r="I20" s="14" t="s">
        <v>464</v>
      </c>
      <c r="J20" s="15">
        <v>16788.0</v>
      </c>
    </row>
    <row r="21" ht="60.0" customHeight="1">
      <c r="A21" s="11">
        <v>18.0</v>
      </c>
      <c r="B21" s="12" t="s">
        <v>102</v>
      </c>
      <c r="C21" s="12" t="s">
        <v>103</v>
      </c>
      <c r="D21" s="12" t="s">
        <v>104</v>
      </c>
      <c r="E21" s="12" t="s">
        <v>105</v>
      </c>
      <c r="F21" s="11" t="str">
        <f t="shared" si="1"/>
        <v>CORRECT</v>
      </c>
      <c r="G21" s="11" t="s">
        <v>19</v>
      </c>
      <c r="H21" s="13" t="s">
        <v>19</v>
      </c>
      <c r="I21" s="14" t="s">
        <v>465</v>
      </c>
      <c r="J21" s="15">
        <v>11885.0</v>
      </c>
    </row>
    <row r="22" ht="60.0" customHeight="1">
      <c r="A22" s="11">
        <v>19.0</v>
      </c>
      <c r="B22" s="12" t="s">
        <v>107</v>
      </c>
      <c r="C22" s="12" t="s">
        <v>108</v>
      </c>
      <c r="D22" s="12" t="s">
        <v>109</v>
      </c>
      <c r="E22" s="12" t="s">
        <v>110</v>
      </c>
      <c r="F22" s="11" t="str">
        <f t="shared" si="1"/>
        <v>CORRECT</v>
      </c>
      <c r="G22" s="11" t="s">
        <v>18</v>
      </c>
      <c r="H22" s="13" t="s">
        <v>18</v>
      </c>
      <c r="I22" s="14" t="s">
        <v>466</v>
      </c>
      <c r="J22" s="15">
        <v>18932.0</v>
      </c>
    </row>
    <row r="23" ht="60.0" customHeight="1">
      <c r="A23" s="11">
        <v>20.0</v>
      </c>
      <c r="B23" s="12" t="s">
        <v>112</v>
      </c>
      <c r="C23" s="12" t="s">
        <v>113</v>
      </c>
      <c r="D23" s="12" t="s">
        <v>114</v>
      </c>
      <c r="E23" s="12" t="s">
        <v>115</v>
      </c>
      <c r="F23" s="11" t="str">
        <f t="shared" si="1"/>
        <v>WRONG</v>
      </c>
      <c r="G23" s="11" t="s">
        <v>19</v>
      </c>
      <c r="H23" s="13" t="s">
        <v>18</v>
      </c>
      <c r="I23" s="14" t="s">
        <v>467</v>
      </c>
      <c r="J23" s="15">
        <v>18497.0</v>
      </c>
    </row>
    <row r="24" ht="60.0" customHeight="1">
      <c r="A24" s="11">
        <v>21.0</v>
      </c>
      <c r="B24" s="12" t="s">
        <v>117</v>
      </c>
      <c r="C24" s="12" t="s">
        <v>118</v>
      </c>
      <c r="D24" s="12" t="s">
        <v>119</v>
      </c>
      <c r="E24" s="12" t="s">
        <v>120</v>
      </c>
      <c r="F24" s="11" t="str">
        <f t="shared" si="1"/>
        <v>WRONG</v>
      </c>
      <c r="G24" s="11" t="s">
        <v>19</v>
      </c>
      <c r="H24" s="13" t="s">
        <v>18</v>
      </c>
      <c r="I24" s="14" t="s">
        <v>468</v>
      </c>
      <c r="J24" s="15">
        <v>22086.0</v>
      </c>
    </row>
    <row r="25" ht="60.0" customHeight="1">
      <c r="A25" s="11">
        <v>22.0</v>
      </c>
      <c r="B25" s="12" t="s">
        <v>122</v>
      </c>
      <c r="C25" s="12" t="s">
        <v>123</v>
      </c>
      <c r="D25" s="12" t="s">
        <v>124</v>
      </c>
      <c r="E25" s="12" t="s">
        <v>125</v>
      </c>
      <c r="F25" s="11" t="str">
        <f t="shared" si="1"/>
        <v>CORRECT</v>
      </c>
      <c r="G25" s="11" t="s">
        <v>19</v>
      </c>
      <c r="H25" s="13" t="s">
        <v>19</v>
      </c>
      <c r="I25" s="14" t="s">
        <v>469</v>
      </c>
      <c r="J25" s="15">
        <v>18798.0</v>
      </c>
    </row>
    <row r="26" ht="60.0" customHeight="1">
      <c r="A26" s="11">
        <v>23.0</v>
      </c>
      <c r="B26" s="12" t="s">
        <v>127</v>
      </c>
      <c r="C26" s="12" t="s">
        <v>128</v>
      </c>
      <c r="D26" s="12" t="s">
        <v>129</v>
      </c>
      <c r="E26" s="12" t="s">
        <v>130</v>
      </c>
      <c r="F26" s="11" t="str">
        <f t="shared" si="1"/>
        <v>CORRECT</v>
      </c>
      <c r="G26" s="11" t="s">
        <v>30</v>
      </c>
      <c r="H26" s="13" t="s">
        <v>30</v>
      </c>
      <c r="I26" s="14" t="s">
        <v>470</v>
      </c>
      <c r="J26" s="15">
        <v>16311.0</v>
      </c>
    </row>
    <row r="27" ht="60.0" customHeight="1">
      <c r="A27" s="11">
        <v>24.0</v>
      </c>
      <c r="B27" s="12" t="s">
        <v>132</v>
      </c>
      <c r="C27" s="12" t="s">
        <v>133</v>
      </c>
      <c r="D27" s="12" t="s">
        <v>134</v>
      </c>
      <c r="E27" s="12" t="s">
        <v>135</v>
      </c>
      <c r="F27" s="11" t="str">
        <f t="shared" si="1"/>
        <v>WRONG</v>
      </c>
      <c r="G27" s="11" t="s">
        <v>18</v>
      </c>
      <c r="H27" s="13" t="s">
        <v>30</v>
      </c>
      <c r="I27" s="14" t="s">
        <v>471</v>
      </c>
      <c r="J27" s="15">
        <v>13894.0</v>
      </c>
    </row>
    <row r="28" ht="60.0" customHeight="1">
      <c r="A28" s="11">
        <v>25.0</v>
      </c>
      <c r="B28" s="12" t="s">
        <v>137</v>
      </c>
      <c r="C28" s="12" t="s">
        <v>133</v>
      </c>
      <c r="D28" s="12" t="s">
        <v>138</v>
      </c>
      <c r="E28" s="12" t="s">
        <v>135</v>
      </c>
      <c r="F28" s="11" t="str">
        <f t="shared" si="1"/>
        <v>WRONG</v>
      </c>
      <c r="G28" s="11" t="s">
        <v>30</v>
      </c>
      <c r="H28" s="13" t="s">
        <v>18</v>
      </c>
      <c r="I28" s="14" t="s">
        <v>472</v>
      </c>
      <c r="J28" s="15">
        <v>12653.0</v>
      </c>
    </row>
    <row r="29" ht="60.0" customHeight="1">
      <c r="A29" s="11">
        <v>26.0</v>
      </c>
      <c r="B29" s="12" t="s">
        <v>140</v>
      </c>
      <c r="C29" s="12" t="s">
        <v>141</v>
      </c>
      <c r="D29" s="12" t="s">
        <v>142</v>
      </c>
      <c r="E29" s="12" t="s">
        <v>143</v>
      </c>
      <c r="F29" s="11" t="str">
        <f t="shared" si="1"/>
        <v>WRONG</v>
      </c>
      <c r="G29" s="11" t="s">
        <v>18</v>
      </c>
      <c r="H29" s="13" t="s">
        <v>19</v>
      </c>
      <c r="I29" s="14" t="s">
        <v>473</v>
      </c>
      <c r="J29" s="15">
        <v>8395.0</v>
      </c>
    </row>
    <row r="30" ht="60.0" customHeight="1">
      <c r="A30" s="11">
        <v>27.0</v>
      </c>
      <c r="B30" s="12" t="s">
        <v>145</v>
      </c>
      <c r="C30" s="12" t="s">
        <v>146</v>
      </c>
      <c r="D30" s="12" t="s">
        <v>147</v>
      </c>
      <c r="E30" s="12" t="s">
        <v>148</v>
      </c>
      <c r="F30" s="11" t="str">
        <f t="shared" si="1"/>
        <v>CORRECT</v>
      </c>
      <c r="G30" s="11" t="s">
        <v>19</v>
      </c>
      <c r="H30" s="15" t="s">
        <v>19</v>
      </c>
      <c r="I30" s="14" t="s">
        <v>474</v>
      </c>
      <c r="J30" s="15">
        <v>14668.0</v>
      </c>
    </row>
    <row r="31" ht="60.0" customHeight="1">
      <c r="A31" s="11">
        <v>28.0</v>
      </c>
      <c r="B31" s="12" t="s">
        <v>150</v>
      </c>
      <c r="C31" s="12" t="s">
        <v>151</v>
      </c>
      <c r="D31" s="12" t="s">
        <v>152</v>
      </c>
      <c r="E31" s="12" t="s">
        <v>153</v>
      </c>
      <c r="F31" s="11" t="str">
        <f t="shared" si="1"/>
        <v>CORRECT</v>
      </c>
      <c r="G31" s="11" t="s">
        <v>18</v>
      </c>
      <c r="H31" s="13" t="s">
        <v>18</v>
      </c>
      <c r="I31" s="14" t="s">
        <v>475</v>
      </c>
      <c r="J31" s="15">
        <v>19058.0</v>
      </c>
    </row>
    <row r="32" ht="60.0" customHeight="1">
      <c r="A32" s="11">
        <v>29.0</v>
      </c>
      <c r="B32" s="12" t="s">
        <v>155</v>
      </c>
      <c r="C32" s="12" t="s">
        <v>156</v>
      </c>
      <c r="D32" s="12" t="s">
        <v>157</v>
      </c>
      <c r="E32" s="12" t="s">
        <v>158</v>
      </c>
      <c r="F32" s="11" t="str">
        <f t="shared" si="1"/>
        <v>CORRECT</v>
      </c>
      <c r="G32" s="11" t="s">
        <v>19</v>
      </c>
      <c r="H32" s="13" t="s">
        <v>19</v>
      </c>
      <c r="I32" s="14" t="s">
        <v>476</v>
      </c>
      <c r="J32" s="15">
        <v>18916.0</v>
      </c>
    </row>
    <row r="33" ht="60.0" customHeight="1">
      <c r="A33" s="11">
        <v>30.0</v>
      </c>
      <c r="B33" s="12" t="s">
        <v>160</v>
      </c>
      <c r="C33" s="12" t="s">
        <v>161</v>
      </c>
      <c r="D33" s="12" t="s">
        <v>162</v>
      </c>
      <c r="E33" s="12" t="s">
        <v>163</v>
      </c>
      <c r="F33" s="11" t="str">
        <f t="shared" si="1"/>
        <v>WRONG</v>
      </c>
      <c r="G33" s="11" t="s">
        <v>30</v>
      </c>
      <c r="H33" s="13" t="s">
        <v>18</v>
      </c>
      <c r="I33" s="14" t="s">
        <v>477</v>
      </c>
      <c r="J33" s="15">
        <v>20925.0</v>
      </c>
    </row>
    <row r="34" ht="60.0" customHeight="1">
      <c r="A34" s="11">
        <v>31.0</v>
      </c>
      <c r="B34" s="12" t="s">
        <v>165</v>
      </c>
      <c r="C34" s="12" t="s">
        <v>166</v>
      </c>
      <c r="D34" s="12" t="s">
        <v>167</v>
      </c>
      <c r="E34" s="12" t="s">
        <v>168</v>
      </c>
      <c r="F34" s="11" t="str">
        <f t="shared" si="1"/>
        <v>WRONG</v>
      </c>
      <c r="G34" s="11" t="s">
        <v>19</v>
      </c>
      <c r="H34" s="13" t="s">
        <v>18</v>
      </c>
      <c r="I34" s="14" t="s">
        <v>478</v>
      </c>
      <c r="J34" s="15">
        <v>20146.0</v>
      </c>
    </row>
    <row r="35" ht="60.0" customHeight="1">
      <c r="A35" s="11">
        <v>32.0</v>
      </c>
      <c r="B35" s="12" t="s">
        <v>170</v>
      </c>
      <c r="C35" s="12" t="s">
        <v>171</v>
      </c>
      <c r="D35" s="12" t="s">
        <v>172</v>
      </c>
      <c r="E35" s="12" t="s">
        <v>173</v>
      </c>
      <c r="F35" s="11" t="str">
        <f t="shared" si="1"/>
        <v>CORRECT</v>
      </c>
      <c r="G35" s="11" t="s">
        <v>18</v>
      </c>
      <c r="H35" s="15" t="s">
        <v>18</v>
      </c>
      <c r="I35" s="14" t="s">
        <v>479</v>
      </c>
      <c r="J35" s="15">
        <v>26031.0</v>
      </c>
    </row>
    <row r="36" ht="60.0" customHeight="1">
      <c r="A36" s="11">
        <v>33.0</v>
      </c>
      <c r="B36" s="12" t="s">
        <v>175</v>
      </c>
      <c r="C36" s="12" t="s">
        <v>176</v>
      </c>
      <c r="D36" s="12" t="s">
        <v>177</v>
      </c>
      <c r="E36" s="12" t="s">
        <v>178</v>
      </c>
      <c r="F36" s="11" t="str">
        <f t="shared" si="1"/>
        <v>WRONG</v>
      </c>
      <c r="G36" s="11" t="s">
        <v>30</v>
      </c>
      <c r="H36" s="13" t="s">
        <v>19</v>
      </c>
      <c r="I36" s="14" t="s">
        <v>480</v>
      </c>
      <c r="J36" s="15">
        <v>16322.0</v>
      </c>
    </row>
    <row r="37" ht="60.0" customHeight="1">
      <c r="A37" s="11">
        <v>34.0</v>
      </c>
      <c r="B37" s="12" t="s">
        <v>180</v>
      </c>
      <c r="C37" s="12" t="s">
        <v>181</v>
      </c>
      <c r="D37" s="12" t="s">
        <v>182</v>
      </c>
      <c r="E37" s="12" t="s">
        <v>183</v>
      </c>
      <c r="F37" s="11" t="str">
        <f t="shared" si="1"/>
        <v>CORRECT</v>
      </c>
      <c r="G37" s="11" t="s">
        <v>18</v>
      </c>
      <c r="H37" s="13" t="s">
        <v>18</v>
      </c>
      <c r="I37" s="14" t="s">
        <v>481</v>
      </c>
      <c r="J37" s="15">
        <v>17443.0</v>
      </c>
    </row>
    <row r="38" ht="60.0" customHeight="1">
      <c r="A38" s="11">
        <v>35.0</v>
      </c>
      <c r="B38" s="12" t="s">
        <v>185</v>
      </c>
      <c r="C38" s="12" t="s">
        <v>186</v>
      </c>
      <c r="D38" s="12" t="s">
        <v>187</v>
      </c>
      <c r="E38" s="12" t="s">
        <v>188</v>
      </c>
      <c r="F38" s="11" t="str">
        <f t="shared" si="1"/>
        <v>CORRECT</v>
      </c>
      <c r="G38" s="11" t="s">
        <v>30</v>
      </c>
      <c r="H38" s="15" t="s">
        <v>30</v>
      </c>
      <c r="I38" s="14" t="s">
        <v>482</v>
      </c>
      <c r="J38" s="15">
        <v>18843.0</v>
      </c>
    </row>
    <row r="39" ht="60.0" customHeight="1">
      <c r="A39" s="11">
        <v>36.0</v>
      </c>
      <c r="B39" s="12" t="s">
        <v>190</v>
      </c>
      <c r="C39" s="12" t="s">
        <v>191</v>
      </c>
      <c r="D39" s="12" t="s">
        <v>192</v>
      </c>
      <c r="E39" s="12" t="s">
        <v>193</v>
      </c>
      <c r="F39" s="11" t="str">
        <f t="shared" si="1"/>
        <v>CORRECT</v>
      </c>
      <c r="G39" s="11" t="s">
        <v>18</v>
      </c>
      <c r="H39" s="13" t="s">
        <v>18</v>
      </c>
      <c r="I39" s="14" t="s">
        <v>483</v>
      </c>
      <c r="J39" s="15">
        <v>17928.0</v>
      </c>
    </row>
    <row r="40" ht="60.0" customHeight="1">
      <c r="A40" s="11">
        <v>37.0</v>
      </c>
      <c r="B40" s="12" t="s">
        <v>195</v>
      </c>
      <c r="C40" s="12" t="s">
        <v>196</v>
      </c>
      <c r="D40" s="12" t="s">
        <v>197</v>
      </c>
      <c r="E40" s="12" t="s">
        <v>198</v>
      </c>
      <c r="F40" s="11" t="str">
        <f t="shared" si="1"/>
        <v>WRONG</v>
      </c>
      <c r="G40" s="11" t="s">
        <v>18</v>
      </c>
      <c r="H40" s="15" t="s">
        <v>19</v>
      </c>
      <c r="I40" s="14" t="s">
        <v>484</v>
      </c>
      <c r="J40" s="15">
        <v>15317.0</v>
      </c>
    </row>
    <row r="41" ht="60.0" customHeight="1">
      <c r="A41" s="11">
        <v>38.0</v>
      </c>
      <c r="B41" s="12" t="s">
        <v>200</v>
      </c>
      <c r="C41" s="12" t="s">
        <v>201</v>
      </c>
      <c r="D41" s="12" t="s">
        <v>202</v>
      </c>
      <c r="E41" s="12" t="s">
        <v>203</v>
      </c>
      <c r="F41" s="11" t="str">
        <f t="shared" si="1"/>
        <v>CORRECT</v>
      </c>
      <c r="G41" s="11" t="s">
        <v>18</v>
      </c>
      <c r="H41" s="15" t="s">
        <v>18</v>
      </c>
      <c r="I41" s="14" t="s">
        <v>485</v>
      </c>
      <c r="J41" s="15">
        <v>17554.0</v>
      </c>
    </row>
    <row r="42" ht="60.0" customHeight="1">
      <c r="A42" s="11">
        <v>39.0</v>
      </c>
      <c r="B42" s="12" t="s">
        <v>205</v>
      </c>
      <c r="C42" s="12" t="s">
        <v>206</v>
      </c>
      <c r="D42" s="12" t="s">
        <v>207</v>
      </c>
      <c r="E42" s="12" t="s">
        <v>208</v>
      </c>
      <c r="F42" s="11" t="str">
        <f t="shared" si="1"/>
        <v>WRONG</v>
      </c>
      <c r="G42" s="11" t="s">
        <v>19</v>
      </c>
      <c r="H42" s="13" t="s">
        <v>30</v>
      </c>
      <c r="I42" s="14" t="s">
        <v>486</v>
      </c>
      <c r="J42" s="15">
        <v>21061.0</v>
      </c>
    </row>
    <row r="43" ht="60.0" customHeight="1">
      <c r="A43" s="11">
        <v>40.0</v>
      </c>
      <c r="B43" s="12" t="s">
        <v>210</v>
      </c>
      <c r="C43" s="12" t="s">
        <v>211</v>
      </c>
      <c r="D43" s="12" t="s">
        <v>212</v>
      </c>
      <c r="E43" s="12" t="s">
        <v>213</v>
      </c>
      <c r="F43" s="11" t="str">
        <f t="shared" si="1"/>
        <v>CORRECT</v>
      </c>
      <c r="G43" s="11" t="s">
        <v>30</v>
      </c>
      <c r="H43" s="13" t="s">
        <v>30</v>
      </c>
      <c r="I43" s="14" t="s">
        <v>487</v>
      </c>
      <c r="J43" s="15">
        <v>16210.0</v>
      </c>
    </row>
    <row r="44" ht="60.0" customHeight="1">
      <c r="A44" s="11">
        <v>41.0</v>
      </c>
      <c r="B44" s="12" t="s">
        <v>215</v>
      </c>
      <c r="C44" s="12" t="s">
        <v>216</v>
      </c>
      <c r="D44" s="12" t="s">
        <v>217</v>
      </c>
      <c r="E44" s="12" t="s">
        <v>218</v>
      </c>
      <c r="F44" s="11" t="str">
        <f t="shared" si="1"/>
        <v>CORRECT</v>
      </c>
      <c r="G44" s="11" t="s">
        <v>19</v>
      </c>
      <c r="H44" s="13" t="s">
        <v>19</v>
      </c>
      <c r="I44" s="14" t="s">
        <v>488</v>
      </c>
      <c r="J44" s="15">
        <v>15515.0</v>
      </c>
    </row>
    <row r="45" ht="60.0" customHeight="1">
      <c r="A45" s="11">
        <v>42.0</v>
      </c>
      <c r="B45" s="12" t="s">
        <v>220</v>
      </c>
      <c r="C45" s="12" t="s">
        <v>221</v>
      </c>
      <c r="D45" s="12" t="s">
        <v>222</v>
      </c>
      <c r="E45" s="12" t="s">
        <v>223</v>
      </c>
      <c r="F45" s="11" t="str">
        <f t="shared" si="1"/>
        <v>WRONG</v>
      </c>
      <c r="G45" s="11" t="s">
        <v>18</v>
      </c>
      <c r="H45" s="15" t="s">
        <v>19</v>
      </c>
      <c r="I45" s="14" t="s">
        <v>489</v>
      </c>
      <c r="J45" s="15">
        <v>17280.0</v>
      </c>
    </row>
    <row r="46" ht="60.0" customHeight="1">
      <c r="A46" s="11">
        <v>43.0</v>
      </c>
      <c r="B46" s="12" t="s">
        <v>225</v>
      </c>
      <c r="C46" s="12" t="s">
        <v>226</v>
      </c>
      <c r="D46" s="12" t="s">
        <v>227</v>
      </c>
      <c r="E46" s="12" t="s">
        <v>228</v>
      </c>
      <c r="F46" s="11" t="str">
        <f t="shared" si="1"/>
        <v>WRONG</v>
      </c>
      <c r="G46" s="11" t="s">
        <v>30</v>
      </c>
      <c r="H46" s="13" t="s">
        <v>18</v>
      </c>
      <c r="I46" s="14" t="s">
        <v>490</v>
      </c>
      <c r="J46" s="15">
        <v>22361.0</v>
      </c>
    </row>
    <row r="47" ht="60.0" customHeight="1">
      <c r="A47" s="11">
        <v>44.0</v>
      </c>
      <c r="B47" s="12" t="s">
        <v>230</v>
      </c>
      <c r="C47" s="12" t="s">
        <v>231</v>
      </c>
      <c r="D47" s="12" t="s">
        <v>232</v>
      </c>
      <c r="E47" s="12" t="s">
        <v>233</v>
      </c>
      <c r="F47" s="11" t="str">
        <f t="shared" si="1"/>
        <v>WRONG</v>
      </c>
      <c r="G47" s="11" t="s">
        <v>18</v>
      </c>
      <c r="H47" s="13" t="s">
        <v>30</v>
      </c>
      <c r="I47" s="14" t="s">
        <v>491</v>
      </c>
      <c r="J47" s="15">
        <v>15439.0</v>
      </c>
    </row>
    <row r="48" ht="60.0" customHeight="1">
      <c r="A48" s="11">
        <v>45.0</v>
      </c>
      <c r="B48" s="12" t="s">
        <v>235</v>
      </c>
      <c r="C48" s="12" t="s">
        <v>236</v>
      </c>
      <c r="D48" s="12" t="s">
        <v>237</v>
      </c>
      <c r="E48" s="12" t="s">
        <v>238</v>
      </c>
      <c r="F48" s="11" t="str">
        <f t="shared" si="1"/>
        <v>CORRECT</v>
      </c>
      <c r="G48" s="11" t="s">
        <v>18</v>
      </c>
      <c r="H48" s="13" t="s">
        <v>18</v>
      </c>
      <c r="I48" s="14" t="s">
        <v>492</v>
      </c>
      <c r="J48" s="15">
        <v>19838.0</v>
      </c>
    </row>
    <row r="49" ht="60.0" customHeight="1">
      <c r="A49" s="11">
        <v>46.0</v>
      </c>
      <c r="B49" s="12" t="s">
        <v>240</v>
      </c>
      <c r="C49" s="12" t="s">
        <v>22</v>
      </c>
      <c r="D49" s="12" t="s">
        <v>241</v>
      </c>
      <c r="E49" s="12" t="s">
        <v>242</v>
      </c>
      <c r="F49" s="11" t="str">
        <f t="shared" si="1"/>
        <v>CORRECT</v>
      </c>
      <c r="G49" s="11" t="s">
        <v>18</v>
      </c>
      <c r="H49" s="15" t="s">
        <v>18</v>
      </c>
      <c r="I49" s="14" t="s">
        <v>493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494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495</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297</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496</v>
      </c>
      <c r="J10" s="15">
        <v>15579.0</v>
      </c>
    </row>
    <row r="11" ht="60.0" customHeight="1">
      <c r="A11" s="11">
        <v>8.0</v>
      </c>
      <c r="B11" s="12" t="s">
        <v>52</v>
      </c>
      <c r="C11" s="12" t="s">
        <v>53</v>
      </c>
      <c r="D11" s="12" t="s">
        <v>54</v>
      </c>
      <c r="E11" s="12" t="s">
        <v>55</v>
      </c>
      <c r="F11" s="11" t="str">
        <f t="shared" si="1"/>
        <v>WRONG</v>
      </c>
      <c r="G11" s="11" t="s">
        <v>30</v>
      </c>
      <c r="H11" s="15" t="s">
        <v>19</v>
      </c>
      <c r="I11" s="14" t="s">
        <v>300</v>
      </c>
      <c r="J11" s="15">
        <v>29850.0</v>
      </c>
    </row>
    <row r="12" ht="60.0" customHeight="1">
      <c r="A12" s="11">
        <v>9.0</v>
      </c>
      <c r="B12" s="12" t="s">
        <v>57</v>
      </c>
      <c r="C12" s="12" t="s">
        <v>58</v>
      </c>
      <c r="D12" s="12" t="s">
        <v>59</v>
      </c>
      <c r="E12" s="12" t="s">
        <v>60</v>
      </c>
      <c r="F12" s="11" t="str">
        <f t="shared" si="1"/>
        <v>WRONG</v>
      </c>
      <c r="G12" s="11" t="s">
        <v>19</v>
      </c>
      <c r="H12" s="15" t="s">
        <v>30</v>
      </c>
      <c r="I12" s="14" t="s">
        <v>301</v>
      </c>
      <c r="J12" s="15">
        <v>19566.0</v>
      </c>
    </row>
    <row r="13" ht="60.0" customHeight="1">
      <c r="A13" s="11">
        <v>10.0</v>
      </c>
      <c r="B13" s="12" t="s">
        <v>62</v>
      </c>
      <c r="C13" s="12" t="s">
        <v>63</v>
      </c>
      <c r="D13" s="12" t="s">
        <v>64</v>
      </c>
      <c r="E13" s="12" t="s">
        <v>65</v>
      </c>
      <c r="F13" s="11" t="str">
        <f t="shared" si="1"/>
        <v>WRONG</v>
      </c>
      <c r="G13" s="11" t="s">
        <v>30</v>
      </c>
      <c r="H13" s="15"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303</v>
      </c>
      <c r="J14" s="15">
        <v>20526.0</v>
      </c>
    </row>
    <row r="15" ht="60.0" customHeight="1">
      <c r="A15" s="11">
        <v>12.0</v>
      </c>
      <c r="B15" s="12" t="s">
        <v>72</v>
      </c>
      <c r="C15" s="12" t="s">
        <v>73</v>
      </c>
      <c r="D15" s="12" t="s">
        <v>74</v>
      </c>
      <c r="E15" s="12" t="s">
        <v>75</v>
      </c>
      <c r="F15" s="11" t="str">
        <f t="shared" si="1"/>
        <v>CORRECT</v>
      </c>
      <c r="G15" s="11" t="s">
        <v>30</v>
      </c>
      <c r="H15" s="15" t="s">
        <v>30</v>
      </c>
      <c r="I15" s="14" t="s">
        <v>497</v>
      </c>
      <c r="J15" s="15">
        <v>17612.0</v>
      </c>
    </row>
    <row r="16" ht="60.0" customHeight="1">
      <c r="A16" s="11">
        <v>13.0</v>
      </c>
      <c r="B16" s="12" t="s">
        <v>77</v>
      </c>
      <c r="C16" s="12" t="s">
        <v>78</v>
      </c>
      <c r="D16" s="12" t="s">
        <v>79</v>
      </c>
      <c r="E16" s="12" t="s">
        <v>80</v>
      </c>
      <c r="F16" s="11" t="str">
        <f t="shared" si="1"/>
        <v>CORRECT</v>
      </c>
      <c r="G16" s="11" t="s">
        <v>18</v>
      </c>
      <c r="H16" s="13" t="s">
        <v>18</v>
      </c>
      <c r="I16" s="14" t="s">
        <v>332</v>
      </c>
      <c r="J16" s="15">
        <v>17025.0</v>
      </c>
    </row>
    <row r="17" ht="60.0" customHeight="1">
      <c r="A17" s="11">
        <v>14.0</v>
      </c>
      <c r="B17" s="12" t="s">
        <v>82</v>
      </c>
      <c r="C17" s="12" t="s">
        <v>83</v>
      </c>
      <c r="D17" s="12" t="s">
        <v>84</v>
      </c>
      <c r="E17" s="12" t="s">
        <v>85</v>
      </c>
      <c r="F17" s="11" t="str">
        <f t="shared" si="1"/>
        <v>WRONG</v>
      </c>
      <c r="G17" s="11" t="s">
        <v>18</v>
      </c>
      <c r="H17" s="15" t="s">
        <v>30</v>
      </c>
      <c r="I17" s="14" t="s">
        <v>383</v>
      </c>
      <c r="J17" s="15">
        <v>12961.0</v>
      </c>
    </row>
    <row r="18" ht="60.0" customHeight="1">
      <c r="A18" s="11">
        <v>15.0</v>
      </c>
      <c r="B18" s="12" t="s">
        <v>87</v>
      </c>
      <c r="C18" s="12" t="s">
        <v>88</v>
      </c>
      <c r="D18" s="12" t="s">
        <v>89</v>
      </c>
      <c r="E18" s="12" t="s">
        <v>90</v>
      </c>
      <c r="F18" s="11" t="str">
        <f t="shared" si="1"/>
        <v>CORRECT</v>
      </c>
      <c r="G18" s="11" t="s">
        <v>30</v>
      </c>
      <c r="H18" s="13" t="s">
        <v>30</v>
      </c>
      <c r="I18" s="14" t="s">
        <v>306</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5" t="s">
        <v>18</v>
      </c>
      <c r="I20" s="14" t="s">
        <v>308</v>
      </c>
      <c r="J20" s="15">
        <v>16788.0</v>
      </c>
    </row>
    <row r="21" ht="60.0" customHeight="1">
      <c r="A21" s="11">
        <v>18.0</v>
      </c>
      <c r="B21" s="12" t="s">
        <v>102</v>
      </c>
      <c r="C21" s="12" t="s">
        <v>103</v>
      </c>
      <c r="D21" s="12" t="s">
        <v>104</v>
      </c>
      <c r="E21" s="12" t="s">
        <v>105</v>
      </c>
      <c r="F21" s="11" t="str">
        <f t="shared" si="1"/>
        <v>CORRECT</v>
      </c>
      <c r="G21" s="11" t="s">
        <v>19</v>
      </c>
      <c r="H21" s="13" t="s">
        <v>19</v>
      </c>
      <c r="I21" s="14" t="s">
        <v>498</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18</v>
      </c>
      <c r="I23" s="14" t="s">
        <v>335</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30</v>
      </c>
      <c r="I29" s="14" t="s">
        <v>314</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3" t="s">
        <v>30</v>
      </c>
      <c r="I35" s="14" t="s">
        <v>384</v>
      </c>
      <c r="J35" s="15">
        <v>26031.0</v>
      </c>
    </row>
    <row r="36" ht="60.0" customHeight="1">
      <c r="A36" s="11">
        <v>33.0</v>
      </c>
      <c r="B36" s="12" t="s">
        <v>175</v>
      </c>
      <c r="C36" s="12" t="s">
        <v>176</v>
      </c>
      <c r="D36" s="12" t="s">
        <v>177</v>
      </c>
      <c r="E36" s="12" t="s">
        <v>178</v>
      </c>
      <c r="F36" s="11" t="str">
        <f t="shared" si="1"/>
        <v>CORRECT</v>
      </c>
      <c r="G36" s="11" t="s">
        <v>30</v>
      </c>
      <c r="H36" s="13" t="s">
        <v>30</v>
      </c>
      <c r="I36" s="14" t="s">
        <v>320</v>
      </c>
      <c r="J36" s="15">
        <v>16322.0</v>
      </c>
    </row>
    <row r="37" ht="60.0" customHeight="1">
      <c r="A37" s="11">
        <v>34.0</v>
      </c>
      <c r="B37" s="12" t="s">
        <v>180</v>
      </c>
      <c r="C37" s="12" t="s">
        <v>181</v>
      </c>
      <c r="D37" s="12" t="s">
        <v>182</v>
      </c>
      <c r="E37" s="12" t="s">
        <v>183</v>
      </c>
      <c r="F37" s="11" t="str">
        <f t="shared" si="1"/>
        <v>CORRECT</v>
      </c>
      <c r="G37" s="11" t="s">
        <v>18</v>
      </c>
      <c r="H37" s="13" t="s">
        <v>18</v>
      </c>
      <c r="I37" s="14" t="s">
        <v>499</v>
      </c>
      <c r="J37" s="15">
        <v>17443.0</v>
      </c>
    </row>
    <row r="38" ht="60.0" customHeight="1">
      <c r="A38" s="11">
        <v>35.0</v>
      </c>
      <c r="B38" s="12" t="s">
        <v>185</v>
      </c>
      <c r="C38" s="12" t="s">
        <v>186</v>
      </c>
      <c r="D38" s="12" t="s">
        <v>187</v>
      </c>
      <c r="E38" s="12" t="s">
        <v>188</v>
      </c>
      <c r="F38" s="11" t="str">
        <f t="shared" si="1"/>
        <v>CORRECT</v>
      </c>
      <c r="G38" s="11" t="s">
        <v>30</v>
      </c>
      <c r="H38" s="15"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5" t="s">
        <v>18</v>
      </c>
      <c r="I41" s="14" t="s">
        <v>325</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214</v>
      </c>
      <c r="J43" s="15">
        <v>16210.0</v>
      </c>
    </row>
    <row r="44" ht="60.0" customHeight="1">
      <c r="A44" s="11">
        <v>41.0</v>
      </c>
      <c r="B44" s="12" t="s">
        <v>215</v>
      </c>
      <c r="C44" s="12" t="s">
        <v>216</v>
      </c>
      <c r="D44" s="12" t="s">
        <v>217</v>
      </c>
      <c r="E44" s="12" t="s">
        <v>218</v>
      </c>
      <c r="F44" s="11" t="str">
        <f t="shared" si="1"/>
        <v>CORRECT</v>
      </c>
      <c r="G44" s="11" t="s">
        <v>19</v>
      </c>
      <c r="H44" s="13" t="s">
        <v>19</v>
      </c>
      <c r="I44" s="14" t="s">
        <v>500</v>
      </c>
      <c r="J44" s="15">
        <v>15515.0</v>
      </c>
    </row>
    <row r="45" ht="60.0" customHeight="1">
      <c r="A45" s="11">
        <v>42.0</v>
      </c>
      <c r="B45" s="12" t="s">
        <v>220</v>
      </c>
      <c r="C45" s="12" t="s">
        <v>221</v>
      </c>
      <c r="D45" s="12" t="s">
        <v>222</v>
      </c>
      <c r="E45" s="12" t="s">
        <v>223</v>
      </c>
      <c r="F45" s="11" t="str">
        <f t="shared" si="1"/>
        <v>WRONG</v>
      </c>
      <c r="G45" s="11" t="s">
        <v>18</v>
      </c>
      <c r="H45" s="15"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3" t="s">
        <v>18</v>
      </c>
      <c r="I48" s="14" t="s">
        <v>501</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502</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495</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329</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5" t="s">
        <v>19</v>
      </c>
      <c r="I11" s="14" t="s">
        <v>300</v>
      </c>
      <c r="J11" s="15">
        <v>29850.0</v>
      </c>
    </row>
    <row r="12" ht="60.0" customHeight="1">
      <c r="A12" s="11">
        <v>9.0</v>
      </c>
      <c r="B12" s="12" t="s">
        <v>57</v>
      </c>
      <c r="C12" s="12" t="s">
        <v>58</v>
      </c>
      <c r="D12" s="12" t="s">
        <v>59</v>
      </c>
      <c r="E12" s="12" t="s">
        <v>60</v>
      </c>
      <c r="F12" s="11" t="str">
        <f t="shared" si="1"/>
        <v>WRONG</v>
      </c>
      <c r="G12" s="11" t="s">
        <v>19</v>
      </c>
      <c r="H12" s="15" t="s">
        <v>30</v>
      </c>
      <c r="I12" s="14" t="s">
        <v>503</v>
      </c>
      <c r="J12" s="15">
        <v>19566.0</v>
      </c>
    </row>
    <row r="13" ht="60.0" customHeight="1">
      <c r="A13" s="11">
        <v>10.0</v>
      </c>
      <c r="B13" s="12" t="s">
        <v>62</v>
      </c>
      <c r="C13" s="12" t="s">
        <v>63</v>
      </c>
      <c r="D13" s="12" t="s">
        <v>64</v>
      </c>
      <c r="E13" s="12" t="s">
        <v>65</v>
      </c>
      <c r="F13" s="11" t="str">
        <f t="shared" si="1"/>
        <v>WRONG</v>
      </c>
      <c r="G13" s="11" t="s">
        <v>30</v>
      </c>
      <c r="H13" s="15"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504</v>
      </c>
      <c r="J14" s="15">
        <v>20526.0</v>
      </c>
    </row>
    <row r="15" ht="60.0" customHeight="1">
      <c r="A15" s="11">
        <v>12.0</v>
      </c>
      <c r="B15" s="12" t="s">
        <v>72</v>
      </c>
      <c r="C15" s="12" t="s">
        <v>73</v>
      </c>
      <c r="D15" s="12" t="s">
        <v>74</v>
      </c>
      <c r="E15" s="12" t="s">
        <v>75</v>
      </c>
      <c r="F15" s="11" t="str">
        <f t="shared" si="1"/>
        <v>CORRECT</v>
      </c>
      <c r="G15" s="11" t="s">
        <v>30</v>
      </c>
      <c r="H15" s="15" t="s">
        <v>30</v>
      </c>
      <c r="I15" s="14" t="s">
        <v>497</v>
      </c>
      <c r="J15" s="15">
        <v>17612.0</v>
      </c>
    </row>
    <row r="16" ht="60.0" customHeight="1">
      <c r="A16" s="11">
        <v>13.0</v>
      </c>
      <c r="B16" s="12" t="s">
        <v>77</v>
      </c>
      <c r="C16" s="12" t="s">
        <v>78</v>
      </c>
      <c r="D16" s="12" t="s">
        <v>79</v>
      </c>
      <c r="E16" s="12" t="s">
        <v>80</v>
      </c>
      <c r="F16" s="11" t="str">
        <f t="shared" si="1"/>
        <v>CORRECT</v>
      </c>
      <c r="G16" s="11" t="s">
        <v>18</v>
      </c>
      <c r="H16" s="13" t="s">
        <v>18</v>
      </c>
      <c r="I16" s="14" t="s">
        <v>332</v>
      </c>
      <c r="J16" s="15">
        <v>17025.0</v>
      </c>
    </row>
    <row r="17" ht="60.0" customHeight="1">
      <c r="A17" s="11">
        <v>14.0</v>
      </c>
      <c r="B17" s="12" t="s">
        <v>82</v>
      </c>
      <c r="C17" s="12" t="s">
        <v>83</v>
      </c>
      <c r="D17" s="12" t="s">
        <v>84</v>
      </c>
      <c r="E17" s="12" t="s">
        <v>85</v>
      </c>
      <c r="F17" s="11" t="str">
        <f t="shared" si="1"/>
        <v>WRONG</v>
      </c>
      <c r="G17" s="11" t="s">
        <v>18</v>
      </c>
      <c r="H17" s="15" t="s">
        <v>30</v>
      </c>
      <c r="I17" s="14" t="s">
        <v>383</v>
      </c>
      <c r="J17" s="15">
        <v>12961.0</v>
      </c>
    </row>
    <row r="18" ht="60.0" customHeight="1">
      <c r="A18" s="11">
        <v>15.0</v>
      </c>
      <c r="B18" s="12" t="s">
        <v>87</v>
      </c>
      <c r="C18" s="12" t="s">
        <v>88</v>
      </c>
      <c r="D18" s="12" t="s">
        <v>89</v>
      </c>
      <c r="E18" s="12" t="s">
        <v>90</v>
      </c>
      <c r="F18" s="11" t="str">
        <f t="shared" si="1"/>
        <v>CORRECT</v>
      </c>
      <c r="G18" s="11" t="s">
        <v>30</v>
      </c>
      <c r="H18" s="13" t="s">
        <v>30</v>
      </c>
      <c r="I18" s="14" t="s">
        <v>505</v>
      </c>
      <c r="J18" s="15">
        <v>21882.0</v>
      </c>
    </row>
    <row r="19" ht="60.0" customHeight="1">
      <c r="A19" s="11">
        <v>16.0</v>
      </c>
      <c r="B19" s="12" t="s">
        <v>92</v>
      </c>
      <c r="C19" s="12" t="s">
        <v>93</v>
      </c>
      <c r="D19" s="12" t="s">
        <v>94</v>
      </c>
      <c r="E19" s="12" t="s">
        <v>95</v>
      </c>
      <c r="F19" s="11" t="str">
        <f t="shared" si="1"/>
        <v>CORRECT</v>
      </c>
      <c r="G19" s="11" t="s">
        <v>30</v>
      </c>
      <c r="H19" s="13" t="s">
        <v>30</v>
      </c>
      <c r="I19" s="14" t="s">
        <v>360</v>
      </c>
      <c r="J19" s="15">
        <v>14687.0</v>
      </c>
    </row>
    <row r="20" ht="60.0" customHeight="1">
      <c r="A20" s="11">
        <v>17.0</v>
      </c>
      <c r="B20" s="12" t="s">
        <v>97</v>
      </c>
      <c r="C20" s="12" t="s">
        <v>98</v>
      </c>
      <c r="D20" s="12" t="s">
        <v>99</v>
      </c>
      <c r="E20" s="12" t="s">
        <v>100</v>
      </c>
      <c r="F20" s="11" t="str">
        <f t="shared" si="1"/>
        <v>WRONG</v>
      </c>
      <c r="G20" s="11" t="s">
        <v>19</v>
      </c>
      <c r="H20" s="15" t="s">
        <v>18</v>
      </c>
      <c r="I20" s="14" t="s">
        <v>506</v>
      </c>
      <c r="J20" s="15">
        <v>16788.0</v>
      </c>
    </row>
    <row r="21" ht="60.0" customHeight="1">
      <c r="A21" s="11">
        <v>18.0</v>
      </c>
      <c r="B21" s="12" t="s">
        <v>102</v>
      </c>
      <c r="C21" s="12" t="s">
        <v>103</v>
      </c>
      <c r="D21" s="12" t="s">
        <v>104</v>
      </c>
      <c r="E21" s="12" t="s">
        <v>105</v>
      </c>
      <c r="F21" s="11" t="str">
        <f t="shared" si="1"/>
        <v>CORRECT</v>
      </c>
      <c r="G21" s="11" t="s">
        <v>19</v>
      </c>
      <c r="H21" s="13" t="s">
        <v>19</v>
      </c>
      <c r="I21" s="14" t="s">
        <v>507</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18</v>
      </c>
      <c r="I23" s="14" t="s">
        <v>508</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126</v>
      </c>
      <c r="J25" s="15">
        <v>18798.0</v>
      </c>
    </row>
    <row r="26" ht="60.0" customHeight="1">
      <c r="A26" s="11">
        <v>23.0</v>
      </c>
      <c r="B26" s="12" t="s">
        <v>127</v>
      </c>
      <c r="C26" s="12" t="s">
        <v>128</v>
      </c>
      <c r="D26" s="12" t="s">
        <v>129</v>
      </c>
      <c r="E26" s="12" t="s">
        <v>130</v>
      </c>
      <c r="F26" s="11" t="str">
        <f t="shared" si="1"/>
        <v>CORRECT</v>
      </c>
      <c r="G26" s="11" t="s">
        <v>30</v>
      </c>
      <c r="H26" s="13"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30</v>
      </c>
      <c r="I29" s="14" t="s">
        <v>509</v>
      </c>
      <c r="J29" s="15">
        <v>8395.0</v>
      </c>
    </row>
    <row r="30" ht="60.0" customHeight="1">
      <c r="A30" s="11">
        <v>27.0</v>
      </c>
      <c r="B30" s="12" t="s">
        <v>145</v>
      </c>
      <c r="C30" s="12" t="s">
        <v>146</v>
      </c>
      <c r="D30" s="12" t="s">
        <v>147</v>
      </c>
      <c r="E30" s="12" t="s">
        <v>148</v>
      </c>
      <c r="F30" s="11" t="str">
        <f t="shared" si="1"/>
        <v>CORRECT</v>
      </c>
      <c r="G30" s="11" t="s">
        <v>19</v>
      </c>
      <c r="H30" s="15" t="s">
        <v>19</v>
      </c>
      <c r="I30" s="14" t="s">
        <v>510</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3" t="s">
        <v>30</v>
      </c>
      <c r="I35" s="14" t="s">
        <v>384</v>
      </c>
      <c r="J35" s="15">
        <v>26031.0</v>
      </c>
    </row>
    <row r="36" ht="60.0" customHeight="1">
      <c r="A36" s="11">
        <v>33.0</v>
      </c>
      <c r="B36" s="12" t="s">
        <v>175</v>
      </c>
      <c r="C36" s="12" t="s">
        <v>176</v>
      </c>
      <c r="D36" s="12" t="s">
        <v>177</v>
      </c>
      <c r="E36" s="12" t="s">
        <v>178</v>
      </c>
      <c r="F36" s="11" t="str">
        <f t="shared" si="1"/>
        <v>CORRECT</v>
      </c>
      <c r="G36" s="11" t="s">
        <v>30</v>
      </c>
      <c r="H36" s="13" t="s">
        <v>30</v>
      </c>
      <c r="I36" s="14" t="s">
        <v>320</v>
      </c>
      <c r="J36" s="15">
        <v>16322.0</v>
      </c>
    </row>
    <row r="37" ht="60.0" customHeight="1">
      <c r="A37" s="11">
        <v>34.0</v>
      </c>
      <c r="B37" s="12" t="s">
        <v>180</v>
      </c>
      <c r="C37" s="12" t="s">
        <v>181</v>
      </c>
      <c r="D37" s="12" t="s">
        <v>182</v>
      </c>
      <c r="E37" s="12" t="s">
        <v>183</v>
      </c>
      <c r="F37" s="11" t="str">
        <f t="shared" si="1"/>
        <v>CORRECT</v>
      </c>
      <c r="G37" s="11" t="s">
        <v>18</v>
      </c>
      <c r="H37" s="13" t="s">
        <v>18</v>
      </c>
      <c r="I37" s="14" t="s">
        <v>499</v>
      </c>
      <c r="J37" s="15">
        <v>17443.0</v>
      </c>
    </row>
    <row r="38" ht="60.0" customHeight="1">
      <c r="A38" s="11">
        <v>35.0</v>
      </c>
      <c r="B38" s="12" t="s">
        <v>185</v>
      </c>
      <c r="C38" s="12" t="s">
        <v>186</v>
      </c>
      <c r="D38" s="12" t="s">
        <v>187</v>
      </c>
      <c r="E38" s="12" t="s">
        <v>188</v>
      </c>
      <c r="F38" s="11" t="str">
        <f t="shared" si="1"/>
        <v>CORRECT</v>
      </c>
      <c r="G38" s="11" t="s">
        <v>30</v>
      </c>
      <c r="H38" s="15"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5" t="s">
        <v>18</v>
      </c>
      <c r="I41" s="14" t="s">
        <v>325</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214</v>
      </c>
      <c r="J43" s="15">
        <v>16210.0</v>
      </c>
    </row>
    <row r="44" ht="60.0" customHeight="1">
      <c r="A44" s="11">
        <v>41.0</v>
      </c>
      <c r="B44" s="12" t="s">
        <v>215</v>
      </c>
      <c r="C44" s="12" t="s">
        <v>216</v>
      </c>
      <c r="D44" s="12" t="s">
        <v>217</v>
      </c>
      <c r="E44" s="12" t="s">
        <v>218</v>
      </c>
      <c r="F44" s="11" t="str">
        <f t="shared" si="1"/>
        <v>CORRECT</v>
      </c>
      <c r="G44" s="11" t="s">
        <v>19</v>
      </c>
      <c r="H44" s="13" t="s">
        <v>19</v>
      </c>
      <c r="I44" s="14" t="s">
        <v>500</v>
      </c>
      <c r="J44" s="15">
        <v>15515.0</v>
      </c>
    </row>
    <row r="45" ht="60.0" customHeight="1">
      <c r="A45" s="11">
        <v>42.0</v>
      </c>
      <c r="B45" s="12" t="s">
        <v>220</v>
      </c>
      <c r="C45" s="12" t="s">
        <v>221</v>
      </c>
      <c r="D45" s="12" t="s">
        <v>222</v>
      </c>
      <c r="E45" s="12" t="s">
        <v>223</v>
      </c>
      <c r="F45" s="11" t="str">
        <f t="shared" si="1"/>
        <v>WRONG</v>
      </c>
      <c r="G45" s="11" t="s">
        <v>18</v>
      </c>
      <c r="H45" s="15" t="s">
        <v>19</v>
      </c>
      <c r="I45" s="14" t="s">
        <v>224</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511</v>
      </c>
      <c r="J47" s="15">
        <v>15439.0</v>
      </c>
    </row>
    <row r="48" ht="60.0" customHeight="1">
      <c r="A48" s="11">
        <v>45.0</v>
      </c>
      <c r="B48" s="12" t="s">
        <v>235</v>
      </c>
      <c r="C48" s="12" t="s">
        <v>236</v>
      </c>
      <c r="D48" s="12" t="s">
        <v>237</v>
      </c>
      <c r="E48" s="12" t="s">
        <v>238</v>
      </c>
      <c r="F48" s="11" t="str">
        <f t="shared" si="1"/>
        <v>CORRECT</v>
      </c>
      <c r="G48" s="11" t="s">
        <v>18</v>
      </c>
      <c r="H48" s="13" t="s">
        <v>18</v>
      </c>
      <c r="I48" s="14" t="s">
        <v>501</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512</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513</v>
      </c>
      <c r="J5" s="15">
        <v>21567.0</v>
      </c>
    </row>
    <row r="6" ht="60.0" customHeight="1">
      <c r="A6" s="11">
        <v>3.0</v>
      </c>
      <c r="B6" s="12" t="s">
        <v>26</v>
      </c>
      <c r="C6" s="12" t="s">
        <v>27</v>
      </c>
      <c r="D6" s="12" t="s">
        <v>28</v>
      </c>
      <c r="E6" s="12" t="s">
        <v>29</v>
      </c>
      <c r="F6" s="11" t="str">
        <f t="shared" si="1"/>
        <v>CORRECT</v>
      </c>
      <c r="G6" s="11" t="s">
        <v>30</v>
      </c>
      <c r="H6" s="15" t="s">
        <v>30</v>
      </c>
      <c r="I6" s="14" t="s">
        <v>514</v>
      </c>
      <c r="J6" s="15">
        <v>18514.0</v>
      </c>
    </row>
    <row r="7" ht="60.0" customHeight="1">
      <c r="A7" s="11">
        <v>4.0</v>
      </c>
      <c r="B7" s="12" t="s">
        <v>32</v>
      </c>
      <c r="C7" s="12" t="s">
        <v>33</v>
      </c>
      <c r="D7" s="12" t="s">
        <v>34</v>
      </c>
      <c r="E7" s="12" t="s">
        <v>35</v>
      </c>
      <c r="F7" s="11" t="str">
        <f t="shared" si="1"/>
        <v>WRONG</v>
      </c>
      <c r="G7" s="11" t="s">
        <v>19</v>
      </c>
      <c r="H7" s="13" t="s">
        <v>30</v>
      </c>
      <c r="I7" s="14" t="s">
        <v>515</v>
      </c>
      <c r="J7" s="15">
        <v>14761.0</v>
      </c>
    </row>
    <row r="8" ht="60.0" customHeight="1">
      <c r="A8" s="11">
        <v>5.0</v>
      </c>
      <c r="B8" s="12" t="s">
        <v>37</v>
      </c>
      <c r="C8" s="12" t="s">
        <v>38</v>
      </c>
      <c r="D8" s="12" t="s">
        <v>39</v>
      </c>
      <c r="E8" s="12" t="s">
        <v>40</v>
      </c>
      <c r="F8" s="11" t="str">
        <f t="shared" si="1"/>
        <v>CORRECT</v>
      </c>
      <c r="G8" s="11" t="s">
        <v>30</v>
      </c>
      <c r="H8" s="13" t="s">
        <v>30</v>
      </c>
      <c r="I8" s="14" t="s">
        <v>516</v>
      </c>
      <c r="J8" s="15">
        <v>24631.0</v>
      </c>
    </row>
    <row r="9" ht="60.0" customHeight="1">
      <c r="A9" s="11">
        <v>6.0</v>
      </c>
      <c r="B9" s="12" t="s">
        <v>42</v>
      </c>
      <c r="C9" s="12" t="s">
        <v>43</v>
      </c>
      <c r="D9" s="12" t="s">
        <v>44</v>
      </c>
      <c r="E9" s="12" t="s">
        <v>45</v>
      </c>
      <c r="F9" s="11" t="str">
        <f t="shared" si="1"/>
        <v>CORRECT</v>
      </c>
      <c r="G9" s="11" t="s">
        <v>19</v>
      </c>
      <c r="H9" s="13" t="s">
        <v>19</v>
      </c>
      <c r="I9" s="14" t="s">
        <v>517</v>
      </c>
      <c r="J9" s="15">
        <v>18622.0</v>
      </c>
    </row>
    <row r="10" ht="60.0" customHeight="1">
      <c r="A10" s="11">
        <v>7.0</v>
      </c>
      <c r="B10" s="12" t="s">
        <v>47</v>
      </c>
      <c r="C10" s="12" t="s">
        <v>48</v>
      </c>
      <c r="D10" s="12" t="s">
        <v>49</v>
      </c>
      <c r="E10" s="12" t="s">
        <v>50</v>
      </c>
      <c r="F10" s="11" t="str">
        <f t="shared" si="1"/>
        <v>CORRECT</v>
      </c>
      <c r="G10" s="11" t="s">
        <v>19</v>
      </c>
      <c r="H10" s="15" t="s">
        <v>19</v>
      </c>
      <c r="I10" s="14" t="s">
        <v>518</v>
      </c>
      <c r="J10" s="15">
        <v>15579.0</v>
      </c>
    </row>
    <row r="11" ht="60.0" customHeight="1">
      <c r="A11" s="11">
        <v>8.0</v>
      </c>
      <c r="B11" s="12" t="s">
        <v>52</v>
      </c>
      <c r="C11" s="12" t="s">
        <v>53</v>
      </c>
      <c r="D11" s="12" t="s">
        <v>54</v>
      </c>
      <c r="E11" s="12" t="s">
        <v>55</v>
      </c>
      <c r="F11" s="11" t="str">
        <f t="shared" si="1"/>
        <v>WRONG</v>
      </c>
      <c r="G11" s="11" t="s">
        <v>30</v>
      </c>
      <c r="H11" s="15" t="s">
        <v>19</v>
      </c>
      <c r="I11" s="14" t="s">
        <v>519</v>
      </c>
      <c r="J11" s="15">
        <v>29850.0</v>
      </c>
    </row>
    <row r="12" ht="60.0" customHeight="1">
      <c r="A12" s="11">
        <v>9.0</v>
      </c>
      <c r="B12" s="12" t="s">
        <v>57</v>
      </c>
      <c r="C12" s="12" t="s">
        <v>58</v>
      </c>
      <c r="D12" s="12" t="s">
        <v>59</v>
      </c>
      <c r="E12" s="12" t="s">
        <v>60</v>
      </c>
      <c r="F12" s="11" t="str">
        <f t="shared" si="1"/>
        <v>WRONG</v>
      </c>
      <c r="G12" s="11" t="s">
        <v>19</v>
      </c>
      <c r="H12" s="15" t="s">
        <v>30</v>
      </c>
      <c r="I12" s="14" t="s">
        <v>520</v>
      </c>
      <c r="J12" s="15">
        <v>19566.0</v>
      </c>
    </row>
    <row r="13" ht="60.0" customHeight="1">
      <c r="A13" s="11">
        <v>10.0</v>
      </c>
      <c r="B13" s="12" t="s">
        <v>62</v>
      </c>
      <c r="C13" s="12" t="s">
        <v>63</v>
      </c>
      <c r="D13" s="12" t="s">
        <v>64</v>
      </c>
      <c r="E13" s="12" t="s">
        <v>65</v>
      </c>
      <c r="F13" s="11" t="str">
        <f t="shared" si="1"/>
        <v>WRONG</v>
      </c>
      <c r="G13" s="11" t="s">
        <v>30</v>
      </c>
      <c r="H13" s="15" t="s">
        <v>19</v>
      </c>
      <c r="I13" s="14" t="s">
        <v>521</v>
      </c>
      <c r="J13" s="15">
        <v>18762.0</v>
      </c>
    </row>
    <row r="14" ht="60.0" customHeight="1">
      <c r="A14" s="11">
        <v>11.0</v>
      </c>
      <c r="B14" s="12" t="s">
        <v>67</v>
      </c>
      <c r="C14" s="12" t="s">
        <v>68</v>
      </c>
      <c r="D14" s="12" t="s">
        <v>69</v>
      </c>
      <c r="E14" s="12" t="s">
        <v>70</v>
      </c>
      <c r="F14" s="11" t="str">
        <f t="shared" si="1"/>
        <v>WRONG</v>
      </c>
      <c r="G14" s="11" t="s">
        <v>19</v>
      </c>
      <c r="H14" s="15" t="s">
        <v>30</v>
      </c>
      <c r="I14" s="14" t="s">
        <v>522</v>
      </c>
      <c r="J14" s="15">
        <v>20526.0</v>
      </c>
    </row>
    <row r="15" ht="60.0" customHeight="1">
      <c r="A15" s="11">
        <v>12.0</v>
      </c>
      <c r="B15" s="12" t="s">
        <v>72</v>
      </c>
      <c r="C15" s="12" t="s">
        <v>73</v>
      </c>
      <c r="D15" s="12" t="s">
        <v>74</v>
      </c>
      <c r="E15" s="12" t="s">
        <v>75</v>
      </c>
      <c r="F15" s="11" t="str">
        <f t="shared" si="1"/>
        <v>CORRECT</v>
      </c>
      <c r="G15" s="11" t="s">
        <v>30</v>
      </c>
      <c r="H15" s="15" t="s">
        <v>30</v>
      </c>
      <c r="I15" s="14" t="s">
        <v>523</v>
      </c>
      <c r="J15" s="15">
        <v>17612.0</v>
      </c>
    </row>
    <row r="16" ht="60.0" customHeight="1">
      <c r="A16" s="11">
        <v>13.0</v>
      </c>
      <c r="B16" s="12" t="s">
        <v>77</v>
      </c>
      <c r="C16" s="12" t="s">
        <v>78</v>
      </c>
      <c r="D16" s="12" t="s">
        <v>79</v>
      </c>
      <c r="E16" s="12" t="s">
        <v>80</v>
      </c>
      <c r="F16" s="11" t="str">
        <f t="shared" si="1"/>
        <v>CORRECT</v>
      </c>
      <c r="G16" s="11" t="s">
        <v>18</v>
      </c>
      <c r="H16" s="13" t="s">
        <v>18</v>
      </c>
      <c r="I16" s="14" t="s">
        <v>524</v>
      </c>
      <c r="J16" s="15">
        <v>17025.0</v>
      </c>
    </row>
    <row r="17" ht="60.0" customHeight="1">
      <c r="A17" s="11">
        <v>14.0</v>
      </c>
      <c r="B17" s="12" t="s">
        <v>82</v>
      </c>
      <c r="C17" s="12" t="s">
        <v>83</v>
      </c>
      <c r="D17" s="12" t="s">
        <v>84</v>
      </c>
      <c r="E17" s="12" t="s">
        <v>85</v>
      </c>
      <c r="F17" s="11" t="str">
        <f t="shared" si="1"/>
        <v>WRONG</v>
      </c>
      <c r="G17" s="11" t="s">
        <v>18</v>
      </c>
      <c r="H17" s="15" t="s">
        <v>30</v>
      </c>
      <c r="I17" s="14" t="s">
        <v>525</v>
      </c>
      <c r="J17" s="15">
        <v>12961.0</v>
      </c>
    </row>
    <row r="18" ht="60.0" customHeight="1">
      <c r="A18" s="11">
        <v>15.0</v>
      </c>
      <c r="B18" s="12" t="s">
        <v>87</v>
      </c>
      <c r="C18" s="12" t="s">
        <v>88</v>
      </c>
      <c r="D18" s="12" t="s">
        <v>89</v>
      </c>
      <c r="E18" s="12" t="s">
        <v>90</v>
      </c>
      <c r="F18" s="11" t="str">
        <f t="shared" si="1"/>
        <v>CORRECT</v>
      </c>
      <c r="G18" s="11" t="s">
        <v>30</v>
      </c>
      <c r="H18" s="13" t="s">
        <v>30</v>
      </c>
      <c r="I18" s="14" t="s">
        <v>526</v>
      </c>
      <c r="J18" s="15">
        <v>21882.0</v>
      </c>
    </row>
    <row r="19" ht="60.0" customHeight="1">
      <c r="A19" s="11">
        <v>16.0</v>
      </c>
      <c r="B19" s="12" t="s">
        <v>92</v>
      </c>
      <c r="C19" s="12" t="s">
        <v>93</v>
      </c>
      <c r="D19" s="12" t="s">
        <v>94</v>
      </c>
      <c r="E19" s="12" t="s">
        <v>95</v>
      </c>
      <c r="F19" s="11" t="str">
        <f t="shared" si="1"/>
        <v>CORRECT</v>
      </c>
      <c r="G19" s="11" t="s">
        <v>30</v>
      </c>
      <c r="H19" s="13" t="s">
        <v>30</v>
      </c>
      <c r="I19" s="14" t="s">
        <v>527</v>
      </c>
      <c r="J19" s="15">
        <v>14687.0</v>
      </c>
    </row>
    <row r="20" ht="60.0" customHeight="1">
      <c r="A20" s="11">
        <v>17.0</v>
      </c>
      <c r="B20" s="12" t="s">
        <v>97</v>
      </c>
      <c r="C20" s="12" t="s">
        <v>98</v>
      </c>
      <c r="D20" s="12" t="s">
        <v>99</v>
      </c>
      <c r="E20" s="12" t="s">
        <v>100</v>
      </c>
      <c r="F20" s="11" t="str">
        <f t="shared" si="1"/>
        <v>WRONG</v>
      </c>
      <c r="G20" s="11" t="s">
        <v>19</v>
      </c>
      <c r="H20" s="15" t="s">
        <v>18</v>
      </c>
      <c r="I20" s="14" t="s">
        <v>528</v>
      </c>
      <c r="J20" s="15">
        <v>16788.0</v>
      </c>
    </row>
    <row r="21" ht="60.0" customHeight="1">
      <c r="A21" s="11">
        <v>18.0</v>
      </c>
      <c r="B21" s="12" t="s">
        <v>102</v>
      </c>
      <c r="C21" s="12" t="s">
        <v>103</v>
      </c>
      <c r="D21" s="12" t="s">
        <v>104</v>
      </c>
      <c r="E21" s="12" t="s">
        <v>105</v>
      </c>
      <c r="F21" s="11" t="str">
        <f t="shared" si="1"/>
        <v>CORRECT</v>
      </c>
      <c r="G21" s="11" t="s">
        <v>19</v>
      </c>
      <c r="H21" s="13" t="s">
        <v>19</v>
      </c>
      <c r="I21" s="14" t="s">
        <v>529</v>
      </c>
      <c r="J21" s="15">
        <v>11885.0</v>
      </c>
    </row>
    <row r="22" ht="60.0" customHeight="1">
      <c r="A22" s="11">
        <v>19.0</v>
      </c>
      <c r="B22" s="12" t="s">
        <v>107</v>
      </c>
      <c r="C22" s="12" t="s">
        <v>108</v>
      </c>
      <c r="D22" s="12" t="s">
        <v>109</v>
      </c>
      <c r="E22" s="12" t="s">
        <v>110</v>
      </c>
      <c r="F22" s="11" t="str">
        <f t="shared" si="1"/>
        <v>CORRECT</v>
      </c>
      <c r="G22" s="11" t="s">
        <v>18</v>
      </c>
      <c r="H22" s="13" t="s">
        <v>18</v>
      </c>
      <c r="I22" s="14" t="s">
        <v>530</v>
      </c>
      <c r="J22" s="15">
        <v>18932.0</v>
      </c>
    </row>
    <row r="23" ht="60.0" customHeight="1">
      <c r="A23" s="11">
        <v>20.0</v>
      </c>
      <c r="B23" s="12" t="s">
        <v>112</v>
      </c>
      <c r="C23" s="12" t="s">
        <v>113</v>
      </c>
      <c r="D23" s="12" t="s">
        <v>114</v>
      </c>
      <c r="E23" s="12" t="s">
        <v>115</v>
      </c>
      <c r="F23" s="11" t="str">
        <f t="shared" si="1"/>
        <v>WRONG</v>
      </c>
      <c r="G23" s="11" t="s">
        <v>19</v>
      </c>
      <c r="H23" s="13" t="s">
        <v>18</v>
      </c>
      <c r="I23" s="14" t="s">
        <v>531</v>
      </c>
      <c r="J23" s="15">
        <v>18497.0</v>
      </c>
    </row>
    <row r="24" ht="60.0" customHeight="1">
      <c r="A24" s="11">
        <v>21.0</v>
      </c>
      <c r="B24" s="12" t="s">
        <v>117</v>
      </c>
      <c r="C24" s="12" t="s">
        <v>118</v>
      </c>
      <c r="D24" s="12" t="s">
        <v>119</v>
      </c>
      <c r="E24" s="12" t="s">
        <v>120</v>
      </c>
      <c r="F24" s="11" t="str">
        <f t="shared" si="1"/>
        <v>WRONG</v>
      </c>
      <c r="G24" s="11" t="s">
        <v>19</v>
      </c>
      <c r="H24" s="13" t="s">
        <v>18</v>
      </c>
      <c r="I24" s="14" t="s">
        <v>532</v>
      </c>
      <c r="J24" s="15">
        <v>22086.0</v>
      </c>
    </row>
    <row r="25" ht="60.0" customHeight="1">
      <c r="A25" s="11">
        <v>22.0</v>
      </c>
      <c r="B25" s="12" t="s">
        <v>122</v>
      </c>
      <c r="C25" s="12" t="s">
        <v>123</v>
      </c>
      <c r="D25" s="12" t="s">
        <v>124</v>
      </c>
      <c r="E25" s="12" t="s">
        <v>125</v>
      </c>
      <c r="F25" s="11" t="str">
        <f t="shared" si="1"/>
        <v>CORRECT</v>
      </c>
      <c r="G25" s="11" t="s">
        <v>19</v>
      </c>
      <c r="H25" s="13" t="s">
        <v>19</v>
      </c>
      <c r="I25" s="14" t="s">
        <v>533</v>
      </c>
      <c r="J25" s="15">
        <v>18798.0</v>
      </c>
    </row>
    <row r="26" ht="60.0" customHeight="1">
      <c r="A26" s="11">
        <v>23.0</v>
      </c>
      <c r="B26" s="12" t="s">
        <v>127</v>
      </c>
      <c r="C26" s="12" t="s">
        <v>128</v>
      </c>
      <c r="D26" s="12" t="s">
        <v>129</v>
      </c>
      <c r="E26" s="12" t="s">
        <v>130</v>
      </c>
      <c r="F26" s="11" t="str">
        <f t="shared" si="1"/>
        <v>CORRECT</v>
      </c>
      <c r="G26" s="11" t="s">
        <v>30</v>
      </c>
      <c r="H26" s="13" t="s">
        <v>30</v>
      </c>
      <c r="I26" s="14" t="s">
        <v>534</v>
      </c>
      <c r="J26" s="15">
        <v>16311.0</v>
      </c>
    </row>
    <row r="27" ht="60.0" customHeight="1">
      <c r="A27" s="11">
        <v>24.0</v>
      </c>
      <c r="B27" s="12" t="s">
        <v>132</v>
      </c>
      <c r="C27" s="12" t="s">
        <v>133</v>
      </c>
      <c r="D27" s="12" t="s">
        <v>134</v>
      </c>
      <c r="E27" s="12" t="s">
        <v>135</v>
      </c>
      <c r="F27" s="11" t="str">
        <f t="shared" si="1"/>
        <v>WRONG</v>
      </c>
      <c r="G27" s="11" t="s">
        <v>18</v>
      </c>
      <c r="H27" s="13" t="s">
        <v>30</v>
      </c>
      <c r="I27" s="14" t="s">
        <v>535</v>
      </c>
      <c r="J27" s="15">
        <v>13894.0</v>
      </c>
    </row>
    <row r="28" ht="60.0" customHeight="1">
      <c r="A28" s="11">
        <v>25.0</v>
      </c>
      <c r="B28" s="12" t="s">
        <v>137</v>
      </c>
      <c r="C28" s="12" t="s">
        <v>133</v>
      </c>
      <c r="D28" s="12" t="s">
        <v>138</v>
      </c>
      <c r="E28" s="12" t="s">
        <v>135</v>
      </c>
      <c r="F28" s="11" t="str">
        <f t="shared" si="1"/>
        <v>WRONG</v>
      </c>
      <c r="G28" s="11" t="s">
        <v>30</v>
      </c>
      <c r="H28" s="13" t="s">
        <v>18</v>
      </c>
      <c r="I28" s="14" t="s">
        <v>536</v>
      </c>
      <c r="J28" s="15">
        <v>12653.0</v>
      </c>
    </row>
    <row r="29" ht="60.0" customHeight="1">
      <c r="A29" s="11">
        <v>26.0</v>
      </c>
      <c r="B29" s="12" t="s">
        <v>140</v>
      </c>
      <c r="C29" s="12" t="s">
        <v>141</v>
      </c>
      <c r="D29" s="12" t="s">
        <v>142</v>
      </c>
      <c r="E29" s="12" t="s">
        <v>143</v>
      </c>
      <c r="F29" s="11" t="str">
        <f t="shared" si="1"/>
        <v>WRONG</v>
      </c>
      <c r="G29" s="11" t="s">
        <v>18</v>
      </c>
      <c r="H29" s="13" t="s">
        <v>30</v>
      </c>
      <c r="I29" s="14" t="s">
        <v>537</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538</v>
      </c>
      <c r="J31" s="15">
        <v>19058.0</v>
      </c>
    </row>
    <row r="32" ht="60.0" customHeight="1">
      <c r="A32" s="11">
        <v>29.0</v>
      </c>
      <c r="B32" s="12" t="s">
        <v>155</v>
      </c>
      <c r="C32" s="12" t="s">
        <v>156</v>
      </c>
      <c r="D32" s="12" t="s">
        <v>157</v>
      </c>
      <c r="E32" s="12" t="s">
        <v>158</v>
      </c>
      <c r="F32" s="11" t="str">
        <f t="shared" si="1"/>
        <v>CORRECT</v>
      </c>
      <c r="G32" s="11" t="s">
        <v>19</v>
      </c>
      <c r="H32" s="13" t="s">
        <v>19</v>
      </c>
      <c r="I32" s="14" t="s">
        <v>539</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540</v>
      </c>
      <c r="J34" s="15">
        <v>20146.0</v>
      </c>
    </row>
    <row r="35" ht="60.0" customHeight="1">
      <c r="A35" s="11">
        <v>32.0</v>
      </c>
      <c r="B35" s="12" t="s">
        <v>170</v>
      </c>
      <c r="C35" s="12" t="s">
        <v>171</v>
      </c>
      <c r="D35" s="12" t="s">
        <v>172</v>
      </c>
      <c r="E35" s="12" t="s">
        <v>173</v>
      </c>
      <c r="F35" s="11" t="str">
        <f t="shared" si="1"/>
        <v>WRONG</v>
      </c>
      <c r="G35" s="11" t="s">
        <v>18</v>
      </c>
      <c r="H35" s="13" t="s">
        <v>30</v>
      </c>
      <c r="I35" s="14" t="s">
        <v>541</v>
      </c>
      <c r="J35" s="15">
        <v>26031.0</v>
      </c>
    </row>
    <row r="36" ht="60.0" customHeight="1">
      <c r="A36" s="11">
        <v>33.0</v>
      </c>
      <c r="B36" s="12" t="s">
        <v>175</v>
      </c>
      <c r="C36" s="12" t="s">
        <v>176</v>
      </c>
      <c r="D36" s="12" t="s">
        <v>177</v>
      </c>
      <c r="E36" s="12" t="s">
        <v>178</v>
      </c>
      <c r="F36" s="11" t="str">
        <f t="shared" si="1"/>
        <v>CORRECT</v>
      </c>
      <c r="G36" s="11" t="s">
        <v>30</v>
      </c>
      <c r="H36" s="13" t="s">
        <v>30</v>
      </c>
      <c r="I36" s="14" t="s">
        <v>542</v>
      </c>
      <c r="J36" s="15">
        <v>16322.0</v>
      </c>
    </row>
    <row r="37" ht="60.0" customHeight="1">
      <c r="A37" s="11">
        <v>34.0</v>
      </c>
      <c r="B37" s="12" t="s">
        <v>180</v>
      </c>
      <c r="C37" s="12" t="s">
        <v>181</v>
      </c>
      <c r="D37" s="12" t="s">
        <v>182</v>
      </c>
      <c r="E37" s="12" t="s">
        <v>183</v>
      </c>
      <c r="F37" s="11" t="str">
        <f t="shared" si="1"/>
        <v>CORRECT</v>
      </c>
      <c r="G37" s="11" t="s">
        <v>18</v>
      </c>
      <c r="H37" s="13" t="s">
        <v>18</v>
      </c>
      <c r="I37" s="14" t="s">
        <v>543</v>
      </c>
      <c r="J37" s="15">
        <v>17443.0</v>
      </c>
    </row>
    <row r="38" ht="60.0" customHeight="1">
      <c r="A38" s="11">
        <v>35.0</v>
      </c>
      <c r="B38" s="12" t="s">
        <v>185</v>
      </c>
      <c r="C38" s="12" t="s">
        <v>186</v>
      </c>
      <c r="D38" s="12" t="s">
        <v>187</v>
      </c>
      <c r="E38" s="12" t="s">
        <v>188</v>
      </c>
      <c r="F38" s="11" t="str">
        <f t="shared" si="1"/>
        <v>CORRECT</v>
      </c>
      <c r="G38" s="11" t="s">
        <v>30</v>
      </c>
      <c r="H38" s="15" t="s">
        <v>30</v>
      </c>
      <c r="I38" s="14" t="s">
        <v>544</v>
      </c>
      <c r="J38" s="15">
        <v>18843.0</v>
      </c>
    </row>
    <row r="39" ht="60.0" customHeight="1">
      <c r="A39" s="11">
        <v>36.0</v>
      </c>
      <c r="B39" s="12" t="s">
        <v>190</v>
      </c>
      <c r="C39" s="12" t="s">
        <v>191</v>
      </c>
      <c r="D39" s="12" t="s">
        <v>192</v>
      </c>
      <c r="E39" s="12" t="s">
        <v>193</v>
      </c>
      <c r="F39" s="11" t="str">
        <f t="shared" si="1"/>
        <v>CORRECT</v>
      </c>
      <c r="G39" s="11" t="s">
        <v>18</v>
      </c>
      <c r="H39" s="13" t="s">
        <v>18</v>
      </c>
      <c r="I39" s="14" t="s">
        <v>545</v>
      </c>
      <c r="J39" s="15">
        <v>17928.0</v>
      </c>
    </row>
    <row r="40" ht="60.0" customHeight="1">
      <c r="A40" s="11">
        <v>37.0</v>
      </c>
      <c r="B40" s="12" t="s">
        <v>195</v>
      </c>
      <c r="C40" s="12" t="s">
        <v>196</v>
      </c>
      <c r="D40" s="12" t="s">
        <v>197</v>
      </c>
      <c r="E40" s="12" t="s">
        <v>198</v>
      </c>
      <c r="F40" s="11" t="str">
        <f t="shared" si="1"/>
        <v>WRONG</v>
      </c>
      <c r="G40" s="11" t="s">
        <v>18</v>
      </c>
      <c r="H40" s="15" t="s">
        <v>19</v>
      </c>
      <c r="I40" s="14" t="s">
        <v>546</v>
      </c>
      <c r="J40" s="15">
        <v>15317.0</v>
      </c>
    </row>
    <row r="41" ht="60.0" customHeight="1">
      <c r="A41" s="11">
        <v>38.0</v>
      </c>
      <c r="B41" s="12" t="s">
        <v>200</v>
      </c>
      <c r="C41" s="12" t="s">
        <v>201</v>
      </c>
      <c r="D41" s="12" t="s">
        <v>202</v>
      </c>
      <c r="E41" s="12" t="s">
        <v>203</v>
      </c>
      <c r="F41" s="11" t="str">
        <f t="shared" si="1"/>
        <v>CORRECT</v>
      </c>
      <c r="G41" s="11" t="s">
        <v>18</v>
      </c>
      <c r="H41" s="15" t="s">
        <v>18</v>
      </c>
      <c r="I41" s="14" t="s">
        <v>547</v>
      </c>
      <c r="J41" s="15">
        <v>17554.0</v>
      </c>
    </row>
    <row r="42" ht="60.0" customHeight="1">
      <c r="A42" s="11">
        <v>39.0</v>
      </c>
      <c r="B42" s="12" t="s">
        <v>205</v>
      </c>
      <c r="C42" s="12" t="s">
        <v>206</v>
      </c>
      <c r="D42" s="12" t="s">
        <v>207</v>
      </c>
      <c r="E42" s="12" t="s">
        <v>208</v>
      </c>
      <c r="F42" s="11" t="str">
        <f t="shared" si="1"/>
        <v>WRONG</v>
      </c>
      <c r="G42" s="11" t="s">
        <v>19</v>
      </c>
      <c r="H42" s="13" t="s">
        <v>18</v>
      </c>
      <c r="I42" s="14" t="s">
        <v>548</v>
      </c>
      <c r="J42" s="15">
        <v>21061.0</v>
      </c>
    </row>
    <row r="43" ht="60.0" customHeight="1">
      <c r="A43" s="11">
        <v>40.0</v>
      </c>
      <c r="B43" s="12" t="s">
        <v>210</v>
      </c>
      <c r="C43" s="12" t="s">
        <v>211</v>
      </c>
      <c r="D43" s="12" t="s">
        <v>212</v>
      </c>
      <c r="E43" s="12" t="s">
        <v>213</v>
      </c>
      <c r="F43" s="11" t="str">
        <f t="shared" si="1"/>
        <v>CORRECT</v>
      </c>
      <c r="G43" s="11" t="s">
        <v>30</v>
      </c>
      <c r="H43" s="13" t="s">
        <v>30</v>
      </c>
      <c r="I43" s="14" t="s">
        <v>549</v>
      </c>
      <c r="J43" s="15">
        <v>16210.0</v>
      </c>
    </row>
    <row r="44" ht="60.0" customHeight="1">
      <c r="A44" s="11">
        <v>41.0</v>
      </c>
      <c r="B44" s="12" t="s">
        <v>215</v>
      </c>
      <c r="C44" s="12" t="s">
        <v>216</v>
      </c>
      <c r="D44" s="12" t="s">
        <v>217</v>
      </c>
      <c r="E44" s="12" t="s">
        <v>218</v>
      </c>
      <c r="F44" s="11" t="str">
        <f t="shared" si="1"/>
        <v>CORRECT</v>
      </c>
      <c r="G44" s="11" t="s">
        <v>19</v>
      </c>
      <c r="H44" s="13" t="s">
        <v>19</v>
      </c>
      <c r="I44" s="14" t="s">
        <v>500</v>
      </c>
      <c r="J44" s="15">
        <v>15515.0</v>
      </c>
    </row>
    <row r="45" ht="60.0" customHeight="1">
      <c r="A45" s="11">
        <v>42.0</v>
      </c>
      <c r="B45" s="12" t="s">
        <v>220</v>
      </c>
      <c r="C45" s="12" t="s">
        <v>221</v>
      </c>
      <c r="D45" s="12" t="s">
        <v>222</v>
      </c>
      <c r="E45" s="12" t="s">
        <v>223</v>
      </c>
      <c r="F45" s="11" t="str">
        <f t="shared" si="1"/>
        <v>WRONG</v>
      </c>
      <c r="G45" s="11" t="s">
        <v>18</v>
      </c>
      <c r="H45" s="15" t="s">
        <v>19</v>
      </c>
      <c r="I45" s="14" t="s">
        <v>550</v>
      </c>
      <c r="J45" s="15">
        <v>17280.0</v>
      </c>
    </row>
    <row r="46" ht="60.0" customHeight="1">
      <c r="A46" s="11">
        <v>43.0</v>
      </c>
      <c r="B46" s="12" t="s">
        <v>225</v>
      </c>
      <c r="C46" s="12" t="s">
        <v>226</v>
      </c>
      <c r="D46" s="12" t="s">
        <v>227</v>
      </c>
      <c r="E46" s="12" t="s">
        <v>228</v>
      </c>
      <c r="F46" s="11" t="str">
        <f t="shared" si="1"/>
        <v>WRONG</v>
      </c>
      <c r="G46" s="11" t="s">
        <v>30</v>
      </c>
      <c r="H46" s="13" t="s">
        <v>18</v>
      </c>
      <c r="I46" s="14" t="s">
        <v>551</v>
      </c>
      <c r="J46" s="15">
        <v>22361.0</v>
      </c>
    </row>
    <row r="47" ht="60.0" customHeight="1">
      <c r="A47" s="11">
        <v>44.0</v>
      </c>
      <c r="B47" s="12" t="s">
        <v>230</v>
      </c>
      <c r="C47" s="12" t="s">
        <v>231</v>
      </c>
      <c r="D47" s="12" t="s">
        <v>232</v>
      </c>
      <c r="E47" s="12" t="s">
        <v>233</v>
      </c>
      <c r="F47" s="11" t="str">
        <f t="shared" si="1"/>
        <v>WRONG</v>
      </c>
      <c r="G47" s="11" t="s">
        <v>18</v>
      </c>
      <c r="H47" s="13" t="s">
        <v>30</v>
      </c>
      <c r="I47" s="14" t="s">
        <v>552</v>
      </c>
      <c r="J47" s="15">
        <v>15439.0</v>
      </c>
    </row>
    <row r="48" ht="60.0" customHeight="1">
      <c r="A48" s="11">
        <v>45.0</v>
      </c>
      <c r="B48" s="12" t="s">
        <v>235</v>
      </c>
      <c r="C48" s="12" t="s">
        <v>236</v>
      </c>
      <c r="D48" s="12" t="s">
        <v>237</v>
      </c>
      <c r="E48" s="12" t="s">
        <v>238</v>
      </c>
      <c r="F48" s="11" t="str">
        <f t="shared" si="1"/>
        <v>CORRECT</v>
      </c>
      <c r="G48" s="11" t="s">
        <v>18</v>
      </c>
      <c r="H48" s="13" t="s">
        <v>18</v>
      </c>
      <c r="I48" s="14" t="s">
        <v>553</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554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555</v>
      </c>
      <c r="J4" s="15">
        <v>17967.0</v>
      </c>
    </row>
    <row r="5" ht="60.0" customHeight="1">
      <c r="A5" s="11">
        <v>2.0</v>
      </c>
      <c r="B5" s="12" t="s">
        <v>21</v>
      </c>
      <c r="C5" s="12" t="s">
        <v>22</v>
      </c>
      <c r="D5" s="12" t="s">
        <v>23</v>
      </c>
      <c r="E5" s="12" t="s">
        <v>24</v>
      </c>
      <c r="F5" s="11" t="str">
        <f t="shared" si="1"/>
        <v>CORRECT</v>
      </c>
      <c r="G5" s="11" t="s">
        <v>19</v>
      </c>
      <c r="H5" s="13" t="s">
        <v>19</v>
      </c>
      <c r="I5" s="14" t="s">
        <v>556</v>
      </c>
      <c r="J5" s="15">
        <v>21567.0</v>
      </c>
    </row>
    <row r="6" ht="60.0" customHeight="1">
      <c r="A6" s="11">
        <v>3.0</v>
      </c>
      <c r="B6" s="12" t="s">
        <v>26</v>
      </c>
      <c r="C6" s="12" t="s">
        <v>27</v>
      </c>
      <c r="D6" s="12" t="s">
        <v>28</v>
      </c>
      <c r="E6" s="12" t="s">
        <v>29</v>
      </c>
      <c r="F6" s="11" t="str">
        <f t="shared" si="1"/>
        <v>CORRECT</v>
      </c>
      <c r="G6" s="11" t="s">
        <v>30</v>
      </c>
      <c r="H6" s="15" t="s">
        <v>30</v>
      </c>
      <c r="I6" s="14" t="s">
        <v>557</v>
      </c>
      <c r="J6" s="15">
        <v>18514.0</v>
      </c>
    </row>
    <row r="7" ht="60.0" customHeight="1">
      <c r="A7" s="11">
        <v>4.0</v>
      </c>
      <c r="B7" s="12" t="s">
        <v>32</v>
      </c>
      <c r="C7" s="12" t="s">
        <v>33</v>
      </c>
      <c r="D7" s="12" t="s">
        <v>34</v>
      </c>
      <c r="E7" s="12" t="s">
        <v>35</v>
      </c>
      <c r="F7" s="11" t="str">
        <f t="shared" si="1"/>
        <v>WRONG</v>
      </c>
      <c r="G7" s="11" t="s">
        <v>19</v>
      </c>
      <c r="H7" s="13" t="s">
        <v>30</v>
      </c>
      <c r="I7" s="14" t="s">
        <v>558</v>
      </c>
      <c r="J7" s="15">
        <v>14761.0</v>
      </c>
    </row>
    <row r="8" ht="60.0" customHeight="1">
      <c r="A8" s="11">
        <v>5.0</v>
      </c>
      <c r="B8" s="12" t="s">
        <v>37</v>
      </c>
      <c r="C8" s="12" t="s">
        <v>38</v>
      </c>
      <c r="D8" s="12" t="s">
        <v>39</v>
      </c>
      <c r="E8" s="12" t="s">
        <v>40</v>
      </c>
      <c r="F8" s="11" t="str">
        <f t="shared" si="1"/>
        <v>CORRECT</v>
      </c>
      <c r="G8" s="11" t="s">
        <v>30</v>
      </c>
      <c r="H8" s="13" t="s">
        <v>30</v>
      </c>
      <c r="I8" s="14" t="s">
        <v>559</v>
      </c>
      <c r="J8" s="15">
        <v>24631.0</v>
      </c>
    </row>
    <row r="9" ht="60.0" customHeight="1">
      <c r="A9" s="11">
        <v>6.0</v>
      </c>
      <c r="B9" s="12" t="s">
        <v>42</v>
      </c>
      <c r="C9" s="12" t="s">
        <v>43</v>
      </c>
      <c r="D9" s="12" t="s">
        <v>44</v>
      </c>
      <c r="E9" s="12" t="s">
        <v>45</v>
      </c>
      <c r="F9" s="11" t="str">
        <f t="shared" si="1"/>
        <v>CORRECT</v>
      </c>
      <c r="G9" s="11" t="s">
        <v>19</v>
      </c>
      <c r="H9" s="13" t="s">
        <v>19</v>
      </c>
      <c r="I9" s="14" t="s">
        <v>560</v>
      </c>
      <c r="J9" s="15">
        <v>18622.0</v>
      </c>
    </row>
    <row r="10" ht="60.0" customHeight="1">
      <c r="A10" s="11">
        <v>7.0</v>
      </c>
      <c r="B10" s="12" t="s">
        <v>47</v>
      </c>
      <c r="C10" s="12" t="s">
        <v>48</v>
      </c>
      <c r="D10" s="12" t="s">
        <v>49</v>
      </c>
      <c r="E10" s="12" t="s">
        <v>50</v>
      </c>
      <c r="F10" s="11" t="str">
        <f t="shared" si="1"/>
        <v>CORRECT</v>
      </c>
      <c r="G10" s="11" t="s">
        <v>19</v>
      </c>
      <c r="H10" s="15" t="s">
        <v>19</v>
      </c>
      <c r="I10" s="14" t="s">
        <v>561</v>
      </c>
      <c r="J10" s="15">
        <v>15579.0</v>
      </c>
    </row>
    <row r="11" ht="60.0" customHeight="1">
      <c r="A11" s="11">
        <v>8.0</v>
      </c>
      <c r="B11" s="12" t="s">
        <v>52</v>
      </c>
      <c r="C11" s="12" t="s">
        <v>53</v>
      </c>
      <c r="D11" s="12" t="s">
        <v>54</v>
      </c>
      <c r="E11" s="12" t="s">
        <v>55</v>
      </c>
      <c r="F11" s="11" t="str">
        <f t="shared" si="1"/>
        <v>CORRECT</v>
      </c>
      <c r="G11" s="11" t="s">
        <v>30</v>
      </c>
      <c r="H11" s="13" t="s">
        <v>30</v>
      </c>
      <c r="I11" s="14" t="s">
        <v>562</v>
      </c>
      <c r="J11" s="15">
        <v>29850.0</v>
      </c>
    </row>
    <row r="12" ht="60.0" customHeight="1">
      <c r="A12" s="11">
        <v>9.0</v>
      </c>
      <c r="B12" s="12" t="s">
        <v>57</v>
      </c>
      <c r="C12" s="12" t="s">
        <v>58</v>
      </c>
      <c r="D12" s="12" t="s">
        <v>59</v>
      </c>
      <c r="E12" s="12" t="s">
        <v>60</v>
      </c>
      <c r="F12" s="11" t="str">
        <f t="shared" si="1"/>
        <v>CORRECT</v>
      </c>
      <c r="G12" s="11" t="s">
        <v>19</v>
      </c>
      <c r="H12" s="15" t="s">
        <v>19</v>
      </c>
      <c r="I12" s="14" t="s">
        <v>563</v>
      </c>
      <c r="J12" s="15">
        <v>19566.0</v>
      </c>
    </row>
    <row r="13" ht="60.0" customHeight="1">
      <c r="A13" s="11">
        <v>10.0</v>
      </c>
      <c r="B13" s="12" t="s">
        <v>62</v>
      </c>
      <c r="C13" s="12" t="s">
        <v>63</v>
      </c>
      <c r="D13" s="12" t="s">
        <v>64</v>
      </c>
      <c r="E13" s="12" t="s">
        <v>65</v>
      </c>
      <c r="F13" s="11" t="str">
        <f t="shared" si="1"/>
        <v>WRONG</v>
      </c>
      <c r="G13" s="11" t="s">
        <v>30</v>
      </c>
      <c r="H13" s="15" t="s">
        <v>19</v>
      </c>
      <c r="I13" s="14" t="s">
        <v>564</v>
      </c>
      <c r="J13" s="15">
        <v>18762.0</v>
      </c>
    </row>
    <row r="14" ht="60.0" customHeight="1">
      <c r="A14" s="11">
        <v>11.0</v>
      </c>
      <c r="B14" s="12" t="s">
        <v>67</v>
      </c>
      <c r="C14" s="12" t="s">
        <v>68</v>
      </c>
      <c r="D14" s="12" t="s">
        <v>69</v>
      </c>
      <c r="E14" s="12" t="s">
        <v>70</v>
      </c>
      <c r="F14" s="11" t="str">
        <f t="shared" si="1"/>
        <v>WRONG</v>
      </c>
      <c r="G14" s="11" t="s">
        <v>19</v>
      </c>
      <c r="H14" s="15" t="s">
        <v>30</v>
      </c>
      <c r="I14" s="14" t="s">
        <v>565</v>
      </c>
      <c r="J14" s="15">
        <v>20526.0</v>
      </c>
    </row>
    <row r="15" ht="60.0" customHeight="1">
      <c r="A15" s="11">
        <v>12.0</v>
      </c>
      <c r="B15" s="12" t="s">
        <v>72</v>
      </c>
      <c r="C15" s="12" t="s">
        <v>73</v>
      </c>
      <c r="D15" s="12" t="s">
        <v>74</v>
      </c>
      <c r="E15" s="12" t="s">
        <v>75</v>
      </c>
      <c r="F15" s="11" t="str">
        <f t="shared" si="1"/>
        <v>CORRECT</v>
      </c>
      <c r="G15" s="11" t="s">
        <v>30</v>
      </c>
      <c r="H15" s="15" t="s">
        <v>30</v>
      </c>
      <c r="I15" s="14" t="s">
        <v>566</v>
      </c>
      <c r="J15" s="15">
        <v>17612.0</v>
      </c>
    </row>
    <row r="16" ht="60.0" customHeight="1">
      <c r="A16" s="11">
        <v>13.0</v>
      </c>
      <c r="B16" s="12" t="s">
        <v>77</v>
      </c>
      <c r="C16" s="12" t="s">
        <v>78</v>
      </c>
      <c r="D16" s="12" t="s">
        <v>79</v>
      </c>
      <c r="E16" s="12" t="s">
        <v>80</v>
      </c>
      <c r="F16" s="11" t="str">
        <f t="shared" si="1"/>
        <v>CORRECT</v>
      </c>
      <c r="G16" s="11" t="s">
        <v>18</v>
      </c>
      <c r="H16" s="13" t="s">
        <v>18</v>
      </c>
      <c r="I16" s="14" t="s">
        <v>567</v>
      </c>
      <c r="J16" s="15">
        <v>17025.0</v>
      </c>
    </row>
    <row r="17" ht="60.0" customHeight="1">
      <c r="A17" s="11">
        <v>14.0</v>
      </c>
      <c r="B17" s="12" t="s">
        <v>82</v>
      </c>
      <c r="C17" s="12" t="s">
        <v>83</v>
      </c>
      <c r="D17" s="12" t="s">
        <v>84</v>
      </c>
      <c r="E17" s="12" t="s">
        <v>85</v>
      </c>
      <c r="F17" s="11" t="str">
        <f t="shared" si="1"/>
        <v>WRONG</v>
      </c>
      <c r="G17" s="11" t="s">
        <v>18</v>
      </c>
      <c r="H17" s="15" t="s">
        <v>30</v>
      </c>
      <c r="I17" s="14" t="s">
        <v>568</v>
      </c>
      <c r="J17" s="15">
        <v>12961.0</v>
      </c>
    </row>
    <row r="18" ht="60.0" customHeight="1">
      <c r="A18" s="11">
        <v>15.0</v>
      </c>
      <c r="B18" s="12" t="s">
        <v>87</v>
      </c>
      <c r="C18" s="12" t="s">
        <v>88</v>
      </c>
      <c r="D18" s="12" t="s">
        <v>89</v>
      </c>
      <c r="E18" s="12" t="s">
        <v>90</v>
      </c>
      <c r="F18" s="11" t="str">
        <f t="shared" si="1"/>
        <v>CORRECT</v>
      </c>
      <c r="G18" s="11" t="s">
        <v>30</v>
      </c>
      <c r="H18" s="13" t="s">
        <v>30</v>
      </c>
      <c r="I18" s="14" t="s">
        <v>569</v>
      </c>
      <c r="J18" s="15">
        <v>21882.0</v>
      </c>
    </row>
    <row r="19" ht="60.0" customHeight="1">
      <c r="A19" s="11">
        <v>16.0</v>
      </c>
      <c r="B19" s="12" t="s">
        <v>92</v>
      </c>
      <c r="C19" s="12" t="s">
        <v>93</v>
      </c>
      <c r="D19" s="12" t="s">
        <v>94</v>
      </c>
      <c r="E19" s="12" t="s">
        <v>95</v>
      </c>
      <c r="F19" s="11" t="str">
        <f t="shared" si="1"/>
        <v>CORRECT</v>
      </c>
      <c r="G19" s="11" t="s">
        <v>30</v>
      </c>
      <c r="H19" s="13" t="s">
        <v>30</v>
      </c>
      <c r="I19" s="14" t="s">
        <v>570</v>
      </c>
      <c r="J19" s="15">
        <v>14687.0</v>
      </c>
    </row>
    <row r="20" ht="60.0" customHeight="1">
      <c r="A20" s="11">
        <v>17.0</v>
      </c>
      <c r="B20" s="12" t="s">
        <v>97</v>
      </c>
      <c r="C20" s="12" t="s">
        <v>98</v>
      </c>
      <c r="D20" s="12" t="s">
        <v>99</v>
      </c>
      <c r="E20" s="12" t="s">
        <v>100</v>
      </c>
      <c r="F20" s="11" t="str">
        <f t="shared" si="1"/>
        <v>WRONG</v>
      </c>
      <c r="G20" s="11" t="s">
        <v>19</v>
      </c>
      <c r="H20" s="15" t="s">
        <v>18</v>
      </c>
      <c r="I20" s="14" t="s">
        <v>571</v>
      </c>
      <c r="J20" s="15">
        <v>16788.0</v>
      </c>
    </row>
    <row r="21" ht="60.0" customHeight="1">
      <c r="A21" s="11">
        <v>18.0</v>
      </c>
      <c r="B21" s="12" t="s">
        <v>102</v>
      </c>
      <c r="C21" s="12" t="s">
        <v>103</v>
      </c>
      <c r="D21" s="12" t="s">
        <v>104</v>
      </c>
      <c r="E21" s="12" t="s">
        <v>105</v>
      </c>
      <c r="F21" s="11" t="str">
        <f t="shared" si="1"/>
        <v>CORRECT</v>
      </c>
      <c r="G21" s="11" t="s">
        <v>19</v>
      </c>
      <c r="H21" s="15" t="s">
        <v>19</v>
      </c>
      <c r="I21" s="14" t="s">
        <v>572</v>
      </c>
      <c r="J21" s="15">
        <v>11885.0</v>
      </c>
    </row>
    <row r="22" ht="60.0" customHeight="1">
      <c r="A22" s="11">
        <v>19.0</v>
      </c>
      <c r="B22" s="12" t="s">
        <v>107</v>
      </c>
      <c r="C22" s="12" t="s">
        <v>108</v>
      </c>
      <c r="D22" s="12" t="s">
        <v>109</v>
      </c>
      <c r="E22" s="12" t="s">
        <v>110</v>
      </c>
      <c r="F22" s="11" t="str">
        <f t="shared" si="1"/>
        <v>WRONG</v>
      </c>
      <c r="G22" s="11" t="s">
        <v>18</v>
      </c>
      <c r="H22" s="13" t="s">
        <v>30</v>
      </c>
      <c r="I22" s="14" t="s">
        <v>573</v>
      </c>
      <c r="J22" s="15">
        <v>18932.0</v>
      </c>
    </row>
    <row r="23" ht="60.0" customHeight="1">
      <c r="A23" s="11">
        <v>20.0</v>
      </c>
      <c r="B23" s="12" t="s">
        <v>112</v>
      </c>
      <c r="C23" s="12" t="s">
        <v>113</v>
      </c>
      <c r="D23" s="12" t="s">
        <v>114</v>
      </c>
      <c r="E23" s="12" t="s">
        <v>115</v>
      </c>
      <c r="F23" s="11" t="str">
        <f t="shared" si="1"/>
        <v>WRONG</v>
      </c>
      <c r="G23" s="11" t="s">
        <v>19</v>
      </c>
      <c r="H23" s="13" t="s">
        <v>18</v>
      </c>
      <c r="I23" s="14" t="s">
        <v>574</v>
      </c>
      <c r="J23" s="15">
        <v>18497.0</v>
      </c>
    </row>
    <row r="24" ht="60.0" customHeight="1">
      <c r="A24" s="11">
        <v>21.0</v>
      </c>
      <c r="B24" s="12" t="s">
        <v>117</v>
      </c>
      <c r="C24" s="12" t="s">
        <v>118</v>
      </c>
      <c r="D24" s="12" t="s">
        <v>119</v>
      </c>
      <c r="E24" s="12" t="s">
        <v>120</v>
      </c>
      <c r="F24" s="11" t="str">
        <f t="shared" si="1"/>
        <v>WRONG</v>
      </c>
      <c r="G24" s="11" t="s">
        <v>19</v>
      </c>
      <c r="H24" s="13" t="s">
        <v>18</v>
      </c>
      <c r="I24" s="14" t="s">
        <v>575</v>
      </c>
      <c r="J24" s="15">
        <v>22086.0</v>
      </c>
    </row>
    <row r="25" ht="60.0" customHeight="1">
      <c r="A25" s="11">
        <v>22.0</v>
      </c>
      <c r="B25" s="12" t="s">
        <v>122</v>
      </c>
      <c r="C25" s="12" t="s">
        <v>123</v>
      </c>
      <c r="D25" s="12" t="s">
        <v>124</v>
      </c>
      <c r="E25" s="12" t="s">
        <v>125</v>
      </c>
      <c r="F25" s="11" t="str">
        <f t="shared" si="1"/>
        <v>CORRECT</v>
      </c>
      <c r="G25" s="11" t="s">
        <v>19</v>
      </c>
      <c r="H25" s="13" t="s">
        <v>19</v>
      </c>
      <c r="I25" s="14" t="s">
        <v>576</v>
      </c>
      <c r="J25" s="15">
        <v>18798.0</v>
      </c>
    </row>
    <row r="26" ht="60.0" customHeight="1">
      <c r="A26" s="11">
        <v>23.0</v>
      </c>
      <c r="B26" s="12" t="s">
        <v>127</v>
      </c>
      <c r="C26" s="12" t="s">
        <v>128</v>
      </c>
      <c r="D26" s="12" t="s">
        <v>129</v>
      </c>
      <c r="E26" s="12" t="s">
        <v>130</v>
      </c>
      <c r="F26" s="11" t="str">
        <f t="shared" si="1"/>
        <v>CORRECT</v>
      </c>
      <c r="G26" s="11" t="s">
        <v>30</v>
      </c>
      <c r="H26" s="13" t="s">
        <v>30</v>
      </c>
      <c r="I26" s="14" t="s">
        <v>577</v>
      </c>
      <c r="J26" s="15">
        <v>16311.0</v>
      </c>
    </row>
    <row r="27" ht="60.0" customHeight="1">
      <c r="A27" s="11">
        <v>24.0</v>
      </c>
      <c r="B27" s="12" t="s">
        <v>132</v>
      </c>
      <c r="C27" s="12" t="s">
        <v>133</v>
      </c>
      <c r="D27" s="12" t="s">
        <v>134</v>
      </c>
      <c r="E27" s="12" t="s">
        <v>135</v>
      </c>
      <c r="F27" s="11" t="str">
        <f t="shared" si="1"/>
        <v>WRONG</v>
      </c>
      <c r="G27" s="11" t="s">
        <v>18</v>
      </c>
      <c r="H27" s="13" t="s">
        <v>30</v>
      </c>
      <c r="I27" s="14" t="s">
        <v>578</v>
      </c>
      <c r="J27" s="15">
        <v>13894.0</v>
      </c>
    </row>
    <row r="28" ht="60.0" customHeight="1">
      <c r="A28" s="11">
        <v>25.0</v>
      </c>
      <c r="B28" s="12" t="s">
        <v>137</v>
      </c>
      <c r="C28" s="12" t="s">
        <v>133</v>
      </c>
      <c r="D28" s="12" t="s">
        <v>138</v>
      </c>
      <c r="E28" s="12" t="s">
        <v>135</v>
      </c>
      <c r="F28" s="11" t="str">
        <f t="shared" si="1"/>
        <v>WRONG</v>
      </c>
      <c r="G28" s="11" t="s">
        <v>30</v>
      </c>
      <c r="H28" s="13" t="s">
        <v>18</v>
      </c>
      <c r="I28" s="14" t="s">
        <v>579</v>
      </c>
      <c r="J28" s="15">
        <v>12653.0</v>
      </c>
    </row>
    <row r="29" ht="60.0" customHeight="1">
      <c r="A29" s="11">
        <v>26.0</v>
      </c>
      <c r="B29" s="12" t="s">
        <v>140</v>
      </c>
      <c r="C29" s="12" t="s">
        <v>141</v>
      </c>
      <c r="D29" s="12" t="s">
        <v>142</v>
      </c>
      <c r="E29" s="12" t="s">
        <v>143</v>
      </c>
      <c r="F29" s="11" t="str">
        <f t="shared" si="1"/>
        <v>WRONG</v>
      </c>
      <c r="G29" s="11" t="s">
        <v>18</v>
      </c>
      <c r="H29" s="13" t="s">
        <v>30</v>
      </c>
      <c r="I29" s="14" t="s">
        <v>580</v>
      </c>
      <c r="J29" s="15">
        <v>8395.0</v>
      </c>
    </row>
    <row r="30" ht="60.0" customHeight="1">
      <c r="A30" s="11">
        <v>27.0</v>
      </c>
      <c r="B30" s="12" t="s">
        <v>145</v>
      </c>
      <c r="C30" s="12" t="s">
        <v>146</v>
      </c>
      <c r="D30" s="12" t="s">
        <v>147</v>
      </c>
      <c r="E30" s="12" t="s">
        <v>148</v>
      </c>
      <c r="F30" s="11" t="str">
        <f t="shared" si="1"/>
        <v>CORRECT</v>
      </c>
      <c r="G30" s="11" t="s">
        <v>19</v>
      </c>
      <c r="H30" s="15" t="s">
        <v>19</v>
      </c>
      <c r="I30" s="14" t="s">
        <v>581</v>
      </c>
      <c r="J30" s="15">
        <v>14668.0</v>
      </c>
    </row>
    <row r="31" ht="60.0" customHeight="1">
      <c r="A31" s="11">
        <v>28.0</v>
      </c>
      <c r="B31" s="12" t="s">
        <v>150</v>
      </c>
      <c r="C31" s="12" t="s">
        <v>151</v>
      </c>
      <c r="D31" s="12" t="s">
        <v>152</v>
      </c>
      <c r="E31" s="12" t="s">
        <v>153</v>
      </c>
      <c r="F31" s="11" t="str">
        <f t="shared" si="1"/>
        <v>WRONG</v>
      </c>
      <c r="G31" s="11" t="s">
        <v>18</v>
      </c>
      <c r="H31" s="13" t="s">
        <v>19</v>
      </c>
      <c r="I31" s="14" t="s">
        <v>582</v>
      </c>
      <c r="J31" s="15">
        <v>19058.0</v>
      </c>
    </row>
    <row r="32" ht="60.0" customHeight="1">
      <c r="A32" s="11">
        <v>29.0</v>
      </c>
      <c r="B32" s="12" t="s">
        <v>155</v>
      </c>
      <c r="C32" s="12" t="s">
        <v>156</v>
      </c>
      <c r="D32" s="12" t="s">
        <v>157</v>
      </c>
      <c r="E32" s="12" t="s">
        <v>158</v>
      </c>
      <c r="F32" s="11" t="str">
        <f t="shared" si="1"/>
        <v>CORRECT</v>
      </c>
      <c r="G32" s="11" t="s">
        <v>19</v>
      </c>
      <c r="H32" s="13" t="s">
        <v>19</v>
      </c>
      <c r="I32" s="14" t="s">
        <v>583</v>
      </c>
      <c r="J32" s="15">
        <v>18916.0</v>
      </c>
    </row>
    <row r="33" ht="60.0" customHeight="1">
      <c r="A33" s="11">
        <v>30.0</v>
      </c>
      <c r="B33" s="12" t="s">
        <v>160</v>
      </c>
      <c r="C33" s="12" t="s">
        <v>161</v>
      </c>
      <c r="D33" s="12" t="s">
        <v>162</v>
      </c>
      <c r="E33" s="12" t="s">
        <v>163</v>
      </c>
      <c r="F33" s="11" t="str">
        <f t="shared" si="1"/>
        <v>WRONG</v>
      </c>
      <c r="G33" s="11" t="s">
        <v>30</v>
      </c>
      <c r="H33" s="13" t="s">
        <v>18</v>
      </c>
      <c r="I33" s="14" t="s">
        <v>584</v>
      </c>
      <c r="J33" s="15">
        <v>20925.0</v>
      </c>
    </row>
    <row r="34" ht="60.0" customHeight="1">
      <c r="A34" s="11">
        <v>31.0</v>
      </c>
      <c r="B34" s="12" t="s">
        <v>165</v>
      </c>
      <c r="C34" s="12" t="s">
        <v>166</v>
      </c>
      <c r="D34" s="12" t="s">
        <v>167</v>
      </c>
      <c r="E34" s="12" t="s">
        <v>168</v>
      </c>
      <c r="F34" s="11" t="str">
        <f t="shared" si="1"/>
        <v>WRONG</v>
      </c>
      <c r="G34" s="11" t="s">
        <v>19</v>
      </c>
      <c r="H34" s="13" t="s">
        <v>18</v>
      </c>
      <c r="I34" s="14" t="s">
        <v>585</v>
      </c>
      <c r="J34" s="15">
        <v>20146.0</v>
      </c>
    </row>
    <row r="35" ht="60.0" customHeight="1">
      <c r="A35" s="11">
        <v>32.0</v>
      </c>
      <c r="B35" s="12" t="s">
        <v>170</v>
      </c>
      <c r="C35" s="12" t="s">
        <v>171</v>
      </c>
      <c r="D35" s="12" t="s">
        <v>172</v>
      </c>
      <c r="E35" s="12" t="s">
        <v>173</v>
      </c>
      <c r="F35" s="11" t="str">
        <f t="shared" si="1"/>
        <v>WRONG</v>
      </c>
      <c r="G35" s="11" t="s">
        <v>18</v>
      </c>
      <c r="H35" s="13" t="s">
        <v>30</v>
      </c>
      <c r="I35" s="14" t="s">
        <v>586</v>
      </c>
      <c r="J35" s="15">
        <v>26031.0</v>
      </c>
    </row>
    <row r="36" ht="60.0" customHeight="1">
      <c r="A36" s="11">
        <v>33.0</v>
      </c>
      <c r="B36" s="12" t="s">
        <v>175</v>
      </c>
      <c r="C36" s="12" t="s">
        <v>176</v>
      </c>
      <c r="D36" s="12" t="s">
        <v>177</v>
      </c>
      <c r="E36" s="12" t="s">
        <v>178</v>
      </c>
      <c r="F36" s="11" t="str">
        <f t="shared" si="1"/>
        <v>WRONG</v>
      </c>
      <c r="G36" s="11" t="s">
        <v>30</v>
      </c>
      <c r="H36" s="13" t="s">
        <v>19</v>
      </c>
      <c r="I36" s="14" t="s">
        <v>587</v>
      </c>
      <c r="J36" s="15">
        <v>16322.0</v>
      </c>
    </row>
    <row r="37" ht="60.0" customHeight="1">
      <c r="A37" s="11">
        <v>34.0</v>
      </c>
      <c r="B37" s="12" t="s">
        <v>180</v>
      </c>
      <c r="C37" s="12" t="s">
        <v>181</v>
      </c>
      <c r="D37" s="12" t="s">
        <v>182</v>
      </c>
      <c r="E37" s="12" t="s">
        <v>183</v>
      </c>
      <c r="F37" s="11" t="str">
        <f t="shared" si="1"/>
        <v>CORRECT</v>
      </c>
      <c r="G37" s="11" t="s">
        <v>18</v>
      </c>
      <c r="H37" s="13" t="s">
        <v>18</v>
      </c>
      <c r="I37" s="14" t="s">
        <v>588</v>
      </c>
      <c r="J37" s="15">
        <v>17443.0</v>
      </c>
    </row>
    <row r="38" ht="60.0" customHeight="1">
      <c r="A38" s="11">
        <v>35.0</v>
      </c>
      <c r="B38" s="12" t="s">
        <v>185</v>
      </c>
      <c r="C38" s="12" t="s">
        <v>186</v>
      </c>
      <c r="D38" s="12" t="s">
        <v>187</v>
      </c>
      <c r="E38" s="12" t="s">
        <v>188</v>
      </c>
      <c r="F38" s="11" t="str">
        <f t="shared" si="1"/>
        <v>CORRECT</v>
      </c>
      <c r="G38" s="11" t="s">
        <v>30</v>
      </c>
      <c r="H38" s="15" t="s">
        <v>30</v>
      </c>
      <c r="I38" s="14" t="s">
        <v>589</v>
      </c>
      <c r="J38" s="15">
        <v>18843.0</v>
      </c>
    </row>
    <row r="39" ht="60.0" customHeight="1">
      <c r="A39" s="11">
        <v>36.0</v>
      </c>
      <c r="B39" s="12" t="s">
        <v>190</v>
      </c>
      <c r="C39" s="12" t="s">
        <v>191</v>
      </c>
      <c r="D39" s="12" t="s">
        <v>192</v>
      </c>
      <c r="E39" s="12" t="s">
        <v>193</v>
      </c>
      <c r="F39" s="11" t="str">
        <f t="shared" si="1"/>
        <v>CORRECT</v>
      </c>
      <c r="G39" s="11" t="s">
        <v>18</v>
      </c>
      <c r="H39" s="13" t="s">
        <v>18</v>
      </c>
      <c r="I39" s="14" t="s">
        <v>590</v>
      </c>
      <c r="J39" s="15">
        <v>17928.0</v>
      </c>
    </row>
    <row r="40" ht="60.0" customHeight="1">
      <c r="A40" s="11">
        <v>37.0</v>
      </c>
      <c r="B40" s="12" t="s">
        <v>195</v>
      </c>
      <c r="C40" s="12" t="s">
        <v>196</v>
      </c>
      <c r="D40" s="12" t="s">
        <v>197</v>
      </c>
      <c r="E40" s="12" t="s">
        <v>198</v>
      </c>
      <c r="F40" s="11" t="str">
        <f t="shared" si="1"/>
        <v>WRONG</v>
      </c>
      <c r="G40" s="11" t="s">
        <v>18</v>
      </c>
      <c r="H40" s="15" t="s">
        <v>19</v>
      </c>
      <c r="I40" s="14" t="s">
        <v>591</v>
      </c>
      <c r="J40" s="15">
        <v>15317.0</v>
      </c>
    </row>
    <row r="41" ht="60.0" customHeight="1">
      <c r="A41" s="11">
        <v>38.0</v>
      </c>
      <c r="B41" s="12" t="s">
        <v>200</v>
      </c>
      <c r="C41" s="12" t="s">
        <v>201</v>
      </c>
      <c r="D41" s="12" t="s">
        <v>202</v>
      </c>
      <c r="E41" s="12" t="s">
        <v>203</v>
      </c>
      <c r="F41" s="11" t="str">
        <f t="shared" si="1"/>
        <v>CORRECT</v>
      </c>
      <c r="G41" s="11" t="s">
        <v>18</v>
      </c>
      <c r="H41" s="15" t="s">
        <v>18</v>
      </c>
      <c r="I41" s="14" t="s">
        <v>592</v>
      </c>
      <c r="J41" s="15">
        <v>17554.0</v>
      </c>
    </row>
    <row r="42" ht="60.0" customHeight="1">
      <c r="A42" s="11">
        <v>39.0</v>
      </c>
      <c r="B42" s="12" t="s">
        <v>205</v>
      </c>
      <c r="C42" s="12" t="s">
        <v>206</v>
      </c>
      <c r="D42" s="12" t="s">
        <v>207</v>
      </c>
      <c r="E42" s="12" t="s">
        <v>208</v>
      </c>
      <c r="F42" s="11" t="str">
        <f t="shared" si="1"/>
        <v>WRONG</v>
      </c>
      <c r="G42" s="11" t="s">
        <v>19</v>
      </c>
      <c r="H42" s="13" t="s">
        <v>18</v>
      </c>
      <c r="I42" s="14" t="s">
        <v>593</v>
      </c>
      <c r="J42" s="15">
        <v>21061.0</v>
      </c>
    </row>
    <row r="43" ht="60.0" customHeight="1">
      <c r="A43" s="11">
        <v>40.0</v>
      </c>
      <c r="B43" s="12" t="s">
        <v>210</v>
      </c>
      <c r="C43" s="12" t="s">
        <v>211</v>
      </c>
      <c r="D43" s="12" t="s">
        <v>212</v>
      </c>
      <c r="E43" s="12" t="s">
        <v>213</v>
      </c>
      <c r="F43" s="11" t="str">
        <f t="shared" si="1"/>
        <v>CORRECT</v>
      </c>
      <c r="G43" s="11" t="s">
        <v>30</v>
      </c>
      <c r="H43" s="13" t="s">
        <v>30</v>
      </c>
      <c r="I43" s="14" t="s">
        <v>594</v>
      </c>
      <c r="J43" s="15">
        <v>16210.0</v>
      </c>
    </row>
    <row r="44" ht="60.0" customHeight="1">
      <c r="A44" s="11">
        <v>41.0</v>
      </c>
      <c r="B44" s="12" t="s">
        <v>215</v>
      </c>
      <c r="C44" s="12" t="s">
        <v>216</v>
      </c>
      <c r="D44" s="12" t="s">
        <v>217</v>
      </c>
      <c r="E44" s="12" t="s">
        <v>218</v>
      </c>
      <c r="F44" s="11" t="str">
        <f t="shared" si="1"/>
        <v>CORRECT</v>
      </c>
      <c r="G44" s="11" t="s">
        <v>19</v>
      </c>
      <c r="H44" s="13" t="s">
        <v>19</v>
      </c>
      <c r="I44" s="14" t="s">
        <v>595</v>
      </c>
      <c r="J44" s="15">
        <v>15515.0</v>
      </c>
    </row>
    <row r="45" ht="60.0" customHeight="1">
      <c r="A45" s="11">
        <v>42.0</v>
      </c>
      <c r="B45" s="12" t="s">
        <v>220</v>
      </c>
      <c r="C45" s="12" t="s">
        <v>221</v>
      </c>
      <c r="D45" s="12" t="s">
        <v>222</v>
      </c>
      <c r="E45" s="12" t="s">
        <v>223</v>
      </c>
      <c r="F45" s="11" t="str">
        <f t="shared" si="1"/>
        <v>WRONG</v>
      </c>
      <c r="G45" s="11" t="s">
        <v>18</v>
      </c>
      <c r="H45" s="15" t="s">
        <v>19</v>
      </c>
      <c r="I45" s="14" t="s">
        <v>596</v>
      </c>
      <c r="J45" s="15">
        <v>17280.0</v>
      </c>
    </row>
    <row r="46" ht="60.0" customHeight="1">
      <c r="A46" s="11">
        <v>43.0</v>
      </c>
      <c r="B46" s="12" t="s">
        <v>225</v>
      </c>
      <c r="C46" s="12" t="s">
        <v>226</v>
      </c>
      <c r="D46" s="12" t="s">
        <v>227</v>
      </c>
      <c r="E46" s="12" t="s">
        <v>228</v>
      </c>
      <c r="F46" s="11" t="str">
        <f t="shared" si="1"/>
        <v>WRONG</v>
      </c>
      <c r="G46" s="11" t="s">
        <v>30</v>
      </c>
      <c r="H46" s="13" t="s">
        <v>18</v>
      </c>
      <c r="I46" s="14" t="s">
        <v>597</v>
      </c>
      <c r="J46" s="15">
        <v>22361.0</v>
      </c>
    </row>
    <row r="47" ht="60.0" customHeight="1">
      <c r="A47" s="11">
        <v>44.0</v>
      </c>
      <c r="B47" s="12" t="s">
        <v>230</v>
      </c>
      <c r="C47" s="12" t="s">
        <v>231</v>
      </c>
      <c r="D47" s="12" t="s">
        <v>232</v>
      </c>
      <c r="E47" s="12" t="s">
        <v>233</v>
      </c>
      <c r="F47" s="11" t="str">
        <f t="shared" si="1"/>
        <v>WRONG</v>
      </c>
      <c r="G47" s="11" t="s">
        <v>18</v>
      </c>
      <c r="H47" s="13" t="s">
        <v>30</v>
      </c>
      <c r="I47" s="14" t="s">
        <v>598</v>
      </c>
      <c r="J47" s="15">
        <v>15439.0</v>
      </c>
    </row>
    <row r="48" ht="60.0" customHeight="1">
      <c r="A48" s="11">
        <v>45.0</v>
      </c>
      <c r="B48" s="12" t="s">
        <v>235</v>
      </c>
      <c r="C48" s="12" t="s">
        <v>236</v>
      </c>
      <c r="D48" s="12" t="s">
        <v>237</v>
      </c>
      <c r="E48" s="12" t="s">
        <v>238</v>
      </c>
      <c r="F48" s="11" t="str">
        <f t="shared" si="1"/>
        <v>WRONG</v>
      </c>
      <c r="G48" s="11" t="s">
        <v>18</v>
      </c>
      <c r="H48" s="13" t="s">
        <v>30</v>
      </c>
      <c r="I48" s="14" t="s">
        <v>599</v>
      </c>
      <c r="J48" s="15">
        <v>19838.0</v>
      </c>
    </row>
    <row r="49" ht="60.0" customHeight="1">
      <c r="A49" s="11">
        <v>46.0</v>
      </c>
      <c r="B49" s="12" t="s">
        <v>240</v>
      </c>
      <c r="C49" s="12" t="s">
        <v>22</v>
      </c>
      <c r="D49" s="12" t="s">
        <v>241</v>
      </c>
      <c r="E49" s="12" t="s">
        <v>242</v>
      </c>
      <c r="F49" s="11" t="str">
        <f t="shared" si="1"/>
        <v>CORRECT</v>
      </c>
      <c r="G49" s="11" t="s">
        <v>18</v>
      </c>
      <c r="H49" s="15" t="s">
        <v>18</v>
      </c>
      <c r="I49" s="14" t="s">
        <v>600</v>
      </c>
      <c r="J49" s="15">
        <v>18811.0</v>
      </c>
    </row>
    <row r="50">
      <c r="A50" s="16" t="s">
        <v>244</v>
      </c>
      <c r="B50" s="2"/>
      <c r="C50" s="2"/>
      <c r="D50" s="2"/>
      <c r="E50" s="3"/>
      <c r="F50" s="17">
        <f>COUNTIFS(F4:F49,"CORRECT")</f>
        <v>23</v>
      </c>
      <c r="G50" s="18"/>
      <c r="H50" s="18"/>
      <c r="J50" s="19">
        <f>AVERAGE(J4:J49)</f>
        <v>18096.02174</v>
      </c>
    </row>
    <row r="51">
      <c r="A51" s="20" t="s">
        <v>245</v>
      </c>
      <c r="B51" s="2"/>
      <c r="C51" s="2"/>
      <c r="D51" s="2"/>
      <c r="E51" s="3"/>
      <c r="F51" s="21">
        <v>46.0</v>
      </c>
      <c r="G51" s="18"/>
      <c r="H51" s="18"/>
    </row>
    <row r="52">
      <c r="A52" s="16" t="s">
        <v>246</v>
      </c>
      <c r="B52" s="2"/>
      <c r="C52" s="2"/>
      <c r="D52" s="2"/>
      <c r="E52" s="3"/>
      <c r="F52" s="22">
        <f>F50/F51</f>
        <v>0.5</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601</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30</v>
      </c>
      <c r="I4" s="14" t="s">
        <v>602</v>
      </c>
      <c r="J4" s="15">
        <v>17967.0</v>
      </c>
    </row>
    <row r="5" ht="60.0" customHeight="1">
      <c r="A5" s="11">
        <v>2.0</v>
      </c>
      <c r="B5" s="12" t="s">
        <v>21</v>
      </c>
      <c r="C5" s="12" t="s">
        <v>22</v>
      </c>
      <c r="D5" s="12" t="s">
        <v>23</v>
      </c>
      <c r="E5" s="12" t="s">
        <v>24</v>
      </c>
      <c r="F5" s="11" t="str">
        <f t="shared" si="1"/>
        <v>CORRECT</v>
      </c>
      <c r="G5" s="11" t="s">
        <v>19</v>
      </c>
      <c r="H5" s="13" t="s">
        <v>19</v>
      </c>
      <c r="I5" s="14" t="s">
        <v>603</v>
      </c>
      <c r="J5" s="15">
        <v>21567.0</v>
      </c>
    </row>
    <row r="6" ht="60.0" customHeight="1">
      <c r="A6" s="11">
        <v>3.0</v>
      </c>
      <c r="B6" s="12" t="s">
        <v>26</v>
      </c>
      <c r="C6" s="12" t="s">
        <v>27</v>
      </c>
      <c r="D6" s="12" t="s">
        <v>28</v>
      </c>
      <c r="E6" s="12" t="s">
        <v>29</v>
      </c>
      <c r="F6" s="11" t="str">
        <f t="shared" si="1"/>
        <v>CORRECT</v>
      </c>
      <c r="G6" s="11" t="s">
        <v>30</v>
      </c>
      <c r="H6" s="15" t="s">
        <v>30</v>
      </c>
      <c r="I6" s="14" t="s">
        <v>604</v>
      </c>
      <c r="J6" s="15">
        <v>18514.0</v>
      </c>
    </row>
    <row r="7" ht="60.0" customHeight="1">
      <c r="A7" s="11">
        <v>4.0</v>
      </c>
      <c r="B7" s="12" t="s">
        <v>32</v>
      </c>
      <c r="C7" s="12" t="s">
        <v>33</v>
      </c>
      <c r="D7" s="12" t="s">
        <v>34</v>
      </c>
      <c r="E7" s="12" t="s">
        <v>35</v>
      </c>
      <c r="F7" s="11" t="str">
        <f t="shared" si="1"/>
        <v>WRONG</v>
      </c>
      <c r="G7" s="11" t="s">
        <v>19</v>
      </c>
      <c r="H7" s="13" t="s">
        <v>30</v>
      </c>
      <c r="I7" s="14" t="s">
        <v>605</v>
      </c>
      <c r="J7" s="15">
        <v>14761.0</v>
      </c>
    </row>
    <row r="8" ht="60.0" customHeight="1">
      <c r="A8" s="11">
        <v>5.0</v>
      </c>
      <c r="B8" s="12" t="s">
        <v>37</v>
      </c>
      <c r="C8" s="12" t="s">
        <v>38</v>
      </c>
      <c r="D8" s="12" t="s">
        <v>39</v>
      </c>
      <c r="E8" s="12" t="s">
        <v>40</v>
      </c>
      <c r="F8" s="11" t="str">
        <f t="shared" si="1"/>
        <v>WRONG</v>
      </c>
      <c r="G8" s="11" t="s">
        <v>30</v>
      </c>
      <c r="H8" s="13" t="s">
        <v>18</v>
      </c>
      <c r="I8" s="14" t="s">
        <v>606</v>
      </c>
      <c r="J8" s="15">
        <v>24631.0</v>
      </c>
    </row>
    <row r="9" ht="60.0" customHeight="1">
      <c r="A9" s="11">
        <v>6.0</v>
      </c>
      <c r="B9" s="12" t="s">
        <v>42</v>
      </c>
      <c r="C9" s="12" t="s">
        <v>43</v>
      </c>
      <c r="D9" s="12" t="s">
        <v>44</v>
      </c>
      <c r="E9" s="12" t="s">
        <v>45</v>
      </c>
      <c r="F9" s="11" t="str">
        <f t="shared" si="1"/>
        <v>CORRECT</v>
      </c>
      <c r="G9" s="11" t="s">
        <v>19</v>
      </c>
      <c r="H9" s="13" t="s">
        <v>19</v>
      </c>
      <c r="I9" s="14" t="s">
        <v>607</v>
      </c>
      <c r="J9" s="15">
        <v>18622.0</v>
      </c>
    </row>
    <row r="10" ht="60.0" customHeight="1">
      <c r="A10" s="11">
        <v>7.0</v>
      </c>
      <c r="B10" s="12" t="s">
        <v>47</v>
      </c>
      <c r="C10" s="12" t="s">
        <v>48</v>
      </c>
      <c r="D10" s="12" t="s">
        <v>49</v>
      </c>
      <c r="E10" s="12" t="s">
        <v>50</v>
      </c>
      <c r="F10" s="11" t="str">
        <f t="shared" si="1"/>
        <v>CORRECT</v>
      </c>
      <c r="G10" s="11" t="s">
        <v>19</v>
      </c>
      <c r="H10" s="15" t="s">
        <v>19</v>
      </c>
      <c r="I10" s="14" t="s">
        <v>608</v>
      </c>
      <c r="J10" s="15">
        <v>15579.0</v>
      </c>
    </row>
    <row r="11" ht="60.0" customHeight="1">
      <c r="A11" s="11">
        <v>8.0</v>
      </c>
      <c r="B11" s="12" t="s">
        <v>52</v>
      </c>
      <c r="C11" s="12" t="s">
        <v>53</v>
      </c>
      <c r="D11" s="12" t="s">
        <v>54</v>
      </c>
      <c r="E11" s="12" t="s">
        <v>55</v>
      </c>
      <c r="F11" s="11" t="str">
        <f t="shared" si="1"/>
        <v>CORRECT</v>
      </c>
      <c r="G11" s="11" t="s">
        <v>30</v>
      </c>
      <c r="H11" s="13" t="s">
        <v>30</v>
      </c>
      <c r="I11" s="14" t="s">
        <v>609</v>
      </c>
      <c r="J11" s="15">
        <v>29850.0</v>
      </c>
    </row>
    <row r="12" ht="60.0" customHeight="1">
      <c r="A12" s="11">
        <v>9.0</v>
      </c>
      <c r="B12" s="12" t="s">
        <v>57</v>
      </c>
      <c r="C12" s="12" t="s">
        <v>58</v>
      </c>
      <c r="D12" s="12" t="s">
        <v>59</v>
      </c>
      <c r="E12" s="12" t="s">
        <v>60</v>
      </c>
      <c r="F12" s="11" t="str">
        <f t="shared" si="1"/>
        <v>WRONG</v>
      </c>
      <c r="G12" s="11" t="s">
        <v>19</v>
      </c>
      <c r="H12" s="13" t="s">
        <v>30</v>
      </c>
      <c r="I12" s="14" t="s">
        <v>610</v>
      </c>
      <c r="J12" s="15">
        <v>19566.0</v>
      </c>
    </row>
    <row r="13" ht="60.0" customHeight="1">
      <c r="A13" s="11">
        <v>10.0</v>
      </c>
      <c r="B13" s="12" t="s">
        <v>62</v>
      </c>
      <c r="C13" s="12" t="s">
        <v>63</v>
      </c>
      <c r="D13" s="12" t="s">
        <v>64</v>
      </c>
      <c r="E13" s="12" t="s">
        <v>65</v>
      </c>
      <c r="F13" s="11" t="str">
        <f t="shared" si="1"/>
        <v>WRONG</v>
      </c>
      <c r="G13" s="11" t="s">
        <v>30</v>
      </c>
      <c r="H13" s="15" t="s">
        <v>19</v>
      </c>
      <c r="I13" s="14" t="s">
        <v>611</v>
      </c>
      <c r="J13" s="15">
        <v>18762.0</v>
      </c>
    </row>
    <row r="14" ht="60.0" customHeight="1">
      <c r="A14" s="11">
        <v>11.0</v>
      </c>
      <c r="B14" s="12" t="s">
        <v>67</v>
      </c>
      <c r="C14" s="12" t="s">
        <v>68</v>
      </c>
      <c r="D14" s="12" t="s">
        <v>69</v>
      </c>
      <c r="E14" s="12" t="s">
        <v>70</v>
      </c>
      <c r="F14" s="11" t="str">
        <f t="shared" si="1"/>
        <v>WRONG</v>
      </c>
      <c r="G14" s="11" t="s">
        <v>19</v>
      </c>
      <c r="H14" s="15" t="s">
        <v>30</v>
      </c>
      <c r="I14" s="14" t="s">
        <v>612</v>
      </c>
      <c r="J14" s="15">
        <v>20526.0</v>
      </c>
    </row>
    <row r="15" ht="60.0" customHeight="1">
      <c r="A15" s="11">
        <v>12.0</v>
      </c>
      <c r="B15" s="12" t="s">
        <v>72</v>
      </c>
      <c r="C15" s="12" t="s">
        <v>73</v>
      </c>
      <c r="D15" s="12" t="s">
        <v>74</v>
      </c>
      <c r="E15" s="12" t="s">
        <v>75</v>
      </c>
      <c r="F15" s="11" t="str">
        <f t="shared" si="1"/>
        <v>CORRECT</v>
      </c>
      <c r="G15" s="11" t="s">
        <v>30</v>
      </c>
      <c r="H15" s="15" t="s">
        <v>30</v>
      </c>
      <c r="I15" s="14" t="s">
        <v>613</v>
      </c>
      <c r="J15" s="15">
        <v>17612.0</v>
      </c>
    </row>
    <row r="16" ht="60.0" customHeight="1">
      <c r="A16" s="11">
        <v>13.0</v>
      </c>
      <c r="B16" s="12" t="s">
        <v>77</v>
      </c>
      <c r="C16" s="12" t="s">
        <v>78</v>
      </c>
      <c r="D16" s="12" t="s">
        <v>79</v>
      </c>
      <c r="E16" s="12" t="s">
        <v>80</v>
      </c>
      <c r="F16" s="11" t="str">
        <f t="shared" si="1"/>
        <v>CORRECT</v>
      </c>
      <c r="G16" s="11" t="s">
        <v>18</v>
      </c>
      <c r="H16" s="13" t="s">
        <v>18</v>
      </c>
      <c r="I16" s="14" t="s">
        <v>614</v>
      </c>
      <c r="J16" s="15">
        <v>17025.0</v>
      </c>
    </row>
    <row r="17" ht="60.0" customHeight="1">
      <c r="A17" s="11">
        <v>14.0</v>
      </c>
      <c r="B17" s="12" t="s">
        <v>82</v>
      </c>
      <c r="C17" s="12" t="s">
        <v>83</v>
      </c>
      <c r="D17" s="12" t="s">
        <v>84</v>
      </c>
      <c r="E17" s="12" t="s">
        <v>85</v>
      </c>
      <c r="F17" s="11" t="str">
        <f t="shared" si="1"/>
        <v>WRONG</v>
      </c>
      <c r="G17" s="11" t="s">
        <v>18</v>
      </c>
      <c r="H17" s="15" t="s">
        <v>30</v>
      </c>
      <c r="I17" s="14" t="s">
        <v>615</v>
      </c>
      <c r="J17" s="15">
        <v>12961.0</v>
      </c>
    </row>
    <row r="18" ht="60.0" customHeight="1">
      <c r="A18" s="11">
        <v>15.0</v>
      </c>
      <c r="B18" s="12" t="s">
        <v>87</v>
      </c>
      <c r="C18" s="12" t="s">
        <v>88</v>
      </c>
      <c r="D18" s="12" t="s">
        <v>89</v>
      </c>
      <c r="E18" s="12" t="s">
        <v>90</v>
      </c>
      <c r="F18" s="11" t="str">
        <f t="shared" si="1"/>
        <v>CORRECT</v>
      </c>
      <c r="G18" s="11" t="s">
        <v>30</v>
      </c>
      <c r="H18" s="13" t="s">
        <v>30</v>
      </c>
      <c r="I18" s="14" t="s">
        <v>616</v>
      </c>
      <c r="J18" s="15">
        <v>21882.0</v>
      </c>
    </row>
    <row r="19" ht="60.0" customHeight="1">
      <c r="A19" s="11">
        <v>16.0</v>
      </c>
      <c r="B19" s="12" t="s">
        <v>92</v>
      </c>
      <c r="C19" s="12" t="s">
        <v>93</v>
      </c>
      <c r="D19" s="12" t="s">
        <v>94</v>
      </c>
      <c r="E19" s="12" t="s">
        <v>95</v>
      </c>
      <c r="F19" s="11" t="str">
        <f t="shared" si="1"/>
        <v>CORRECT</v>
      </c>
      <c r="G19" s="11" t="s">
        <v>30</v>
      </c>
      <c r="H19" s="13" t="s">
        <v>30</v>
      </c>
      <c r="I19" s="14" t="s">
        <v>617</v>
      </c>
      <c r="J19" s="15">
        <v>14687.0</v>
      </c>
    </row>
    <row r="20" ht="60.0" customHeight="1">
      <c r="A20" s="11">
        <v>17.0</v>
      </c>
      <c r="B20" s="12" t="s">
        <v>97</v>
      </c>
      <c r="C20" s="12" t="s">
        <v>98</v>
      </c>
      <c r="D20" s="12" t="s">
        <v>99</v>
      </c>
      <c r="E20" s="12" t="s">
        <v>100</v>
      </c>
      <c r="F20" s="11" t="str">
        <f t="shared" si="1"/>
        <v>WRONG</v>
      </c>
      <c r="G20" s="11" t="s">
        <v>19</v>
      </c>
      <c r="H20" s="15" t="s">
        <v>18</v>
      </c>
      <c r="I20" s="14" t="s">
        <v>618</v>
      </c>
      <c r="J20" s="15">
        <v>16788.0</v>
      </c>
    </row>
    <row r="21" ht="60.0" customHeight="1">
      <c r="A21" s="11">
        <v>18.0</v>
      </c>
      <c r="B21" s="12" t="s">
        <v>102</v>
      </c>
      <c r="C21" s="12" t="s">
        <v>103</v>
      </c>
      <c r="D21" s="12" t="s">
        <v>104</v>
      </c>
      <c r="E21" s="12" t="s">
        <v>105</v>
      </c>
      <c r="F21" s="11" t="str">
        <f t="shared" si="1"/>
        <v>CORRECT</v>
      </c>
      <c r="G21" s="11" t="s">
        <v>19</v>
      </c>
      <c r="H21" s="15" t="s">
        <v>19</v>
      </c>
      <c r="I21" s="14" t="s">
        <v>619</v>
      </c>
      <c r="J21" s="15">
        <v>11885.0</v>
      </c>
    </row>
    <row r="22" ht="60.0" customHeight="1">
      <c r="A22" s="11">
        <v>19.0</v>
      </c>
      <c r="B22" s="12" t="s">
        <v>107</v>
      </c>
      <c r="C22" s="12" t="s">
        <v>108</v>
      </c>
      <c r="D22" s="12" t="s">
        <v>109</v>
      </c>
      <c r="E22" s="12" t="s">
        <v>110</v>
      </c>
      <c r="F22" s="11" t="str">
        <f t="shared" si="1"/>
        <v>WRONG</v>
      </c>
      <c r="G22" s="11" t="s">
        <v>18</v>
      </c>
      <c r="H22" s="13" t="s">
        <v>30</v>
      </c>
      <c r="I22" s="14" t="s">
        <v>620</v>
      </c>
      <c r="J22" s="15">
        <v>18932.0</v>
      </c>
    </row>
    <row r="23" ht="60.0" customHeight="1">
      <c r="A23" s="11">
        <v>20.0</v>
      </c>
      <c r="B23" s="12" t="s">
        <v>112</v>
      </c>
      <c r="C23" s="12" t="s">
        <v>113</v>
      </c>
      <c r="D23" s="12" t="s">
        <v>114</v>
      </c>
      <c r="E23" s="12" t="s">
        <v>115</v>
      </c>
      <c r="F23" s="11" t="str">
        <f t="shared" si="1"/>
        <v>WRONG</v>
      </c>
      <c r="G23" s="11" t="s">
        <v>19</v>
      </c>
      <c r="H23" s="13" t="s">
        <v>18</v>
      </c>
      <c r="I23" s="14" t="s">
        <v>621</v>
      </c>
      <c r="J23" s="15">
        <v>18497.0</v>
      </c>
    </row>
    <row r="24" ht="60.0" customHeight="1">
      <c r="A24" s="11">
        <v>21.0</v>
      </c>
      <c r="B24" s="12" t="s">
        <v>117</v>
      </c>
      <c r="C24" s="12" t="s">
        <v>118</v>
      </c>
      <c r="D24" s="12" t="s">
        <v>119</v>
      </c>
      <c r="E24" s="12" t="s">
        <v>120</v>
      </c>
      <c r="F24" s="11" t="str">
        <f t="shared" si="1"/>
        <v>WRONG</v>
      </c>
      <c r="G24" s="11" t="s">
        <v>19</v>
      </c>
      <c r="H24" s="13" t="s">
        <v>18</v>
      </c>
      <c r="I24" s="14" t="s">
        <v>622</v>
      </c>
      <c r="J24" s="15">
        <v>22086.0</v>
      </c>
    </row>
    <row r="25" ht="60.0" customHeight="1">
      <c r="A25" s="11">
        <v>22.0</v>
      </c>
      <c r="B25" s="12" t="s">
        <v>122</v>
      </c>
      <c r="C25" s="12" t="s">
        <v>123</v>
      </c>
      <c r="D25" s="12" t="s">
        <v>124</v>
      </c>
      <c r="E25" s="12" t="s">
        <v>125</v>
      </c>
      <c r="F25" s="11" t="str">
        <f t="shared" si="1"/>
        <v>WRONG</v>
      </c>
      <c r="G25" s="11" t="s">
        <v>19</v>
      </c>
      <c r="H25" s="13" t="s">
        <v>30</v>
      </c>
      <c r="I25" s="14" t="s">
        <v>623</v>
      </c>
      <c r="J25" s="15">
        <v>18798.0</v>
      </c>
    </row>
    <row r="26" ht="60.0" customHeight="1">
      <c r="A26" s="11">
        <v>23.0</v>
      </c>
      <c r="B26" s="12" t="s">
        <v>127</v>
      </c>
      <c r="C26" s="12" t="s">
        <v>128</v>
      </c>
      <c r="D26" s="12" t="s">
        <v>129</v>
      </c>
      <c r="E26" s="12" t="s">
        <v>130</v>
      </c>
      <c r="F26" s="11" t="str">
        <f t="shared" si="1"/>
        <v>CORRECT</v>
      </c>
      <c r="G26" s="11" t="s">
        <v>30</v>
      </c>
      <c r="H26" s="15" t="s">
        <v>30</v>
      </c>
      <c r="I26" s="14" t="s">
        <v>624</v>
      </c>
      <c r="J26" s="15">
        <v>16311.0</v>
      </c>
    </row>
    <row r="27" ht="60.0" customHeight="1">
      <c r="A27" s="11">
        <v>24.0</v>
      </c>
      <c r="B27" s="12" t="s">
        <v>132</v>
      </c>
      <c r="C27" s="12" t="s">
        <v>133</v>
      </c>
      <c r="D27" s="12" t="s">
        <v>134</v>
      </c>
      <c r="E27" s="12" t="s">
        <v>135</v>
      </c>
      <c r="F27" s="11" t="str">
        <f t="shared" si="1"/>
        <v>WRONG</v>
      </c>
      <c r="G27" s="11" t="s">
        <v>18</v>
      </c>
      <c r="H27" s="13" t="s">
        <v>30</v>
      </c>
      <c r="I27" s="14" t="s">
        <v>625</v>
      </c>
      <c r="J27" s="15">
        <v>13894.0</v>
      </c>
    </row>
    <row r="28" ht="60.0" customHeight="1">
      <c r="A28" s="11">
        <v>25.0</v>
      </c>
      <c r="B28" s="12" t="s">
        <v>137</v>
      </c>
      <c r="C28" s="12" t="s">
        <v>133</v>
      </c>
      <c r="D28" s="12" t="s">
        <v>138</v>
      </c>
      <c r="E28" s="12" t="s">
        <v>135</v>
      </c>
      <c r="F28" s="11" t="str">
        <f t="shared" si="1"/>
        <v>WRONG</v>
      </c>
      <c r="G28" s="11" t="s">
        <v>30</v>
      </c>
      <c r="H28" s="13" t="s">
        <v>18</v>
      </c>
      <c r="I28" s="14" t="s">
        <v>626</v>
      </c>
      <c r="J28" s="15">
        <v>12653.0</v>
      </c>
    </row>
    <row r="29" ht="60.0" customHeight="1">
      <c r="A29" s="11">
        <v>26.0</v>
      </c>
      <c r="B29" s="12" t="s">
        <v>140</v>
      </c>
      <c r="C29" s="12" t="s">
        <v>141</v>
      </c>
      <c r="D29" s="12" t="s">
        <v>142</v>
      </c>
      <c r="E29" s="12" t="s">
        <v>143</v>
      </c>
      <c r="F29" s="11" t="str">
        <f t="shared" si="1"/>
        <v>WRONG</v>
      </c>
      <c r="G29" s="11" t="s">
        <v>18</v>
      </c>
      <c r="H29" s="13" t="s">
        <v>19</v>
      </c>
      <c r="I29" s="14" t="s">
        <v>627</v>
      </c>
      <c r="J29" s="15">
        <v>8395.0</v>
      </c>
    </row>
    <row r="30" ht="60.0" customHeight="1">
      <c r="A30" s="11">
        <v>27.0</v>
      </c>
      <c r="B30" s="12" t="s">
        <v>145</v>
      </c>
      <c r="C30" s="12" t="s">
        <v>146</v>
      </c>
      <c r="D30" s="12" t="s">
        <v>147</v>
      </c>
      <c r="E30" s="12" t="s">
        <v>148</v>
      </c>
      <c r="F30" s="11" t="str">
        <f t="shared" si="1"/>
        <v>WRONG</v>
      </c>
      <c r="G30" s="11" t="s">
        <v>19</v>
      </c>
      <c r="H30" s="13" t="s">
        <v>30</v>
      </c>
      <c r="I30" s="14" t="s">
        <v>628</v>
      </c>
      <c r="J30" s="15">
        <v>14668.0</v>
      </c>
    </row>
    <row r="31" ht="60.0" customHeight="1">
      <c r="A31" s="11">
        <v>28.0</v>
      </c>
      <c r="B31" s="12" t="s">
        <v>150</v>
      </c>
      <c r="C31" s="12" t="s">
        <v>151</v>
      </c>
      <c r="D31" s="12" t="s">
        <v>152</v>
      </c>
      <c r="E31" s="12" t="s">
        <v>153</v>
      </c>
      <c r="F31" s="11" t="str">
        <f t="shared" si="1"/>
        <v>CORRECT</v>
      </c>
      <c r="G31" s="11" t="s">
        <v>18</v>
      </c>
      <c r="H31" s="13" t="s">
        <v>18</v>
      </c>
      <c r="I31" s="14" t="s">
        <v>629</v>
      </c>
      <c r="J31" s="15">
        <v>19058.0</v>
      </c>
    </row>
    <row r="32" ht="60.0" customHeight="1">
      <c r="A32" s="11">
        <v>29.0</v>
      </c>
      <c r="B32" s="12" t="s">
        <v>155</v>
      </c>
      <c r="C32" s="12" t="s">
        <v>156</v>
      </c>
      <c r="D32" s="12" t="s">
        <v>157</v>
      </c>
      <c r="E32" s="12" t="s">
        <v>158</v>
      </c>
      <c r="F32" s="11" t="str">
        <f t="shared" si="1"/>
        <v>CORRECT</v>
      </c>
      <c r="G32" s="11" t="s">
        <v>19</v>
      </c>
      <c r="H32" s="13" t="s">
        <v>19</v>
      </c>
      <c r="I32" s="14" t="s">
        <v>630</v>
      </c>
      <c r="J32" s="15">
        <v>18916.0</v>
      </c>
    </row>
    <row r="33" ht="60.0" customHeight="1">
      <c r="A33" s="11">
        <v>30.0</v>
      </c>
      <c r="B33" s="12" t="s">
        <v>160</v>
      </c>
      <c r="C33" s="12" t="s">
        <v>161</v>
      </c>
      <c r="D33" s="12" t="s">
        <v>162</v>
      </c>
      <c r="E33" s="12" t="s">
        <v>163</v>
      </c>
      <c r="F33" s="11" t="str">
        <f t="shared" si="1"/>
        <v>WRONG</v>
      </c>
      <c r="G33" s="11" t="s">
        <v>30</v>
      </c>
      <c r="H33" s="13" t="s">
        <v>18</v>
      </c>
      <c r="I33" s="14" t="s">
        <v>631</v>
      </c>
      <c r="J33" s="15">
        <v>20925.0</v>
      </c>
    </row>
    <row r="34" ht="60.0" customHeight="1">
      <c r="A34" s="11">
        <v>31.0</v>
      </c>
      <c r="B34" s="12" t="s">
        <v>165</v>
      </c>
      <c r="C34" s="12" t="s">
        <v>166</v>
      </c>
      <c r="D34" s="12" t="s">
        <v>167</v>
      </c>
      <c r="E34" s="12" t="s">
        <v>168</v>
      </c>
      <c r="F34" s="11" t="str">
        <f t="shared" si="1"/>
        <v>WRONG</v>
      </c>
      <c r="G34" s="11" t="s">
        <v>19</v>
      </c>
      <c r="H34" s="13" t="s">
        <v>18</v>
      </c>
      <c r="I34" s="14" t="s">
        <v>632</v>
      </c>
      <c r="J34" s="15">
        <v>20146.0</v>
      </c>
    </row>
    <row r="35" ht="60.0" customHeight="1">
      <c r="A35" s="11">
        <v>32.0</v>
      </c>
      <c r="B35" s="12" t="s">
        <v>170</v>
      </c>
      <c r="C35" s="12" t="s">
        <v>171</v>
      </c>
      <c r="D35" s="12" t="s">
        <v>172</v>
      </c>
      <c r="E35" s="12" t="s">
        <v>173</v>
      </c>
      <c r="F35" s="11" t="str">
        <f t="shared" si="1"/>
        <v>CORRECT</v>
      </c>
      <c r="G35" s="11" t="s">
        <v>18</v>
      </c>
      <c r="H35" s="15" t="s">
        <v>18</v>
      </c>
      <c r="I35" s="14" t="s">
        <v>633</v>
      </c>
      <c r="J35" s="15">
        <v>26031.0</v>
      </c>
    </row>
    <row r="36" ht="60.0" customHeight="1">
      <c r="A36" s="11">
        <v>33.0</v>
      </c>
      <c r="B36" s="12" t="s">
        <v>175</v>
      </c>
      <c r="C36" s="12" t="s">
        <v>176</v>
      </c>
      <c r="D36" s="12" t="s">
        <v>177</v>
      </c>
      <c r="E36" s="12" t="s">
        <v>178</v>
      </c>
      <c r="F36" s="11" t="str">
        <f t="shared" si="1"/>
        <v>WRONG</v>
      </c>
      <c r="G36" s="11" t="s">
        <v>30</v>
      </c>
      <c r="H36" s="13" t="s">
        <v>18</v>
      </c>
      <c r="I36" s="14" t="s">
        <v>634</v>
      </c>
      <c r="J36" s="15">
        <v>16322.0</v>
      </c>
    </row>
    <row r="37" ht="60.0" customHeight="1">
      <c r="A37" s="11">
        <v>34.0</v>
      </c>
      <c r="B37" s="12" t="s">
        <v>180</v>
      </c>
      <c r="C37" s="12" t="s">
        <v>181</v>
      </c>
      <c r="D37" s="12" t="s">
        <v>182</v>
      </c>
      <c r="E37" s="12" t="s">
        <v>183</v>
      </c>
      <c r="F37" s="11" t="str">
        <f t="shared" si="1"/>
        <v>CORRECT</v>
      </c>
      <c r="G37" s="11" t="s">
        <v>18</v>
      </c>
      <c r="H37" s="13" t="s">
        <v>18</v>
      </c>
      <c r="I37" s="14" t="s">
        <v>635</v>
      </c>
      <c r="J37" s="15">
        <v>17443.0</v>
      </c>
    </row>
    <row r="38" ht="60.0" customHeight="1">
      <c r="A38" s="11">
        <v>35.0</v>
      </c>
      <c r="B38" s="12" t="s">
        <v>185</v>
      </c>
      <c r="C38" s="12" t="s">
        <v>186</v>
      </c>
      <c r="D38" s="12" t="s">
        <v>187</v>
      </c>
      <c r="E38" s="12" t="s">
        <v>188</v>
      </c>
      <c r="F38" s="11" t="str">
        <f t="shared" si="1"/>
        <v>CORRECT</v>
      </c>
      <c r="G38" s="11" t="s">
        <v>30</v>
      </c>
      <c r="H38" s="15" t="s">
        <v>30</v>
      </c>
      <c r="I38" s="14" t="s">
        <v>636</v>
      </c>
      <c r="J38" s="15">
        <v>18843.0</v>
      </c>
    </row>
    <row r="39" ht="60.0" customHeight="1">
      <c r="A39" s="11">
        <v>36.0</v>
      </c>
      <c r="B39" s="12" t="s">
        <v>190</v>
      </c>
      <c r="C39" s="12" t="s">
        <v>191</v>
      </c>
      <c r="D39" s="12" t="s">
        <v>192</v>
      </c>
      <c r="E39" s="12" t="s">
        <v>193</v>
      </c>
      <c r="F39" s="11" t="str">
        <f t="shared" si="1"/>
        <v>CORRECT</v>
      </c>
      <c r="G39" s="11" t="s">
        <v>18</v>
      </c>
      <c r="H39" s="13" t="s">
        <v>18</v>
      </c>
      <c r="I39" s="14" t="s">
        <v>637</v>
      </c>
      <c r="J39" s="15">
        <v>17928.0</v>
      </c>
    </row>
    <row r="40" ht="60.0" customHeight="1">
      <c r="A40" s="11">
        <v>37.0</v>
      </c>
      <c r="B40" s="12" t="s">
        <v>195</v>
      </c>
      <c r="C40" s="12" t="s">
        <v>196</v>
      </c>
      <c r="D40" s="12" t="s">
        <v>197</v>
      </c>
      <c r="E40" s="12" t="s">
        <v>198</v>
      </c>
      <c r="F40" s="11" t="str">
        <f t="shared" si="1"/>
        <v>WRONG</v>
      </c>
      <c r="G40" s="11" t="s">
        <v>18</v>
      </c>
      <c r="H40" s="15" t="s">
        <v>19</v>
      </c>
      <c r="I40" s="14" t="s">
        <v>638</v>
      </c>
      <c r="J40" s="15">
        <v>15317.0</v>
      </c>
    </row>
    <row r="41" ht="60.0" customHeight="1">
      <c r="A41" s="11">
        <v>38.0</v>
      </c>
      <c r="B41" s="12" t="s">
        <v>200</v>
      </c>
      <c r="C41" s="12" t="s">
        <v>201</v>
      </c>
      <c r="D41" s="12" t="s">
        <v>202</v>
      </c>
      <c r="E41" s="12" t="s">
        <v>203</v>
      </c>
      <c r="F41" s="11" t="str">
        <f t="shared" si="1"/>
        <v>CORRECT</v>
      </c>
      <c r="G41" s="11" t="s">
        <v>18</v>
      </c>
      <c r="H41" s="15" t="s">
        <v>18</v>
      </c>
      <c r="I41" s="14" t="s">
        <v>639</v>
      </c>
      <c r="J41" s="15">
        <v>17554.0</v>
      </c>
    </row>
    <row r="42" ht="60.0" customHeight="1">
      <c r="A42" s="11">
        <v>39.0</v>
      </c>
      <c r="B42" s="12" t="s">
        <v>205</v>
      </c>
      <c r="C42" s="12" t="s">
        <v>206</v>
      </c>
      <c r="D42" s="12" t="s">
        <v>207</v>
      </c>
      <c r="E42" s="12" t="s">
        <v>208</v>
      </c>
      <c r="F42" s="11" t="str">
        <f t="shared" si="1"/>
        <v>WRONG</v>
      </c>
      <c r="G42" s="11" t="s">
        <v>19</v>
      </c>
      <c r="H42" s="13" t="s">
        <v>18</v>
      </c>
      <c r="I42" s="14" t="s">
        <v>640</v>
      </c>
      <c r="J42" s="15">
        <v>21061.0</v>
      </c>
    </row>
    <row r="43" ht="60.0" customHeight="1">
      <c r="A43" s="11">
        <v>40.0</v>
      </c>
      <c r="B43" s="12" t="s">
        <v>210</v>
      </c>
      <c r="C43" s="12" t="s">
        <v>211</v>
      </c>
      <c r="D43" s="12" t="s">
        <v>212</v>
      </c>
      <c r="E43" s="12" t="s">
        <v>213</v>
      </c>
      <c r="F43" s="11" t="str">
        <f t="shared" si="1"/>
        <v>WRONG</v>
      </c>
      <c r="G43" s="11" t="s">
        <v>30</v>
      </c>
      <c r="H43" s="13" t="s">
        <v>19</v>
      </c>
      <c r="I43" s="14" t="s">
        <v>641</v>
      </c>
      <c r="J43" s="15">
        <v>16210.0</v>
      </c>
    </row>
    <row r="44" ht="60.0" customHeight="1">
      <c r="A44" s="11">
        <v>41.0</v>
      </c>
      <c r="B44" s="12" t="s">
        <v>215</v>
      </c>
      <c r="C44" s="12" t="s">
        <v>216</v>
      </c>
      <c r="D44" s="12" t="s">
        <v>217</v>
      </c>
      <c r="E44" s="12" t="s">
        <v>218</v>
      </c>
      <c r="F44" s="11" t="str">
        <f t="shared" si="1"/>
        <v>WRONG</v>
      </c>
      <c r="G44" s="11" t="s">
        <v>19</v>
      </c>
      <c r="H44" s="15" t="s">
        <v>18</v>
      </c>
      <c r="I44" s="14" t="s">
        <v>642</v>
      </c>
      <c r="J44" s="15">
        <v>15515.0</v>
      </c>
    </row>
    <row r="45" ht="60.0" customHeight="1">
      <c r="A45" s="11">
        <v>42.0</v>
      </c>
      <c r="B45" s="12" t="s">
        <v>220</v>
      </c>
      <c r="C45" s="12" t="s">
        <v>221</v>
      </c>
      <c r="D45" s="12" t="s">
        <v>222</v>
      </c>
      <c r="E45" s="12" t="s">
        <v>223</v>
      </c>
      <c r="F45" s="11" t="str">
        <f t="shared" si="1"/>
        <v>WRONG</v>
      </c>
      <c r="G45" s="11" t="s">
        <v>18</v>
      </c>
      <c r="H45" s="15" t="s">
        <v>19</v>
      </c>
      <c r="I45" s="14" t="s">
        <v>643</v>
      </c>
      <c r="J45" s="15">
        <v>17280.0</v>
      </c>
    </row>
    <row r="46" ht="60.0" customHeight="1">
      <c r="A46" s="11">
        <v>43.0</v>
      </c>
      <c r="B46" s="12" t="s">
        <v>225</v>
      </c>
      <c r="C46" s="12" t="s">
        <v>226</v>
      </c>
      <c r="D46" s="12" t="s">
        <v>227</v>
      </c>
      <c r="E46" s="12" t="s">
        <v>228</v>
      </c>
      <c r="F46" s="11" t="str">
        <f t="shared" si="1"/>
        <v>CORRECT</v>
      </c>
      <c r="G46" s="11" t="s">
        <v>30</v>
      </c>
      <c r="H46" s="13" t="s">
        <v>30</v>
      </c>
      <c r="I46" s="14" t="s">
        <v>644</v>
      </c>
      <c r="J46" s="15">
        <v>22361.0</v>
      </c>
    </row>
    <row r="47" ht="60.0" customHeight="1">
      <c r="A47" s="11">
        <v>44.0</v>
      </c>
      <c r="B47" s="12" t="s">
        <v>230</v>
      </c>
      <c r="C47" s="12" t="s">
        <v>231</v>
      </c>
      <c r="D47" s="12" t="s">
        <v>232</v>
      </c>
      <c r="E47" s="12" t="s">
        <v>233</v>
      </c>
      <c r="F47" s="11" t="str">
        <f t="shared" si="1"/>
        <v>CORRECT</v>
      </c>
      <c r="G47" s="11" t="s">
        <v>18</v>
      </c>
      <c r="H47" s="13" t="s">
        <v>18</v>
      </c>
      <c r="I47" s="14" t="s">
        <v>645</v>
      </c>
      <c r="J47" s="15">
        <v>15439.0</v>
      </c>
    </row>
    <row r="48" ht="60.0" customHeight="1">
      <c r="A48" s="11">
        <v>45.0</v>
      </c>
      <c r="B48" s="12" t="s">
        <v>235</v>
      </c>
      <c r="C48" s="12" t="s">
        <v>236</v>
      </c>
      <c r="D48" s="12" t="s">
        <v>237</v>
      </c>
      <c r="E48" s="12" t="s">
        <v>238</v>
      </c>
      <c r="F48" s="11" t="str">
        <f t="shared" si="1"/>
        <v>CORRECT</v>
      </c>
      <c r="G48" s="11" t="s">
        <v>18</v>
      </c>
      <c r="H48" s="15" t="s">
        <v>18</v>
      </c>
      <c r="I48" s="14" t="s">
        <v>646</v>
      </c>
      <c r="J48" s="15">
        <v>19838.0</v>
      </c>
    </row>
    <row r="49" ht="60.0" customHeight="1">
      <c r="A49" s="11">
        <v>46.0</v>
      </c>
      <c r="B49" s="12" t="s">
        <v>240</v>
      </c>
      <c r="C49" s="12" t="s">
        <v>22</v>
      </c>
      <c r="D49" s="12" t="s">
        <v>241</v>
      </c>
      <c r="E49" s="12" t="s">
        <v>242</v>
      </c>
      <c r="F49" s="11" t="str">
        <f t="shared" si="1"/>
        <v>CORRECT</v>
      </c>
      <c r="G49" s="11" t="s">
        <v>18</v>
      </c>
      <c r="H49" s="15" t="s">
        <v>18</v>
      </c>
      <c r="I49" s="14" t="s">
        <v>647</v>
      </c>
      <c r="J49" s="15">
        <v>18811.0</v>
      </c>
    </row>
    <row r="50">
      <c r="A50" s="16" t="s">
        <v>244</v>
      </c>
      <c r="B50" s="2"/>
      <c r="C50" s="2"/>
      <c r="D50" s="2"/>
      <c r="E50" s="3"/>
      <c r="F50" s="17">
        <f>COUNTIFS(F4:F49,"CORRECT")</f>
        <v>22</v>
      </c>
      <c r="G50" s="18"/>
      <c r="H50" s="18"/>
      <c r="J50" s="19">
        <f>AVERAGE(J4:J49)</f>
        <v>18096.02174</v>
      </c>
    </row>
    <row r="51">
      <c r="A51" s="20" t="s">
        <v>245</v>
      </c>
      <c r="B51" s="2"/>
      <c r="C51" s="2"/>
      <c r="D51" s="2"/>
      <c r="E51" s="3"/>
      <c r="F51" s="21">
        <v>46.0</v>
      </c>
      <c r="G51" s="18"/>
      <c r="H51" s="18"/>
    </row>
    <row r="52">
      <c r="A52" s="16" t="s">
        <v>246</v>
      </c>
      <c r="B52" s="2"/>
      <c r="C52" s="2"/>
      <c r="D52" s="2"/>
      <c r="E52" s="3"/>
      <c r="F52" s="22">
        <f>F50/F51</f>
        <v>0.4782608696</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648</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495</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297</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5" t="s">
        <v>19</v>
      </c>
      <c r="I11" s="14" t="s">
        <v>300</v>
      </c>
      <c r="J11" s="15">
        <v>29850.0</v>
      </c>
    </row>
    <row r="12" ht="60.0" customHeight="1">
      <c r="A12" s="11">
        <v>9.0</v>
      </c>
      <c r="B12" s="12" t="s">
        <v>57</v>
      </c>
      <c r="C12" s="12" t="s">
        <v>58</v>
      </c>
      <c r="D12" s="12" t="s">
        <v>59</v>
      </c>
      <c r="E12" s="12" t="s">
        <v>60</v>
      </c>
      <c r="F12" s="11" t="str">
        <f t="shared" si="1"/>
        <v>WRONG</v>
      </c>
      <c r="G12" s="11" t="s">
        <v>19</v>
      </c>
      <c r="H12" s="13" t="s">
        <v>30</v>
      </c>
      <c r="I12" s="14" t="s">
        <v>503</v>
      </c>
      <c r="J12" s="15">
        <v>19566.0</v>
      </c>
    </row>
    <row r="13" ht="60.0" customHeight="1">
      <c r="A13" s="11">
        <v>10.0</v>
      </c>
      <c r="B13" s="12" t="s">
        <v>62</v>
      </c>
      <c r="C13" s="12" t="s">
        <v>63</v>
      </c>
      <c r="D13" s="12" t="s">
        <v>64</v>
      </c>
      <c r="E13" s="12" t="s">
        <v>65</v>
      </c>
      <c r="F13" s="11" t="str">
        <f t="shared" si="1"/>
        <v>WRONG</v>
      </c>
      <c r="G13" s="11" t="s">
        <v>30</v>
      </c>
      <c r="H13" s="15"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649</v>
      </c>
      <c r="J14" s="15">
        <v>20526.0</v>
      </c>
    </row>
    <row r="15" ht="60.0" customHeight="1">
      <c r="A15" s="11">
        <v>12.0</v>
      </c>
      <c r="B15" s="12" t="s">
        <v>72</v>
      </c>
      <c r="C15" s="12" t="s">
        <v>73</v>
      </c>
      <c r="D15" s="12" t="s">
        <v>74</v>
      </c>
      <c r="E15" s="12" t="s">
        <v>75</v>
      </c>
      <c r="F15" s="11" t="str">
        <f t="shared" si="1"/>
        <v>CORRECT</v>
      </c>
      <c r="G15" s="11" t="s">
        <v>30</v>
      </c>
      <c r="H15" s="15" t="s">
        <v>30</v>
      </c>
      <c r="I15" s="14" t="s">
        <v>76</v>
      </c>
      <c r="J15" s="15">
        <v>17612.0</v>
      </c>
    </row>
    <row r="16" ht="60.0" customHeight="1">
      <c r="A16" s="11">
        <v>13.0</v>
      </c>
      <c r="B16" s="12" t="s">
        <v>77</v>
      </c>
      <c r="C16" s="12" t="s">
        <v>78</v>
      </c>
      <c r="D16" s="12" t="s">
        <v>79</v>
      </c>
      <c r="E16" s="12" t="s">
        <v>80</v>
      </c>
      <c r="F16" s="11" t="str">
        <f t="shared" si="1"/>
        <v>CORRECT</v>
      </c>
      <c r="G16" s="11" t="s">
        <v>18</v>
      </c>
      <c r="H16" s="13" t="s">
        <v>18</v>
      </c>
      <c r="I16" s="14" t="s">
        <v>81</v>
      </c>
      <c r="J16" s="15">
        <v>17025.0</v>
      </c>
    </row>
    <row r="17" ht="60.0" customHeight="1">
      <c r="A17" s="11">
        <v>14.0</v>
      </c>
      <c r="B17" s="12" t="s">
        <v>82</v>
      </c>
      <c r="C17" s="12" t="s">
        <v>83</v>
      </c>
      <c r="D17" s="12" t="s">
        <v>84</v>
      </c>
      <c r="E17" s="12" t="s">
        <v>85</v>
      </c>
      <c r="F17" s="11" t="str">
        <f t="shared" si="1"/>
        <v>WRONG</v>
      </c>
      <c r="G17" s="11" t="s">
        <v>18</v>
      </c>
      <c r="H17" s="15" t="s">
        <v>30</v>
      </c>
      <c r="I17" s="14" t="s">
        <v>383</v>
      </c>
      <c r="J17" s="15">
        <v>12961.0</v>
      </c>
    </row>
    <row r="18" ht="60.0" customHeight="1">
      <c r="A18" s="11">
        <v>15.0</v>
      </c>
      <c r="B18" s="12" t="s">
        <v>87</v>
      </c>
      <c r="C18" s="12" t="s">
        <v>88</v>
      </c>
      <c r="D18" s="12" t="s">
        <v>89</v>
      </c>
      <c r="E18" s="12" t="s">
        <v>90</v>
      </c>
      <c r="F18" s="11" t="str">
        <f t="shared" si="1"/>
        <v>CORRECT</v>
      </c>
      <c r="G18" s="11" t="s">
        <v>30</v>
      </c>
      <c r="H18" s="13" t="s">
        <v>30</v>
      </c>
      <c r="I18" s="14" t="s">
        <v>650</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5" t="s">
        <v>18</v>
      </c>
      <c r="I20" s="14" t="s">
        <v>308</v>
      </c>
      <c r="J20" s="15">
        <v>16788.0</v>
      </c>
    </row>
    <row r="21" ht="60.0" customHeight="1">
      <c r="A21" s="11">
        <v>18.0</v>
      </c>
      <c r="B21" s="12" t="s">
        <v>102</v>
      </c>
      <c r="C21" s="12" t="s">
        <v>103</v>
      </c>
      <c r="D21" s="12" t="s">
        <v>104</v>
      </c>
      <c r="E21" s="12" t="s">
        <v>105</v>
      </c>
      <c r="F21" s="11" t="str">
        <f t="shared" si="1"/>
        <v>CORRECT</v>
      </c>
      <c r="G21" s="11" t="s">
        <v>19</v>
      </c>
      <c r="H21" s="15" t="s">
        <v>19</v>
      </c>
      <c r="I21" s="14" t="s">
        <v>309</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18</v>
      </c>
      <c r="I23" s="14" t="s">
        <v>335</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5" t="s">
        <v>30</v>
      </c>
      <c r="I26" s="14" t="s">
        <v>131</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30</v>
      </c>
      <c r="I29" s="14" t="s">
        <v>314</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CORRECT</v>
      </c>
      <c r="G35" s="11" t="s">
        <v>18</v>
      </c>
      <c r="H35" s="15" t="s">
        <v>18</v>
      </c>
      <c r="I35" s="14" t="s">
        <v>384</v>
      </c>
      <c r="J35" s="15">
        <v>26031.0</v>
      </c>
    </row>
    <row r="36" ht="60.0" customHeight="1">
      <c r="A36" s="11">
        <v>33.0</v>
      </c>
      <c r="B36" s="12" t="s">
        <v>175</v>
      </c>
      <c r="C36" s="12" t="s">
        <v>176</v>
      </c>
      <c r="D36" s="12" t="s">
        <v>177</v>
      </c>
      <c r="E36" s="12" t="s">
        <v>178</v>
      </c>
      <c r="F36" s="11" t="str">
        <f t="shared" si="1"/>
        <v>CORRECT</v>
      </c>
      <c r="G36" s="11" t="s">
        <v>30</v>
      </c>
      <c r="H36" s="13" t="s">
        <v>30</v>
      </c>
      <c r="I36" s="14" t="s">
        <v>320</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5"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323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5" t="s">
        <v>18</v>
      </c>
      <c r="I41" s="14" t="s">
        <v>651</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652</v>
      </c>
      <c r="J43" s="15">
        <v>16210.0</v>
      </c>
    </row>
    <row r="44" ht="60.0" customHeight="1">
      <c r="A44" s="11">
        <v>41.0</v>
      </c>
      <c r="B44" s="12" t="s">
        <v>215</v>
      </c>
      <c r="C44" s="12" t="s">
        <v>216</v>
      </c>
      <c r="D44" s="12" t="s">
        <v>217</v>
      </c>
      <c r="E44" s="12" t="s">
        <v>218</v>
      </c>
      <c r="F44" s="11" t="str">
        <f t="shared" si="1"/>
        <v>CORRECT</v>
      </c>
      <c r="G44" s="11" t="s">
        <v>19</v>
      </c>
      <c r="H44" s="13" t="s">
        <v>19</v>
      </c>
      <c r="I44" s="14" t="s">
        <v>500</v>
      </c>
      <c r="J44" s="15">
        <v>15515.0</v>
      </c>
    </row>
    <row r="45" ht="60.0" customHeight="1">
      <c r="A45" s="11">
        <v>42.0</v>
      </c>
      <c r="B45" s="12" t="s">
        <v>220</v>
      </c>
      <c r="C45" s="12" t="s">
        <v>221</v>
      </c>
      <c r="D45" s="12" t="s">
        <v>222</v>
      </c>
      <c r="E45" s="12" t="s">
        <v>223</v>
      </c>
      <c r="F45" s="11" t="str">
        <f t="shared" si="1"/>
        <v>WRONG</v>
      </c>
      <c r="G45" s="11" t="s">
        <v>18</v>
      </c>
      <c r="H45" s="15" t="s">
        <v>19</v>
      </c>
      <c r="I45" s="14" t="s">
        <v>653</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5" t="s">
        <v>18</v>
      </c>
      <c r="I48" s="14" t="s">
        <v>501</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26</v>
      </c>
      <c r="G50" s="18"/>
      <c r="H50" s="18"/>
      <c r="J50" s="19">
        <f>AVERAGE(J4:J49)</f>
        <v>18096.02174</v>
      </c>
    </row>
    <row r="51">
      <c r="A51" s="20" t="s">
        <v>245</v>
      </c>
      <c r="B51" s="2"/>
      <c r="C51" s="2"/>
      <c r="D51" s="2"/>
      <c r="E51" s="3"/>
      <c r="F51" s="21">
        <v>46.0</v>
      </c>
      <c r="G51" s="18"/>
      <c r="H51" s="18"/>
    </row>
    <row r="52">
      <c r="A52" s="16" t="s">
        <v>246</v>
      </c>
      <c r="B52" s="2"/>
      <c r="C52" s="2"/>
      <c r="D52" s="2"/>
      <c r="E52" s="3"/>
      <c r="F52" s="22">
        <f>F50/F51</f>
        <v>0.5652173913</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654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655</v>
      </c>
      <c r="J5" s="15">
        <v>21567.0</v>
      </c>
    </row>
    <row r="6" ht="60.0" customHeight="1">
      <c r="A6" s="11">
        <v>3.0</v>
      </c>
      <c r="B6" s="12" t="s">
        <v>26</v>
      </c>
      <c r="C6" s="12" t="s">
        <v>27</v>
      </c>
      <c r="D6" s="12" t="s">
        <v>28</v>
      </c>
      <c r="E6" s="12" t="s">
        <v>29</v>
      </c>
      <c r="F6" s="11" t="str">
        <f t="shared" si="1"/>
        <v>CORRECT</v>
      </c>
      <c r="G6" s="11" t="s">
        <v>30</v>
      </c>
      <c r="H6" s="15" t="s">
        <v>30</v>
      </c>
      <c r="I6" s="14" t="s">
        <v>656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657</v>
      </c>
      <c r="J8" s="15">
        <v>24631.0</v>
      </c>
    </row>
    <row r="9" ht="60.0" customHeight="1">
      <c r="A9" s="11">
        <v>6.0</v>
      </c>
      <c r="B9" s="12" t="s">
        <v>42</v>
      </c>
      <c r="C9" s="12" t="s">
        <v>43</v>
      </c>
      <c r="D9" s="12" t="s">
        <v>44</v>
      </c>
      <c r="E9" s="12" t="s">
        <v>45</v>
      </c>
      <c r="F9" s="11" t="str">
        <f t="shared" si="1"/>
        <v>CORRECT</v>
      </c>
      <c r="G9" s="11" t="s">
        <v>19</v>
      </c>
      <c r="H9" s="13" t="s">
        <v>19</v>
      </c>
      <c r="I9" s="14" t="s">
        <v>658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5" t="s">
        <v>19</v>
      </c>
      <c r="I11" s="14" t="s">
        <v>391</v>
      </c>
      <c r="J11" s="15">
        <v>29850.0</v>
      </c>
    </row>
    <row r="12" ht="60.0" customHeight="1">
      <c r="A12" s="11">
        <v>9.0</v>
      </c>
      <c r="B12" s="12" t="s">
        <v>57</v>
      </c>
      <c r="C12" s="12" t="s">
        <v>58</v>
      </c>
      <c r="D12" s="12" t="s">
        <v>59</v>
      </c>
      <c r="E12" s="12" t="s">
        <v>60</v>
      </c>
      <c r="F12" s="11" t="str">
        <f t="shared" si="1"/>
        <v>WRONG</v>
      </c>
      <c r="G12" s="11" t="s">
        <v>19</v>
      </c>
      <c r="H12" s="13" t="s">
        <v>30</v>
      </c>
      <c r="I12" s="14" t="s">
        <v>301</v>
      </c>
      <c r="J12" s="15">
        <v>19566.0</v>
      </c>
    </row>
    <row r="13" ht="60.0" customHeight="1">
      <c r="A13" s="11">
        <v>10.0</v>
      </c>
      <c r="B13" s="12" t="s">
        <v>62</v>
      </c>
      <c r="C13" s="12" t="s">
        <v>63</v>
      </c>
      <c r="D13" s="12" t="s">
        <v>64</v>
      </c>
      <c r="E13" s="12" t="s">
        <v>65</v>
      </c>
      <c r="F13" s="11" t="str">
        <f t="shared" si="1"/>
        <v>WRONG</v>
      </c>
      <c r="G13" s="11" t="s">
        <v>30</v>
      </c>
      <c r="H13" s="15" t="s">
        <v>19</v>
      </c>
      <c r="I13" s="14" t="s">
        <v>66</v>
      </c>
      <c r="J13" s="15">
        <v>18762.0</v>
      </c>
    </row>
    <row r="14" ht="60.0" customHeight="1">
      <c r="A14" s="11">
        <v>11.0</v>
      </c>
      <c r="B14" s="12" t="s">
        <v>67</v>
      </c>
      <c r="C14" s="12" t="s">
        <v>68</v>
      </c>
      <c r="D14" s="12" t="s">
        <v>69</v>
      </c>
      <c r="E14" s="12" t="s">
        <v>70</v>
      </c>
      <c r="F14" s="11" t="str">
        <f t="shared" si="1"/>
        <v>WRONG</v>
      </c>
      <c r="G14" s="11" t="s">
        <v>19</v>
      </c>
      <c r="H14" s="15" t="s">
        <v>30</v>
      </c>
      <c r="I14" s="14" t="s">
        <v>659</v>
      </c>
      <c r="J14" s="15">
        <v>20526.0</v>
      </c>
    </row>
    <row r="15" ht="60.0" customHeight="1">
      <c r="A15" s="11">
        <v>12.0</v>
      </c>
      <c r="B15" s="12" t="s">
        <v>72</v>
      </c>
      <c r="C15" s="12" t="s">
        <v>73</v>
      </c>
      <c r="D15" s="12" t="s">
        <v>74</v>
      </c>
      <c r="E15" s="12" t="s">
        <v>75</v>
      </c>
      <c r="F15" s="11" t="str">
        <f t="shared" si="1"/>
        <v>CORRECT</v>
      </c>
      <c r="G15" s="11" t="s">
        <v>30</v>
      </c>
      <c r="H15" s="15" t="s">
        <v>30</v>
      </c>
      <c r="I15" s="14" t="s">
        <v>660</v>
      </c>
      <c r="J15" s="15">
        <v>17612.0</v>
      </c>
    </row>
    <row r="16" ht="60.0" customHeight="1">
      <c r="A16" s="11">
        <v>13.0</v>
      </c>
      <c r="B16" s="12" t="s">
        <v>77</v>
      </c>
      <c r="C16" s="12" t="s">
        <v>78</v>
      </c>
      <c r="D16" s="12" t="s">
        <v>79</v>
      </c>
      <c r="E16" s="12" t="s">
        <v>80</v>
      </c>
      <c r="F16" s="11" t="str">
        <f t="shared" si="1"/>
        <v>CORRECT</v>
      </c>
      <c r="G16" s="11" t="s">
        <v>18</v>
      </c>
      <c r="H16" s="13" t="s">
        <v>18</v>
      </c>
      <c r="I16" s="14" t="s">
        <v>661</v>
      </c>
      <c r="J16" s="15">
        <v>17025.0</v>
      </c>
    </row>
    <row r="17" ht="60.0" customHeight="1">
      <c r="A17" s="11">
        <v>14.0</v>
      </c>
      <c r="B17" s="12" t="s">
        <v>82</v>
      </c>
      <c r="C17" s="12" t="s">
        <v>83</v>
      </c>
      <c r="D17" s="12" t="s">
        <v>84</v>
      </c>
      <c r="E17" s="12" t="s">
        <v>85</v>
      </c>
      <c r="F17" s="11" t="str">
        <f t="shared" si="1"/>
        <v>WRONG</v>
      </c>
      <c r="G17" s="11" t="s">
        <v>18</v>
      </c>
      <c r="H17" s="15" t="s">
        <v>30</v>
      </c>
      <c r="I17" s="14" t="s">
        <v>662</v>
      </c>
      <c r="J17" s="15">
        <v>12961.0</v>
      </c>
    </row>
    <row r="18" ht="60.0" customHeight="1">
      <c r="A18" s="11">
        <v>15.0</v>
      </c>
      <c r="B18" s="12" t="s">
        <v>87</v>
      </c>
      <c r="C18" s="12" t="s">
        <v>88</v>
      </c>
      <c r="D18" s="12" t="s">
        <v>89</v>
      </c>
      <c r="E18" s="12" t="s">
        <v>90</v>
      </c>
      <c r="F18" s="11" t="str">
        <f t="shared" si="1"/>
        <v>CORRECT</v>
      </c>
      <c r="G18" s="11" t="s">
        <v>30</v>
      </c>
      <c r="H18" s="13" t="s">
        <v>30</v>
      </c>
      <c r="I18" s="14" t="s">
        <v>392</v>
      </c>
      <c r="J18" s="15">
        <v>21882.0</v>
      </c>
    </row>
    <row r="19" ht="60.0" customHeight="1">
      <c r="A19" s="11">
        <v>16.0</v>
      </c>
      <c r="B19" s="12" t="s">
        <v>92</v>
      </c>
      <c r="C19" s="12" t="s">
        <v>93</v>
      </c>
      <c r="D19" s="12" t="s">
        <v>94</v>
      </c>
      <c r="E19" s="12" t="s">
        <v>95</v>
      </c>
      <c r="F19" s="11" t="str">
        <f t="shared" si="1"/>
        <v>CORRECT</v>
      </c>
      <c r="G19" s="11" t="s">
        <v>30</v>
      </c>
      <c r="H19" s="13" t="s">
        <v>30</v>
      </c>
      <c r="I19" s="14" t="s">
        <v>307</v>
      </c>
      <c r="J19" s="15">
        <v>14687.0</v>
      </c>
    </row>
    <row r="20" ht="60.0" customHeight="1">
      <c r="A20" s="11">
        <v>17.0</v>
      </c>
      <c r="B20" s="12" t="s">
        <v>97</v>
      </c>
      <c r="C20" s="12" t="s">
        <v>98</v>
      </c>
      <c r="D20" s="12" t="s">
        <v>99</v>
      </c>
      <c r="E20" s="12" t="s">
        <v>100</v>
      </c>
      <c r="F20" s="11" t="str">
        <f t="shared" si="1"/>
        <v>WRONG</v>
      </c>
      <c r="G20" s="11" t="s">
        <v>19</v>
      </c>
      <c r="H20" s="15" t="s">
        <v>18</v>
      </c>
      <c r="I20" s="14" t="s">
        <v>663</v>
      </c>
      <c r="J20" s="15">
        <v>16788.0</v>
      </c>
    </row>
    <row r="21" ht="60.0" customHeight="1">
      <c r="A21" s="11">
        <v>18.0</v>
      </c>
      <c r="B21" s="12" t="s">
        <v>102</v>
      </c>
      <c r="C21" s="12" t="s">
        <v>103</v>
      </c>
      <c r="D21" s="12" t="s">
        <v>104</v>
      </c>
      <c r="E21" s="12" t="s">
        <v>105</v>
      </c>
      <c r="F21" s="11" t="str">
        <f t="shared" si="1"/>
        <v>CORRECT</v>
      </c>
      <c r="G21" s="11" t="s">
        <v>19</v>
      </c>
      <c r="H21" s="15" t="s">
        <v>19</v>
      </c>
      <c r="I21" s="14" t="s">
        <v>664</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18</v>
      </c>
      <c r="I23" s="14" t="s">
        <v>665</v>
      </c>
      <c r="J23" s="15">
        <v>18497.0</v>
      </c>
    </row>
    <row r="24" ht="60.0" customHeight="1">
      <c r="A24" s="11">
        <v>21.0</v>
      </c>
      <c r="B24" s="12" t="s">
        <v>117</v>
      </c>
      <c r="C24" s="12" t="s">
        <v>118</v>
      </c>
      <c r="D24" s="12" t="s">
        <v>119</v>
      </c>
      <c r="E24" s="12" t="s">
        <v>120</v>
      </c>
      <c r="F24" s="11" t="str">
        <f t="shared" si="1"/>
        <v>WRONG</v>
      </c>
      <c r="G24" s="11" t="s">
        <v>19</v>
      </c>
      <c r="H24" s="13" t="s">
        <v>18</v>
      </c>
      <c r="I24" s="14" t="s">
        <v>364</v>
      </c>
      <c r="J24" s="15">
        <v>22086.0</v>
      </c>
    </row>
    <row r="25" ht="60.0" customHeight="1">
      <c r="A25" s="11">
        <v>22.0</v>
      </c>
      <c r="B25" s="12" t="s">
        <v>122</v>
      </c>
      <c r="C25" s="12" t="s">
        <v>123</v>
      </c>
      <c r="D25" s="12" t="s">
        <v>124</v>
      </c>
      <c r="E25" s="12" t="s">
        <v>125</v>
      </c>
      <c r="F25" s="11" t="str">
        <f t="shared" si="1"/>
        <v>CORRECT</v>
      </c>
      <c r="G25" s="11" t="s">
        <v>19</v>
      </c>
      <c r="H25" s="13" t="s">
        <v>19</v>
      </c>
      <c r="I25" s="14" t="s">
        <v>666</v>
      </c>
      <c r="J25" s="15">
        <v>18798.0</v>
      </c>
    </row>
    <row r="26" ht="60.0" customHeight="1">
      <c r="A26" s="11">
        <v>23.0</v>
      </c>
      <c r="B26" s="12" t="s">
        <v>127</v>
      </c>
      <c r="C26" s="12" t="s">
        <v>128</v>
      </c>
      <c r="D26" s="12" t="s">
        <v>129</v>
      </c>
      <c r="E26" s="12" t="s">
        <v>130</v>
      </c>
      <c r="F26" s="11" t="str">
        <f t="shared" si="1"/>
        <v>CORRECT</v>
      </c>
      <c r="G26" s="11" t="s">
        <v>30</v>
      </c>
      <c r="H26" s="15" t="s">
        <v>30</v>
      </c>
      <c r="I26" s="14" t="s">
        <v>667</v>
      </c>
      <c r="J26" s="15">
        <v>16311.0</v>
      </c>
    </row>
    <row r="27" ht="60.0" customHeight="1">
      <c r="A27" s="11">
        <v>24.0</v>
      </c>
      <c r="B27" s="12" t="s">
        <v>132</v>
      </c>
      <c r="C27" s="12" t="s">
        <v>133</v>
      </c>
      <c r="D27" s="12" t="s">
        <v>134</v>
      </c>
      <c r="E27" s="12" t="s">
        <v>135</v>
      </c>
      <c r="F27" s="11" t="str">
        <f t="shared" si="1"/>
        <v>WRONG</v>
      </c>
      <c r="G27" s="11" t="s">
        <v>18</v>
      </c>
      <c r="H27" s="13"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668</v>
      </c>
      <c r="J28" s="15">
        <v>12653.0</v>
      </c>
    </row>
    <row r="29" ht="60.0" customHeight="1">
      <c r="A29" s="11">
        <v>26.0</v>
      </c>
      <c r="B29" s="12" t="s">
        <v>140</v>
      </c>
      <c r="C29" s="12" t="s">
        <v>141</v>
      </c>
      <c r="D29" s="12" t="s">
        <v>142</v>
      </c>
      <c r="E29" s="12" t="s">
        <v>143</v>
      </c>
      <c r="F29" s="11" t="str">
        <f t="shared" si="1"/>
        <v>WRONG</v>
      </c>
      <c r="G29" s="11" t="s">
        <v>18</v>
      </c>
      <c r="H29" s="13" t="s">
        <v>30</v>
      </c>
      <c r="I29" s="14" t="s">
        <v>314</v>
      </c>
      <c r="J29" s="15">
        <v>8395.0</v>
      </c>
    </row>
    <row r="30" ht="60.0" customHeight="1">
      <c r="A30" s="11">
        <v>27.0</v>
      </c>
      <c r="B30" s="12" t="s">
        <v>145</v>
      </c>
      <c r="C30" s="12" t="s">
        <v>146</v>
      </c>
      <c r="D30" s="12" t="s">
        <v>147</v>
      </c>
      <c r="E30" s="12" t="s">
        <v>148</v>
      </c>
      <c r="F30" s="11" t="str">
        <f t="shared" si="1"/>
        <v>CORRECT</v>
      </c>
      <c r="G30" s="11" t="s">
        <v>19</v>
      </c>
      <c r="H30" s="15" t="s">
        <v>19</v>
      </c>
      <c r="I30" s="14" t="s">
        <v>669</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670</v>
      </c>
      <c r="J33" s="15">
        <v>20925.0</v>
      </c>
    </row>
    <row r="34" ht="60.0" customHeight="1">
      <c r="A34" s="11">
        <v>31.0</v>
      </c>
      <c r="B34" s="12" t="s">
        <v>165</v>
      </c>
      <c r="C34" s="12" t="s">
        <v>166</v>
      </c>
      <c r="D34" s="12" t="s">
        <v>167</v>
      </c>
      <c r="E34" s="12" t="s">
        <v>168</v>
      </c>
      <c r="F34" s="11" t="str">
        <f t="shared" si="1"/>
        <v>WRONG</v>
      </c>
      <c r="G34" s="11" t="s">
        <v>19</v>
      </c>
      <c r="H34" s="13" t="s">
        <v>18</v>
      </c>
      <c r="I34" s="14" t="s">
        <v>671</v>
      </c>
      <c r="J34" s="15">
        <v>20146.0</v>
      </c>
    </row>
    <row r="35" ht="60.0" customHeight="1">
      <c r="A35" s="11">
        <v>32.0</v>
      </c>
      <c r="B35" s="12" t="s">
        <v>170</v>
      </c>
      <c r="C35" s="12" t="s">
        <v>171</v>
      </c>
      <c r="D35" s="12" t="s">
        <v>172</v>
      </c>
      <c r="E35" s="12" t="s">
        <v>173</v>
      </c>
      <c r="F35" s="11" t="str">
        <f t="shared" si="1"/>
        <v>WRONG</v>
      </c>
      <c r="G35" s="11" t="s">
        <v>18</v>
      </c>
      <c r="H35" s="13" t="s">
        <v>30</v>
      </c>
      <c r="I35" s="14" t="s">
        <v>672</v>
      </c>
      <c r="J35" s="15">
        <v>26031.0</v>
      </c>
    </row>
    <row r="36" ht="60.0" customHeight="1">
      <c r="A36" s="11">
        <v>33.0</v>
      </c>
      <c r="B36" s="12" t="s">
        <v>175</v>
      </c>
      <c r="C36" s="12" t="s">
        <v>176</v>
      </c>
      <c r="D36" s="12" t="s">
        <v>177</v>
      </c>
      <c r="E36" s="12" t="s">
        <v>178</v>
      </c>
      <c r="F36" s="11" t="str">
        <f t="shared" si="1"/>
        <v>CORRECT</v>
      </c>
      <c r="G36" s="11" t="s">
        <v>30</v>
      </c>
      <c r="H36" s="13" t="s">
        <v>30</v>
      </c>
      <c r="I36" s="14" t="s">
        <v>673</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5" t="s">
        <v>30</v>
      </c>
      <c r="I38" s="14" t="s">
        <v>322</v>
      </c>
      <c r="J38" s="15">
        <v>18843.0</v>
      </c>
    </row>
    <row r="39" ht="60.0" customHeight="1">
      <c r="A39" s="11">
        <v>36.0</v>
      </c>
      <c r="B39" s="12" t="s">
        <v>190</v>
      </c>
      <c r="C39" s="12" t="s">
        <v>191</v>
      </c>
      <c r="D39" s="12" t="s">
        <v>192</v>
      </c>
      <c r="E39" s="12" t="s">
        <v>193</v>
      </c>
      <c r="F39" s="11" t="str">
        <f t="shared" si="1"/>
        <v>CORRECT</v>
      </c>
      <c r="G39" s="11" t="s">
        <v>18</v>
      </c>
      <c r="H39" s="13" t="s">
        <v>18</v>
      </c>
      <c r="I39" s="14" t="s">
        <v>674</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5" t="s">
        <v>18</v>
      </c>
      <c r="I41" s="14" t="s">
        <v>651</v>
      </c>
      <c r="J41" s="15">
        <v>17554.0</v>
      </c>
    </row>
    <row r="42" ht="60.0" customHeight="1">
      <c r="A42" s="11">
        <v>39.0</v>
      </c>
      <c r="B42" s="12" t="s">
        <v>205</v>
      </c>
      <c r="C42" s="12" t="s">
        <v>206</v>
      </c>
      <c r="D42" s="12" t="s">
        <v>207</v>
      </c>
      <c r="E42" s="12" t="s">
        <v>208</v>
      </c>
      <c r="F42" s="11" t="str">
        <f t="shared" si="1"/>
        <v>WRONG</v>
      </c>
      <c r="G42" s="11" t="s">
        <v>19</v>
      </c>
      <c r="H42" s="13"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675</v>
      </c>
      <c r="J43" s="15">
        <v>16210.0</v>
      </c>
    </row>
    <row r="44" ht="60.0" customHeight="1">
      <c r="A44" s="11">
        <v>41.0</v>
      </c>
      <c r="B44" s="12" t="s">
        <v>215</v>
      </c>
      <c r="C44" s="12" t="s">
        <v>216</v>
      </c>
      <c r="D44" s="12" t="s">
        <v>217</v>
      </c>
      <c r="E44" s="12" t="s">
        <v>218</v>
      </c>
      <c r="F44" s="11" t="str">
        <f t="shared" si="1"/>
        <v>CORRECT</v>
      </c>
      <c r="G44" s="11" t="s">
        <v>19</v>
      </c>
      <c r="H44" s="13" t="s">
        <v>19</v>
      </c>
      <c r="I44" s="14" t="s">
        <v>500</v>
      </c>
      <c r="J44" s="15">
        <v>15515.0</v>
      </c>
    </row>
    <row r="45" ht="60.0" customHeight="1">
      <c r="A45" s="11">
        <v>42.0</v>
      </c>
      <c r="B45" s="12" t="s">
        <v>220</v>
      </c>
      <c r="C45" s="12" t="s">
        <v>221</v>
      </c>
      <c r="D45" s="12" t="s">
        <v>222</v>
      </c>
      <c r="E45" s="12" t="s">
        <v>223</v>
      </c>
      <c r="F45" s="11" t="str">
        <f t="shared" si="1"/>
        <v>WRONG</v>
      </c>
      <c r="G45" s="11" t="s">
        <v>18</v>
      </c>
      <c r="H45" s="13" t="s">
        <v>19</v>
      </c>
      <c r="I45" s="14" t="s">
        <v>376</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5" t="s">
        <v>18</v>
      </c>
      <c r="I48" s="14" t="s">
        <v>239</v>
      </c>
      <c r="J48" s="15">
        <v>19838.0</v>
      </c>
    </row>
    <row r="49" ht="60.0" customHeight="1">
      <c r="A49" s="11">
        <v>46.0</v>
      </c>
      <c r="B49" s="12" t="s">
        <v>240</v>
      </c>
      <c r="C49" s="12" t="s">
        <v>22</v>
      </c>
      <c r="D49" s="12" t="s">
        <v>241</v>
      </c>
      <c r="E49" s="12" t="s">
        <v>242</v>
      </c>
      <c r="F49" s="11" t="str">
        <f t="shared" si="1"/>
        <v>CORRECT</v>
      </c>
      <c r="G49" s="11" t="s">
        <v>18</v>
      </c>
      <c r="H49" s="15" t="s">
        <v>18</v>
      </c>
      <c r="I49" s="14" t="s">
        <v>348</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676</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677</v>
      </c>
      <c r="J4" s="15">
        <v>17967.0</v>
      </c>
    </row>
    <row r="5" ht="60.0" customHeight="1">
      <c r="A5" s="11">
        <v>2.0</v>
      </c>
      <c r="B5" s="12" t="s">
        <v>21</v>
      </c>
      <c r="C5" s="12" t="s">
        <v>22</v>
      </c>
      <c r="D5" s="12" t="s">
        <v>23</v>
      </c>
      <c r="E5" s="12" t="s">
        <v>24</v>
      </c>
      <c r="F5" s="11" t="str">
        <f t="shared" si="1"/>
        <v>CORRECT</v>
      </c>
      <c r="G5" s="11" t="s">
        <v>19</v>
      </c>
      <c r="H5" s="13" t="s">
        <v>19</v>
      </c>
      <c r="I5" s="14" t="s">
        <v>678</v>
      </c>
      <c r="J5" s="15">
        <v>21567.0</v>
      </c>
    </row>
    <row r="6" ht="60.0" customHeight="1">
      <c r="A6" s="11">
        <v>3.0</v>
      </c>
      <c r="B6" s="12" t="s">
        <v>26</v>
      </c>
      <c r="C6" s="12" t="s">
        <v>27</v>
      </c>
      <c r="D6" s="12" t="s">
        <v>28</v>
      </c>
      <c r="E6" s="12" t="s">
        <v>29</v>
      </c>
      <c r="F6" s="11" t="str">
        <f t="shared" si="1"/>
        <v>CORRECT</v>
      </c>
      <c r="G6" s="11" t="s">
        <v>30</v>
      </c>
      <c r="H6" s="15" t="s">
        <v>30</v>
      </c>
      <c r="I6" s="14" t="s">
        <v>679</v>
      </c>
      <c r="J6" s="15">
        <v>18514.0</v>
      </c>
    </row>
    <row r="7" ht="60.0" customHeight="1">
      <c r="A7" s="11">
        <v>4.0</v>
      </c>
      <c r="B7" s="12" t="s">
        <v>32</v>
      </c>
      <c r="C7" s="12" t="s">
        <v>33</v>
      </c>
      <c r="D7" s="12" t="s">
        <v>34</v>
      </c>
      <c r="E7" s="12" t="s">
        <v>35</v>
      </c>
      <c r="F7" s="11" t="str">
        <f t="shared" si="1"/>
        <v>WRONG</v>
      </c>
      <c r="G7" s="11" t="s">
        <v>19</v>
      </c>
      <c r="H7" s="13" t="s">
        <v>30</v>
      </c>
      <c r="I7" s="14" t="s">
        <v>680</v>
      </c>
      <c r="J7" s="15">
        <v>14761.0</v>
      </c>
    </row>
    <row r="8" ht="60.0" customHeight="1">
      <c r="A8" s="11">
        <v>5.0</v>
      </c>
      <c r="B8" s="12" t="s">
        <v>37</v>
      </c>
      <c r="C8" s="12" t="s">
        <v>38</v>
      </c>
      <c r="D8" s="12" t="s">
        <v>39</v>
      </c>
      <c r="E8" s="12" t="s">
        <v>40</v>
      </c>
      <c r="F8" s="11" t="str">
        <f t="shared" si="1"/>
        <v>CORRECT</v>
      </c>
      <c r="G8" s="11" t="s">
        <v>30</v>
      </c>
      <c r="H8" s="13" t="s">
        <v>30</v>
      </c>
      <c r="I8" s="14" t="s">
        <v>681</v>
      </c>
      <c r="J8" s="15">
        <v>24631.0</v>
      </c>
    </row>
    <row r="9" ht="60.0" customHeight="1">
      <c r="A9" s="11">
        <v>6.0</v>
      </c>
      <c r="B9" s="12" t="s">
        <v>42</v>
      </c>
      <c r="C9" s="12" t="s">
        <v>43</v>
      </c>
      <c r="D9" s="12" t="s">
        <v>44</v>
      </c>
      <c r="E9" s="12" t="s">
        <v>45</v>
      </c>
      <c r="F9" s="11" t="str">
        <f t="shared" si="1"/>
        <v>CORRECT</v>
      </c>
      <c r="G9" s="11" t="s">
        <v>19</v>
      </c>
      <c r="H9" s="13" t="s">
        <v>19</v>
      </c>
      <c r="I9" s="14" t="s">
        <v>682</v>
      </c>
      <c r="J9" s="15">
        <v>18622.0</v>
      </c>
    </row>
    <row r="10" ht="60.0" customHeight="1">
      <c r="A10" s="11">
        <v>7.0</v>
      </c>
      <c r="B10" s="12" t="s">
        <v>47</v>
      </c>
      <c r="C10" s="12" t="s">
        <v>48</v>
      </c>
      <c r="D10" s="12" t="s">
        <v>49</v>
      </c>
      <c r="E10" s="12" t="s">
        <v>50</v>
      </c>
      <c r="F10" s="11" t="str">
        <f t="shared" si="1"/>
        <v>CORRECT</v>
      </c>
      <c r="G10" s="11" t="s">
        <v>19</v>
      </c>
      <c r="H10" s="15" t="s">
        <v>19</v>
      </c>
      <c r="I10" s="14" t="s">
        <v>683</v>
      </c>
      <c r="J10" s="15">
        <v>15579.0</v>
      </c>
    </row>
    <row r="11" ht="60.0" customHeight="1">
      <c r="A11" s="11">
        <v>8.0</v>
      </c>
      <c r="B11" s="12" t="s">
        <v>52</v>
      </c>
      <c r="C11" s="12" t="s">
        <v>53</v>
      </c>
      <c r="D11" s="12" t="s">
        <v>54</v>
      </c>
      <c r="E11" s="12" t="s">
        <v>55</v>
      </c>
      <c r="F11" s="11" t="str">
        <f t="shared" si="1"/>
        <v>WRONG</v>
      </c>
      <c r="G11" s="11" t="s">
        <v>30</v>
      </c>
      <c r="H11" s="15" t="s">
        <v>19</v>
      </c>
      <c r="I11" s="14" t="s">
        <v>684</v>
      </c>
      <c r="J11" s="15">
        <v>29850.0</v>
      </c>
    </row>
    <row r="12" ht="60.0" customHeight="1">
      <c r="A12" s="11">
        <v>9.0</v>
      </c>
      <c r="B12" s="12" t="s">
        <v>57</v>
      </c>
      <c r="C12" s="12" t="s">
        <v>58</v>
      </c>
      <c r="D12" s="12" t="s">
        <v>59</v>
      </c>
      <c r="E12" s="12" t="s">
        <v>60</v>
      </c>
      <c r="F12" s="11" t="str">
        <f t="shared" si="1"/>
        <v>WRONG</v>
      </c>
      <c r="G12" s="11" t="s">
        <v>19</v>
      </c>
      <c r="H12" s="13" t="s">
        <v>30</v>
      </c>
      <c r="I12" s="14" t="s">
        <v>685</v>
      </c>
      <c r="J12" s="15">
        <v>19566.0</v>
      </c>
    </row>
    <row r="13" ht="60.0" customHeight="1">
      <c r="A13" s="11">
        <v>10.0</v>
      </c>
      <c r="B13" s="12" t="s">
        <v>62</v>
      </c>
      <c r="C13" s="12" t="s">
        <v>63</v>
      </c>
      <c r="D13" s="12" t="s">
        <v>64</v>
      </c>
      <c r="E13" s="12" t="s">
        <v>65</v>
      </c>
      <c r="F13" s="11" t="str">
        <f t="shared" si="1"/>
        <v>WRONG</v>
      </c>
      <c r="G13" s="11" t="s">
        <v>30</v>
      </c>
      <c r="H13" s="15" t="s">
        <v>19</v>
      </c>
      <c r="I13" s="14" t="s">
        <v>686</v>
      </c>
      <c r="J13" s="15">
        <v>18762.0</v>
      </c>
    </row>
    <row r="14" ht="60.0" customHeight="1">
      <c r="A14" s="11">
        <v>11.0</v>
      </c>
      <c r="B14" s="12" t="s">
        <v>67</v>
      </c>
      <c r="C14" s="12" t="s">
        <v>68</v>
      </c>
      <c r="D14" s="12" t="s">
        <v>69</v>
      </c>
      <c r="E14" s="12" t="s">
        <v>70</v>
      </c>
      <c r="F14" s="11" t="str">
        <f t="shared" si="1"/>
        <v>WRONG</v>
      </c>
      <c r="G14" s="11" t="s">
        <v>19</v>
      </c>
      <c r="H14" s="15" t="s">
        <v>30</v>
      </c>
      <c r="I14" s="14" t="s">
        <v>687</v>
      </c>
      <c r="J14" s="15">
        <v>20526.0</v>
      </c>
    </row>
    <row r="15" ht="60.0" customHeight="1">
      <c r="A15" s="11">
        <v>12.0</v>
      </c>
      <c r="B15" s="12" t="s">
        <v>72</v>
      </c>
      <c r="C15" s="12" t="s">
        <v>73</v>
      </c>
      <c r="D15" s="12" t="s">
        <v>74</v>
      </c>
      <c r="E15" s="12" t="s">
        <v>75</v>
      </c>
      <c r="F15" s="11" t="str">
        <f t="shared" si="1"/>
        <v>CORRECT</v>
      </c>
      <c r="G15" s="11" t="s">
        <v>30</v>
      </c>
      <c r="H15" s="15" t="s">
        <v>30</v>
      </c>
      <c r="I15" s="14" t="s">
        <v>688</v>
      </c>
      <c r="J15" s="15">
        <v>17612.0</v>
      </c>
    </row>
    <row r="16" ht="60.0" customHeight="1">
      <c r="A16" s="11">
        <v>13.0</v>
      </c>
      <c r="B16" s="12" t="s">
        <v>77</v>
      </c>
      <c r="C16" s="12" t="s">
        <v>78</v>
      </c>
      <c r="D16" s="12" t="s">
        <v>79</v>
      </c>
      <c r="E16" s="12" t="s">
        <v>80</v>
      </c>
      <c r="F16" s="11" t="str">
        <f t="shared" si="1"/>
        <v>CORRECT</v>
      </c>
      <c r="G16" s="11" t="s">
        <v>18</v>
      </c>
      <c r="H16" s="13" t="s">
        <v>18</v>
      </c>
      <c r="I16" s="14" t="s">
        <v>689</v>
      </c>
      <c r="J16" s="15">
        <v>17025.0</v>
      </c>
    </row>
    <row r="17" ht="60.0" customHeight="1">
      <c r="A17" s="11">
        <v>14.0</v>
      </c>
      <c r="B17" s="12" t="s">
        <v>82</v>
      </c>
      <c r="C17" s="12" t="s">
        <v>83</v>
      </c>
      <c r="D17" s="12" t="s">
        <v>84</v>
      </c>
      <c r="E17" s="12" t="s">
        <v>85</v>
      </c>
      <c r="F17" s="11" t="str">
        <f t="shared" si="1"/>
        <v>WRONG</v>
      </c>
      <c r="G17" s="11" t="s">
        <v>18</v>
      </c>
      <c r="H17" s="15" t="s">
        <v>30</v>
      </c>
      <c r="I17" s="14" t="s">
        <v>690</v>
      </c>
      <c r="J17" s="15">
        <v>12961.0</v>
      </c>
    </row>
    <row r="18" ht="60.0" customHeight="1">
      <c r="A18" s="11">
        <v>15.0</v>
      </c>
      <c r="B18" s="12" t="s">
        <v>87</v>
      </c>
      <c r="C18" s="12" t="s">
        <v>88</v>
      </c>
      <c r="D18" s="12" t="s">
        <v>89</v>
      </c>
      <c r="E18" s="12" t="s">
        <v>90</v>
      </c>
      <c r="F18" s="11" t="str">
        <f t="shared" si="1"/>
        <v>CORRECT</v>
      </c>
      <c r="G18" s="11" t="s">
        <v>30</v>
      </c>
      <c r="H18" s="13" t="s">
        <v>30</v>
      </c>
      <c r="I18" s="14" t="s">
        <v>691</v>
      </c>
      <c r="J18" s="15">
        <v>21882.0</v>
      </c>
    </row>
    <row r="19" ht="60.0" customHeight="1">
      <c r="A19" s="11">
        <v>16.0</v>
      </c>
      <c r="B19" s="12" t="s">
        <v>92</v>
      </c>
      <c r="C19" s="12" t="s">
        <v>93</v>
      </c>
      <c r="D19" s="12" t="s">
        <v>94</v>
      </c>
      <c r="E19" s="12" t="s">
        <v>95</v>
      </c>
      <c r="F19" s="11" t="str">
        <f t="shared" si="1"/>
        <v>CORRECT</v>
      </c>
      <c r="G19" s="11" t="s">
        <v>30</v>
      </c>
      <c r="H19" s="13" t="s">
        <v>30</v>
      </c>
      <c r="I19" s="14" t="s">
        <v>692</v>
      </c>
      <c r="J19" s="15">
        <v>14687.0</v>
      </c>
    </row>
    <row r="20" ht="60.0" customHeight="1">
      <c r="A20" s="11">
        <v>17.0</v>
      </c>
      <c r="B20" s="12" t="s">
        <v>97</v>
      </c>
      <c r="C20" s="12" t="s">
        <v>98</v>
      </c>
      <c r="D20" s="12" t="s">
        <v>99</v>
      </c>
      <c r="E20" s="12" t="s">
        <v>100</v>
      </c>
      <c r="F20" s="11" t="str">
        <f t="shared" si="1"/>
        <v>WRONG</v>
      </c>
      <c r="G20" s="11" t="s">
        <v>19</v>
      </c>
      <c r="H20" s="15" t="s">
        <v>18</v>
      </c>
      <c r="I20" s="14" t="s">
        <v>693</v>
      </c>
      <c r="J20" s="15">
        <v>16788.0</v>
      </c>
    </row>
    <row r="21" ht="60.0" customHeight="1">
      <c r="A21" s="11">
        <v>18.0</v>
      </c>
      <c r="B21" s="12" t="s">
        <v>102</v>
      </c>
      <c r="C21" s="12" t="s">
        <v>103</v>
      </c>
      <c r="D21" s="12" t="s">
        <v>104</v>
      </c>
      <c r="E21" s="12" t="s">
        <v>105</v>
      </c>
      <c r="F21" s="11" t="str">
        <f t="shared" si="1"/>
        <v>CORRECT</v>
      </c>
      <c r="G21" s="11" t="s">
        <v>19</v>
      </c>
      <c r="H21" s="15" t="s">
        <v>19</v>
      </c>
      <c r="I21" s="14" t="s">
        <v>694</v>
      </c>
      <c r="J21" s="15">
        <v>11885.0</v>
      </c>
    </row>
    <row r="22" ht="60.0" customHeight="1">
      <c r="A22" s="11">
        <v>19.0</v>
      </c>
      <c r="B22" s="12" t="s">
        <v>107</v>
      </c>
      <c r="C22" s="12" t="s">
        <v>108</v>
      </c>
      <c r="D22" s="12" t="s">
        <v>109</v>
      </c>
      <c r="E22" s="12" t="s">
        <v>110</v>
      </c>
      <c r="F22" s="11" t="str">
        <f t="shared" si="1"/>
        <v>WRONG</v>
      </c>
      <c r="G22" s="11" t="s">
        <v>18</v>
      </c>
      <c r="H22" s="13" t="s">
        <v>30</v>
      </c>
      <c r="I22" s="14" t="s">
        <v>695</v>
      </c>
      <c r="J22" s="15">
        <v>18932.0</v>
      </c>
    </row>
    <row r="23" ht="60.0" customHeight="1">
      <c r="A23" s="11">
        <v>20.0</v>
      </c>
      <c r="B23" s="12" t="s">
        <v>112</v>
      </c>
      <c r="C23" s="12" t="s">
        <v>113</v>
      </c>
      <c r="D23" s="12" t="s">
        <v>114</v>
      </c>
      <c r="E23" s="12" t="s">
        <v>115</v>
      </c>
      <c r="F23" s="11" t="str">
        <f t="shared" si="1"/>
        <v>WRONG</v>
      </c>
      <c r="G23" s="11" t="s">
        <v>19</v>
      </c>
      <c r="H23" s="13" t="s">
        <v>30</v>
      </c>
      <c r="I23" s="14" t="s">
        <v>696</v>
      </c>
      <c r="J23" s="15">
        <v>18497.0</v>
      </c>
    </row>
    <row r="24" ht="60.0" customHeight="1">
      <c r="A24" s="11">
        <v>21.0</v>
      </c>
      <c r="B24" s="12" t="s">
        <v>117</v>
      </c>
      <c r="C24" s="12" t="s">
        <v>118</v>
      </c>
      <c r="D24" s="12" t="s">
        <v>119</v>
      </c>
      <c r="E24" s="12" t="s">
        <v>120</v>
      </c>
      <c r="F24" s="11" t="str">
        <f t="shared" si="1"/>
        <v>WRONG</v>
      </c>
      <c r="G24" s="11" t="s">
        <v>19</v>
      </c>
      <c r="H24" s="13" t="s">
        <v>18</v>
      </c>
      <c r="I24" s="14" t="s">
        <v>697</v>
      </c>
      <c r="J24" s="15">
        <v>22086.0</v>
      </c>
    </row>
    <row r="25" ht="60.0" customHeight="1">
      <c r="A25" s="11">
        <v>22.0</v>
      </c>
      <c r="B25" s="12" t="s">
        <v>122</v>
      </c>
      <c r="C25" s="12" t="s">
        <v>123</v>
      </c>
      <c r="D25" s="12" t="s">
        <v>124</v>
      </c>
      <c r="E25" s="12" t="s">
        <v>125</v>
      </c>
      <c r="F25" s="11" t="str">
        <f t="shared" si="1"/>
        <v>CORRECT</v>
      </c>
      <c r="G25" s="11" t="s">
        <v>19</v>
      </c>
      <c r="H25" s="13" t="s">
        <v>19</v>
      </c>
      <c r="I25" s="14" t="s">
        <v>698</v>
      </c>
      <c r="J25" s="15">
        <v>18798.0</v>
      </c>
    </row>
    <row r="26" ht="60.0" customHeight="1">
      <c r="A26" s="11">
        <v>23.0</v>
      </c>
      <c r="B26" s="12" t="s">
        <v>127</v>
      </c>
      <c r="C26" s="12" t="s">
        <v>128</v>
      </c>
      <c r="D26" s="12" t="s">
        <v>129</v>
      </c>
      <c r="E26" s="12" t="s">
        <v>130</v>
      </c>
      <c r="F26" s="11" t="str">
        <f t="shared" si="1"/>
        <v>CORRECT</v>
      </c>
      <c r="G26" s="11" t="s">
        <v>30</v>
      </c>
      <c r="H26" s="15" t="s">
        <v>30</v>
      </c>
      <c r="I26" s="14" t="s">
        <v>699</v>
      </c>
      <c r="J26" s="15">
        <v>16311.0</v>
      </c>
    </row>
    <row r="27" ht="60.0" customHeight="1">
      <c r="A27" s="11">
        <v>24.0</v>
      </c>
      <c r="B27" s="12" t="s">
        <v>132</v>
      </c>
      <c r="C27" s="12" t="s">
        <v>133</v>
      </c>
      <c r="D27" s="12" t="s">
        <v>134</v>
      </c>
      <c r="E27" s="12" t="s">
        <v>135</v>
      </c>
      <c r="F27" s="11" t="str">
        <f t="shared" si="1"/>
        <v>WRONG</v>
      </c>
      <c r="G27" s="11" t="s">
        <v>18</v>
      </c>
      <c r="H27" s="13" t="s">
        <v>30</v>
      </c>
      <c r="I27" s="14" t="s">
        <v>700</v>
      </c>
      <c r="J27" s="15">
        <v>13894.0</v>
      </c>
    </row>
    <row r="28" ht="60.0" customHeight="1">
      <c r="A28" s="11">
        <v>25.0</v>
      </c>
      <c r="B28" s="12" t="s">
        <v>137</v>
      </c>
      <c r="C28" s="12" t="s">
        <v>133</v>
      </c>
      <c r="D28" s="12" t="s">
        <v>138</v>
      </c>
      <c r="E28" s="12" t="s">
        <v>135</v>
      </c>
      <c r="F28" s="11" t="str">
        <f t="shared" si="1"/>
        <v>WRONG</v>
      </c>
      <c r="G28" s="11" t="s">
        <v>30</v>
      </c>
      <c r="H28" s="13" t="s">
        <v>18</v>
      </c>
      <c r="I28" s="14" t="s">
        <v>701</v>
      </c>
      <c r="J28" s="15">
        <v>12653.0</v>
      </c>
    </row>
    <row r="29" ht="60.0" customHeight="1">
      <c r="A29" s="11">
        <v>26.0</v>
      </c>
      <c r="B29" s="12" t="s">
        <v>140</v>
      </c>
      <c r="C29" s="12" t="s">
        <v>141</v>
      </c>
      <c r="D29" s="12" t="s">
        <v>142</v>
      </c>
      <c r="E29" s="12" t="s">
        <v>143</v>
      </c>
      <c r="F29" s="11" t="str">
        <f t="shared" si="1"/>
        <v>WRONG</v>
      </c>
      <c r="G29" s="11" t="s">
        <v>18</v>
      </c>
      <c r="H29" s="13" t="s">
        <v>19</v>
      </c>
      <c r="I29" s="14" t="s">
        <v>702</v>
      </c>
      <c r="J29" s="15">
        <v>8395.0</v>
      </c>
    </row>
    <row r="30" ht="60.0" customHeight="1">
      <c r="A30" s="11">
        <v>27.0</v>
      </c>
      <c r="B30" s="12" t="s">
        <v>145</v>
      </c>
      <c r="C30" s="12" t="s">
        <v>146</v>
      </c>
      <c r="D30" s="12" t="s">
        <v>147</v>
      </c>
      <c r="E30" s="12" t="s">
        <v>148</v>
      </c>
      <c r="F30" s="11" t="str">
        <f t="shared" si="1"/>
        <v>CORRECT</v>
      </c>
      <c r="G30" s="11" t="s">
        <v>19</v>
      </c>
      <c r="H30" s="15" t="s">
        <v>19</v>
      </c>
      <c r="I30" s="14" t="s">
        <v>703</v>
      </c>
      <c r="J30" s="15">
        <v>14668.0</v>
      </c>
    </row>
    <row r="31" ht="60.0" customHeight="1">
      <c r="A31" s="11">
        <v>28.0</v>
      </c>
      <c r="B31" s="12" t="s">
        <v>150</v>
      </c>
      <c r="C31" s="12" t="s">
        <v>151</v>
      </c>
      <c r="D31" s="12" t="s">
        <v>152</v>
      </c>
      <c r="E31" s="12" t="s">
        <v>153</v>
      </c>
      <c r="F31" s="11" t="str">
        <f t="shared" si="1"/>
        <v>CORRECT</v>
      </c>
      <c r="G31" s="11" t="s">
        <v>18</v>
      </c>
      <c r="H31" s="13" t="s">
        <v>18</v>
      </c>
      <c r="I31" s="14" t="s">
        <v>704</v>
      </c>
      <c r="J31" s="15">
        <v>19058.0</v>
      </c>
    </row>
    <row r="32" ht="60.0" customHeight="1">
      <c r="A32" s="11">
        <v>29.0</v>
      </c>
      <c r="B32" s="12" t="s">
        <v>155</v>
      </c>
      <c r="C32" s="12" t="s">
        <v>156</v>
      </c>
      <c r="D32" s="12" t="s">
        <v>157</v>
      </c>
      <c r="E32" s="12" t="s">
        <v>158</v>
      </c>
      <c r="F32" s="11" t="str">
        <f t="shared" si="1"/>
        <v>CORRECT</v>
      </c>
      <c r="G32" s="11" t="s">
        <v>19</v>
      </c>
      <c r="H32" s="13" t="s">
        <v>19</v>
      </c>
      <c r="I32" s="14" t="s">
        <v>705</v>
      </c>
      <c r="J32" s="15">
        <v>18916.0</v>
      </c>
    </row>
    <row r="33" ht="60.0" customHeight="1">
      <c r="A33" s="11">
        <v>30.0</v>
      </c>
      <c r="B33" s="12" t="s">
        <v>160</v>
      </c>
      <c r="C33" s="12" t="s">
        <v>161</v>
      </c>
      <c r="D33" s="12" t="s">
        <v>162</v>
      </c>
      <c r="E33" s="12" t="s">
        <v>163</v>
      </c>
      <c r="F33" s="11" t="str">
        <f t="shared" si="1"/>
        <v>WRONG</v>
      </c>
      <c r="G33" s="11" t="s">
        <v>30</v>
      </c>
      <c r="H33" s="13" t="s">
        <v>18</v>
      </c>
      <c r="I33" s="14" t="s">
        <v>706</v>
      </c>
      <c r="J33" s="15">
        <v>20925.0</v>
      </c>
    </row>
    <row r="34" ht="60.0" customHeight="1">
      <c r="A34" s="11">
        <v>31.0</v>
      </c>
      <c r="B34" s="12" t="s">
        <v>165</v>
      </c>
      <c r="C34" s="12" t="s">
        <v>166</v>
      </c>
      <c r="D34" s="12" t="s">
        <v>167</v>
      </c>
      <c r="E34" s="12" t="s">
        <v>168</v>
      </c>
      <c r="F34" s="11" t="str">
        <f t="shared" si="1"/>
        <v>WRONG</v>
      </c>
      <c r="G34" s="11" t="s">
        <v>19</v>
      </c>
      <c r="H34" s="13" t="s">
        <v>18</v>
      </c>
      <c r="I34" s="14" t="s">
        <v>707</v>
      </c>
      <c r="J34" s="15">
        <v>20146.0</v>
      </c>
    </row>
    <row r="35" ht="60.0" customHeight="1">
      <c r="A35" s="11">
        <v>32.0</v>
      </c>
      <c r="B35" s="12" t="s">
        <v>170</v>
      </c>
      <c r="C35" s="12" t="s">
        <v>171</v>
      </c>
      <c r="D35" s="12" t="s">
        <v>172</v>
      </c>
      <c r="E35" s="12" t="s">
        <v>173</v>
      </c>
      <c r="F35" s="11" t="str">
        <f t="shared" si="1"/>
        <v>CORRECT</v>
      </c>
      <c r="G35" s="11" t="s">
        <v>18</v>
      </c>
      <c r="H35" s="15" t="s">
        <v>18</v>
      </c>
      <c r="I35" s="14" t="s">
        <v>708</v>
      </c>
      <c r="J35" s="15">
        <v>26031.0</v>
      </c>
    </row>
    <row r="36" ht="60.0" customHeight="1">
      <c r="A36" s="11">
        <v>33.0</v>
      </c>
      <c r="B36" s="12" t="s">
        <v>175</v>
      </c>
      <c r="C36" s="12" t="s">
        <v>176</v>
      </c>
      <c r="D36" s="12" t="s">
        <v>177</v>
      </c>
      <c r="E36" s="12" t="s">
        <v>178</v>
      </c>
      <c r="F36" s="11" t="str">
        <f t="shared" si="1"/>
        <v>WRONG</v>
      </c>
      <c r="G36" s="11" t="s">
        <v>30</v>
      </c>
      <c r="H36" s="13" t="s">
        <v>19</v>
      </c>
      <c r="I36" s="14" t="s">
        <v>709</v>
      </c>
      <c r="J36" s="15">
        <v>16322.0</v>
      </c>
    </row>
    <row r="37" ht="60.0" customHeight="1">
      <c r="A37" s="11">
        <v>34.0</v>
      </c>
      <c r="B37" s="12" t="s">
        <v>180</v>
      </c>
      <c r="C37" s="12" t="s">
        <v>181</v>
      </c>
      <c r="D37" s="12" t="s">
        <v>182</v>
      </c>
      <c r="E37" s="12" t="s">
        <v>183</v>
      </c>
      <c r="F37" s="11" t="str">
        <f t="shared" si="1"/>
        <v>CORRECT</v>
      </c>
      <c r="G37" s="11" t="s">
        <v>18</v>
      </c>
      <c r="H37" s="13" t="s">
        <v>18</v>
      </c>
      <c r="I37" s="14" t="s">
        <v>710</v>
      </c>
      <c r="J37" s="15">
        <v>17443.0</v>
      </c>
    </row>
    <row r="38" ht="60.0" customHeight="1">
      <c r="A38" s="11">
        <v>35.0</v>
      </c>
      <c r="B38" s="12" t="s">
        <v>185</v>
      </c>
      <c r="C38" s="12" t="s">
        <v>186</v>
      </c>
      <c r="D38" s="12" t="s">
        <v>187</v>
      </c>
      <c r="E38" s="12" t="s">
        <v>188</v>
      </c>
      <c r="F38" s="11" t="str">
        <f t="shared" si="1"/>
        <v>CORRECT</v>
      </c>
      <c r="G38" s="11" t="s">
        <v>30</v>
      </c>
      <c r="H38" s="15" t="s">
        <v>30</v>
      </c>
      <c r="I38" s="14" t="s">
        <v>711</v>
      </c>
      <c r="J38" s="15">
        <v>18843.0</v>
      </c>
    </row>
    <row r="39" ht="60.0" customHeight="1">
      <c r="A39" s="11">
        <v>36.0</v>
      </c>
      <c r="B39" s="12" t="s">
        <v>190</v>
      </c>
      <c r="C39" s="12" t="s">
        <v>191</v>
      </c>
      <c r="D39" s="12" t="s">
        <v>192</v>
      </c>
      <c r="E39" s="12" t="s">
        <v>193</v>
      </c>
      <c r="F39" s="11" t="str">
        <f t="shared" si="1"/>
        <v>CORRECT</v>
      </c>
      <c r="G39" s="11" t="s">
        <v>18</v>
      </c>
      <c r="H39" s="13" t="s">
        <v>18</v>
      </c>
      <c r="I39" s="14" t="s">
        <v>712</v>
      </c>
      <c r="J39" s="15">
        <v>17928.0</v>
      </c>
    </row>
    <row r="40" ht="60.0" customHeight="1">
      <c r="A40" s="11">
        <v>37.0</v>
      </c>
      <c r="B40" s="12" t="s">
        <v>195</v>
      </c>
      <c r="C40" s="12" t="s">
        <v>196</v>
      </c>
      <c r="D40" s="12" t="s">
        <v>197</v>
      </c>
      <c r="E40" s="12" t="s">
        <v>198</v>
      </c>
      <c r="F40" s="11" t="str">
        <f t="shared" si="1"/>
        <v>WRONG</v>
      </c>
      <c r="G40" s="11" t="s">
        <v>18</v>
      </c>
      <c r="H40" s="15" t="s">
        <v>19</v>
      </c>
      <c r="I40" s="14" t="s">
        <v>713</v>
      </c>
      <c r="J40" s="15">
        <v>15317.0</v>
      </c>
    </row>
    <row r="41" ht="60.0" customHeight="1">
      <c r="A41" s="11">
        <v>38.0</v>
      </c>
      <c r="B41" s="12" t="s">
        <v>200</v>
      </c>
      <c r="C41" s="12" t="s">
        <v>201</v>
      </c>
      <c r="D41" s="12" t="s">
        <v>202</v>
      </c>
      <c r="E41" s="12" t="s">
        <v>203</v>
      </c>
      <c r="F41" s="11" t="str">
        <f t="shared" si="1"/>
        <v>CORRECT</v>
      </c>
      <c r="G41" s="11" t="s">
        <v>18</v>
      </c>
      <c r="H41" s="15" t="s">
        <v>18</v>
      </c>
      <c r="I41" s="14" t="s">
        <v>714</v>
      </c>
      <c r="J41" s="15">
        <v>17554.0</v>
      </c>
    </row>
    <row r="42" ht="60.0" customHeight="1">
      <c r="A42" s="11">
        <v>39.0</v>
      </c>
      <c r="B42" s="12" t="s">
        <v>205</v>
      </c>
      <c r="C42" s="12" t="s">
        <v>206</v>
      </c>
      <c r="D42" s="12" t="s">
        <v>207</v>
      </c>
      <c r="E42" s="12" t="s">
        <v>208</v>
      </c>
      <c r="F42" s="11" t="str">
        <f t="shared" si="1"/>
        <v>WRONG</v>
      </c>
      <c r="G42" s="11" t="s">
        <v>19</v>
      </c>
      <c r="H42" s="13" t="s">
        <v>18</v>
      </c>
      <c r="I42" s="14" t="s">
        <v>715</v>
      </c>
      <c r="J42" s="15">
        <v>21061.0</v>
      </c>
    </row>
    <row r="43" ht="60.0" customHeight="1">
      <c r="A43" s="11">
        <v>40.0</v>
      </c>
      <c r="B43" s="12" t="s">
        <v>210</v>
      </c>
      <c r="C43" s="12" t="s">
        <v>211</v>
      </c>
      <c r="D43" s="12" t="s">
        <v>212</v>
      </c>
      <c r="E43" s="12" t="s">
        <v>213</v>
      </c>
      <c r="F43" s="11" t="str">
        <f t="shared" si="1"/>
        <v>WRONG</v>
      </c>
      <c r="G43" s="11" t="s">
        <v>30</v>
      </c>
      <c r="H43" s="13" t="s">
        <v>19</v>
      </c>
      <c r="I43" s="14" t="s">
        <v>716</v>
      </c>
      <c r="J43" s="15">
        <v>16210.0</v>
      </c>
    </row>
    <row r="44" ht="60.0" customHeight="1">
      <c r="A44" s="11">
        <v>41.0</v>
      </c>
      <c r="B44" s="12" t="s">
        <v>215</v>
      </c>
      <c r="C44" s="12" t="s">
        <v>216</v>
      </c>
      <c r="D44" s="12" t="s">
        <v>217</v>
      </c>
      <c r="E44" s="12" t="s">
        <v>218</v>
      </c>
      <c r="F44" s="11" t="str">
        <f t="shared" si="1"/>
        <v>CORRECT</v>
      </c>
      <c r="G44" s="11" t="s">
        <v>19</v>
      </c>
      <c r="H44" s="13" t="s">
        <v>19</v>
      </c>
      <c r="I44" s="14" t="s">
        <v>717</v>
      </c>
      <c r="J44" s="15">
        <v>15515.0</v>
      </c>
    </row>
    <row r="45" ht="60.0" customHeight="1">
      <c r="A45" s="11">
        <v>42.0</v>
      </c>
      <c r="B45" s="12" t="s">
        <v>220</v>
      </c>
      <c r="C45" s="12" t="s">
        <v>221</v>
      </c>
      <c r="D45" s="12" t="s">
        <v>222</v>
      </c>
      <c r="E45" s="12" t="s">
        <v>223</v>
      </c>
      <c r="F45" s="11" t="str">
        <f t="shared" si="1"/>
        <v>WRONG</v>
      </c>
      <c r="G45" s="11" t="s">
        <v>18</v>
      </c>
      <c r="H45" s="15" t="s">
        <v>19</v>
      </c>
      <c r="I45" s="14" t="s">
        <v>718</v>
      </c>
      <c r="J45" s="15">
        <v>17280.0</v>
      </c>
    </row>
    <row r="46" ht="60.0" customHeight="1">
      <c r="A46" s="11">
        <v>43.0</v>
      </c>
      <c r="B46" s="12" t="s">
        <v>225</v>
      </c>
      <c r="C46" s="12" t="s">
        <v>226</v>
      </c>
      <c r="D46" s="12" t="s">
        <v>227</v>
      </c>
      <c r="E46" s="12" t="s">
        <v>228</v>
      </c>
      <c r="F46" s="11" t="str">
        <f t="shared" si="1"/>
        <v>WRONG</v>
      </c>
      <c r="G46" s="11" t="s">
        <v>30</v>
      </c>
      <c r="H46" s="13" t="s">
        <v>18</v>
      </c>
      <c r="I46" s="14" t="s">
        <v>719</v>
      </c>
      <c r="J46" s="15">
        <v>22361.0</v>
      </c>
    </row>
    <row r="47" ht="60.0" customHeight="1">
      <c r="A47" s="11">
        <v>44.0</v>
      </c>
      <c r="B47" s="12" t="s">
        <v>230</v>
      </c>
      <c r="C47" s="12" t="s">
        <v>231</v>
      </c>
      <c r="D47" s="12" t="s">
        <v>232</v>
      </c>
      <c r="E47" s="12" t="s">
        <v>233</v>
      </c>
      <c r="F47" s="11" t="str">
        <f t="shared" si="1"/>
        <v>WRONG</v>
      </c>
      <c r="G47" s="11" t="s">
        <v>18</v>
      </c>
      <c r="H47" s="13" t="s">
        <v>30</v>
      </c>
      <c r="I47" s="14" t="s">
        <v>720</v>
      </c>
      <c r="J47" s="15">
        <v>15439.0</v>
      </c>
    </row>
    <row r="48" ht="60.0" customHeight="1">
      <c r="A48" s="11">
        <v>45.0</v>
      </c>
      <c r="B48" s="12" t="s">
        <v>235</v>
      </c>
      <c r="C48" s="12" t="s">
        <v>236</v>
      </c>
      <c r="D48" s="12" t="s">
        <v>237</v>
      </c>
      <c r="E48" s="12" t="s">
        <v>238</v>
      </c>
      <c r="F48" s="11" t="str">
        <f t="shared" si="1"/>
        <v>CORRECT</v>
      </c>
      <c r="G48" s="11" t="s">
        <v>18</v>
      </c>
      <c r="H48" s="15" t="s">
        <v>18</v>
      </c>
      <c r="I48" s="14" t="s">
        <v>721</v>
      </c>
      <c r="J48" s="15">
        <v>19838.0</v>
      </c>
    </row>
    <row r="49" ht="60.0" customHeight="1">
      <c r="A49" s="11">
        <v>46.0</v>
      </c>
      <c r="B49" s="12" t="s">
        <v>240</v>
      </c>
      <c r="C49" s="12" t="s">
        <v>22</v>
      </c>
      <c r="D49" s="12" t="s">
        <v>241</v>
      </c>
      <c r="E49" s="12" t="s">
        <v>242</v>
      </c>
      <c r="F49" s="11" t="str">
        <f t="shared" si="1"/>
        <v>CORRECT</v>
      </c>
      <c r="G49" s="11" t="s">
        <v>18</v>
      </c>
      <c r="H49" s="15" t="s">
        <v>18</v>
      </c>
      <c r="I49" s="14" t="s">
        <v>722</v>
      </c>
      <c r="J49" s="15">
        <v>18811.0</v>
      </c>
    </row>
    <row r="50">
      <c r="A50" s="16" t="s">
        <v>244</v>
      </c>
      <c r="B50" s="2"/>
      <c r="C50" s="2"/>
      <c r="D50" s="2"/>
      <c r="E50" s="3"/>
      <c r="F50" s="17">
        <f>COUNTIFS(F4:F49,"CORRECT")</f>
        <v>23</v>
      </c>
      <c r="G50" s="18"/>
      <c r="H50" s="18"/>
      <c r="J50" s="19">
        <f>AVERAGE(J4:J49)</f>
        <v>18096.02174</v>
      </c>
    </row>
    <row r="51">
      <c r="A51" s="20" t="s">
        <v>245</v>
      </c>
      <c r="B51" s="2"/>
      <c r="C51" s="2"/>
      <c r="D51" s="2"/>
      <c r="E51" s="3"/>
      <c r="F51" s="21">
        <v>46.0</v>
      </c>
      <c r="G51" s="18"/>
      <c r="H51" s="18"/>
    </row>
    <row r="52">
      <c r="A52" s="16" t="s">
        <v>246</v>
      </c>
      <c r="B52" s="2"/>
      <c r="C52" s="2"/>
      <c r="D52" s="2"/>
      <c r="E52" s="3"/>
      <c r="F52" s="22">
        <f>F50/F51</f>
        <v>0.5</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723</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724</v>
      </c>
      <c r="J4" s="15">
        <v>17967.0</v>
      </c>
    </row>
    <row r="5" ht="60.0" customHeight="1">
      <c r="A5" s="11">
        <v>2.0</v>
      </c>
      <c r="B5" s="12" t="s">
        <v>21</v>
      </c>
      <c r="C5" s="12" t="s">
        <v>22</v>
      </c>
      <c r="D5" s="12" t="s">
        <v>23</v>
      </c>
      <c r="E5" s="12" t="s">
        <v>24</v>
      </c>
      <c r="F5" s="11" t="str">
        <f t="shared" si="1"/>
        <v>CORRECT</v>
      </c>
      <c r="G5" s="11" t="s">
        <v>19</v>
      </c>
      <c r="H5" s="13" t="s">
        <v>19</v>
      </c>
      <c r="I5" s="14" t="s">
        <v>725</v>
      </c>
      <c r="J5" s="15">
        <v>21567.0</v>
      </c>
    </row>
    <row r="6" ht="60.0" customHeight="1">
      <c r="A6" s="11">
        <v>3.0</v>
      </c>
      <c r="B6" s="12" t="s">
        <v>26</v>
      </c>
      <c r="C6" s="12" t="s">
        <v>27</v>
      </c>
      <c r="D6" s="12" t="s">
        <v>28</v>
      </c>
      <c r="E6" s="12" t="s">
        <v>29</v>
      </c>
      <c r="F6" s="11" t="str">
        <f t="shared" si="1"/>
        <v>CORRECT</v>
      </c>
      <c r="G6" s="11" t="s">
        <v>30</v>
      </c>
      <c r="H6" s="15" t="s">
        <v>30</v>
      </c>
      <c r="I6" s="14" t="s">
        <v>726</v>
      </c>
      <c r="J6" s="15">
        <v>18514.0</v>
      </c>
    </row>
    <row r="7" ht="60.0" customHeight="1">
      <c r="A7" s="11">
        <v>4.0</v>
      </c>
      <c r="B7" s="12" t="s">
        <v>32</v>
      </c>
      <c r="C7" s="12" t="s">
        <v>33</v>
      </c>
      <c r="D7" s="12" t="s">
        <v>34</v>
      </c>
      <c r="E7" s="12" t="s">
        <v>35</v>
      </c>
      <c r="F7" s="11" t="str">
        <f t="shared" si="1"/>
        <v>WRONG</v>
      </c>
      <c r="G7" s="11" t="s">
        <v>19</v>
      </c>
      <c r="H7" s="13" t="s">
        <v>30</v>
      </c>
      <c r="I7" s="14" t="s">
        <v>727</v>
      </c>
      <c r="J7" s="15">
        <v>14761.0</v>
      </c>
    </row>
    <row r="8" ht="60.0" customHeight="1">
      <c r="A8" s="11">
        <v>5.0</v>
      </c>
      <c r="B8" s="12" t="s">
        <v>37</v>
      </c>
      <c r="C8" s="12" t="s">
        <v>38</v>
      </c>
      <c r="D8" s="12" t="s">
        <v>39</v>
      </c>
      <c r="E8" s="12" t="s">
        <v>40</v>
      </c>
      <c r="F8" s="11" t="str">
        <f t="shared" si="1"/>
        <v>CORRECT</v>
      </c>
      <c r="G8" s="11" t="s">
        <v>30</v>
      </c>
      <c r="H8" s="13" t="s">
        <v>30</v>
      </c>
      <c r="I8" s="14" t="s">
        <v>728</v>
      </c>
      <c r="J8" s="15">
        <v>24631.0</v>
      </c>
    </row>
    <row r="9" ht="60.0" customHeight="1">
      <c r="A9" s="11">
        <v>6.0</v>
      </c>
      <c r="B9" s="12" t="s">
        <v>42</v>
      </c>
      <c r="C9" s="12" t="s">
        <v>43</v>
      </c>
      <c r="D9" s="12" t="s">
        <v>44</v>
      </c>
      <c r="E9" s="12" t="s">
        <v>45</v>
      </c>
      <c r="F9" s="11" t="str">
        <f t="shared" si="1"/>
        <v>CORRECT</v>
      </c>
      <c r="G9" s="11" t="s">
        <v>19</v>
      </c>
      <c r="H9" s="13" t="s">
        <v>19</v>
      </c>
      <c r="I9" s="14" t="s">
        <v>729</v>
      </c>
      <c r="J9" s="15">
        <v>18622.0</v>
      </c>
    </row>
    <row r="10" ht="60.0" customHeight="1">
      <c r="A10" s="11">
        <v>7.0</v>
      </c>
      <c r="B10" s="12" t="s">
        <v>47</v>
      </c>
      <c r="C10" s="12" t="s">
        <v>48</v>
      </c>
      <c r="D10" s="12" t="s">
        <v>49</v>
      </c>
      <c r="E10" s="12" t="s">
        <v>50</v>
      </c>
      <c r="F10" s="11" t="str">
        <f t="shared" si="1"/>
        <v>CORRECT</v>
      </c>
      <c r="G10" s="11" t="s">
        <v>19</v>
      </c>
      <c r="H10" s="15" t="s">
        <v>19</v>
      </c>
      <c r="I10" s="14" t="s">
        <v>730</v>
      </c>
      <c r="J10" s="15">
        <v>15579.0</v>
      </c>
    </row>
    <row r="11" ht="60.0" customHeight="1">
      <c r="A11" s="11">
        <v>8.0</v>
      </c>
      <c r="B11" s="12" t="s">
        <v>52</v>
      </c>
      <c r="C11" s="12" t="s">
        <v>53</v>
      </c>
      <c r="D11" s="12" t="s">
        <v>54</v>
      </c>
      <c r="E11" s="12" t="s">
        <v>55</v>
      </c>
      <c r="F11" s="11" t="str">
        <f t="shared" si="1"/>
        <v>WRONG</v>
      </c>
      <c r="G11" s="11" t="s">
        <v>30</v>
      </c>
      <c r="H11" s="15" t="s">
        <v>19</v>
      </c>
      <c r="I11" s="14" t="s">
        <v>731</v>
      </c>
      <c r="J11" s="15">
        <v>29850.0</v>
      </c>
    </row>
    <row r="12" ht="60.0" customHeight="1">
      <c r="A12" s="11">
        <v>9.0</v>
      </c>
      <c r="B12" s="12" t="s">
        <v>57</v>
      </c>
      <c r="C12" s="12" t="s">
        <v>58</v>
      </c>
      <c r="D12" s="12" t="s">
        <v>59</v>
      </c>
      <c r="E12" s="12" t="s">
        <v>60</v>
      </c>
      <c r="F12" s="11" t="str">
        <f t="shared" si="1"/>
        <v>WRONG</v>
      </c>
      <c r="G12" s="11" t="s">
        <v>19</v>
      </c>
      <c r="H12" s="13" t="s">
        <v>30</v>
      </c>
      <c r="I12" s="14" t="s">
        <v>732</v>
      </c>
      <c r="J12" s="15">
        <v>19566.0</v>
      </c>
    </row>
    <row r="13" ht="60.0" customHeight="1">
      <c r="A13" s="11">
        <v>10.0</v>
      </c>
      <c r="B13" s="12" t="s">
        <v>62</v>
      </c>
      <c r="C13" s="12" t="s">
        <v>63</v>
      </c>
      <c r="D13" s="12" t="s">
        <v>64</v>
      </c>
      <c r="E13" s="12" t="s">
        <v>65</v>
      </c>
      <c r="F13" s="11" t="str">
        <f t="shared" si="1"/>
        <v>WRONG</v>
      </c>
      <c r="G13" s="11" t="s">
        <v>30</v>
      </c>
      <c r="H13" s="15" t="s">
        <v>19</v>
      </c>
      <c r="I13" s="14" t="s">
        <v>733</v>
      </c>
      <c r="J13" s="15">
        <v>18762.0</v>
      </c>
    </row>
    <row r="14" ht="60.0" customHeight="1">
      <c r="A14" s="11">
        <v>11.0</v>
      </c>
      <c r="B14" s="12" t="s">
        <v>67</v>
      </c>
      <c r="C14" s="12" t="s">
        <v>68</v>
      </c>
      <c r="D14" s="12" t="s">
        <v>69</v>
      </c>
      <c r="E14" s="12" t="s">
        <v>70</v>
      </c>
      <c r="F14" s="11" t="str">
        <f t="shared" si="1"/>
        <v>WRONG</v>
      </c>
      <c r="G14" s="11" t="s">
        <v>19</v>
      </c>
      <c r="H14" s="15" t="s">
        <v>30</v>
      </c>
      <c r="I14" s="14" t="s">
        <v>734</v>
      </c>
      <c r="J14" s="15">
        <v>20526.0</v>
      </c>
    </row>
    <row r="15" ht="60.0" customHeight="1">
      <c r="A15" s="11">
        <v>12.0</v>
      </c>
      <c r="B15" s="12" t="s">
        <v>72</v>
      </c>
      <c r="C15" s="12" t="s">
        <v>73</v>
      </c>
      <c r="D15" s="12" t="s">
        <v>74</v>
      </c>
      <c r="E15" s="12" t="s">
        <v>75</v>
      </c>
      <c r="F15" s="11" t="str">
        <f t="shared" si="1"/>
        <v>CORRECT</v>
      </c>
      <c r="G15" s="11" t="s">
        <v>30</v>
      </c>
      <c r="H15" s="15" t="s">
        <v>30</v>
      </c>
      <c r="I15" s="14" t="s">
        <v>735</v>
      </c>
      <c r="J15" s="15">
        <v>17612.0</v>
      </c>
    </row>
    <row r="16" ht="60.0" customHeight="1">
      <c r="A16" s="11">
        <v>13.0</v>
      </c>
      <c r="B16" s="12" t="s">
        <v>77</v>
      </c>
      <c r="C16" s="12" t="s">
        <v>78</v>
      </c>
      <c r="D16" s="12" t="s">
        <v>79</v>
      </c>
      <c r="E16" s="12" t="s">
        <v>80</v>
      </c>
      <c r="F16" s="11" t="str">
        <f t="shared" si="1"/>
        <v>CORRECT</v>
      </c>
      <c r="G16" s="11" t="s">
        <v>18</v>
      </c>
      <c r="H16" s="13" t="s">
        <v>18</v>
      </c>
      <c r="I16" s="14" t="s">
        <v>736</v>
      </c>
      <c r="J16" s="15">
        <v>17025.0</v>
      </c>
    </row>
    <row r="17" ht="60.0" customHeight="1">
      <c r="A17" s="11">
        <v>14.0</v>
      </c>
      <c r="B17" s="12" t="s">
        <v>82</v>
      </c>
      <c r="C17" s="12" t="s">
        <v>83</v>
      </c>
      <c r="D17" s="12" t="s">
        <v>84</v>
      </c>
      <c r="E17" s="12" t="s">
        <v>85</v>
      </c>
      <c r="F17" s="11" t="str">
        <f t="shared" si="1"/>
        <v>WRONG</v>
      </c>
      <c r="G17" s="11" t="s">
        <v>18</v>
      </c>
      <c r="H17" s="15" t="s">
        <v>30</v>
      </c>
      <c r="I17" s="14" t="s">
        <v>737</v>
      </c>
      <c r="J17" s="15">
        <v>12961.0</v>
      </c>
    </row>
    <row r="18" ht="60.0" customHeight="1">
      <c r="A18" s="11">
        <v>15.0</v>
      </c>
      <c r="B18" s="12" t="s">
        <v>87</v>
      </c>
      <c r="C18" s="12" t="s">
        <v>88</v>
      </c>
      <c r="D18" s="12" t="s">
        <v>89</v>
      </c>
      <c r="E18" s="12" t="s">
        <v>90</v>
      </c>
      <c r="F18" s="11" t="str">
        <f t="shared" si="1"/>
        <v>CORRECT</v>
      </c>
      <c r="G18" s="11" t="s">
        <v>30</v>
      </c>
      <c r="H18" s="13" t="s">
        <v>30</v>
      </c>
      <c r="I18" s="14" t="s">
        <v>738</v>
      </c>
      <c r="J18" s="15">
        <v>21882.0</v>
      </c>
    </row>
    <row r="19" ht="60.0" customHeight="1">
      <c r="A19" s="11">
        <v>16.0</v>
      </c>
      <c r="B19" s="12" t="s">
        <v>92</v>
      </c>
      <c r="C19" s="12" t="s">
        <v>93</v>
      </c>
      <c r="D19" s="12" t="s">
        <v>94</v>
      </c>
      <c r="E19" s="12" t="s">
        <v>95</v>
      </c>
      <c r="F19" s="11" t="str">
        <f t="shared" si="1"/>
        <v>CORRECT</v>
      </c>
      <c r="G19" s="11" t="s">
        <v>30</v>
      </c>
      <c r="H19" s="13" t="s">
        <v>30</v>
      </c>
      <c r="I19" s="14" t="s">
        <v>739</v>
      </c>
      <c r="J19" s="15">
        <v>14687.0</v>
      </c>
    </row>
    <row r="20" ht="60.0" customHeight="1">
      <c r="A20" s="11">
        <v>17.0</v>
      </c>
      <c r="B20" s="12" t="s">
        <v>97</v>
      </c>
      <c r="C20" s="12" t="s">
        <v>98</v>
      </c>
      <c r="D20" s="12" t="s">
        <v>99</v>
      </c>
      <c r="E20" s="12" t="s">
        <v>100</v>
      </c>
      <c r="F20" s="11" t="str">
        <f t="shared" si="1"/>
        <v>WRONG</v>
      </c>
      <c r="G20" s="11" t="s">
        <v>19</v>
      </c>
      <c r="H20" s="15" t="s">
        <v>18</v>
      </c>
      <c r="I20" s="14" t="s">
        <v>740</v>
      </c>
      <c r="J20" s="15">
        <v>16788.0</v>
      </c>
    </row>
    <row r="21" ht="60.0" customHeight="1">
      <c r="A21" s="11">
        <v>18.0</v>
      </c>
      <c r="B21" s="12" t="s">
        <v>102</v>
      </c>
      <c r="C21" s="12" t="s">
        <v>103</v>
      </c>
      <c r="D21" s="12" t="s">
        <v>104</v>
      </c>
      <c r="E21" s="12" t="s">
        <v>105</v>
      </c>
      <c r="F21" s="11" t="str">
        <f t="shared" si="1"/>
        <v>CORRECT</v>
      </c>
      <c r="G21" s="11" t="s">
        <v>19</v>
      </c>
      <c r="H21" s="15" t="s">
        <v>19</v>
      </c>
      <c r="I21" s="14" t="s">
        <v>741</v>
      </c>
      <c r="J21" s="15">
        <v>11885.0</v>
      </c>
    </row>
    <row r="22" ht="60.0" customHeight="1">
      <c r="A22" s="11">
        <v>19.0</v>
      </c>
      <c r="B22" s="12" t="s">
        <v>107</v>
      </c>
      <c r="C22" s="12" t="s">
        <v>108</v>
      </c>
      <c r="D22" s="12" t="s">
        <v>109</v>
      </c>
      <c r="E22" s="12" t="s">
        <v>110</v>
      </c>
      <c r="F22" s="11" t="str">
        <f t="shared" si="1"/>
        <v>WRONG</v>
      </c>
      <c r="G22" s="11" t="s">
        <v>18</v>
      </c>
      <c r="H22" s="13" t="s">
        <v>30</v>
      </c>
      <c r="I22" s="14" t="s">
        <v>742</v>
      </c>
      <c r="J22" s="15">
        <v>18932.0</v>
      </c>
    </row>
    <row r="23" ht="60.0" customHeight="1">
      <c r="A23" s="11">
        <v>20.0</v>
      </c>
      <c r="B23" s="12" t="s">
        <v>112</v>
      </c>
      <c r="C23" s="12" t="s">
        <v>113</v>
      </c>
      <c r="D23" s="12" t="s">
        <v>114</v>
      </c>
      <c r="E23" s="12" t="s">
        <v>115</v>
      </c>
      <c r="F23" s="11" t="str">
        <f t="shared" si="1"/>
        <v>WRONG</v>
      </c>
      <c r="G23" s="11" t="s">
        <v>19</v>
      </c>
      <c r="H23" s="13" t="s">
        <v>30</v>
      </c>
      <c r="I23" s="14" t="s">
        <v>743</v>
      </c>
      <c r="J23" s="15">
        <v>18497.0</v>
      </c>
    </row>
    <row r="24" ht="60.0" customHeight="1">
      <c r="A24" s="11">
        <v>21.0</v>
      </c>
      <c r="B24" s="12" t="s">
        <v>117</v>
      </c>
      <c r="C24" s="12" t="s">
        <v>118</v>
      </c>
      <c r="D24" s="12" t="s">
        <v>119</v>
      </c>
      <c r="E24" s="12" t="s">
        <v>120</v>
      </c>
      <c r="F24" s="11" t="str">
        <f t="shared" si="1"/>
        <v>WRONG</v>
      </c>
      <c r="G24" s="11" t="s">
        <v>19</v>
      </c>
      <c r="H24" s="13" t="s">
        <v>18</v>
      </c>
      <c r="I24" s="14" t="s">
        <v>744</v>
      </c>
      <c r="J24" s="15">
        <v>22086.0</v>
      </c>
    </row>
    <row r="25" ht="60.0" customHeight="1">
      <c r="A25" s="11">
        <v>22.0</v>
      </c>
      <c r="B25" s="12" t="s">
        <v>122</v>
      </c>
      <c r="C25" s="12" t="s">
        <v>123</v>
      </c>
      <c r="D25" s="12" t="s">
        <v>124</v>
      </c>
      <c r="E25" s="12" t="s">
        <v>125</v>
      </c>
      <c r="F25" s="11" t="str">
        <f t="shared" si="1"/>
        <v>CORRECT</v>
      </c>
      <c r="G25" s="11" t="s">
        <v>19</v>
      </c>
      <c r="H25" s="13" t="s">
        <v>19</v>
      </c>
      <c r="I25" s="14" t="s">
        <v>745</v>
      </c>
      <c r="J25" s="15">
        <v>18798.0</v>
      </c>
    </row>
    <row r="26" ht="60.0" customHeight="1">
      <c r="A26" s="11">
        <v>23.0</v>
      </c>
      <c r="B26" s="12" t="s">
        <v>127</v>
      </c>
      <c r="C26" s="12" t="s">
        <v>128</v>
      </c>
      <c r="D26" s="12" t="s">
        <v>129</v>
      </c>
      <c r="E26" s="12" t="s">
        <v>130</v>
      </c>
      <c r="F26" s="11" t="str">
        <f t="shared" si="1"/>
        <v>CORRECT</v>
      </c>
      <c r="G26" s="11" t="s">
        <v>30</v>
      </c>
      <c r="H26" s="15" t="s">
        <v>30</v>
      </c>
      <c r="I26" s="14" t="s">
        <v>746</v>
      </c>
      <c r="J26" s="15">
        <v>16311.0</v>
      </c>
    </row>
    <row r="27" ht="60.0" customHeight="1">
      <c r="A27" s="11">
        <v>24.0</v>
      </c>
      <c r="B27" s="12" t="s">
        <v>132</v>
      </c>
      <c r="C27" s="12" t="s">
        <v>133</v>
      </c>
      <c r="D27" s="12" t="s">
        <v>134</v>
      </c>
      <c r="E27" s="12" t="s">
        <v>135</v>
      </c>
      <c r="F27" s="11" t="str">
        <f t="shared" si="1"/>
        <v>WRONG</v>
      </c>
      <c r="G27" s="11" t="s">
        <v>18</v>
      </c>
      <c r="H27" s="15" t="s">
        <v>30</v>
      </c>
      <c r="I27" s="14" t="s">
        <v>747</v>
      </c>
      <c r="J27" s="15">
        <v>13894.0</v>
      </c>
    </row>
    <row r="28" ht="60.0" customHeight="1">
      <c r="A28" s="11">
        <v>25.0</v>
      </c>
      <c r="B28" s="12" t="s">
        <v>137</v>
      </c>
      <c r="C28" s="12" t="s">
        <v>133</v>
      </c>
      <c r="D28" s="12" t="s">
        <v>138</v>
      </c>
      <c r="E28" s="12" t="s">
        <v>135</v>
      </c>
      <c r="F28" s="11" t="str">
        <f t="shared" si="1"/>
        <v>WRONG</v>
      </c>
      <c r="G28" s="11" t="s">
        <v>30</v>
      </c>
      <c r="H28" s="13" t="s">
        <v>18</v>
      </c>
      <c r="I28" s="14" t="s">
        <v>748</v>
      </c>
      <c r="J28" s="15">
        <v>12653.0</v>
      </c>
    </row>
    <row r="29" ht="60.0" customHeight="1">
      <c r="A29" s="11">
        <v>26.0</v>
      </c>
      <c r="B29" s="12" t="s">
        <v>140</v>
      </c>
      <c r="C29" s="12" t="s">
        <v>141</v>
      </c>
      <c r="D29" s="12" t="s">
        <v>142</v>
      </c>
      <c r="E29" s="12" t="s">
        <v>143</v>
      </c>
      <c r="F29" s="11" t="str">
        <f t="shared" si="1"/>
        <v>WRONG</v>
      </c>
      <c r="G29" s="11" t="s">
        <v>18</v>
      </c>
      <c r="H29" s="13" t="s">
        <v>19</v>
      </c>
      <c r="I29" s="14" t="s">
        <v>749</v>
      </c>
      <c r="J29" s="15">
        <v>8395.0</v>
      </c>
    </row>
    <row r="30" ht="60.0" customHeight="1">
      <c r="A30" s="11">
        <v>27.0</v>
      </c>
      <c r="B30" s="12" t="s">
        <v>145</v>
      </c>
      <c r="C30" s="12" t="s">
        <v>146</v>
      </c>
      <c r="D30" s="12" t="s">
        <v>147</v>
      </c>
      <c r="E30" s="12" t="s">
        <v>148</v>
      </c>
      <c r="F30" s="11" t="str">
        <f t="shared" si="1"/>
        <v>CORRECT</v>
      </c>
      <c r="G30" s="11" t="s">
        <v>19</v>
      </c>
      <c r="H30" s="15" t="s">
        <v>19</v>
      </c>
      <c r="I30" s="14" t="s">
        <v>750</v>
      </c>
      <c r="J30" s="15">
        <v>14668.0</v>
      </c>
    </row>
    <row r="31" ht="60.0" customHeight="1">
      <c r="A31" s="11">
        <v>28.0</v>
      </c>
      <c r="B31" s="12" t="s">
        <v>150</v>
      </c>
      <c r="C31" s="12" t="s">
        <v>151</v>
      </c>
      <c r="D31" s="12" t="s">
        <v>152</v>
      </c>
      <c r="E31" s="12" t="s">
        <v>153</v>
      </c>
      <c r="F31" s="11" t="str">
        <f t="shared" si="1"/>
        <v>CORRECT</v>
      </c>
      <c r="G31" s="11" t="s">
        <v>18</v>
      </c>
      <c r="H31" s="13" t="s">
        <v>18</v>
      </c>
      <c r="I31" s="14" t="s">
        <v>751</v>
      </c>
      <c r="J31" s="15">
        <v>19058.0</v>
      </c>
    </row>
    <row r="32" ht="60.0" customHeight="1">
      <c r="A32" s="11">
        <v>29.0</v>
      </c>
      <c r="B32" s="12" t="s">
        <v>155</v>
      </c>
      <c r="C32" s="12" t="s">
        <v>156</v>
      </c>
      <c r="D32" s="12" t="s">
        <v>157</v>
      </c>
      <c r="E32" s="12" t="s">
        <v>158</v>
      </c>
      <c r="F32" s="11" t="str">
        <f t="shared" si="1"/>
        <v>CORRECT</v>
      </c>
      <c r="G32" s="11" t="s">
        <v>19</v>
      </c>
      <c r="H32" s="13" t="s">
        <v>19</v>
      </c>
      <c r="I32" s="14" t="s">
        <v>752</v>
      </c>
      <c r="J32" s="15">
        <v>18916.0</v>
      </c>
    </row>
    <row r="33" ht="60.0" customHeight="1">
      <c r="A33" s="11">
        <v>30.0</v>
      </c>
      <c r="B33" s="12" t="s">
        <v>160</v>
      </c>
      <c r="C33" s="12" t="s">
        <v>161</v>
      </c>
      <c r="D33" s="12" t="s">
        <v>162</v>
      </c>
      <c r="E33" s="12" t="s">
        <v>163</v>
      </c>
      <c r="F33" s="11" t="str">
        <f t="shared" si="1"/>
        <v>WRONG</v>
      </c>
      <c r="G33" s="11" t="s">
        <v>30</v>
      </c>
      <c r="H33" s="13" t="s">
        <v>18</v>
      </c>
      <c r="I33" s="14" t="s">
        <v>753</v>
      </c>
      <c r="J33" s="15">
        <v>20925.0</v>
      </c>
    </row>
    <row r="34" ht="60.0" customHeight="1">
      <c r="A34" s="11">
        <v>31.0</v>
      </c>
      <c r="B34" s="12" t="s">
        <v>165</v>
      </c>
      <c r="C34" s="12" t="s">
        <v>166</v>
      </c>
      <c r="D34" s="12" t="s">
        <v>167</v>
      </c>
      <c r="E34" s="12" t="s">
        <v>168</v>
      </c>
      <c r="F34" s="11" t="str">
        <f t="shared" si="1"/>
        <v>WRONG</v>
      </c>
      <c r="G34" s="11" t="s">
        <v>19</v>
      </c>
      <c r="H34" s="13" t="s">
        <v>18</v>
      </c>
      <c r="I34" s="14" t="s">
        <v>754</v>
      </c>
      <c r="J34" s="15">
        <v>20146.0</v>
      </c>
    </row>
    <row r="35" ht="60.0" customHeight="1">
      <c r="A35" s="11">
        <v>32.0</v>
      </c>
      <c r="B35" s="12" t="s">
        <v>170</v>
      </c>
      <c r="C35" s="12" t="s">
        <v>171</v>
      </c>
      <c r="D35" s="12" t="s">
        <v>172</v>
      </c>
      <c r="E35" s="12" t="s">
        <v>173</v>
      </c>
      <c r="F35" s="11" t="str">
        <f t="shared" si="1"/>
        <v>WRONG</v>
      </c>
      <c r="G35" s="11" t="s">
        <v>18</v>
      </c>
      <c r="H35" s="13" t="s">
        <v>19</v>
      </c>
      <c r="I35" s="14" t="s">
        <v>755</v>
      </c>
      <c r="J35" s="15">
        <v>26031.0</v>
      </c>
    </row>
    <row r="36" ht="60.0" customHeight="1">
      <c r="A36" s="11">
        <v>33.0</v>
      </c>
      <c r="B36" s="12" t="s">
        <v>175</v>
      </c>
      <c r="C36" s="12" t="s">
        <v>176</v>
      </c>
      <c r="D36" s="12" t="s">
        <v>177</v>
      </c>
      <c r="E36" s="12" t="s">
        <v>178</v>
      </c>
      <c r="F36" s="11" t="str">
        <f t="shared" si="1"/>
        <v>WRONG</v>
      </c>
      <c r="G36" s="11" t="s">
        <v>30</v>
      </c>
      <c r="H36" s="13" t="s">
        <v>19</v>
      </c>
      <c r="I36" s="14" t="s">
        <v>756</v>
      </c>
      <c r="J36" s="15">
        <v>16322.0</v>
      </c>
    </row>
    <row r="37" ht="60.0" customHeight="1">
      <c r="A37" s="11">
        <v>34.0</v>
      </c>
      <c r="B37" s="12" t="s">
        <v>180</v>
      </c>
      <c r="C37" s="12" t="s">
        <v>181</v>
      </c>
      <c r="D37" s="12" t="s">
        <v>182</v>
      </c>
      <c r="E37" s="12" t="s">
        <v>183</v>
      </c>
      <c r="F37" s="11" t="str">
        <f t="shared" si="1"/>
        <v>CORRECT</v>
      </c>
      <c r="G37" s="11" t="s">
        <v>18</v>
      </c>
      <c r="H37" s="13" t="s">
        <v>18</v>
      </c>
      <c r="I37" s="14" t="s">
        <v>757</v>
      </c>
      <c r="J37" s="15">
        <v>17443.0</v>
      </c>
    </row>
    <row r="38" ht="60.0" customHeight="1">
      <c r="A38" s="11">
        <v>35.0</v>
      </c>
      <c r="B38" s="12" t="s">
        <v>185</v>
      </c>
      <c r="C38" s="12" t="s">
        <v>186</v>
      </c>
      <c r="D38" s="12" t="s">
        <v>187</v>
      </c>
      <c r="E38" s="12" t="s">
        <v>188</v>
      </c>
      <c r="F38" s="11" t="str">
        <f t="shared" si="1"/>
        <v>WRONG</v>
      </c>
      <c r="G38" s="11" t="s">
        <v>30</v>
      </c>
      <c r="H38" s="13" t="s">
        <v>19</v>
      </c>
      <c r="I38" s="14" t="s">
        <v>758</v>
      </c>
      <c r="J38" s="15">
        <v>18843.0</v>
      </c>
    </row>
    <row r="39" ht="60.0" customHeight="1">
      <c r="A39" s="11">
        <v>36.0</v>
      </c>
      <c r="B39" s="12" t="s">
        <v>190</v>
      </c>
      <c r="C39" s="12" t="s">
        <v>191</v>
      </c>
      <c r="D39" s="12" t="s">
        <v>192</v>
      </c>
      <c r="E39" s="12" t="s">
        <v>193</v>
      </c>
      <c r="F39" s="11" t="str">
        <f t="shared" si="1"/>
        <v>CORRECT</v>
      </c>
      <c r="G39" s="11" t="s">
        <v>18</v>
      </c>
      <c r="H39" s="13" t="s">
        <v>18</v>
      </c>
      <c r="I39" s="14" t="s">
        <v>759</v>
      </c>
      <c r="J39" s="15">
        <v>17928.0</v>
      </c>
    </row>
    <row r="40" ht="60.0" customHeight="1">
      <c r="A40" s="11">
        <v>37.0</v>
      </c>
      <c r="B40" s="12" t="s">
        <v>195</v>
      </c>
      <c r="C40" s="12" t="s">
        <v>196</v>
      </c>
      <c r="D40" s="12" t="s">
        <v>197</v>
      </c>
      <c r="E40" s="12" t="s">
        <v>198</v>
      </c>
      <c r="F40" s="11" t="str">
        <f t="shared" si="1"/>
        <v>WRONG</v>
      </c>
      <c r="G40" s="11" t="s">
        <v>18</v>
      </c>
      <c r="H40" s="15" t="s">
        <v>19</v>
      </c>
      <c r="I40" s="14" t="s">
        <v>760</v>
      </c>
      <c r="J40" s="15">
        <v>15317.0</v>
      </c>
    </row>
    <row r="41" ht="60.0" customHeight="1">
      <c r="A41" s="11">
        <v>38.0</v>
      </c>
      <c r="B41" s="12" t="s">
        <v>200</v>
      </c>
      <c r="C41" s="12" t="s">
        <v>201</v>
      </c>
      <c r="D41" s="12" t="s">
        <v>202</v>
      </c>
      <c r="E41" s="12" t="s">
        <v>203</v>
      </c>
      <c r="F41" s="11" t="str">
        <f t="shared" si="1"/>
        <v>CORRECT</v>
      </c>
      <c r="G41" s="11" t="s">
        <v>18</v>
      </c>
      <c r="H41" s="15" t="s">
        <v>18</v>
      </c>
      <c r="I41" s="14" t="s">
        <v>761</v>
      </c>
      <c r="J41" s="15">
        <v>17554.0</v>
      </c>
    </row>
    <row r="42" ht="60.0" customHeight="1">
      <c r="A42" s="11">
        <v>39.0</v>
      </c>
      <c r="B42" s="12" t="s">
        <v>205</v>
      </c>
      <c r="C42" s="12" t="s">
        <v>206</v>
      </c>
      <c r="D42" s="12" t="s">
        <v>207</v>
      </c>
      <c r="E42" s="12" t="s">
        <v>208</v>
      </c>
      <c r="F42" s="11" t="str">
        <f t="shared" si="1"/>
        <v>WRONG</v>
      </c>
      <c r="G42" s="11" t="s">
        <v>19</v>
      </c>
      <c r="H42" s="15" t="s">
        <v>30</v>
      </c>
      <c r="I42" s="14" t="s">
        <v>762</v>
      </c>
      <c r="J42" s="15">
        <v>21061.0</v>
      </c>
    </row>
    <row r="43" ht="60.0" customHeight="1">
      <c r="A43" s="11">
        <v>40.0</v>
      </c>
      <c r="B43" s="12" t="s">
        <v>210</v>
      </c>
      <c r="C43" s="12" t="s">
        <v>211</v>
      </c>
      <c r="D43" s="12" t="s">
        <v>212</v>
      </c>
      <c r="E43" s="12" t="s">
        <v>213</v>
      </c>
      <c r="F43" s="11" t="str">
        <f t="shared" si="1"/>
        <v>CORRECT</v>
      </c>
      <c r="G43" s="11" t="s">
        <v>30</v>
      </c>
      <c r="H43" s="13" t="s">
        <v>30</v>
      </c>
      <c r="I43" s="14" t="s">
        <v>763</v>
      </c>
      <c r="J43" s="15">
        <v>16210.0</v>
      </c>
    </row>
    <row r="44" ht="60.0" customHeight="1">
      <c r="A44" s="11">
        <v>41.0</v>
      </c>
      <c r="B44" s="12" t="s">
        <v>215</v>
      </c>
      <c r="C44" s="12" t="s">
        <v>216</v>
      </c>
      <c r="D44" s="12" t="s">
        <v>217</v>
      </c>
      <c r="E44" s="12" t="s">
        <v>218</v>
      </c>
      <c r="F44" s="11" t="str">
        <f t="shared" si="1"/>
        <v>CORRECT</v>
      </c>
      <c r="G44" s="11" t="s">
        <v>19</v>
      </c>
      <c r="H44" s="13" t="s">
        <v>19</v>
      </c>
      <c r="I44" s="14" t="s">
        <v>764</v>
      </c>
      <c r="J44" s="15">
        <v>15515.0</v>
      </c>
    </row>
    <row r="45" ht="60.0" customHeight="1">
      <c r="A45" s="11">
        <v>42.0</v>
      </c>
      <c r="B45" s="12" t="s">
        <v>220</v>
      </c>
      <c r="C45" s="12" t="s">
        <v>221</v>
      </c>
      <c r="D45" s="12" t="s">
        <v>222</v>
      </c>
      <c r="E45" s="12" t="s">
        <v>223</v>
      </c>
      <c r="F45" s="11" t="str">
        <f t="shared" si="1"/>
        <v>WRONG</v>
      </c>
      <c r="G45" s="11" t="s">
        <v>18</v>
      </c>
      <c r="H45" s="15" t="s">
        <v>19</v>
      </c>
      <c r="I45" s="14" t="s">
        <v>765</v>
      </c>
      <c r="J45" s="15">
        <v>17280.0</v>
      </c>
    </row>
    <row r="46" ht="60.0" customHeight="1">
      <c r="A46" s="11">
        <v>43.0</v>
      </c>
      <c r="B46" s="12" t="s">
        <v>225</v>
      </c>
      <c r="C46" s="12" t="s">
        <v>226</v>
      </c>
      <c r="D46" s="12" t="s">
        <v>227</v>
      </c>
      <c r="E46" s="12" t="s">
        <v>228</v>
      </c>
      <c r="F46" s="11" t="str">
        <f t="shared" si="1"/>
        <v>WRONG</v>
      </c>
      <c r="G46" s="11" t="s">
        <v>30</v>
      </c>
      <c r="H46" s="13" t="s">
        <v>18</v>
      </c>
      <c r="I46" s="14" t="s">
        <v>766</v>
      </c>
      <c r="J46" s="15">
        <v>22361.0</v>
      </c>
    </row>
    <row r="47" ht="60.0" customHeight="1">
      <c r="A47" s="11">
        <v>44.0</v>
      </c>
      <c r="B47" s="12" t="s">
        <v>230</v>
      </c>
      <c r="C47" s="12" t="s">
        <v>231</v>
      </c>
      <c r="D47" s="12" t="s">
        <v>232</v>
      </c>
      <c r="E47" s="12" t="s">
        <v>233</v>
      </c>
      <c r="F47" s="11" t="str">
        <f t="shared" si="1"/>
        <v>WRONG</v>
      </c>
      <c r="G47" s="11" t="s">
        <v>18</v>
      </c>
      <c r="H47" s="13" t="s">
        <v>30</v>
      </c>
      <c r="I47" s="14" t="s">
        <v>767</v>
      </c>
      <c r="J47" s="15">
        <v>15439.0</v>
      </c>
    </row>
    <row r="48" ht="60.0" customHeight="1">
      <c r="A48" s="11">
        <v>45.0</v>
      </c>
      <c r="B48" s="12" t="s">
        <v>235</v>
      </c>
      <c r="C48" s="12" t="s">
        <v>236</v>
      </c>
      <c r="D48" s="12" t="s">
        <v>237</v>
      </c>
      <c r="E48" s="12" t="s">
        <v>238</v>
      </c>
      <c r="F48" s="11" t="str">
        <f t="shared" si="1"/>
        <v>CORRECT</v>
      </c>
      <c r="G48" s="11" t="s">
        <v>18</v>
      </c>
      <c r="H48" s="15" t="s">
        <v>18</v>
      </c>
      <c r="I48" s="14" t="s">
        <v>768</v>
      </c>
      <c r="J48" s="15">
        <v>19838.0</v>
      </c>
    </row>
    <row r="49" ht="60.0" customHeight="1">
      <c r="A49" s="11">
        <v>46.0</v>
      </c>
      <c r="B49" s="12" t="s">
        <v>240</v>
      </c>
      <c r="C49" s="12" t="s">
        <v>22</v>
      </c>
      <c r="D49" s="12" t="s">
        <v>241</v>
      </c>
      <c r="E49" s="12" t="s">
        <v>242</v>
      </c>
      <c r="F49" s="11" t="str">
        <f t="shared" si="1"/>
        <v>CORRECT</v>
      </c>
      <c r="G49" s="11" t="s">
        <v>18</v>
      </c>
      <c r="H49" s="15" t="s">
        <v>18</v>
      </c>
      <c r="I49" s="14" t="s">
        <v>769</v>
      </c>
      <c r="J49" s="15">
        <v>18811.0</v>
      </c>
    </row>
    <row r="50">
      <c r="A50" s="16" t="s">
        <v>244</v>
      </c>
      <c r="B50" s="2"/>
      <c r="C50" s="2"/>
      <c r="D50" s="2"/>
      <c r="E50" s="3"/>
      <c r="F50" s="17">
        <f>COUNTIFS(F4:F49,"CORRECT")</f>
        <v>22</v>
      </c>
      <c r="G50" s="18"/>
      <c r="H50" s="18"/>
      <c r="J50" s="19">
        <f>AVERAGE(J4:J49)</f>
        <v>18096.02174</v>
      </c>
    </row>
    <row r="51">
      <c r="A51" s="20" t="s">
        <v>245</v>
      </c>
      <c r="B51" s="2"/>
      <c r="C51" s="2"/>
      <c r="D51" s="2"/>
      <c r="E51" s="3"/>
      <c r="F51" s="21">
        <v>46.0</v>
      </c>
      <c r="G51" s="18"/>
      <c r="H51" s="18"/>
    </row>
    <row r="52">
      <c r="A52" s="16" t="s">
        <v>246</v>
      </c>
      <c r="B52" s="2"/>
      <c r="C52" s="2"/>
      <c r="D52" s="2"/>
      <c r="E52" s="3"/>
      <c r="F52" s="22">
        <f>F50/F51</f>
        <v>0.4782608696</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770</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CORRECT</v>
      </c>
      <c r="G4" s="11" t="s">
        <v>18</v>
      </c>
      <c r="H4" s="13" t="s">
        <v>18</v>
      </c>
      <c r="I4" s="14" t="s">
        <v>771</v>
      </c>
      <c r="J4" s="15">
        <v>17967.0</v>
      </c>
    </row>
    <row r="5" ht="60.0" customHeight="1">
      <c r="A5" s="11">
        <v>2.0</v>
      </c>
      <c r="B5" s="12" t="s">
        <v>21</v>
      </c>
      <c r="C5" s="12" t="s">
        <v>22</v>
      </c>
      <c r="D5" s="12" t="s">
        <v>23</v>
      </c>
      <c r="E5" s="12" t="s">
        <v>24</v>
      </c>
      <c r="F5" s="11" t="str">
        <f t="shared" si="1"/>
        <v>WRONG</v>
      </c>
      <c r="G5" s="11" t="s">
        <v>19</v>
      </c>
      <c r="H5" s="13" t="s">
        <v>30</v>
      </c>
      <c r="I5" s="14" t="s">
        <v>772</v>
      </c>
      <c r="J5" s="15">
        <v>21567.0</v>
      </c>
    </row>
    <row r="6" ht="60.0" customHeight="1">
      <c r="A6" s="11">
        <v>3.0</v>
      </c>
      <c r="B6" s="12" t="s">
        <v>26</v>
      </c>
      <c r="C6" s="12" t="s">
        <v>27</v>
      </c>
      <c r="D6" s="12" t="s">
        <v>28</v>
      </c>
      <c r="E6" s="12" t="s">
        <v>29</v>
      </c>
      <c r="F6" s="11" t="str">
        <f t="shared" si="1"/>
        <v>CORRECT</v>
      </c>
      <c r="G6" s="11" t="s">
        <v>30</v>
      </c>
      <c r="H6" s="15" t="s">
        <v>30</v>
      </c>
      <c r="I6" s="14" t="s">
        <v>773</v>
      </c>
      <c r="J6" s="15">
        <v>18514.0</v>
      </c>
    </row>
    <row r="7" ht="60.0" customHeight="1">
      <c r="A7" s="11">
        <v>4.0</v>
      </c>
      <c r="B7" s="12" t="s">
        <v>32</v>
      </c>
      <c r="C7" s="12" t="s">
        <v>33</v>
      </c>
      <c r="D7" s="12" t="s">
        <v>34</v>
      </c>
      <c r="E7" s="12" t="s">
        <v>35</v>
      </c>
      <c r="F7" s="11" t="str">
        <f t="shared" si="1"/>
        <v>WRONG</v>
      </c>
      <c r="G7" s="11" t="s">
        <v>19</v>
      </c>
      <c r="H7" s="13" t="s">
        <v>30</v>
      </c>
      <c r="I7" s="14" t="s">
        <v>774</v>
      </c>
      <c r="J7" s="15">
        <v>14761.0</v>
      </c>
    </row>
    <row r="8" ht="60.0" customHeight="1">
      <c r="A8" s="11">
        <v>5.0</v>
      </c>
      <c r="B8" s="12" t="s">
        <v>37</v>
      </c>
      <c r="C8" s="12" t="s">
        <v>38</v>
      </c>
      <c r="D8" s="12" t="s">
        <v>39</v>
      </c>
      <c r="E8" s="12" t="s">
        <v>40</v>
      </c>
      <c r="F8" s="11" t="str">
        <f t="shared" si="1"/>
        <v>WRONG</v>
      </c>
      <c r="G8" s="11" t="s">
        <v>30</v>
      </c>
      <c r="H8" s="13" t="s">
        <v>18</v>
      </c>
      <c r="I8" s="14" t="s">
        <v>775</v>
      </c>
      <c r="J8" s="15">
        <v>24631.0</v>
      </c>
    </row>
    <row r="9" ht="60.0" customHeight="1">
      <c r="A9" s="11">
        <v>6.0</v>
      </c>
      <c r="B9" s="12" t="s">
        <v>42</v>
      </c>
      <c r="C9" s="12" t="s">
        <v>43</v>
      </c>
      <c r="D9" s="12" t="s">
        <v>44</v>
      </c>
      <c r="E9" s="12" t="s">
        <v>45</v>
      </c>
      <c r="F9" s="11" t="str">
        <f t="shared" si="1"/>
        <v>WRONG</v>
      </c>
      <c r="G9" s="11" t="s">
        <v>19</v>
      </c>
      <c r="H9" s="13" t="s">
        <v>776</v>
      </c>
      <c r="I9" s="14" t="s">
        <v>777</v>
      </c>
      <c r="J9" s="15">
        <v>18622.0</v>
      </c>
    </row>
    <row r="10" ht="60.0" customHeight="1">
      <c r="A10" s="11">
        <v>7.0</v>
      </c>
      <c r="B10" s="12" t="s">
        <v>47</v>
      </c>
      <c r="C10" s="12" t="s">
        <v>48</v>
      </c>
      <c r="D10" s="12" t="s">
        <v>49</v>
      </c>
      <c r="E10" s="12" t="s">
        <v>50</v>
      </c>
      <c r="F10" s="11" t="str">
        <f t="shared" si="1"/>
        <v>WRONG</v>
      </c>
      <c r="G10" s="11" t="s">
        <v>19</v>
      </c>
      <c r="H10" s="13" t="s">
        <v>18</v>
      </c>
      <c r="I10" s="14" t="s">
        <v>778</v>
      </c>
      <c r="J10" s="15">
        <v>15579.0</v>
      </c>
    </row>
    <row r="11" ht="60.0" customHeight="1">
      <c r="A11" s="11">
        <v>8.0</v>
      </c>
      <c r="B11" s="12" t="s">
        <v>52</v>
      </c>
      <c r="C11" s="12" t="s">
        <v>53</v>
      </c>
      <c r="D11" s="12" t="s">
        <v>54</v>
      </c>
      <c r="E11" s="12" t="s">
        <v>55</v>
      </c>
      <c r="F11" s="11" t="str">
        <f t="shared" si="1"/>
        <v>WRONG</v>
      </c>
      <c r="G11" s="11" t="s">
        <v>30</v>
      </c>
      <c r="H11" s="13" t="s">
        <v>18</v>
      </c>
      <c r="I11" s="14" t="s">
        <v>779</v>
      </c>
      <c r="J11" s="15">
        <v>29850.0</v>
      </c>
    </row>
    <row r="12" ht="60.0" customHeight="1">
      <c r="A12" s="11">
        <v>9.0</v>
      </c>
      <c r="B12" s="12" t="s">
        <v>57</v>
      </c>
      <c r="C12" s="12" t="s">
        <v>58</v>
      </c>
      <c r="D12" s="12" t="s">
        <v>59</v>
      </c>
      <c r="E12" s="12" t="s">
        <v>60</v>
      </c>
      <c r="F12" s="11" t="str">
        <f t="shared" si="1"/>
        <v>WRONG</v>
      </c>
      <c r="G12" s="11" t="s">
        <v>19</v>
      </c>
      <c r="H12" s="13" t="s">
        <v>30</v>
      </c>
      <c r="I12" s="14" t="s">
        <v>780</v>
      </c>
      <c r="J12" s="15">
        <v>19566.0</v>
      </c>
    </row>
    <row r="13" ht="60.0" customHeight="1">
      <c r="A13" s="11">
        <v>10.0</v>
      </c>
      <c r="B13" s="12" t="s">
        <v>62</v>
      </c>
      <c r="C13" s="12" t="s">
        <v>63</v>
      </c>
      <c r="D13" s="12" t="s">
        <v>64</v>
      </c>
      <c r="E13" s="12" t="s">
        <v>65</v>
      </c>
      <c r="F13" s="11" t="str">
        <f t="shared" si="1"/>
        <v>WRONG</v>
      </c>
      <c r="G13" s="11" t="s">
        <v>30</v>
      </c>
      <c r="H13" s="13" t="s">
        <v>18</v>
      </c>
      <c r="I13" s="14" t="s">
        <v>781</v>
      </c>
      <c r="J13" s="15">
        <v>18762.0</v>
      </c>
    </row>
    <row r="14" ht="60.0" customHeight="1">
      <c r="A14" s="11">
        <v>11.0</v>
      </c>
      <c r="B14" s="12" t="s">
        <v>67</v>
      </c>
      <c r="C14" s="12" t="s">
        <v>68</v>
      </c>
      <c r="D14" s="12" t="s">
        <v>69</v>
      </c>
      <c r="E14" s="12" t="s">
        <v>70</v>
      </c>
      <c r="F14" s="11" t="str">
        <f t="shared" si="1"/>
        <v>WRONG</v>
      </c>
      <c r="G14" s="11" t="s">
        <v>19</v>
      </c>
      <c r="H14" s="13" t="s">
        <v>18</v>
      </c>
      <c r="I14" s="14" t="s">
        <v>782</v>
      </c>
      <c r="J14" s="15">
        <v>20526.0</v>
      </c>
    </row>
    <row r="15" ht="60.0" customHeight="1">
      <c r="A15" s="11">
        <v>12.0</v>
      </c>
      <c r="B15" s="12" t="s">
        <v>72</v>
      </c>
      <c r="C15" s="12" t="s">
        <v>73</v>
      </c>
      <c r="D15" s="12" t="s">
        <v>74</v>
      </c>
      <c r="E15" s="12" t="s">
        <v>75</v>
      </c>
      <c r="F15" s="11" t="str">
        <f t="shared" si="1"/>
        <v>CORRECT</v>
      </c>
      <c r="G15" s="11" t="s">
        <v>30</v>
      </c>
      <c r="H15" s="15" t="s">
        <v>30</v>
      </c>
      <c r="I15" s="14" t="s">
        <v>783</v>
      </c>
      <c r="J15" s="15">
        <v>17612.0</v>
      </c>
    </row>
    <row r="16" ht="60.0" customHeight="1">
      <c r="A16" s="11">
        <v>13.0</v>
      </c>
      <c r="B16" s="12" t="s">
        <v>77</v>
      </c>
      <c r="C16" s="12" t="s">
        <v>78</v>
      </c>
      <c r="D16" s="12" t="s">
        <v>79</v>
      </c>
      <c r="E16" s="12" t="s">
        <v>80</v>
      </c>
      <c r="F16" s="11" t="str">
        <f t="shared" si="1"/>
        <v>CORRECT</v>
      </c>
      <c r="G16" s="11" t="s">
        <v>18</v>
      </c>
      <c r="H16" s="13" t="s">
        <v>18</v>
      </c>
      <c r="I16" s="14" t="s">
        <v>784</v>
      </c>
      <c r="J16" s="15">
        <v>17025.0</v>
      </c>
    </row>
    <row r="17" ht="60.0" customHeight="1">
      <c r="A17" s="11">
        <v>14.0</v>
      </c>
      <c r="B17" s="12" t="s">
        <v>82</v>
      </c>
      <c r="C17" s="12" t="s">
        <v>83</v>
      </c>
      <c r="D17" s="12" t="s">
        <v>84</v>
      </c>
      <c r="E17" s="12" t="s">
        <v>85</v>
      </c>
      <c r="F17" s="11" t="str">
        <f t="shared" si="1"/>
        <v>WRONG</v>
      </c>
      <c r="G17" s="11" t="s">
        <v>18</v>
      </c>
      <c r="H17" s="15" t="s">
        <v>30</v>
      </c>
      <c r="I17" s="14" t="s">
        <v>785</v>
      </c>
      <c r="J17" s="15">
        <v>12961.0</v>
      </c>
    </row>
    <row r="18" ht="60.0" customHeight="1">
      <c r="A18" s="11">
        <v>15.0</v>
      </c>
      <c r="B18" s="12" t="s">
        <v>87</v>
      </c>
      <c r="C18" s="12" t="s">
        <v>88</v>
      </c>
      <c r="D18" s="12" t="s">
        <v>89</v>
      </c>
      <c r="E18" s="12" t="s">
        <v>90</v>
      </c>
      <c r="F18" s="11" t="str">
        <f t="shared" si="1"/>
        <v>CORRECT</v>
      </c>
      <c r="G18" s="11" t="s">
        <v>30</v>
      </c>
      <c r="H18" s="13" t="s">
        <v>30</v>
      </c>
      <c r="I18" s="14" t="s">
        <v>786</v>
      </c>
      <c r="J18" s="15">
        <v>21882.0</v>
      </c>
    </row>
    <row r="19" ht="60.0" customHeight="1">
      <c r="A19" s="11">
        <v>16.0</v>
      </c>
      <c r="B19" s="12" t="s">
        <v>92</v>
      </c>
      <c r="C19" s="12" t="s">
        <v>93</v>
      </c>
      <c r="D19" s="12" t="s">
        <v>94</v>
      </c>
      <c r="E19" s="12" t="s">
        <v>95</v>
      </c>
      <c r="F19" s="11" t="str">
        <f t="shared" si="1"/>
        <v>CORRECT</v>
      </c>
      <c r="G19" s="11" t="s">
        <v>30</v>
      </c>
      <c r="H19" s="13" t="s">
        <v>30</v>
      </c>
      <c r="I19" s="14" t="s">
        <v>787</v>
      </c>
      <c r="J19" s="15">
        <v>14687.0</v>
      </c>
    </row>
    <row r="20" ht="60.0" customHeight="1">
      <c r="A20" s="11">
        <v>17.0</v>
      </c>
      <c r="B20" s="12" t="s">
        <v>97</v>
      </c>
      <c r="C20" s="12" t="s">
        <v>98</v>
      </c>
      <c r="D20" s="12" t="s">
        <v>99</v>
      </c>
      <c r="E20" s="12" t="s">
        <v>100</v>
      </c>
      <c r="F20" s="11" t="str">
        <f t="shared" si="1"/>
        <v>CORRECT</v>
      </c>
      <c r="G20" s="11" t="s">
        <v>19</v>
      </c>
      <c r="H20" s="13" t="s">
        <v>19</v>
      </c>
      <c r="I20" s="14" t="s">
        <v>788</v>
      </c>
      <c r="J20" s="15">
        <v>16788.0</v>
      </c>
    </row>
    <row r="21" ht="60.0" customHeight="1">
      <c r="A21" s="11">
        <v>18.0</v>
      </c>
      <c r="B21" s="12" t="s">
        <v>102</v>
      </c>
      <c r="C21" s="12" t="s">
        <v>103</v>
      </c>
      <c r="D21" s="12" t="s">
        <v>104</v>
      </c>
      <c r="E21" s="12" t="s">
        <v>105</v>
      </c>
      <c r="F21" s="11" t="str">
        <f t="shared" si="1"/>
        <v>CORRECT</v>
      </c>
      <c r="G21" s="11" t="s">
        <v>19</v>
      </c>
      <c r="H21" s="15" t="s">
        <v>19</v>
      </c>
      <c r="I21" s="14" t="s">
        <v>789</v>
      </c>
      <c r="J21" s="15">
        <v>11885.0</v>
      </c>
    </row>
    <row r="22" ht="60.0" customHeight="1">
      <c r="A22" s="11">
        <v>19.0</v>
      </c>
      <c r="B22" s="12" t="s">
        <v>107</v>
      </c>
      <c r="C22" s="12" t="s">
        <v>108</v>
      </c>
      <c r="D22" s="12" t="s">
        <v>109</v>
      </c>
      <c r="E22" s="12" t="s">
        <v>110</v>
      </c>
      <c r="F22" s="11" t="str">
        <f t="shared" si="1"/>
        <v>WRONG</v>
      </c>
      <c r="G22" s="11" t="s">
        <v>18</v>
      </c>
      <c r="H22" s="13" t="s">
        <v>30</v>
      </c>
      <c r="I22" s="14" t="s">
        <v>790</v>
      </c>
      <c r="J22" s="15">
        <v>18932.0</v>
      </c>
    </row>
    <row r="23" ht="60.0" customHeight="1">
      <c r="A23" s="11">
        <v>20.0</v>
      </c>
      <c r="B23" s="12" t="s">
        <v>112</v>
      </c>
      <c r="C23" s="12" t="s">
        <v>113</v>
      </c>
      <c r="D23" s="12" t="s">
        <v>114</v>
      </c>
      <c r="E23" s="12" t="s">
        <v>115</v>
      </c>
      <c r="F23" s="11" t="str">
        <f t="shared" si="1"/>
        <v>WRONG</v>
      </c>
      <c r="G23" s="11" t="s">
        <v>19</v>
      </c>
      <c r="H23" s="13" t="s">
        <v>18</v>
      </c>
      <c r="I23" s="14" t="s">
        <v>791</v>
      </c>
      <c r="J23" s="15">
        <v>18497.0</v>
      </c>
    </row>
    <row r="24" ht="60.0" customHeight="1">
      <c r="A24" s="11">
        <v>21.0</v>
      </c>
      <c r="B24" s="12" t="s">
        <v>117</v>
      </c>
      <c r="C24" s="12" t="s">
        <v>118</v>
      </c>
      <c r="D24" s="12" t="s">
        <v>119</v>
      </c>
      <c r="E24" s="12" t="s">
        <v>120</v>
      </c>
      <c r="F24" s="11" t="str">
        <f t="shared" si="1"/>
        <v>WRONG</v>
      </c>
      <c r="G24" s="11" t="s">
        <v>19</v>
      </c>
      <c r="H24" s="13" t="s">
        <v>18</v>
      </c>
      <c r="I24" s="14" t="s">
        <v>792</v>
      </c>
      <c r="J24" s="15">
        <v>22086.0</v>
      </c>
    </row>
    <row r="25" ht="60.0" customHeight="1">
      <c r="A25" s="11">
        <v>22.0</v>
      </c>
      <c r="B25" s="12" t="s">
        <v>122</v>
      </c>
      <c r="C25" s="12" t="s">
        <v>123</v>
      </c>
      <c r="D25" s="12" t="s">
        <v>124</v>
      </c>
      <c r="E25" s="12" t="s">
        <v>125</v>
      </c>
      <c r="F25" s="11" t="str">
        <f t="shared" si="1"/>
        <v>CORRECT</v>
      </c>
      <c r="G25" s="11" t="s">
        <v>19</v>
      </c>
      <c r="H25" s="13" t="s">
        <v>19</v>
      </c>
      <c r="I25" s="14" t="s">
        <v>793</v>
      </c>
      <c r="J25" s="15">
        <v>18798.0</v>
      </c>
    </row>
    <row r="26" ht="60.0" customHeight="1">
      <c r="A26" s="11">
        <v>23.0</v>
      </c>
      <c r="B26" s="12" t="s">
        <v>127</v>
      </c>
      <c r="C26" s="12" t="s">
        <v>128</v>
      </c>
      <c r="D26" s="12" t="s">
        <v>129</v>
      </c>
      <c r="E26" s="12" t="s">
        <v>130</v>
      </c>
      <c r="F26" s="11" t="str">
        <f t="shared" si="1"/>
        <v>CORRECT</v>
      </c>
      <c r="G26" s="11" t="s">
        <v>30</v>
      </c>
      <c r="H26" s="15" t="s">
        <v>30</v>
      </c>
      <c r="I26" s="14" t="s">
        <v>794</v>
      </c>
      <c r="J26" s="15">
        <v>16311.0</v>
      </c>
    </row>
    <row r="27" ht="60.0" customHeight="1">
      <c r="A27" s="11">
        <v>24.0</v>
      </c>
      <c r="B27" s="12" t="s">
        <v>132</v>
      </c>
      <c r="C27" s="12" t="s">
        <v>133</v>
      </c>
      <c r="D27" s="12" t="s">
        <v>134</v>
      </c>
      <c r="E27" s="12" t="s">
        <v>135</v>
      </c>
      <c r="F27" s="11" t="str">
        <f t="shared" si="1"/>
        <v>WRONG</v>
      </c>
      <c r="G27" s="11" t="s">
        <v>18</v>
      </c>
      <c r="H27" s="15" t="s">
        <v>30</v>
      </c>
      <c r="I27" s="14" t="s">
        <v>795</v>
      </c>
      <c r="J27" s="15">
        <v>13894.0</v>
      </c>
    </row>
    <row r="28" ht="60.0" customHeight="1">
      <c r="A28" s="11">
        <v>25.0</v>
      </c>
      <c r="B28" s="12" t="s">
        <v>137</v>
      </c>
      <c r="C28" s="12" t="s">
        <v>133</v>
      </c>
      <c r="D28" s="12" t="s">
        <v>138</v>
      </c>
      <c r="E28" s="12" t="s">
        <v>135</v>
      </c>
      <c r="F28" s="11" t="str">
        <f t="shared" si="1"/>
        <v>WRONG</v>
      </c>
      <c r="G28" s="11" t="s">
        <v>30</v>
      </c>
      <c r="H28" s="13" t="s">
        <v>18</v>
      </c>
      <c r="I28" s="14" t="s">
        <v>796</v>
      </c>
      <c r="J28" s="15">
        <v>12653.0</v>
      </c>
    </row>
    <row r="29" ht="60.0" customHeight="1">
      <c r="A29" s="11">
        <v>26.0</v>
      </c>
      <c r="B29" s="12" t="s">
        <v>140</v>
      </c>
      <c r="C29" s="12" t="s">
        <v>141</v>
      </c>
      <c r="D29" s="12" t="s">
        <v>142</v>
      </c>
      <c r="E29" s="12" t="s">
        <v>143</v>
      </c>
      <c r="F29" s="11" t="str">
        <f t="shared" si="1"/>
        <v>CORRECT</v>
      </c>
      <c r="G29" s="11" t="s">
        <v>18</v>
      </c>
      <c r="H29" s="13" t="s">
        <v>18</v>
      </c>
      <c r="I29" s="14" t="s">
        <v>797</v>
      </c>
      <c r="J29" s="15">
        <v>8395.0</v>
      </c>
    </row>
    <row r="30" ht="60.0" customHeight="1">
      <c r="A30" s="11">
        <v>27.0</v>
      </c>
      <c r="B30" s="12" t="s">
        <v>145</v>
      </c>
      <c r="C30" s="12" t="s">
        <v>146</v>
      </c>
      <c r="D30" s="12" t="s">
        <v>147</v>
      </c>
      <c r="E30" s="12" t="s">
        <v>148</v>
      </c>
      <c r="F30" s="11" t="str">
        <f t="shared" si="1"/>
        <v>CORRECT</v>
      </c>
      <c r="G30" s="11" t="s">
        <v>19</v>
      </c>
      <c r="H30" s="15" t="s">
        <v>19</v>
      </c>
      <c r="I30" s="14" t="s">
        <v>798</v>
      </c>
      <c r="J30" s="15">
        <v>14668.0</v>
      </c>
    </row>
    <row r="31" ht="60.0" customHeight="1">
      <c r="A31" s="11">
        <v>28.0</v>
      </c>
      <c r="B31" s="12" t="s">
        <v>150</v>
      </c>
      <c r="C31" s="12" t="s">
        <v>151</v>
      </c>
      <c r="D31" s="12" t="s">
        <v>152</v>
      </c>
      <c r="E31" s="12" t="s">
        <v>153</v>
      </c>
      <c r="F31" s="11" t="str">
        <f t="shared" si="1"/>
        <v>CORRECT</v>
      </c>
      <c r="G31" s="11" t="s">
        <v>18</v>
      </c>
      <c r="H31" s="13" t="s">
        <v>18</v>
      </c>
      <c r="I31" s="14" t="s">
        <v>799</v>
      </c>
      <c r="J31" s="15">
        <v>19058.0</v>
      </c>
    </row>
    <row r="32" ht="60.0" customHeight="1">
      <c r="A32" s="11">
        <v>29.0</v>
      </c>
      <c r="B32" s="12" t="s">
        <v>155</v>
      </c>
      <c r="C32" s="12" t="s">
        <v>156</v>
      </c>
      <c r="D32" s="12" t="s">
        <v>157</v>
      </c>
      <c r="E32" s="12" t="s">
        <v>158</v>
      </c>
      <c r="F32" s="11" t="str">
        <f t="shared" si="1"/>
        <v>WRONG</v>
      </c>
      <c r="G32" s="11" t="s">
        <v>19</v>
      </c>
      <c r="H32" s="13" t="s">
        <v>30</v>
      </c>
      <c r="I32" s="14" t="s">
        <v>800</v>
      </c>
      <c r="J32" s="15">
        <v>18916.0</v>
      </c>
    </row>
    <row r="33" ht="60.0" customHeight="1">
      <c r="A33" s="11">
        <v>30.0</v>
      </c>
      <c r="B33" s="12" t="s">
        <v>160</v>
      </c>
      <c r="C33" s="12" t="s">
        <v>161</v>
      </c>
      <c r="D33" s="12" t="s">
        <v>162</v>
      </c>
      <c r="E33" s="12" t="s">
        <v>163</v>
      </c>
      <c r="F33" s="11" t="str">
        <f t="shared" si="1"/>
        <v>WRONG</v>
      </c>
      <c r="G33" s="11" t="s">
        <v>30</v>
      </c>
      <c r="H33" s="13" t="s">
        <v>18</v>
      </c>
      <c r="I33" s="14" t="s">
        <v>801</v>
      </c>
      <c r="J33" s="15">
        <v>20925.0</v>
      </c>
    </row>
    <row r="34" ht="60.0" customHeight="1">
      <c r="A34" s="11">
        <v>31.0</v>
      </c>
      <c r="B34" s="12" t="s">
        <v>165</v>
      </c>
      <c r="C34" s="12" t="s">
        <v>166</v>
      </c>
      <c r="D34" s="12" t="s">
        <v>167</v>
      </c>
      <c r="E34" s="12" t="s">
        <v>168</v>
      </c>
      <c r="F34" s="11" t="str">
        <f t="shared" si="1"/>
        <v>WRONG</v>
      </c>
      <c r="G34" s="11" t="s">
        <v>19</v>
      </c>
      <c r="H34" s="13" t="s">
        <v>18</v>
      </c>
      <c r="I34" s="14" t="s">
        <v>802</v>
      </c>
      <c r="J34" s="15">
        <v>20146.0</v>
      </c>
    </row>
    <row r="35" ht="60.0" customHeight="1">
      <c r="A35" s="11">
        <v>32.0</v>
      </c>
      <c r="B35" s="12" t="s">
        <v>170</v>
      </c>
      <c r="C35" s="12" t="s">
        <v>171</v>
      </c>
      <c r="D35" s="12" t="s">
        <v>172</v>
      </c>
      <c r="E35" s="12" t="s">
        <v>173</v>
      </c>
      <c r="F35" s="11" t="str">
        <f t="shared" si="1"/>
        <v>CORRECT</v>
      </c>
      <c r="G35" s="11" t="s">
        <v>18</v>
      </c>
      <c r="H35" s="15" t="s">
        <v>18</v>
      </c>
      <c r="I35" s="14" t="s">
        <v>803</v>
      </c>
      <c r="J35" s="15">
        <v>26031.0</v>
      </c>
    </row>
    <row r="36" ht="60.0" customHeight="1">
      <c r="A36" s="11">
        <v>33.0</v>
      </c>
      <c r="B36" s="12" t="s">
        <v>175</v>
      </c>
      <c r="C36" s="12" t="s">
        <v>176</v>
      </c>
      <c r="D36" s="12" t="s">
        <v>177</v>
      </c>
      <c r="E36" s="12" t="s">
        <v>178</v>
      </c>
      <c r="F36" s="11" t="str">
        <f t="shared" si="1"/>
        <v>CORRECT</v>
      </c>
      <c r="G36" s="11" t="s">
        <v>30</v>
      </c>
      <c r="H36" s="13" t="s">
        <v>30</v>
      </c>
      <c r="I36" s="14" t="s">
        <v>804</v>
      </c>
      <c r="J36" s="15">
        <v>16322.0</v>
      </c>
    </row>
    <row r="37" ht="60.0" customHeight="1">
      <c r="A37" s="11">
        <v>34.0</v>
      </c>
      <c r="B37" s="12" t="s">
        <v>180</v>
      </c>
      <c r="C37" s="12" t="s">
        <v>181</v>
      </c>
      <c r="D37" s="12" t="s">
        <v>182</v>
      </c>
      <c r="E37" s="12" t="s">
        <v>183</v>
      </c>
      <c r="F37" s="11" t="str">
        <f t="shared" si="1"/>
        <v>WRONG</v>
      </c>
      <c r="G37" s="11" t="s">
        <v>18</v>
      </c>
      <c r="H37" s="13" t="s">
        <v>30</v>
      </c>
      <c r="I37" s="14" t="s">
        <v>805</v>
      </c>
      <c r="J37" s="15">
        <v>17443.0</v>
      </c>
    </row>
    <row r="38" ht="60.0" customHeight="1">
      <c r="A38" s="11">
        <v>35.0</v>
      </c>
      <c r="B38" s="12" t="s">
        <v>185</v>
      </c>
      <c r="C38" s="12" t="s">
        <v>186</v>
      </c>
      <c r="D38" s="12" t="s">
        <v>187</v>
      </c>
      <c r="E38" s="12" t="s">
        <v>188</v>
      </c>
      <c r="F38" s="11" t="str">
        <f t="shared" si="1"/>
        <v>CORRECT</v>
      </c>
      <c r="G38" s="11" t="s">
        <v>30</v>
      </c>
      <c r="H38" s="15" t="s">
        <v>30</v>
      </c>
      <c r="I38" s="14" t="s">
        <v>806</v>
      </c>
      <c r="J38" s="15">
        <v>18843.0</v>
      </c>
    </row>
    <row r="39" ht="60.0" customHeight="1">
      <c r="A39" s="11">
        <v>36.0</v>
      </c>
      <c r="B39" s="12" t="s">
        <v>190</v>
      </c>
      <c r="C39" s="12" t="s">
        <v>191</v>
      </c>
      <c r="D39" s="12" t="s">
        <v>192</v>
      </c>
      <c r="E39" s="12" t="s">
        <v>193</v>
      </c>
      <c r="F39" s="11" t="str">
        <f t="shared" si="1"/>
        <v>CORRECT</v>
      </c>
      <c r="G39" s="11" t="s">
        <v>18</v>
      </c>
      <c r="H39" s="15" t="s">
        <v>18</v>
      </c>
      <c r="I39" s="14" t="s">
        <v>807</v>
      </c>
      <c r="J39" s="15">
        <v>17928.0</v>
      </c>
    </row>
    <row r="40" ht="60.0" customHeight="1">
      <c r="A40" s="11">
        <v>37.0</v>
      </c>
      <c r="B40" s="12" t="s">
        <v>195</v>
      </c>
      <c r="C40" s="12" t="s">
        <v>196</v>
      </c>
      <c r="D40" s="12" t="s">
        <v>197</v>
      </c>
      <c r="E40" s="12" t="s">
        <v>198</v>
      </c>
      <c r="F40" s="11" t="str">
        <f t="shared" si="1"/>
        <v>WRONG</v>
      </c>
      <c r="G40" s="11" t="s">
        <v>18</v>
      </c>
      <c r="H40" s="15" t="s">
        <v>19</v>
      </c>
      <c r="I40" s="14" t="s">
        <v>808</v>
      </c>
      <c r="J40" s="15">
        <v>15317.0</v>
      </c>
    </row>
    <row r="41" ht="60.0" customHeight="1">
      <c r="A41" s="11">
        <v>38.0</v>
      </c>
      <c r="B41" s="12" t="s">
        <v>200</v>
      </c>
      <c r="C41" s="12" t="s">
        <v>201</v>
      </c>
      <c r="D41" s="12" t="s">
        <v>202</v>
      </c>
      <c r="E41" s="12" t="s">
        <v>203</v>
      </c>
      <c r="F41" s="11" t="str">
        <f t="shared" si="1"/>
        <v>CORRECT</v>
      </c>
      <c r="G41" s="11" t="s">
        <v>18</v>
      </c>
      <c r="H41" s="15" t="s">
        <v>18</v>
      </c>
      <c r="I41" s="14" t="s">
        <v>809</v>
      </c>
      <c r="J41" s="15">
        <v>17554.0</v>
      </c>
    </row>
    <row r="42" ht="60.0" customHeight="1">
      <c r="A42" s="11">
        <v>39.0</v>
      </c>
      <c r="B42" s="12" t="s">
        <v>205</v>
      </c>
      <c r="C42" s="12" t="s">
        <v>206</v>
      </c>
      <c r="D42" s="12" t="s">
        <v>207</v>
      </c>
      <c r="E42" s="12" t="s">
        <v>208</v>
      </c>
      <c r="F42" s="11" t="str">
        <f t="shared" si="1"/>
        <v>WRONG</v>
      </c>
      <c r="G42" s="11" t="s">
        <v>19</v>
      </c>
      <c r="H42" s="13" t="s">
        <v>18</v>
      </c>
      <c r="I42" s="14" t="s">
        <v>810</v>
      </c>
      <c r="J42" s="15">
        <v>21061.0</v>
      </c>
    </row>
    <row r="43" ht="60.0" customHeight="1">
      <c r="A43" s="11">
        <v>40.0</v>
      </c>
      <c r="B43" s="12" t="s">
        <v>210</v>
      </c>
      <c r="C43" s="12" t="s">
        <v>211</v>
      </c>
      <c r="D43" s="12" t="s">
        <v>212</v>
      </c>
      <c r="E43" s="12" t="s">
        <v>213</v>
      </c>
      <c r="F43" s="11" t="str">
        <f t="shared" si="1"/>
        <v>WRONG</v>
      </c>
      <c r="G43" s="11" t="s">
        <v>30</v>
      </c>
      <c r="H43" s="13" t="s">
        <v>19</v>
      </c>
      <c r="I43" s="14" t="s">
        <v>811</v>
      </c>
      <c r="J43" s="15">
        <v>16210.0</v>
      </c>
    </row>
    <row r="44" ht="60.0" customHeight="1">
      <c r="A44" s="11">
        <v>41.0</v>
      </c>
      <c r="B44" s="12" t="s">
        <v>215</v>
      </c>
      <c r="C44" s="12" t="s">
        <v>216</v>
      </c>
      <c r="D44" s="12" t="s">
        <v>217</v>
      </c>
      <c r="E44" s="12" t="s">
        <v>218</v>
      </c>
      <c r="F44" s="11" t="str">
        <f t="shared" si="1"/>
        <v>CORRECT</v>
      </c>
      <c r="G44" s="11" t="s">
        <v>19</v>
      </c>
      <c r="H44" s="15" t="s">
        <v>19</v>
      </c>
      <c r="I44" s="14" t="s">
        <v>812</v>
      </c>
      <c r="J44" s="15">
        <v>15515.0</v>
      </c>
    </row>
    <row r="45" ht="60.0" customHeight="1">
      <c r="A45" s="11">
        <v>42.0</v>
      </c>
      <c r="B45" s="12" t="s">
        <v>220</v>
      </c>
      <c r="C45" s="12" t="s">
        <v>221</v>
      </c>
      <c r="D45" s="12" t="s">
        <v>222</v>
      </c>
      <c r="E45" s="12" t="s">
        <v>223</v>
      </c>
      <c r="F45" s="11" t="str">
        <f t="shared" si="1"/>
        <v>WRONG</v>
      </c>
      <c r="G45" s="11" t="s">
        <v>18</v>
      </c>
      <c r="H45" s="15" t="s">
        <v>19</v>
      </c>
      <c r="I45" s="14" t="s">
        <v>813</v>
      </c>
      <c r="J45" s="15">
        <v>17280.0</v>
      </c>
    </row>
    <row r="46" ht="60.0" customHeight="1">
      <c r="A46" s="11">
        <v>43.0</v>
      </c>
      <c r="B46" s="12" t="s">
        <v>225</v>
      </c>
      <c r="C46" s="12" t="s">
        <v>226</v>
      </c>
      <c r="D46" s="12" t="s">
        <v>227</v>
      </c>
      <c r="E46" s="12" t="s">
        <v>228</v>
      </c>
      <c r="F46" s="11" t="str">
        <f t="shared" si="1"/>
        <v>WRONG</v>
      </c>
      <c r="G46" s="11" t="s">
        <v>30</v>
      </c>
      <c r="H46" s="13" t="s">
        <v>18</v>
      </c>
      <c r="I46" s="14" t="s">
        <v>814</v>
      </c>
      <c r="J46" s="15">
        <v>22361.0</v>
      </c>
    </row>
    <row r="47" ht="60.0" customHeight="1">
      <c r="A47" s="11">
        <v>44.0</v>
      </c>
      <c r="B47" s="12" t="s">
        <v>230</v>
      </c>
      <c r="C47" s="12" t="s">
        <v>231</v>
      </c>
      <c r="D47" s="12" t="s">
        <v>232</v>
      </c>
      <c r="E47" s="12" t="s">
        <v>233</v>
      </c>
      <c r="F47" s="11" t="str">
        <f t="shared" si="1"/>
        <v>WRONG</v>
      </c>
      <c r="G47" s="11" t="s">
        <v>18</v>
      </c>
      <c r="H47" s="13" t="s">
        <v>30</v>
      </c>
      <c r="I47" s="14" t="s">
        <v>815</v>
      </c>
      <c r="J47" s="15">
        <v>15439.0</v>
      </c>
    </row>
    <row r="48" ht="60.0" customHeight="1">
      <c r="A48" s="11">
        <v>45.0</v>
      </c>
      <c r="B48" s="12" t="s">
        <v>235</v>
      </c>
      <c r="C48" s="12" t="s">
        <v>236</v>
      </c>
      <c r="D48" s="12" t="s">
        <v>237</v>
      </c>
      <c r="E48" s="12" t="s">
        <v>238</v>
      </c>
      <c r="F48" s="11" t="str">
        <f t="shared" si="1"/>
        <v>CORRECT</v>
      </c>
      <c r="G48" s="11" t="s">
        <v>18</v>
      </c>
      <c r="H48" s="15" t="s">
        <v>18</v>
      </c>
      <c r="I48" s="14" t="s">
        <v>816</v>
      </c>
      <c r="J48" s="15">
        <v>19838.0</v>
      </c>
    </row>
    <row r="49" ht="60.0" customHeight="1">
      <c r="A49" s="11">
        <v>46.0</v>
      </c>
      <c r="B49" s="12" t="s">
        <v>240</v>
      </c>
      <c r="C49" s="12" t="s">
        <v>22</v>
      </c>
      <c r="D49" s="12" t="s">
        <v>241</v>
      </c>
      <c r="E49" s="12" t="s">
        <v>242</v>
      </c>
      <c r="F49" s="11" t="str">
        <f t="shared" si="1"/>
        <v>CORRECT</v>
      </c>
      <c r="G49" s="11" t="s">
        <v>18</v>
      </c>
      <c r="H49" s="15" t="s">
        <v>18</v>
      </c>
      <c r="I49" s="14" t="s">
        <v>817</v>
      </c>
      <c r="J49" s="15">
        <v>18811.0</v>
      </c>
    </row>
    <row r="50">
      <c r="A50" s="16" t="s">
        <v>244</v>
      </c>
      <c r="B50" s="2"/>
      <c r="C50" s="2"/>
      <c r="D50" s="2"/>
      <c r="E50" s="3"/>
      <c r="F50" s="17">
        <f>COUNTIFS(F4:F49,"CORRECT")</f>
        <v>21</v>
      </c>
      <c r="G50" s="18"/>
      <c r="H50" s="18"/>
      <c r="J50" s="19">
        <f>AVERAGE(J4:J49)</f>
        <v>18096.02174</v>
      </c>
    </row>
    <row r="51">
      <c r="A51" s="20" t="s">
        <v>245</v>
      </c>
      <c r="B51" s="2"/>
      <c r="C51" s="2"/>
      <c r="D51" s="2"/>
      <c r="E51" s="3"/>
      <c r="F51" s="21">
        <v>46.0</v>
      </c>
      <c r="G51" s="18"/>
      <c r="H51" s="18"/>
    </row>
    <row r="52">
      <c r="A52" s="16" t="s">
        <v>246</v>
      </c>
      <c r="B52" s="2"/>
      <c r="C52" s="2"/>
      <c r="D52" s="2"/>
      <c r="E52" s="3"/>
      <c r="F52" s="22">
        <f>F50/F51</f>
        <v>0.4565217391</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818</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495</v>
      </c>
      <c r="J5" s="15">
        <v>21567.0</v>
      </c>
    </row>
    <row r="6" ht="60.0" customHeight="1">
      <c r="A6" s="11">
        <v>3.0</v>
      </c>
      <c r="B6" s="12" t="s">
        <v>26</v>
      </c>
      <c r="C6" s="12" t="s">
        <v>27</v>
      </c>
      <c r="D6" s="12" t="s">
        <v>28</v>
      </c>
      <c r="E6" s="12" t="s">
        <v>29</v>
      </c>
      <c r="F6" s="11" t="str">
        <f t="shared" si="1"/>
        <v>CORRECT</v>
      </c>
      <c r="G6" s="11" t="s">
        <v>30</v>
      </c>
      <c r="H6" s="15" t="s">
        <v>30</v>
      </c>
      <c r="I6" s="14" t="s">
        <v>296</v>
      </c>
      <c r="J6" s="15">
        <v>18514.0</v>
      </c>
    </row>
    <row r="7" ht="60.0" customHeight="1">
      <c r="A7" s="11">
        <v>4.0</v>
      </c>
      <c r="B7" s="12" t="s">
        <v>32</v>
      </c>
      <c r="C7" s="12" t="s">
        <v>33</v>
      </c>
      <c r="D7" s="12" t="s">
        <v>34</v>
      </c>
      <c r="E7" s="12" t="s">
        <v>35</v>
      </c>
      <c r="F7" s="11" t="str">
        <f t="shared" si="1"/>
        <v>WRONG</v>
      </c>
      <c r="G7" s="11" t="s">
        <v>19</v>
      </c>
      <c r="H7" s="13" t="s">
        <v>30</v>
      </c>
      <c r="I7" s="14" t="s">
        <v>36</v>
      </c>
      <c r="J7" s="15">
        <v>14761.0</v>
      </c>
    </row>
    <row r="8" ht="60.0" customHeight="1">
      <c r="A8" s="11">
        <v>5.0</v>
      </c>
      <c r="B8" s="12" t="s">
        <v>37</v>
      </c>
      <c r="C8" s="12" t="s">
        <v>38</v>
      </c>
      <c r="D8" s="12" t="s">
        <v>39</v>
      </c>
      <c r="E8" s="12" t="s">
        <v>40</v>
      </c>
      <c r="F8" s="11" t="str">
        <f t="shared" si="1"/>
        <v>CORRECT</v>
      </c>
      <c r="G8" s="11" t="s">
        <v>30</v>
      </c>
      <c r="H8" s="13" t="s">
        <v>30</v>
      </c>
      <c r="I8" s="14" t="s">
        <v>819</v>
      </c>
      <c r="J8" s="15">
        <v>24631.0</v>
      </c>
    </row>
    <row r="9" ht="60.0" customHeight="1">
      <c r="A9" s="11">
        <v>6.0</v>
      </c>
      <c r="B9" s="12" t="s">
        <v>42</v>
      </c>
      <c r="C9" s="12" t="s">
        <v>43</v>
      </c>
      <c r="D9" s="12" t="s">
        <v>44</v>
      </c>
      <c r="E9" s="12" t="s">
        <v>45</v>
      </c>
      <c r="F9" s="11" t="str">
        <f t="shared" si="1"/>
        <v>CORRECT</v>
      </c>
      <c r="G9" s="11" t="s">
        <v>19</v>
      </c>
      <c r="H9" s="13" t="s">
        <v>19</v>
      </c>
      <c r="I9" s="14" t="s">
        <v>298</v>
      </c>
      <c r="J9" s="15">
        <v>18622.0</v>
      </c>
    </row>
    <row r="10" ht="60.0" customHeight="1">
      <c r="A10" s="11">
        <v>7.0</v>
      </c>
      <c r="B10" s="12" t="s">
        <v>47</v>
      </c>
      <c r="C10" s="12" t="s">
        <v>48</v>
      </c>
      <c r="D10" s="12" t="s">
        <v>49</v>
      </c>
      <c r="E10" s="12" t="s">
        <v>50</v>
      </c>
      <c r="F10" s="11" t="str">
        <f t="shared" si="1"/>
        <v>CORRECT</v>
      </c>
      <c r="G10" s="11" t="s">
        <v>19</v>
      </c>
      <c r="H10" s="15" t="s">
        <v>19</v>
      </c>
      <c r="I10" s="14" t="s">
        <v>299</v>
      </c>
      <c r="J10" s="15">
        <v>15579.0</v>
      </c>
    </row>
    <row r="11" ht="60.0" customHeight="1">
      <c r="A11" s="11">
        <v>8.0</v>
      </c>
      <c r="B11" s="12" t="s">
        <v>52</v>
      </c>
      <c r="C11" s="12" t="s">
        <v>53</v>
      </c>
      <c r="D11" s="12" t="s">
        <v>54</v>
      </c>
      <c r="E11" s="12" t="s">
        <v>55</v>
      </c>
      <c r="F11" s="11" t="str">
        <f t="shared" si="1"/>
        <v>WRONG</v>
      </c>
      <c r="G11" s="11" t="s">
        <v>30</v>
      </c>
      <c r="H11" s="15" t="s">
        <v>19</v>
      </c>
      <c r="I11" s="14" t="s">
        <v>300</v>
      </c>
      <c r="J11" s="15">
        <v>29850.0</v>
      </c>
    </row>
    <row r="12" ht="60.0" customHeight="1">
      <c r="A12" s="11">
        <v>9.0</v>
      </c>
      <c r="B12" s="12" t="s">
        <v>57</v>
      </c>
      <c r="C12" s="12" t="s">
        <v>58</v>
      </c>
      <c r="D12" s="12" t="s">
        <v>59</v>
      </c>
      <c r="E12" s="12" t="s">
        <v>60</v>
      </c>
      <c r="F12" s="11" t="str">
        <f t="shared" si="1"/>
        <v>WRONG</v>
      </c>
      <c r="G12" s="11" t="s">
        <v>19</v>
      </c>
      <c r="H12" s="13" t="s">
        <v>30</v>
      </c>
      <c r="I12" s="14" t="s">
        <v>503</v>
      </c>
      <c r="J12" s="15">
        <v>19566.0</v>
      </c>
    </row>
    <row r="13" ht="60.0" customHeight="1">
      <c r="A13" s="11">
        <v>10.0</v>
      </c>
      <c r="B13" s="12" t="s">
        <v>62</v>
      </c>
      <c r="C13" s="12" t="s">
        <v>63</v>
      </c>
      <c r="D13" s="12" t="s">
        <v>64</v>
      </c>
      <c r="E13" s="12" t="s">
        <v>65</v>
      </c>
      <c r="F13" s="11" t="str">
        <f t="shared" si="1"/>
        <v>WRONG</v>
      </c>
      <c r="G13" s="11" t="s">
        <v>30</v>
      </c>
      <c r="H13" s="15" t="s">
        <v>19</v>
      </c>
      <c r="I13" s="14" t="s">
        <v>302</v>
      </c>
      <c r="J13" s="15">
        <v>18762.0</v>
      </c>
    </row>
    <row r="14" ht="60.0" customHeight="1">
      <c r="A14" s="11">
        <v>11.0</v>
      </c>
      <c r="B14" s="12" t="s">
        <v>67</v>
      </c>
      <c r="C14" s="12" t="s">
        <v>68</v>
      </c>
      <c r="D14" s="12" t="s">
        <v>69</v>
      </c>
      <c r="E14" s="12" t="s">
        <v>70</v>
      </c>
      <c r="F14" s="11" t="str">
        <f t="shared" si="1"/>
        <v>WRONG</v>
      </c>
      <c r="G14" s="11" t="s">
        <v>19</v>
      </c>
      <c r="H14" s="15" t="s">
        <v>30</v>
      </c>
      <c r="I14" s="14" t="s">
        <v>504</v>
      </c>
      <c r="J14" s="15">
        <v>20526.0</v>
      </c>
    </row>
    <row r="15" ht="60.0" customHeight="1">
      <c r="A15" s="11">
        <v>12.0</v>
      </c>
      <c r="B15" s="12" t="s">
        <v>72</v>
      </c>
      <c r="C15" s="12" t="s">
        <v>73</v>
      </c>
      <c r="D15" s="12" t="s">
        <v>74</v>
      </c>
      <c r="E15" s="12" t="s">
        <v>75</v>
      </c>
      <c r="F15" s="11" t="str">
        <f t="shared" si="1"/>
        <v>CORRECT</v>
      </c>
      <c r="G15" s="11" t="s">
        <v>30</v>
      </c>
      <c r="H15" s="15" t="s">
        <v>30</v>
      </c>
      <c r="I15" s="14" t="s">
        <v>497</v>
      </c>
      <c r="J15" s="15">
        <v>17612.0</v>
      </c>
    </row>
    <row r="16" ht="60.0" customHeight="1">
      <c r="A16" s="11">
        <v>13.0</v>
      </c>
      <c r="B16" s="12" t="s">
        <v>77</v>
      </c>
      <c r="C16" s="12" t="s">
        <v>78</v>
      </c>
      <c r="D16" s="12" t="s">
        <v>79</v>
      </c>
      <c r="E16" s="12" t="s">
        <v>80</v>
      </c>
      <c r="F16" s="11" t="str">
        <f t="shared" si="1"/>
        <v>CORRECT</v>
      </c>
      <c r="G16" s="11" t="s">
        <v>18</v>
      </c>
      <c r="H16" s="13" t="s">
        <v>18</v>
      </c>
      <c r="I16" s="14" t="s">
        <v>81</v>
      </c>
      <c r="J16" s="15">
        <v>17025.0</v>
      </c>
    </row>
    <row r="17" ht="60.0" customHeight="1">
      <c r="A17" s="11">
        <v>14.0</v>
      </c>
      <c r="B17" s="12" t="s">
        <v>82</v>
      </c>
      <c r="C17" s="12" t="s">
        <v>83</v>
      </c>
      <c r="D17" s="12" t="s">
        <v>84</v>
      </c>
      <c r="E17" s="12" t="s">
        <v>85</v>
      </c>
      <c r="F17" s="11" t="str">
        <f t="shared" si="1"/>
        <v>WRONG</v>
      </c>
      <c r="G17" s="11" t="s">
        <v>18</v>
      </c>
      <c r="H17" s="15" t="s">
        <v>30</v>
      </c>
      <c r="I17" s="14" t="s">
        <v>383</v>
      </c>
      <c r="J17" s="15">
        <v>12961.0</v>
      </c>
    </row>
    <row r="18" ht="60.0" customHeight="1">
      <c r="A18" s="11">
        <v>15.0</v>
      </c>
      <c r="B18" s="12" t="s">
        <v>87</v>
      </c>
      <c r="C18" s="12" t="s">
        <v>88</v>
      </c>
      <c r="D18" s="12" t="s">
        <v>89</v>
      </c>
      <c r="E18" s="12" t="s">
        <v>90</v>
      </c>
      <c r="F18" s="11" t="str">
        <f t="shared" si="1"/>
        <v>CORRECT</v>
      </c>
      <c r="G18" s="11" t="s">
        <v>30</v>
      </c>
      <c r="H18" s="13" t="s">
        <v>30</v>
      </c>
      <c r="I18" s="14" t="s">
        <v>505</v>
      </c>
      <c r="J18" s="15">
        <v>21882.0</v>
      </c>
    </row>
    <row r="19" ht="60.0" customHeight="1">
      <c r="A19" s="11">
        <v>16.0</v>
      </c>
      <c r="B19" s="12" t="s">
        <v>92</v>
      </c>
      <c r="C19" s="12" t="s">
        <v>93</v>
      </c>
      <c r="D19" s="12" t="s">
        <v>94</v>
      </c>
      <c r="E19" s="12" t="s">
        <v>95</v>
      </c>
      <c r="F19" s="11" t="str">
        <f t="shared" si="1"/>
        <v>CORRECT</v>
      </c>
      <c r="G19" s="11" t="s">
        <v>30</v>
      </c>
      <c r="H19" s="13" t="s">
        <v>30</v>
      </c>
      <c r="I19" s="14" t="s">
        <v>360</v>
      </c>
      <c r="J19" s="15">
        <v>14687.0</v>
      </c>
    </row>
    <row r="20" ht="60.0" customHeight="1">
      <c r="A20" s="11">
        <v>17.0</v>
      </c>
      <c r="B20" s="12" t="s">
        <v>97</v>
      </c>
      <c r="C20" s="12" t="s">
        <v>98</v>
      </c>
      <c r="D20" s="12" t="s">
        <v>99</v>
      </c>
      <c r="E20" s="12" t="s">
        <v>100</v>
      </c>
      <c r="F20" s="11" t="str">
        <f t="shared" si="1"/>
        <v>WRONG</v>
      </c>
      <c r="G20" s="11" t="s">
        <v>19</v>
      </c>
      <c r="H20" s="15" t="s">
        <v>18</v>
      </c>
      <c r="I20" s="14" t="s">
        <v>820</v>
      </c>
      <c r="J20" s="15">
        <v>16788.0</v>
      </c>
    </row>
    <row r="21" ht="60.0" customHeight="1">
      <c r="A21" s="11">
        <v>18.0</v>
      </c>
      <c r="B21" s="12" t="s">
        <v>102</v>
      </c>
      <c r="C21" s="12" t="s">
        <v>103</v>
      </c>
      <c r="D21" s="12" t="s">
        <v>104</v>
      </c>
      <c r="E21" s="12" t="s">
        <v>105</v>
      </c>
      <c r="F21" s="11" t="str">
        <f t="shared" si="1"/>
        <v>CORRECT</v>
      </c>
      <c r="G21" s="11" t="s">
        <v>19</v>
      </c>
      <c r="H21" s="15" t="s">
        <v>19</v>
      </c>
      <c r="I21" s="14" t="s">
        <v>498</v>
      </c>
      <c r="J21" s="15">
        <v>11885.0</v>
      </c>
    </row>
    <row r="22" ht="60.0" customHeight="1">
      <c r="A22" s="11">
        <v>19.0</v>
      </c>
      <c r="B22" s="12" t="s">
        <v>107</v>
      </c>
      <c r="C22" s="12" t="s">
        <v>108</v>
      </c>
      <c r="D22" s="12" t="s">
        <v>109</v>
      </c>
      <c r="E22" s="12" t="s">
        <v>110</v>
      </c>
      <c r="F22" s="11" t="str">
        <f t="shared" si="1"/>
        <v>CORRECT</v>
      </c>
      <c r="G22" s="11" t="s">
        <v>18</v>
      </c>
      <c r="H22" s="13" t="s">
        <v>18</v>
      </c>
      <c r="I22" s="14" t="s">
        <v>111</v>
      </c>
      <c r="J22" s="15">
        <v>18932.0</v>
      </c>
    </row>
    <row r="23" ht="60.0" customHeight="1">
      <c r="A23" s="11">
        <v>20.0</v>
      </c>
      <c r="B23" s="12" t="s">
        <v>112</v>
      </c>
      <c r="C23" s="12" t="s">
        <v>113</v>
      </c>
      <c r="D23" s="12" t="s">
        <v>114</v>
      </c>
      <c r="E23" s="12" t="s">
        <v>115</v>
      </c>
      <c r="F23" s="11" t="str">
        <f t="shared" si="1"/>
        <v>WRONG</v>
      </c>
      <c r="G23" s="11" t="s">
        <v>19</v>
      </c>
      <c r="H23" s="13" t="s">
        <v>18</v>
      </c>
      <c r="I23" s="14" t="s">
        <v>821</v>
      </c>
      <c r="J23" s="15">
        <v>18497.0</v>
      </c>
    </row>
    <row r="24" ht="60.0" customHeight="1">
      <c r="A24" s="11">
        <v>21.0</v>
      </c>
      <c r="B24" s="12" t="s">
        <v>117</v>
      </c>
      <c r="C24" s="12" t="s">
        <v>118</v>
      </c>
      <c r="D24" s="12" t="s">
        <v>119</v>
      </c>
      <c r="E24" s="12" t="s">
        <v>120</v>
      </c>
      <c r="F24" s="11" t="str">
        <f t="shared" si="1"/>
        <v>WRONG</v>
      </c>
      <c r="G24" s="11" t="s">
        <v>19</v>
      </c>
      <c r="H24" s="13" t="s">
        <v>18</v>
      </c>
      <c r="I24" s="14" t="s">
        <v>310</v>
      </c>
      <c r="J24" s="15">
        <v>22086.0</v>
      </c>
    </row>
    <row r="25" ht="60.0" customHeight="1">
      <c r="A25" s="11">
        <v>22.0</v>
      </c>
      <c r="B25" s="12" t="s">
        <v>122</v>
      </c>
      <c r="C25" s="12" t="s">
        <v>123</v>
      </c>
      <c r="D25" s="12" t="s">
        <v>124</v>
      </c>
      <c r="E25" s="12" t="s">
        <v>125</v>
      </c>
      <c r="F25" s="11" t="str">
        <f t="shared" si="1"/>
        <v>CORRECT</v>
      </c>
      <c r="G25" s="11" t="s">
        <v>19</v>
      </c>
      <c r="H25" s="13" t="s">
        <v>19</v>
      </c>
      <c r="I25" s="14" t="s">
        <v>311</v>
      </c>
      <c r="J25" s="15">
        <v>18798.0</v>
      </c>
    </row>
    <row r="26" ht="60.0" customHeight="1">
      <c r="A26" s="11">
        <v>23.0</v>
      </c>
      <c r="B26" s="12" t="s">
        <v>127</v>
      </c>
      <c r="C26" s="12" t="s">
        <v>128</v>
      </c>
      <c r="D26" s="12" t="s">
        <v>129</v>
      </c>
      <c r="E26" s="12" t="s">
        <v>130</v>
      </c>
      <c r="F26" s="11" t="str">
        <f t="shared" si="1"/>
        <v>CORRECT</v>
      </c>
      <c r="G26" s="11" t="s">
        <v>30</v>
      </c>
      <c r="H26" s="15" t="s">
        <v>30</v>
      </c>
      <c r="I26" s="14" t="s">
        <v>131</v>
      </c>
      <c r="J26" s="15">
        <v>16311.0</v>
      </c>
    </row>
    <row r="27" ht="60.0" customHeight="1">
      <c r="A27" s="11">
        <v>24.0</v>
      </c>
      <c r="B27" s="12" t="s">
        <v>132</v>
      </c>
      <c r="C27" s="12" t="s">
        <v>133</v>
      </c>
      <c r="D27" s="12" t="s">
        <v>134</v>
      </c>
      <c r="E27" s="12" t="s">
        <v>135</v>
      </c>
      <c r="F27" s="11" t="str">
        <f t="shared" si="1"/>
        <v>WRONG</v>
      </c>
      <c r="G27" s="11" t="s">
        <v>18</v>
      </c>
      <c r="H27" s="15" t="s">
        <v>30</v>
      </c>
      <c r="I27" s="14" t="s">
        <v>312</v>
      </c>
      <c r="J27" s="15">
        <v>13894.0</v>
      </c>
    </row>
    <row r="28" ht="60.0" customHeight="1">
      <c r="A28" s="11">
        <v>25.0</v>
      </c>
      <c r="B28" s="12" t="s">
        <v>137</v>
      </c>
      <c r="C28" s="12" t="s">
        <v>133</v>
      </c>
      <c r="D28" s="12" t="s">
        <v>138</v>
      </c>
      <c r="E28" s="12" t="s">
        <v>135</v>
      </c>
      <c r="F28" s="11" t="str">
        <f t="shared" si="1"/>
        <v>WRONG</v>
      </c>
      <c r="G28" s="11" t="s">
        <v>30</v>
      </c>
      <c r="H28" s="13" t="s">
        <v>18</v>
      </c>
      <c r="I28" s="14" t="s">
        <v>139</v>
      </c>
      <c r="J28" s="15">
        <v>12653.0</v>
      </c>
    </row>
    <row r="29" ht="60.0" customHeight="1">
      <c r="A29" s="11">
        <v>26.0</v>
      </c>
      <c r="B29" s="12" t="s">
        <v>140</v>
      </c>
      <c r="C29" s="12" t="s">
        <v>141</v>
      </c>
      <c r="D29" s="12" t="s">
        <v>142</v>
      </c>
      <c r="E29" s="12" t="s">
        <v>143</v>
      </c>
      <c r="F29" s="11" t="str">
        <f t="shared" si="1"/>
        <v>WRONG</v>
      </c>
      <c r="G29" s="11" t="s">
        <v>18</v>
      </c>
      <c r="H29" s="13" t="s">
        <v>30</v>
      </c>
      <c r="I29" s="14" t="s">
        <v>509</v>
      </c>
      <c r="J29" s="15">
        <v>8395.0</v>
      </c>
    </row>
    <row r="30" ht="60.0" customHeight="1">
      <c r="A30" s="11">
        <v>27.0</v>
      </c>
      <c r="B30" s="12" t="s">
        <v>145</v>
      </c>
      <c r="C30" s="12" t="s">
        <v>146</v>
      </c>
      <c r="D30" s="12" t="s">
        <v>147</v>
      </c>
      <c r="E30" s="12" t="s">
        <v>148</v>
      </c>
      <c r="F30" s="11" t="str">
        <f t="shared" si="1"/>
        <v>CORRECT</v>
      </c>
      <c r="G30" s="11" t="s">
        <v>19</v>
      </c>
      <c r="H30" s="15" t="s">
        <v>19</v>
      </c>
      <c r="I30" s="14" t="s">
        <v>315</v>
      </c>
      <c r="J30" s="15">
        <v>14668.0</v>
      </c>
    </row>
    <row r="31" ht="60.0" customHeight="1">
      <c r="A31" s="11">
        <v>28.0</v>
      </c>
      <c r="B31" s="12" t="s">
        <v>150</v>
      </c>
      <c r="C31" s="12" t="s">
        <v>151</v>
      </c>
      <c r="D31" s="12" t="s">
        <v>152</v>
      </c>
      <c r="E31" s="12" t="s">
        <v>153</v>
      </c>
      <c r="F31" s="11" t="str">
        <f t="shared" si="1"/>
        <v>CORRECT</v>
      </c>
      <c r="G31" s="11" t="s">
        <v>18</v>
      </c>
      <c r="H31" s="13" t="s">
        <v>18</v>
      </c>
      <c r="I31" s="14" t="s">
        <v>154</v>
      </c>
      <c r="J31" s="15">
        <v>19058.0</v>
      </c>
    </row>
    <row r="32" ht="60.0" customHeight="1">
      <c r="A32" s="11">
        <v>29.0</v>
      </c>
      <c r="B32" s="12" t="s">
        <v>155</v>
      </c>
      <c r="C32" s="12" t="s">
        <v>156</v>
      </c>
      <c r="D32" s="12" t="s">
        <v>157</v>
      </c>
      <c r="E32" s="12" t="s">
        <v>158</v>
      </c>
      <c r="F32" s="11" t="str">
        <f t="shared" si="1"/>
        <v>CORRECT</v>
      </c>
      <c r="G32" s="11" t="s">
        <v>19</v>
      </c>
      <c r="H32" s="13" t="s">
        <v>19</v>
      </c>
      <c r="I32" s="14" t="s">
        <v>316</v>
      </c>
      <c r="J32" s="15">
        <v>18916.0</v>
      </c>
    </row>
    <row r="33" ht="60.0" customHeight="1">
      <c r="A33" s="11">
        <v>30.0</v>
      </c>
      <c r="B33" s="12" t="s">
        <v>160</v>
      </c>
      <c r="C33" s="12" t="s">
        <v>161</v>
      </c>
      <c r="D33" s="12" t="s">
        <v>162</v>
      </c>
      <c r="E33" s="12" t="s">
        <v>163</v>
      </c>
      <c r="F33" s="11" t="str">
        <f t="shared" si="1"/>
        <v>WRONG</v>
      </c>
      <c r="G33" s="11" t="s">
        <v>30</v>
      </c>
      <c r="H33" s="13" t="s">
        <v>18</v>
      </c>
      <c r="I33" s="14" t="s">
        <v>317</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CORRECT</v>
      </c>
      <c r="G35" s="11" t="s">
        <v>18</v>
      </c>
      <c r="H35" s="15" t="s">
        <v>18</v>
      </c>
      <c r="I35" s="14" t="s">
        <v>384</v>
      </c>
      <c r="J35" s="15">
        <v>26031.0</v>
      </c>
    </row>
    <row r="36" ht="60.0" customHeight="1">
      <c r="A36" s="11">
        <v>33.0</v>
      </c>
      <c r="B36" s="12" t="s">
        <v>175</v>
      </c>
      <c r="C36" s="12" t="s">
        <v>176</v>
      </c>
      <c r="D36" s="12" t="s">
        <v>177</v>
      </c>
      <c r="E36" s="12" t="s">
        <v>178</v>
      </c>
      <c r="F36" s="11" t="str">
        <f t="shared" si="1"/>
        <v>CORRECT</v>
      </c>
      <c r="G36" s="11" t="s">
        <v>30</v>
      </c>
      <c r="H36" s="13" t="s">
        <v>30</v>
      </c>
      <c r="I36" s="14" t="s">
        <v>822</v>
      </c>
      <c r="J36" s="15">
        <v>16322.0</v>
      </c>
    </row>
    <row r="37" ht="60.0" customHeight="1">
      <c r="A37" s="11">
        <v>34.0</v>
      </c>
      <c r="B37" s="12" t="s">
        <v>180</v>
      </c>
      <c r="C37" s="12" t="s">
        <v>181</v>
      </c>
      <c r="D37" s="12" t="s">
        <v>182</v>
      </c>
      <c r="E37" s="12" t="s">
        <v>183</v>
      </c>
      <c r="F37" s="11" t="str">
        <f t="shared" si="1"/>
        <v>CORRECT</v>
      </c>
      <c r="G37" s="11" t="s">
        <v>18</v>
      </c>
      <c r="H37" s="13" t="s">
        <v>18</v>
      </c>
      <c r="I37" s="14" t="s">
        <v>321</v>
      </c>
      <c r="J37" s="15">
        <v>17443.0</v>
      </c>
    </row>
    <row r="38" ht="60.0" customHeight="1">
      <c r="A38" s="11">
        <v>35.0</v>
      </c>
      <c r="B38" s="12" t="s">
        <v>185</v>
      </c>
      <c r="C38" s="12" t="s">
        <v>186</v>
      </c>
      <c r="D38" s="12" t="s">
        <v>187</v>
      </c>
      <c r="E38" s="12" t="s">
        <v>188</v>
      </c>
      <c r="F38" s="11" t="str">
        <f t="shared" si="1"/>
        <v>CORRECT</v>
      </c>
      <c r="G38" s="11" t="s">
        <v>30</v>
      </c>
      <c r="H38" s="15" t="s">
        <v>30</v>
      </c>
      <c r="I38" s="14" t="s">
        <v>322</v>
      </c>
      <c r="J38" s="15">
        <v>18843.0</v>
      </c>
    </row>
    <row r="39" ht="60.0" customHeight="1">
      <c r="A39" s="11">
        <v>36.0</v>
      </c>
      <c r="B39" s="12" t="s">
        <v>190</v>
      </c>
      <c r="C39" s="12" t="s">
        <v>191</v>
      </c>
      <c r="D39" s="12" t="s">
        <v>192</v>
      </c>
      <c r="E39" s="12" t="s">
        <v>193</v>
      </c>
      <c r="F39" s="11" t="str">
        <f t="shared" si="1"/>
        <v>CORRECT</v>
      </c>
      <c r="G39" s="11" t="s">
        <v>18</v>
      </c>
      <c r="H39" s="15" t="s">
        <v>18</v>
      </c>
      <c r="I39" s="14" t="s">
        <v>823</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5" t="s">
        <v>18</v>
      </c>
      <c r="I41" s="14" t="s">
        <v>651</v>
      </c>
      <c r="J41" s="15">
        <v>17554.0</v>
      </c>
    </row>
    <row r="42" ht="60.0" customHeight="1">
      <c r="A42" s="11">
        <v>39.0</v>
      </c>
      <c r="B42" s="12" t="s">
        <v>205</v>
      </c>
      <c r="C42" s="12" t="s">
        <v>206</v>
      </c>
      <c r="D42" s="12" t="s">
        <v>207</v>
      </c>
      <c r="E42" s="12" t="s">
        <v>208</v>
      </c>
      <c r="F42" s="11" t="str">
        <f t="shared" si="1"/>
        <v>WRONG</v>
      </c>
      <c r="G42" s="11" t="s">
        <v>19</v>
      </c>
      <c r="H42" s="15" t="s">
        <v>30</v>
      </c>
      <c r="I42" s="14" t="s">
        <v>209</v>
      </c>
      <c r="J42" s="15">
        <v>21061.0</v>
      </c>
    </row>
    <row r="43" ht="60.0" customHeight="1">
      <c r="A43" s="11">
        <v>40.0</v>
      </c>
      <c r="B43" s="12" t="s">
        <v>210</v>
      </c>
      <c r="C43" s="12" t="s">
        <v>211</v>
      </c>
      <c r="D43" s="12" t="s">
        <v>212</v>
      </c>
      <c r="E43" s="12" t="s">
        <v>213</v>
      </c>
      <c r="F43" s="11" t="str">
        <f t="shared" si="1"/>
        <v>CORRECT</v>
      </c>
      <c r="G43" s="11" t="s">
        <v>30</v>
      </c>
      <c r="H43" s="13" t="s">
        <v>30</v>
      </c>
      <c r="I43" s="14" t="s">
        <v>652</v>
      </c>
      <c r="J43" s="15">
        <v>16210.0</v>
      </c>
    </row>
    <row r="44" ht="60.0" customHeight="1">
      <c r="A44" s="11">
        <v>41.0</v>
      </c>
      <c r="B44" s="12" t="s">
        <v>215</v>
      </c>
      <c r="C44" s="12" t="s">
        <v>216</v>
      </c>
      <c r="D44" s="12" t="s">
        <v>217</v>
      </c>
      <c r="E44" s="12" t="s">
        <v>218</v>
      </c>
      <c r="F44" s="11" t="str">
        <f t="shared" si="1"/>
        <v>CORRECT</v>
      </c>
      <c r="G44" s="11" t="s">
        <v>19</v>
      </c>
      <c r="H44" s="15" t="s">
        <v>19</v>
      </c>
      <c r="I44" s="14" t="s">
        <v>500</v>
      </c>
      <c r="J44" s="15">
        <v>15515.0</v>
      </c>
    </row>
    <row r="45" ht="60.0" customHeight="1">
      <c r="A45" s="11">
        <v>42.0</v>
      </c>
      <c r="B45" s="12" t="s">
        <v>220</v>
      </c>
      <c r="C45" s="12" t="s">
        <v>221</v>
      </c>
      <c r="D45" s="12" t="s">
        <v>222</v>
      </c>
      <c r="E45" s="12" t="s">
        <v>223</v>
      </c>
      <c r="F45" s="11" t="str">
        <f t="shared" si="1"/>
        <v>WRONG</v>
      </c>
      <c r="G45" s="11" t="s">
        <v>18</v>
      </c>
      <c r="H45" s="15" t="s">
        <v>19</v>
      </c>
      <c r="I45" s="14" t="s">
        <v>376</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234</v>
      </c>
      <c r="J47" s="15">
        <v>15439.0</v>
      </c>
    </row>
    <row r="48" ht="60.0" customHeight="1">
      <c r="A48" s="11">
        <v>45.0</v>
      </c>
      <c r="B48" s="12" t="s">
        <v>235</v>
      </c>
      <c r="C48" s="12" t="s">
        <v>236</v>
      </c>
      <c r="D48" s="12" t="s">
        <v>237</v>
      </c>
      <c r="E48" s="12" t="s">
        <v>238</v>
      </c>
      <c r="F48" s="11" t="str">
        <f t="shared" si="1"/>
        <v>CORRECT</v>
      </c>
      <c r="G48" s="11" t="s">
        <v>18</v>
      </c>
      <c r="H48" s="15" t="s">
        <v>18</v>
      </c>
      <c r="I48" s="14" t="s">
        <v>501</v>
      </c>
      <c r="J48" s="15">
        <v>19838.0</v>
      </c>
    </row>
    <row r="49" ht="60.0" customHeight="1">
      <c r="A49" s="11">
        <v>46.0</v>
      </c>
      <c r="B49" s="12" t="s">
        <v>240</v>
      </c>
      <c r="C49" s="12" t="s">
        <v>22</v>
      </c>
      <c r="D49" s="12" t="s">
        <v>241</v>
      </c>
      <c r="E49" s="12" t="s">
        <v>242</v>
      </c>
      <c r="F49" s="11" t="str">
        <f t="shared" si="1"/>
        <v>CORRECT</v>
      </c>
      <c r="G49" s="11" t="s">
        <v>18</v>
      </c>
      <c r="H49" s="15" t="s">
        <v>18</v>
      </c>
      <c r="I49" s="14" t="s">
        <v>243</v>
      </c>
      <c r="J49" s="15">
        <v>18811.0</v>
      </c>
    </row>
    <row r="50">
      <c r="A50" s="16" t="s">
        <v>244</v>
      </c>
      <c r="B50" s="2"/>
      <c r="C50" s="2"/>
      <c r="D50" s="2"/>
      <c r="E50" s="3"/>
      <c r="F50" s="17">
        <f>COUNTIFS(F4:F49,"CORRECT")</f>
        <v>26</v>
      </c>
      <c r="G50" s="18"/>
      <c r="H50" s="18"/>
      <c r="J50" s="19">
        <f>AVERAGE(J4:J49)</f>
        <v>18096.02174</v>
      </c>
    </row>
    <row r="51">
      <c r="A51" s="20" t="s">
        <v>245</v>
      </c>
      <c r="B51" s="2"/>
      <c r="C51" s="2"/>
      <c r="D51" s="2"/>
      <c r="E51" s="3"/>
      <c r="F51" s="21">
        <v>46.0</v>
      </c>
      <c r="G51" s="18"/>
      <c r="H51" s="18"/>
    </row>
    <row r="52">
      <c r="A52" s="16" t="s">
        <v>246</v>
      </c>
      <c r="B52" s="2"/>
      <c r="C52" s="2"/>
      <c r="D52" s="2"/>
      <c r="E52" s="3"/>
      <c r="F52" s="22">
        <f>F50/F51</f>
        <v>0.5652173913</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824</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20</v>
      </c>
      <c r="J4" s="15">
        <v>17967.0</v>
      </c>
    </row>
    <row r="5" ht="60.0" customHeight="1">
      <c r="A5" s="11">
        <v>2.0</v>
      </c>
      <c r="B5" s="12" t="s">
        <v>21</v>
      </c>
      <c r="C5" s="12" t="s">
        <v>22</v>
      </c>
      <c r="D5" s="12" t="s">
        <v>23</v>
      </c>
      <c r="E5" s="12" t="s">
        <v>24</v>
      </c>
      <c r="F5" s="11" t="str">
        <f t="shared" si="1"/>
        <v>CORRECT</v>
      </c>
      <c r="G5" s="11" t="s">
        <v>19</v>
      </c>
      <c r="H5" s="13" t="s">
        <v>19</v>
      </c>
      <c r="I5" s="14" t="s">
        <v>825</v>
      </c>
      <c r="J5" s="15">
        <v>21567.0</v>
      </c>
    </row>
    <row r="6" ht="60.0" customHeight="1">
      <c r="A6" s="11">
        <v>3.0</v>
      </c>
      <c r="B6" s="12" t="s">
        <v>26</v>
      </c>
      <c r="C6" s="12" t="s">
        <v>27</v>
      </c>
      <c r="D6" s="12" t="s">
        <v>28</v>
      </c>
      <c r="E6" s="12" t="s">
        <v>29</v>
      </c>
      <c r="F6" s="11" t="str">
        <f t="shared" si="1"/>
        <v>CORRECT</v>
      </c>
      <c r="G6" s="11" t="s">
        <v>30</v>
      </c>
      <c r="H6" s="15" t="s">
        <v>30</v>
      </c>
      <c r="I6" s="14" t="s">
        <v>826</v>
      </c>
      <c r="J6" s="15">
        <v>18514.0</v>
      </c>
    </row>
    <row r="7" ht="60.0" customHeight="1">
      <c r="A7" s="11">
        <v>4.0</v>
      </c>
      <c r="B7" s="12" t="s">
        <v>32</v>
      </c>
      <c r="C7" s="12" t="s">
        <v>33</v>
      </c>
      <c r="D7" s="12" t="s">
        <v>34</v>
      </c>
      <c r="E7" s="12" t="s">
        <v>35</v>
      </c>
      <c r="F7" s="11" t="str">
        <f t="shared" si="1"/>
        <v>WRONG</v>
      </c>
      <c r="G7" s="11" t="s">
        <v>19</v>
      </c>
      <c r="H7" s="13" t="s">
        <v>30</v>
      </c>
      <c r="I7" s="14" t="s">
        <v>827</v>
      </c>
      <c r="J7" s="15">
        <v>14761.0</v>
      </c>
    </row>
    <row r="8" ht="60.0" customHeight="1">
      <c r="A8" s="11">
        <v>5.0</v>
      </c>
      <c r="B8" s="12" t="s">
        <v>37</v>
      </c>
      <c r="C8" s="12" t="s">
        <v>38</v>
      </c>
      <c r="D8" s="12" t="s">
        <v>39</v>
      </c>
      <c r="E8" s="12" t="s">
        <v>40</v>
      </c>
      <c r="F8" s="11" t="str">
        <f t="shared" si="1"/>
        <v>CORRECT</v>
      </c>
      <c r="G8" s="11" t="s">
        <v>30</v>
      </c>
      <c r="H8" s="13" t="s">
        <v>30</v>
      </c>
      <c r="I8" s="14" t="s">
        <v>828</v>
      </c>
      <c r="J8" s="15">
        <v>24631.0</v>
      </c>
    </row>
    <row r="9" ht="60.0" customHeight="1">
      <c r="A9" s="11">
        <v>6.0</v>
      </c>
      <c r="B9" s="12" t="s">
        <v>42</v>
      </c>
      <c r="C9" s="12" t="s">
        <v>43</v>
      </c>
      <c r="D9" s="12" t="s">
        <v>44</v>
      </c>
      <c r="E9" s="12" t="s">
        <v>45</v>
      </c>
      <c r="F9" s="11" t="str">
        <f t="shared" si="1"/>
        <v>CORRECT</v>
      </c>
      <c r="G9" s="11" t="s">
        <v>19</v>
      </c>
      <c r="H9" s="13" t="s">
        <v>19</v>
      </c>
      <c r="I9" s="14" t="s">
        <v>829</v>
      </c>
      <c r="J9" s="15">
        <v>18622.0</v>
      </c>
    </row>
    <row r="10" ht="60.0" customHeight="1">
      <c r="A10" s="11">
        <v>7.0</v>
      </c>
      <c r="B10" s="12" t="s">
        <v>47</v>
      </c>
      <c r="C10" s="12" t="s">
        <v>48</v>
      </c>
      <c r="D10" s="12" t="s">
        <v>49</v>
      </c>
      <c r="E10" s="12" t="s">
        <v>50</v>
      </c>
      <c r="F10" s="11" t="str">
        <f t="shared" si="1"/>
        <v>CORRECT</v>
      </c>
      <c r="G10" s="11" t="s">
        <v>19</v>
      </c>
      <c r="H10" s="13" t="s">
        <v>19</v>
      </c>
      <c r="I10" s="14" t="s">
        <v>830</v>
      </c>
      <c r="J10" s="15">
        <v>15579.0</v>
      </c>
    </row>
    <row r="11" ht="60.0" customHeight="1">
      <c r="A11" s="11">
        <v>8.0</v>
      </c>
      <c r="B11" s="12" t="s">
        <v>52</v>
      </c>
      <c r="C11" s="12" t="s">
        <v>53</v>
      </c>
      <c r="D11" s="12" t="s">
        <v>54</v>
      </c>
      <c r="E11" s="12" t="s">
        <v>55</v>
      </c>
      <c r="F11" s="11" t="str">
        <f t="shared" si="1"/>
        <v>WRONG</v>
      </c>
      <c r="G11" s="11" t="s">
        <v>30</v>
      </c>
      <c r="H11" s="13" t="s">
        <v>19</v>
      </c>
      <c r="I11" s="14" t="s">
        <v>831</v>
      </c>
      <c r="J11" s="15">
        <v>29850.0</v>
      </c>
    </row>
    <row r="12" ht="60.0" customHeight="1">
      <c r="A12" s="11">
        <v>9.0</v>
      </c>
      <c r="B12" s="12" t="s">
        <v>57</v>
      </c>
      <c r="C12" s="12" t="s">
        <v>58</v>
      </c>
      <c r="D12" s="12" t="s">
        <v>59</v>
      </c>
      <c r="E12" s="12" t="s">
        <v>60</v>
      </c>
      <c r="F12" s="11" t="str">
        <f t="shared" si="1"/>
        <v>WRONG</v>
      </c>
      <c r="G12" s="11" t="s">
        <v>19</v>
      </c>
      <c r="H12" s="13" t="s">
        <v>30</v>
      </c>
      <c r="I12" s="14" t="s">
        <v>832</v>
      </c>
      <c r="J12" s="15">
        <v>19566.0</v>
      </c>
    </row>
    <row r="13" ht="60.0" customHeight="1">
      <c r="A13" s="11">
        <v>10.0</v>
      </c>
      <c r="B13" s="12" t="s">
        <v>62</v>
      </c>
      <c r="C13" s="12" t="s">
        <v>63</v>
      </c>
      <c r="D13" s="12" t="s">
        <v>64</v>
      </c>
      <c r="E13" s="12" t="s">
        <v>65</v>
      </c>
      <c r="F13" s="11" t="str">
        <f t="shared" si="1"/>
        <v>WRONG</v>
      </c>
      <c r="G13" s="11" t="s">
        <v>30</v>
      </c>
      <c r="H13" s="15" t="s">
        <v>19</v>
      </c>
      <c r="I13" s="14" t="s">
        <v>833</v>
      </c>
      <c r="J13" s="15">
        <v>18762.0</v>
      </c>
    </row>
    <row r="14" ht="60.0" customHeight="1">
      <c r="A14" s="11">
        <v>11.0</v>
      </c>
      <c r="B14" s="12" t="s">
        <v>67</v>
      </c>
      <c r="C14" s="12" t="s">
        <v>68</v>
      </c>
      <c r="D14" s="12" t="s">
        <v>69</v>
      </c>
      <c r="E14" s="12" t="s">
        <v>70</v>
      </c>
      <c r="F14" s="11" t="str">
        <f t="shared" si="1"/>
        <v>WRONG</v>
      </c>
      <c r="G14" s="11" t="s">
        <v>19</v>
      </c>
      <c r="H14" s="15" t="s">
        <v>30</v>
      </c>
      <c r="I14" s="14" t="s">
        <v>834</v>
      </c>
      <c r="J14" s="15">
        <v>20526.0</v>
      </c>
    </row>
    <row r="15" ht="60.0" customHeight="1">
      <c r="A15" s="11">
        <v>12.0</v>
      </c>
      <c r="B15" s="12" t="s">
        <v>72</v>
      </c>
      <c r="C15" s="12" t="s">
        <v>73</v>
      </c>
      <c r="D15" s="12" t="s">
        <v>74</v>
      </c>
      <c r="E15" s="12" t="s">
        <v>75</v>
      </c>
      <c r="F15" s="11" t="str">
        <f t="shared" si="1"/>
        <v>CORRECT</v>
      </c>
      <c r="G15" s="11" t="s">
        <v>30</v>
      </c>
      <c r="H15" s="15" t="s">
        <v>30</v>
      </c>
      <c r="I15" s="14" t="s">
        <v>835</v>
      </c>
      <c r="J15" s="15">
        <v>17612.0</v>
      </c>
    </row>
    <row r="16" ht="60.0" customHeight="1">
      <c r="A16" s="11">
        <v>13.0</v>
      </c>
      <c r="B16" s="12" t="s">
        <v>77</v>
      </c>
      <c r="C16" s="12" t="s">
        <v>78</v>
      </c>
      <c r="D16" s="12" t="s">
        <v>79</v>
      </c>
      <c r="E16" s="12" t="s">
        <v>80</v>
      </c>
      <c r="F16" s="11" t="str">
        <f t="shared" si="1"/>
        <v>CORRECT</v>
      </c>
      <c r="G16" s="11" t="s">
        <v>18</v>
      </c>
      <c r="H16" s="13" t="s">
        <v>18</v>
      </c>
      <c r="I16" s="14" t="s">
        <v>836</v>
      </c>
      <c r="J16" s="15">
        <v>17025.0</v>
      </c>
    </row>
    <row r="17" ht="60.0" customHeight="1">
      <c r="A17" s="11">
        <v>14.0</v>
      </c>
      <c r="B17" s="12" t="s">
        <v>82</v>
      </c>
      <c r="C17" s="12" t="s">
        <v>83</v>
      </c>
      <c r="D17" s="12" t="s">
        <v>84</v>
      </c>
      <c r="E17" s="12" t="s">
        <v>85</v>
      </c>
      <c r="F17" s="11" t="str">
        <f t="shared" si="1"/>
        <v>WRONG</v>
      </c>
      <c r="G17" s="11" t="s">
        <v>18</v>
      </c>
      <c r="H17" s="15" t="s">
        <v>30</v>
      </c>
      <c r="I17" s="14" t="s">
        <v>837</v>
      </c>
      <c r="J17" s="15">
        <v>12961.0</v>
      </c>
    </row>
    <row r="18" ht="60.0" customHeight="1">
      <c r="A18" s="11">
        <v>15.0</v>
      </c>
      <c r="B18" s="12" t="s">
        <v>87</v>
      </c>
      <c r="C18" s="12" t="s">
        <v>88</v>
      </c>
      <c r="D18" s="12" t="s">
        <v>89</v>
      </c>
      <c r="E18" s="12" t="s">
        <v>90</v>
      </c>
      <c r="F18" s="11" t="str">
        <f t="shared" si="1"/>
        <v>CORRECT</v>
      </c>
      <c r="G18" s="11" t="s">
        <v>30</v>
      </c>
      <c r="H18" s="13" t="s">
        <v>30</v>
      </c>
      <c r="I18" s="14" t="s">
        <v>838</v>
      </c>
      <c r="J18" s="15">
        <v>21882.0</v>
      </c>
    </row>
    <row r="19" ht="60.0" customHeight="1">
      <c r="A19" s="11">
        <v>16.0</v>
      </c>
      <c r="B19" s="12" t="s">
        <v>92</v>
      </c>
      <c r="C19" s="12" t="s">
        <v>93</v>
      </c>
      <c r="D19" s="12" t="s">
        <v>94</v>
      </c>
      <c r="E19" s="12" t="s">
        <v>95</v>
      </c>
      <c r="F19" s="11" t="str">
        <f t="shared" si="1"/>
        <v>CORRECT</v>
      </c>
      <c r="G19" s="11" t="s">
        <v>30</v>
      </c>
      <c r="H19" s="13" t="s">
        <v>30</v>
      </c>
      <c r="I19" s="14" t="s">
        <v>839</v>
      </c>
      <c r="J19" s="15">
        <v>14687.0</v>
      </c>
    </row>
    <row r="20" ht="60.0" customHeight="1">
      <c r="A20" s="11">
        <v>17.0</v>
      </c>
      <c r="B20" s="12" t="s">
        <v>97</v>
      </c>
      <c r="C20" s="12" t="s">
        <v>98</v>
      </c>
      <c r="D20" s="12" t="s">
        <v>99</v>
      </c>
      <c r="E20" s="12" t="s">
        <v>100</v>
      </c>
      <c r="F20" s="11" t="str">
        <f t="shared" si="1"/>
        <v>WRONG</v>
      </c>
      <c r="G20" s="11" t="s">
        <v>19</v>
      </c>
      <c r="H20" s="15" t="s">
        <v>18</v>
      </c>
      <c r="I20" s="14" t="s">
        <v>840</v>
      </c>
      <c r="J20" s="15">
        <v>16788.0</v>
      </c>
    </row>
    <row r="21" ht="60.0" customHeight="1">
      <c r="A21" s="11">
        <v>18.0</v>
      </c>
      <c r="B21" s="12" t="s">
        <v>102</v>
      </c>
      <c r="C21" s="12" t="s">
        <v>103</v>
      </c>
      <c r="D21" s="12" t="s">
        <v>104</v>
      </c>
      <c r="E21" s="12" t="s">
        <v>105</v>
      </c>
      <c r="F21" s="11" t="str">
        <f t="shared" si="1"/>
        <v>CORRECT</v>
      </c>
      <c r="G21" s="11" t="s">
        <v>19</v>
      </c>
      <c r="H21" s="15" t="s">
        <v>19</v>
      </c>
      <c r="I21" s="14" t="s">
        <v>393</v>
      </c>
      <c r="J21" s="15">
        <v>11885.0</v>
      </c>
    </row>
    <row r="22" ht="60.0" customHeight="1">
      <c r="A22" s="11">
        <v>19.0</v>
      </c>
      <c r="B22" s="12" t="s">
        <v>107</v>
      </c>
      <c r="C22" s="12" t="s">
        <v>108</v>
      </c>
      <c r="D22" s="12" t="s">
        <v>109</v>
      </c>
      <c r="E22" s="12" t="s">
        <v>110</v>
      </c>
      <c r="F22" s="11" t="str">
        <f t="shared" si="1"/>
        <v>CORRECT</v>
      </c>
      <c r="G22" s="11" t="s">
        <v>18</v>
      </c>
      <c r="H22" s="13" t="s">
        <v>18</v>
      </c>
      <c r="I22" s="14" t="s">
        <v>841</v>
      </c>
      <c r="J22" s="15">
        <v>18932.0</v>
      </c>
    </row>
    <row r="23" ht="60.0" customHeight="1">
      <c r="A23" s="11">
        <v>20.0</v>
      </c>
      <c r="B23" s="12" t="s">
        <v>112</v>
      </c>
      <c r="C23" s="12" t="s">
        <v>113</v>
      </c>
      <c r="D23" s="12" t="s">
        <v>114</v>
      </c>
      <c r="E23" s="12" t="s">
        <v>115</v>
      </c>
      <c r="F23" s="11" t="str">
        <f t="shared" si="1"/>
        <v>WRONG</v>
      </c>
      <c r="G23" s="11" t="s">
        <v>19</v>
      </c>
      <c r="H23" s="13" t="s">
        <v>18</v>
      </c>
      <c r="I23" s="14" t="s">
        <v>842</v>
      </c>
      <c r="J23" s="15">
        <v>18497.0</v>
      </c>
    </row>
    <row r="24" ht="60.0" customHeight="1">
      <c r="A24" s="11">
        <v>21.0</v>
      </c>
      <c r="B24" s="12" t="s">
        <v>117</v>
      </c>
      <c r="C24" s="12" t="s">
        <v>118</v>
      </c>
      <c r="D24" s="12" t="s">
        <v>119</v>
      </c>
      <c r="E24" s="12" t="s">
        <v>120</v>
      </c>
      <c r="F24" s="11" t="str">
        <f t="shared" si="1"/>
        <v>WRONG</v>
      </c>
      <c r="G24" s="11" t="s">
        <v>19</v>
      </c>
      <c r="H24" s="13" t="s">
        <v>18</v>
      </c>
      <c r="I24" s="14" t="s">
        <v>843</v>
      </c>
      <c r="J24" s="15">
        <v>22086.0</v>
      </c>
    </row>
    <row r="25" ht="60.0" customHeight="1">
      <c r="A25" s="11">
        <v>22.0</v>
      </c>
      <c r="B25" s="12" t="s">
        <v>122</v>
      </c>
      <c r="C25" s="12" t="s">
        <v>123</v>
      </c>
      <c r="D25" s="12" t="s">
        <v>124</v>
      </c>
      <c r="E25" s="12" t="s">
        <v>125</v>
      </c>
      <c r="F25" s="11" t="str">
        <f t="shared" si="1"/>
        <v>CORRECT</v>
      </c>
      <c r="G25" s="11" t="s">
        <v>19</v>
      </c>
      <c r="H25" s="13" t="s">
        <v>19</v>
      </c>
      <c r="I25" s="14" t="s">
        <v>666</v>
      </c>
      <c r="J25" s="15">
        <v>18798.0</v>
      </c>
    </row>
    <row r="26" ht="60.0" customHeight="1">
      <c r="A26" s="11">
        <v>23.0</v>
      </c>
      <c r="B26" s="12" t="s">
        <v>127</v>
      </c>
      <c r="C26" s="12" t="s">
        <v>128</v>
      </c>
      <c r="D26" s="12" t="s">
        <v>129</v>
      </c>
      <c r="E26" s="12" t="s">
        <v>130</v>
      </c>
      <c r="F26" s="11" t="str">
        <f t="shared" si="1"/>
        <v>CORRECT</v>
      </c>
      <c r="G26" s="11" t="s">
        <v>30</v>
      </c>
      <c r="H26" s="15" t="s">
        <v>30</v>
      </c>
      <c r="I26" s="14" t="s">
        <v>844</v>
      </c>
      <c r="J26" s="15">
        <v>16311.0</v>
      </c>
    </row>
    <row r="27" ht="60.0" customHeight="1">
      <c r="A27" s="11">
        <v>24.0</v>
      </c>
      <c r="B27" s="12" t="s">
        <v>132</v>
      </c>
      <c r="C27" s="12" t="s">
        <v>133</v>
      </c>
      <c r="D27" s="12" t="s">
        <v>134</v>
      </c>
      <c r="E27" s="12" t="s">
        <v>135</v>
      </c>
      <c r="F27" s="11" t="str">
        <f t="shared" si="1"/>
        <v>WRONG</v>
      </c>
      <c r="G27" s="11" t="s">
        <v>18</v>
      </c>
      <c r="H27" s="15" t="s">
        <v>30</v>
      </c>
      <c r="I27" s="14" t="s">
        <v>845</v>
      </c>
      <c r="J27" s="15">
        <v>13894.0</v>
      </c>
    </row>
    <row r="28" ht="60.0" customHeight="1">
      <c r="A28" s="11">
        <v>25.0</v>
      </c>
      <c r="B28" s="12" t="s">
        <v>137</v>
      </c>
      <c r="C28" s="12" t="s">
        <v>133</v>
      </c>
      <c r="D28" s="12" t="s">
        <v>138</v>
      </c>
      <c r="E28" s="12" t="s">
        <v>135</v>
      </c>
      <c r="F28" s="11" t="str">
        <f t="shared" si="1"/>
        <v>WRONG</v>
      </c>
      <c r="G28" s="11" t="s">
        <v>30</v>
      </c>
      <c r="H28" s="13" t="s">
        <v>18</v>
      </c>
      <c r="I28" s="14" t="s">
        <v>668</v>
      </c>
      <c r="J28" s="15">
        <v>12653.0</v>
      </c>
    </row>
    <row r="29" ht="60.0" customHeight="1">
      <c r="A29" s="11">
        <v>26.0</v>
      </c>
      <c r="B29" s="12" t="s">
        <v>140</v>
      </c>
      <c r="C29" s="12" t="s">
        <v>141</v>
      </c>
      <c r="D29" s="12" t="s">
        <v>142</v>
      </c>
      <c r="E29" s="12" t="s">
        <v>143</v>
      </c>
      <c r="F29" s="11" t="str">
        <f t="shared" si="1"/>
        <v>WRONG</v>
      </c>
      <c r="G29" s="11" t="s">
        <v>18</v>
      </c>
      <c r="H29" s="13" t="s">
        <v>30</v>
      </c>
      <c r="I29" s="14" t="s">
        <v>846</v>
      </c>
      <c r="J29" s="15">
        <v>8395.0</v>
      </c>
    </row>
    <row r="30" ht="60.0" customHeight="1">
      <c r="A30" s="11">
        <v>27.0</v>
      </c>
      <c r="B30" s="12" t="s">
        <v>145</v>
      </c>
      <c r="C30" s="12" t="s">
        <v>146</v>
      </c>
      <c r="D30" s="12" t="s">
        <v>147</v>
      </c>
      <c r="E30" s="12" t="s">
        <v>148</v>
      </c>
      <c r="F30" s="11" t="str">
        <f t="shared" si="1"/>
        <v>CORRECT</v>
      </c>
      <c r="G30" s="11" t="s">
        <v>19</v>
      </c>
      <c r="H30" s="15" t="s">
        <v>19</v>
      </c>
      <c r="I30" s="14" t="s">
        <v>847</v>
      </c>
      <c r="J30" s="15">
        <v>14668.0</v>
      </c>
    </row>
    <row r="31" ht="60.0" customHeight="1">
      <c r="A31" s="11">
        <v>28.0</v>
      </c>
      <c r="B31" s="12" t="s">
        <v>150</v>
      </c>
      <c r="C31" s="12" t="s">
        <v>151</v>
      </c>
      <c r="D31" s="12" t="s">
        <v>152</v>
      </c>
      <c r="E31" s="12" t="s">
        <v>153</v>
      </c>
      <c r="F31" s="11" t="str">
        <f t="shared" si="1"/>
        <v>CORRECT</v>
      </c>
      <c r="G31" s="11" t="s">
        <v>18</v>
      </c>
      <c r="H31" s="13" t="s">
        <v>18</v>
      </c>
      <c r="I31" s="14" t="s">
        <v>848</v>
      </c>
      <c r="J31" s="15">
        <v>19058.0</v>
      </c>
    </row>
    <row r="32" ht="60.0" customHeight="1">
      <c r="A32" s="11">
        <v>29.0</v>
      </c>
      <c r="B32" s="12" t="s">
        <v>155</v>
      </c>
      <c r="C32" s="12" t="s">
        <v>156</v>
      </c>
      <c r="D32" s="12" t="s">
        <v>157</v>
      </c>
      <c r="E32" s="12" t="s">
        <v>158</v>
      </c>
      <c r="F32" s="11" t="str">
        <f t="shared" si="1"/>
        <v>CORRECT</v>
      </c>
      <c r="G32" s="11" t="s">
        <v>19</v>
      </c>
      <c r="H32" s="13" t="s">
        <v>19</v>
      </c>
      <c r="I32" s="14" t="s">
        <v>849</v>
      </c>
      <c r="J32" s="15">
        <v>18916.0</v>
      </c>
    </row>
    <row r="33" ht="60.0" customHeight="1">
      <c r="A33" s="11">
        <v>30.0</v>
      </c>
      <c r="B33" s="12" t="s">
        <v>160</v>
      </c>
      <c r="C33" s="12" t="s">
        <v>161</v>
      </c>
      <c r="D33" s="12" t="s">
        <v>162</v>
      </c>
      <c r="E33" s="12" t="s">
        <v>163</v>
      </c>
      <c r="F33" s="11" t="str">
        <f t="shared" si="1"/>
        <v>WRONG</v>
      </c>
      <c r="G33" s="11" t="s">
        <v>30</v>
      </c>
      <c r="H33" s="13" t="s">
        <v>18</v>
      </c>
      <c r="I33" s="14" t="s">
        <v>850</v>
      </c>
      <c r="J33" s="15">
        <v>20925.0</v>
      </c>
    </row>
    <row r="34" ht="60.0" customHeight="1">
      <c r="A34" s="11">
        <v>31.0</v>
      </c>
      <c r="B34" s="12" t="s">
        <v>165</v>
      </c>
      <c r="C34" s="12" t="s">
        <v>166</v>
      </c>
      <c r="D34" s="12" t="s">
        <v>167</v>
      </c>
      <c r="E34" s="12" t="s">
        <v>168</v>
      </c>
      <c r="F34" s="11" t="str">
        <f t="shared" si="1"/>
        <v>WRONG</v>
      </c>
      <c r="G34" s="11" t="s">
        <v>19</v>
      </c>
      <c r="H34" s="13" t="s">
        <v>18</v>
      </c>
      <c r="I34" s="14" t="s">
        <v>318</v>
      </c>
      <c r="J34" s="15">
        <v>20146.0</v>
      </c>
    </row>
    <row r="35" ht="60.0" customHeight="1">
      <c r="A35" s="11">
        <v>32.0</v>
      </c>
      <c r="B35" s="12" t="s">
        <v>170</v>
      </c>
      <c r="C35" s="12" t="s">
        <v>171</v>
      </c>
      <c r="D35" s="12" t="s">
        <v>172</v>
      </c>
      <c r="E35" s="12" t="s">
        <v>173</v>
      </c>
      <c r="F35" s="11" t="str">
        <f t="shared" si="1"/>
        <v>WRONG</v>
      </c>
      <c r="G35" s="11" t="s">
        <v>18</v>
      </c>
      <c r="H35" s="13" t="s">
        <v>30</v>
      </c>
      <c r="I35" s="14" t="s">
        <v>851</v>
      </c>
      <c r="J35" s="15">
        <v>26031.0</v>
      </c>
    </row>
    <row r="36" ht="60.0" customHeight="1">
      <c r="A36" s="11">
        <v>33.0</v>
      </c>
      <c r="B36" s="12" t="s">
        <v>175</v>
      </c>
      <c r="C36" s="12" t="s">
        <v>176</v>
      </c>
      <c r="D36" s="12" t="s">
        <v>177</v>
      </c>
      <c r="E36" s="12" t="s">
        <v>178</v>
      </c>
      <c r="F36" s="11" t="str">
        <f t="shared" si="1"/>
        <v>CORRECT</v>
      </c>
      <c r="G36" s="11" t="s">
        <v>30</v>
      </c>
      <c r="H36" s="13" t="s">
        <v>30</v>
      </c>
      <c r="I36" s="14" t="s">
        <v>852</v>
      </c>
      <c r="J36" s="15">
        <v>16322.0</v>
      </c>
    </row>
    <row r="37" ht="60.0" customHeight="1">
      <c r="A37" s="11">
        <v>34.0</v>
      </c>
      <c r="B37" s="12" t="s">
        <v>180</v>
      </c>
      <c r="C37" s="12" t="s">
        <v>181</v>
      </c>
      <c r="D37" s="12" t="s">
        <v>182</v>
      </c>
      <c r="E37" s="12" t="s">
        <v>183</v>
      </c>
      <c r="F37" s="11" t="str">
        <f t="shared" si="1"/>
        <v>CORRECT</v>
      </c>
      <c r="G37" s="11" t="s">
        <v>18</v>
      </c>
      <c r="H37" s="13" t="s">
        <v>18</v>
      </c>
      <c r="I37" s="14" t="s">
        <v>853</v>
      </c>
      <c r="J37" s="15">
        <v>17443.0</v>
      </c>
    </row>
    <row r="38" ht="60.0" customHeight="1">
      <c r="A38" s="11">
        <v>35.0</v>
      </c>
      <c r="B38" s="12" t="s">
        <v>185</v>
      </c>
      <c r="C38" s="12" t="s">
        <v>186</v>
      </c>
      <c r="D38" s="12" t="s">
        <v>187</v>
      </c>
      <c r="E38" s="12" t="s">
        <v>188</v>
      </c>
      <c r="F38" s="11" t="str">
        <f t="shared" si="1"/>
        <v>CORRECT</v>
      </c>
      <c r="G38" s="11" t="s">
        <v>30</v>
      </c>
      <c r="H38" s="15" t="s">
        <v>30</v>
      </c>
      <c r="I38" s="14" t="s">
        <v>854</v>
      </c>
      <c r="J38" s="15">
        <v>18843.0</v>
      </c>
    </row>
    <row r="39" ht="60.0" customHeight="1">
      <c r="A39" s="11">
        <v>36.0</v>
      </c>
      <c r="B39" s="12" t="s">
        <v>190</v>
      </c>
      <c r="C39" s="12" t="s">
        <v>191</v>
      </c>
      <c r="D39" s="12" t="s">
        <v>192</v>
      </c>
      <c r="E39" s="12" t="s">
        <v>193</v>
      </c>
      <c r="F39" s="11" t="str">
        <f t="shared" si="1"/>
        <v>CORRECT</v>
      </c>
      <c r="G39" s="11" t="s">
        <v>18</v>
      </c>
      <c r="H39" s="15" t="s">
        <v>18</v>
      </c>
      <c r="I39" s="14" t="s">
        <v>545</v>
      </c>
      <c r="J39" s="15">
        <v>17928.0</v>
      </c>
    </row>
    <row r="40" ht="60.0" customHeight="1">
      <c r="A40" s="11">
        <v>37.0</v>
      </c>
      <c r="B40" s="12" t="s">
        <v>195</v>
      </c>
      <c r="C40" s="12" t="s">
        <v>196</v>
      </c>
      <c r="D40" s="12" t="s">
        <v>197</v>
      </c>
      <c r="E40" s="12" t="s">
        <v>198</v>
      </c>
      <c r="F40" s="11" t="str">
        <f t="shared" si="1"/>
        <v>WRONG</v>
      </c>
      <c r="G40" s="11" t="s">
        <v>18</v>
      </c>
      <c r="H40" s="15" t="s">
        <v>19</v>
      </c>
      <c r="I40" s="14" t="s">
        <v>324</v>
      </c>
      <c r="J40" s="15">
        <v>15317.0</v>
      </c>
    </row>
    <row r="41" ht="60.0" customHeight="1">
      <c r="A41" s="11">
        <v>38.0</v>
      </c>
      <c r="B41" s="12" t="s">
        <v>200</v>
      </c>
      <c r="C41" s="12" t="s">
        <v>201</v>
      </c>
      <c r="D41" s="12" t="s">
        <v>202</v>
      </c>
      <c r="E41" s="12" t="s">
        <v>203</v>
      </c>
      <c r="F41" s="11" t="str">
        <f t="shared" si="1"/>
        <v>CORRECT</v>
      </c>
      <c r="G41" s="11" t="s">
        <v>18</v>
      </c>
      <c r="H41" s="15" t="s">
        <v>18</v>
      </c>
      <c r="I41" s="14" t="s">
        <v>651</v>
      </c>
      <c r="J41" s="15">
        <v>17554.0</v>
      </c>
    </row>
    <row r="42" ht="60.0" customHeight="1">
      <c r="A42" s="11">
        <v>39.0</v>
      </c>
      <c r="B42" s="12" t="s">
        <v>205</v>
      </c>
      <c r="C42" s="12" t="s">
        <v>206</v>
      </c>
      <c r="D42" s="12" t="s">
        <v>207</v>
      </c>
      <c r="E42" s="12" t="s">
        <v>208</v>
      </c>
      <c r="F42" s="11" t="str">
        <f t="shared" si="1"/>
        <v>WRONG</v>
      </c>
      <c r="G42" s="11" t="s">
        <v>19</v>
      </c>
      <c r="H42" s="15" t="s">
        <v>30</v>
      </c>
      <c r="I42" s="14" t="s">
        <v>855</v>
      </c>
      <c r="J42" s="15">
        <v>21061.0</v>
      </c>
    </row>
    <row r="43" ht="60.0" customHeight="1">
      <c r="A43" s="11">
        <v>40.0</v>
      </c>
      <c r="B43" s="12" t="s">
        <v>210</v>
      </c>
      <c r="C43" s="12" t="s">
        <v>211</v>
      </c>
      <c r="D43" s="12" t="s">
        <v>212</v>
      </c>
      <c r="E43" s="12" t="s">
        <v>213</v>
      </c>
      <c r="F43" s="11" t="str">
        <f t="shared" si="1"/>
        <v>CORRECT</v>
      </c>
      <c r="G43" s="11" t="s">
        <v>30</v>
      </c>
      <c r="H43" s="13" t="s">
        <v>30</v>
      </c>
      <c r="I43" s="14" t="s">
        <v>856</v>
      </c>
      <c r="J43" s="15">
        <v>16210.0</v>
      </c>
    </row>
    <row r="44" ht="60.0" customHeight="1">
      <c r="A44" s="11">
        <v>41.0</v>
      </c>
      <c r="B44" s="12" t="s">
        <v>215</v>
      </c>
      <c r="C44" s="12" t="s">
        <v>216</v>
      </c>
      <c r="D44" s="12" t="s">
        <v>217</v>
      </c>
      <c r="E44" s="12" t="s">
        <v>218</v>
      </c>
      <c r="F44" s="11" t="str">
        <f t="shared" si="1"/>
        <v>CORRECT</v>
      </c>
      <c r="G44" s="11" t="s">
        <v>19</v>
      </c>
      <c r="H44" s="15" t="s">
        <v>19</v>
      </c>
      <c r="I44" s="14" t="s">
        <v>857</v>
      </c>
      <c r="J44" s="15">
        <v>15515.0</v>
      </c>
    </row>
    <row r="45" ht="60.0" customHeight="1">
      <c r="A45" s="11">
        <v>42.0</v>
      </c>
      <c r="B45" s="12" t="s">
        <v>220</v>
      </c>
      <c r="C45" s="12" t="s">
        <v>221</v>
      </c>
      <c r="D45" s="12" t="s">
        <v>222</v>
      </c>
      <c r="E45" s="12" t="s">
        <v>223</v>
      </c>
      <c r="F45" s="11" t="str">
        <f t="shared" si="1"/>
        <v>WRONG</v>
      </c>
      <c r="G45" s="11" t="s">
        <v>18</v>
      </c>
      <c r="H45" s="15" t="s">
        <v>19</v>
      </c>
      <c r="I45" s="14" t="s">
        <v>858</v>
      </c>
      <c r="J45" s="15">
        <v>17280.0</v>
      </c>
    </row>
    <row r="46" ht="60.0" customHeight="1">
      <c r="A46" s="11">
        <v>43.0</v>
      </c>
      <c r="B46" s="12" t="s">
        <v>225</v>
      </c>
      <c r="C46" s="12" t="s">
        <v>226</v>
      </c>
      <c r="D46" s="12" t="s">
        <v>227</v>
      </c>
      <c r="E46" s="12" t="s">
        <v>228</v>
      </c>
      <c r="F46" s="11" t="str">
        <f t="shared" si="1"/>
        <v>WRONG</v>
      </c>
      <c r="G46" s="11" t="s">
        <v>30</v>
      </c>
      <c r="H46" s="13" t="s">
        <v>18</v>
      </c>
      <c r="I46" s="14" t="s">
        <v>229</v>
      </c>
      <c r="J46" s="15">
        <v>22361.0</v>
      </c>
    </row>
    <row r="47" ht="60.0" customHeight="1">
      <c r="A47" s="11">
        <v>44.0</v>
      </c>
      <c r="B47" s="12" t="s">
        <v>230</v>
      </c>
      <c r="C47" s="12" t="s">
        <v>231</v>
      </c>
      <c r="D47" s="12" t="s">
        <v>232</v>
      </c>
      <c r="E47" s="12" t="s">
        <v>233</v>
      </c>
      <c r="F47" s="11" t="str">
        <f t="shared" si="1"/>
        <v>WRONG</v>
      </c>
      <c r="G47" s="11" t="s">
        <v>18</v>
      </c>
      <c r="H47" s="13" t="s">
        <v>30</v>
      </c>
      <c r="I47" s="14" t="s">
        <v>859</v>
      </c>
      <c r="J47" s="15">
        <v>15439.0</v>
      </c>
    </row>
    <row r="48" ht="60.0" customHeight="1">
      <c r="A48" s="11">
        <v>45.0</v>
      </c>
      <c r="B48" s="12" t="s">
        <v>235</v>
      </c>
      <c r="C48" s="12" t="s">
        <v>236</v>
      </c>
      <c r="D48" s="12" t="s">
        <v>237</v>
      </c>
      <c r="E48" s="12" t="s">
        <v>238</v>
      </c>
      <c r="F48" s="11" t="str">
        <f t="shared" si="1"/>
        <v>CORRECT</v>
      </c>
      <c r="G48" s="11" t="s">
        <v>18</v>
      </c>
      <c r="H48" s="15" t="s">
        <v>18</v>
      </c>
      <c r="I48" s="14" t="s">
        <v>860</v>
      </c>
      <c r="J48" s="15">
        <v>19838.0</v>
      </c>
    </row>
    <row r="49" ht="60.0" customHeight="1">
      <c r="A49" s="11">
        <v>46.0</v>
      </c>
      <c r="B49" s="12" t="s">
        <v>240</v>
      </c>
      <c r="C49" s="12" t="s">
        <v>22</v>
      </c>
      <c r="D49" s="12" t="s">
        <v>241</v>
      </c>
      <c r="E49" s="12" t="s">
        <v>242</v>
      </c>
      <c r="F49" s="11" t="str">
        <f t="shared" si="1"/>
        <v>CORRECT</v>
      </c>
      <c r="G49" s="11" t="s">
        <v>18</v>
      </c>
      <c r="H49" s="15" t="s">
        <v>18</v>
      </c>
      <c r="I49" s="14" t="s">
        <v>379</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861</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862</v>
      </c>
      <c r="J4" s="15">
        <v>17967.0</v>
      </c>
    </row>
    <row r="5" ht="60.0" customHeight="1">
      <c r="A5" s="11">
        <v>2.0</v>
      </c>
      <c r="B5" s="12" t="s">
        <v>21</v>
      </c>
      <c r="C5" s="12" t="s">
        <v>22</v>
      </c>
      <c r="D5" s="12" t="s">
        <v>23</v>
      </c>
      <c r="E5" s="12" t="s">
        <v>24</v>
      </c>
      <c r="F5" s="11" t="str">
        <f t="shared" si="1"/>
        <v>CORRECT</v>
      </c>
      <c r="G5" s="11" t="s">
        <v>19</v>
      </c>
      <c r="H5" s="13" t="s">
        <v>19</v>
      </c>
      <c r="I5" s="14" t="s">
        <v>863</v>
      </c>
      <c r="J5" s="15">
        <v>21567.0</v>
      </c>
    </row>
    <row r="6" ht="60.0" customHeight="1">
      <c r="A6" s="11">
        <v>3.0</v>
      </c>
      <c r="B6" s="12" t="s">
        <v>26</v>
      </c>
      <c r="C6" s="12" t="s">
        <v>27</v>
      </c>
      <c r="D6" s="12" t="s">
        <v>28</v>
      </c>
      <c r="E6" s="12" t="s">
        <v>29</v>
      </c>
      <c r="F6" s="11" t="str">
        <f t="shared" si="1"/>
        <v>CORRECT</v>
      </c>
      <c r="G6" s="11" t="s">
        <v>30</v>
      </c>
      <c r="H6" s="15" t="s">
        <v>30</v>
      </c>
      <c r="I6" s="14" t="s">
        <v>864</v>
      </c>
      <c r="J6" s="15">
        <v>18514.0</v>
      </c>
    </row>
    <row r="7" ht="60.0" customHeight="1">
      <c r="A7" s="11">
        <v>4.0</v>
      </c>
      <c r="B7" s="12" t="s">
        <v>32</v>
      </c>
      <c r="C7" s="12" t="s">
        <v>33</v>
      </c>
      <c r="D7" s="12" t="s">
        <v>34</v>
      </c>
      <c r="E7" s="12" t="s">
        <v>35</v>
      </c>
      <c r="F7" s="11" t="str">
        <f t="shared" si="1"/>
        <v>WRONG</v>
      </c>
      <c r="G7" s="11" t="s">
        <v>19</v>
      </c>
      <c r="H7" s="13" t="s">
        <v>30</v>
      </c>
      <c r="I7" s="14" t="s">
        <v>865</v>
      </c>
      <c r="J7" s="15">
        <v>14761.0</v>
      </c>
    </row>
    <row r="8" ht="60.0" customHeight="1">
      <c r="A8" s="11">
        <v>5.0</v>
      </c>
      <c r="B8" s="12" t="s">
        <v>37</v>
      </c>
      <c r="C8" s="12" t="s">
        <v>38</v>
      </c>
      <c r="D8" s="12" t="s">
        <v>39</v>
      </c>
      <c r="E8" s="12" t="s">
        <v>40</v>
      </c>
      <c r="F8" s="11" t="str">
        <f t="shared" si="1"/>
        <v>WRONG</v>
      </c>
      <c r="G8" s="11" t="s">
        <v>30</v>
      </c>
      <c r="H8" s="13" t="s">
        <v>18</v>
      </c>
      <c r="I8" s="14" t="s">
        <v>866</v>
      </c>
      <c r="J8" s="15">
        <v>24631.0</v>
      </c>
    </row>
    <row r="9" ht="60.0" customHeight="1">
      <c r="A9" s="11">
        <v>6.0</v>
      </c>
      <c r="B9" s="12" t="s">
        <v>42</v>
      </c>
      <c r="C9" s="12" t="s">
        <v>43</v>
      </c>
      <c r="D9" s="12" t="s">
        <v>44</v>
      </c>
      <c r="E9" s="12" t="s">
        <v>45</v>
      </c>
      <c r="F9" s="11" t="str">
        <f t="shared" si="1"/>
        <v>CORRECT</v>
      </c>
      <c r="G9" s="11" t="s">
        <v>19</v>
      </c>
      <c r="H9" s="13" t="s">
        <v>19</v>
      </c>
      <c r="I9" s="14" t="s">
        <v>867</v>
      </c>
      <c r="J9" s="15">
        <v>18622.0</v>
      </c>
    </row>
    <row r="10" ht="60.0" customHeight="1">
      <c r="A10" s="11">
        <v>7.0</v>
      </c>
      <c r="B10" s="12" t="s">
        <v>47</v>
      </c>
      <c r="C10" s="12" t="s">
        <v>48</v>
      </c>
      <c r="D10" s="12" t="s">
        <v>49</v>
      </c>
      <c r="E10" s="12" t="s">
        <v>50</v>
      </c>
      <c r="F10" s="11" t="str">
        <f t="shared" si="1"/>
        <v>CORRECT</v>
      </c>
      <c r="G10" s="11" t="s">
        <v>19</v>
      </c>
      <c r="H10" s="15" t="s">
        <v>19</v>
      </c>
      <c r="I10" s="14" t="s">
        <v>868</v>
      </c>
      <c r="J10" s="15">
        <v>15579.0</v>
      </c>
    </row>
    <row r="11" ht="60.0" customHeight="1">
      <c r="A11" s="11">
        <v>8.0</v>
      </c>
      <c r="B11" s="12" t="s">
        <v>52</v>
      </c>
      <c r="C11" s="12" t="s">
        <v>53</v>
      </c>
      <c r="D11" s="12" t="s">
        <v>54</v>
      </c>
      <c r="E11" s="12" t="s">
        <v>55</v>
      </c>
      <c r="F11" s="11" t="str">
        <f t="shared" si="1"/>
        <v>WRONG</v>
      </c>
      <c r="G11" s="11" t="s">
        <v>30</v>
      </c>
      <c r="H11" s="15" t="s">
        <v>19</v>
      </c>
      <c r="I11" s="14" t="s">
        <v>869</v>
      </c>
      <c r="J11" s="15">
        <v>29850.0</v>
      </c>
    </row>
    <row r="12" ht="60.0" customHeight="1">
      <c r="A12" s="11">
        <v>9.0</v>
      </c>
      <c r="B12" s="12" t="s">
        <v>57</v>
      </c>
      <c r="C12" s="12" t="s">
        <v>58</v>
      </c>
      <c r="D12" s="12" t="s">
        <v>59</v>
      </c>
      <c r="E12" s="12" t="s">
        <v>60</v>
      </c>
      <c r="F12" s="11" t="str">
        <f t="shared" si="1"/>
        <v>WRONG</v>
      </c>
      <c r="G12" s="11" t="s">
        <v>19</v>
      </c>
      <c r="H12" s="13" t="s">
        <v>30</v>
      </c>
      <c r="I12" s="14" t="s">
        <v>870</v>
      </c>
      <c r="J12" s="15">
        <v>19566.0</v>
      </c>
    </row>
    <row r="13" ht="60.0" customHeight="1">
      <c r="A13" s="11">
        <v>10.0</v>
      </c>
      <c r="B13" s="12" t="s">
        <v>62</v>
      </c>
      <c r="C13" s="12" t="s">
        <v>63</v>
      </c>
      <c r="D13" s="12" t="s">
        <v>64</v>
      </c>
      <c r="E13" s="12" t="s">
        <v>65</v>
      </c>
      <c r="F13" s="11" t="str">
        <f t="shared" si="1"/>
        <v>WRONG</v>
      </c>
      <c r="G13" s="11" t="s">
        <v>30</v>
      </c>
      <c r="H13" s="15" t="s">
        <v>19</v>
      </c>
      <c r="I13" s="14" t="s">
        <v>871</v>
      </c>
      <c r="J13" s="15">
        <v>18762.0</v>
      </c>
    </row>
    <row r="14" ht="60.0" customHeight="1">
      <c r="A14" s="11">
        <v>11.0</v>
      </c>
      <c r="B14" s="12" t="s">
        <v>67</v>
      </c>
      <c r="C14" s="12" t="s">
        <v>68</v>
      </c>
      <c r="D14" s="12" t="s">
        <v>69</v>
      </c>
      <c r="E14" s="12" t="s">
        <v>70</v>
      </c>
      <c r="F14" s="11" t="str">
        <f t="shared" si="1"/>
        <v>WRONG</v>
      </c>
      <c r="G14" s="11" t="s">
        <v>19</v>
      </c>
      <c r="H14" s="15" t="s">
        <v>30</v>
      </c>
      <c r="I14" s="14" t="s">
        <v>872</v>
      </c>
      <c r="J14" s="15">
        <v>20526.0</v>
      </c>
    </row>
    <row r="15" ht="60.0" customHeight="1">
      <c r="A15" s="11">
        <v>12.0</v>
      </c>
      <c r="B15" s="12" t="s">
        <v>72</v>
      </c>
      <c r="C15" s="12" t="s">
        <v>73</v>
      </c>
      <c r="D15" s="12" t="s">
        <v>74</v>
      </c>
      <c r="E15" s="12" t="s">
        <v>75</v>
      </c>
      <c r="F15" s="11" t="str">
        <f t="shared" si="1"/>
        <v>CORRECT</v>
      </c>
      <c r="G15" s="11" t="s">
        <v>30</v>
      </c>
      <c r="H15" s="15" t="s">
        <v>30</v>
      </c>
      <c r="I15" s="14" t="s">
        <v>873</v>
      </c>
      <c r="J15" s="15">
        <v>17612.0</v>
      </c>
    </row>
    <row r="16" ht="60.0" customHeight="1">
      <c r="A16" s="11">
        <v>13.0</v>
      </c>
      <c r="B16" s="12" t="s">
        <v>77</v>
      </c>
      <c r="C16" s="12" t="s">
        <v>78</v>
      </c>
      <c r="D16" s="12" t="s">
        <v>79</v>
      </c>
      <c r="E16" s="12" t="s">
        <v>80</v>
      </c>
      <c r="F16" s="11" t="str">
        <f t="shared" si="1"/>
        <v>CORRECT</v>
      </c>
      <c r="G16" s="11" t="s">
        <v>18</v>
      </c>
      <c r="H16" s="13" t="s">
        <v>18</v>
      </c>
      <c r="I16" s="14" t="s">
        <v>874</v>
      </c>
      <c r="J16" s="15">
        <v>17025.0</v>
      </c>
    </row>
    <row r="17" ht="60.0" customHeight="1">
      <c r="A17" s="11">
        <v>14.0</v>
      </c>
      <c r="B17" s="12" t="s">
        <v>82</v>
      </c>
      <c r="C17" s="12" t="s">
        <v>83</v>
      </c>
      <c r="D17" s="12" t="s">
        <v>84</v>
      </c>
      <c r="E17" s="12" t="s">
        <v>85</v>
      </c>
      <c r="F17" s="11" t="str">
        <f t="shared" si="1"/>
        <v>WRONG</v>
      </c>
      <c r="G17" s="11" t="s">
        <v>18</v>
      </c>
      <c r="H17" s="15" t="s">
        <v>30</v>
      </c>
      <c r="I17" s="14" t="s">
        <v>875</v>
      </c>
      <c r="J17" s="15">
        <v>12961.0</v>
      </c>
    </row>
    <row r="18" ht="60.0" customHeight="1">
      <c r="A18" s="11">
        <v>15.0</v>
      </c>
      <c r="B18" s="12" t="s">
        <v>87</v>
      </c>
      <c r="C18" s="12" t="s">
        <v>88</v>
      </c>
      <c r="D18" s="12" t="s">
        <v>89</v>
      </c>
      <c r="E18" s="12" t="s">
        <v>90</v>
      </c>
      <c r="F18" s="11" t="str">
        <f t="shared" si="1"/>
        <v>CORRECT</v>
      </c>
      <c r="G18" s="11" t="s">
        <v>30</v>
      </c>
      <c r="H18" s="13" t="s">
        <v>30</v>
      </c>
      <c r="I18" s="14" t="s">
        <v>876</v>
      </c>
      <c r="J18" s="15">
        <v>21882.0</v>
      </c>
    </row>
    <row r="19" ht="60.0" customHeight="1">
      <c r="A19" s="11">
        <v>16.0</v>
      </c>
      <c r="B19" s="12" t="s">
        <v>92</v>
      </c>
      <c r="C19" s="12" t="s">
        <v>93</v>
      </c>
      <c r="D19" s="12" t="s">
        <v>94</v>
      </c>
      <c r="E19" s="12" t="s">
        <v>95</v>
      </c>
      <c r="F19" s="11" t="str">
        <f t="shared" si="1"/>
        <v>CORRECT</v>
      </c>
      <c r="G19" s="11" t="s">
        <v>30</v>
      </c>
      <c r="H19" s="13" t="s">
        <v>30</v>
      </c>
      <c r="I19" s="14" t="s">
        <v>877</v>
      </c>
      <c r="J19" s="15">
        <v>14687.0</v>
      </c>
    </row>
    <row r="20" ht="60.0" customHeight="1">
      <c r="A20" s="11">
        <v>17.0</v>
      </c>
      <c r="B20" s="12" t="s">
        <v>97</v>
      </c>
      <c r="C20" s="12" t="s">
        <v>98</v>
      </c>
      <c r="D20" s="12" t="s">
        <v>99</v>
      </c>
      <c r="E20" s="12" t="s">
        <v>100</v>
      </c>
      <c r="F20" s="11" t="str">
        <f t="shared" si="1"/>
        <v>WRONG</v>
      </c>
      <c r="G20" s="11" t="s">
        <v>19</v>
      </c>
      <c r="H20" s="15" t="s">
        <v>18</v>
      </c>
      <c r="I20" s="14" t="s">
        <v>878</v>
      </c>
      <c r="J20" s="15">
        <v>16788.0</v>
      </c>
    </row>
    <row r="21" ht="60.0" customHeight="1">
      <c r="A21" s="11">
        <v>18.0</v>
      </c>
      <c r="B21" s="12" t="s">
        <v>102</v>
      </c>
      <c r="C21" s="12" t="s">
        <v>103</v>
      </c>
      <c r="D21" s="12" t="s">
        <v>104</v>
      </c>
      <c r="E21" s="12" t="s">
        <v>105</v>
      </c>
      <c r="F21" s="11" t="str">
        <f t="shared" si="1"/>
        <v>CORRECT</v>
      </c>
      <c r="G21" s="11" t="s">
        <v>19</v>
      </c>
      <c r="H21" s="15" t="s">
        <v>19</v>
      </c>
      <c r="I21" s="14" t="s">
        <v>879</v>
      </c>
      <c r="J21" s="15">
        <v>11885.0</v>
      </c>
    </row>
    <row r="22" ht="60.0" customHeight="1">
      <c r="A22" s="11">
        <v>19.0</v>
      </c>
      <c r="B22" s="12" t="s">
        <v>107</v>
      </c>
      <c r="C22" s="12" t="s">
        <v>108</v>
      </c>
      <c r="D22" s="12" t="s">
        <v>109</v>
      </c>
      <c r="E22" s="12" t="s">
        <v>110</v>
      </c>
      <c r="F22" s="11" t="str">
        <f t="shared" si="1"/>
        <v>CORRECT</v>
      </c>
      <c r="G22" s="11" t="s">
        <v>18</v>
      </c>
      <c r="H22" s="13" t="s">
        <v>18</v>
      </c>
      <c r="I22" s="14" t="s">
        <v>880</v>
      </c>
      <c r="J22" s="15">
        <v>18932.0</v>
      </c>
    </row>
    <row r="23" ht="60.0" customHeight="1">
      <c r="A23" s="11">
        <v>20.0</v>
      </c>
      <c r="B23" s="12" t="s">
        <v>112</v>
      </c>
      <c r="C23" s="12" t="s">
        <v>113</v>
      </c>
      <c r="D23" s="12" t="s">
        <v>114</v>
      </c>
      <c r="E23" s="12" t="s">
        <v>115</v>
      </c>
      <c r="F23" s="11" t="str">
        <f t="shared" si="1"/>
        <v>WRONG</v>
      </c>
      <c r="G23" s="11" t="s">
        <v>19</v>
      </c>
      <c r="H23" s="13" t="s">
        <v>30</v>
      </c>
      <c r="I23" s="14" t="s">
        <v>881</v>
      </c>
      <c r="J23" s="15">
        <v>18497.0</v>
      </c>
    </row>
    <row r="24" ht="60.0" customHeight="1">
      <c r="A24" s="11">
        <v>21.0</v>
      </c>
      <c r="B24" s="12" t="s">
        <v>117</v>
      </c>
      <c r="C24" s="12" t="s">
        <v>118</v>
      </c>
      <c r="D24" s="12" t="s">
        <v>119</v>
      </c>
      <c r="E24" s="12" t="s">
        <v>120</v>
      </c>
      <c r="F24" s="11" t="str">
        <f t="shared" si="1"/>
        <v>WRONG</v>
      </c>
      <c r="G24" s="11" t="s">
        <v>19</v>
      </c>
      <c r="H24" s="13" t="s">
        <v>18</v>
      </c>
      <c r="I24" s="14" t="s">
        <v>882</v>
      </c>
      <c r="J24" s="15">
        <v>22086.0</v>
      </c>
    </row>
    <row r="25" ht="60.0" customHeight="1">
      <c r="A25" s="11">
        <v>22.0</v>
      </c>
      <c r="B25" s="12" t="s">
        <v>122</v>
      </c>
      <c r="C25" s="12" t="s">
        <v>123</v>
      </c>
      <c r="D25" s="12" t="s">
        <v>124</v>
      </c>
      <c r="E25" s="12" t="s">
        <v>125</v>
      </c>
      <c r="F25" s="11" t="str">
        <f t="shared" si="1"/>
        <v>CORRECT</v>
      </c>
      <c r="G25" s="11" t="s">
        <v>19</v>
      </c>
      <c r="H25" s="13" t="s">
        <v>19</v>
      </c>
      <c r="I25" s="14" t="s">
        <v>883</v>
      </c>
      <c r="J25" s="15">
        <v>18798.0</v>
      </c>
    </row>
    <row r="26" ht="60.0" customHeight="1">
      <c r="A26" s="11">
        <v>23.0</v>
      </c>
      <c r="B26" s="12" t="s">
        <v>127</v>
      </c>
      <c r="C26" s="12" t="s">
        <v>128</v>
      </c>
      <c r="D26" s="12" t="s">
        <v>129</v>
      </c>
      <c r="E26" s="12" t="s">
        <v>130</v>
      </c>
      <c r="F26" s="11" t="str">
        <f t="shared" si="1"/>
        <v>CORRECT</v>
      </c>
      <c r="G26" s="11" t="s">
        <v>30</v>
      </c>
      <c r="H26" s="15" t="s">
        <v>30</v>
      </c>
      <c r="I26" s="14" t="s">
        <v>884</v>
      </c>
      <c r="J26" s="15">
        <v>16311.0</v>
      </c>
    </row>
    <row r="27" ht="60.0" customHeight="1">
      <c r="A27" s="11">
        <v>24.0</v>
      </c>
      <c r="B27" s="12" t="s">
        <v>132</v>
      </c>
      <c r="C27" s="12" t="s">
        <v>133</v>
      </c>
      <c r="D27" s="12" t="s">
        <v>134</v>
      </c>
      <c r="E27" s="12" t="s">
        <v>135</v>
      </c>
      <c r="F27" s="11" t="str">
        <f t="shared" si="1"/>
        <v>WRONG</v>
      </c>
      <c r="G27" s="11" t="s">
        <v>18</v>
      </c>
      <c r="H27" s="15" t="s">
        <v>30</v>
      </c>
      <c r="I27" s="14" t="s">
        <v>885</v>
      </c>
      <c r="J27" s="15">
        <v>13894.0</v>
      </c>
    </row>
    <row r="28" ht="60.0" customHeight="1">
      <c r="A28" s="11">
        <v>25.0</v>
      </c>
      <c r="B28" s="12" t="s">
        <v>137</v>
      </c>
      <c r="C28" s="12" t="s">
        <v>133</v>
      </c>
      <c r="D28" s="12" t="s">
        <v>138</v>
      </c>
      <c r="E28" s="12" t="s">
        <v>135</v>
      </c>
      <c r="F28" s="11" t="str">
        <f t="shared" si="1"/>
        <v>WRONG</v>
      </c>
      <c r="G28" s="11" t="s">
        <v>30</v>
      </c>
      <c r="H28" s="13" t="s">
        <v>18</v>
      </c>
      <c r="I28" s="14" t="s">
        <v>886</v>
      </c>
      <c r="J28" s="15">
        <v>12653.0</v>
      </c>
    </row>
    <row r="29" ht="60.0" customHeight="1">
      <c r="A29" s="11">
        <v>26.0</v>
      </c>
      <c r="B29" s="12" t="s">
        <v>140</v>
      </c>
      <c r="C29" s="12" t="s">
        <v>141</v>
      </c>
      <c r="D29" s="12" t="s">
        <v>142</v>
      </c>
      <c r="E29" s="12" t="s">
        <v>143</v>
      </c>
      <c r="F29" s="11" t="str">
        <f t="shared" si="1"/>
        <v>WRONG</v>
      </c>
      <c r="G29" s="11" t="s">
        <v>18</v>
      </c>
      <c r="H29" s="13" t="s">
        <v>30</v>
      </c>
      <c r="I29" s="14" t="s">
        <v>887</v>
      </c>
      <c r="J29" s="15">
        <v>8395.0</v>
      </c>
    </row>
    <row r="30" ht="60.0" customHeight="1">
      <c r="A30" s="11">
        <v>27.0</v>
      </c>
      <c r="B30" s="12" t="s">
        <v>145</v>
      </c>
      <c r="C30" s="12" t="s">
        <v>146</v>
      </c>
      <c r="D30" s="12" t="s">
        <v>147</v>
      </c>
      <c r="E30" s="12" t="s">
        <v>148</v>
      </c>
      <c r="F30" s="11" t="str">
        <f t="shared" si="1"/>
        <v>CORRECT</v>
      </c>
      <c r="G30" s="11" t="s">
        <v>19</v>
      </c>
      <c r="H30" s="15" t="s">
        <v>19</v>
      </c>
      <c r="I30" s="14" t="s">
        <v>888</v>
      </c>
      <c r="J30" s="15">
        <v>14668.0</v>
      </c>
    </row>
    <row r="31" ht="60.0" customHeight="1">
      <c r="A31" s="11">
        <v>28.0</v>
      </c>
      <c r="B31" s="12" t="s">
        <v>150</v>
      </c>
      <c r="C31" s="12" t="s">
        <v>151</v>
      </c>
      <c r="D31" s="12" t="s">
        <v>152</v>
      </c>
      <c r="E31" s="12" t="s">
        <v>153</v>
      </c>
      <c r="F31" s="11" t="str">
        <f t="shared" si="1"/>
        <v>CORRECT</v>
      </c>
      <c r="G31" s="11" t="s">
        <v>18</v>
      </c>
      <c r="H31" s="13" t="s">
        <v>18</v>
      </c>
      <c r="I31" s="14" t="s">
        <v>889</v>
      </c>
      <c r="J31" s="15">
        <v>19058.0</v>
      </c>
    </row>
    <row r="32" ht="60.0" customHeight="1">
      <c r="A32" s="11">
        <v>29.0</v>
      </c>
      <c r="B32" s="12" t="s">
        <v>155</v>
      </c>
      <c r="C32" s="12" t="s">
        <v>156</v>
      </c>
      <c r="D32" s="12" t="s">
        <v>157</v>
      </c>
      <c r="E32" s="12" t="s">
        <v>158</v>
      </c>
      <c r="F32" s="11" t="str">
        <f t="shared" si="1"/>
        <v>CORRECT</v>
      </c>
      <c r="G32" s="11" t="s">
        <v>19</v>
      </c>
      <c r="H32" s="13" t="s">
        <v>19</v>
      </c>
      <c r="I32" s="14" t="s">
        <v>890</v>
      </c>
      <c r="J32" s="15">
        <v>18916.0</v>
      </c>
    </row>
    <row r="33" ht="60.0" customHeight="1">
      <c r="A33" s="11">
        <v>30.0</v>
      </c>
      <c r="B33" s="12" t="s">
        <v>160</v>
      </c>
      <c r="C33" s="12" t="s">
        <v>161</v>
      </c>
      <c r="D33" s="12" t="s">
        <v>162</v>
      </c>
      <c r="E33" s="12" t="s">
        <v>163</v>
      </c>
      <c r="F33" s="11" t="str">
        <f t="shared" si="1"/>
        <v>WRONG</v>
      </c>
      <c r="G33" s="11" t="s">
        <v>30</v>
      </c>
      <c r="H33" s="13" t="s">
        <v>18</v>
      </c>
      <c r="I33" s="14" t="s">
        <v>891</v>
      </c>
      <c r="J33" s="15">
        <v>20925.0</v>
      </c>
    </row>
    <row r="34" ht="60.0" customHeight="1">
      <c r="A34" s="11">
        <v>31.0</v>
      </c>
      <c r="B34" s="12" t="s">
        <v>165</v>
      </c>
      <c r="C34" s="12" t="s">
        <v>166</v>
      </c>
      <c r="D34" s="12" t="s">
        <v>167</v>
      </c>
      <c r="E34" s="12" t="s">
        <v>168</v>
      </c>
      <c r="F34" s="11" t="str">
        <f t="shared" si="1"/>
        <v>WRONG</v>
      </c>
      <c r="G34" s="11" t="s">
        <v>19</v>
      </c>
      <c r="H34" s="13" t="s">
        <v>18</v>
      </c>
      <c r="I34" s="14" t="s">
        <v>892</v>
      </c>
      <c r="J34" s="15">
        <v>20146.0</v>
      </c>
    </row>
    <row r="35" ht="60.0" customHeight="1">
      <c r="A35" s="11">
        <v>32.0</v>
      </c>
      <c r="B35" s="12" t="s">
        <v>170</v>
      </c>
      <c r="C35" s="12" t="s">
        <v>171</v>
      </c>
      <c r="D35" s="12" t="s">
        <v>172</v>
      </c>
      <c r="E35" s="12" t="s">
        <v>173</v>
      </c>
      <c r="F35" s="11" t="str">
        <f t="shared" si="1"/>
        <v>CORRECT</v>
      </c>
      <c r="G35" s="11" t="s">
        <v>18</v>
      </c>
      <c r="H35" s="15" t="s">
        <v>18</v>
      </c>
      <c r="I35" s="14" t="s">
        <v>893</v>
      </c>
      <c r="J35" s="15">
        <v>26031.0</v>
      </c>
    </row>
    <row r="36" ht="60.0" customHeight="1">
      <c r="A36" s="11">
        <v>33.0</v>
      </c>
      <c r="B36" s="12" t="s">
        <v>175</v>
      </c>
      <c r="C36" s="12" t="s">
        <v>176</v>
      </c>
      <c r="D36" s="12" t="s">
        <v>177</v>
      </c>
      <c r="E36" s="12" t="s">
        <v>178</v>
      </c>
      <c r="F36" s="11" t="str">
        <f t="shared" si="1"/>
        <v>WRONG</v>
      </c>
      <c r="G36" s="11" t="s">
        <v>30</v>
      </c>
      <c r="H36" s="13" t="s">
        <v>18</v>
      </c>
      <c r="I36" s="14" t="s">
        <v>894</v>
      </c>
      <c r="J36" s="15">
        <v>16322.0</v>
      </c>
    </row>
    <row r="37" ht="60.0" customHeight="1">
      <c r="A37" s="11">
        <v>34.0</v>
      </c>
      <c r="B37" s="12" t="s">
        <v>180</v>
      </c>
      <c r="C37" s="12" t="s">
        <v>181</v>
      </c>
      <c r="D37" s="12" t="s">
        <v>182</v>
      </c>
      <c r="E37" s="12" t="s">
        <v>183</v>
      </c>
      <c r="F37" s="11" t="str">
        <f t="shared" si="1"/>
        <v>CORRECT</v>
      </c>
      <c r="G37" s="11" t="s">
        <v>18</v>
      </c>
      <c r="H37" s="13" t="s">
        <v>18</v>
      </c>
      <c r="I37" s="14" t="s">
        <v>895</v>
      </c>
      <c r="J37" s="15">
        <v>17443.0</v>
      </c>
    </row>
    <row r="38" ht="60.0" customHeight="1">
      <c r="A38" s="11">
        <v>35.0</v>
      </c>
      <c r="B38" s="12" t="s">
        <v>185</v>
      </c>
      <c r="C38" s="12" t="s">
        <v>186</v>
      </c>
      <c r="D38" s="12" t="s">
        <v>187</v>
      </c>
      <c r="E38" s="12" t="s">
        <v>188</v>
      </c>
      <c r="F38" s="11" t="str">
        <f t="shared" si="1"/>
        <v>CORRECT</v>
      </c>
      <c r="G38" s="11" t="s">
        <v>30</v>
      </c>
      <c r="H38" s="15" t="s">
        <v>30</v>
      </c>
      <c r="I38" s="14" t="s">
        <v>896</v>
      </c>
      <c r="J38" s="15">
        <v>18843.0</v>
      </c>
    </row>
    <row r="39" ht="60.0" customHeight="1">
      <c r="A39" s="11">
        <v>36.0</v>
      </c>
      <c r="B39" s="12" t="s">
        <v>190</v>
      </c>
      <c r="C39" s="12" t="s">
        <v>191</v>
      </c>
      <c r="D39" s="12" t="s">
        <v>192</v>
      </c>
      <c r="E39" s="12" t="s">
        <v>193</v>
      </c>
      <c r="F39" s="11" t="str">
        <f t="shared" si="1"/>
        <v>CORRECT</v>
      </c>
      <c r="G39" s="11" t="s">
        <v>18</v>
      </c>
      <c r="H39" s="15" t="s">
        <v>18</v>
      </c>
      <c r="I39" s="14" t="s">
        <v>897</v>
      </c>
      <c r="J39" s="15">
        <v>17928.0</v>
      </c>
    </row>
    <row r="40" ht="60.0" customHeight="1">
      <c r="A40" s="11">
        <v>37.0</v>
      </c>
      <c r="B40" s="12" t="s">
        <v>195</v>
      </c>
      <c r="C40" s="12" t="s">
        <v>196</v>
      </c>
      <c r="D40" s="12" t="s">
        <v>197</v>
      </c>
      <c r="E40" s="12" t="s">
        <v>198</v>
      </c>
      <c r="F40" s="11" t="str">
        <f t="shared" si="1"/>
        <v>WRONG</v>
      </c>
      <c r="G40" s="11" t="s">
        <v>18</v>
      </c>
      <c r="H40" s="15" t="s">
        <v>19</v>
      </c>
      <c r="I40" s="14" t="s">
        <v>898</v>
      </c>
      <c r="J40" s="15">
        <v>15317.0</v>
      </c>
    </row>
    <row r="41" ht="60.0" customHeight="1">
      <c r="A41" s="11">
        <v>38.0</v>
      </c>
      <c r="B41" s="12" t="s">
        <v>200</v>
      </c>
      <c r="C41" s="12" t="s">
        <v>201</v>
      </c>
      <c r="D41" s="12" t="s">
        <v>202</v>
      </c>
      <c r="E41" s="12" t="s">
        <v>203</v>
      </c>
      <c r="F41" s="11" t="str">
        <f t="shared" si="1"/>
        <v>CORRECT</v>
      </c>
      <c r="G41" s="11" t="s">
        <v>18</v>
      </c>
      <c r="H41" s="15" t="s">
        <v>18</v>
      </c>
      <c r="I41" s="14" t="s">
        <v>899</v>
      </c>
      <c r="J41" s="15">
        <v>17554.0</v>
      </c>
    </row>
    <row r="42" ht="60.0" customHeight="1">
      <c r="A42" s="11">
        <v>39.0</v>
      </c>
      <c r="B42" s="12" t="s">
        <v>205</v>
      </c>
      <c r="C42" s="12" t="s">
        <v>206</v>
      </c>
      <c r="D42" s="12" t="s">
        <v>207</v>
      </c>
      <c r="E42" s="12" t="s">
        <v>208</v>
      </c>
      <c r="F42" s="11" t="str">
        <f t="shared" si="1"/>
        <v>WRONG</v>
      </c>
      <c r="G42" s="11" t="s">
        <v>19</v>
      </c>
      <c r="H42" s="13" t="s">
        <v>18</v>
      </c>
      <c r="I42" s="14" t="s">
        <v>900</v>
      </c>
      <c r="J42" s="15">
        <v>21061.0</v>
      </c>
    </row>
    <row r="43" ht="60.0" customHeight="1">
      <c r="A43" s="11">
        <v>40.0</v>
      </c>
      <c r="B43" s="12" t="s">
        <v>210</v>
      </c>
      <c r="C43" s="12" t="s">
        <v>211</v>
      </c>
      <c r="D43" s="12" t="s">
        <v>212</v>
      </c>
      <c r="E43" s="12" t="s">
        <v>213</v>
      </c>
      <c r="F43" s="11" t="str">
        <f t="shared" si="1"/>
        <v>CORRECT</v>
      </c>
      <c r="G43" s="11" t="s">
        <v>30</v>
      </c>
      <c r="H43" s="13" t="s">
        <v>30</v>
      </c>
      <c r="I43" s="14" t="s">
        <v>901</v>
      </c>
      <c r="J43" s="15">
        <v>16210.0</v>
      </c>
    </row>
    <row r="44" ht="60.0" customHeight="1">
      <c r="A44" s="11">
        <v>41.0</v>
      </c>
      <c r="B44" s="12" t="s">
        <v>215</v>
      </c>
      <c r="C44" s="12" t="s">
        <v>216</v>
      </c>
      <c r="D44" s="12" t="s">
        <v>217</v>
      </c>
      <c r="E44" s="12" t="s">
        <v>218</v>
      </c>
      <c r="F44" s="11" t="str">
        <f t="shared" si="1"/>
        <v>CORRECT</v>
      </c>
      <c r="G44" s="11" t="s">
        <v>19</v>
      </c>
      <c r="H44" s="15" t="s">
        <v>19</v>
      </c>
      <c r="I44" s="14" t="s">
        <v>902</v>
      </c>
      <c r="J44" s="15">
        <v>15515.0</v>
      </c>
    </row>
    <row r="45" ht="60.0" customHeight="1">
      <c r="A45" s="11">
        <v>42.0</v>
      </c>
      <c r="B45" s="12" t="s">
        <v>220</v>
      </c>
      <c r="C45" s="12" t="s">
        <v>221</v>
      </c>
      <c r="D45" s="12" t="s">
        <v>222</v>
      </c>
      <c r="E45" s="12" t="s">
        <v>223</v>
      </c>
      <c r="F45" s="11" t="str">
        <f t="shared" si="1"/>
        <v>WRONG</v>
      </c>
      <c r="G45" s="11" t="s">
        <v>18</v>
      </c>
      <c r="H45" s="15" t="s">
        <v>19</v>
      </c>
      <c r="I45" s="14" t="s">
        <v>903</v>
      </c>
      <c r="J45" s="15">
        <v>17280.0</v>
      </c>
    </row>
    <row r="46" ht="60.0" customHeight="1">
      <c r="A46" s="11">
        <v>43.0</v>
      </c>
      <c r="B46" s="12" t="s">
        <v>225</v>
      </c>
      <c r="C46" s="12" t="s">
        <v>226</v>
      </c>
      <c r="D46" s="12" t="s">
        <v>227</v>
      </c>
      <c r="E46" s="12" t="s">
        <v>228</v>
      </c>
      <c r="F46" s="11" t="str">
        <f t="shared" si="1"/>
        <v>CORRECT</v>
      </c>
      <c r="G46" s="11" t="s">
        <v>30</v>
      </c>
      <c r="H46" s="13" t="s">
        <v>30</v>
      </c>
      <c r="I46" s="14" t="s">
        <v>904</v>
      </c>
      <c r="J46" s="15">
        <v>22361.0</v>
      </c>
    </row>
    <row r="47" ht="60.0" customHeight="1">
      <c r="A47" s="11">
        <v>44.0</v>
      </c>
      <c r="B47" s="12" t="s">
        <v>230</v>
      </c>
      <c r="C47" s="12" t="s">
        <v>231</v>
      </c>
      <c r="D47" s="12" t="s">
        <v>232</v>
      </c>
      <c r="E47" s="12" t="s">
        <v>233</v>
      </c>
      <c r="F47" s="11" t="str">
        <f t="shared" si="1"/>
        <v>WRONG</v>
      </c>
      <c r="G47" s="11" t="s">
        <v>18</v>
      </c>
      <c r="H47" s="13" t="s">
        <v>30</v>
      </c>
      <c r="I47" s="14" t="s">
        <v>905</v>
      </c>
      <c r="J47" s="15">
        <v>15439.0</v>
      </c>
    </row>
    <row r="48" ht="60.0" customHeight="1">
      <c r="A48" s="11">
        <v>45.0</v>
      </c>
      <c r="B48" s="12" t="s">
        <v>235</v>
      </c>
      <c r="C48" s="12" t="s">
        <v>236</v>
      </c>
      <c r="D48" s="12" t="s">
        <v>237</v>
      </c>
      <c r="E48" s="12" t="s">
        <v>238</v>
      </c>
      <c r="F48" s="11" t="str">
        <f t="shared" si="1"/>
        <v>CORRECT</v>
      </c>
      <c r="G48" s="11" t="s">
        <v>18</v>
      </c>
      <c r="H48" s="15" t="s">
        <v>18</v>
      </c>
      <c r="I48" s="14" t="s">
        <v>906</v>
      </c>
      <c r="J48" s="15">
        <v>19838.0</v>
      </c>
    </row>
    <row r="49" ht="60.0" customHeight="1">
      <c r="A49" s="11">
        <v>46.0</v>
      </c>
      <c r="B49" s="12" t="s">
        <v>240</v>
      </c>
      <c r="C49" s="12" t="s">
        <v>22</v>
      </c>
      <c r="D49" s="12" t="s">
        <v>241</v>
      </c>
      <c r="E49" s="12" t="s">
        <v>242</v>
      </c>
      <c r="F49" s="11" t="str">
        <f t="shared" si="1"/>
        <v>CORRECT</v>
      </c>
      <c r="G49" s="11" t="s">
        <v>18</v>
      </c>
      <c r="H49" s="15" t="s">
        <v>18</v>
      </c>
      <c r="I49" s="14" t="s">
        <v>907</v>
      </c>
      <c r="J49" s="15">
        <v>18811.0</v>
      </c>
    </row>
    <row r="50">
      <c r="A50" s="16" t="s">
        <v>244</v>
      </c>
      <c r="B50" s="2"/>
      <c r="C50" s="2"/>
      <c r="D50" s="2"/>
      <c r="E50" s="3"/>
      <c r="F50" s="17">
        <f>COUNTIFS(F4:F49,"CORRECT")</f>
        <v>25</v>
      </c>
      <c r="G50" s="18"/>
      <c r="H50" s="18"/>
      <c r="J50" s="19">
        <f>AVERAGE(J4:J49)</f>
        <v>18096.02174</v>
      </c>
    </row>
    <row r="51">
      <c r="A51" s="20" t="s">
        <v>245</v>
      </c>
      <c r="B51" s="2"/>
      <c r="C51" s="2"/>
      <c r="D51" s="2"/>
      <c r="E51" s="3"/>
      <c r="F51" s="21">
        <v>46.0</v>
      </c>
      <c r="G51" s="18"/>
      <c r="H51" s="18"/>
    </row>
    <row r="52">
      <c r="A52" s="16" t="s">
        <v>246</v>
      </c>
      <c r="B52" s="2"/>
      <c r="C52" s="2"/>
      <c r="D52" s="2"/>
      <c r="E52" s="3"/>
      <c r="F52" s="22">
        <f>F50/F51</f>
        <v>0.5434782609</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908</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909</v>
      </c>
      <c r="J4" s="15">
        <v>17967.0</v>
      </c>
    </row>
    <row r="5" ht="60.0" customHeight="1">
      <c r="A5" s="11">
        <v>2.0</v>
      </c>
      <c r="B5" s="12" t="s">
        <v>21</v>
      </c>
      <c r="C5" s="12" t="s">
        <v>22</v>
      </c>
      <c r="D5" s="12" t="s">
        <v>23</v>
      </c>
      <c r="E5" s="12" t="s">
        <v>24</v>
      </c>
      <c r="F5" s="11" t="str">
        <f t="shared" si="1"/>
        <v>CORRECT</v>
      </c>
      <c r="G5" s="11" t="s">
        <v>19</v>
      </c>
      <c r="H5" s="13" t="s">
        <v>19</v>
      </c>
      <c r="I5" s="14" t="s">
        <v>910</v>
      </c>
      <c r="J5" s="15">
        <v>21567.0</v>
      </c>
    </row>
    <row r="6" ht="60.0" customHeight="1">
      <c r="A6" s="11">
        <v>3.0</v>
      </c>
      <c r="B6" s="12" t="s">
        <v>26</v>
      </c>
      <c r="C6" s="12" t="s">
        <v>27</v>
      </c>
      <c r="D6" s="12" t="s">
        <v>28</v>
      </c>
      <c r="E6" s="12" t="s">
        <v>29</v>
      </c>
      <c r="F6" s="11" t="str">
        <f t="shared" si="1"/>
        <v>CORRECT</v>
      </c>
      <c r="G6" s="11" t="s">
        <v>30</v>
      </c>
      <c r="H6" s="15" t="s">
        <v>30</v>
      </c>
      <c r="I6" s="14" t="s">
        <v>911</v>
      </c>
      <c r="J6" s="15">
        <v>18514.0</v>
      </c>
    </row>
    <row r="7" ht="60.0" customHeight="1">
      <c r="A7" s="11">
        <v>4.0</v>
      </c>
      <c r="B7" s="12" t="s">
        <v>32</v>
      </c>
      <c r="C7" s="12" t="s">
        <v>33</v>
      </c>
      <c r="D7" s="12" t="s">
        <v>34</v>
      </c>
      <c r="E7" s="12" t="s">
        <v>35</v>
      </c>
      <c r="F7" s="11" t="str">
        <f t="shared" si="1"/>
        <v>WRONG</v>
      </c>
      <c r="G7" s="11" t="s">
        <v>19</v>
      </c>
      <c r="H7" s="13" t="s">
        <v>30</v>
      </c>
      <c r="I7" s="14" t="s">
        <v>912</v>
      </c>
      <c r="J7" s="15">
        <v>14761.0</v>
      </c>
    </row>
    <row r="8" ht="60.0" customHeight="1">
      <c r="A8" s="11">
        <v>5.0</v>
      </c>
      <c r="B8" s="12" t="s">
        <v>37</v>
      </c>
      <c r="C8" s="12" t="s">
        <v>38</v>
      </c>
      <c r="D8" s="12" t="s">
        <v>39</v>
      </c>
      <c r="E8" s="12" t="s">
        <v>40</v>
      </c>
      <c r="F8" s="11" t="str">
        <f t="shared" si="1"/>
        <v>WRONG</v>
      </c>
      <c r="G8" s="11" t="s">
        <v>30</v>
      </c>
      <c r="H8" s="13" t="s">
        <v>19</v>
      </c>
      <c r="I8" s="14" t="s">
        <v>913</v>
      </c>
      <c r="J8" s="15">
        <v>24631.0</v>
      </c>
    </row>
    <row r="9" ht="60.0" customHeight="1">
      <c r="A9" s="11">
        <v>6.0</v>
      </c>
      <c r="B9" s="12" t="s">
        <v>42</v>
      </c>
      <c r="C9" s="12" t="s">
        <v>43</v>
      </c>
      <c r="D9" s="12" t="s">
        <v>44</v>
      </c>
      <c r="E9" s="12" t="s">
        <v>45</v>
      </c>
      <c r="F9" s="11" t="str">
        <f t="shared" si="1"/>
        <v>CORRECT</v>
      </c>
      <c r="G9" s="11" t="s">
        <v>19</v>
      </c>
      <c r="H9" s="13" t="s">
        <v>19</v>
      </c>
      <c r="I9" s="14" t="s">
        <v>914</v>
      </c>
      <c r="J9" s="15">
        <v>18622.0</v>
      </c>
    </row>
    <row r="10" ht="60.0" customHeight="1">
      <c r="A10" s="11">
        <v>7.0</v>
      </c>
      <c r="B10" s="12" t="s">
        <v>47</v>
      </c>
      <c r="C10" s="12" t="s">
        <v>48</v>
      </c>
      <c r="D10" s="12" t="s">
        <v>49</v>
      </c>
      <c r="E10" s="12" t="s">
        <v>50</v>
      </c>
      <c r="F10" s="11" t="str">
        <f t="shared" si="1"/>
        <v>CORRECT</v>
      </c>
      <c r="G10" s="11" t="s">
        <v>19</v>
      </c>
      <c r="H10" s="15" t="s">
        <v>19</v>
      </c>
      <c r="I10" s="14" t="s">
        <v>915</v>
      </c>
      <c r="J10" s="15">
        <v>15579.0</v>
      </c>
    </row>
    <row r="11" ht="60.0" customHeight="1">
      <c r="A11" s="11">
        <v>8.0</v>
      </c>
      <c r="B11" s="12" t="s">
        <v>52</v>
      </c>
      <c r="C11" s="12" t="s">
        <v>53</v>
      </c>
      <c r="D11" s="12" t="s">
        <v>54</v>
      </c>
      <c r="E11" s="12" t="s">
        <v>55</v>
      </c>
      <c r="F11" s="11" t="str">
        <f t="shared" si="1"/>
        <v>WRONG</v>
      </c>
      <c r="G11" s="11" t="s">
        <v>30</v>
      </c>
      <c r="H11" s="15" t="s">
        <v>19</v>
      </c>
      <c r="I11" s="14" t="s">
        <v>916</v>
      </c>
      <c r="J11" s="15">
        <v>29850.0</v>
      </c>
    </row>
    <row r="12" ht="60.0" customHeight="1">
      <c r="A12" s="11">
        <v>9.0</v>
      </c>
      <c r="B12" s="12" t="s">
        <v>57</v>
      </c>
      <c r="C12" s="12" t="s">
        <v>58</v>
      </c>
      <c r="D12" s="12" t="s">
        <v>59</v>
      </c>
      <c r="E12" s="12" t="s">
        <v>60</v>
      </c>
      <c r="F12" s="11" t="str">
        <f t="shared" si="1"/>
        <v>CORRECT</v>
      </c>
      <c r="G12" s="11" t="s">
        <v>19</v>
      </c>
      <c r="H12" s="15" t="s">
        <v>19</v>
      </c>
      <c r="I12" s="14" t="s">
        <v>917</v>
      </c>
      <c r="J12" s="15">
        <v>19566.0</v>
      </c>
    </row>
    <row r="13" ht="60.0" customHeight="1">
      <c r="A13" s="11">
        <v>10.0</v>
      </c>
      <c r="B13" s="12" t="s">
        <v>62</v>
      </c>
      <c r="C13" s="12" t="s">
        <v>63</v>
      </c>
      <c r="D13" s="12" t="s">
        <v>64</v>
      </c>
      <c r="E13" s="12" t="s">
        <v>65</v>
      </c>
      <c r="F13" s="11" t="str">
        <f t="shared" si="1"/>
        <v>WRONG</v>
      </c>
      <c r="G13" s="11" t="s">
        <v>30</v>
      </c>
      <c r="H13" s="15" t="s">
        <v>19</v>
      </c>
      <c r="I13" s="14" t="s">
        <v>918</v>
      </c>
      <c r="J13" s="15">
        <v>18762.0</v>
      </c>
    </row>
    <row r="14" ht="60.0" customHeight="1">
      <c r="A14" s="11">
        <v>11.0</v>
      </c>
      <c r="B14" s="12" t="s">
        <v>67</v>
      </c>
      <c r="C14" s="12" t="s">
        <v>68</v>
      </c>
      <c r="D14" s="12" t="s">
        <v>69</v>
      </c>
      <c r="E14" s="12" t="s">
        <v>70</v>
      </c>
      <c r="F14" s="11" t="str">
        <f t="shared" si="1"/>
        <v>WRONG</v>
      </c>
      <c r="G14" s="11" t="s">
        <v>19</v>
      </c>
      <c r="H14" s="15" t="s">
        <v>30</v>
      </c>
      <c r="I14" s="14" t="s">
        <v>919</v>
      </c>
      <c r="J14" s="15">
        <v>20526.0</v>
      </c>
    </row>
    <row r="15" ht="60.0" customHeight="1">
      <c r="A15" s="11">
        <v>12.0</v>
      </c>
      <c r="B15" s="12" t="s">
        <v>72</v>
      </c>
      <c r="C15" s="12" t="s">
        <v>73</v>
      </c>
      <c r="D15" s="12" t="s">
        <v>74</v>
      </c>
      <c r="E15" s="12" t="s">
        <v>75</v>
      </c>
      <c r="F15" s="11" t="str">
        <f t="shared" si="1"/>
        <v>CORRECT</v>
      </c>
      <c r="G15" s="11" t="s">
        <v>30</v>
      </c>
      <c r="H15" s="15" t="s">
        <v>30</v>
      </c>
      <c r="I15" s="14" t="s">
        <v>920</v>
      </c>
      <c r="J15" s="15">
        <v>17612.0</v>
      </c>
    </row>
    <row r="16" ht="60.0" customHeight="1">
      <c r="A16" s="11">
        <v>13.0</v>
      </c>
      <c r="B16" s="12" t="s">
        <v>77</v>
      </c>
      <c r="C16" s="12" t="s">
        <v>78</v>
      </c>
      <c r="D16" s="12" t="s">
        <v>79</v>
      </c>
      <c r="E16" s="12" t="s">
        <v>80</v>
      </c>
      <c r="F16" s="11" t="str">
        <f t="shared" si="1"/>
        <v>CORRECT</v>
      </c>
      <c r="G16" s="11" t="s">
        <v>18</v>
      </c>
      <c r="H16" s="15" t="s">
        <v>18</v>
      </c>
      <c r="I16" s="14" t="s">
        <v>921</v>
      </c>
      <c r="J16" s="15">
        <v>17025.0</v>
      </c>
    </row>
    <row r="17" ht="60.0" customHeight="1">
      <c r="A17" s="11">
        <v>14.0</v>
      </c>
      <c r="B17" s="12" t="s">
        <v>82</v>
      </c>
      <c r="C17" s="12" t="s">
        <v>83</v>
      </c>
      <c r="D17" s="12" t="s">
        <v>84</v>
      </c>
      <c r="E17" s="12" t="s">
        <v>85</v>
      </c>
      <c r="F17" s="11" t="str">
        <f t="shared" si="1"/>
        <v>WRONG</v>
      </c>
      <c r="G17" s="11" t="s">
        <v>18</v>
      </c>
      <c r="H17" s="15" t="s">
        <v>30</v>
      </c>
      <c r="I17" s="14" t="s">
        <v>922</v>
      </c>
      <c r="J17" s="15">
        <v>12961.0</v>
      </c>
    </row>
    <row r="18" ht="60.0" customHeight="1">
      <c r="A18" s="11">
        <v>15.0</v>
      </c>
      <c r="B18" s="12" t="s">
        <v>87</v>
      </c>
      <c r="C18" s="12" t="s">
        <v>88</v>
      </c>
      <c r="D18" s="12" t="s">
        <v>89</v>
      </c>
      <c r="E18" s="12" t="s">
        <v>90</v>
      </c>
      <c r="F18" s="11" t="str">
        <f t="shared" si="1"/>
        <v>CORRECT</v>
      </c>
      <c r="G18" s="11" t="s">
        <v>30</v>
      </c>
      <c r="H18" s="13" t="s">
        <v>30</v>
      </c>
      <c r="I18" s="14" t="s">
        <v>923</v>
      </c>
      <c r="J18" s="15">
        <v>21882.0</v>
      </c>
    </row>
    <row r="19" ht="60.0" customHeight="1">
      <c r="A19" s="11">
        <v>16.0</v>
      </c>
      <c r="B19" s="12" t="s">
        <v>92</v>
      </c>
      <c r="C19" s="12" t="s">
        <v>93</v>
      </c>
      <c r="D19" s="12" t="s">
        <v>94</v>
      </c>
      <c r="E19" s="12" t="s">
        <v>95</v>
      </c>
      <c r="F19" s="11" t="str">
        <f t="shared" si="1"/>
        <v>WRONG</v>
      </c>
      <c r="G19" s="11" t="s">
        <v>30</v>
      </c>
      <c r="H19" s="13" t="s">
        <v>18</v>
      </c>
      <c r="I19" s="14" t="s">
        <v>924</v>
      </c>
      <c r="J19" s="15">
        <v>14687.0</v>
      </c>
    </row>
    <row r="20" ht="60.0" customHeight="1">
      <c r="A20" s="11">
        <v>17.0</v>
      </c>
      <c r="B20" s="12" t="s">
        <v>97</v>
      </c>
      <c r="C20" s="12" t="s">
        <v>98</v>
      </c>
      <c r="D20" s="12" t="s">
        <v>99</v>
      </c>
      <c r="E20" s="12" t="s">
        <v>100</v>
      </c>
      <c r="F20" s="11" t="str">
        <f t="shared" si="1"/>
        <v>WRONG</v>
      </c>
      <c r="G20" s="11" t="s">
        <v>19</v>
      </c>
      <c r="H20" s="15" t="s">
        <v>925</v>
      </c>
      <c r="I20" s="14" t="s">
        <v>926</v>
      </c>
      <c r="J20" s="15">
        <v>16788.0</v>
      </c>
    </row>
    <row r="21" ht="60.0" customHeight="1">
      <c r="A21" s="11">
        <v>18.0</v>
      </c>
      <c r="B21" s="12" t="s">
        <v>102</v>
      </c>
      <c r="C21" s="12" t="s">
        <v>103</v>
      </c>
      <c r="D21" s="12" t="s">
        <v>104</v>
      </c>
      <c r="E21" s="12" t="s">
        <v>105</v>
      </c>
      <c r="F21" s="11" t="str">
        <f t="shared" si="1"/>
        <v>CORRECT</v>
      </c>
      <c r="G21" s="11" t="s">
        <v>19</v>
      </c>
      <c r="H21" s="15" t="s">
        <v>19</v>
      </c>
      <c r="I21" s="14" t="s">
        <v>927</v>
      </c>
      <c r="J21" s="15">
        <v>11885.0</v>
      </c>
    </row>
    <row r="22" ht="60.0" customHeight="1">
      <c r="A22" s="11">
        <v>19.0</v>
      </c>
      <c r="B22" s="12" t="s">
        <v>107</v>
      </c>
      <c r="C22" s="12" t="s">
        <v>108</v>
      </c>
      <c r="D22" s="12" t="s">
        <v>109</v>
      </c>
      <c r="E22" s="12" t="s">
        <v>110</v>
      </c>
      <c r="F22" s="11" t="str">
        <f t="shared" si="1"/>
        <v>WRONG</v>
      </c>
      <c r="G22" s="11" t="s">
        <v>18</v>
      </c>
      <c r="H22" s="13" t="s">
        <v>19</v>
      </c>
      <c r="I22" s="14" t="s">
        <v>928</v>
      </c>
      <c r="J22" s="15">
        <v>18932.0</v>
      </c>
    </row>
    <row r="23" ht="60.0" customHeight="1">
      <c r="A23" s="11">
        <v>20.0</v>
      </c>
      <c r="B23" s="12" t="s">
        <v>112</v>
      </c>
      <c r="C23" s="12" t="s">
        <v>113</v>
      </c>
      <c r="D23" s="12" t="s">
        <v>114</v>
      </c>
      <c r="E23" s="12" t="s">
        <v>115</v>
      </c>
      <c r="F23" s="11" t="str">
        <f t="shared" si="1"/>
        <v>WRONG</v>
      </c>
      <c r="G23" s="11" t="s">
        <v>19</v>
      </c>
      <c r="H23" s="13" t="s">
        <v>18</v>
      </c>
      <c r="I23" s="14" t="s">
        <v>929</v>
      </c>
      <c r="J23" s="15">
        <v>18497.0</v>
      </c>
    </row>
    <row r="24" ht="60.0" customHeight="1">
      <c r="A24" s="11">
        <v>21.0</v>
      </c>
      <c r="B24" s="12" t="s">
        <v>117</v>
      </c>
      <c r="C24" s="12" t="s">
        <v>118</v>
      </c>
      <c r="D24" s="12" t="s">
        <v>119</v>
      </c>
      <c r="E24" s="12" t="s">
        <v>120</v>
      </c>
      <c r="F24" s="11" t="str">
        <f t="shared" si="1"/>
        <v>WRONG</v>
      </c>
      <c r="G24" s="11" t="s">
        <v>19</v>
      </c>
      <c r="H24" s="13" t="s">
        <v>18</v>
      </c>
      <c r="I24" s="14" t="s">
        <v>930</v>
      </c>
      <c r="J24" s="15">
        <v>22086.0</v>
      </c>
    </row>
    <row r="25" ht="60.0" customHeight="1">
      <c r="A25" s="11">
        <v>22.0</v>
      </c>
      <c r="B25" s="12" t="s">
        <v>122</v>
      </c>
      <c r="C25" s="12" t="s">
        <v>123</v>
      </c>
      <c r="D25" s="12" t="s">
        <v>124</v>
      </c>
      <c r="E25" s="12" t="s">
        <v>125</v>
      </c>
      <c r="F25" s="11" t="str">
        <f t="shared" si="1"/>
        <v>CORRECT</v>
      </c>
      <c r="G25" s="11" t="s">
        <v>19</v>
      </c>
      <c r="H25" s="13" t="s">
        <v>19</v>
      </c>
      <c r="I25" s="14" t="s">
        <v>931</v>
      </c>
      <c r="J25" s="15">
        <v>18798.0</v>
      </c>
    </row>
    <row r="26" ht="60.0" customHeight="1">
      <c r="A26" s="11">
        <v>23.0</v>
      </c>
      <c r="B26" s="12" t="s">
        <v>127</v>
      </c>
      <c r="C26" s="12" t="s">
        <v>128</v>
      </c>
      <c r="D26" s="12" t="s">
        <v>129</v>
      </c>
      <c r="E26" s="12" t="s">
        <v>130</v>
      </c>
      <c r="F26" s="11" t="str">
        <f t="shared" si="1"/>
        <v>WRONG</v>
      </c>
      <c r="G26" s="11" t="s">
        <v>30</v>
      </c>
      <c r="H26" s="13" t="s">
        <v>18</v>
      </c>
      <c r="I26" s="14" t="s">
        <v>932</v>
      </c>
      <c r="J26" s="15">
        <v>16311.0</v>
      </c>
    </row>
    <row r="27" ht="60.0" customHeight="1">
      <c r="A27" s="11">
        <v>24.0</v>
      </c>
      <c r="B27" s="12" t="s">
        <v>132</v>
      </c>
      <c r="C27" s="12" t="s">
        <v>133</v>
      </c>
      <c r="D27" s="12" t="s">
        <v>134</v>
      </c>
      <c r="E27" s="12" t="s">
        <v>135</v>
      </c>
      <c r="F27" s="11" t="str">
        <f t="shared" si="1"/>
        <v>WRONG</v>
      </c>
      <c r="G27" s="11" t="s">
        <v>18</v>
      </c>
      <c r="H27" s="15" t="s">
        <v>30</v>
      </c>
      <c r="I27" s="14" t="s">
        <v>933</v>
      </c>
      <c r="J27" s="15">
        <v>13894.0</v>
      </c>
    </row>
    <row r="28" ht="60.0" customHeight="1">
      <c r="A28" s="11">
        <v>25.0</v>
      </c>
      <c r="B28" s="12" t="s">
        <v>137</v>
      </c>
      <c r="C28" s="12" t="s">
        <v>133</v>
      </c>
      <c r="D28" s="12" t="s">
        <v>138</v>
      </c>
      <c r="E28" s="12" t="s">
        <v>135</v>
      </c>
      <c r="F28" s="11" t="str">
        <f t="shared" si="1"/>
        <v>CORRECT</v>
      </c>
      <c r="G28" s="11" t="s">
        <v>30</v>
      </c>
      <c r="H28" s="13" t="s">
        <v>30</v>
      </c>
      <c r="I28" s="14" t="s">
        <v>934</v>
      </c>
      <c r="J28" s="15">
        <v>12653.0</v>
      </c>
    </row>
    <row r="29" ht="60.0" customHeight="1">
      <c r="A29" s="11">
        <v>26.0</v>
      </c>
      <c r="B29" s="12" t="s">
        <v>140</v>
      </c>
      <c r="C29" s="12" t="s">
        <v>141</v>
      </c>
      <c r="D29" s="12" t="s">
        <v>142</v>
      </c>
      <c r="E29" s="12" t="s">
        <v>143</v>
      </c>
      <c r="F29" s="11" t="str">
        <f t="shared" si="1"/>
        <v>WRONG</v>
      </c>
      <c r="G29" s="11" t="s">
        <v>18</v>
      </c>
      <c r="H29" s="13" t="s">
        <v>30</v>
      </c>
      <c r="I29" s="14" t="s">
        <v>935</v>
      </c>
      <c r="J29" s="15">
        <v>8395.0</v>
      </c>
    </row>
    <row r="30" ht="60.0" customHeight="1">
      <c r="A30" s="11">
        <v>27.0</v>
      </c>
      <c r="B30" s="12" t="s">
        <v>145</v>
      </c>
      <c r="C30" s="12" t="s">
        <v>146</v>
      </c>
      <c r="D30" s="12" t="s">
        <v>147</v>
      </c>
      <c r="E30" s="12" t="s">
        <v>148</v>
      </c>
      <c r="F30" s="11" t="str">
        <f t="shared" si="1"/>
        <v>CORRECT</v>
      </c>
      <c r="G30" s="11" t="s">
        <v>19</v>
      </c>
      <c r="H30" s="15" t="s">
        <v>19</v>
      </c>
      <c r="I30" s="14" t="s">
        <v>936</v>
      </c>
      <c r="J30" s="15">
        <v>14668.0</v>
      </c>
    </row>
    <row r="31" ht="60.0" customHeight="1">
      <c r="A31" s="11">
        <v>28.0</v>
      </c>
      <c r="B31" s="12" t="s">
        <v>150</v>
      </c>
      <c r="C31" s="12" t="s">
        <v>151</v>
      </c>
      <c r="D31" s="12" t="s">
        <v>152</v>
      </c>
      <c r="E31" s="12" t="s">
        <v>153</v>
      </c>
      <c r="F31" s="11" t="str">
        <f t="shared" si="1"/>
        <v>CORRECT</v>
      </c>
      <c r="G31" s="11" t="s">
        <v>18</v>
      </c>
      <c r="H31" s="13" t="s">
        <v>18</v>
      </c>
      <c r="I31" s="14" t="s">
        <v>937</v>
      </c>
      <c r="J31" s="15">
        <v>19058.0</v>
      </c>
    </row>
    <row r="32" ht="60.0" customHeight="1">
      <c r="A32" s="11">
        <v>29.0</v>
      </c>
      <c r="B32" s="12" t="s">
        <v>155</v>
      </c>
      <c r="C32" s="12" t="s">
        <v>156</v>
      </c>
      <c r="D32" s="12" t="s">
        <v>157</v>
      </c>
      <c r="E32" s="12" t="s">
        <v>158</v>
      </c>
      <c r="F32" s="11" t="str">
        <f t="shared" si="1"/>
        <v>WRONG</v>
      </c>
      <c r="G32" s="11" t="s">
        <v>19</v>
      </c>
      <c r="H32" s="13" t="s">
        <v>18</v>
      </c>
      <c r="I32" s="14" t="s">
        <v>938</v>
      </c>
      <c r="J32" s="15">
        <v>18916.0</v>
      </c>
    </row>
    <row r="33" ht="60.0" customHeight="1">
      <c r="A33" s="11">
        <v>30.0</v>
      </c>
      <c r="B33" s="12" t="s">
        <v>160</v>
      </c>
      <c r="C33" s="12" t="s">
        <v>161</v>
      </c>
      <c r="D33" s="12" t="s">
        <v>162</v>
      </c>
      <c r="E33" s="12" t="s">
        <v>163</v>
      </c>
      <c r="F33" s="11" t="str">
        <f t="shared" si="1"/>
        <v>WRONG</v>
      </c>
      <c r="G33" s="11" t="s">
        <v>30</v>
      </c>
      <c r="H33" s="15" t="s">
        <v>18</v>
      </c>
      <c r="I33" s="14" t="s">
        <v>939</v>
      </c>
      <c r="J33" s="15">
        <v>20925.0</v>
      </c>
    </row>
    <row r="34" ht="60.0" customHeight="1">
      <c r="A34" s="11">
        <v>31.0</v>
      </c>
      <c r="B34" s="12" t="s">
        <v>165</v>
      </c>
      <c r="C34" s="12" t="s">
        <v>166</v>
      </c>
      <c r="D34" s="12" t="s">
        <v>167</v>
      </c>
      <c r="E34" s="12" t="s">
        <v>168</v>
      </c>
      <c r="F34" s="11" t="str">
        <f t="shared" si="1"/>
        <v>WRONG</v>
      </c>
      <c r="G34" s="11" t="s">
        <v>19</v>
      </c>
      <c r="H34" s="13" t="s">
        <v>18</v>
      </c>
      <c r="I34" s="14" t="s">
        <v>940</v>
      </c>
      <c r="J34" s="15">
        <v>20146.0</v>
      </c>
    </row>
    <row r="35" ht="60.0" customHeight="1">
      <c r="A35" s="11">
        <v>32.0</v>
      </c>
      <c r="B35" s="12" t="s">
        <v>170</v>
      </c>
      <c r="C35" s="12" t="s">
        <v>171</v>
      </c>
      <c r="D35" s="12" t="s">
        <v>172</v>
      </c>
      <c r="E35" s="12" t="s">
        <v>173</v>
      </c>
      <c r="F35" s="11" t="str">
        <f t="shared" si="1"/>
        <v>WRONG</v>
      </c>
      <c r="G35" s="11" t="s">
        <v>18</v>
      </c>
      <c r="H35" s="13" t="s">
        <v>19</v>
      </c>
      <c r="I35" s="14" t="s">
        <v>941</v>
      </c>
      <c r="J35" s="15">
        <v>26031.0</v>
      </c>
    </row>
    <row r="36" ht="60.0" customHeight="1">
      <c r="A36" s="11">
        <v>33.0</v>
      </c>
      <c r="B36" s="12" t="s">
        <v>175</v>
      </c>
      <c r="C36" s="12" t="s">
        <v>176</v>
      </c>
      <c r="D36" s="12" t="s">
        <v>177</v>
      </c>
      <c r="E36" s="12" t="s">
        <v>178</v>
      </c>
      <c r="F36" s="11" t="str">
        <f t="shared" si="1"/>
        <v>WRONG</v>
      </c>
      <c r="G36" s="11" t="s">
        <v>30</v>
      </c>
      <c r="H36" s="13" t="s">
        <v>18</v>
      </c>
      <c r="I36" s="14" t="s">
        <v>942</v>
      </c>
      <c r="J36" s="15">
        <v>16322.0</v>
      </c>
    </row>
    <row r="37" ht="60.0" customHeight="1">
      <c r="A37" s="11">
        <v>34.0</v>
      </c>
      <c r="B37" s="12" t="s">
        <v>180</v>
      </c>
      <c r="C37" s="12" t="s">
        <v>181</v>
      </c>
      <c r="D37" s="12" t="s">
        <v>182</v>
      </c>
      <c r="E37" s="12" t="s">
        <v>183</v>
      </c>
      <c r="F37" s="11" t="str">
        <f t="shared" si="1"/>
        <v>CORRECT</v>
      </c>
      <c r="G37" s="11" t="s">
        <v>18</v>
      </c>
      <c r="H37" s="15" t="s">
        <v>18</v>
      </c>
      <c r="I37" s="14" t="s">
        <v>943</v>
      </c>
      <c r="J37" s="15">
        <v>17443.0</v>
      </c>
    </row>
    <row r="38" ht="60.0" customHeight="1">
      <c r="A38" s="11">
        <v>35.0</v>
      </c>
      <c r="B38" s="12" t="s">
        <v>185</v>
      </c>
      <c r="C38" s="12" t="s">
        <v>186</v>
      </c>
      <c r="D38" s="12" t="s">
        <v>187</v>
      </c>
      <c r="E38" s="12" t="s">
        <v>188</v>
      </c>
      <c r="F38" s="11" t="str">
        <f t="shared" si="1"/>
        <v>WRONG</v>
      </c>
      <c r="G38" s="11" t="s">
        <v>30</v>
      </c>
      <c r="H38" s="15" t="s">
        <v>19</v>
      </c>
      <c r="I38" s="14" t="s">
        <v>944</v>
      </c>
      <c r="J38" s="15">
        <v>18843.0</v>
      </c>
    </row>
    <row r="39" ht="60.0" customHeight="1">
      <c r="A39" s="11">
        <v>36.0</v>
      </c>
      <c r="B39" s="12" t="s">
        <v>190</v>
      </c>
      <c r="C39" s="12" t="s">
        <v>191</v>
      </c>
      <c r="D39" s="12" t="s">
        <v>192</v>
      </c>
      <c r="E39" s="12" t="s">
        <v>193</v>
      </c>
      <c r="F39" s="11" t="str">
        <f t="shared" si="1"/>
        <v>WRONG</v>
      </c>
      <c r="G39" s="11" t="s">
        <v>18</v>
      </c>
      <c r="H39" s="15" t="s">
        <v>925</v>
      </c>
      <c r="I39" s="14" t="s">
        <v>945</v>
      </c>
      <c r="J39" s="15">
        <v>17928.0</v>
      </c>
    </row>
    <row r="40" ht="60.0" customHeight="1">
      <c r="A40" s="11">
        <v>37.0</v>
      </c>
      <c r="B40" s="12" t="s">
        <v>195</v>
      </c>
      <c r="C40" s="12" t="s">
        <v>196</v>
      </c>
      <c r="D40" s="12" t="s">
        <v>197</v>
      </c>
      <c r="E40" s="12" t="s">
        <v>198</v>
      </c>
      <c r="F40" s="11" t="str">
        <f t="shared" si="1"/>
        <v>WRONG</v>
      </c>
      <c r="G40" s="11" t="s">
        <v>18</v>
      </c>
      <c r="H40" s="15" t="s">
        <v>19</v>
      </c>
      <c r="I40" s="14" t="s">
        <v>946</v>
      </c>
      <c r="J40" s="15">
        <v>15317.0</v>
      </c>
    </row>
    <row r="41" ht="60.0" customHeight="1">
      <c r="A41" s="11">
        <v>38.0</v>
      </c>
      <c r="B41" s="12" t="s">
        <v>200</v>
      </c>
      <c r="C41" s="12" t="s">
        <v>201</v>
      </c>
      <c r="D41" s="12" t="s">
        <v>202</v>
      </c>
      <c r="E41" s="12" t="s">
        <v>203</v>
      </c>
      <c r="F41" s="11" t="str">
        <f t="shared" si="1"/>
        <v>CORRECT</v>
      </c>
      <c r="G41" s="11" t="s">
        <v>18</v>
      </c>
      <c r="H41" s="15" t="s">
        <v>18</v>
      </c>
      <c r="I41" s="14" t="s">
        <v>947</v>
      </c>
      <c r="J41" s="15">
        <v>17554.0</v>
      </c>
    </row>
    <row r="42" ht="60.0" customHeight="1">
      <c r="A42" s="11">
        <v>39.0</v>
      </c>
      <c r="B42" s="12" t="s">
        <v>205</v>
      </c>
      <c r="C42" s="12" t="s">
        <v>206</v>
      </c>
      <c r="D42" s="12" t="s">
        <v>207</v>
      </c>
      <c r="E42" s="12" t="s">
        <v>208</v>
      </c>
      <c r="F42" s="11" t="str">
        <f t="shared" si="1"/>
        <v>WRONG</v>
      </c>
      <c r="G42" s="11" t="s">
        <v>19</v>
      </c>
      <c r="H42" s="15" t="s">
        <v>30</v>
      </c>
      <c r="I42" s="14" t="s">
        <v>948</v>
      </c>
      <c r="J42" s="15">
        <v>21061.0</v>
      </c>
    </row>
    <row r="43" ht="60.0" customHeight="1">
      <c r="A43" s="11">
        <v>40.0</v>
      </c>
      <c r="B43" s="12" t="s">
        <v>210</v>
      </c>
      <c r="C43" s="12" t="s">
        <v>211</v>
      </c>
      <c r="D43" s="12" t="s">
        <v>212</v>
      </c>
      <c r="E43" s="12" t="s">
        <v>213</v>
      </c>
      <c r="F43" s="11" t="str">
        <f t="shared" si="1"/>
        <v>WRONG</v>
      </c>
      <c r="G43" s="11" t="s">
        <v>30</v>
      </c>
      <c r="H43" s="13" t="s">
        <v>19</v>
      </c>
      <c r="I43" s="14" t="s">
        <v>949</v>
      </c>
      <c r="J43" s="15">
        <v>16210.0</v>
      </c>
    </row>
    <row r="44" ht="60.0" customHeight="1">
      <c r="A44" s="11">
        <v>41.0</v>
      </c>
      <c r="B44" s="12" t="s">
        <v>215</v>
      </c>
      <c r="C44" s="12" t="s">
        <v>216</v>
      </c>
      <c r="D44" s="12" t="s">
        <v>217</v>
      </c>
      <c r="E44" s="12" t="s">
        <v>218</v>
      </c>
      <c r="F44" s="11" t="str">
        <f t="shared" si="1"/>
        <v>CORRECT</v>
      </c>
      <c r="G44" s="11" t="s">
        <v>19</v>
      </c>
      <c r="H44" s="15" t="s">
        <v>19</v>
      </c>
      <c r="I44" s="14" t="s">
        <v>950</v>
      </c>
      <c r="J44" s="15">
        <v>15515.0</v>
      </c>
    </row>
    <row r="45" ht="60.0" customHeight="1">
      <c r="A45" s="11">
        <v>42.0</v>
      </c>
      <c r="B45" s="12" t="s">
        <v>220</v>
      </c>
      <c r="C45" s="12" t="s">
        <v>221</v>
      </c>
      <c r="D45" s="12" t="s">
        <v>222</v>
      </c>
      <c r="E45" s="12" t="s">
        <v>223</v>
      </c>
      <c r="F45" s="11" t="str">
        <f t="shared" si="1"/>
        <v>WRONG</v>
      </c>
      <c r="G45" s="11" t="s">
        <v>18</v>
      </c>
      <c r="H45" s="15" t="s">
        <v>19</v>
      </c>
      <c r="I45" s="14" t="s">
        <v>951</v>
      </c>
      <c r="J45" s="15">
        <v>17280.0</v>
      </c>
    </row>
    <row r="46" ht="60.0" customHeight="1">
      <c r="A46" s="11">
        <v>43.0</v>
      </c>
      <c r="B46" s="12" t="s">
        <v>225</v>
      </c>
      <c r="C46" s="12" t="s">
        <v>226</v>
      </c>
      <c r="D46" s="12" t="s">
        <v>227</v>
      </c>
      <c r="E46" s="12" t="s">
        <v>228</v>
      </c>
      <c r="F46" s="11" t="str">
        <f t="shared" si="1"/>
        <v>WRONG</v>
      </c>
      <c r="G46" s="11" t="s">
        <v>30</v>
      </c>
      <c r="H46" s="13" t="s">
        <v>18</v>
      </c>
      <c r="I46" s="14" t="s">
        <v>952</v>
      </c>
      <c r="J46" s="15">
        <v>22361.0</v>
      </c>
    </row>
    <row r="47" ht="60.0" customHeight="1">
      <c r="A47" s="11">
        <v>44.0</v>
      </c>
      <c r="B47" s="12" t="s">
        <v>230</v>
      </c>
      <c r="C47" s="12" t="s">
        <v>231</v>
      </c>
      <c r="D47" s="12" t="s">
        <v>232</v>
      </c>
      <c r="E47" s="12" t="s">
        <v>233</v>
      </c>
      <c r="F47" s="11" t="str">
        <f t="shared" si="1"/>
        <v>WRONG</v>
      </c>
      <c r="G47" s="11" t="s">
        <v>18</v>
      </c>
      <c r="H47" s="13" t="s">
        <v>30</v>
      </c>
      <c r="I47" s="14" t="s">
        <v>953</v>
      </c>
      <c r="J47" s="15">
        <v>15439.0</v>
      </c>
    </row>
    <row r="48" ht="60.0" customHeight="1">
      <c r="A48" s="11">
        <v>45.0</v>
      </c>
      <c r="B48" s="12" t="s">
        <v>235</v>
      </c>
      <c r="C48" s="12" t="s">
        <v>236</v>
      </c>
      <c r="D48" s="12" t="s">
        <v>237</v>
      </c>
      <c r="E48" s="12" t="s">
        <v>238</v>
      </c>
      <c r="F48" s="11" t="str">
        <f t="shared" si="1"/>
        <v>CORRECT</v>
      </c>
      <c r="G48" s="11" t="s">
        <v>18</v>
      </c>
      <c r="H48" s="15" t="s">
        <v>18</v>
      </c>
      <c r="I48" s="14" t="s">
        <v>954</v>
      </c>
      <c r="J48" s="15">
        <v>19838.0</v>
      </c>
    </row>
    <row r="49" ht="60.0" customHeight="1">
      <c r="A49" s="11">
        <v>46.0</v>
      </c>
      <c r="B49" s="12" t="s">
        <v>240</v>
      </c>
      <c r="C49" s="12" t="s">
        <v>22</v>
      </c>
      <c r="D49" s="12" t="s">
        <v>241</v>
      </c>
      <c r="E49" s="12" t="s">
        <v>242</v>
      </c>
      <c r="F49" s="11" t="str">
        <f t="shared" si="1"/>
        <v>CORRECT</v>
      </c>
      <c r="G49" s="11" t="s">
        <v>18</v>
      </c>
      <c r="H49" s="15" t="s">
        <v>18</v>
      </c>
      <c r="I49" s="14" t="s">
        <v>955</v>
      </c>
      <c r="J49" s="15">
        <v>18811.0</v>
      </c>
    </row>
    <row r="50">
      <c r="A50" s="16" t="s">
        <v>244</v>
      </c>
      <c r="B50" s="2"/>
      <c r="C50" s="2"/>
      <c r="D50" s="2"/>
      <c r="E50" s="3"/>
      <c r="F50" s="17">
        <f>COUNTIFS(F4:F49,"CORRECT")</f>
        <v>18</v>
      </c>
      <c r="G50" s="18"/>
      <c r="H50" s="18"/>
      <c r="J50" s="19">
        <f>AVERAGE(J4:J49)</f>
        <v>18096.02174</v>
      </c>
    </row>
    <row r="51">
      <c r="A51" s="20" t="s">
        <v>245</v>
      </c>
      <c r="B51" s="2"/>
      <c r="C51" s="2"/>
      <c r="D51" s="2"/>
      <c r="E51" s="3"/>
      <c r="F51" s="21">
        <v>46.0</v>
      </c>
      <c r="G51" s="18"/>
      <c r="H51" s="18"/>
    </row>
    <row r="52">
      <c r="A52" s="16" t="s">
        <v>246</v>
      </c>
      <c r="B52" s="2"/>
      <c r="C52" s="2"/>
      <c r="D52" s="2"/>
      <c r="E52" s="3"/>
      <c r="F52" s="22">
        <f>F50/F51</f>
        <v>0.3913043478</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1" t="s">
        <v>0</v>
      </c>
      <c r="B1" s="2"/>
      <c r="C1" s="2"/>
      <c r="D1" s="2"/>
      <c r="E1" s="2"/>
      <c r="F1" s="2"/>
      <c r="G1" s="2"/>
      <c r="H1" s="2"/>
      <c r="I1" s="3"/>
      <c r="J1" s="4"/>
      <c r="K1" s="4"/>
      <c r="L1" s="4"/>
      <c r="M1" s="4"/>
      <c r="N1" s="4"/>
      <c r="O1" s="4"/>
      <c r="P1" s="4"/>
      <c r="Q1" s="4"/>
      <c r="R1" s="4"/>
      <c r="S1" s="4"/>
      <c r="T1" s="4"/>
      <c r="U1" s="4"/>
      <c r="V1" s="4"/>
      <c r="W1" s="4"/>
      <c r="X1" s="4"/>
      <c r="Y1" s="4"/>
      <c r="Z1" s="4"/>
      <c r="AA1" s="4"/>
    </row>
    <row r="2">
      <c r="A2" s="5" t="s">
        <v>1</v>
      </c>
      <c r="B2" s="6" t="s">
        <v>380</v>
      </c>
      <c r="C2" s="7"/>
      <c r="D2" s="7"/>
      <c r="E2" s="7"/>
      <c r="F2" s="7"/>
      <c r="G2" s="7"/>
      <c r="H2" s="8"/>
      <c r="I2" s="9" t="s">
        <v>956</v>
      </c>
      <c r="J2" s="3"/>
      <c r="K2" s="4"/>
      <c r="L2" s="4"/>
      <c r="M2" s="4"/>
      <c r="N2" s="4"/>
      <c r="O2" s="4"/>
      <c r="P2" s="4"/>
      <c r="Q2" s="4"/>
      <c r="R2" s="4"/>
      <c r="S2" s="4"/>
      <c r="T2" s="4"/>
      <c r="U2" s="4"/>
      <c r="V2" s="4"/>
      <c r="W2" s="4"/>
      <c r="X2" s="4"/>
      <c r="Y2" s="4"/>
      <c r="Z2" s="4"/>
      <c r="AA2" s="4"/>
    </row>
    <row r="3">
      <c r="A3" s="5" t="s">
        <v>4</v>
      </c>
      <c r="B3" s="5" t="s">
        <v>5</v>
      </c>
      <c r="C3" s="5" t="s">
        <v>6</v>
      </c>
      <c r="D3" s="5" t="s">
        <v>7</v>
      </c>
      <c r="E3" s="5" t="s">
        <v>8</v>
      </c>
      <c r="F3" s="5" t="s">
        <v>9</v>
      </c>
      <c r="G3" s="5" t="s">
        <v>10</v>
      </c>
      <c r="H3" s="5" t="s">
        <v>11</v>
      </c>
      <c r="I3" s="10" t="s">
        <v>12</v>
      </c>
      <c r="J3" s="10" t="s">
        <v>13</v>
      </c>
      <c r="K3" s="4"/>
      <c r="L3" s="4"/>
      <c r="M3" s="4"/>
      <c r="N3" s="4"/>
      <c r="O3" s="4"/>
      <c r="P3" s="4"/>
      <c r="Q3" s="4"/>
      <c r="R3" s="4"/>
      <c r="S3" s="4"/>
      <c r="T3" s="4"/>
      <c r="U3" s="4"/>
      <c r="V3" s="4"/>
      <c r="W3" s="4"/>
      <c r="X3" s="4"/>
      <c r="Y3" s="4"/>
      <c r="Z3" s="4"/>
      <c r="AA3" s="4"/>
    </row>
    <row r="4" ht="60.0" customHeight="1">
      <c r="A4" s="11">
        <v>1.0</v>
      </c>
      <c r="B4" s="12" t="s">
        <v>14</v>
      </c>
      <c r="C4" s="12" t="s">
        <v>15</v>
      </c>
      <c r="D4" s="12" t="s">
        <v>16</v>
      </c>
      <c r="E4" s="12" t="s">
        <v>17</v>
      </c>
      <c r="F4" s="11" t="str">
        <f t="shared" ref="F4:F49" si="1">IF(G4=H4,"CORRECT","WRONG")</f>
        <v>WRONG</v>
      </c>
      <c r="G4" s="11" t="s">
        <v>18</v>
      </c>
      <c r="H4" s="13" t="s">
        <v>19</v>
      </c>
      <c r="I4" s="14" t="s">
        <v>957</v>
      </c>
      <c r="J4" s="15">
        <v>17967.0</v>
      </c>
    </row>
    <row r="5" ht="60.0" customHeight="1">
      <c r="A5" s="11">
        <v>2.0</v>
      </c>
      <c r="B5" s="12" t="s">
        <v>21</v>
      </c>
      <c r="C5" s="12" t="s">
        <v>22</v>
      </c>
      <c r="D5" s="12" t="s">
        <v>23</v>
      </c>
      <c r="E5" s="12" t="s">
        <v>24</v>
      </c>
      <c r="F5" s="11" t="str">
        <f t="shared" si="1"/>
        <v>CORRECT</v>
      </c>
      <c r="G5" s="11" t="s">
        <v>19</v>
      </c>
      <c r="H5" s="13" t="s">
        <v>19</v>
      </c>
      <c r="I5" s="14" t="s">
        <v>958</v>
      </c>
      <c r="J5" s="15">
        <v>21567.0</v>
      </c>
    </row>
    <row r="6" ht="60.0" customHeight="1">
      <c r="A6" s="11">
        <v>3.0</v>
      </c>
      <c r="B6" s="12" t="s">
        <v>26</v>
      </c>
      <c r="C6" s="12" t="s">
        <v>27</v>
      </c>
      <c r="D6" s="12" t="s">
        <v>28</v>
      </c>
      <c r="E6" s="12" t="s">
        <v>29</v>
      </c>
      <c r="F6" s="11" t="str">
        <f t="shared" si="1"/>
        <v>CORRECT</v>
      </c>
      <c r="G6" s="11" t="s">
        <v>30</v>
      </c>
      <c r="H6" s="15" t="s">
        <v>30</v>
      </c>
      <c r="I6" s="14" t="s">
        <v>959</v>
      </c>
      <c r="J6" s="15">
        <v>18514.0</v>
      </c>
    </row>
    <row r="7" ht="60.0" customHeight="1">
      <c r="A7" s="11">
        <v>4.0</v>
      </c>
      <c r="B7" s="12" t="s">
        <v>32</v>
      </c>
      <c r="C7" s="12" t="s">
        <v>33</v>
      </c>
      <c r="D7" s="12" t="s">
        <v>34</v>
      </c>
      <c r="E7" s="12" t="s">
        <v>35</v>
      </c>
      <c r="F7" s="11" t="str">
        <f t="shared" si="1"/>
        <v>CORRECT</v>
      </c>
      <c r="G7" s="11" t="s">
        <v>19</v>
      </c>
      <c r="H7" s="13" t="s">
        <v>19</v>
      </c>
      <c r="I7" s="14" t="s">
        <v>960</v>
      </c>
      <c r="J7" s="15">
        <v>14761.0</v>
      </c>
    </row>
    <row r="8" ht="60.0" customHeight="1">
      <c r="A8" s="11">
        <v>5.0</v>
      </c>
      <c r="B8" s="12" t="s">
        <v>37</v>
      </c>
      <c r="C8" s="12" t="s">
        <v>38</v>
      </c>
      <c r="D8" s="12" t="s">
        <v>39</v>
      </c>
      <c r="E8" s="12" t="s">
        <v>40</v>
      </c>
      <c r="F8" s="11" t="str">
        <f t="shared" si="1"/>
        <v>CORRECT</v>
      </c>
      <c r="G8" s="11" t="s">
        <v>30</v>
      </c>
      <c r="H8" s="13" t="s">
        <v>30</v>
      </c>
      <c r="I8" s="14" t="s">
        <v>961</v>
      </c>
      <c r="J8" s="15">
        <v>24631.0</v>
      </c>
    </row>
    <row r="9" ht="60.0" customHeight="1">
      <c r="A9" s="11">
        <v>6.0</v>
      </c>
      <c r="B9" s="12" t="s">
        <v>42</v>
      </c>
      <c r="C9" s="12" t="s">
        <v>43</v>
      </c>
      <c r="D9" s="12" t="s">
        <v>44</v>
      </c>
      <c r="E9" s="12" t="s">
        <v>45</v>
      </c>
      <c r="F9" s="11" t="str">
        <f t="shared" si="1"/>
        <v>CORRECT</v>
      </c>
      <c r="G9" s="11" t="s">
        <v>19</v>
      </c>
      <c r="H9" s="13" t="s">
        <v>19</v>
      </c>
      <c r="I9" s="14" t="s">
        <v>962</v>
      </c>
      <c r="J9" s="15">
        <v>18622.0</v>
      </c>
    </row>
    <row r="10" ht="60.0" customHeight="1">
      <c r="A10" s="11">
        <v>7.0</v>
      </c>
      <c r="B10" s="12" t="s">
        <v>47</v>
      </c>
      <c r="C10" s="12" t="s">
        <v>48</v>
      </c>
      <c r="D10" s="12" t="s">
        <v>49</v>
      </c>
      <c r="E10" s="12" t="s">
        <v>50</v>
      </c>
      <c r="F10" s="11" t="str">
        <f t="shared" si="1"/>
        <v>WRONG</v>
      </c>
      <c r="G10" s="11" t="s">
        <v>19</v>
      </c>
      <c r="H10" s="13" t="s">
        <v>18</v>
      </c>
      <c r="I10" s="14" t="s">
        <v>963</v>
      </c>
      <c r="J10" s="15">
        <v>15579.0</v>
      </c>
    </row>
    <row r="11" ht="60.0" customHeight="1">
      <c r="A11" s="11">
        <v>8.0</v>
      </c>
      <c r="B11" s="12" t="s">
        <v>52</v>
      </c>
      <c r="C11" s="12" t="s">
        <v>53</v>
      </c>
      <c r="D11" s="12" t="s">
        <v>54</v>
      </c>
      <c r="E11" s="12" t="s">
        <v>55</v>
      </c>
      <c r="F11" s="11" t="str">
        <f t="shared" si="1"/>
        <v>WRONG</v>
      </c>
      <c r="G11" s="11" t="s">
        <v>30</v>
      </c>
      <c r="H11" s="15" t="s">
        <v>19</v>
      </c>
      <c r="I11" s="14" t="s">
        <v>964</v>
      </c>
      <c r="J11" s="15">
        <v>29850.0</v>
      </c>
    </row>
    <row r="12" ht="60.0" customHeight="1">
      <c r="A12" s="11">
        <v>9.0</v>
      </c>
      <c r="B12" s="12" t="s">
        <v>57</v>
      </c>
      <c r="C12" s="12" t="s">
        <v>58</v>
      </c>
      <c r="D12" s="12" t="s">
        <v>59</v>
      </c>
      <c r="E12" s="12" t="s">
        <v>60</v>
      </c>
      <c r="F12" s="11" t="str">
        <f t="shared" si="1"/>
        <v>CORRECT</v>
      </c>
      <c r="G12" s="11" t="s">
        <v>19</v>
      </c>
      <c r="H12" s="15" t="s">
        <v>19</v>
      </c>
      <c r="I12" s="14" t="s">
        <v>965</v>
      </c>
      <c r="J12" s="15">
        <v>19566.0</v>
      </c>
    </row>
    <row r="13" ht="60.0" customHeight="1">
      <c r="A13" s="11">
        <v>10.0</v>
      </c>
      <c r="B13" s="12" t="s">
        <v>62</v>
      </c>
      <c r="C13" s="12" t="s">
        <v>63</v>
      </c>
      <c r="D13" s="12" t="s">
        <v>64</v>
      </c>
      <c r="E13" s="12" t="s">
        <v>65</v>
      </c>
      <c r="F13" s="11" t="str">
        <f t="shared" si="1"/>
        <v>WRONG</v>
      </c>
      <c r="G13" s="11" t="s">
        <v>30</v>
      </c>
      <c r="H13" s="15" t="s">
        <v>19</v>
      </c>
      <c r="I13" s="14" t="s">
        <v>966</v>
      </c>
      <c r="J13" s="15">
        <v>18762.0</v>
      </c>
    </row>
    <row r="14" ht="60.0" customHeight="1">
      <c r="A14" s="11">
        <v>11.0</v>
      </c>
      <c r="B14" s="12" t="s">
        <v>67</v>
      </c>
      <c r="C14" s="12" t="s">
        <v>68</v>
      </c>
      <c r="D14" s="12" t="s">
        <v>69</v>
      </c>
      <c r="E14" s="12" t="s">
        <v>70</v>
      </c>
      <c r="F14" s="11" t="str">
        <f t="shared" si="1"/>
        <v>CORRECT</v>
      </c>
      <c r="G14" s="11" t="s">
        <v>19</v>
      </c>
      <c r="H14" s="13" t="s">
        <v>19</v>
      </c>
      <c r="I14" s="14" t="s">
        <v>967</v>
      </c>
      <c r="J14" s="15">
        <v>20526.0</v>
      </c>
    </row>
    <row r="15" ht="60.0" customHeight="1">
      <c r="A15" s="11">
        <v>12.0</v>
      </c>
      <c r="B15" s="12" t="s">
        <v>72</v>
      </c>
      <c r="C15" s="12" t="s">
        <v>73</v>
      </c>
      <c r="D15" s="12" t="s">
        <v>74</v>
      </c>
      <c r="E15" s="12" t="s">
        <v>75</v>
      </c>
      <c r="F15" s="11" t="str">
        <f t="shared" si="1"/>
        <v>CORRECT</v>
      </c>
      <c r="G15" s="11" t="s">
        <v>30</v>
      </c>
      <c r="H15" s="13" t="s">
        <v>30</v>
      </c>
      <c r="I15" s="14" t="s">
        <v>968</v>
      </c>
      <c r="J15" s="15">
        <v>17612.0</v>
      </c>
    </row>
    <row r="16" ht="60.0" customHeight="1">
      <c r="A16" s="11">
        <v>13.0</v>
      </c>
      <c r="B16" s="12" t="s">
        <v>77</v>
      </c>
      <c r="C16" s="12" t="s">
        <v>78</v>
      </c>
      <c r="D16" s="12" t="s">
        <v>79</v>
      </c>
      <c r="E16" s="12" t="s">
        <v>80</v>
      </c>
      <c r="F16" s="11" t="str">
        <f t="shared" si="1"/>
        <v>WRONG</v>
      </c>
      <c r="G16" s="11" t="s">
        <v>18</v>
      </c>
      <c r="H16" s="13" t="s">
        <v>776</v>
      </c>
      <c r="I16" s="24" t="s">
        <v>969</v>
      </c>
      <c r="J16" s="15">
        <v>17025.0</v>
      </c>
    </row>
    <row r="17" ht="60.0" customHeight="1">
      <c r="A17" s="11">
        <v>14.0</v>
      </c>
      <c r="B17" s="12" t="s">
        <v>82</v>
      </c>
      <c r="C17" s="12" t="s">
        <v>83</v>
      </c>
      <c r="D17" s="12" t="s">
        <v>84</v>
      </c>
      <c r="E17" s="12" t="s">
        <v>85</v>
      </c>
      <c r="F17" s="11" t="str">
        <f t="shared" si="1"/>
        <v>WRONG</v>
      </c>
      <c r="G17" s="11" t="s">
        <v>18</v>
      </c>
      <c r="H17" s="13" t="s">
        <v>19</v>
      </c>
      <c r="I17" s="14" t="s">
        <v>970</v>
      </c>
      <c r="J17" s="15">
        <v>12961.0</v>
      </c>
    </row>
    <row r="18" ht="60.0" customHeight="1">
      <c r="A18" s="11">
        <v>15.0</v>
      </c>
      <c r="B18" s="12" t="s">
        <v>87</v>
      </c>
      <c r="C18" s="12" t="s">
        <v>88</v>
      </c>
      <c r="D18" s="12" t="s">
        <v>89</v>
      </c>
      <c r="E18" s="12" t="s">
        <v>90</v>
      </c>
      <c r="F18" s="11" t="str">
        <f t="shared" si="1"/>
        <v>CORRECT</v>
      </c>
      <c r="G18" s="11" t="s">
        <v>30</v>
      </c>
      <c r="H18" s="13" t="s">
        <v>30</v>
      </c>
      <c r="I18" s="14" t="s">
        <v>971</v>
      </c>
      <c r="J18" s="15">
        <v>21882.0</v>
      </c>
    </row>
    <row r="19" ht="60.0" customHeight="1">
      <c r="A19" s="11">
        <v>16.0</v>
      </c>
      <c r="B19" s="12" t="s">
        <v>92</v>
      </c>
      <c r="C19" s="12" t="s">
        <v>93</v>
      </c>
      <c r="D19" s="12" t="s">
        <v>94</v>
      </c>
      <c r="E19" s="12" t="s">
        <v>95</v>
      </c>
      <c r="F19" s="11" t="str">
        <f t="shared" si="1"/>
        <v>CORRECT</v>
      </c>
      <c r="G19" s="11" t="s">
        <v>30</v>
      </c>
      <c r="H19" s="13" t="s">
        <v>30</v>
      </c>
      <c r="I19" s="14" t="s">
        <v>972</v>
      </c>
      <c r="J19" s="15">
        <v>14687.0</v>
      </c>
    </row>
    <row r="20" ht="60.0" customHeight="1">
      <c r="A20" s="11">
        <v>17.0</v>
      </c>
      <c r="B20" s="12" t="s">
        <v>97</v>
      </c>
      <c r="C20" s="12" t="s">
        <v>98</v>
      </c>
      <c r="D20" s="12" t="s">
        <v>99</v>
      </c>
      <c r="E20" s="12" t="s">
        <v>100</v>
      </c>
      <c r="F20" s="11" t="str">
        <f t="shared" si="1"/>
        <v>WRONG</v>
      </c>
      <c r="G20" s="11" t="s">
        <v>19</v>
      </c>
      <c r="H20" s="13" t="s">
        <v>18</v>
      </c>
      <c r="I20" s="14" t="s">
        <v>973</v>
      </c>
      <c r="J20" s="15">
        <v>16788.0</v>
      </c>
    </row>
    <row r="21" ht="60.0" customHeight="1">
      <c r="A21" s="11">
        <v>18.0</v>
      </c>
      <c r="B21" s="12" t="s">
        <v>102</v>
      </c>
      <c r="C21" s="12" t="s">
        <v>103</v>
      </c>
      <c r="D21" s="12" t="s">
        <v>104</v>
      </c>
      <c r="E21" s="12" t="s">
        <v>105</v>
      </c>
      <c r="F21" s="11" t="str">
        <f t="shared" si="1"/>
        <v>CORRECT</v>
      </c>
      <c r="G21" s="11" t="s">
        <v>19</v>
      </c>
      <c r="H21" s="13" t="s">
        <v>19</v>
      </c>
      <c r="I21" s="14" t="s">
        <v>974</v>
      </c>
      <c r="J21" s="15">
        <v>11885.0</v>
      </c>
    </row>
    <row r="22" ht="60.0" customHeight="1">
      <c r="A22" s="11">
        <v>19.0</v>
      </c>
      <c r="B22" s="12" t="s">
        <v>107</v>
      </c>
      <c r="C22" s="12" t="s">
        <v>108</v>
      </c>
      <c r="D22" s="12" t="s">
        <v>109</v>
      </c>
      <c r="E22" s="12" t="s">
        <v>110</v>
      </c>
      <c r="F22" s="11" t="str">
        <f t="shared" si="1"/>
        <v>WRONG</v>
      </c>
      <c r="G22" s="11" t="s">
        <v>18</v>
      </c>
      <c r="H22" s="13" t="s">
        <v>776</v>
      </c>
      <c r="I22" s="24" t="s">
        <v>975</v>
      </c>
      <c r="J22" s="15">
        <v>18932.0</v>
      </c>
    </row>
    <row r="23" ht="60.0" customHeight="1">
      <c r="A23" s="11">
        <v>20.0</v>
      </c>
      <c r="B23" s="12" t="s">
        <v>112</v>
      </c>
      <c r="C23" s="12" t="s">
        <v>113</v>
      </c>
      <c r="D23" s="12" t="s">
        <v>114</v>
      </c>
      <c r="E23" s="12" t="s">
        <v>115</v>
      </c>
      <c r="F23" s="11" t="str">
        <f t="shared" si="1"/>
        <v>WRONG</v>
      </c>
      <c r="G23" s="11" t="s">
        <v>19</v>
      </c>
      <c r="H23" s="13" t="s">
        <v>18</v>
      </c>
      <c r="I23" s="14" t="s">
        <v>976</v>
      </c>
      <c r="J23" s="15">
        <v>18497.0</v>
      </c>
    </row>
    <row r="24" ht="60.0" customHeight="1">
      <c r="A24" s="11">
        <v>21.0</v>
      </c>
      <c r="B24" s="12" t="s">
        <v>117</v>
      </c>
      <c r="C24" s="12" t="s">
        <v>118</v>
      </c>
      <c r="D24" s="12" t="s">
        <v>119</v>
      </c>
      <c r="E24" s="12" t="s">
        <v>120</v>
      </c>
      <c r="F24" s="11" t="str">
        <f t="shared" si="1"/>
        <v>WRONG</v>
      </c>
      <c r="G24" s="11" t="s">
        <v>19</v>
      </c>
      <c r="H24" s="13" t="s">
        <v>18</v>
      </c>
      <c r="I24" s="14" t="s">
        <v>977</v>
      </c>
      <c r="J24" s="15">
        <v>22086.0</v>
      </c>
    </row>
    <row r="25" ht="60.0" customHeight="1">
      <c r="A25" s="11">
        <v>22.0</v>
      </c>
      <c r="B25" s="12" t="s">
        <v>122</v>
      </c>
      <c r="C25" s="12" t="s">
        <v>123</v>
      </c>
      <c r="D25" s="12" t="s">
        <v>124</v>
      </c>
      <c r="E25" s="12" t="s">
        <v>125</v>
      </c>
      <c r="F25" s="11" t="str">
        <f t="shared" si="1"/>
        <v>WRONG</v>
      </c>
      <c r="G25" s="11" t="s">
        <v>19</v>
      </c>
      <c r="H25" s="13" t="s">
        <v>30</v>
      </c>
      <c r="I25" s="14" t="s">
        <v>978</v>
      </c>
      <c r="J25" s="15">
        <v>18798.0</v>
      </c>
    </row>
    <row r="26" ht="60.0" customHeight="1">
      <c r="A26" s="11">
        <v>23.0</v>
      </c>
      <c r="B26" s="12" t="s">
        <v>127</v>
      </c>
      <c r="C26" s="12" t="s">
        <v>128</v>
      </c>
      <c r="D26" s="12" t="s">
        <v>129</v>
      </c>
      <c r="E26" s="12" t="s">
        <v>130</v>
      </c>
      <c r="F26" s="11" t="str">
        <f t="shared" si="1"/>
        <v>CORRECT</v>
      </c>
      <c r="G26" s="11" t="s">
        <v>30</v>
      </c>
      <c r="H26" s="13" t="s">
        <v>30</v>
      </c>
      <c r="I26" s="14" t="s">
        <v>979</v>
      </c>
      <c r="J26" s="15">
        <v>16311.0</v>
      </c>
    </row>
    <row r="27" ht="60.0" customHeight="1">
      <c r="A27" s="11">
        <v>24.0</v>
      </c>
      <c r="B27" s="12" t="s">
        <v>132</v>
      </c>
      <c r="C27" s="12" t="s">
        <v>133</v>
      </c>
      <c r="D27" s="12" t="s">
        <v>134</v>
      </c>
      <c r="E27" s="12" t="s">
        <v>135</v>
      </c>
      <c r="F27" s="11" t="str">
        <f t="shared" si="1"/>
        <v>WRONG</v>
      </c>
      <c r="G27" s="11" t="s">
        <v>18</v>
      </c>
      <c r="H27" s="13" t="s">
        <v>30</v>
      </c>
      <c r="I27" s="14" t="s">
        <v>980</v>
      </c>
      <c r="J27" s="15">
        <v>13894.0</v>
      </c>
    </row>
    <row r="28" ht="60.0" customHeight="1">
      <c r="A28" s="11">
        <v>25.0</v>
      </c>
      <c r="B28" s="12" t="s">
        <v>137</v>
      </c>
      <c r="C28" s="12" t="s">
        <v>133</v>
      </c>
      <c r="D28" s="12" t="s">
        <v>138</v>
      </c>
      <c r="E28" s="12" t="s">
        <v>135</v>
      </c>
      <c r="F28" s="11" t="str">
        <f t="shared" si="1"/>
        <v>CORRECT</v>
      </c>
      <c r="G28" s="11" t="s">
        <v>30</v>
      </c>
      <c r="H28" s="13" t="s">
        <v>30</v>
      </c>
      <c r="I28" s="14" t="s">
        <v>981</v>
      </c>
      <c r="J28" s="15">
        <v>12653.0</v>
      </c>
    </row>
    <row r="29" ht="60.0" customHeight="1">
      <c r="A29" s="11">
        <v>26.0</v>
      </c>
      <c r="B29" s="12" t="s">
        <v>140</v>
      </c>
      <c r="C29" s="12" t="s">
        <v>141</v>
      </c>
      <c r="D29" s="12" t="s">
        <v>142</v>
      </c>
      <c r="E29" s="12" t="s">
        <v>143</v>
      </c>
      <c r="F29" s="11" t="str">
        <f t="shared" si="1"/>
        <v>WRONG</v>
      </c>
      <c r="G29" s="11" t="s">
        <v>18</v>
      </c>
      <c r="H29" s="13" t="s">
        <v>19</v>
      </c>
      <c r="I29" s="14" t="s">
        <v>982</v>
      </c>
      <c r="J29" s="15">
        <v>8395.0</v>
      </c>
    </row>
    <row r="30" ht="60.0" customHeight="1">
      <c r="A30" s="11">
        <v>27.0</v>
      </c>
      <c r="B30" s="12" t="s">
        <v>145</v>
      </c>
      <c r="C30" s="12" t="s">
        <v>146</v>
      </c>
      <c r="D30" s="12" t="s">
        <v>147</v>
      </c>
      <c r="E30" s="12" t="s">
        <v>148</v>
      </c>
      <c r="F30" s="11" t="str">
        <f t="shared" si="1"/>
        <v>CORRECT</v>
      </c>
      <c r="G30" s="11" t="s">
        <v>19</v>
      </c>
      <c r="H30" s="15" t="s">
        <v>19</v>
      </c>
      <c r="I30" s="14" t="s">
        <v>983</v>
      </c>
      <c r="J30" s="15">
        <v>14668.0</v>
      </c>
    </row>
    <row r="31" ht="60.0" customHeight="1">
      <c r="A31" s="11">
        <v>28.0</v>
      </c>
      <c r="B31" s="12" t="s">
        <v>150</v>
      </c>
      <c r="C31" s="12" t="s">
        <v>151</v>
      </c>
      <c r="D31" s="12" t="s">
        <v>152</v>
      </c>
      <c r="E31" s="12" t="s">
        <v>153</v>
      </c>
      <c r="F31" s="11" t="str">
        <f t="shared" si="1"/>
        <v>WRONG</v>
      </c>
      <c r="G31" s="11" t="s">
        <v>18</v>
      </c>
      <c r="H31" s="15" t="s">
        <v>30</v>
      </c>
      <c r="I31" s="14" t="s">
        <v>984</v>
      </c>
      <c r="J31" s="15">
        <v>19058.0</v>
      </c>
    </row>
    <row r="32" ht="60.0" customHeight="1">
      <c r="A32" s="11">
        <v>29.0</v>
      </c>
      <c r="B32" s="12" t="s">
        <v>155</v>
      </c>
      <c r="C32" s="12" t="s">
        <v>156</v>
      </c>
      <c r="D32" s="12" t="s">
        <v>157</v>
      </c>
      <c r="E32" s="12" t="s">
        <v>158</v>
      </c>
      <c r="F32" s="11" t="str">
        <f t="shared" si="1"/>
        <v>CORRECT</v>
      </c>
      <c r="G32" s="11" t="s">
        <v>19</v>
      </c>
      <c r="H32" s="13" t="s">
        <v>19</v>
      </c>
      <c r="I32" s="14" t="s">
        <v>985</v>
      </c>
      <c r="J32" s="15">
        <v>18916.0</v>
      </c>
    </row>
    <row r="33" ht="60.0" customHeight="1">
      <c r="A33" s="11">
        <v>30.0</v>
      </c>
      <c r="B33" s="12" t="s">
        <v>160</v>
      </c>
      <c r="C33" s="12" t="s">
        <v>161</v>
      </c>
      <c r="D33" s="12" t="s">
        <v>162</v>
      </c>
      <c r="E33" s="12" t="s">
        <v>163</v>
      </c>
      <c r="F33" s="11" t="str">
        <f t="shared" si="1"/>
        <v>CORRECT</v>
      </c>
      <c r="G33" s="11" t="s">
        <v>30</v>
      </c>
      <c r="H33" s="13" t="s">
        <v>30</v>
      </c>
      <c r="I33" s="14" t="s">
        <v>986</v>
      </c>
      <c r="J33" s="15">
        <v>20925.0</v>
      </c>
    </row>
    <row r="34" ht="60.0" customHeight="1">
      <c r="A34" s="11">
        <v>31.0</v>
      </c>
      <c r="B34" s="12" t="s">
        <v>165</v>
      </c>
      <c r="C34" s="12" t="s">
        <v>166</v>
      </c>
      <c r="D34" s="12" t="s">
        <v>167</v>
      </c>
      <c r="E34" s="12" t="s">
        <v>168</v>
      </c>
      <c r="F34" s="11" t="str">
        <f t="shared" si="1"/>
        <v>WRONG</v>
      </c>
      <c r="G34" s="11" t="s">
        <v>19</v>
      </c>
      <c r="H34" s="15" t="s">
        <v>30</v>
      </c>
      <c r="I34" s="14" t="s">
        <v>987</v>
      </c>
      <c r="J34" s="15">
        <v>20146.0</v>
      </c>
    </row>
    <row r="35" ht="60.0" customHeight="1">
      <c r="A35" s="11">
        <v>32.0</v>
      </c>
      <c r="B35" s="12" t="s">
        <v>170</v>
      </c>
      <c r="C35" s="12" t="s">
        <v>171</v>
      </c>
      <c r="D35" s="12" t="s">
        <v>172</v>
      </c>
      <c r="E35" s="12" t="s">
        <v>173</v>
      </c>
      <c r="F35" s="11" t="str">
        <f t="shared" si="1"/>
        <v>WRONG</v>
      </c>
      <c r="G35" s="11" t="s">
        <v>18</v>
      </c>
      <c r="H35" s="15" t="s">
        <v>30</v>
      </c>
      <c r="I35" s="14" t="s">
        <v>988</v>
      </c>
      <c r="J35" s="15">
        <v>26031.0</v>
      </c>
    </row>
    <row r="36" ht="60.0" customHeight="1">
      <c r="A36" s="11">
        <v>33.0</v>
      </c>
      <c r="B36" s="12" t="s">
        <v>175</v>
      </c>
      <c r="C36" s="12" t="s">
        <v>176</v>
      </c>
      <c r="D36" s="12" t="s">
        <v>177</v>
      </c>
      <c r="E36" s="12" t="s">
        <v>178</v>
      </c>
      <c r="F36" s="11" t="str">
        <f t="shared" si="1"/>
        <v>WRONG</v>
      </c>
      <c r="G36" s="11" t="s">
        <v>30</v>
      </c>
      <c r="H36" s="13" t="s">
        <v>19</v>
      </c>
      <c r="I36" s="14" t="s">
        <v>989</v>
      </c>
      <c r="J36" s="15">
        <v>16322.0</v>
      </c>
    </row>
    <row r="37" ht="60.0" customHeight="1">
      <c r="A37" s="11">
        <v>34.0</v>
      </c>
      <c r="B37" s="12" t="s">
        <v>180</v>
      </c>
      <c r="C37" s="12" t="s">
        <v>181</v>
      </c>
      <c r="D37" s="12" t="s">
        <v>182</v>
      </c>
      <c r="E37" s="12" t="s">
        <v>183</v>
      </c>
      <c r="F37" s="11" t="str">
        <f t="shared" si="1"/>
        <v>WRONG</v>
      </c>
      <c r="G37" s="11" t="s">
        <v>18</v>
      </c>
      <c r="H37" s="13" t="s">
        <v>30</v>
      </c>
      <c r="I37" s="14" t="s">
        <v>990</v>
      </c>
      <c r="J37" s="15">
        <v>17443.0</v>
      </c>
    </row>
    <row r="38" ht="60.0" customHeight="1">
      <c r="A38" s="11">
        <v>35.0</v>
      </c>
      <c r="B38" s="12" t="s">
        <v>185</v>
      </c>
      <c r="C38" s="12" t="s">
        <v>186</v>
      </c>
      <c r="D38" s="12" t="s">
        <v>187</v>
      </c>
      <c r="E38" s="12" t="s">
        <v>188</v>
      </c>
      <c r="F38" s="11" t="str">
        <f t="shared" si="1"/>
        <v>WRONG</v>
      </c>
      <c r="G38" s="11" t="s">
        <v>30</v>
      </c>
      <c r="H38" s="15" t="s">
        <v>19</v>
      </c>
      <c r="I38" s="24" t="s">
        <v>991</v>
      </c>
      <c r="J38" s="15">
        <v>18843.0</v>
      </c>
    </row>
    <row r="39" ht="60.0" customHeight="1">
      <c r="A39" s="11">
        <v>36.0</v>
      </c>
      <c r="B39" s="12" t="s">
        <v>190</v>
      </c>
      <c r="C39" s="12" t="s">
        <v>191</v>
      </c>
      <c r="D39" s="12" t="s">
        <v>192</v>
      </c>
      <c r="E39" s="12" t="s">
        <v>193</v>
      </c>
      <c r="F39" s="11" t="str">
        <f t="shared" si="1"/>
        <v>CORRECT</v>
      </c>
      <c r="G39" s="11" t="s">
        <v>18</v>
      </c>
      <c r="H39" s="13" t="s">
        <v>18</v>
      </c>
      <c r="I39" s="14" t="s">
        <v>992</v>
      </c>
      <c r="J39" s="15">
        <v>17928.0</v>
      </c>
    </row>
    <row r="40" ht="60.0" customHeight="1">
      <c r="A40" s="11">
        <v>37.0</v>
      </c>
      <c r="B40" s="12" t="s">
        <v>195</v>
      </c>
      <c r="C40" s="12" t="s">
        <v>196</v>
      </c>
      <c r="D40" s="12" t="s">
        <v>197</v>
      </c>
      <c r="E40" s="12" t="s">
        <v>198</v>
      </c>
      <c r="F40" s="11" t="str">
        <f t="shared" si="1"/>
        <v>WRONG</v>
      </c>
      <c r="G40" s="11" t="s">
        <v>18</v>
      </c>
      <c r="H40" s="15" t="s">
        <v>19</v>
      </c>
      <c r="I40" s="14" t="s">
        <v>993</v>
      </c>
      <c r="J40" s="15">
        <v>15317.0</v>
      </c>
    </row>
    <row r="41" ht="60.0" customHeight="1">
      <c r="A41" s="11">
        <v>38.0</v>
      </c>
      <c r="B41" s="12" t="s">
        <v>200</v>
      </c>
      <c r="C41" s="12" t="s">
        <v>201</v>
      </c>
      <c r="D41" s="12" t="s">
        <v>202</v>
      </c>
      <c r="E41" s="12" t="s">
        <v>203</v>
      </c>
      <c r="F41" s="11" t="str">
        <f t="shared" si="1"/>
        <v>CORRECT</v>
      </c>
      <c r="G41" s="11" t="s">
        <v>18</v>
      </c>
      <c r="H41" s="15" t="s">
        <v>18</v>
      </c>
      <c r="I41" s="24" t="s">
        <v>994</v>
      </c>
      <c r="J41" s="15">
        <v>17554.0</v>
      </c>
    </row>
    <row r="42" ht="60.0" customHeight="1">
      <c r="A42" s="11">
        <v>39.0</v>
      </c>
      <c r="B42" s="12" t="s">
        <v>205</v>
      </c>
      <c r="C42" s="12" t="s">
        <v>206</v>
      </c>
      <c r="D42" s="12" t="s">
        <v>207</v>
      </c>
      <c r="E42" s="12" t="s">
        <v>208</v>
      </c>
      <c r="F42" s="11" t="str">
        <f t="shared" si="1"/>
        <v>WRONG</v>
      </c>
      <c r="G42" s="11" t="s">
        <v>19</v>
      </c>
      <c r="H42" s="13" t="s">
        <v>18</v>
      </c>
      <c r="I42" s="14" t="s">
        <v>995</v>
      </c>
      <c r="J42" s="15">
        <v>21061.0</v>
      </c>
    </row>
    <row r="43" ht="60.0" customHeight="1">
      <c r="A43" s="11">
        <v>40.0</v>
      </c>
      <c r="B43" s="12" t="s">
        <v>210</v>
      </c>
      <c r="C43" s="12" t="s">
        <v>211</v>
      </c>
      <c r="D43" s="12" t="s">
        <v>212</v>
      </c>
      <c r="E43" s="12" t="s">
        <v>213</v>
      </c>
      <c r="F43" s="11" t="str">
        <f t="shared" si="1"/>
        <v>CORRECT</v>
      </c>
      <c r="G43" s="11" t="s">
        <v>30</v>
      </c>
      <c r="H43" s="13" t="s">
        <v>30</v>
      </c>
      <c r="I43" s="14" t="s">
        <v>996</v>
      </c>
      <c r="J43" s="15">
        <v>16210.0</v>
      </c>
    </row>
    <row r="44" ht="60.0" customHeight="1">
      <c r="A44" s="11">
        <v>41.0</v>
      </c>
      <c r="B44" s="12" t="s">
        <v>215</v>
      </c>
      <c r="C44" s="12" t="s">
        <v>216</v>
      </c>
      <c r="D44" s="12" t="s">
        <v>217</v>
      </c>
      <c r="E44" s="12" t="s">
        <v>218</v>
      </c>
      <c r="F44" s="11" t="str">
        <f t="shared" si="1"/>
        <v>CORRECT</v>
      </c>
      <c r="G44" s="11" t="s">
        <v>19</v>
      </c>
      <c r="H44" s="13" t="s">
        <v>19</v>
      </c>
      <c r="I44" s="14" t="s">
        <v>997</v>
      </c>
      <c r="J44" s="15">
        <v>15515.0</v>
      </c>
    </row>
    <row r="45" ht="60.0" customHeight="1">
      <c r="A45" s="11">
        <v>42.0</v>
      </c>
      <c r="B45" s="12" t="s">
        <v>220</v>
      </c>
      <c r="C45" s="12" t="s">
        <v>221</v>
      </c>
      <c r="D45" s="12" t="s">
        <v>222</v>
      </c>
      <c r="E45" s="12" t="s">
        <v>223</v>
      </c>
      <c r="F45" s="11" t="str">
        <f t="shared" si="1"/>
        <v>WRONG</v>
      </c>
      <c r="G45" s="11" t="s">
        <v>18</v>
      </c>
      <c r="H45" s="13" t="s">
        <v>19</v>
      </c>
      <c r="I45" s="14" t="s">
        <v>998</v>
      </c>
      <c r="J45" s="15">
        <v>17280.0</v>
      </c>
    </row>
    <row r="46" ht="60.0" customHeight="1">
      <c r="A46" s="11">
        <v>43.0</v>
      </c>
      <c r="B46" s="12" t="s">
        <v>225</v>
      </c>
      <c r="C46" s="12" t="s">
        <v>226</v>
      </c>
      <c r="D46" s="12" t="s">
        <v>227</v>
      </c>
      <c r="E46" s="12" t="s">
        <v>228</v>
      </c>
      <c r="F46" s="11" t="str">
        <f t="shared" si="1"/>
        <v>WRONG</v>
      </c>
      <c r="G46" s="11" t="s">
        <v>30</v>
      </c>
      <c r="H46" s="15" t="s">
        <v>18</v>
      </c>
      <c r="I46" s="14" t="s">
        <v>999</v>
      </c>
      <c r="J46" s="15">
        <v>22361.0</v>
      </c>
    </row>
    <row r="47" ht="60.0" customHeight="1">
      <c r="A47" s="11">
        <v>44.0</v>
      </c>
      <c r="B47" s="12" t="s">
        <v>230</v>
      </c>
      <c r="C47" s="12" t="s">
        <v>231</v>
      </c>
      <c r="D47" s="12" t="s">
        <v>232</v>
      </c>
      <c r="E47" s="12" t="s">
        <v>233</v>
      </c>
      <c r="F47" s="11" t="str">
        <f t="shared" si="1"/>
        <v>WRONG</v>
      </c>
      <c r="G47" s="11" t="s">
        <v>18</v>
      </c>
      <c r="H47" s="13" t="s">
        <v>30</v>
      </c>
      <c r="I47" s="14" t="s">
        <v>1000</v>
      </c>
      <c r="J47" s="15">
        <v>15439.0</v>
      </c>
    </row>
    <row r="48" ht="60.0" customHeight="1">
      <c r="A48" s="11">
        <v>45.0</v>
      </c>
      <c r="B48" s="12" t="s">
        <v>235</v>
      </c>
      <c r="C48" s="12" t="s">
        <v>236</v>
      </c>
      <c r="D48" s="12" t="s">
        <v>237</v>
      </c>
      <c r="E48" s="12" t="s">
        <v>238</v>
      </c>
      <c r="F48" s="11" t="str">
        <f t="shared" si="1"/>
        <v>CORRECT</v>
      </c>
      <c r="G48" s="11" t="s">
        <v>18</v>
      </c>
      <c r="H48" s="15" t="s">
        <v>18</v>
      </c>
      <c r="I48" s="14" t="s">
        <v>1001</v>
      </c>
      <c r="J48" s="15">
        <v>19838.0</v>
      </c>
    </row>
    <row r="49" ht="60.0" customHeight="1">
      <c r="A49" s="11">
        <v>46.0</v>
      </c>
      <c r="B49" s="12" t="s">
        <v>240</v>
      </c>
      <c r="C49" s="12" t="s">
        <v>22</v>
      </c>
      <c r="D49" s="12" t="s">
        <v>241</v>
      </c>
      <c r="E49" s="12" t="s">
        <v>242</v>
      </c>
      <c r="F49" s="11" t="str">
        <f t="shared" si="1"/>
        <v>WRONG</v>
      </c>
      <c r="G49" s="11" t="s">
        <v>18</v>
      </c>
      <c r="H49" s="13" t="s">
        <v>776</v>
      </c>
      <c r="I49" s="14" t="s">
        <v>1002</v>
      </c>
      <c r="J49" s="15">
        <v>18811.0</v>
      </c>
    </row>
    <row r="50">
      <c r="A50" s="16" t="s">
        <v>244</v>
      </c>
      <c r="B50" s="2"/>
      <c r="C50" s="2"/>
      <c r="D50" s="2"/>
      <c r="E50" s="3"/>
      <c r="F50" s="17">
        <f>COUNTIFS(F4:F49,"CORRECT")</f>
        <v>21</v>
      </c>
      <c r="G50" s="18"/>
      <c r="H50" s="18"/>
      <c r="J50" s="19">
        <f>AVERAGE(J4:J49)</f>
        <v>18096.02174</v>
      </c>
    </row>
    <row r="51">
      <c r="A51" s="20" t="s">
        <v>245</v>
      </c>
      <c r="B51" s="2"/>
      <c r="C51" s="2"/>
      <c r="D51" s="2"/>
      <c r="E51" s="3"/>
      <c r="F51" s="21">
        <v>46.0</v>
      </c>
      <c r="G51" s="18"/>
      <c r="H51" s="18"/>
    </row>
    <row r="52">
      <c r="A52" s="16" t="s">
        <v>246</v>
      </c>
      <c r="B52" s="2"/>
      <c r="C52" s="2"/>
      <c r="D52" s="2"/>
      <c r="E52" s="3"/>
      <c r="F52" s="22">
        <f>F50/F51</f>
        <v>0.4565217391</v>
      </c>
      <c r="G52" s="18"/>
      <c r="H52" s="18"/>
    </row>
    <row r="53">
      <c r="A53" s="18"/>
      <c r="B53" s="23"/>
      <c r="C53" s="23"/>
      <c r="D53" s="23"/>
      <c r="E53" s="23"/>
      <c r="F53" s="18"/>
      <c r="G53" s="18"/>
      <c r="H53" s="18"/>
    </row>
    <row r="54">
      <c r="A54" s="18"/>
      <c r="B54" s="23"/>
      <c r="C54" s="23"/>
      <c r="D54" s="23"/>
      <c r="E54" s="23"/>
      <c r="F54" s="18"/>
      <c r="G54" s="18"/>
      <c r="H54" s="18"/>
    </row>
    <row r="55">
      <c r="A55" s="18"/>
      <c r="B55" s="23"/>
      <c r="C55" s="23"/>
      <c r="D55" s="23"/>
      <c r="E55" s="23"/>
      <c r="F55" s="18"/>
      <c r="G55" s="18"/>
      <c r="H55" s="18"/>
    </row>
    <row r="56">
      <c r="A56" s="18"/>
      <c r="B56" s="23"/>
      <c r="C56" s="23"/>
      <c r="D56" s="23"/>
      <c r="E56" s="23"/>
      <c r="F56" s="18"/>
      <c r="G56" s="18"/>
      <c r="H56" s="18"/>
    </row>
    <row r="57">
      <c r="A57" s="18"/>
      <c r="B57" s="23"/>
      <c r="C57" s="23"/>
      <c r="D57" s="23"/>
      <c r="E57" s="23"/>
      <c r="F57" s="18"/>
      <c r="G57" s="18"/>
      <c r="H57" s="18"/>
    </row>
    <row r="58">
      <c r="A58" s="18"/>
      <c r="B58" s="23"/>
      <c r="C58" s="23"/>
      <c r="D58" s="23"/>
      <c r="E58" s="23"/>
      <c r="F58" s="18"/>
      <c r="G58" s="18"/>
      <c r="H58" s="18"/>
    </row>
    <row r="59">
      <c r="A59" s="18"/>
      <c r="B59" s="23"/>
      <c r="C59" s="23"/>
      <c r="D59" s="23"/>
      <c r="E59" s="23"/>
      <c r="F59" s="18"/>
      <c r="G59" s="18"/>
      <c r="H59" s="18"/>
    </row>
    <row r="60">
      <c r="A60" s="18"/>
      <c r="B60" s="23"/>
      <c r="C60" s="23"/>
      <c r="D60" s="23"/>
      <c r="E60" s="23"/>
      <c r="F60" s="18"/>
      <c r="G60" s="18"/>
      <c r="H60" s="18"/>
    </row>
    <row r="61">
      <c r="A61" s="18"/>
      <c r="B61" s="23"/>
      <c r="C61" s="23"/>
      <c r="D61" s="23"/>
      <c r="E61" s="23"/>
      <c r="F61" s="18"/>
      <c r="G61" s="18"/>
      <c r="H61" s="18"/>
    </row>
    <row r="62">
      <c r="A62" s="18"/>
      <c r="B62" s="23"/>
      <c r="C62" s="23"/>
      <c r="D62" s="23"/>
      <c r="E62" s="23"/>
      <c r="F62" s="18"/>
      <c r="G62" s="18"/>
      <c r="H62" s="18"/>
    </row>
    <row r="63">
      <c r="A63" s="18"/>
      <c r="B63" s="23"/>
      <c r="C63" s="23"/>
      <c r="D63" s="23"/>
      <c r="E63" s="23"/>
      <c r="F63" s="18"/>
      <c r="G63" s="18"/>
      <c r="H63" s="18"/>
    </row>
    <row r="64">
      <c r="A64" s="18"/>
      <c r="B64" s="23"/>
      <c r="C64" s="23"/>
      <c r="D64" s="23"/>
      <c r="E64" s="23"/>
      <c r="F64" s="18"/>
      <c r="G64" s="18"/>
      <c r="H64" s="18"/>
    </row>
    <row r="65">
      <c r="A65" s="18"/>
      <c r="B65" s="23"/>
      <c r="C65" s="23"/>
      <c r="D65" s="23"/>
      <c r="E65" s="23"/>
      <c r="F65" s="18"/>
      <c r="G65" s="18"/>
      <c r="H65" s="18"/>
    </row>
    <row r="66">
      <c r="A66" s="18"/>
      <c r="B66" s="23"/>
      <c r="C66" s="23"/>
      <c r="D66" s="23"/>
      <c r="E66" s="23"/>
      <c r="F66" s="18"/>
      <c r="G66" s="18"/>
      <c r="H66" s="18"/>
    </row>
    <row r="67">
      <c r="A67" s="18"/>
      <c r="B67" s="23"/>
      <c r="C67" s="23"/>
      <c r="D67" s="23"/>
      <c r="E67" s="23"/>
      <c r="F67" s="18"/>
      <c r="G67" s="18"/>
      <c r="H67" s="18"/>
    </row>
    <row r="68">
      <c r="A68" s="18"/>
      <c r="B68" s="23"/>
      <c r="C68" s="23"/>
      <c r="D68" s="23"/>
      <c r="E68" s="23"/>
      <c r="F68" s="18"/>
      <c r="G68" s="18"/>
      <c r="H68" s="18"/>
    </row>
    <row r="69">
      <c r="A69" s="18"/>
      <c r="B69" s="23"/>
      <c r="C69" s="23"/>
      <c r="D69" s="23"/>
      <c r="E69" s="23"/>
      <c r="F69" s="18"/>
      <c r="G69" s="18"/>
      <c r="H69" s="18"/>
    </row>
    <row r="70">
      <c r="A70" s="18"/>
      <c r="B70" s="23"/>
      <c r="C70" s="23"/>
      <c r="D70" s="23"/>
      <c r="E70" s="23"/>
      <c r="F70" s="18"/>
      <c r="G70" s="18"/>
      <c r="H70" s="18"/>
    </row>
    <row r="71">
      <c r="A71" s="18"/>
      <c r="B71" s="23"/>
      <c r="C71" s="23"/>
      <c r="D71" s="23"/>
      <c r="E71" s="23"/>
      <c r="F71" s="18"/>
      <c r="G71" s="18"/>
      <c r="H71" s="18"/>
    </row>
    <row r="72">
      <c r="A72" s="18"/>
      <c r="B72" s="23"/>
      <c r="C72" s="23"/>
      <c r="D72" s="23"/>
      <c r="E72" s="23"/>
      <c r="F72" s="18"/>
      <c r="G72" s="18"/>
      <c r="H72" s="18"/>
    </row>
    <row r="73">
      <c r="A73" s="18"/>
      <c r="B73" s="23"/>
      <c r="C73" s="23"/>
      <c r="D73" s="23"/>
      <c r="E73" s="23"/>
      <c r="F73" s="18"/>
      <c r="G73" s="18"/>
      <c r="H73" s="18"/>
    </row>
    <row r="74">
      <c r="A74" s="18"/>
      <c r="B74" s="23"/>
      <c r="C74" s="23"/>
      <c r="D74" s="23"/>
      <c r="E74" s="23"/>
      <c r="F74" s="18"/>
      <c r="G74" s="18"/>
      <c r="H74" s="18"/>
    </row>
    <row r="75">
      <c r="A75" s="18"/>
      <c r="B75" s="23"/>
      <c r="C75" s="23"/>
      <c r="D75" s="23"/>
      <c r="E75" s="23"/>
      <c r="F75" s="18"/>
      <c r="G75" s="18"/>
      <c r="H75" s="18"/>
    </row>
    <row r="76">
      <c r="A76" s="18"/>
      <c r="B76" s="23"/>
      <c r="C76" s="23"/>
      <c r="D76" s="23"/>
      <c r="E76" s="23"/>
      <c r="F76" s="18"/>
      <c r="G76" s="18"/>
      <c r="H76" s="18"/>
    </row>
    <row r="77">
      <c r="A77" s="18"/>
      <c r="B77" s="23"/>
      <c r="C77" s="23"/>
      <c r="D77" s="23"/>
      <c r="E77" s="23"/>
      <c r="F77" s="18"/>
      <c r="G77" s="18"/>
      <c r="H77" s="18"/>
    </row>
    <row r="78">
      <c r="A78" s="18"/>
      <c r="B78" s="23"/>
      <c r="C78" s="23"/>
      <c r="D78" s="23"/>
      <c r="E78" s="23"/>
      <c r="F78" s="18"/>
      <c r="G78" s="18"/>
      <c r="H78" s="18"/>
    </row>
    <row r="79">
      <c r="A79" s="18"/>
      <c r="B79" s="23"/>
      <c r="C79" s="23"/>
      <c r="D79" s="23"/>
      <c r="E79" s="23"/>
      <c r="F79" s="18"/>
      <c r="G79" s="18"/>
      <c r="H79" s="18"/>
    </row>
    <row r="80">
      <c r="A80" s="18"/>
      <c r="B80" s="23"/>
      <c r="C80" s="23"/>
      <c r="D80" s="23"/>
      <c r="E80" s="23"/>
      <c r="F80" s="18"/>
      <c r="G80" s="18"/>
      <c r="H80" s="18"/>
    </row>
    <row r="81">
      <c r="A81" s="18"/>
      <c r="B81" s="23"/>
      <c r="C81" s="23"/>
      <c r="D81" s="23"/>
      <c r="E81" s="23"/>
      <c r="F81" s="18"/>
      <c r="G81" s="18"/>
      <c r="H81" s="18"/>
    </row>
    <row r="82">
      <c r="A82" s="18"/>
      <c r="B82" s="23"/>
      <c r="C82" s="23"/>
      <c r="D82" s="23"/>
      <c r="E82" s="23"/>
      <c r="F82" s="18"/>
      <c r="G82" s="18"/>
      <c r="H82" s="18"/>
    </row>
    <row r="83">
      <c r="A83" s="18"/>
      <c r="B83" s="23"/>
      <c r="C83" s="23"/>
      <c r="D83" s="23"/>
      <c r="E83" s="23"/>
      <c r="F83" s="18"/>
      <c r="G83" s="18"/>
      <c r="H83" s="18"/>
    </row>
    <row r="84">
      <c r="A84" s="18"/>
      <c r="B84" s="23"/>
      <c r="C84" s="23"/>
      <c r="D84" s="23"/>
      <c r="E84" s="23"/>
      <c r="F84" s="18"/>
      <c r="G84" s="18"/>
      <c r="H84" s="18"/>
    </row>
    <row r="85">
      <c r="A85" s="18"/>
      <c r="B85" s="23"/>
      <c r="C85" s="23"/>
      <c r="D85" s="23"/>
      <c r="E85" s="23"/>
      <c r="F85" s="18"/>
      <c r="G85" s="18"/>
      <c r="H85" s="18"/>
    </row>
    <row r="86">
      <c r="A86" s="18"/>
      <c r="B86" s="23"/>
      <c r="C86" s="23"/>
      <c r="D86" s="23"/>
      <c r="E86" s="23"/>
      <c r="F86" s="18"/>
      <c r="G86" s="18"/>
      <c r="H86" s="18"/>
    </row>
    <row r="87">
      <c r="A87" s="18"/>
      <c r="B87" s="23"/>
      <c r="C87" s="23"/>
      <c r="D87" s="23"/>
      <c r="E87" s="23"/>
      <c r="F87" s="18"/>
      <c r="G87" s="18"/>
      <c r="H87" s="18"/>
    </row>
    <row r="88">
      <c r="A88" s="18"/>
      <c r="B88" s="23"/>
      <c r="C88" s="23"/>
      <c r="D88" s="23"/>
      <c r="E88" s="23"/>
      <c r="F88" s="18"/>
      <c r="G88" s="18"/>
      <c r="H88" s="18"/>
    </row>
    <row r="89">
      <c r="A89" s="18"/>
      <c r="B89" s="23"/>
      <c r="C89" s="23"/>
      <c r="D89" s="23"/>
      <c r="E89" s="23"/>
      <c r="F89" s="18"/>
      <c r="G89" s="18"/>
      <c r="H89" s="18"/>
    </row>
    <row r="90">
      <c r="A90" s="18"/>
      <c r="B90" s="23"/>
      <c r="C90" s="23"/>
      <c r="D90" s="23"/>
      <c r="E90" s="23"/>
      <c r="F90" s="18"/>
      <c r="G90" s="18"/>
      <c r="H90" s="18"/>
    </row>
    <row r="91">
      <c r="A91" s="18"/>
      <c r="B91" s="23"/>
      <c r="C91" s="23"/>
      <c r="D91" s="23"/>
      <c r="E91" s="23"/>
      <c r="F91" s="18"/>
      <c r="G91" s="18"/>
      <c r="H91" s="18"/>
    </row>
    <row r="92">
      <c r="A92" s="18"/>
      <c r="B92" s="23"/>
      <c r="C92" s="23"/>
      <c r="D92" s="23"/>
      <c r="E92" s="23"/>
      <c r="F92" s="18"/>
      <c r="G92" s="18"/>
      <c r="H92" s="18"/>
    </row>
    <row r="93">
      <c r="A93" s="18"/>
      <c r="B93" s="23"/>
      <c r="C93" s="23"/>
      <c r="D93" s="23"/>
      <c r="E93" s="23"/>
      <c r="F93" s="18"/>
      <c r="G93" s="18"/>
      <c r="H93" s="18"/>
    </row>
    <row r="94">
      <c r="A94" s="18"/>
      <c r="B94" s="23"/>
      <c r="C94" s="23"/>
      <c r="D94" s="23"/>
      <c r="E94" s="23"/>
      <c r="F94" s="18"/>
      <c r="G94" s="18"/>
      <c r="H94" s="18"/>
    </row>
    <row r="95">
      <c r="A95" s="18"/>
      <c r="B95" s="23"/>
      <c r="C95" s="23"/>
      <c r="D95" s="23"/>
      <c r="E95" s="23"/>
      <c r="F95" s="18"/>
      <c r="G95" s="18"/>
      <c r="H95" s="18"/>
    </row>
    <row r="96">
      <c r="A96" s="18"/>
      <c r="B96" s="23"/>
      <c r="C96" s="23"/>
      <c r="D96" s="23"/>
      <c r="E96" s="23"/>
      <c r="F96" s="18"/>
      <c r="G96" s="18"/>
      <c r="H96" s="18"/>
    </row>
    <row r="97">
      <c r="A97" s="18"/>
      <c r="B97" s="23"/>
      <c r="C97" s="23"/>
      <c r="D97" s="23"/>
      <c r="E97" s="23"/>
      <c r="F97" s="18"/>
      <c r="G97" s="18"/>
      <c r="H97" s="18"/>
    </row>
    <row r="98">
      <c r="A98" s="18"/>
      <c r="B98" s="23"/>
      <c r="C98" s="23"/>
      <c r="D98" s="23"/>
      <c r="E98" s="23"/>
      <c r="F98" s="18"/>
      <c r="G98" s="18"/>
      <c r="H98" s="18"/>
    </row>
    <row r="99">
      <c r="A99" s="18"/>
      <c r="B99" s="23"/>
      <c r="C99" s="23"/>
      <c r="D99" s="23"/>
      <c r="E99" s="23"/>
      <c r="F99" s="18"/>
      <c r="G99" s="18"/>
      <c r="H99" s="18"/>
    </row>
    <row r="100">
      <c r="A100" s="18"/>
      <c r="B100" s="23"/>
      <c r="C100" s="23"/>
      <c r="D100" s="23"/>
      <c r="E100" s="23"/>
      <c r="F100" s="18"/>
      <c r="G100" s="18"/>
      <c r="H100" s="18"/>
    </row>
    <row r="101">
      <c r="A101" s="18"/>
      <c r="B101" s="23"/>
      <c r="C101" s="23"/>
      <c r="D101" s="23"/>
      <c r="E101" s="23"/>
      <c r="F101" s="18"/>
      <c r="G101" s="18"/>
      <c r="H101" s="18"/>
    </row>
    <row r="102">
      <c r="A102" s="18"/>
      <c r="B102" s="23"/>
      <c r="C102" s="23"/>
      <c r="D102" s="23"/>
      <c r="E102" s="23"/>
      <c r="F102" s="18"/>
      <c r="G102" s="18"/>
      <c r="H102" s="18"/>
    </row>
    <row r="103">
      <c r="A103" s="18"/>
      <c r="B103" s="23"/>
      <c r="C103" s="23"/>
      <c r="D103" s="23"/>
      <c r="E103" s="23"/>
      <c r="F103" s="18"/>
      <c r="G103" s="18"/>
      <c r="H103" s="18"/>
    </row>
    <row r="104">
      <c r="A104" s="18"/>
      <c r="B104" s="23"/>
      <c r="C104" s="23"/>
      <c r="D104" s="23"/>
      <c r="E104" s="23"/>
      <c r="F104" s="18"/>
      <c r="G104" s="18"/>
      <c r="H104" s="18"/>
    </row>
    <row r="105">
      <c r="A105" s="18"/>
      <c r="B105" s="23"/>
      <c r="C105" s="23"/>
      <c r="D105" s="23"/>
      <c r="E105" s="23"/>
      <c r="F105" s="18"/>
      <c r="G105" s="18"/>
      <c r="H105" s="18"/>
    </row>
    <row r="106">
      <c r="A106" s="18"/>
      <c r="B106" s="23"/>
      <c r="C106" s="23"/>
      <c r="D106" s="23"/>
      <c r="E106" s="23"/>
      <c r="F106" s="18"/>
      <c r="G106" s="18"/>
      <c r="H106" s="18"/>
    </row>
    <row r="107">
      <c r="A107" s="18"/>
      <c r="B107" s="23"/>
      <c r="C107" s="23"/>
      <c r="D107" s="23"/>
      <c r="E107" s="23"/>
      <c r="F107" s="18"/>
      <c r="G107" s="18"/>
      <c r="H107" s="18"/>
    </row>
    <row r="108">
      <c r="A108" s="18"/>
      <c r="B108" s="23"/>
      <c r="C108" s="23"/>
      <c r="D108" s="23"/>
      <c r="E108" s="23"/>
      <c r="F108" s="18"/>
      <c r="G108" s="18"/>
      <c r="H108" s="18"/>
    </row>
    <row r="109">
      <c r="A109" s="18"/>
      <c r="B109" s="23"/>
      <c r="C109" s="23"/>
      <c r="D109" s="23"/>
      <c r="E109" s="23"/>
      <c r="F109" s="18"/>
      <c r="G109" s="18"/>
      <c r="H109" s="18"/>
    </row>
    <row r="110">
      <c r="A110" s="18"/>
      <c r="B110" s="23"/>
      <c r="C110" s="23"/>
      <c r="D110" s="23"/>
      <c r="E110" s="23"/>
      <c r="F110" s="18"/>
      <c r="G110" s="18"/>
      <c r="H110" s="18"/>
    </row>
    <row r="111">
      <c r="A111" s="18"/>
      <c r="B111" s="23"/>
      <c r="C111" s="23"/>
      <c r="D111" s="23"/>
      <c r="E111" s="23"/>
      <c r="F111" s="18"/>
      <c r="G111" s="18"/>
      <c r="H111" s="18"/>
    </row>
    <row r="112">
      <c r="A112" s="18"/>
      <c r="B112" s="23"/>
      <c r="C112" s="23"/>
      <c r="D112" s="23"/>
      <c r="E112" s="23"/>
      <c r="F112" s="18"/>
      <c r="G112" s="18"/>
      <c r="H112" s="18"/>
    </row>
    <row r="113">
      <c r="A113" s="18"/>
      <c r="B113" s="23"/>
      <c r="C113" s="23"/>
      <c r="D113" s="23"/>
      <c r="E113" s="23"/>
      <c r="F113" s="18"/>
      <c r="G113" s="18"/>
      <c r="H113" s="18"/>
    </row>
    <row r="114">
      <c r="A114" s="18"/>
      <c r="B114" s="23"/>
      <c r="C114" s="23"/>
      <c r="D114" s="23"/>
      <c r="E114" s="23"/>
      <c r="F114" s="18"/>
      <c r="G114" s="18"/>
      <c r="H114" s="18"/>
    </row>
    <row r="115">
      <c r="A115" s="18"/>
      <c r="B115" s="23"/>
      <c r="C115" s="23"/>
      <c r="D115" s="23"/>
      <c r="E115" s="23"/>
      <c r="F115" s="18"/>
      <c r="G115" s="18"/>
      <c r="H115" s="18"/>
    </row>
    <row r="116">
      <c r="A116" s="18"/>
      <c r="B116" s="23"/>
      <c r="C116" s="23"/>
      <c r="D116" s="23"/>
      <c r="E116" s="23"/>
      <c r="F116" s="18"/>
      <c r="G116" s="18"/>
      <c r="H116" s="18"/>
    </row>
    <row r="117">
      <c r="A117" s="18"/>
      <c r="B117" s="23"/>
      <c r="C117" s="23"/>
      <c r="D117" s="23"/>
      <c r="E117" s="23"/>
      <c r="F117" s="18"/>
      <c r="G117" s="18"/>
      <c r="H117" s="18"/>
    </row>
    <row r="118">
      <c r="A118" s="18"/>
      <c r="B118" s="23"/>
      <c r="C118" s="23"/>
      <c r="D118" s="23"/>
      <c r="E118" s="23"/>
      <c r="F118" s="18"/>
      <c r="G118" s="18"/>
      <c r="H118" s="18"/>
    </row>
    <row r="119">
      <c r="A119" s="18"/>
      <c r="B119" s="23"/>
      <c r="C119" s="23"/>
      <c r="D119" s="23"/>
      <c r="E119" s="23"/>
      <c r="F119" s="18"/>
      <c r="G119" s="18"/>
      <c r="H119" s="18"/>
    </row>
    <row r="120">
      <c r="A120" s="18"/>
      <c r="B120" s="23"/>
      <c r="C120" s="23"/>
      <c r="D120" s="23"/>
      <c r="E120" s="23"/>
      <c r="F120" s="18"/>
      <c r="G120" s="18"/>
      <c r="H120" s="18"/>
    </row>
    <row r="121">
      <c r="A121" s="18"/>
      <c r="B121" s="23"/>
      <c r="C121" s="23"/>
      <c r="D121" s="23"/>
      <c r="E121" s="23"/>
      <c r="F121" s="18"/>
      <c r="G121" s="18"/>
      <c r="H121" s="18"/>
    </row>
    <row r="122">
      <c r="A122" s="18"/>
      <c r="B122" s="23"/>
      <c r="C122" s="23"/>
      <c r="D122" s="23"/>
      <c r="E122" s="23"/>
      <c r="F122" s="18"/>
      <c r="G122" s="18"/>
      <c r="H122" s="18"/>
    </row>
    <row r="123">
      <c r="A123" s="18"/>
      <c r="B123" s="23"/>
      <c r="C123" s="23"/>
      <c r="D123" s="23"/>
      <c r="E123" s="23"/>
      <c r="F123" s="18"/>
      <c r="G123" s="18"/>
      <c r="H123" s="18"/>
    </row>
    <row r="124">
      <c r="A124" s="18"/>
      <c r="B124" s="23"/>
      <c r="C124" s="23"/>
      <c r="D124" s="23"/>
      <c r="E124" s="23"/>
      <c r="F124" s="18"/>
      <c r="G124" s="18"/>
      <c r="H124" s="18"/>
    </row>
    <row r="125">
      <c r="A125" s="18"/>
      <c r="B125" s="23"/>
      <c r="C125" s="23"/>
      <c r="D125" s="23"/>
      <c r="E125" s="23"/>
      <c r="F125" s="18"/>
      <c r="G125" s="18"/>
      <c r="H125" s="18"/>
    </row>
    <row r="126">
      <c r="A126" s="18"/>
      <c r="B126" s="23"/>
      <c r="C126" s="23"/>
      <c r="D126" s="23"/>
      <c r="E126" s="23"/>
      <c r="F126" s="18"/>
      <c r="G126" s="18"/>
      <c r="H126" s="18"/>
    </row>
    <row r="127">
      <c r="A127" s="18"/>
      <c r="B127" s="23"/>
      <c r="C127" s="23"/>
      <c r="D127" s="23"/>
      <c r="E127" s="23"/>
      <c r="F127" s="18"/>
      <c r="G127" s="18"/>
      <c r="H127" s="18"/>
    </row>
    <row r="128">
      <c r="A128" s="18"/>
      <c r="B128" s="23"/>
      <c r="C128" s="23"/>
      <c r="D128" s="23"/>
      <c r="E128" s="23"/>
      <c r="F128" s="18"/>
      <c r="G128" s="18"/>
      <c r="H128" s="18"/>
    </row>
    <row r="129">
      <c r="A129" s="18"/>
      <c r="B129" s="23"/>
      <c r="C129" s="23"/>
      <c r="D129" s="23"/>
      <c r="E129" s="23"/>
      <c r="F129" s="18"/>
      <c r="G129" s="18"/>
      <c r="H129" s="18"/>
    </row>
    <row r="130">
      <c r="A130" s="18"/>
      <c r="B130" s="23"/>
      <c r="C130" s="23"/>
      <c r="D130" s="23"/>
      <c r="E130" s="23"/>
      <c r="F130" s="18"/>
      <c r="G130" s="18"/>
      <c r="H130" s="18"/>
    </row>
    <row r="131">
      <c r="A131" s="18"/>
      <c r="B131" s="23"/>
      <c r="C131" s="23"/>
      <c r="D131" s="23"/>
      <c r="E131" s="23"/>
      <c r="F131" s="18"/>
      <c r="G131" s="18"/>
      <c r="H131" s="18"/>
    </row>
    <row r="132">
      <c r="A132" s="18"/>
      <c r="B132" s="23"/>
      <c r="C132" s="23"/>
      <c r="D132" s="23"/>
      <c r="E132" s="23"/>
      <c r="F132" s="18"/>
      <c r="G132" s="18"/>
      <c r="H132" s="18"/>
    </row>
    <row r="133">
      <c r="A133" s="18"/>
      <c r="B133" s="23"/>
      <c r="C133" s="23"/>
      <c r="D133" s="23"/>
      <c r="E133" s="23"/>
      <c r="F133" s="18"/>
      <c r="G133" s="18"/>
      <c r="H133" s="18"/>
    </row>
    <row r="134">
      <c r="A134" s="18"/>
      <c r="B134" s="23"/>
      <c r="C134" s="23"/>
      <c r="D134" s="23"/>
      <c r="E134" s="23"/>
      <c r="F134" s="18"/>
      <c r="G134" s="18"/>
      <c r="H134" s="18"/>
    </row>
    <row r="135">
      <c r="A135" s="18"/>
      <c r="B135" s="23"/>
      <c r="C135" s="23"/>
      <c r="D135" s="23"/>
      <c r="E135" s="23"/>
      <c r="F135" s="18"/>
      <c r="G135" s="18"/>
      <c r="H135" s="18"/>
    </row>
    <row r="136">
      <c r="A136" s="18"/>
      <c r="B136" s="23"/>
      <c r="C136" s="23"/>
      <c r="D136" s="23"/>
      <c r="E136" s="23"/>
      <c r="F136" s="18"/>
      <c r="G136" s="18"/>
      <c r="H136" s="18"/>
    </row>
    <row r="137">
      <c r="A137" s="18"/>
      <c r="B137" s="23"/>
      <c r="C137" s="23"/>
      <c r="D137" s="23"/>
      <c r="E137" s="23"/>
      <c r="F137" s="18"/>
      <c r="G137" s="18"/>
      <c r="H137" s="18"/>
    </row>
    <row r="138">
      <c r="A138" s="18"/>
      <c r="B138" s="23"/>
      <c r="C138" s="23"/>
      <c r="D138" s="23"/>
      <c r="E138" s="23"/>
      <c r="F138" s="18"/>
      <c r="G138" s="18"/>
      <c r="H138" s="18"/>
    </row>
    <row r="139">
      <c r="A139" s="18"/>
      <c r="B139" s="23"/>
      <c r="C139" s="23"/>
      <c r="D139" s="23"/>
      <c r="E139" s="23"/>
      <c r="F139" s="18"/>
      <c r="G139" s="18"/>
      <c r="H139" s="18"/>
    </row>
    <row r="140">
      <c r="A140" s="18"/>
      <c r="B140" s="23"/>
      <c r="C140" s="23"/>
      <c r="D140" s="23"/>
      <c r="E140" s="23"/>
      <c r="F140" s="18"/>
      <c r="G140" s="18"/>
      <c r="H140" s="18"/>
    </row>
    <row r="141">
      <c r="A141" s="18"/>
      <c r="B141" s="23"/>
      <c r="C141" s="23"/>
      <c r="D141" s="23"/>
      <c r="E141" s="23"/>
      <c r="F141" s="18"/>
      <c r="G141" s="18"/>
      <c r="H141" s="18"/>
    </row>
    <row r="142">
      <c r="A142" s="18"/>
      <c r="B142" s="23"/>
      <c r="C142" s="23"/>
      <c r="D142" s="23"/>
      <c r="E142" s="23"/>
      <c r="F142" s="18"/>
      <c r="G142" s="18"/>
      <c r="H142" s="18"/>
    </row>
    <row r="143">
      <c r="A143" s="18"/>
      <c r="B143" s="23"/>
      <c r="C143" s="23"/>
      <c r="D143" s="23"/>
      <c r="E143" s="23"/>
      <c r="F143" s="18"/>
      <c r="G143" s="18"/>
      <c r="H143" s="18"/>
    </row>
    <row r="144">
      <c r="A144" s="18"/>
      <c r="B144" s="23"/>
      <c r="C144" s="23"/>
      <c r="D144" s="23"/>
      <c r="E144" s="23"/>
      <c r="F144" s="18"/>
      <c r="G144" s="18"/>
      <c r="H144" s="18"/>
    </row>
    <row r="145">
      <c r="A145" s="18"/>
      <c r="B145" s="23"/>
      <c r="C145" s="23"/>
      <c r="D145" s="23"/>
      <c r="E145" s="23"/>
      <c r="F145" s="18"/>
      <c r="G145" s="18"/>
      <c r="H145" s="18"/>
    </row>
    <row r="146">
      <c r="A146" s="18"/>
      <c r="B146" s="23"/>
      <c r="C146" s="23"/>
      <c r="D146" s="23"/>
      <c r="E146" s="23"/>
      <c r="F146" s="18"/>
      <c r="G146" s="18"/>
      <c r="H146" s="18"/>
    </row>
    <row r="147">
      <c r="A147" s="18"/>
      <c r="B147" s="23"/>
      <c r="C147" s="23"/>
      <c r="D147" s="23"/>
      <c r="E147" s="23"/>
      <c r="F147" s="18"/>
      <c r="G147" s="18"/>
      <c r="H147" s="18"/>
    </row>
    <row r="148">
      <c r="A148" s="18"/>
      <c r="B148" s="23"/>
      <c r="C148" s="23"/>
      <c r="D148" s="23"/>
      <c r="E148" s="23"/>
      <c r="F148" s="18"/>
      <c r="G148" s="18"/>
      <c r="H148" s="18"/>
    </row>
    <row r="149">
      <c r="A149" s="18"/>
      <c r="B149" s="23"/>
      <c r="C149" s="23"/>
      <c r="D149" s="23"/>
      <c r="E149" s="23"/>
      <c r="F149" s="18"/>
      <c r="G149" s="18"/>
      <c r="H149" s="18"/>
    </row>
    <row r="150">
      <c r="A150" s="18"/>
      <c r="B150" s="23"/>
      <c r="C150" s="23"/>
      <c r="D150" s="23"/>
      <c r="E150" s="23"/>
      <c r="F150" s="18"/>
      <c r="G150" s="18"/>
      <c r="H150" s="18"/>
    </row>
    <row r="151">
      <c r="A151" s="18"/>
      <c r="B151" s="23"/>
      <c r="C151" s="23"/>
      <c r="D151" s="23"/>
      <c r="E151" s="23"/>
      <c r="F151" s="18"/>
      <c r="G151" s="18"/>
      <c r="H151" s="18"/>
    </row>
    <row r="152">
      <c r="A152" s="18"/>
      <c r="B152" s="23"/>
      <c r="C152" s="23"/>
      <c r="D152" s="23"/>
      <c r="E152" s="23"/>
      <c r="F152" s="18"/>
      <c r="G152" s="18"/>
      <c r="H152" s="18"/>
    </row>
    <row r="153">
      <c r="A153" s="18"/>
      <c r="B153" s="23"/>
      <c r="C153" s="23"/>
      <c r="D153" s="23"/>
      <c r="E153" s="23"/>
      <c r="F153" s="18"/>
      <c r="G153" s="18"/>
      <c r="H153" s="18"/>
    </row>
    <row r="154">
      <c r="A154" s="18"/>
      <c r="B154" s="23"/>
      <c r="C154" s="23"/>
      <c r="D154" s="23"/>
      <c r="E154" s="23"/>
      <c r="F154" s="18"/>
      <c r="G154" s="18"/>
      <c r="H154" s="18"/>
    </row>
    <row r="155">
      <c r="A155" s="18"/>
      <c r="B155" s="23"/>
      <c r="C155" s="23"/>
      <c r="D155" s="23"/>
      <c r="E155" s="23"/>
      <c r="F155" s="18"/>
      <c r="G155" s="18"/>
      <c r="H155" s="18"/>
    </row>
    <row r="156">
      <c r="A156" s="18"/>
      <c r="B156" s="23"/>
      <c r="C156" s="23"/>
      <c r="D156" s="23"/>
      <c r="E156" s="23"/>
      <c r="F156" s="18"/>
      <c r="G156" s="18"/>
      <c r="H156" s="18"/>
    </row>
    <row r="157">
      <c r="A157" s="18"/>
      <c r="B157" s="23"/>
      <c r="C157" s="23"/>
      <c r="D157" s="23"/>
      <c r="E157" s="23"/>
      <c r="F157" s="18"/>
      <c r="G157" s="18"/>
      <c r="H157" s="18"/>
    </row>
    <row r="158">
      <c r="A158" s="18"/>
      <c r="B158" s="23"/>
      <c r="C158" s="23"/>
      <c r="D158" s="23"/>
      <c r="E158" s="23"/>
      <c r="F158" s="18"/>
      <c r="G158" s="18"/>
      <c r="H158" s="18"/>
    </row>
    <row r="159">
      <c r="A159" s="18"/>
      <c r="B159" s="23"/>
      <c r="C159" s="23"/>
      <c r="D159" s="23"/>
      <c r="E159" s="23"/>
      <c r="F159" s="18"/>
      <c r="G159" s="18"/>
      <c r="H159" s="18"/>
    </row>
    <row r="160">
      <c r="A160" s="18"/>
      <c r="B160" s="23"/>
      <c r="C160" s="23"/>
      <c r="D160" s="23"/>
      <c r="E160" s="23"/>
      <c r="F160" s="18"/>
      <c r="G160" s="18"/>
      <c r="H160" s="18"/>
    </row>
    <row r="161">
      <c r="A161" s="18"/>
      <c r="B161" s="23"/>
      <c r="C161" s="23"/>
      <c r="D161" s="23"/>
      <c r="E161" s="23"/>
      <c r="F161" s="18"/>
      <c r="G161" s="18"/>
      <c r="H161" s="18"/>
    </row>
    <row r="162">
      <c r="A162" s="18"/>
      <c r="B162" s="23"/>
      <c r="C162" s="23"/>
      <c r="D162" s="23"/>
      <c r="E162" s="23"/>
      <c r="F162" s="18"/>
      <c r="G162" s="18"/>
      <c r="H162" s="18"/>
    </row>
    <row r="163">
      <c r="A163" s="18"/>
      <c r="B163" s="23"/>
      <c r="C163" s="23"/>
      <c r="D163" s="23"/>
      <c r="E163" s="23"/>
      <c r="F163" s="18"/>
      <c r="G163" s="18"/>
      <c r="H163" s="18"/>
    </row>
    <row r="164">
      <c r="A164" s="18"/>
      <c r="B164" s="23"/>
      <c r="C164" s="23"/>
      <c r="D164" s="23"/>
      <c r="E164" s="23"/>
      <c r="F164" s="18"/>
      <c r="G164" s="18"/>
      <c r="H164" s="18"/>
    </row>
    <row r="165">
      <c r="A165" s="18"/>
      <c r="B165" s="23"/>
      <c r="C165" s="23"/>
      <c r="D165" s="23"/>
      <c r="E165" s="23"/>
      <c r="F165" s="18"/>
      <c r="G165" s="18"/>
      <c r="H165" s="18"/>
    </row>
    <row r="166">
      <c r="A166" s="18"/>
      <c r="B166" s="23"/>
      <c r="C166" s="23"/>
      <c r="D166" s="23"/>
      <c r="E166" s="23"/>
      <c r="F166" s="18"/>
      <c r="G166" s="18"/>
      <c r="H166" s="18"/>
    </row>
    <row r="167">
      <c r="A167" s="18"/>
      <c r="B167" s="23"/>
      <c r="C167" s="23"/>
      <c r="D167" s="23"/>
      <c r="E167" s="23"/>
      <c r="F167" s="18"/>
      <c r="G167" s="18"/>
      <c r="H167" s="18"/>
    </row>
    <row r="168">
      <c r="A168" s="18"/>
      <c r="B168" s="23"/>
      <c r="C168" s="23"/>
      <c r="D168" s="23"/>
      <c r="E168" s="23"/>
      <c r="F168" s="18"/>
      <c r="G168" s="18"/>
      <c r="H168" s="18"/>
    </row>
    <row r="169">
      <c r="A169" s="18"/>
      <c r="B169" s="23"/>
      <c r="C169" s="23"/>
      <c r="D169" s="23"/>
      <c r="E169" s="23"/>
      <c r="F169" s="18"/>
      <c r="G169" s="18"/>
      <c r="H169" s="18"/>
    </row>
    <row r="170">
      <c r="A170" s="18"/>
      <c r="B170" s="23"/>
      <c r="C170" s="23"/>
      <c r="D170" s="23"/>
      <c r="E170" s="23"/>
      <c r="F170" s="18"/>
      <c r="G170" s="18"/>
      <c r="H170" s="18"/>
    </row>
    <row r="171">
      <c r="A171" s="18"/>
      <c r="B171" s="23"/>
      <c r="C171" s="23"/>
      <c r="D171" s="23"/>
      <c r="E171" s="23"/>
      <c r="F171" s="18"/>
      <c r="G171" s="18"/>
      <c r="H171" s="18"/>
    </row>
    <row r="172">
      <c r="A172" s="18"/>
      <c r="B172" s="23"/>
      <c r="C172" s="23"/>
      <c r="D172" s="23"/>
      <c r="E172" s="23"/>
      <c r="F172" s="18"/>
      <c r="G172" s="18"/>
      <c r="H172" s="18"/>
    </row>
    <row r="173">
      <c r="A173" s="18"/>
      <c r="B173" s="23"/>
      <c r="C173" s="23"/>
      <c r="D173" s="23"/>
      <c r="E173" s="23"/>
      <c r="F173" s="18"/>
      <c r="G173" s="18"/>
      <c r="H173" s="18"/>
    </row>
    <row r="174">
      <c r="A174" s="18"/>
      <c r="B174" s="23"/>
      <c r="C174" s="23"/>
      <c r="D174" s="23"/>
      <c r="E174" s="23"/>
      <c r="F174" s="18"/>
      <c r="G174" s="18"/>
      <c r="H174" s="18"/>
    </row>
    <row r="175">
      <c r="A175" s="18"/>
      <c r="B175" s="23"/>
      <c r="C175" s="23"/>
      <c r="D175" s="23"/>
      <c r="E175" s="23"/>
      <c r="F175" s="18"/>
      <c r="G175" s="18"/>
      <c r="H175" s="18"/>
    </row>
    <row r="176">
      <c r="A176" s="18"/>
      <c r="B176" s="23"/>
      <c r="C176" s="23"/>
      <c r="D176" s="23"/>
      <c r="E176" s="23"/>
      <c r="F176" s="18"/>
      <c r="G176" s="18"/>
      <c r="H176" s="18"/>
    </row>
    <row r="177">
      <c r="A177" s="18"/>
      <c r="B177" s="23"/>
      <c r="C177" s="23"/>
      <c r="D177" s="23"/>
      <c r="E177" s="23"/>
      <c r="F177" s="18"/>
      <c r="G177" s="18"/>
      <c r="H177" s="18"/>
    </row>
    <row r="178">
      <c r="A178" s="18"/>
      <c r="B178" s="23"/>
      <c r="C178" s="23"/>
      <c r="D178" s="23"/>
      <c r="E178" s="23"/>
      <c r="F178" s="18"/>
      <c r="G178" s="18"/>
      <c r="H178" s="18"/>
    </row>
    <row r="179">
      <c r="A179" s="18"/>
      <c r="B179" s="23"/>
      <c r="C179" s="23"/>
      <c r="D179" s="23"/>
      <c r="E179" s="23"/>
      <c r="F179" s="18"/>
      <c r="G179" s="18"/>
      <c r="H179" s="18"/>
    </row>
    <row r="180">
      <c r="A180" s="18"/>
      <c r="B180" s="23"/>
      <c r="C180" s="23"/>
      <c r="D180" s="23"/>
      <c r="E180" s="23"/>
      <c r="F180" s="18"/>
      <c r="G180" s="18"/>
      <c r="H180" s="18"/>
    </row>
    <row r="181">
      <c r="A181" s="18"/>
      <c r="B181" s="23"/>
      <c r="C181" s="23"/>
      <c r="D181" s="23"/>
      <c r="E181" s="23"/>
      <c r="F181" s="18"/>
      <c r="G181" s="18"/>
      <c r="H181" s="18"/>
    </row>
    <row r="182">
      <c r="A182" s="18"/>
      <c r="B182" s="23"/>
      <c r="C182" s="23"/>
      <c r="D182" s="23"/>
      <c r="E182" s="23"/>
      <c r="F182" s="18"/>
      <c r="G182" s="18"/>
      <c r="H182" s="18"/>
    </row>
    <row r="183">
      <c r="A183" s="18"/>
      <c r="B183" s="23"/>
      <c r="C183" s="23"/>
      <c r="D183" s="23"/>
      <c r="E183" s="23"/>
      <c r="F183" s="18"/>
      <c r="G183" s="18"/>
      <c r="H183" s="18"/>
    </row>
    <row r="184">
      <c r="A184" s="18"/>
      <c r="B184" s="23"/>
      <c r="C184" s="23"/>
      <c r="D184" s="23"/>
      <c r="E184" s="23"/>
      <c r="F184" s="18"/>
      <c r="G184" s="18"/>
      <c r="H184" s="18"/>
    </row>
    <row r="185">
      <c r="A185" s="18"/>
      <c r="B185" s="23"/>
      <c r="C185" s="23"/>
      <c r="D185" s="23"/>
      <c r="E185" s="23"/>
      <c r="F185" s="18"/>
      <c r="G185" s="18"/>
      <c r="H185" s="18"/>
    </row>
    <row r="186">
      <c r="A186" s="18"/>
      <c r="B186" s="23"/>
      <c r="C186" s="23"/>
      <c r="D186" s="23"/>
      <c r="E186" s="23"/>
      <c r="F186" s="18"/>
      <c r="G186" s="18"/>
      <c r="H186" s="18"/>
    </row>
    <row r="187">
      <c r="A187" s="18"/>
      <c r="B187" s="23"/>
      <c r="C187" s="23"/>
      <c r="D187" s="23"/>
      <c r="E187" s="23"/>
      <c r="F187" s="18"/>
      <c r="G187" s="18"/>
      <c r="H187" s="18"/>
    </row>
    <row r="188">
      <c r="A188" s="18"/>
      <c r="B188" s="23"/>
      <c r="C188" s="23"/>
      <c r="D188" s="23"/>
      <c r="E188" s="23"/>
      <c r="F188" s="18"/>
      <c r="G188" s="18"/>
      <c r="H188" s="18"/>
    </row>
    <row r="189">
      <c r="A189" s="18"/>
      <c r="B189" s="23"/>
      <c r="C189" s="23"/>
      <c r="D189" s="23"/>
      <c r="E189" s="23"/>
      <c r="F189" s="18"/>
      <c r="G189" s="18"/>
      <c r="H189" s="18"/>
    </row>
    <row r="190">
      <c r="A190" s="18"/>
      <c r="B190" s="23"/>
      <c r="C190" s="23"/>
      <c r="D190" s="23"/>
      <c r="E190" s="23"/>
      <c r="F190" s="18"/>
      <c r="G190" s="18"/>
      <c r="H190" s="18"/>
    </row>
    <row r="191">
      <c r="A191" s="18"/>
      <c r="B191" s="23"/>
      <c r="C191" s="23"/>
      <c r="D191" s="23"/>
      <c r="E191" s="23"/>
      <c r="F191" s="18"/>
      <c r="G191" s="18"/>
      <c r="H191" s="18"/>
    </row>
    <row r="192">
      <c r="A192" s="18"/>
      <c r="B192" s="23"/>
      <c r="C192" s="23"/>
      <c r="D192" s="23"/>
      <c r="E192" s="23"/>
      <c r="F192" s="18"/>
      <c r="G192" s="18"/>
      <c r="H192" s="18"/>
    </row>
    <row r="193">
      <c r="A193" s="18"/>
      <c r="B193" s="23"/>
      <c r="C193" s="23"/>
      <c r="D193" s="23"/>
      <c r="E193" s="23"/>
      <c r="F193" s="18"/>
      <c r="G193" s="18"/>
      <c r="H193" s="18"/>
    </row>
    <row r="194">
      <c r="A194" s="18"/>
      <c r="B194" s="23"/>
      <c r="C194" s="23"/>
      <c r="D194" s="23"/>
      <c r="E194" s="23"/>
      <c r="F194" s="18"/>
      <c r="G194" s="18"/>
      <c r="H194" s="18"/>
    </row>
    <row r="195">
      <c r="A195" s="18"/>
      <c r="B195" s="23"/>
      <c r="C195" s="23"/>
      <c r="D195" s="23"/>
      <c r="E195" s="23"/>
      <c r="F195" s="18"/>
      <c r="G195" s="18"/>
      <c r="H195" s="18"/>
    </row>
    <row r="196">
      <c r="A196" s="18"/>
      <c r="B196" s="23"/>
      <c r="C196" s="23"/>
      <c r="D196" s="23"/>
      <c r="E196" s="23"/>
      <c r="F196" s="18"/>
      <c r="G196" s="18"/>
      <c r="H196" s="18"/>
    </row>
    <row r="197">
      <c r="A197" s="18"/>
      <c r="B197" s="23"/>
      <c r="C197" s="23"/>
      <c r="D197" s="23"/>
      <c r="E197" s="23"/>
      <c r="F197" s="18"/>
      <c r="G197" s="18"/>
      <c r="H197" s="18"/>
    </row>
    <row r="198">
      <c r="A198" s="18"/>
      <c r="B198" s="23"/>
      <c r="C198" s="23"/>
      <c r="D198" s="23"/>
      <c r="E198" s="23"/>
      <c r="F198" s="18"/>
      <c r="G198" s="18"/>
      <c r="H198" s="18"/>
    </row>
    <row r="199">
      <c r="A199" s="18"/>
      <c r="B199" s="23"/>
      <c r="C199" s="23"/>
      <c r="D199" s="23"/>
      <c r="E199" s="23"/>
      <c r="F199" s="18"/>
      <c r="G199" s="18"/>
      <c r="H199" s="18"/>
    </row>
    <row r="200">
      <c r="A200" s="18"/>
      <c r="B200" s="23"/>
      <c r="C200" s="23"/>
      <c r="D200" s="23"/>
      <c r="E200" s="23"/>
      <c r="F200" s="18"/>
      <c r="G200" s="18"/>
      <c r="H200" s="18"/>
    </row>
    <row r="201">
      <c r="A201" s="18"/>
      <c r="B201" s="23"/>
      <c r="C201" s="23"/>
      <c r="D201" s="23"/>
      <c r="E201" s="23"/>
      <c r="F201" s="18"/>
      <c r="G201" s="18"/>
      <c r="H201" s="18"/>
    </row>
    <row r="202">
      <c r="A202" s="18"/>
      <c r="B202" s="23"/>
      <c r="C202" s="23"/>
      <c r="D202" s="23"/>
      <c r="E202" s="23"/>
      <c r="F202" s="18"/>
      <c r="G202" s="18"/>
      <c r="H202" s="18"/>
    </row>
    <row r="203">
      <c r="A203" s="18"/>
      <c r="B203" s="23"/>
      <c r="C203" s="23"/>
      <c r="D203" s="23"/>
      <c r="E203" s="23"/>
      <c r="F203" s="18"/>
      <c r="G203" s="18"/>
      <c r="H203" s="18"/>
    </row>
    <row r="204">
      <c r="A204" s="18"/>
      <c r="B204" s="23"/>
      <c r="C204" s="23"/>
      <c r="D204" s="23"/>
      <c r="E204" s="23"/>
      <c r="F204" s="18"/>
      <c r="G204" s="18"/>
      <c r="H204" s="18"/>
    </row>
    <row r="205">
      <c r="A205" s="18"/>
      <c r="B205" s="23"/>
      <c r="C205" s="23"/>
      <c r="D205" s="23"/>
      <c r="E205" s="23"/>
      <c r="F205" s="18"/>
      <c r="G205" s="18"/>
      <c r="H205" s="18"/>
    </row>
    <row r="206">
      <c r="A206" s="18"/>
      <c r="B206" s="23"/>
      <c r="C206" s="23"/>
      <c r="D206" s="23"/>
      <c r="E206" s="23"/>
      <c r="F206" s="18"/>
      <c r="G206" s="18"/>
      <c r="H206" s="18"/>
    </row>
    <row r="207">
      <c r="A207" s="18"/>
      <c r="B207" s="23"/>
      <c r="C207" s="23"/>
      <c r="D207" s="23"/>
      <c r="E207" s="23"/>
      <c r="F207" s="18"/>
      <c r="G207" s="18"/>
      <c r="H207" s="18"/>
    </row>
    <row r="208">
      <c r="A208" s="18"/>
      <c r="B208" s="23"/>
      <c r="C208" s="23"/>
      <c r="D208" s="23"/>
      <c r="E208" s="23"/>
      <c r="F208" s="18"/>
      <c r="G208" s="18"/>
      <c r="H208" s="18"/>
    </row>
    <row r="209">
      <c r="A209" s="18"/>
      <c r="B209" s="23"/>
      <c r="C209" s="23"/>
      <c r="D209" s="23"/>
      <c r="E209" s="23"/>
      <c r="F209" s="18"/>
      <c r="G209" s="18"/>
      <c r="H209" s="18"/>
    </row>
    <row r="210">
      <c r="A210" s="18"/>
      <c r="B210" s="23"/>
      <c r="C210" s="23"/>
      <c r="D210" s="23"/>
      <c r="E210" s="23"/>
      <c r="F210" s="18"/>
      <c r="G210" s="18"/>
      <c r="H210" s="18"/>
    </row>
    <row r="211">
      <c r="A211" s="18"/>
      <c r="B211" s="23"/>
      <c r="C211" s="23"/>
      <c r="D211" s="23"/>
      <c r="E211" s="23"/>
      <c r="F211" s="18"/>
      <c r="G211" s="18"/>
      <c r="H211" s="18"/>
    </row>
    <row r="212">
      <c r="A212" s="18"/>
      <c r="B212" s="23"/>
      <c r="C212" s="23"/>
      <c r="D212" s="23"/>
      <c r="E212" s="23"/>
      <c r="F212" s="18"/>
      <c r="G212" s="18"/>
      <c r="H212" s="18"/>
    </row>
    <row r="213">
      <c r="A213" s="18"/>
      <c r="B213" s="23"/>
      <c r="C213" s="23"/>
      <c r="D213" s="23"/>
      <c r="E213" s="23"/>
      <c r="F213" s="18"/>
      <c r="G213" s="18"/>
      <c r="H213" s="18"/>
    </row>
    <row r="214">
      <c r="A214" s="18"/>
      <c r="B214" s="23"/>
      <c r="C214" s="23"/>
      <c r="D214" s="23"/>
      <c r="E214" s="23"/>
      <c r="F214" s="18"/>
      <c r="G214" s="18"/>
      <c r="H214" s="18"/>
    </row>
    <row r="215">
      <c r="A215" s="18"/>
      <c r="B215" s="23"/>
      <c r="C215" s="23"/>
      <c r="D215" s="23"/>
      <c r="E215" s="23"/>
      <c r="F215" s="18"/>
      <c r="G215" s="18"/>
      <c r="H215" s="18"/>
    </row>
    <row r="216">
      <c r="A216" s="18"/>
      <c r="B216" s="23"/>
      <c r="C216" s="23"/>
      <c r="D216" s="23"/>
      <c r="E216" s="23"/>
      <c r="F216" s="18"/>
      <c r="G216" s="18"/>
      <c r="H216" s="18"/>
    </row>
    <row r="217">
      <c r="A217" s="18"/>
      <c r="B217" s="23"/>
      <c r="C217" s="23"/>
      <c r="D217" s="23"/>
      <c r="E217" s="23"/>
      <c r="F217" s="18"/>
      <c r="G217" s="18"/>
      <c r="H217" s="18"/>
    </row>
    <row r="218">
      <c r="A218" s="18"/>
      <c r="B218" s="23"/>
      <c r="C218" s="23"/>
      <c r="D218" s="23"/>
      <c r="E218" s="23"/>
      <c r="F218" s="18"/>
      <c r="G218" s="18"/>
      <c r="H218" s="18"/>
    </row>
    <row r="219">
      <c r="A219" s="18"/>
      <c r="B219" s="23"/>
      <c r="C219" s="23"/>
      <c r="D219" s="23"/>
      <c r="E219" s="23"/>
      <c r="F219" s="18"/>
      <c r="G219" s="18"/>
      <c r="H219" s="18"/>
    </row>
    <row r="220">
      <c r="A220" s="18"/>
      <c r="B220" s="23"/>
      <c r="C220" s="23"/>
      <c r="D220" s="23"/>
      <c r="E220" s="23"/>
      <c r="F220" s="18"/>
      <c r="G220" s="18"/>
      <c r="H220" s="18"/>
    </row>
    <row r="221">
      <c r="A221" s="18"/>
      <c r="B221" s="23"/>
      <c r="C221" s="23"/>
      <c r="D221" s="23"/>
      <c r="E221" s="23"/>
      <c r="F221" s="18"/>
      <c r="G221" s="18"/>
      <c r="H221" s="18"/>
    </row>
    <row r="222">
      <c r="A222" s="18"/>
      <c r="B222" s="23"/>
      <c r="C222" s="23"/>
      <c r="D222" s="23"/>
      <c r="E222" s="23"/>
      <c r="F222" s="18"/>
      <c r="G222" s="18"/>
      <c r="H222" s="18"/>
    </row>
    <row r="223">
      <c r="A223" s="18"/>
      <c r="B223" s="23"/>
      <c r="C223" s="23"/>
      <c r="D223" s="23"/>
      <c r="E223" s="23"/>
      <c r="F223" s="18"/>
      <c r="G223" s="18"/>
      <c r="H223" s="18"/>
    </row>
    <row r="224">
      <c r="A224" s="18"/>
      <c r="B224" s="23"/>
      <c r="C224" s="23"/>
      <c r="D224" s="23"/>
      <c r="E224" s="23"/>
      <c r="F224" s="18"/>
      <c r="G224" s="18"/>
      <c r="H224" s="18"/>
    </row>
    <row r="225">
      <c r="A225" s="18"/>
      <c r="B225" s="23"/>
      <c r="C225" s="23"/>
      <c r="D225" s="23"/>
      <c r="E225" s="23"/>
      <c r="F225" s="18"/>
      <c r="G225" s="18"/>
      <c r="H225" s="18"/>
    </row>
    <row r="226">
      <c r="A226" s="18"/>
      <c r="B226" s="23"/>
      <c r="C226" s="23"/>
      <c r="D226" s="23"/>
      <c r="E226" s="23"/>
      <c r="F226" s="18"/>
      <c r="G226" s="18"/>
      <c r="H226" s="18"/>
    </row>
    <row r="227">
      <c r="A227" s="18"/>
      <c r="B227" s="23"/>
      <c r="C227" s="23"/>
      <c r="D227" s="23"/>
      <c r="E227" s="23"/>
      <c r="F227" s="18"/>
      <c r="G227" s="18"/>
      <c r="H227" s="18"/>
    </row>
    <row r="228">
      <c r="A228" s="18"/>
      <c r="B228" s="23"/>
      <c r="C228" s="23"/>
      <c r="D228" s="23"/>
      <c r="E228" s="23"/>
      <c r="F228" s="18"/>
      <c r="G228" s="18"/>
      <c r="H228" s="18"/>
    </row>
    <row r="229">
      <c r="A229" s="18"/>
      <c r="B229" s="23"/>
      <c r="C229" s="23"/>
      <c r="D229" s="23"/>
      <c r="E229" s="23"/>
      <c r="F229" s="18"/>
      <c r="G229" s="18"/>
      <c r="H229" s="18"/>
    </row>
    <row r="230">
      <c r="A230" s="18"/>
      <c r="B230" s="23"/>
      <c r="C230" s="23"/>
      <c r="D230" s="23"/>
      <c r="E230" s="23"/>
      <c r="F230" s="18"/>
      <c r="G230" s="18"/>
      <c r="H230" s="18"/>
    </row>
    <row r="231">
      <c r="A231" s="18"/>
      <c r="B231" s="23"/>
      <c r="C231" s="23"/>
      <c r="D231" s="23"/>
      <c r="E231" s="23"/>
      <c r="F231" s="18"/>
      <c r="G231" s="18"/>
      <c r="H231" s="18"/>
    </row>
    <row r="232">
      <c r="A232" s="18"/>
      <c r="B232" s="23"/>
      <c r="C232" s="23"/>
      <c r="D232" s="23"/>
      <c r="E232" s="23"/>
      <c r="F232" s="18"/>
      <c r="G232" s="18"/>
      <c r="H232" s="18"/>
    </row>
    <row r="233">
      <c r="A233" s="18"/>
      <c r="B233" s="23"/>
      <c r="C233" s="23"/>
      <c r="D233" s="23"/>
      <c r="E233" s="23"/>
      <c r="F233" s="18"/>
      <c r="G233" s="18"/>
      <c r="H233" s="18"/>
    </row>
    <row r="234">
      <c r="A234" s="18"/>
      <c r="B234" s="23"/>
      <c r="C234" s="23"/>
      <c r="D234" s="23"/>
      <c r="E234" s="23"/>
      <c r="F234" s="18"/>
      <c r="G234" s="18"/>
      <c r="H234" s="18"/>
    </row>
    <row r="235">
      <c r="A235" s="18"/>
      <c r="B235" s="23"/>
      <c r="C235" s="23"/>
      <c r="D235" s="23"/>
      <c r="E235" s="23"/>
      <c r="F235" s="18"/>
      <c r="G235" s="18"/>
      <c r="H235" s="18"/>
    </row>
    <row r="236">
      <c r="A236" s="18"/>
      <c r="B236" s="23"/>
      <c r="C236" s="23"/>
      <c r="D236" s="23"/>
      <c r="E236" s="23"/>
      <c r="F236" s="18"/>
      <c r="G236" s="18"/>
      <c r="H236" s="18"/>
    </row>
    <row r="237">
      <c r="A237" s="18"/>
      <c r="B237" s="23"/>
      <c r="C237" s="23"/>
      <c r="D237" s="23"/>
      <c r="E237" s="23"/>
      <c r="F237" s="18"/>
      <c r="G237" s="18"/>
      <c r="H237" s="18"/>
    </row>
    <row r="238">
      <c r="A238" s="18"/>
      <c r="B238" s="23"/>
      <c r="C238" s="23"/>
      <c r="D238" s="23"/>
      <c r="E238" s="23"/>
      <c r="F238" s="18"/>
      <c r="G238" s="18"/>
      <c r="H238" s="18"/>
    </row>
    <row r="239">
      <c r="A239" s="18"/>
      <c r="B239" s="23"/>
      <c r="C239" s="23"/>
      <c r="D239" s="23"/>
      <c r="E239" s="23"/>
      <c r="F239" s="18"/>
      <c r="G239" s="18"/>
      <c r="H239" s="18"/>
    </row>
    <row r="240">
      <c r="A240" s="18"/>
      <c r="B240" s="23"/>
      <c r="C240" s="23"/>
      <c r="D240" s="23"/>
      <c r="E240" s="23"/>
      <c r="F240" s="18"/>
      <c r="G240" s="18"/>
      <c r="H240" s="18"/>
    </row>
    <row r="241">
      <c r="A241" s="18"/>
      <c r="B241" s="23"/>
      <c r="C241" s="23"/>
      <c r="D241" s="23"/>
      <c r="E241" s="23"/>
      <c r="F241" s="18"/>
      <c r="G241" s="18"/>
      <c r="H241" s="18"/>
    </row>
    <row r="242">
      <c r="A242" s="18"/>
      <c r="B242" s="23"/>
      <c r="C242" s="23"/>
      <c r="D242" s="23"/>
      <c r="E242" s="23"/>
      <c r="F242" s="18"/>
      <c r="G242" s="18"/>
      <c r="H242" s="18"/>
    </row>
    <row r="243">
      <c r="A243" s="18"/>
      <c r="B243" s="23"/>
      <c r="C243" s="23"/>
      <c r="D243" s="23"/>
      <c r="E243" s="23"/>
      <c r="F243" s="18"/>
      <c r="G243" s="18"/>
      <c r="H243" s="18"/>
    </row>
    <row r="244">
      <c r="A244" s="18"/>
      <c r="B244" s="23"/>
      <c r="C244" s="23"/>
      <c r="D244" s="23"/>
      <c r="E244" s="23"/>
      <c r="F244" s="18"/>
      <c r="G244" s="18"/>
      <c r="H244" s="18"/>
    </row>
    <row r="245">
      <c r="A245" s="18"/>
      <c r="B245" s="23"/>
      <c r="C245" s="23"/>
      <c r="D245" s="23"/>
      <c r="E245" s="23"/>
      <c r="F245" s="18"/>
      <c r="G245" s="18"/>
      <c r="H245" s="18"/>
    </row>
    <row r="246">
      <c r="A246" s="18"/>
      <c r="B246" s="23"/>
      <c r="C246" s="23"/>
      <c r="D246" s="23"/>
      <c r="E246" s="23"/>
      <c r="F246" s="18"/>
      <c r="G246" s="18"/>
      <c r="H246" s="18"/>
    </row>
    <row r="247">
      <c r="A247" s="18"/>
      <c r="B247" s="23"/>
      <c r="C247" s="23"/>
      <c r="D247" s="23"/>
      <c r="E247" s="23"/>
      <c r="F247" s="18"/>
      <c r="G247" s="18"/>
      <c r="H247" s="18"/>
    </row>
    <row r="248">
      <c r="A248" s="18"/>
      <c r="B248" s="23"/>
      <c r="C248" s="23"/>
      <c r="D248" s="23"/>
      <c r="E248" s="23"/>
      <c r="F248" s="18"/>
      <c r="G248" s="18"/>
      <c r="H248" s="18"/>
    </row>
    <row r="249">
      <c r="A249" s="18"/>
      <c r="B249" s="23"/>
      <c r="C249" s="23"/>
      <c r="D249" s="23"/>
      <c r="E249" s="23"/>
      <c r="F249" s="18"/>
      <c r="G249" s="18"/>
      <c r="H249" s="18"/>
    </row>
    <row r="250">
      <c r="A250" s="18"/>
      <c r="B250" s="23"/>
      <c r="C250" s="23"/>
      <c r="D250" s="23"/>
      <c r="E250" s="23"/>
      <c r="F250" s="18"/>
      <c r="G250" s="18"/>
      <c r="H250" s="18"/>
    </row>
    <row r="251">
      <c r="A251" s="18"/>
      <c r="B251" s="23"/>
      <c r="C251" s="23"/>
      <c r="D251" s="23"/>
      <c r="E251" s="23"/>
      <c r="F251" s="18"/>
      <c r="G251" s="18"/>
      <c r="H251" s="18"/>
    </row>
    <row r="252">
      <c r="A252" s="18"/>
      <c r="B252" s="23"/>
      <c r="C252" s="23"/>
      <c r="D252" s="23"/>
      <c r="E252" s="23"/>
      <c r="F252" s="18"/>
      <c r="G252" s="18"/>
      <c r="H252" s="18"/>
    </row>
    <row r="253">
      <c r="A253" s="18"/>
      <c r="B253" s="23"/>
      <c r="C253" s="23"/>
      <c r="D253" s="23"/>
      <c r="E253" s="23"/>
      <c r="F253" s="18"/>
      <c r="G253" s="18"/>
      <c r="H253" s="18"/>
    </row>
    <row r="254">
      <c r="A254" s="18"/>
      <c r="B254" s="23"/>
      <c r="C254" s="23"/>
      <c r="D254" s="23"/>
      <c r="E254" s="23"/>
      <c r="F254" s="18"/>
      <c r="G254" s="18"/>
      <c r="H254" s="18"/>
    </row>
    <row r="255">
      <c r="A255" s="18"/>
      <c r="B255" s="23"/>
      <c r="C255" s="23"/>
      <c r="D255" s="23"/>
      <c r="E255" s="23"/>
      <c r="F255" s="18"/>
      <c r="G255" s="18"/>
      <c r="H255" s="18"/>
    </row>
    <row r="256">
      <c r="A256" s="18"/>
      <c r="B256" s="23"/>
      <c r="C256" s="23"/>
      <c r="D256" s="23"/>
      <c r="E256" s="23"/>
      <c r="F256" s="18"/>
      <c r="G256" s="18"/>
      <c r="H256" s="18"/>
    </row>
    <row r="257">
      <c r="A257" s="18"/>
      <c r="B257" s="23"/>
      <c r="C257" s="23"/>
      <c r="D257" s="23"/>
      <c r="E257" s="23"/>
      <c r="F257" s="18"/>
      <c r="G257" s="18"/>
      <c r="H257" s="18"/>
    </row>
    <row r="258">
      <c r="A258" s="18"/>
      <c r="B258" s="23"/>
      <c r="C258" s="23"/>
      <c r="D258" s="23"/>
      <c r="E258" s="23"/>
      <c r="F258" s="18"/>
      <c r="G258" s="18"/>
      <c r="H258" s="18"/>
    </row>
    <row r="259">
      <c r="A259" s="18"/>
      <c r="B259" s="23"/>
      <c r="C259" s="23"/>
      <c r="D259" s="23"/>
      <c r="E259" s="23"/>
      <c r="F259" s="18"/>
      <c r="G259" s="18"/>
      <c r="H259" s="18"/>
    </row>
    <row r="260">
      <c r="A260" s="18"/>
      <c r="B260" s="23"/>
      <c r="C260" s="23"/>
      <c r="D260" s="23"/>
      <c r="E260" s="23"/>
      <c r="F260" s="18"/>
      <c r="G260" s="18"/>
      <c r="H260" s="18"/>
    </row>
    <row r="261">
      <c r="A261" s="18"/>
      <c r="B261" s="23"/>
      <c r="C261" s="23"/>
      <c r="D261" s="23"/>
      <c r="E261" s="23"/>
      <c r="F261" s="18"/>
      <c r="G261" s="18"/>
      <c r="H261" s="18"/>
    </row>
    <row r="262">
      <c r="A262" s="18"/>
      <c r="B262" s="23"/>
      <c r="C262" s="23"/>
      <c r="D262" s="23"/>
      <c r="E262" s="23"/>
      <c r="F262" s="18"/>
      <c r="G262" s="18"/>
      <c r="H262" s="18"/>
    </row>
    <row r="263">
      <c r="A263" s="18"/>
      <c r="B263" s="23"/>
      <c r="C263" s="23"/>
      <c r="D263" s="23"/>
      <c r="E263" s="23"/>
      <c r="F263" s="18"/>
      <c r="G263" s="18"/>
      <c r="H263" s="18"/>
    </row>
    <row r="264">
      <c r="A264" s="18"/>
      <c r="B264" s="23"/>
      <c r="C264" s="23"/>
      <c r="D264" s="23"/>
      <c r="E264" s="23"/>
      <c r="F264" s="18"/>
      <c r="G264" s="18"/>
      <c r="H264" s="18"/>
    </row>
    <row r="265">
      <c r="A265" s="18"/>
      <c r="B265" s="23"/>
      <c r="C265" s="23"/>
      <c r="D265" s="23"/>
      <c r="E265" s="23"/>
      <c r="F265" s="18"/>
      <c r="G265" s="18"/>
      <c r="H265" s="18"/>
    </row>
    <row r="266">
      <c r="A266" s="18"/>
      <c r="B266" s="23"/>
      <c r="C266" s="23"/>
      <c r="D266" s="23"/>
      <c r="E266" s="23"/>
      <c r="F266" s="18"/>
      <c r="G266" s="18"/>
      <c r="H266" s="18"/>
    </row>
    <row r="267">
      <c r="A267" s="18"/>
      <c r="B267" s="23"/>
      <c r="C267" s="23"/>
      <c r="D267" s="23"/>
      <c r="E267" s="23"/>
      <c r="F267" s="18"/>
      <c r="G267" s="18"/>
      <c r="H267" s="18"/>
    </row>
    <row r="268">
      <c r="A268" s="18"/>
      <c r="B268" s="23"/>
      <c r="C268" s="23"/>
      <c r="D268" s="23"/>
      <c r="E268" s="23"/>
      <c r="F268" s="18"/>
      <c r="G268" s="18"/>
      <c r="H268" s="18"/>
    </row>
    <row r="269">
      <c r="A269" s="18"/>
      <c r="B269" s="23"/>
      <c r="C269" s="23"/>
      <c r="D269" s="23"/>
      <c r="E269" s="23"/>
      <c r="F269" s="18"/>
      <c r="G269" s="18"/>
      <c r="H269" s="18"/>
    </row>
    <row r="270">
      <c r="A270" s="18"/>
      <c r="B270" s="23"/>
      <c r="C270" s="23"/>
      <c r="D270" s="23"/>
      <c r="E270" s="23"/>
      <c r="F270" s="18"/>
      <c r="G270" s="18"/>
      <c r="H270" s="18"/>
    </row>
    <row r="271">
      <c r="A271" s="18"/>
      <c r="B271" s="23"/>
      <c r="C271" s="23"/>
      <c r="D271" s="23"/>
      <c r="E271" s="23"/>
      <c r="F271" s="18"/>
      <c r="G271" s="18"/>
      <c r="H271" s="18"/>
    </row>
    <row r="272">
      <c r="A272" s="18"/>
      <c r="B272" s="23"/>
      <c r="C272" s="23"/>
      <c r="D272" s="23"/>
      <c r="E272" s="23"/>
      <c r="F272" s="18"/>
      <c r="G272" s="18"/>
      <c r="H272" s="18"/>
    </row>
    <row r="273">
      <c r="A273" s="18"/>
      <c r="B273" s="23"/>
      <c r="C273" s="23"/>
      <c r="D273" s="23"/>
      <c r="E273" s="23"/>
      <c r="F273" s="18"/>
      <c r="G273" s="18"/>
      <c r="H273" s="18"/>
    </row>
    <row r="274">
      <c r="A274" s="18"/>
      <c r="B274" s="23"/>
      <c r="C274" s="23"/>
      <c r="D274" s="23"/>
      <c r="E274" s="23"/>
      <c r="F274" s="18"/>
      <c r="G274" s="18"/>
      <c r="H274" s="18"/>
    </row>
    <row r="275">
      <c r="A275" s="18"/>
      <c r="B275" s="23"/>
      <c r="C275" s="23"/>
      <c r="D275" s="23"/>
      <c r="E275" s="23"/>
      <c r="F275" s="18"/>
      <c r="G275" s="18"/>
      <c r="H275" s="18"/>
    </row>
    <row r="276">
      <c r="A276" s="18"/>
      <c r="B276" s="23"/>
      <c r="C276" s="23"/>
      <c r="D276" s="23"/>
      <c r="E276" s="23"/>
      <c r="F276" s="18"/>
      <c r="G276" s="18"/>
      <c r="H276" s="18"/>
    </row>
    <row r="277">
      <c r="A277" s="18"/>
      <c r="B277" s="23"/>
      <c r="C277" s="23"/>
      <c r="D277" s="23"/>
      <c r="E277" s="23"/>
      <c r="F277" s="18"/>
      <c r="G277" s="18"/>
      <c r="H277" s="18"/>
    </row>
    <row r="278">
      <c r="A278" s="18"/>
      <c r="B278" s="23"/>
      <c r="C278" s="23"/>
      <c r="D278" s="23"/>
      <c r="E278" s="23"/>
      <c r="F278" s="18"/>
      <c r="G278" s="18"/>
      <c r="H278" s="18"/>
    </row>
    <row r="279">
      <c r="A279" s="18"/>
      <c r="B279" s="23"/>
      <c r="C279" s="23"/>
      <c r="D279" s="23"/>
      <c r="E279" s="23"/>
      <c r="F279" s="18"/>
      <c r="G279" s="18"/>
      <c r="H279" s="18"/>
    </row>
    <row r="280">
      <c r="A280" s="18"/>
      <c r="B280" s="23"/>
      <c r="C280" s="23"/>
      <c r="D280" s="23"/>
      <c r="E280" s="23"/>
      <c r="F280" s="18"/>
      <c r="G280" s="18"/>
      <c r="H280" s="18"/>
    </row>
    <row r="281">
      <c r="A281" s="18"/>
      <c r="B281" s="23"/>
      <c r="C281" s="23"/>
      <c r="D281" s="23"/>
      <c r="E281" s="23"/>
      <c r="F281" s="18"/>
      <c r="G281" s="18"/>
      <c r="H281" s="18"/>
    </row>
    <row r="282">
      <c r="A282" s="18"/>
      <c r="B282" s="23"/>
      <c r="C282" s="23"/>
      <c r="D282" s="23"/>
      <c r="E282" s="23"/>
      <c r="F282" s="18"/>
      <c r="G282" s="18"/>
      <c r="H282" s="18"/>
    </row>
    <row r="283">
      <c r="A283" s="18"/>
      <c r="B283" s="23"/>
      <c r="C283" s="23"/>
      <c r="D283" s="23"/>
      <c r="E283" s="23"/>
      <c r="F283" s="18"/>
      <c r="G283" s="18"/>
      <c r="H283" s="18"/>
    </row>
    <row r="284">
      <c r="A284" s="18"/>
      <c r="B284" s="23"/>
      <c r="C284" s="23"/>
      <c r="D284" s="23"/>
      <c r="E284" s="23"/>
      <c r="F284" s="18"/>
      <c r="G284" s="18"/>
      <c r="H284" s="18"/>
    </row>
    <row r="285">
      <c r="A285" s="18"/>
      <c r="B285" s="23"/>
      <c r="C285" s="23"/>
      <c r="D285" s="23"/>
      <c r="E285" s="23"/>
      <c r="F285" s="18"/>
      <c r="G285" s="18"/>
      <c r="H285" s="18"/>
    </row>
    <row r="286">
      <c r="A286" s="18"/>
      <c r="B286" s="23"/>
      <c r="C286" s="23"/>
      <c r="D286" s="23"/>
      <c r="E286" s="23"/>
      <c r="F286" s="18"/>
      <c r="G286" s="18"/>
      <c r="H286" s="18"/>
    </row>
    <row r="287">
      <c r="A287" s="18"/>
      <c r="B287" s="23"/>
      <c r="C287" s="23"/>
      <c r="D287" s="23"/>
      <c r="E287" s="23"/>
      <c r="F287" s="18"/>
      <c r="G287" s="18"/>
      <c r="H287" s="18"/>
    </row>
    <row r="288">
      <c r="A288" s="18"/>
      <c r="B288" s="23"/>
      <c r="C288" s="23"/>
      <c r="D288" s="23"/>
      <c r="E288" s="23"/>
      <c r="F288" s="18"/>
      <c r="G288" s="18"/>
      <c r="H288" s="18"/>
    </row>
    <row r="289">
      <c r="A289" s="18"/>
      <c r="B289" s="23"/>
      <c r="C289" s="23"/>
      <c r="D289" s="23"/>
      <c r="E289" s="23"/>
      <c r="F289" s="18"/>
      <c r="G289" s="18"/>
      <c r="H289" s="18"/>
    </row>
    <row r="290">
      <c r="A290" s="18"/>
      <c r="B290" s="23"/>
      <c r="C290" s="23"/>
      <c r="D290" s="23"/>
      <c r="E290" s="23"/>
      <c r="F290" s="18"/>
      <c r="G290" s="18"/>
      <c r="H290" s="18"/>
    </row>
    <row r="291">
      <c r="A291" s="18"/>
      <c r="B291" s="23"/>
      <c r="C291" s="23"/>
      <c r="D291" s="23"/>
      <c r="E291" s="23"/>
      <c r="F291" s="18"/>
      <c r="G291" s="18"/>
      <c r="H291" s="18"/>
    </row>
    <row r="292">
      <c r="A292" s="18"/>
      <c r="B292" s="23"/>
      <c r="C292" s="23"/>
      <c r="D292" s="23"/>
      <c r="E292" s="23"/>
      <c r="F292" s="18"/>
      <c r="G292" s="18"/>
      <c r="H292" s="18"/>
    </row>
    <row r="293">
      <c r="A293" s="18"/>
      <c r="B293" s="23"/>
      <c r="C293" s="23"/>
      <c r="D293" s="23"/>
      <c r="E293" s="23"/>
      <c r="F293" s="18"/>
      <c r="G293" s="18"/>
      <c r="H293" s="18"/>
    </row>
    <row r="294">
      <c r="A294" s="18"/>
      <c r="B294" s="23"/>
      <c r="C294" s="23"/>
      <c r="D294" s="23"/>
      <c r="E294" s="23"/>
      <c r="F294" s="18"/>
      <c r="G294" s="18"/>
      <c r="H294" s="18"/>
    </row>
    <row r="295">
      <c r="A295" s="18"/>
      <c r="B295" s="23"/>
      <c r="C295" s="23"/>
      <c r="D295" s="23"/>
      <c r="E295" s="23"/>
      <c r="F295" s="18"/>
      <c r="G295" s="18"/>
      <c r="H295" s="18"/>
    </row>
    <row r="296">
      <c r="A296" s="18"/>
      <c r="B296" s="23"/>
      <c r="C296" s="23"/>
      <c r="D296" s="23"/>
      <c r="E296" s="23"/>
      <c r="F296" s="18"/>
      <c r="G296" s="18"/>
      <c r="H296" s="18"/>
    </row>
    <row r="297">
      <c r="A297" s="18"/>
      <c r="B297" s="23"/>
      <c r="C297" s="23"/>
      <c r="D297" s="23"/>
      <c r="E297" s="23"/>
      <c r="F297" s="18"/>
      <c r="G297" s="18"/>
      <c r="H297" s="18"/>
    </row>
    <row r="298">
      <c r="A298" s="18"/>
      <c r="B298" s="23"/>
      <c r="C298" s="23"/>
      <c r="D298" s="23"/>
      <c r="E298" s="23"/>
      <c r="F298" s="18"/>
      <c r="G298" s="18"/>
      <c r="H298" s="18"/>
    </row>
    <row r="299">
      <c r="A299" s="18"/>
      <c r="B299" s="23"/>
      <c r="C299" s="23"/>
      <c r="D299" s="23"/>
      <c r="E299" s="23"/>
      <c r="F299" s="18"/>
      <c r="G299" s="18"/>
      <c r="H299" s="18"/>
    </row>
    <row r="300">
      <c r="A300" s="18"/>
      <c r="B300" s="23"/>
      <c r="C300" s="23"/>
      <c r="D300" s="23"/>
      <c r="E300" s="23"/>
      <c r="F300" s="18"/>
      <c r="G300" s="18"/>
      <c r="H300" s="18"/>
    </row>
    <row r="301">
      <c r="A301" s="18"/>
      <c r="B301" s="23"/>
      <c r="C301" s="23"/>
      <c r="D301" s="23"/>
      <c r="E301" s="23"/>
      <c r="F301" s="18"/>
      <c r="G301" s="18"/>
      <c r="H301" s="18"/>
    </row>
    <row r="302">
      <c r="A302" s="18"/>
      <c r="B302" s="23"/>
      <c r="C302" s="23"/>
      <c r="D302" s="23"/>
      <c r="E302" s="23"/>
      <c r="F302" s="18"/>
      <c r="G302" s="18"/>
      <c r="H302" s="18"/>
    </row>
    <row r="303">
      <c r="A303" s="18"/>
      <c r="B303" s="23"/>
      <c r="C303" s="23"/>
      <c r="D303" s="23"/>
      <c r="E303" s="23"/>
      <c r="F303" s="18"/>
      <c r="G303" s="18"/>
      <c r="H303" s="18"/>
    </row>
    <row r="304">
      <c r="A304" s="18"/>
      <c r="B304" s="23"/>
      <c r="C304" s="23"/>
      <c r="D304" s="23"/>
      <c r="E304" s="23"/>
      <c r="F304" s="18"/>
      <c r="G304" s="18"/>
      <c r="H304" s="18"/>
    </row>
    <row r="305">
      <c r="A305" s="18"/>
      <c r="B305" s="23"/>
      <c r="C305" s="23"/>
      <c r="D305" s="23"/>
      <c r="E305" s="23"/>
      <c r="F305" s="18"/>
      <c r="G305" s="18"/>
      <c r="H305" s="18"/>
    </row>
    <row r="306">
      <c r="A306" s="18"/>
      <c r="B306" s="23"/>
      <c r="C306" s="23"/>
      <c r="D306" s="23"/>
      <c r="E306" s="23"/>
      <c r="F306" s="18"/>
      <c r="G306" s="18"/>
      <c r="H306" s="18"/>
    </row>
    <row r="307">
      <c r="A307" s="18"/>
      <c r="B307" s="23"/>
      <c r="C307" s="23"/>
      <c r="D307" s="23"/>
      <c r="E307" s="23"/>
      <c r="F307" s="18"/>
      <c r="G307" s="18"/>
      <c r="H307" s="18"/>
    </row>
    <row r="308">
      <c r="A308" s="18"/>
      <c r="B308" s="23"/>
      <c r="C308" s="23"/>
      <c r="D308" s="23"/>
      <c r="E308" s="23"/>
      <c r="F308" s="18"/>
      <c r="G308" s="18"/>
      <c r="H308" s="18"/>
    </row>
    <row r="309">
      <c r="A309" s="18"/>
      <c r="B309" s="23"/>
      <c r="C309" s="23"/>
      <c r="D309" s="23"/>
      <c r="E309" s="23"/>
      <c r="F309" s="18"/>
      <c r="G309" s="18"/>
      <c r="H309" s="18"/>
    </row>
    <row r="310">
      <c r="A310" s="18"/>
      <c r="B310" s="23"/>
      <c r="C310" s="23"/>
      <c r="D310" s="23"/>
      <c r="E310" s="23"/>
      <c r="F310" s="18"/>
      <c r="G310" s="18"/>
      <c r="H310" s="18"/>
    </row>
    <row r="311">
      <c r="A311" s="18"/>
      <c r="B311" s="23"/>
      <c r="C311" s="23"/>
      <c r="D311" s="23"/>
      <c r="E311" s="23"/>
      <c r="F311" s="18"/>
      <c r="G311" s="18"/>
      <c r="H311" s="18"/>
    </row>
    <row r="312">
      <c r="A312" s="18"/>
      <c r="B312" s="23"/>
      <c r="C312" s="23"/>
      <c r="D312" s="23"/>
      <c r="E312" s="23"/>
      <c r="F312" s="18"/>
      <c r="G312" s="18"/>
      <c r="H312" s="18"/>
    </row>
    <row r="313">
      <c r="A313" s="18"/>
      <c r="B313" s="23"/>
      <c r="C313" s="23"/>
      <c r="D313" s="23"/>
      <c r="E313" s="23"/>
      <c r="F313" s="18"/>
      <c r="G313" s="18"/>
      <c r="H313" s="18"/>
    </row>
    <row r="314">
      <c r="A314" s="18"/>
      <c r="B314" s="23"/>
      <c r="C314" s="23"/>
      <c r="D314" s="23"/>
      <c r="E314" s="23"/>
      <c r="F314" s="18"/>
      <c r="G314" s="18"/>
      <c r="H314" s="18"/>
    </row>
    <row r="315">
      <c r="A315" s="18"/>
      <c r="B315" s="23"/>
      <c r="C315" s="23"/>
      <c r="D315" s="23"/>
      <c r="E315" s="23"/>
      <c r="F315" s="18"/>
      <c r="G315" s="18"/>
      <c r="H315" s="18"/>
    </row>
    <row r="316">
      <c r="A316" s="18"/>
      <c r="B316" s="23"/>
      <c r="C316" s="23"/>
      <c r="D316" s="23"/>
      <c r="E316" s="23"/>
      <c r="F316" s="18"/>
      <c r="G316" s="18"/>
      <c r="H316" s="18"/>
    </row>
    <row r="317">
      <c r="A317" s="18"/>
      <c r="B317" s="23"/>
      <c r="C317" s="23"/>
      <c r="D317" s="23"/>
      <c r="E317" s="23"/>
      <c r="F317" s="18"/>
      <c r="G317" s="18"/>
      <c r="H317" s="18"/>
    </row>
    <row r="318">
      <c r="A318" s="18"/>
      <c r="B318" s="23"/>
      <c r="C318" s="23"/>
      <c r="D318" s="23"/>
      <c r="E318" s="23"/>
      <c r="F318" s="18"/>
      <c r="G318" s="18"/>
      <c r="H318" s="18"/>
    </row>
    <row r="319">
      <c r="A319" s="18"/>
      <c r="B319" s="23"/>
      <c r="C319" s="23"/>
      <c r="D319" s="23"/>
      <c r="E319" s="23"/>
      <c r="F319" s="18"/>
      <c r="G319" s="18"/>
      <c r="H319" s="18"/>
    </row>
    <row r="320">
      <c r="A320" s="18"/>
      <c r="B320" s="23"/>
      <c r="C320" s="23"/>
      <c r="D320" s="23"/>
      <c r="E320" s="23"/>
      <c r="F320" s="18"/>
      <c r="G320" s="18"/>
      <c r="H320" s="18"/>
    </row>
    <row r="321">
      <c r="A321" s="18"/>
      <c r="B321" s="23"/>
      <c r="C321" s="23"/>
      <c r="D321" s="23"/>
      <c r="E321" s="23"/>
      <c r="F321" s="18"/>
      <c r="G321" s="18"/>
      <c r="H321" s="18"/>
    </row>
    <row r="322">
      <c r="A322" s="18"/>
      <c r="B322" s="23"/>
      <c r="C322" s="23"/>
      <c r="D322" s="23"/>
      <c r="E322" s="23"/>
      <c r="F322" s="18"/>
      <c r="G322" s="18"/>
      <c r="H322" s="18"/>
    </row>
    <row r="323">
      <c r="A323" s="18"/>
      <c r="B323" s="23"/>
      <c r="C323" s="23"/>
      <c r="D323" s="23"/>
      <c r="E323" s="23"/>
      <c r="F323" s="18"/>
      <c r="G323" s="18"/>
      <c r="H323" s="18"/>
    </row>
    <row r="324">
      <c r="A324" s="18"/>
      <c r="B324" s="23"/>
      <c r="C324" s="23"/>
      <c r="D324" s="23"/>
      <c r="E324" s="23"/>
      <c r="F324" s="18"/>
      <c r="G324" s="18"/>
      <c r="H324" s="18"/>
    </row>
    <row r="325">
      <c r="A325" s="18"/>
      <c r="B325" s="23"/>
      <c r="C325" s="23"/>
      <c r="D325" s="23"/>
      <c r="E325" s="23"/>
      <c r="F325" s="18"/>
      <c r="G325" s="18"/>
      <c r="H325" s="18"/>
    </row>
    <row r="326">
      <c r="A326" s="18"/>
      <c r="B326" s="23"/>
      <c r="C326" s="23"/>
      <c r="D326" s="23"/>
      <c r="E326" s="23"/>
      <c r="F326" s="18"/>
      <c r="G326" s="18"/>
      <c r="H326" s="18"/>
    </row>
    <row r="327">
      <c r="A327" s="18"/>
      <c r="B327" s="23"/>
      <c r="C327" s="23"/>
      <c r="D327" s="23"/>
      <c r="E327" s="23"/>
      <c r="F327" s="18"/>
      <c r="G327" s="18"/>
      <c r="H327" s="18"/>
    </row>
    <row r="328">
      <c r="A328" s="18"/>
      <c r="B328" s="23"/>
      <c r="C328" s="23"/>
      <c r="D328" s="23"/>
      <c r="E328" s="23"/>
      <c r="F328" s="18"/>
      <c r="G328" s="18"/>
      <c r="H328" s="18"/>
    </row>
    <row r="329">
      <c r="A329" s="18"/>
      <c r="B329" s="23"/>
      <c r="C329" s="23"/>
      <c r="D329" s="23"/>
      <c r="E329" s="23"/>
      <c r="F329" s="18"/>
      <c r="G329" s="18"/>
      <c r="H329" s="18"/>
    </row>
    <row r="330">
      <c r="A330" s="18"/>
      <c r="B330" s="23"/>
      <c r="C330" s="23"/>
      <c r="D330" s="23"/>
      <c r="E330" s="23"/>
      <c r="F330" s="18"/>
      <c r="G330" s="18"/>
      <c r="H330" s="18"/>
    </row>
    <row r="331">
      <c r="A331" s="18"/>
      <c r="B331" s="23"/>
      <c r="C331" s="23"/>
      <c r="D331" s="23"/>
      <c r="E331" s="23"/>
      <c r="F331" s="18"/>
      <c r="G331" s="18"/>
      <c r="H331" s="18"/>
    </row>
    <row r="332">
      <c r="A332" s="18"/>
      <c r="B332" s="23"/>
      <c r="C332" s="23"/>
      <c r="D332" s="23"/>
      <c r="E332" s="23"/>
      <c r="F332" s="18"/>
      <c r="G332" s="18"/>
      <c r="H332" s="18"/>
    </row>
    <row r="333">
      <c r="A333" s="18"/>
      <c r="B333" s="23"/>
      <c r="C333" s="23"/>
      <c r="D333" s="23"/>
      <c r="E333" s="23"/>
      <c r="F333" s="18"/>
      <c r="G333" s="18"/>
      <c r="H333" s="18"/>
    </row>
    <row r="334">
      <c r="A334" s="18"/>
      <c r="B334" s="23"/>
      <c r="C334" s="23"/>
      <c r="D334" s="23"/>
      <c r="E334" s="23"/>
      <c r="F334" s="18"/>
      <c r="G334" s="18"/>
      <c r="H334" s="18"/>
    </row>
    <row r="335">
      <c r="A335" s="18"/>
      <c r="B335" s="23"/>
      <c r="C335" s="23"/>
      <c r="D335" s="23"/>
      <c r="E335" s="23"/>
      <c r="F335" s="18"/>
      <c r="G335" s="18"/>
      <c r="H335" s="18"/>
    </row>
    <row r="336">
      <c r="A336" s="18"/>
      <c r="B336" s="23"/>
      <c r="C336" s="23"/>
      <c r="D336" s="23"/>
      <c r="E336" s="23"/>
      <c r="F336" s="18"/>
      <c r="G336" s="18"/>
      <c r="H336" s="18"/>
    </row>
    <row r="337">
      <c r="A337" s="18"/>
      <c r="B337" s="23"/>
      <c r="C337" s="23"/>
      <c r="D337" s="23"/>
      <c r="E337" s="23"/>
      <c r="F337" s="18"/>
      <c r="G337" s="18"/>
      <c r="H337" s="18"/>
    </row>
    <row r="338">
      <c r="A338" s="18"/>
      <c r="B338" s="23"/>
      <c r="C338" s="23"/>
      <c r="D338" s="23"/>
      <c r="E338" s="23"/>
      <c r="F338" s="18"/>
      <c r="G338" s="18"/>
      <c r="H338" s="18"/>
    </row>
    <row r="339">
      <c r="A339" s="18"/>
      <c r="B339" s="23"/>
      <c r="C339" s="23"/>
      <c r="D339" s="23"/>
      <c r="E339" s="23"/>
      <c r="F339" s="18"/>
      <c r="G339" s="18"/>
      <c r="H339" s="18"/>
    </row>
    <row r="340">
      <c r="A340" s="18"/>
      <c r="B340" s="23"/>
      <c r="C340" s="23"/>
      <c r="D340" s="23"/>
      <c r="E340" s="23"/>
      <c r="F340" s="18"/>
      <c r="G340" s="18"/>
      <c r="H340" s="18"/>
    </row>
    <row r="341">
      <c r="A341" s="18"/>
      <c r="B341" s="23"/>
      <c r="C341" s="23"/>
      <c r="D341" s="23"/>
      <c r="E341" s="23"/>
      <c r="F341" s="18"/>
      <c r="G341" s="18"/>
      <c r="H341" s="18"/>
    </row>
    <row r="342">
      <c r="A342" s="18"/>
      <c r="B342" s="23"/>
      <c r="C342" s="23"/>
      <c r="D342" s="23"/>
      <c r="E342" s="23"/>
      <c r="F342" s="18"/>
      <c r="G342" s="18"/>
      <c r="H342" s="18"/>
    </row>
    <row r="343">
      <c r="A343" s="18"/>
      <c r="B343" s="23"/>
      <c r="C343" s="23"/>
      <c r="D343" s="23"/>
      <c r="E343" s="23"/>
      <c r="F343" s="18"/>
      <c r="G343" s="18"/>
      <c r="H343" s="18"/>
    </row>
    <row r="344">
      <c r="A344" s="18"/>
      <c r="B344" s="23"/>
      <c r="C344" s="23"/>
      <c r="D344" s="23"/>
      <c r="E344" s="23"/>
      <c r="F344" s="18"/>
      <c r="G344" s="18"/>
      <c r="H344" s="18"/>
    </row>
    <row r="345">
      <c r="A345" s="18"/>
      <c r="B345" s="23"/>
      <c r="C345" s="23"/>
      <c r="D345" s="23"/>
      <c r="E345" s="23"/>
      <c r="F345" s="18"/>
      <c r="G345" s="18"/>
      <c r="H345" s="18"/>
    </row>
    <row r="346">
      <c r="A346" s="18"/>
      <c r="B346" s="23"/>
      <c r="C346" s="23"/>
      <c r="D346" s="23"/>
      <c r="E346" s="23"/>
      <c r="F346" s="18"/>
      <c r="G346" s="18"/>
      <c r="H346" s="18"/>
    </row>
    <row r="347">
      <c r="A347" s="18"/>
      <c r="B347" s="23"/>
      <c r="C347" s="23"/>
      <c r="D347" s="23"/>
      <c r="E347" s="23"/>
      <c r="F347" s="18"/>
      <c r="G347" s="18"/>
      <c r="H347" s="18"/>
    </row>
    <row r="348">
      <c r="A348" s="18"/>
      <c r="B348" s="23"/>
      <c r="C348" s="23"/>
      <c r="D348" s="23"/>
      <c r="E348" s="23"/>
      <c r="F348" s="18"/>
      <c r="G348" s="18"/>
      <c r="H348" s="18"/>
    </row>
    <row r="349">
      <c r="A349" s="18"/>
      <c r="B349" s="23"/>
      <c r="C349" s="23"/>
      <c r="D349" s="23"/>
      <c r="E349" s="23"/>
      <c r="F349" s="18"/>
      <c r="G349" s="18"/>
      <c r="H349" s="18"/>
    </row>
    <row r="350">
      <c r="A350" s="18"/>
      <c r="B350" s="23"/>
      <c r="C350" s="23"/>
      <c r="D350" s="23"/>
      <c r="E350" s="23"/>
      <c r="F350" s="18"/>
      <c r="G350" s="18"/>
      <c r="H350" s="18"/>
    </row>
    <row r="351">
      <c r="A351" s="18"/>
      <c r="B351" s="23"/>
      <c r="C351" s="23"/>
      <c r="D351" s="23"/>
      <c r="E351" s="23"/>
      <c r="F351" s="18"/>
      <c r="G351" s="18"/>
      <c r="H351" s="18"/>
    </row>
    <row r="352">
      <c r="A352" s="18"/>
      <c r="B352" s="23"/>
      <c r="C352" s="23"/>
      <c r="D352" s="23"/>
      <c r="E352" s="23"/>
      <c r="F352" s="18"/>
      <c r="G352" s="18"/>
      <c r="H352" s="18"/>
    </row>
    <row r="353">
      <c r="A353" s="18"/>
      <c r="B353" s="23"/>
      <c r="C353" s="23"/>
      <c r="D353" s="23"/>
      <c r="E353" s="23"/>
      <c r="F353" s="18"/>
      <c r="G353" s="18"/>
      <c r="H353" s="18"/>
    </row>
    <row r="354">
      <c r="A354" s="18"/>
      <c r="B354" s="23"/>
      <c r="C354" s="23"/>
      <c r="D354" s="23"/>
      <c r="E354" s="23"/>
      <c r="F354" s="18"/>
      <c r="G354" s="18"/>
      <c r="H354" s="18"/>
    </row>
    <row r="355">
      <c r="A355" s="18"/>
      <c r="B355" s="23"/>
      <c r="C355" s="23"/>
      <c r="D355" s="23"/>
      <c r="E355" s="23"/>
      <c r="F355" s="18"/>
      <c r="G355" s="18"/>
      <c r="H355" s="18"/>
    </row>
    <row r="356">
      <c r="A356" s="18"/>
      <c r="B356" s="23"/>
      <c r="C356" s="23"/>
      <c r="D356" s="23"/>
      <c r="E356" s="23"/>
      <c r="F356" s="18"/>
      <c r="G356" s="18"/>
      <c r="H356" s="18"/>
    </row>
    <row r="357">
      <c r="A357" s="18"/>
      <c r="B357" s="23"/>
      <c r="C357" s="23"/>
      <c r="D357" s="23"/>
      <c r="E357" s="23"/>
      <c r="F357" s="18"/>
      <c r="G357" s="18"/>
      <c r="H357" s="18"/>
    </row>
    <row r="358">
      <c r="A358" s="18"/>
      <c r="B358" s="23"/>
      <c r="C358" s="23"/>
      <c r="D358" s="23"/>
      <c r="E358" s="23"/>
      <c r="F358" s="18"/>
      <c r="G358" s="18"/>
      <c r="H358" s="18"/>
    </row>
    <row r="359">
      <c r="A359" s="18"/>
      <c r="B359" s="23"/>
      <c r="C359" s="23"/>
      <c r="D359" s="23"/>
      <c r="E359" s="23"/>
      <c r="F359" s="18"/>
      <c r="G359" s="18"/>
      <c r="H359" s="18"/>
    </row>
    <row r="360">
      <c r="A360" s="18"/>
      <c r="B360" s="23"/>
      <c r="C360" s="23"/>
      <c r="D360" s="23"/>
      <c r="E360" s="23"/>
      <c r="F360" s="18"/>
      <c r="G360" s="18"/>
      <c r="H360" s="18"/>
    </row>
    <row r="361">
      <c r="A361" s="18"/>
      <c r="B361" s="23"/>
      <c r="C361" s="23"/>
      <c r="D361" s="23"/>
      <c r="E361" s="23"/>
      <c r="F361" s="18"/>
      <c r="G361" s="18"/>
      <c r="H361" s="18"/>
    </row>
    <row r="362">
      <c r="A362" s="18"/>
      <c r="B362" s="23"/>
      <c r="C362" s="23"/>
      <c r="D362" s="23"/>
      <c r="E362" s="23"/>
      <c r="F362" s="18"/>
      <c r="G362" s="18"/>
      <c r="H362" s="18"/>
    </row>
    <row r="363">
      <c r="A363" s="18"/>
      <c r="B363" s="23"/>
      <c r="C363" s="23"/>
      <c r="D363" s="23"/>
      <c r="E363" s="23"/>
      <c r="F363" s="18"/>
      <c r="G363" s="18"/>
      <c r="H363" s="18"/>
    </row>
    <row r="364">
      <c r="A364" s="18"/>
      <c r="B364" s="23"/>
      <c r="C364" s="23"/>
      <c r="D364" s="23"/>
      <c r="E364" s="23"/>
      <c r="F364" s="18"/>
      <c r="G364" s="18"/>
      <c r="H364" s="18"/>
    </row>
    <row r="365">
      <c r="A365" s="18"/>
      <c r="B365" s="23"/>
      <c r="C365" s="23"/>
      <c r="D365" s="23"/>
      <c r="E365" s="23"/>
      <c r="F365" s="18"/>
      <c r="G365" s="18"/>
      <c r="H365" s="18"/>
    </row>
    <row r="366">
      <c r="A366" s="18"/>
      <c r="B366" s="23"/>
      <c r="C366" s="23"/>
      <c r="D366" s="23"/>
      <c r="E366" s="23"/>
      <c r="F366" s="18"/>
      <c r="G366" s="18"/>
      <c r="H366" s="18"/>
    </row>
    <row r="367">
      <c r="A367" s="18"/>
      <c r="B367" s="23"/>
      <c r="C367" s="23"/>
      <c r="D367" s="23"/>
      <c r="E367" s="23"/>
      <c r="F367" s="18"/>
      <c r="G367" s="18"/>
      <c r="H367" s="18"/>
    </row>
    <row r="368">
      <c r="A368" s="18"/>
      <c r="B368" s="23"/>
      <c r="C368" s="23"/>
      <c r="D368" s="23"/>
      <c r="E368" s="23"/>
      <c r="F368" s="18"/>
      <c r="G368" s="18"/>
      <c r="H368" s="18"/>
    </row>
    <row r="369">
      <c r="A369" s="18"/>
      <c r="B369" s="23"/>
      <c r="C369" s="23"/>
      <c r="D369" s="23"/>
      <c r="E369" s="23"/>
      <c r="F369" s="18"/>
      <c r="G369" s="18"/>
      <c r="H369" s="18"/>
    </row>
    <row r="370">
      <c r="A370" s="18"/>
      <c r="B370" s="23"/>
      <c r="C370" s="23"/>
      <c r="D370" s="23"/>
      <c r="E370" s="23"/>
      <c r="F370" s="18"/>
      <c r="G370" s="18"/>
      <c r="H370" s="18"/>
    </row>
    <row r="371">
      <c r="A371" s="18"/>
      <c r="B371" s="23"/>
      <c r="C371" s="23"/>
      <c r="D371" s="23"/>
      <c r="E371" s="23"/>
      <c r="F371" s="18"/>
      <c r="G371" s="18"/>
      <c r="H371" s="18"/>
    </row>
    <row r="372">
      <c r="A372" s="18"/>
      <c r="B372" s="23"/>
      <c r="C372" s="23"/>
      <c r="D372" s="23"/>
      <c r="E372" s="23"/>
      <c r="F372" s="18"/>
      <c r="G372" s="18"/>
      <c r="H372" s="18"/>
    </row>
    <row r="373">
      <c r="A373" s="18"/>
      <c r="B373" s="23"/>
      <c r="C373" s="23"/>
      <c r="D373" s="23"/>
      <c r="E373" s="23"/>
      <c r="F373" s="18"/>
      <c r="G373" s="18"/>
      <c r="H373" s="18"/>
    </row>
    <row r="374">
      <c r="A374" s="18"/>
      <c r="B374" s="23"/>
      <c r="C374" s="23"/>
      <c r="D374" s="23"/>
      <c r="E374" s="23"/>
      <c r="F374" s="18"/>
      <c r="G374" s="18"/>
      <c r="H374" s="18"/>
    </row>
    <row r="375">
      <c r="A375" s="18"/>
      <c r="B375" s="23"/>
      <c r="C375" s="23"/>
      <c r="D375" s="23"/>
      <c r="E375" s="23"/>
      <c r="F375" s="18"/>
      <c r="G375" s="18"/>
      <c r="H375" s="18"/>
    </row>
    <row r="376">
      <c r="A376" s="18"/>
      <c r="B376" s="23"/>
      <c r="C376" s="23"/>
      <c r="D376" s="23"/>
      <c r="E376" s="23"/>
      <c r="F376" s="18"/>
      <c r="G376" s="18"/>
      <c r="H376" s="18"/>
    </row>
    <row r="377">
      <c r="A377" s="18"/>
      <c r="B377" s="23"/>
      <c r="C377" s="23"/>
      <c r="D377" s="23"/>
      <c r="E377" s="23"/>
      <c r="F377" s="18"/>
      <c r="G377" s="18"/>
      <c r="H377" s="18"/>
    </row>
    <row r="378">
      <c r="A378" s="18"/>
      <c r="B378" s="23"/>
      <c r="C378" s="23"/>
      <c r="D378" s="23"/>
      <c r="E378" s="23"/>
      <c r="F378" s="18"/>
      <c r="G378" s="18"/>
      <c r="H378" s="18"/>
    </row>
    <row r="379">
      <c r="A379" s="18"/>
      <c r="B379" s="23"/>
      <c r="C379" s="23"/>
      <c r="D379" s="23"/>
      <c r="E379" s="23"/>
      <c r="F379" s="18"/>
      <c r="G379" s="18"/>
      <c r="H379" s="18"/>
    </row>
    <row r="380">
      <c r="A380" s="18"/>
      <c r="B380" s="23"/>
      <c r="C380" s="23"/>
      <c r="D380" s="23"/>
      <c r="E380" s="23"/>
      <c r="F380" s="18"/>
      <c r="G380" s="18"/>
      <c r="H380" s="18"/>
    </row>
    <row r="381">
      <c r="A381" s="18"/>
      <c r="B381" s="23"/>
      <c r="C381" s="23"/>
      <c r="D381" s="23"/>
      <c r="E381" s="23"/>
      <c r="F381" s="18"/>
      <c r="G381" s="18"/>
      <c r="H381" s="18"/>
    </row>
    <row r="382">
      <c r="A382" s="18"/>
      <c r="B382" s="23"/>
      <c r="C382" s="23"/>
      <c r="D382" s="23"/>
      <c r="E382" s="23"/>
      <c r="F382" s="18"/>
      <c r="G382" s="18"/>
      <c r="H382" s="18"/>
    </row>
    <row r="383">
      <c r="A383" s="18"/>
      <c r="B383" s="23"/>
      <c r="C383" s="23"/>
      <c r="D383" s="23"/>
      <c r="E383" s="23"/>
      <c r="F383" s="18"/>
      <c r="G383" s="18"/>
      <c r="H383" s="18"/>
    </row>
    <row r="384">
      <c r="A384" s="18"/>
      <c r="B384" s="23"/>
      <c r="C384" s="23"/>
      <c r="D384" s="23"/>
      <c r="E384" s="23"/>
      <c r="F384" s="18"/>
      <c r="G384" s="18"/>
      <c r="H384" s="18"/>
    </row>
    <row r="385">
      <c r="A385" s="18"/>
      <c r="B385" s="23"/>
      <c r="C385" s="23"/>
      <c r="D385" s="23"/>
      <c r="E385" s="23"/>
      <c r="F385" s="18"/>
      <c r="G385" s="18"/>
      <c r="H385" s="18"/>
    </row>
    <row r="386">
      <c r="A386" s="18"/>
      <c r="B386" s="23"/>
      <c r="C386" s="23"/>
      <c r="D386" s="23"/>
      <c r="E386" s="23"/>
      <c r="F386" s="18"/>
      <c r="G386" s="18"/>
      <c r="H386" s="18"/>
    </row>
    <row r="387">
      <c r="A387" s="18"/>
      <c r="B387" s="23"/>
      <c r="C387" s="23"/>
      <c r="D387" s="23"/>
      <c r="E387" s="23"/>
      <c r="F387" s="18"/>
      <c r="G387" s="18"/>
      <c r="H387" s="18"/>
    </row>
    <row r="388">
      <c r="A388" s="18"/>
      <c r="B388" s="23"/>
      <c r="C388" s="23"/>
      <c r="D388" s="23"/>
      <c r="E388" s="23"/>
      <c r="F388" s="18"/>
      <c r="G388" s="18"/>
      <c r="H388" s="18"/>
    </row>
    <row r="389">
      <c r="A389" s="18"/>
      <c r="B389" s="23"/>
      <c r="C389" s="23"/>
      <c r="D389" s="23"/>
      <c r="E389" s="23"/>
      <c r="F389" s="18"/>
      <c r="G389" s="18"/>
      <c r="H389" s="18"/>
    </row>
    <row r="390">
      <c r="A390" s="18"/>
      <c r="B390" s="23"/>
      <c r="C390" s="23"/>
      <c r="D390" s="23"/>
      <c r="E390" s="23"/>
      <c r="F390" s="18"/>
      <c r="G390" s="18"/>
      <c r="H390" s="18"/>
    </row>
    <row r="391">
      <c r="A391" s="18"/>
      <c r="B391" s="23"/>
      <c r="C391" s="23"/>
      <c r="D391" s="23"/>
      <c r="E391" s="23"/>
      <c r="F391" s="18"/>
      <c r="G391" s="18"/>
      <c r="H391" s="18"/>
    </row>
    <row r="392">
      <c r="A392" s="18"/>
      <c r="B392" s="23"/>
      <c r="C392" s="23"/>
      <c r="D392" s="23"/>
      <c r="E392" s="23"/>
      <c r="F392" s="18"/>
      <c r="G392" s="18"/>
      <c r="H392" s="18"/>
    </row>
    <row r="393">
      <c r="A393" s="18"/>
      <c r="B393" s="23"/>
      <c r="C393" s="23"/>
      <c r="D393" s="23"/>
      <c r="E393" s="23"/>
      <c r="F393" s="18"/>
      <c r="G393" s="18"/>
      <c r="H393" s="18"/>
    </row>
    <row r="394">
      <c r="A394" s="18"/>
      <c r="B394" s="23"/>
      <c r="C394" s="23"/>
      <c r="D394" s="23"/>
      <c r="E394" s="23"/>
      <c r="F394" s="18"/>
      <c r="G394" s="18"/>
      <c r="H394" s="18"/>
    </row>
    <row r="395">
      <c r="A395" s="18"/>
      <c r="B395" s="23"/>
      <c r="C395" s="23"/>
      <c r="D395" s="23"/>
      <c r="E395" s="23"/>
      <c r="F395" s="18"/>
      <c r="G395" s="18"/>
      <c r="H395" s="18"/>
    </row>
    <row r="396">
      <c r="A396" s="18"/>
      <c r="B396" s="23"/>
      <c r="C396" s="23"/>
      <c r="D396" s="23"/>
      <c r="E396" s="23"/>
      <c r="F396" s="18"/>
      <c r="G396" s="18"/>
      <c r="H396" s="18"/>
    </row>
    <row r="397">
      <c r="A397" s="18"/>
      <c r="B397" s="23"/>
      <c r="C397" s="23"/>
      <c r="D397" s="23"/>
      <c r="E397" s="23"/>
      <c r="F397" s="18"/>
      <c r="G397" s="18"/>
      <c r="H397" s="18"/>
    </row>
    <row r="398">
      <c r="A398" s="18"/>
      <c r="B398" s="23"/>
      <c r="C398" s="23"/>
      <c r="D398" s="23"/>
      <c r="E398" s="23"/>
      <c r="F398" s="18"/>
      <c r="G398" s="18"/>
      <c r="H398" s="18"/>
    </row>
    <row r="399">
      <c r="A399" s="18"/>
      <c r="B399" s="23"/>
      <c r="C399" s="23"/>
      <c r="D399" s="23"/>
      <c r="E399" s="23"/>
      <c r="F399" s="18"/>
      <c r="G399" s="18"/>
      <c r="H399" s="18"/>
    </row>
    <row r="400">
      <c r="A400" s="18"/>
      <c r="B400" s="23"/>
      <c r="C400" s="23"/>
      <c r="D400" s="23"/>
      <c r="E400" s="23"/>
      <c r="F400" s="18"/>
      <c r="G400" s="18"/>
      <c r="H400" s="18"/>
    </row>
    <row r="401">
      <c r="A401" s="18"/>
      <c r="B401" s="23"/>
      <c r="C401" s="23"/>
      <c r="D401" s="23"/>
      <c r="E401" s="23"/>
      <c r="F401" s="18"/>
      <c r="G401" s="18"/>
      <c r="H401" s="18"/>
    </row>
    <row r="402">
      <c r="A402" s="18"/>
      <c r="B402" s="23"/>
      <c r="C402" s="23"/>
      <c r="D402" s="23"/>
      <c r="E402" s="23"/>
      <c r="F402" s="18"/>
      <c r="G402" s="18"/>
      <c r="H402" s="18"/>
    </row>
    <row r="403">
      <c r="A403" s="18"/>
      <c r="B403" s="23"/>
      <c r="C403" s="23"/>
      <c r="D403" s="23"/>
      <c r="E403" s="23"/>
      <c r="F403" s="18"/>
      <c r="G403" s="18"/>
      <c r="H403" s="18"/>
    </row>
    <row r="404">
      <c r="A404" s="18"/>
      <c r="B404" s="23"/>
      <c r="C404" s="23"/>
      <c r="D404" s="23"/>
      <c r="E404" s="23"/>
      <c r="F404" s="18"/>
      <c r="G404" s="18"/>
      <c r="H404" s="18"/>
    </row>
    <row r="405">
      <c r="A405" s="18"/>
      <c r="B405" s="23"/>
      <c r="C405" s="23"/>
      <c r="D405" s="23"/>
      <c r="E405" s="23"/>
      <c r="F405" s="18"/>
      <c r="G405" s="18"/>
      <c r="H405" s="18"/>
    </row>
    <row r="406">
      <c r="A406" s="18"/>
      <c r="B406" s="23"/>
      <c r="C406" s="23"/>
      <c r="D406" s="23"/>
      <c r="E406" s="23"/>
      <c r="F406" s="18"/>
      <c r="G406" s="18"/>
      <c r="H406" s="18"/>
    </row>
    <row r="407">
      <c r="A407" s="18"/>
      <c r="B407" s="23"/>
      <c r="C407" s="23"/>
      <c r="D407" s="23"/>
      <c r="E407" s="23"/>
      <c r="F407" s="18"/>
      <c r="G407" s="18"/>
      <c r="H407" s="18"/>
    </row>
    <row r="408">
      <c r="A408" s="18"/>
      <c r="B408" s="23"/>
      <c r="C408" s="23"/>
      <c r="D408" s="23"/>
      <c r="E408" s="23"/>
      <c r="F408" s="18"/>
      <c r="G408" s="18"/>
      <c r="H408" s="18"/>
    </row>
    <row r="409">
      <c r="A409" s="18"/>
      <c r="B409" s="23"/>
      <c r="C409" s="23"/>
      <c r="D409" s="23"/>
      <c r="E409" s="23"/>
      <c r="F409" s="18"/>
      <c r="G409" s="18"/>
      <c r="H409" s="18"/>
    </row>
    <row r="410">
      <c r="A410" s="18"/>
      <c r="B410" s="23"/>
      <c r="C410" s="23"/>
      <c r="D410" s="23"/>
      <c r="E410" s="23"/>
      <c r="F410" s="18"/>
      <c r="G410" s="18"/>
      <c r="H410" s="18"/>
    </row>
    <row r="411">
      <c r="A411" s="18"/>
      <c r="B411" s="23"/>
      <c r="C411" s="23"/>
      <c r="D411" s="23"/>
      <c r="E411" s="23"/>
      <c r="F411" s="18"/>
      <c r="G411" s="18"/>
      <c r="H411" s="18"/>
    </row>
    <row r="412">
      <c r="A412" s="18"/>
      <c r="B412" s="23"/>
      <c r="C412" s="23"/>
      <c r="D412" s="23"/>
      <c r="E412" s="23"/>
      <c r="F412" s="18"/>
      <c r="G412" s="18"/>
      <c r="H412" s="18"/>
    </row>
    <row r="413">
      <c r="A413" s="18"/>
      <c r="B413" s="23"/>
      <c r="C413" s="23"/>
      <c r="D413" s="23"/>
      <c r="E413" s="23"/>
      <c r="F413" s="18"/>
      <c r="G413" s="18"/>
      <c r="H413" s="18"/>
    </row>
    <row r="414">
      <c r="A414" s="18"/>
      <c r="B414" s="23"/>
      <c r="C414" s="23"/>
      <c r="D414" s="23"/>
      <c r="E414" s="23"/>
      <c r="F414" s="18"/>
      <c r="G414" s="18"/>
      <c r="H414" s="18"/>
    </row>
    <row r="415">
      <c r="A415" s="18"/>
      <c r="B415" s="23"/>
      <c r="C415" s="23"/>
      <c r="D415" s="23"/>
      <c r="E415" s="23"/>
      <c r="F415" s="18"/>
      <c r="G415" s="18"/>
      <c r="H415" s="18"/>
    </row>
    <row r="416">
      <c r="A416" s="18"/>
      <c r="B416" s="23"/>
      <c r="C416" s="23"/>
      <c r="D416" s="23"/>
      <c r="E416" s="23"/>
      <c r="F416" s="18"/>
      <c r="G416" s="18"/>
      <c r="H416" s="18"/>
    </row>
    <row r="417">
      <c r="A417" s="18"/>
      <c r="B417" s="23"/>
      <c r="C417" s="23"/>
      <c r="D417" s="23"/>
      <c r="E417" s="23"/>
      <c r="F417" s="18"/>
      <c r="G417" s="18"/>
      <c r="H417" s="18"/>
    </row>
    <row r="418">
      <c r="A418" s="18"/>
      <c r="B418" s="23"/>
      <c r="C418" s="23"/>
      <c r="D418" s="23"/>
      <c r="E418" s="23"/>
      <c r="F418" s="18"/>
      <c r="G418" s="18"/>
      <c r="H418" s="18"/>
    </row>
    <row r="419">
      <c r="A419" s="18"/>
      <c r="B419" s="23"/>
      <c r="C419" s="23"/>
      <c r="D419" s="23"/>
      <c r="E419" s="23"/>
      <c r="F419" s="18"/>
      <c r="G419" s="18"/>
      <c r="H419" s="18"/>
    </row>
    <row r="420">
      <c r="A420" s="18"/>
      <c r="B420" s="23"/>
      <c r="C420" s="23"/>
      <c r="D420" s="23"/>
      <c r="E420" s="23"/>
      <c r="F420" s="18"/>
      <c r="G420" s="18"/>
      <c r="H420" s="18"/>
    </row>
    <row r="421">
      <c r="A421" s="18"/>
      <c r="B421" s="23"/>
      <c r="C421" s="23"/>
      <c r="D421" s="23"/>
      <c r="E421" s="23"/>
      <c r="F421" s="18"/>
      <c r="G421" s="18"/>
      <c r="H421" s="18"/>
    </row>
    <row r="422">
      <c r="A422" s="18"/>
      <c r="B422" s="23"/>
      <c r="C422" s="23"/>
      <c r="D422" s="23"/>
      <c r="E422" s="23"/>
      <c r="F422" s="18"/>
      <c r="G422" s="18"/>
      <c r="H422" s="18"/>
    </row>
    <row r="423">
      <c r="A423" s="18"/>
      <c r="B423" s="23"/>
      <c r="C423" s="23"/>
      <c r="D423" s="23"/>
      <c r="E423" s="23"/>
      <c r="F423" s="18"/>
      <c r="G423" s="18"/>
      <c r="H423" s="18"/>
    </row>
    <row r="424">
      <c r="A424" s="18"/>
      <c r="B424" s="23"/>
      <c r="C424" s="23"/>
      <c r="D424" s="23"/>
      <c r="E424" s="23"/>
      <c r="F424" s="18"/>
      <c r="G424" s="18"/>
      <c r="H424" s="18"/>
    </row>
    <row r="425">
      <c r="A425" s="18"/>
      <c r="B425" s="23"/>
      <c r="C425" s="23"/>
      <c r="D425" s="23"/>
      <c r="E425" s="23"/>
      <c r="F425" s="18"/>
      <c r="G425" s="18"/>
      <c r="H425" s="18"/>
    </row>
    <row r="426">
      <c r="A426" s="18"/>
      <c r="B426" s="23"/>
      <c r="C426" s="23"/>
      <c r="D426" s="23"/>
      <c r="E426" s="23"/>
      <c r="F426" s="18"/>
      <c r="G426" s="18"/>
      <c r="H426" s="18"/>
    </row>
    <row r="427">
      <c r="A427" s="18"/>
      <c r="B427" s="23"/>
      <c r="C427" s="23"/>
      <c r="D427" s="23"/>
      <c r="E427" s="23"/>
      <c r="F427" s="18"/>
      <c r="G427" s="18"/>
      <c r="H427" s="18"/>
    </row>
    <row r="428">
      <c r="A428" s="18"/>
      <c r="B428" s="23"/>
      <c r="C428" s="23"/>
      <c r="D428" s="23"/>
      <c r="E428" s="23"/>
      <c r="F428" s="18"/>
      <c r="G428" s="18"/>
      <c r="H428" s="18"/>
    </row>
    <row r="429">
      <c r="A429" s="18"/>
      <c r="B429" s="23"/>
      <c r="C429" s="23"/>
      <c r="D429" s="23"/>
      <c r="E429" s="23"/>
      <c r="F429" s="18"/>
      <c r="G429" s="18"/>
      <c r="H429" s="18"/>
    </row>
    <row r="430">
      <c r="A430" s="18"/>
      <c r="B430" s="23"/>
      <c r="C430" s="23"/>
      <c r="D430" s="23"/>
      <c r="E430" s="23"/>
      <c r="F430" s="18"/>
      <c r="G430" s="18"/>
      <c r="H430" s="18"/>
    </row>
    <row r="431">
      <c r="A431" s="18"/>
      <c r="B431" s="23"/>
      <c r="C431" s="23"/>
      <c r="D431" s="23"/>
      <c r="E431" s="23"/>
      <c r="F431" s="18"/>
      <c r="G431" s="18"/>
      <c r="H431" s="18"/>
    </row>
    <row r="432">
      <c r="A432" s="18"/>
      <c r="B432" s="23"/>
      <c r="C432" s="23"/>
      <c r="D432" s="23"/>
      <c r="E432" s="23"/>
      <c r="F432" s="18"/>
      <c r="G432" s="18"/>
      <c r="H432" s="18"/>
    </row>
    <row r="433">
      <c r="A433" s="18"/>
      <c r="B433" s="23"/>
      <c r="C433" s="23"/>
      <c r="D433" s="23"/>
      <c r="E433" s="23"/>
      <c r="F433" s="18"/>
      <c r="G433" s="18"/>
      <c r="H433" s="18"/>
    </row>
    <row r="434">
      <c r="A434" s="18"/>
      <c r="B434" s="23"/>
      <c r="C434" s="23"/>
      <c r="D434" s="23"/>
      <c r="E434" s="23"/>
      <c r="F434" s="18"/>
      <c r="G434" s="18"/>
      <c r="H434" s="18"/>
    </row>
    <row r="435">
      <c r="A435" s="18"/>
      <c r="B435" s="23"/>
      <c r="C435" s="23"/>
      <c r="D435" s="23"/>
      <c r="E435" s="23"/>
      <c r="F435" s="18"/>
      <c r="G435" s="18"/>
      <c r="H435" s="18"/>
    </row>
    <row r="436">
      <c r="A436" s="18"/>
      <c r="B436" s="23"/>
      <c r="C436" s="23"/>
      <c r="D436" s="23"/>
      <c r="E436" s="23"/>
      <c r="F436" s="18"/>
      <c r="G436" s="18"/>
      <c r="H436" s="18"/>
    </row>
    <row r="437">
      <c r="A437" s="18"/>
      <c r="B437" s="23"/>
      <c r="C437" s="23"/>
      <c r="D437" s="23"/>
      <c r="E437" s="23"/>
      <c r="F437" s="18"/>
      <c r="G437" s="18"/>
      <c r="H437" s="18"/>
    </row>
    <row r="438">
      <c r="A438" s="18"/>
      <c r="B438" s="23"/>
      <c r="C438" s="23"/>
      <c r="D438" s="23"/>
      <c r="E438" s="23"/>
      <c r="F438" s="18"/>
      <c r="G438" s="18"/>
      <c r="H438" s="18"/>
    </row>
    <row r="439">
      <c r="A439" s="18"/>
      <c r="B439" s="23"/>
      <c r="C439" s="23"/>
      <c r="D439" s="23"/>
      <c r="E439" s="23"/>
      <c r="F439" s="18"/>
      <c r="G439" s="18"/>
      <c r="H439" s="18"/>
    </row>
    <row r="440">
      <c r="A440" s="18"/>
      <c r="B440" s="23"/>
      <c r="C440" s="23"/>
      <c r="D440" s="23"/>
      <c r="E440" s="23"/>
      <c r="F440" s="18"/>
      <c r="G440" s="18"/>
      <c r="H440" s="18"/>
    </row>
    <row r="441">
      <c r="A441" s="18"/>
      <c r="B441" s="23"/>
      <c r="C441" s="23"/>
      <c r="D441" s="23"/>
      <c r="E441" s="23"/>
      <c r="F441" s="18"/>
      <c r="G441" s="18"/>
      <c r="H441" s="18"/>
    </row>
    <row r="442">
      <c r="A442" s="18"/>
      <c r="B442" s="23"/>
      <c r="C442" s="23"/>
      <c r="D442" s="23"/>
      <c r="E442" s="23"/>
      <c r="F442" s="18"/>
      <c r="G442" s="18"/>
      <c r="H442" s="18"/>
    </row>
    <row r="443">
      <c r="A443" s="18"/>
      <c r="B443" s="23"/>
      <c r="C443" s="23"/>
      <c r="D443" s="23"/>
      <c r="E443" s="23"/>
      <c r="F443" s="18"/>
      <c r="G443" s="18"/>
      <c r="H443" s="18"/>
    </row>
    <row r="444">
      <c r="A444" s="18"/>
      <c r="B444" s="23"/>
      <c r="C444" s="23"/>
      <c r="D444" s="23"/>
      <c r="E444" s="23"/>
      <c r="F444" s="18"/>
      <c r="G444" s="18"/>
      <c r="H444" s="18"/>
    </row>
    <row r="445">
      <c r="A445" s="18"/>
      <c r="B445" s="23"/>
      <c r="C445" s="23"/>
      <c r="D445" s="23"/>
      <c r="E445" s="23"/>
      <c r="F445" s="18"/>
      <c r="G445" s="18"/>
      <c r="H445" s="18"/>
    </row>
    <row r="446">
      <c r="A446" s="18"/>
      <c r="B446" s="23"/>
      <c r="C446" s="23"/>
      <c r="D446" s="23"/>
      <c r="E446" s="23"/>
      <c r="F446" s="18"/>
      <c r="G446" s="18"/>
      <c r="H446" s="18"/>
    </row>
    <row r="447">
      <c r="A447" s="18"/>
      <c r="B447" s="23"/>
      <c r="C447" s="23"/>
      <c r="D447" s="23"/>
      <c r="E447" s="23"/>
      <c r="F447" s="18"/>
      <c r="G447" s="18"/>
      <c r="H447" s="18"/>
    </row>
    <row r="448">
      <c r="A448" s="18"/>
      <c r="B448" s="23"/>
      <c r="C448" s="23"/>
      <c r="D448" s="23"/>
      <c r="E448" s="23"/>
      <c r="F448" s="18"/>
      <c r="G448" s="18"/>
      <c r="H448" s="18"/>
    </row>
    <row r="449">
      <c r="A449" s="18"/>
      <c r="B449" s="23"/>
      <c r="C449" s="23"/>
      <c r="D449" s="23"/>
      <c r="E449" s="23"/>
      <c r="F449" s="18"/>
      <c r="G449" s="18"/>
      <c r="H449" s="18"/>
    </row>
    <row r="450">
      <c r="A450" s="18"/>
      <c r="B450" s="23"/>
      <c r="C450" s="23"/>
      <c r="D450" s="23"/>
      <c r="E450" s="23"/>
      <c r="F450" s="18"/>
      <c r="G450" s="18"/>
      <c r="H450" s="18"/>
    </row>
    <row r="451">
      <c r="A451" s="18"/>
      <c r="B451" s="23"/>
      <c r="C451" s="23"/>
      <c r="D451" s="23"/>
      <c r="E451" s="23"/>
      <c r="F451" s="18"/>
      <c r="G451" s="18"/>
      <c r="H451" s="18"/>
    </row>
    <row r="452">
      <c r="A452" s="18"/>
      <c r="B452" s="23"/>
      <c r="C452" s="23"/>
      <c r="D452" s="23"/>
      <c r="E452" s="23"/>
      <c r="F452" s="18"/>
      <c r="G452" s="18"/>
      <c r="H452" s="18"/>
    </row>
    <row r="453">
      <c r="A453" s="18"/>
      <c r="B453" s="23"/>
      <c r="C453" s="23"/>
      <c r="D453" s="23"/>
      <c r="E453" s="23"/>
      <c r="F453" s="18"/>
      <c r="G453" s="18"/>
      <c r="H453" s="18"/>
    </row>
    <row r="454">
      <c r="A454" s="18"/>
      <c r="B454" s="23"/>
      <c r="C454" s="23"/>
      <c r="D454" s="23"/>
      <c r="E454" s="23"/>
      <c r="F454" s="18"/>
      <c r="G454" s="18"/>
      <c r="H454" s="18"/>
    </row>
    <row r="455">
      <c r="A455" s="18"/>
      <c r="B455" s="23"/>
      <c r="C455" s="23"/>
      <c r="D455" s="23"/>
      <c r="E455" s="23"/>
      <c r="F455" s="18"/>
      <c r="G455" s="18"/>
      <c r="H455" s="18"/>
    </row>
    <row r="456">
      <c r="A456" s="18"/>
      <c r="B456" s="23"/>
      <c r="C456" s="23"/>
      <c r="D456" s="23"/>
      <c r="E456" s="23"/>
      <c r="F456" s="18"/>
      <c r="G456" s="18"/>
      <c r="H456" s="18"/>
    </row>
    <row r="457">
      <c r="A457" s="18"/>
      <c r="B457" s="23"/>
      <c r="C457" s="23"/>
      <c r="D457" s="23"/>
      <c r="E457" s="23"/>
      <c r="F457" s="18"/>
      <c r="G457" s="18"/>
      <c r="H457" s="18"/>
    </row>
    <row r="458">
      <c r="A458" s="18"/>
      <c r="B458" s="23"/>
      <c r="C458" s="23"/>
      <c r="D458" s="23"/>
      <c r="E458" s="23"/>
      <c r="F458" s="18"/>
      <c r="G458" s="18"/>
      <c r="H458" s="18"/>
    </row>
    <row r="459">
      <c r="A459" s="18"/>
      <c r="B459" s="23"/>
      <c r="C459" s="23"/>
      <c r="D459" s="23"/>
      <c r="E459" s="23"/>
      <c r="F459" s="18"/>
      <c r="G459" s="18"/>
      <c r="H459" s="18"/>
    </row>
    <row r="460">
      <c r="A460" s="18"/>
      <c r="B460" s="23"/>
      <c r="C460" s="23"/>
      <c r="D460" s="23"/>
      <c r="E460" s="23"/>
      <c r="F460" s="18"/>
      <c r="G460" s="18"/>
      <c r="H460" s="18"/>
    </row>
    <row r="461">
      <c r="A461" s="18"/>
      <c r="B461" s="23"/>
      <c r="C461" s="23"/>
      <c r="D461" s="23"/>
      <c r="E461" s="23"/>
      <c r="F461" s="18"/>
      <c r="G461" s="18"/>
      <c r="H461" s="18"/>
    </row>
    <row r="462">
      <c r="A462" s="18"/>
      <c r="B462" s="23"/>
      <c r="C462" s="23"/>
      <c r="D462" s="23"/>
      <c r="E462" s="23"/>
      <c r="F462" s="18"/>
      <c r="G462" s="18"/>
      <c r="H462" s="18"/>
    </row>
    <row r="463">
      <c r="A463" s="18"/>
      <c r="B463" s="23"/>
      <c r="C463" s="23"/>
      <c r="D463" s="23"/>
      <c r="E463" s="23"/>
      <c r="F463" s="18"/>
      <c r="G463" s="18"/>
      <c r="H463" s="18"/>
    </row>
    <row r="464">
      <c r="A464" s="18"/>
      <c r="B464" s="23"/>
      <c r="C464" s="23"/>
      <c r="D464" s="23"/>
      <c r="E464" s="23"/>
      <c r="F464" s="18"/>
      <c r="G464" s="18"/>
      <c r="H464" s="18"/>
    </row>
    <row r="465">
      <c r="A465" s="18"/>
      <c r="B465" s="23"/>
      <c r="C465" s="23"/>
      <c r="D465" s="23"/>
      <c r="E465" s="23"/>
      <c r="F465" s="18"/>
      <c r="G465" s="18"/>
      <c r="H465" s="18"/>
    </row>
    <row r="466">
      <c r="A466" s="18"/>
      <c r="B466" s="23"/>
      <c r="C466" s="23"/>
      <c r="D466" s="23"/>
      <c r="E466" s="23"/>
      <c r="F466" s="18"/>
      <c r="G466" s="18"/>
      <c r="H466" s="18"/>
    </row>
    <row r="467">
      <c r="A467" s="18"/>
      <c r="B467" s="23"/>
      <c r="C467" s="23"/>
      <c r="D467" s="23"/>
      <c r="E467" s="23"/>
      <c r="F467" s="18"/>
      <c r="G467" s="18"/>
      <c r="H467" s="18"/>
    </row>
    <row r="468">
      <c r="A468" s="18"/>
      <c r="B468" s="23"/>
      <c r="C468" s="23"/>
      <c r="D468" s="23"/>
      <c r="E468" s="23"/>
      <c r="F468" s="18"/>
      <c r="G468" s="18"/>
      <c r="H468" s="18"/>
    </row>
    <row r="469">
      <c r="A469" s="18"/>
      <c r="B469" s="23"/>
      <c r="C469" s="23"/>
      <c r="D469" s="23"/>
      <c r="E469" s="23"/>
      <c r="F469" s="18"/>
      <c r="G469" s="18"/>
      <c r="H469" s="18"/>
    </row>
    <row r="470">
      <c r="A470" s="18"/>
      <c r="B470" s="23"/>
      <c r="C470" s="23"/>
      <c r="D470" s="23"/>
      <c r="E470" s="23"/>
      <c r="F470" s="18"/>
      <c r="G470" s="18"/>
      <c r="H470" s="18"/>
    </row>
    <row r="471">
      <c r="A471" s="18"/>
      <c r="B471" s="23"/>
      <c r="C471" s="23"/>
      <c r="D471" s="23"/>
      <c r="E471" s="23"/>
      <c r="F471" s="18"/>
      <c r="G471" s="18"/>
      <c r="H471" s="18"/>
    </row>
    <row r="472">
      <c r="A472" s="18"/>
      <c r="B472" s="23"/>
      <c r="C472" s="23"/>
      <c r="D472" s="23"/>
      <c r="E472" s="23"/>
      <c r="F472" s="18"/>
      <c r="G472" s="18"/>
      <c r="H472" s="18"/>
    </row>
    <row r="473">
      <c r="A473" s="18"/>
      <c r="B473" s="23"/>
      <c r="C473" s="23"/>
      <c r="D473" s="23"/>
      <c r="E473" s="23"/>
      <c r="F473" s="18"/>
      <c r="G473" s="18"/>
      <c r="H473" s="18"/>
    </row>
    <row r="474">
      <c r="A474" s="18"/>
      <c r="B474" s="23"/>
      <c r="C474" s="23"/>
      <c r="D474" s="23"/>
      <c r="E474" s="23"/>
      <c r="F474" s="18"/>
      <c r="G474" s="18"/>
      <c r="H474" s="18"/>
    </row>
    <row r="475">
      <c r="A475" s="18"/>
      <c r="B475" s="23"/>
      <c r="C475" s="23"/>
      <c r="D475" s="23"/>
      <c r="E475" s="23"/>
      <c r="F475" s="18"/>
      <c r="G475" s="18"/>
      <c r="H475" s="18"/>
    </row>
    <row r="476">
      <c r="A476" s="18"/>
      <c r="B476" s="23"/>
      <c r="C476" s="23"/>
      <c r="D476" s="23"/>
      <c r="E476" s="23"/>
      <c r="F476" s="18"/>
      <c r="G476" s="18"/>
      <c r="H476" s="18"/>
    </row>
    <row r="477">
      <c r="A477" s="18"/>
      <c r="B477" s="23"/>
      <c r="C477" s="23"/>
      <c r="D477" s="23"/>
      <c r="E477" s="23"/>
      <c r="F477" s="18"/>
      <c r="G477" s="18"/>
      <c r="H477" s="18"/>
    </row>
    <row r="478">
      <c r="A478" s="18"/>
      <c r="B478" s="23"/>
      <c r="C478" s="23"/>
      <c r="D478" s="23"/>
      <c r="E478" s="23"/>
      <c r="F478" s="18"/>
      <c r="G478" s="18"/>
      <c r="H478" s="18"/>
    </row>
    <row r="479">
      <c r="A479" s="18"/>
      <c r="B479" s="23"/>
      <c r="C479" s="23"/>
      <c r="D479" s="23"/>
      <c r="E479" s="23"/>
      <c r="F479" s="18"/>
      <c r="G479" s="18"/>
      <c r="H479" s="18"/>
    </row>
    <row r="480">
      <c r="A480" s="18"/>
      <c r="B480" s="23"/>
      <c r="C480" s="23"/>
      <c r="D480" s="23"/>
      <c r="E480" s="23"/>
      <c r="F480" s="18"/>
      <c r="G480" s="18"/>
      <c r="H480" s="18"/>
    </row>
    <row r="481">
      <c r="A481" s="18"/>
      <c r="B481" s="23"/>
      <c r="C481" s="23"/>
      <c r="D481" s="23"/>
      <c r="E481" s="23"/>
      <c r="F481" s="18"/>
      <c r="G481" s="18"/>
      <c r="H481" s="18"/>
    </row>
    <row r="482">
      <c r="A482" s="18"/>
      <c r="B482" s="23"/>
      <c r="C482" s="23"/>
      <c r="D482" s="23"/>
      <c r="E482" s="23"/>
      <c r="F482" s="18"/>
      <c r="G482" s="18"/>
      <c r="H482" s="18"/>
    </row>
    <row r="483">
      <c r="A483" s="18"/>
      <c r="B483" s="23"/>
      <c r="C483" s="23"/>
      <c r="D483" s="23"/>
      <c r="E483" s="23"/>
      <c r="F483" s="18"/>
      <c r="G483" s="18"/>
      <c r="H483" s="18"/>
    </row>
    <row r="484">
      <c r="A484" s="18"/>
      <c r="B484" s="23"/>
      <c r="C484" s="23"/>
      <c r="D484" s="23"/>
      <c r="E484" s="23"/>
      <c r="F484" s="18"/>
      <c r="G484" s="18"/>
      <c r="H484" s="18"/>
    </row>
    <row r="485">
      <c r="A485" s="18"/>
      <c r="B485" s="23"/>
      <c r="C485" s="23"/>
      <c r="D485" s="23"/>
      <c r="E485" s="23"/>
      <c r="F485" s="18"/>
      <c r="G485" s="18"/>
      <c r="H485" s="18"/>
    </row>
    <row r="486">
      <c r="A486" s="18"/>
      <c r="B486" s="23"/>
      <c r="C486" s="23"/>
      <c r="D486" s="23"/>
      <c r="E486" s="23"/>
      <c r="F486" s="18"/>
      <c r="G486" s="18"/>
      <c r="H486" s="18"/>
    </row>
    <row r="487">
      <c r="A487" s="18"/>
      <c r="B487" s="23"/>
      <c r="C487" s="23"/>
      <c r="D487" s="23"/>
      <c r="E487" s="23"/>
      <c r="F487" s="18"/>
      <c r="G487" s="18"/>
      <c r="H487" s="18"/>
    </row>
    <row r="488">
      <c r="A488" s="18"/>
      <c r="B488" s="23"/>
      <c r="C488" s="23"/>
      <c r="D488" s="23"/>
      <c r="E488" s="23"/>
      <c r="F488" s="18"/>
      <c r="G488" s="18"/>
      <c r="H488" s="18"/>
    </row>
    <row r="489">
      <c r="A489" s="18"/>
      <c r="B489" s="23"/>
      <c r="C489" s="23"/>
      <c r="D489" s="23"/>
      <c r="E489" s="23"/>
      <c r="F489" s="18"/>
      <c r="G489" s="18"/>
      <c r="H489" s="18"/>
    </row>
    <row r="490">
      <c r="A490" s="18"/>
      <c r="B490" s="23"/>
      <c r="C490" s="23"/>
      <c r="D490" s="23"/>
      <c r="E490" s="23"/>
      <c r="F490" s="18"/>
      <c r="G490" s="18"/>
      <c r="H490" s="18"/>
    </row>
    <row r="491">
      <c r="A491" s="18"/>
      <c r="B491" s="23"/>
      <c r="C491" s="23"/>
      <c r="D491" s="23"/>
      <c r="E491" s="23"/>
      <c r="F491" s="18"/>
      <c r="G491" s="18"/>
      <c r="H491" s="18"/>
    </row>
    <row r="492">
      <c r="A492" s="18"/>
      <c r="B492" s="23"/>
      <c r="C492" s="23"/>
      <c r="D492" s="23"/>
      <c r="E492" s="23"/>
      <c r="F492" s="18"/>
      <c r="G492" s="18"/>
      <c r="H492" s="18"/>
    </row>
    <row r="493">
      <c r="A493" s="18"/>
      <c r="B493" s="23"/>
      <c r="C493" s="23"/>
      <c r="D493" s="23"/>
      <c r="E493" s="23"/>
      <c r="F493" s="18"/>
      <c r="G493" s="18"/>
      <c r="H493" s="18"/>
    </row>
    <row r="494">
      <c r="A494" s="18"/>
      <c r="B494" s="23"/>
      <c r="C494" s="23"/>
      <c r="D494" s="23"/>
      <c r="E494" s="23"/>
      <c r="F494" s="18"/>
      <c r="G494" s="18"/>
      <c r="H494" s="18"/>
    </row>
    <row r="495">
      <c r="A495" s="18"/>
      <c r="B495" s="23"/>
      <c r="C495" s="23"/>
      <c r="D495" s="23"/>
      <c r="E495" s="23"/>
      <c r="F495" s="18"/>
      <c r="G495" s="18"/>
      <c r="H495" s="18"/>
    </row>
    <row r="496">
      <c r="A496" s="18"/>
      <c r="B496" s="23"/>
      <c r="C496" s="23"/>
      <c r="D496" s="23"/>
      <c r="E496" s="23"/>
      <c r="F496" s="18"/>
      <c r="G496" s="18"/>
      <c r="H496" s="18"/>
    </row>
    <row r="497">
      <c r="A497" s="18"/>
      <c r="B497" s="23"/>
      <c r="C497" s="23"/>
      <c r="D497" s="23"/>
      <c r="E497" s="23"/>
      <c r="F497" s="18"/>
      <c r="G497" s="18"/>
      <c r="H497" s="18"/>
    </row>
    <row r="498">
      <c r="A498" s="18"/>
      <c r="B498" s="23"/>
      <c r="C498" s="23"/>
      <c r="D498" s="23"/>
      <c r="E498" s="23"/>
      <c r="F498" s="18"/>
      <c r="G498" s="18"/>
      <c r="H498" s="18"/>
    </row>
    <row r="499">
      <c r="A499" s="18"/>
      <c r="B499" s="23"/>
      <c r="C499" s="23"/>
      <c r="D499" s="23"/>
      <c r="E499" s="23"/>
      <c r="F499" s="18"/>
      <c r="G499" s="18"/>
      <c r="H499" s="18"/>
    </row>
    <row r="500">
      <c r="A500" s="18"/>
      <c r="B500" s="23"/>
      <c r="C500" s="23"/>
      <c r="D500" s="23"/>
      <c r="E500" s="23"/>
      <c r="F500" s="18"/>
      <c r="G500" s="18"/>
      <c r="H500" s="18"/>
    </row>
    <row r="501">
      <c r="A501" s="18"/>
      <c r="B501" s="23"/>
      <c r="C501" s="23"/>
      <c r="D501" s="23"/>
      <c r="E501" s="23"/>
      <c r="F501" s="18"/>
      <c r="G501" s="18"/>
      <c r="H501" s="18"/>
    </row>
    <row r="502">
      <c r="A502" s="18"/>
      <c r="B502" s="23"/>
      <c r="C502" s="23"/>
      <c r="D502" s="23"/>
      <c r="E502" s="23"/>
      <c r="F502" s="18"/>
      <c r="G502" s="18"/>
      <c r="H502" s="18"/>
    </row>
    <row r="503">
      <c r="A503" s="18"/>
      <c r="B503" s="23"/>
      <c r="C503" s="23"/>
      <c r="D503" s="23"/>
      <c r="E503" s="23"/>
      <c r="F503" s="18"/>
      <c r="G503" s="18"/>
      <c r="H503" s="18"/>
    </row>
    <row r="504">
      <c r="A504" s="18"/>
      <c r="B504" s="23"/>
      <c r="C504" s="23"/>
      <c r="D504" s="23"/>
      <c r="E504" s="23"/>
      <c r="F504" s="18"/>
      <c r="G504" s="18"/>
      <c r="H504" s="18"/>
    </row>
    <row r="505">
      <c r="A505" s="18"/>
      <c r="B505" s="23"/>
      <c r="C505" s="23"/>
      <c r="D505" s="23"/>
      <c r="E505" s="23"/>
      <c r="F505" s="18"/>
      <c r="G505" s="18"/>
      <c r="H505" s="18"/>
    </row>
    <row r="506">
      <c r="A506" s="18"/>
      <c r="B506" s="23"/>
      <c r="C506" s="23"/>
      <c r="D506" s="23"/>
      <c r="E506" s="23"/>
      <c r="F506" s="18"/>
      <c r="G506" s="18"/>
      <c r="H506" s="18"/>
    </row>
    <row r="507">
      <c r="A507" s="18"/>
      <c r="B507" s="23"/>
      <c r="C507" s="23"/>
      <c r="D507" s="23"/>
      <c r="E507" s="23"/>
      <c r="F507" s="18"/>
      <c r="G507" s="18"/>
      <c r="H507" s="18"/>
    </row>
    <row r="508">
      <c r="A508" s="18"/>
      <c r="B508" s="23"/>
      <c r="C508" s="23"/>
      <c r="D508" s="23"/>
      <c r="E508" s="23"/>
      <c r="F508" s="18"/>
      <c r="G508" s="18"/>
      <c r="H508" s="18"/>
    </row>
    <row r="509">
      <c r="A509" s="18"/>
      <c r="B509" s="23"/>
      <c r="C509" s="23"/>
      <c r="D509" s="23"/>
      <c r="E509" s="23"/>
      <c r="F509" s="18"/>
      <c r="G509" s="18"/>
      <c r="H509" s="18"/>
    </row>
    <row r="510">
      <c r="A510" s="18"/>
      <c r="B510" s="23"/>
      <c r="C510" s="23"/>
      <c r="D510" s="23"/>
      <c r="E510" s="23"/>
      <c r="F510" s="18"/>
      <c r="G510" s="18"/>
      <c r="H510" s="18"/>
    </row>
    <row r="511">
      <c r="A511" s="18"/>
      <c r="B511" s="23"/>
      <c r="C511" s="23"/>
      <c r="D511" s="23"/>
      <c r="E511" s="23"/>
      <c r="F511" s="18"/>
      <c r="G511" s="18"/>
      <c r="H511" s="18"/>
    </row>
    <row r="512">
      <c r="A512" s="18"/>
      <c r="B512" s="23"/>
      <c r="C512" s="23"/>
      <c r="D512" s="23"/>
      <c r="E512" s="23"/>
      <c r="F512" s="18"/>
      <c r="G512" s="18"/>
      <c r="H512" s="18"/>
    </row>
    <row r="513">
      <c r="A513" s="18"/>
      <c r="B513" s="23"/>
      <c r="C513" s="23"/>
      <c r="D513" s="23"/>
      <c r="E513" s="23"/>
      <c r="F513" s="18"/>
      <c r="G513" s="18"/>
      <c r="H513" s="18"/>
    </row>
    <row r="514">
      <c r="A514" s="18"/>
      <c r="B514" s="23"/>
      <c r="C514" s="23"/>
      <c r="D514" s="23"/>
      <c r="E514" s="23"/>
      <c r="F514" s="18"/>
      <c r="G514" s="18"/>
      <c r="H514" s="18"/>
    </row>
    <row r="515">
      <c r="A515" s="18"/>
      <c r="B515" s="23"/>
      <c r="C515" s="23"/>
      <c r="D515" s="23"/>
      <c r="E515" s="23"/>
      <c r="F515" s="18"/>
      <c r="G515" s="18"/>
      <c r="H515" s="18"/>
    </row>
    <row r="516">
      <c r="A516" s="18"/>
      <c r="B516" s="23"/>
      <c r="C516" s="23"/>
      <c r="D516" s="23"/>
      <c r="E516" s="23"/>
      <c r="F516" s="18"/>
      <c r="G516" s="18"/>
      <c r="H516" s="18"/>
    </row>
    <row r="517">
      <c r="A517" s="18"/>
      <c r="B517" s="23"/>
      <c r="C517" s="23"/>
      <c r="D517" s="23"/>
      <c r="E517" s="23"/>
      <c r="F517" s="18"/>
      <c r="G517" s="18"/>
      <c r="H517" s="18"/>
    </row>
    <row r="518">
      <c r="A518" s="18"/>
      <c r="B518" s="23"/>
      <c r="C518" s="23"/>
      <c r="D518" s="23"/>
      <c r="E518" s="23"/>
      <c r="F518" s="18"/>
      <c r="G518" s="18"/>
      <c r="H518" s="18"/>
    </row>
    <row r="519">
      <c r="A519" s="18"/>
      <c r="B519" s="23"/>
      <c r="C519" s="23"/>
      <c r="D519" s="23"/>
      <c r="E519" s="23"/>
      <c r="F519" s="18"/>
      <c r="G519" s="18"/>
      <c r="H519" s="18"/>
    </row>
    <row r="520">
      <c r="A520" s="18"/>
      <c r="B520" s="23"/>
      <c r="C520" s="23"/>
      <c r="D520" s="23"/>
      <c r="E520" s="23"/>
      <c r="F520" s="18"/>
      <c r="G520" s="18"/>
      <c r="H520" s="18"/>
    </row>
    <row r="521">
      <c r="A521" s="18"/>
      <c r="B521" s="23"/>
      <c r="C521" s="23"/>
      <c r="D521" s="23"/>
      <c r="E521" s="23"/>
      <c r="F521" s="18"/>
      <c r="G521" s="18"/>
      <c r="H521" s="18"/>
    </row>
    <row r="522">
      <c r="A522" s="18"/>
      <c r="B522" s="23"/>
      <c r="C522" s="23"/>
      <c r="D522" s="23"/>
      <c r="E522" s="23"/>
      <c r="F522" s="18"/>
      <c r="G522" s="18"/>
      <c r="H522" s="18"/>
    </row>
    <row r="523">
      <c r="A523" s="18"/>
      <c r="B523" s="23"/>
      <c r="C523" s="23"/>
      <c r="D523" s="23"/>
      <c r="E523" s="23"/>
      <c r="F523" s="18"/>
      <c r="G523" s="18"/>
      <c r="H523" s="18"/>
    </row>
    <row r="524">
      <c r="A524" s="18"/>
      <c r="B524" s="23"/>
      <c r="C524" s="23"/>
      <c r="D524" s="23"/>
      <c r="E524" s="23"/>
      <c r="F524" s="18"/>
      <c r="G524" s="18"/>
      <c r="H524" s="18"/>
    </row>
    <row r="525">
      <c r="A525" s="18"/>
      <c r="B525" s="23"/>
      <c r="C525" s="23"/>
      <c r="D525" s="23"/>
      <c r="E525" s="23"/>
      <c r="F525" s="18"/>
      <c r="G525" s="18"/>
      <c r="H525" s="18"/>
    </row>
    <row r="526">
      <c r="A526" s="18"/>
      <c r="B526" s="23"/>
      <c r="C526" s="23"/>
      <c r="D526" s="23"/>
      <c r="E526" s="23"/>
      <c r="F526" s="18"/>
      <c r="G526" s="18"/>
      <c r="H526" s="18"/>
    </row>
    <row r="527">
      <c r="A527" s="18"/>
      <c r="B527" s="23"/>
      <c r="C527" s="23"/>
      <c r="D527" s="23"/>
      <c r="E527" s="23"/>
      <c r="F527" s="18"/>
      <c r="G527" s="18"/>
      <c r="H527" s="18"/>
    </row>
    <row r="528">
      <c r="A528" s="18"/>
      <c r="B528" s="23"/>
      <c r="C528" s="23"/>
      <c r="D528" s="23"/>
      <c r="E528" s="23"/>
      <c r="F528" s="18"/>
      <c r="G528" s="18"/>
      <c r="H528" s="18"/>
    </row>
    <row r="529">
      <c r="A529" s="18"/>
      <c r="B529" s="23"/>
      <c r="C529" s="23"/>
      <c r="D529" s="23"/>
      <c r="E529" s="23"/>
      <c r="F529" s="18"/>
      <c r="G529" s="18"/>
      <c r="H529" s="18"/>
    </row>
    <row r="530">
      <c r="A530" s="18"/>
      <c r="B530" s="23"/>
      <c r="C530" s="23"/>
      <c r="D530" s="23"/>
      <c r="E530" s="23"/>
      <c r="F530" s="18"/>
      <c r="G530" s="18"/>
      <c r="H530" s="18"/>
    </row>
    <row r="531">
      <c r="A531" s="18"/>
      <c r="B531" s="23"/>
      <c r="C531" s="23"/>
      <c r="D531" s="23"/>
      <c r="E531" s="23"/>
      <c r="F531" s="18"/>
      <c r="G531" s="18"/>
      <c r="H531" s="18"/>
    </row>
    <row r="532">
      <c r="A532" s="18"/>
      <c r="B532" s="23"/>
      <c r="C532" s="23"/>
      <c r="D532" s="23"/>
      <c r="E532" s="23"/>
      <c r="F532" s="18"/>
      <c r="G532" s="18"/>
      <c r="H532" s="18"/>
    </row>
    <row r="533">
      <c r="A533" s="18"/>
      <c r="B533" s="23"/>
      <c r="C533" s="23"/>
      <c r="D533" s="23"/>
      <c r="E533" s="23"/>
      <c r="F533" s="18"/>
      <c r="G533" s="18"/>
      <c r="H533" s="18"/>
    </row>
    <row r="534">
      <c r="A534" s="18"/>
      <c r="B534" s="23"/>
      <c r="C534" s="23"/>
      <c r="D534" s="23"/>
      <c r="E534" s="23"/>
      <c r="F534" s="18"/>
      <c r="G534" s="18"/>
      <c r="H534" s="18"/>
    </row>
    <row r="535">
      <c r="A535" s="18"/>
      <c r="B535" s="23"/>
      <c r="C535" s="23"/>
      <c r="D535" s="23"/>
      <c r="E535" s="23"/>
      <c r="F535" s="18"/>
      <c r="G535" s="18"/>
      <c r="H535" s="18"/>
    </row>
    <row r="536">
      <c r="A536" s="18"/>
      <c r="B536" s="23"/>
      <c r="C536" s="23"/>
      <c r="D536" s="23"/>
      <c r="E536" s="23"/>
      <c r="F536" s="18"/>
      <c r="G536" s="18"/>
      <c r="H536" s="18"/>
    </row>
    <row r="537">
      <c r="A537" s="18"/>
      <c r="B537" s="23"/>
      <c r="C537" s="23"/>
      <c r="D537" s="23"/>
      <c r="E537" s="23"/>
      <c r="F537" s="18"/>
      <c r="G537" s="18"/>
      <c r="H537" s="18"/>
    </row>
    <row r="538">
      <c r="A538" s="18"/>
      <c r="B538" s="23"/>
      <c r="C538" s="23"/>
      <c r="D538" s="23"/>
      <c r="E538" s="23"/>
      <c r="F538" s="18"/>
      <c r="G538" s="18"/>
      <c r="H538" s="18"/>
    </row>
    <row r="539">
      <c r="A539" s="18"/>
      <c r="B539" s="23"/>
      <c r="C539" s="23"/>
      <c r="D539" s="23"/>
      <c r="E539" s="23"/>
      <c r="F539" s="18"/>
      <c r="G539" s="18"/>
      <c r="H539" s="18"/>
    </row>
    <row r="540">
      <c r="A540" s="18"/>
      <c r="B540" s="23"/>
      <c r="C540" s="23"/>
      <c r="D540" s="23"/>
      <c r="E540" s="23"/>
      <c r="F540" s="18"/>
      <c r="G540" s="18"/>
      <c r="H540" s="18"/>
    </row>
    <row r="541">
      <c r="A541" s="18"/>
      <c r="B541" s="23"/>
      <c r="C541" s="23"/>
      <c r="D541" s="23"/>
      <c r="E541" s="23"/>
      <c r="F541" s="18"/>
      <c r="G541" s="18"/>
      <c r="H541" s="18"/>
    </row>
    <row r="542">
      <c r="A542" s="18"/>
      <c r="B542" s="23"/>
      <c r="C542" s="23"/>
      <c r="D542" s="23"/>
      <c r="E542" s="23"/>
      <c r="F542" s="18"/>
      <c r="G542" s="18"/>
      <c r="H542" s="18"/>
    </row>
    <row r="543">
      <c r="A543" s="18"/>
      <c r="B543" s="23"/>
      <c r="C543" s="23"/>
      <c r="D543" s="23"/>
      <c r="E543" s="23"/>
      <c r="F543" s="18"/>
      <c r="G543" s="18"/>
      <c r="H543" s="18"/>
    </row>
    <row r="544">
      <c r="A544" s="18"/>
      <c r="B544" s="23"/>
      <c r="C544" s="23"/>
      <c r="D544" s="23"/>
      <c r="E544" s="23"/>
      <c r="F544" s="18"/>
      <c r="G544" s="18"/>
      <c r="H544" s="18"/>
    </row>
    <row r="545">
      <c r="A545" s="18"/>
      <c r="B545" s="23"/>
      <c r="C545" s="23"/>
      <c r="D545" s="23"/>
      <c r="E545" s="23"/>
      <c r="F545" s="18"/>
      <c r="G545" s="18"/>
      <c r="H545" s="18"/>
    </row>
    <row r="546">
      <c r="A546" s="18"/>
      <c r="B546" s="23"/>
      <c r="C546" s="23"/>
      <c r="D546" s="23"/>
      <c r="E546" s="23"/>
      <c r="F546" s="18"/>
      <c r="G546" s="18"/>
      <c r="H546" s="18"/>
    </row>
    <row r="547">
      <c r="A547" s="18"/>
      <c r="B547" s="23"/>
      <c r="C547" s="23"/>
      <c r="D547" s="23"/>
      <c r="E547" s="23"/>
      <c r="F547" s="18"/>
      <c r="G547" s="18"/>
      <c r="H547" s="18"/>
    </row>
    <row r="548">
      <c r="A548" s="18"/>
      <c r="B548" s="23"/>
      <c r="C548" s="23"/>
      <c r="D548" s="23"/>
      <c r="E548" s="23"/>
      <c r="F548" s="18"/>
      <c r="G548" s="18"/>
      <c r="H548" s="18"/>
    </row>
    <row r="549">
      <c r="A549" s="18"/>
      <c r="B549" s="23"/>
      <c r="C549" s="23"/>
      <c r="D549" s="23"/>
      <c r="E549" s="23"/>
      <c r="F549" s="18"/>
      <c r="G549" s="18"/>
      <c r="H549" s="18"/>
    </row>
    <row r="550">
      <c r="A550" s="18"/>
      <c r="B550" s="23"/>
      <c r="C550" s="23"/>
      <c r="D550" s="23"/>
      <c r="E550" s="23"/>
      <c r="F550" s="18"/>
      <c r="G550" s="18"/>
      <c r="H550" s="18"/>
    </row>
    <row r="551">
      <c r="A551" s="18"/>
      <c r="B551" s="23"/>
      <c r="C551" s="23"/>
      <c r="D551" s="23"/>
      <c r="E551" s="23"/>
      <c r="F551" s="18"/>
      <c r="G551" s="18"/>
      <c r="H551" s="18"/>
    </row>
    <row r="552">
      <c r="A552" s="18"/>
      <c r="B552" s="23"/>
      <c r="C552" s="23"/>
      <c r="D552" s="23"/>
      <c r="E552" s="23"/>
      <c r="F552" s="18"/>
      <c r="G552" s="18"/>
      <c r="H552" s="18"/>
    </row>
    <row r="553">
      <c r="A553" s="18"/>
      <c r="B553" s="23"/>
      <c r="C553" s="23"/>
      <c r="D553" s="23"/>
      <c r="E553" s="23"/>
      <c r="F553" s="18"/>
      <c r="G553" s="18"/>
      <c r="H553" s="18"/>
    </row>
    <row r="554">
      <c r="A554" s="18"/>
      <c r="B554" s="23"/>
      <c r="C554" s="23"/>
      <c r="D554" s="23"/>
      <c r="E554" s="23"/>
      <c r="F554" s="18"/>
      <c r="G554" s="18"/>
      <c r="H554" s="18"/>
    </row>
    <row r="555">
      <c r="A555" s="18"/>
      <c r="B555" s="23"/>
      <c r="C555" s="23"/>
      <c r="D555" s="23"/>
      <c r="E555" s="23"/>
      <c r="F555" s="18"/>
      <c r="G555" s="18"/>
      <c r="H555" s="18"/>
    </row>
    <row r="556">
      <c r="A556" s="18"/>
      <c r="B556" s="23"/>
      <c r="C556" s="23"/>
      <c r="D556" s="23"/>
      <c r="E556" s="23"/>
      <c r="F556" s="18"/>
      <c r="G556" s="18"/>
      <c r="H556" s="18"/>
    </row>
    <row r="557">
      <c r="A557" s="18"/>
      <c r="B557" s="23"/>
      <c r="C557" s="23"/>
      <c r="D557" s="23"/>
      <c r="E557" s="23"/>
      <c r="F557" s="18"/>
      <c r="G557" s="18"/>
      <c r="H557" s="18"/>
    </row>
    <row r="558">
      <c r="A558" s="18"/>
      <c r="B558" s="23"/>
      <c r="C558" s="23"/>
      <c r="D558" s="23"/>
      <c r="E558" s="23"/>
      <c r="F558" s="18"/>
      <c r="G558" s="18"/>
      <c r="H558" s="18"/>
    </row>
    <row r="559">
      <c r="A559" s="18"/>
      <c r="B559" s="23"/>
      <c r="C559" s="23"/>
      <c r="D559" s="23"/>
      <c r="E559" s="23"/>
      <c r="F559" s="18"/>
      <c r="G559" s="18"/>
      <c r="H559" s="18"/>
    </row>
    <row r="560">
      <c r="A560" s="18"/>
      <c r="B560" s="23"/>
      <c r="C560" s="23"/>
      <c r="D560" s="23"/>
      <c r="E560" s="23"/>
      <c r="F560" s="18"/>
      <c r="G560" s="18"/>
      <c r="H560" s="18"/>
    </row>
    <row r="561">
      <c r="A561" s="18"/>
      <c r="B561" s="23"/>
      <c r="C561" s="23"/>
      <c r="D561" s="23"/>
      <c r="E561" s="23"/>
      <c r="F561" s="18"/>
      <c r="G561" s="18"/>
      <c r="H561" s="18"/>
    </row>
    <row r="562">
      <c r="A562" s="18"/>
      <c r="B562" s="23"/>
      <c r="C562" s="23"/>
      <c r="D562" s="23"/>
      <c r="E562" s="23"/>
      <c r="F562" s="18"/>
      <c r="G562" s="18"/>
      <c r="H562" s="18"/>
    </row>
    <row r="563">
      <c r="A563" s="18"/>
      <c r="B563" s="23"/>
      <c r="C563" s="23"/>
      <c r="D563" s="23"/>
      <c r="E563" s="23"/>
      <c r="F563" s="18"/>
      <c r="G563" s="18"/>
      <c r="H563" s="18"/>
    </row>
    <row r="564">
      <c r="A564" s="18"/>
      <c r="B564" s="23"/>
      <c r="C564" s="23"/>
      <c r="D564" s="23"/>
      <c r="E564" s="23"/>
      <c r="F564" s="18"/>
      <c r="G564" s="18"/>
      <c r="H564" s="18"/>
    </row>
    <row r="565">
      <c r="A565" s="18"/>
      <c r="B565" s="23"/>
      <c r="C565" s="23"/>
      <c r="D565" s="23"/>
      <c r="E565" s="23"/>
      <c r="F565" s="18"/>
      <c r="G565" s="18"/>
      <c r="H565" s="18"/>
    </row>
    <row r="566">
      <c r="A566" s="18"/>
      <c r="B566" s="23"/>
      <c r="C566" s="23"/>
      <c r="D566" s="23"/>
      <c r="E566" s="23"/>
      <c r="F566" s="18"/>
      <c r="G566" s="18"/>
      <c r="H566" s="18"/>
    </row>
    <row r="567">
      <c r="A567" s="18"/>
      <c r="B567" s="23"/>
      <c r="C567" s="23"/>
      <c r="D567" s="23"/>
      <c r="E567" s="23"/>
      <c r="F567" s="18"/>
      <c r="G567" s="18"/>
      <c r="H567" s="18"/>
    </row>
    <row r="568">
      <c r="A568" s="18"/>
      <c r="B568" s="23"/>
      <c r="C568" s="23"/>
      <c r="D568" s="23"/>
      <c r="E568" s="23"/>
      <c r="F568" s="18"/>
      <c r="G568" s="18"/>
      <c r="H568" s="18"/>
    </row>
    <row r="569">
      <c r="A569" s="18"/>
      <c r="B569" s="23"/>
      <c r="C569" s="23"/>
      <c r="D569" s="23"/>
      <c r="E569" s="23"/>
      <c r="F569" s="18"/>
      <c r="G569" s="18"/>
      <c r="H569" s="18"/>
    </row>
    <row r="570">
      <c r="A570" s="18"/>
      <c r="B570" s="23"/>
      <c r="C570" s="23"/>
      <c r="D570" s="23"/>
      <c r="E570" s="23"/>
      <c r="F570" s="18"/>
      <c r="G570" s="18"/>
      <c r="H570" s="18"/>
    </row>
    <row r="571">
      <c r="A571" s="18"/>
      <c r="B571" s="23"/>
      <c r="C571" s="23"/>
      <c r="D571" s="23"/>
      <c r="E571" s="23"/>
      <c r="F571" s="18"/>
      <c r="G571" s="18"/>
      <c r="H571" s="18"/>
    </row>
    <row r="572">
      <c r="A572" s="18"/>
      <c r="B572" s="23"/>
      <c r="C572" s="23"/>
      <c r="D572" s="23"/>
      <c r="E572" s="23"/>
      <c r="F572" s="18"/>
      <c r="G572" s="18"/>
      <c r="H572" s="18"/>
    </row>
    <row r="573">
      <c r="A573" s="18"/>
      <c r="B573" s="23"/>
      <c r="C573" s="23"/>
      <c r="D573" s="23"/>
      <c r="E573" s="23"/>
      <c r="F573" s="18"/>
      <c r="G573" s="18"/>
      <c r="H573" s="18"/>
    </row>
    <row r="574">
      <c r="A574" s="18"/>
      <c r="B574" s="23"/>
      <c r="C574" s="23"/>
      <c r="D574" s="23"/>
      <c r="E574" s="23"/>
      <c r="F574" s="18"/>
      <c r="G574" s="18"/>
      <c r="H574" s="18"/>
    </row>
    <row r="575">
      <c r="A575" s="18"/>
      <c r="B575" s="23"/>
      <c r="C575" s="23"/>
      <c r="D575" s="23"/>
      <c r="E575" s="23"/>
      <c r="F575" s="18"/>
      <c r="G575" s="18"/>
      <c r="H575" s="18"/>
    </row>
    <row r="576">
      <c r="A576" s="18"/>
      <c r="B576" s="23"/>
      <c r="C576" s="23"/>
      <c r="D576" s="23"/>
      <c r="E576" s="23"/>
      <c r="F576" s="18"/>
      <c r="G576" s="18"/>
      <c r="H576" s="18"/>
    </row>
    <row r="577">
      <c r="A577" s="18"/>
      <c r="B577" s="23"/>
      <c r="C577" s="23"/>
      <c r="D577" s="23"/>
      <c r="E577" s="23"/>
      <c r="F577" s="18"/>
      <c r="G577" s="18"/>
      <c r="H577" s="18"/>
    </row>
    <row r="578">
      <c r="A578" s="18"/>
      <c r="B578" s="23"/>
      <c r="C578" s="23"/>
      <c r="D578" s="23"/>
      <c r="E578" s="23"/>
      <c r="F578" s="18"/>
      <c r="G578" s="18"/>
      <c r="H578" s="18"/>
    </row>
    <row r="579">
      <c r="A579" s="18"/>
      <c r="B579" s="23"/>
      <c r="C579" s="23"/>
      <c r="D579" s="23"/>
      <c r="E579" s="23"/>
      <c r="F579" s="18"/>
      <c r="G579" s="18"/>
      <c r="H579" s="18"/>
    </row>
    <row r="580">
      <c r="A580" s="18"/>
      <c r="B580" s="23"/>
      <c r="C580" s="23"/>
      <c r="D580" s="23"/>
      <c r="E580" s="23"/>
      <c r="F580" s="18"/>
      <c r="G580" s="18"/>
      <c r="H580" s="18"/>
    </row>
    <row r="581">
      <c r="A581" s="18"/>
      <c r="B581" s="23"/>
      <c r="C581" s="23"/>
      <c r="D581" s="23"/>
      <c r="E581" s="23"/>
      <c r="F581" s="18"/>
      <c r="G581" s="18"/>
      <c r="H581" s="18"/>
    </row>
    <row r="582">
      <c r="A582" s="18"/>
      <c r="B582" s="23"/>
      <c r="C582" s="23"/>
      <c r="D582" s="23"/>
      <c r="E582" s="23"/>
      <c r="F582" s="18"/>
      <c r="G582" s="18"/>
      <c r="H582" s="18"/>
    </row>
    <row r="583">
      <c r="A583" s="18"/>
      <c r="B583" s="23"/>
      <c r="C583" s="23"/>
      <c r="D583" s="23"/>
      <c r="E583" s="23"/>
      <c r="F583" s="18"/>
      <c r="G583" s="18"/>
      <c r="H583" s="18"/>
    </row>
    <row r="584">
      <c r="A584" s="18"/>
      <c r="B584" s="23"/>
      <c r="C584" s="23"/>
      <c r="D584" s="23"/>
      <c r="E584" s="23"/>
      <c r="F584" s="18"/>
      <c r="G584" s="18"/>
      <c r="H584" s="18"/>
    </row>
    <row r="585">
      <c r="A585" s="18"/>
      <c r="B585" s="23"/>
      <c r="C585" s="23"/>
      <c r="D585" s="23"/>
      <c r="E585" s="23"/>
      <c r="F585" s="18"/>
      <c r="G585" s="18"/>
      <c r="H585" s="18"/>
    </row>
    <row r="586">
      <c r="A586" s="18"/>
      <c r="B586" s="23"/>
      <c r="C586" s="23"/>
      <c r="D586" s="23"/>
      <c r="E586" s="23"/>
      <c r="F586" s="18"/>
      <c r="G586" s="18"/>
      <c r="H586" s="18"/>
    </row>
    <row r="587">
      <c r="A587" s="18"/>
      <c r="B587" s="23"/>
      <c r="C587" s="23"/>
      <c r="D587" s="23"/>
      <c r="E587" s="23"/>
      <c r="F587" s="18"/>
      <c r="G587" s="18"/>
      <c r="H587" s="18"/>
    </row>
    <row r="588">
      <c r="A588" s="18"/>
      <c r="B588" s="23"/>
      <c r="C588" s="23"/>
      <c r="D588" s="23"/>
      <c r="E588" s="23"/>
      <c r="F588" s="18"/>
      <c r="G588" s="18"/>
      <c r="H588" s="18"/>
    </row>
    <row r="589">
      <c r="A589" s="18"/>
      <c r="B589" s="23"/>
      <c r="C589" s="23"/>
      <c r="D589" s="23"/>
      <c r="E589" s="23"/>
      <c r="F589" s="18"/>
      <c r="G589" s="18"/>
      <c r="H589" s="18"/>
    </row>
    <row r="590">
      <c r="A590" s="18"/>
      <c r="B590" s="23"/>
      <c r="C590" s="23"/>
      <c r="D590" s="23"/>
      <c r="E590" s="23"/>
      <c r="F590" s="18"/>
      <c r="G590" s="18"/>
      <c r="H590" s="18"/>
    </row>
    <row r="591">
      <c r="A591" s="18"/>
      <c r="B591" s="23"/>
      <c r="C591" s="23"/>
      <c r="D591" s="23"/>
      <c r="E591" s="23"/>
      <c r="F591" s="18"/>
      <c r="G591" s="18"/>
      <c r="H591" s="18"/>
    </row>
    <row r="592">
      <c r="A592" s="18"/>
      <c r="B592" s="23"/>
      <c r="C592" s="23"/>
      <c r="D592" s="23"/>
      <c r="E592" s="23"/>
      <c r="F592" s="18"/>
      <c r="G592" s="18"/>
      <c r="H592" s="18"/>
    </row>
    <row r="593">
      <c r="A593" s="18"/>
      <c r="B593" s="23"/>
      <c r="C593" s="23"/>
      <c r="D593" s="23"/>
      <c r="E593" s="23"/>
      <c r="F593" s="18"/>
      <c r="G593" s="18"/>
      <c r="H593" s="18"/>
    </row>
    <row r="594">
      <c r="A594" s="18"/>
      <c r="B594" s="23"/>
      <c r="C594" s="23"/>
      <c r="D594" s="23"/>
      <c r="E594" s="23"/>
      <c r="F594" s="18"/>
      <c r="G594" s="18"/>
      <c r="H594" s="18"/>
    </row>
    <row r="595">
      <c r="A595" s="18"/>
      <c r="B595" s="23"/>
      <c r="C595" s="23"/>
      <c r="D595" s="23"/>
      <c r="E595" s="23"/>
      <c r="F595" s="18"/>
      <c r="G595" s="18"/>
      <c r="H595" s="18"/>
    </row>
    <row r="596">
      <c r="A596" s="18"/>
      <c r="B596" s="23"/>
      <c r="C596" s="23"/>
      <c r="D596" s="23"/>
      <c r="E596" s="23"/>
      <c r="F596" s="18"/>
      <c r="G596" s="18"/>
      <c r="H596" s="18"/>
    </row>
    <row r="597">
      <c r="A597" s="18"/>
      <c r="B597" s="23"/>
      <c r="C597" s="23"/>
      <c r="D597" s="23"/>
      <c r="E597" s="23"/>
      <c r="F597" s="18"/>
      <c r="G597" s="18"/>
      <c r="H597" s="18"/>
    </row>
    <row r="598">
      <c r="A598" s="18"/>
      <c r="B598" s="23"/>
      <c r="C598" s="23"/>
      <c r="D598" s="23"/>
      <c r="E598" s="23"/>
      <c r="F598" s="18"/>
      <c r="G598" s="18"/>
      <c r="H598" s="18"/>
    </row>
    <row r="599">
      <c r="A599" s="18"/>
      <c r="B599" s="23"/>
      <c r="C599" s="23"/>
      <c r="D599" s="23"/>
      <c r="E599" s="23"/>
      <c r="F599" s="18"/>
      <c r="G599" s="18"/>
      <c r="H599" s="18"/>
    </row>
    <row r="600">
      <c r="A600" s="18"/>
      <c r="B600" s="23"/>
      <c r="C600" s="23"/>
      <c r="D600" s="23"/>
      <c r="E600" s="23"/>
      <c r="F600" s="18"/>
      <c r="G600" s="18"/>
      <c r="H600" s="18"/>
    </row>
    <row r="601">
      <c r="A601" s="18"/>
      <c r="B601" s="23"/>
      <c r="C601" s="23"/>
      <c r="D601" s="23"/>
      <c r="E601" s="23"/>
      <c r="F601" s="18"/>
      <c r="G601" s="18"/>
      <c r="H601" s="18"/>
    </row>
    <row r="602">
      <c r="A602" s="18"/>
      <c r="B602" s="23"/>
      <c r="C602" s="23"/>
      <c r="D602" s="23"/>
      <c r="E602" s="23"/>
      <c r="F602" s="18"/>
      <c r="G602" s="18"/>
      <c r="H602" s="18"/>
    </row>
    <row r="603">
      <c r="A603" s="18"/>
      <c r="B603" s="23"/>
      <c r="C603" s="23"/>
      <c r="D603" s="23"/>
      <c r="E603" s="23"/>
      <c r="F603" s="18"/>
      <c r="G603" s="18"/>
      <c r="H603" s="18"/>
    </row>
    <row r="604">
      <c r="A604" s="18"/>
      <c r="B604" s="23"/>
      <c r="C604" s="23"/>
      <c r="D604" s="23"/>
      <c r="E604" s="23"/>
      <c r="F604" s="18"/>
      <c r="G604" s="18"/>
      <c r="H604" s="18"/>
    </row>
    <row r="605">
      <c r="A605" s="18"/>
      <c r="B605" s="23"/>
      <c r="C605" s="23"/>
      <c r="D605" s="23"/>
      <c r="E605" s="23"/>
      <c r="F605" s="18"/>
      <c r="G605" s="18"/>
      <c r="H605" s="18"/>
    </row>
    <row r="606">
      <c r="A606" s="18"/>
      <c r="B606" s="23"/>
      <c r="C606" s="23"/>
      <c r="D606" s="23"/>
      <c r="E606" s="23"/>
      <c r="F606" s="18"/>
      <c r="G606" s="18"/>
      <c r="H606" s="18"/>
    </row>
    <row r="607">
      <c r="A607" s="18"/>
      <c r="B607" s="23"/>
      <c r="C607" s="23"/>
      <c r="D607" s="23"/>
      <c r="E607" s="23"/>
      <c r="F607" s="18"/>
      <c r="G607" s="18"/>
      <c r="H607" s="18"/>
    </row>
    <row r="608">
      <c r="A608" s="18"/>
      <c r="B608" s="23"/>
      <c r="C608" s="23"/>
      <c r="D608" s="23"/>
      <c r="E608" s="23"/>
      <c r="F608" s="18"/>
      <c r="G608" s="18"/>
      <c r="H608" s="18"/>
    </row>
    <row r="609">
      <c r="A609" s="18"/>
      <c r="B609" s="23"/>
      <c r="C609" s="23"/>
      <c r="D609" s="23"/>
      <c r="E609" s="23"/>
      <c r="F609" s="18"/>
      <c r="G609" s="18"/>
      <c r="H609" s="18"/>
    </row>
    <row r="610">
      <c r="A610" s="18"/>
      <c r="B610" s="23"/>
      <c r="C610" s="23"/>
      <c r="D610" s="23"/>
      <c r="E610" s="23"/>
      <c r="F610" s="18"/>
      <c r="G610" s="18"/>
      <c r="H610" s="18"/>
    </row>
    <row r="611">
      <c r="A611" s="18"/>
      <c r="B611" s="23"/>
      <c r="C611" s="23"/>
      <c r="D611" s="23"/>
      <c r="E611" s="23"/>
      <c r="F611" s="18"/>
      <c r="G611" s="18"/>
      <c r="H611" s="18"/>
    </row>
    <row r="612">
      <c r="A612" s="18"/>
      <c r="B612" s="23"/>
      <c r="C612" s="23"/>
      <c r="D612" s="23"/>
      <c r="E612" s="23"/>
      <c r="F612" s="18"/>
      <c r="G612" s="18"/>
      <c r="H612" s="18"/>
    </row>
    <row r="613">
      <c r="A613" s="18"/>
      <c r="B613" s="23"/>
      <c r="C613" s="23"/>
      <c r="D613" s="23"/>
      <c r="E613" s="23"/>
      <c r="F613" s="18"/>
      <c r="G613" s="18"/>
      <c r="H613" s="18"/>
    </row>
    <row r="614">
      <c r="A614" s="18"/>
      <c r="B614" s="23"/>
      <c r="C614" s="23"/>
      <c r="D614" s="23"/>
      <c r="E614" s="23"/>
      <c r="F614" s="18"/>
      <c r="G614" s="18"/>
      <c r="H614" s="18"/>
    </row>
    <row r="615">
      <c r="A615" s="18"/>
      <c r="B615" s="23"/>
      <c r="C615" s="23"/>
      <c r="D615" s="23"/>
      <c r="E615" s="23"/>
      <c r="F615" s="18"/>
      <c r="G615" s="18"/>
      <c r="H615" s="18"/>
    </row>
    <row r="616">
      <c r="A616" s="18"/>
      <c r="B616" s="23"/>
      <c r="C616" s="23"/>
      <c r="D616" s="23"/>
      <c r="E616" s="23"/>
      <c r="F616" s="18"/>
      <c r="G616" s="18"/>
      <c r="H616" s="18"/>
    </row>
    <row r="617">
      <c r="A617" s="18"/>
      <c r="B617" s="23"/>
      <c r="C617" s="23"/>
      <c r="D617" s="23"/>
      <c r="E617" s="23"/>
      <c r="F617" s="18"/>
      <c r="G617" s="18"/>
      <c r="H617" s="18"/>
    </row>
    <row r="618">
      <c r="A618" s="18"/>
      <c r="B618" s="23"/>
      <c r="C618" s="23"/>
      <c r="D618" s="23"/>
      <c r="E618" s="23"/>
      <c r="F618" s="18"/>
      <c r="G618" s="18"/>
      <c r="H618" s="18"/>
    </row>
    <row r="619">
      <c r="A619" s="18"/>
      <c r="B619" s="23"/>
      <c r="C619" s="23"/>
      <c r="D619" s="23"/>
      <c r="E619" s="23"/>
      <c r="F619" s="18"/>
      <c r="G619" s="18"/>
      <c r="H619" s="18"/>
    </row>
    <row r="620">
      <c r="A620" s="18"/>
      <c r="B620" s="23"/>
      <c r="C620" s="23"/>
      <c r="D620" s="23"/>
      <c r="E620" s="23"/>
      <c r="F620" s="18"/>
      <c r="G620" s="18"/>
      <c r="H620" s="18"/>
    </row>
    <row r="621">
      <c r="A621" s="18"/>
      <c r="B621" s="23"/>
      <c r="C621" s="23"/>
      <c r="D621" s="23"/>
      <c r="E621" s="23"/>
      <c r="F621" s="18"/>
      <c r="G621" s="18"/>
      <c r="H621" s="18"/>
    </row>
    <row r="622">
      <c r="A622" s="18"/>
      <c r="B622" s="23"/>
      <c r="C622" s="23"/>
      <c r="D622" s="23"/>
      <c r="E622" s="23"/>
      <c r="F622" s="18"/>
      <c r="G622" s="18"/>
      <c r="H622" s="18"/>
    </row>
    <row r="623">
      <c r="A623" s="18"/>
      <c r="B623" s="23"/>
      <c r="C623" s="23"/>
      <c r="D623" s="23"/>
      <c r="E623" s="23"/>
      <c r="F623" s="18"/>
      <c r="G623" s="18"/>
      <c r="H623" s="18"/>
    </row>
    <row r="624">
      <c r="A624" s="18"/>
      <c r="B624" s="23"/>
      <c r="C624" s="23"/>
      <c r="D624" s="23"/>
      <c r="E624" s="23"/>
      <c r="F624" s="18"/>
      <c r="G624" s="18"/>
      <c r="H624" s="18"/>
    </row>
    <row r="625">
      <c r="A625" s="18"/>
      <c r="B625" s="23"/>
      <c r="C625" s="23"/>
      <c r="D625" s="23"/>
      <c r="E625" s="23"/>
      <c r="F625" s="18"/>
      <c r="G625" s="18"/>
      <c r="H625" s="18"/>
    </row>
    <row r="626">
      <c r="A626" s="18"/>
      <c r="B626" s="23"/>
      <c r="C626" s="23"/>
      <c r="D626" s="23"/>
      <c r="E626" s="23"/>
      <c r="F626" s="18"/>
      <c r="G626" s="18"/>
      <c r="H626" s="18"/>
    </row>
    <row r="627">
      <c r="A627" s="18"/>
      <c r="B627" s="23"/>
      <c r="C627" s="23"/>
      <c r="D627" s="23"/>
      <c r="E627" s="23"/>
      <c r="F627" s="18"/>
      <c r="G627" s="18"/>
      <c r="H627" s="18"/>
    </row>
    <row r="628">
      <c r="A628" s="18"/>
      <c r="B628" s="23"/>
      <c r="C628" s="23"/>
      <c r="D628" s="23"/>
      <c r="E628" s="23"/>
      <c r="F628" s="18"/>
      <c r="G628" s="18"/>
      <c r="H628" s="18"/>
    </row>
    <row r="629">
      <c r="A629" s="18"/>
      <c r="B629" s="23"/>
      <c r="C629" s="23"/>
      <c r="D629" s="23"/>
      <c r="E629" s="23"/>
      <c r="F629" s="18"/>
      <c r="G629" s="18"/>
      <c r="H629" s="18"/>
    </row>
    <row r="630">
      <c r="A630" s="18"/>
      <c r="B630" s="23"/>
      <c r="C630" s="23"/>
      <c r="D630" s="23"/>
      <c r="E630" s="23"/>
      <c r="F630" s="18"/>
      <c r="G630" s="18"/>
      <c r="H630" s="18"/>
    </row>
    <row r="631">
      <c r="A631" s="18"/>
      <c r="B631" s="23"/>
      <c r="C631" s="23"/>
      <c r="D631" s="23"/>
      <c r="E631" s="23"/>
      <c r="F631" s="18"/>
      <c r="G631" s="18"/>
      <c r="H631" s="18"/>
    </row>
    <row r="632">
      <c r="A632" s="18"/>
      <c r="B632" s="23"/>
      <c r="C632" s="23"/>
      <c r="D632" s="23"/>
      <c r="E632" s="23"/>
      <c r="F632" s="18"/>
      <c r="G632" s="18"/>
      <c r="H632" s="18"/>
    </row>
    <row r="633">
      <c r="A633" s="18"/>
      <c r="B633" s="23"/>
      <c r="C633" s="23"/>
      <c r="D633" s="23"/>
      <c r="E633" s="23"/>
      <c r="F633" s="18"/>
      <c r="G633" s="18"/>
      <c r="H633" s="18"/>
    </row>
    <row r="634">
      <c r="A634" s="18"/>
      <c r="B634" s="23"/>
      <c r="C634" s="23"/>
      <c r="D634" s="23"/>
      <c r="E634" s="23"/>
      <c r="F634" s="18"/>
      <c r="G634" s="18"/>
      <c r="H634" s="18"/>
    </row>
    <row r="635">
      <c r="A635" s="18"/>
      <c r="B635" s="23"/>
      <c r="C635" s="23"/>
      <c r="D635" s="23"/>
      <c r="E635" s="23"/>
      <c r="F635" s="18"/>
      <c r="G635" s="18"/>
      <c r="H635" s="18"/>
    </row>
    <row r="636">
      <c r="A636" s="18"/>
      <c r="B636" s="23"/>
      <c r="C636" s="23"/>
      <c r="D636" s="23"/>
      <c r="E636" s="23"/>
      <c r="F636" s="18"/>
      <c r="G636" s="18"/>
      <c r="H636" s="18"/>
    </row>
    <row r="637">
      <c r="A637" s="18"/>
      <c r="B637" s="23"/>
      <c r="C637" s="23"/>
      <c r="D637" s="23"/>
      <c r="E637" s="23"/>
      <c r="F637" s="18"/>
      <c r="G637" s="18"/>
      <c r="H637" s="18"/>
    </row>
    <row r="638">
      <c r="A638" s="18"/>
      <c r="B638" s="23"/>
      <c r="C638" s="23"/>
      <c r="D638" s="23"/>
      <c r="E638" s="23"/>
      <c r="F638" s="18"/>
      <c r="G638" s="18"/>
      <c r="H638" s="18"/>
    </row>
    <row r="639">
      <c r="A639" s="18"/>
      <c r="B639" s="23"/>
      <c r="C639" s="23"/>
      <c r="D639" s="23"/>
      <c r="E639" s="23"/>
      <c r="F639" s="18"/>
      <c r="G639" s="18"/>
      <c r="H639" s="18"/>
    </row>
    <row r="640">
      <c r="A640" s="18"/>
      <c r="B640" s="23"/>
      <c r="C640" s="23"/>
      <c r="D640" s="23"/>
      <c r="E640" s="23"/>
      <c r="F640" s="18"/>
      <c r="G640" s="18"/>
      <c r="H640" s="18"/>
    </row>
    <row r="641">
      <c r="A641" s="18"/>
      <c r="B641" s="23"/>
      <c r="C641" s="23"/>
      <c r="D641" s="23"/>
      <c r="E641" s="23"/>
      <c r="F641" s="18"/>
      <c r="G641" s="18"/>
      <c r="H641" s="18"/>
    </row>
    <row r="642">
      <c r="A642" s="18"/>
      <c r="B642" s="23"/>
      <c r="C642" s="23"/>
      <c r="D642" s="23"/>
      <c r="E642" s="23"/>
      <c r="F642" s="18"/>
      <c r="G642" s="18"/>
      <c r="H642" s="18"/>
    </row>
    <row r="643">
      <c r="A643" s="18"/>
      <c r="B643" s="23"/>
      <c r="C643" s="23"/>
      <c r="D643" s="23"/>
      <c r="E643" s="23"/>
      <c r="F643" s="18"/>
      <c r="G643" s="18"/>
      <c r="H643" s="18"/>
    </row>
    <row r="644">
      <c r="A644" s="18"/>
      <c r="B644" s="23"/>
      <c r="C644" s="23"/>
      <c r="D644" s="23"/>
      <c r="E644" s="23"/>
      <c r="F644" s="18"/>
      <c r="G644" s="18"/>
      <c r="H644" s="18"/>
    </row>
    <row r="645">
      <c r="A645" s="18"/>
      <c r="B645" s="23"/>
      <c r="C645" s="23"/>
      <c r="D645" s="23"/>
      <c r="E645" s="23"/>
      <c r="F645" s="18"/>
      <c r="G645" s="18"/>
      <c r="H645" s="18"/>
    </row>
    <row r="646">
      <c r="A646" s="18"/>
      <c r="B646" s="23"/>
      <c r="C646" s="23"/>
      <c r="D646" s="23"/>
      <c r="E646" s="23"/>
      <c r="F646" s="18"/>
      <c r="G646" s="18"/>
      <c r="H646" s="18"/>
    </row>
    <row r="647">
      <c r="A647" s="18"/>
      <c r="B647" s="23"/>
      <c r="C647" s="23"/>
      <c r="D647" s="23"/>
      <c r="E647" s="23"/>
      <c r="F647" s="18"/>
      <c r="G647" s="18"/>
      <c r="H647" s="18"/>
    </row>
    <row r="648">
      <c r="A648" s="18"/>
      <c r="B648" s="23"/>
      <c r="C648" s="23"/>
      <c r="D648" s="23"/>
      <c r="E648" s="23"/>
      <c r="F648" s="18"/>
      <c r="G648" s="18"/>
      <c r="H648" s="18"/>
    </row>
    <row r="649">
      <c r="A649" s="18"/>
      <c r="B649" s="23"/>
      <c r="C649" s="23"/>
      <c r="D649" s="23"/>
      <c r="E649" s="23"/>
      <c r="F649" s="18"/>
      <c r="G649" s="18"/>
      <c r="H649" s="18"/>
    </row>
    <row r="650">
      <c r="A650" s="18"/>
      <c r="B650" s="23"/>
      <c r="C650" s="23"/>
      <c r="D650" s="23"/>
      <c r="E650" s="23"/>
      <c r="F650" s="18"/>
      <c r="G650" s="18"/>
      <c r="H650" s="18"/>
    </row>
    <row r="651">
      <c r="A651" s="18"/>
      <c r="B651" s="23"/>
      <c r="C651" s="23"/>
      <c r="D651" s="23"/>
      <c r="E651" s="23"/>
      <c r="F651" s="18"/>
      <c r="G651" s="18"/>
      <c r="H651" s="18"/>
    </row>
    <row r="652">
      <c r="A652" s="18"/>
      <c r="B652" s="23"/>
      <c r="C652" s="23"/>
      <c r="D652" s="23"/>
      <c r="E652" s="23"/>
      <c r="F652" s="18"/>
      <c r="G652" s="18"/>
      <c r="H652" s="18"/>
    </row>
    <row r="653">
      <c r="A653" s="18"/>
      <c r="B653" s="23"/>
      <c r="C653" s="23"/>
      <c r="D653" s="23"/>
      <c r="E653" s="23"/>
      <c r="F653" s="18"/>
      <c r="G653" s="18"/>
      <c r="H653" s="18"/>
    </row>
    <row r="654">
      <c r="A654" s="18"/>
      <c r="B654" s="23"/>
      <c r="C654" s="23"/>
      <c r="D654" s="23"/>
      <c r="E654" s="23"/>
      <c r="F654" s="18"/>
      <c r="G654" s="18"/>
      <c r="H654" s="18"/>
    </row>
    <row r="655">
      <c r="A655" s="18"/>
      <c r="B655" s="23"/>
      <c r="C655" s="23"/>
      <c r="D655" s="23"/>
      <c r="E655" s="23"/>
      <c r="F655" s="18"/>
      <c r="G655" s="18"/>
      <c r="H655" s="18"/>
    </row>
    <row r="656">
      <c r="A656" s="18"/>
      <c r="B656" s="23"/>
      <c r="C656" s="23"/>
      <c r="D656" s="23"/>
      <c r="E656" s="23"/>
      <c r="F656" s="18"/>
      <c r="G656" s="18"/>
      <c r="H656" s="18"/>
    </row>
    <row r="657">
      <c r="A657" s="18"/>
      <c r="B657" s="23"/>
      <c r="C657" s="23"/>
      <c r="D657" s="23"/>
      <c r="E657" s="23"/>
      <c r="F657" s="18"/>
      <c r="G657" s="18"/>
      <c r="H657" s="18"/>
    </row>
    <row r="658">
      <c r="A658" s="18"/>
      <c r="B658" s="23"/>
      <c r="C658" s="23"/>
      <c r="D658" s="23"/>
      <c r="E658" s="23"/>
      <c r="F658" s="18"/>
      <c r="G658" s="18"/>
      <c r="H658" s="18"/>
    </row>
    <row r="659">
      <c r="A659" s="18"/>
      <c r="B659" s="23"/>
      <c r="C659" s="23"/>
      <c r="D659" s="23"/>
      <c r="E659" s="23"/>
      <c r="F659" s="18"/>
      <c r="G659" s="18"/>
      <c r="H659" s="18"/>
    </row>
    <row r="660">
      <c r="A660" s="18"/>
      <c r="B660" s="23"/>
      <c r="C660" s="23"/>
      <c r="D660" s="23"/>
      <c r="E660" s="23"/>
      <c r="F660" s="18"/>
      <c r="G660" s="18"/>
      <c r="H660" s="18"/>
    </row>
    <row r="661">
      <c r="A661" s="18"/>
      <c r="B661" s="23"/>
      <c r="C661" s="23"/>
      <c r="D661" s="23"/>
      <c r="E661" s="23"/>
      <c r="F661" s="18"/>
      <c r="G661" s="18"/>
      <c r="H661" s="18"/>
    </row>
    <row r="662">
      <c r="A662" s="18"/>
      <c r="B662" s="23"/>
      <c r="C662" s="23"/>
      <c r="D662" s="23"/>
      <c r="E662" s="23"/>
      <c r="F662" s="18"/>
      <c r="G662" s="18"/>
      <c r="H662" s="18"/>
    </row>
    <row r="663">
      <c r="A663" s="18"/>
      <c r="B663" s="23"/>
      <c r="C663" s="23"/>
      <c r="D663" s="23"/>
      <c r="E663" s="23"/>
      <c r="F663" s="18"/>
      <c r="G663" s="18"/>
      <c r="H663" s="18"/>
    </row>
    <row r="664">
      <c r="A664" s="18"/>
      <c r="B664" s="23"/>
      <c r="C664" s="23"/>
      <c r="D664" s="23"/>
      <c r="E664" s="23"/>
      <c r="F664" s="18"/>
      <c r="G664" s="18"/>
      <c r="H664" s="18"/>
    </row>
    <row r="665">
      <c r="A665" s="18"/>
      <c r="B665" s="23"/>
      <c r="C665" s="23"/>
      <c r="D665" s="23"/>
      <c r="E665" s="23"/>
      <c r="F665" s="18"/>
      <c r="G665" s="18"/>
      <c r="H665" s="18"/>
    </row>
    <row r="666">
      <c r="A666" s="18"/>
      <c r="B666" s="23"/>
      <c r="C666" s="23"/>
      <c r="D666" s="23"/>
      <c r="E666" s="23"/>
      <c r="F666" s="18"/>
      <c r="G666" s="18"/>
      <c r="H666" s="18"/>
    </row>
    <row r="667">
      <c r="A667" s="18"/>
      <c r="B667" s="23"/>
      <c r="C667" s="23"/>
      <c r="D667" s="23"/>
      <c r="E667" s="23"/>
      <c r="F667" s="18"/>
      <c r="G667" s="18"/>
      <c r="H667" s="18"/>
    </row>
    <row r="668">
      <c r="A668" s="18"/>
      <c r="B668" s="23"/>
      <c r="C668" s="23"/>
      <c r="D668" s="23"/>
      <c r="E668" s="23"/>
      <c r="F668" s="18"/>
      <c r="G668" s="18"/>
      <c r="H668" s="18"/>
    </row>
    <row r="669">
      <c r="A669" s="18"/>
      <c r="B669" s="23"/>
      <c r="C669" s="23"/>
      <c r="D669" s="23"/>
      <c r="E669" s="23"/>
      <c r="F669" s="18"/>
      <c r="G669" s="18"/>
      <c r="H669" s="18"/>
    </row>
    <row r="670">
      <c r="A670" s="18"/>
      <c r="B670" s="23"/>
      <c r="C670" s="23"/>
      <c r="D670" s="23"/>
      <c r="E670" s="23"/>
      <c r="F670" s="18"/>
      <c r="G670" s="18"/>
      <c r="H670" s="18"/>
    </row>
    <row r="671">
      <c r="A671" s="18"/>
      <c r="B671" s="23"/>
      <c r="C671" s="23"/>
      <c r="D671" s="23"/>
      <c r="E671" s="23"/>
      <c r="F671" s="18"/>
      <c r="G671" s="18"/>
      <c r="H671" s="18"/>
    </row>
    <row r="672">
      <c r="A672" s="18"/>
      <c r="B672" s="23"/>
      <c r="C672" s="23"/>
      <c r="D672" s="23"/>
      <c r="E672" s="23"/>
      <c r="F672" s="18"/>
      <c r="G672" s="18"/>
      <c r="H672" s="18"/>
    </row>
    <row r="673">
      <c r="A673" s="18"/>
      <c r="B673" s="23"/>
      <c r="C673" s="23"/>
      <c r="D673" s="23"/>
      <c r="E673" s="23"/>
      <c r="F673" s="18"/>
      <c r="G673" s="18"/>
      <c r="H673" s="18"/>
    </row>
    <row r="674">
      <c r="A674" s="18"/>
      <c r="B674" s="23"/>
      <c r="C674" s="23"/>
      <c r="D674" s="23"/>
      <c r="E674" s="23"/>
      <c r="F674" s="18"/>
      <c r="G674" s="18"/>
      <c r="H674" s="18"/>
    </row>
    <row r="675">
      <c r="A675" s="18"/>
      <c r="B675" s="23"/>
      <c r="C675" s="23"/>
      <c r="D675" s="23"/>
      <c r="E675" s="23"/>
      <c r="F675" s="18"/>
      <c r="G675" s="18"/>
      <c r="H675" s="18"/>
    </row>
    <row r="676">
      <c r="A676" s="18"/>
      <c r="B676" s="23"/>
      <c r="C676" s="23"/>
      <c r="D676" s="23"/>
      <c r="E676" s="23"/>
      <c r="F676" s="18"/>
      <c r="G676" s="18"/>
      <c r="H676" s="18"/>
    </row>
    <row r="677">
      <c r="A677" s="18"/>
      <c r="B677" s="23"/>
      <c r="C677" s="23"/>
      <c r="D677" s="23"/>
      <c r="E677" s="23"/>
      <c r="F677" s="18"/>
      <c r="G677" s="18"/>
      <c r="H677" s="18"/>
    </row>
    <row r="678">
      <c r="A678" s="18"/>
      <c r="B678" s="23"/>
      <c r="C678" s="23"/>
      <c r="D678" s="23"/>
      <c r="E678" s="23"/>
      <c r="F678" s="18"/>
      <c r="G678" s="18"/>
      <c r="H678" s="18"/>
    </row>
    <row r="679">
      <c r="A679" s="18"/>
      <c r="B679" s="23"/>
      <c r="C679" s="23"/>
      <c r="D679" s="23"/>
      <c r="E679" s="23"/>
      <c r="F679" s="18"/>
      <c r="G679" s="18"/>
      <c r="H679" s="18"/>
    </row>
    <row r="680">
      <c r="A680" s="18"/>
      <c r="B680" s="23"/>
      <c r="C680" s="23"/>
      <c r="D680" s="23"/>
      <c r="E680" s="23"/>
      <c r="F680" s="18"/>
      <c r="G680" s="18"/>
      <c r="H680" s="18"/>
    </row>
    <row r="681">
      <c r="A681" s="18"/>
      <c r="B681" s="23"/>
      <c r="C681" s="23"/>
      <c r="D681" s="23"/>
      <c r="E681" s="23"/>
      <c r="F681" s="18"/>
      <c r="G681" s="18"/>
      <c r="H681" s="18"/>
    </row>
    <row r="682">
      <c r="A682" s="18"/>
      <c r="B682" s="23"/>
      <c r="C682" s="23"/>
      <c r="D682" s="23"/>
      <c r="E682" s="23"/>
      <c r="F682" s="18"/>
      <c r="G682" s="18"/>
      <c r="H682" s="18"/>
    </row>
    <row r="683">
      <c r="A683" s="18"/>
      <c r="B683" s="23"/>
      <c r="C683" s="23"/>
      <c r="D683" s="23"/>
      <c r="E683" s="23"/>
      <c r="F683" s="18"/>
      <c r="G683" s="18"/>
      <c r="H683" s="18"/>
    </row>
    <row r="684">
      <c r="A684" s="18"/>
      <c r="B684" s="23"/>
      <c r="C684" s="23"/>
      <c r="D684" s="23"/>
      <c r="E684" s="23"/>
      <c r="F684" s="18"/>
      <c r="G684" s="18"/>
      <c r="H684" s="18"/>
    </row>
    <row r="685">
      <c r="A685" s="18"/>
      <c r="B685" s="23"/>
      <c r="C685" s="23"/>
      <c r="D685" s="23"/>
      <c r="E685" s="23"/>
      <c r="F685" s="18"/>
      <c r="G685" s="18"/>
      <c r="H685" s="18"/>
    </row>
    <row r="686">
      <c r="A686" s="18"/>
      <c r="B686" s="23"/>
      <c r="C686" s="23"/>
      <c r="D686" s="23"/>
      <c r="E686" s="23"/>
      <c r="F686" s="18"/>
      <c r="G686" s="18"/>
      <c r="H686" s="18"/>
    </row>
    <row r="687">
      <c r="A687" s="18"/>
      <c r="B687" s="23"/>
      <c r="C687" s="23"/>
      <c r="D687" s="23"/>
      <c r="E687" s="23"/>
      <c r="F687" s="18"/>
      <c r="G687" s="18"/>
      <c r="H687" s="18"/>
    </row>
    <row r="688">
      <c r="A688" s="18"/>
      <c r="B688" s="23"/>
      <c r="C688" s="23"/>
      <c r="D688" s="23"/>
      <c r="E688" s="23"/>
      <c r="F688" s="18"/>
      <c r="G688" s="18"/>
      <c r="H688" s="18"/>
    </row>
    <row r="689">
      <c r="A689" s="18"/>
      <c r="B689" s="23"/>
      <c r="C689" s="23"/>
      <c r="D689" s="23"/>
      <c r="E689" s="23"/>
      <c r="F689" s="18"/>
      <c r="G689" s="18"/>
      <c r="H689" s="18"/>
    </row>
    <row r="690">
      <c r="A690" s="18"/>
      <c r="B690" s="23"/>
      <c r="C690" s="23"/>
      <c r="D690" s="23"/>
      <c r="E690" s="23"/>
      <c r="F690" s="18"/>
      <c r="G690" s="18"/>
      <c r="H690" s="18"/>
    </row>
    <row r="691">
      <c r="A691" s="18"/>
      <c r="B691" s="23"/>
      <c r="C691" s="23"/>
      <c r="D691" s="23"/>
      <c r="E691" s="23"/>
      <c r="F691" s="18"/>
      <c r="G691" s="18"/>
      <c r="H691" s="18"/>
    </row>
    <row r="692">
      <c r="A692" s="18"/>
      <c r="B692" s="23"/>
      <c r="C692" s="23"/>
      <c r="D692" s="23"/>
      <c r="E692" s="23"/>
      <c r="F692" s="18"/>
      <c r="G692" s="18"/>
      <c r="H692" s="18"/>
    </row>
    <row r="693">
      <c r="A693" s="18"/>
      <c r="B693" s="23"/>
      <c r="C693" s="23"/>
      <c r="D693" s="23"/>
      <c r="E693" s="23"/>
      <c r="F693" s="18"/>
      <c r="G693" s="18"/>
      <c r="H693" s="18"/>
    </row>
    <row r="694">
      <c r="A694" s="18"/>
      <c r="B694" s="23"/>
      <c r="C694" s="23"/>
      <c r="D694" s="23"/>
      <c r="E694" s="23"/>
      <c r="F694" s="18"/>
      <c r="G694" s="18"/>
      <c r="H694" s="18"/>
    </row>
    <row r="695">
      <c r="A695" s="18"/>
      <c r="B695" s="23"/>
      <c r="C695" s="23"/>
      <c r="D695" s="23"/>
      <c r="E695" s="23"/>
      <c r="F695" s="18"/>
      <c r="G695" s="18"/>
      <c r="H695" s="18"/>
    </row>
    <row r="696">
      <c r="A696" s="18"/>
      <c r="B696" s="23"/>
      <c r="C696" s="23"/>
      <c r="D696" s="23"/>
      <c r="E696" s="23"/>
      <c r="F696" s="18"/>
      <c r="G696" s="18"/>
      <c r="H696" s="18"/>
    </row>
    <row r="697">
      <c r="A697" s="18"/>
      <c r="B697" s="23"/>
      <c r="C697" s="23"/>
      <c r="D697" s="23"/>
      <c r="E697" s="23"/>
      <c r="F697" s="18"/>
      <c r="G697" s="18"/>
      <c r="H697" s="18"/>
    </row>
    <row r="698">
      <c r="A698" s="18"/>
      <c r="B698" s="23"/>
      <c r="C698" s="23"/>
      <c r="D698" s="23"/>
      <c r="E698" s="23"/>
      <c r="F698" s="18"/>
      <c r="G698" s="18"/>
      <c r="H698" s="18"/>
    </row>
    <row r="699">
      <c r="A699" s="18"/>
      <c r="B699" s="23"/>
      <c r="C699" s="23"/>
      <c r="D699" s="23"/>
      <c r="E699" s="23"/>
      <c r="F699" s="18"/>
      <c r="G699" s="18"/>
      <c r="H699" s="18"/>
    </row>
    <row r="700">
      <c r="A700" s="18"/>
      <c r="B700" s="23"/>
      <c r="C700" s="23"/>
      <c r="D700" s="23"/>
      <c r="E700" s="23"/>
      <c r="F700" s="18"/>
      <c r="G700" s="18"/>
      <c r="H700" s="18"/>
    </row>
    <row r="701">
      <c r="A701" s="18"/>
      <c r="B701" s="23"/>
      <c r="C701" s="23"/>
      <c r="D701" s="23"/>
      <c r="E701" s="23"/>
      <c r="F701" s="18"/>
      <c r="G701" s="18"/>
      <c r="H701" s="18"/>
    </row>
    <row r="702">
      <c r="A702" s="18"/>
      <c r="B702" s="23"/>
      <c r="C702" s="23"/>
      <c r="D702" s="23"/>
      <c r="E702" s="23"/>
      <c r="F702" s="18"/>
      <c r="G702" s="18"/>
      <c r="H702" s="18"/>
    </row>
    <row r="703">
      <c r="A703" s="18"/>
      <c r="B703" s="23"/>
      <c r="C703" s="23"/>
      <c r="D703" s="23"/>
      <c r="E703" s="23"/>
      <c r="F703" s="18"/>
      <c r="G703" s="18"/>
      <c r="H703" s="18"/>
    </row>
    <row r="704">
      <c r="A704" s="18"/>
      <c r="B704" s="23"/>
      <c r="C704" s="23"/>
      <c r="D704" s="23"/>
      <c r="E704" s="23"/>
      <c r="F704" s="18"/>
      <c r="G704" s="18"/>
      <c r="H704" s="18"/>
    </row>
    <row r="705">
      <c r="A705" s="18"/>
      <c r="B705" s="23"/>
      <c r="C705" s="23"/>
      <c r="D705" s="23"/>
      <c r="E705" s="23"/>
      <c r="F705" s="18"/>
      <c r="G705" s="18"/>
      <c r="H705" s="18"/>
    </row>
    <row r="706">
      <c r="A706" s="18"/>
      <c r="B706" s="23"/>
      <c r="C706" s="23"/>
      <c r="D706" s="23"/>
      <c r="E706" s="23"/>
      <c r="F706" s="18"/>
      <c r="G706" s="18"/>
      <c r="H706" s="18"/>
    </row>
    <row r="707">
      <c r="A707" s="18"/>
      <c r="B707" s="23"/>
      <c r="C707" s="23"/>
      <c r="D707" s="23"/>
      <c r="E707" s="23"/>
      <c r="F707" s="18"/>
      <c r="G707" s="18"/>
      <c r="H707" s="18"/>
    </row>
    <row r="708">
      <c r="A708" s="18"/>
      <c r="B708" s="23"/>
      <c r="C708" s="23"/>
      <c r="D708" s="23"/>
      <c r="E708" s="23"/>
      <c r="F708" s="18"/>
      <c r="G708" s="18"/>
      <c r="H708" s="18"/>
    </row>
    <row r="709">
      <c r="A709" s="18"/>
      <c r="B709" s="23"/>
      <c r="C709" s="23"/>
      <c r="D709" s="23"/>
      <c r="E709" s="23"/>
      <c r="F709" s="18"/>
      <c r="G709" s="18"/>
      <c r="H709" s="18"/>
    </row>
    <row r="710">
      <c r="A710" s="18"/>
      <c r="B710" s="23"/>
      <c r="C710" s="23"/>
      <c r="D710" s="23"/>
      <c r="E710" s="23"/>
      <c r="F710" s="18"/>
      <c r="G710" s="18"/>
      <c r="H710" s="18"/>
    </row>
    <row r="711">
      <c r="A711" s="18"/>
      <c r="B711" s="23"/>
      <c r="C711" s="23"/>
      <c r="D711" s="23"/>
      <c r="E711" s="23"/>
      <c r="F711" s="18"/>
      <c r="G711" s="18"/>
      <c r="H711" s="18"/>
    </row>
    <row r="712">
      <c r="A712" s="18"/>
      <c r="B712" s="23"/>
      <c r="C712" s="23"/>
      <c r="D712" s="23"/>
      <c r="E712" s="23"/>
      <c r="F712" s="18"/>
      <c r="G712" s="18"/>
      <c r="H712" s="18"/>
    </row>
    <row r="713">
      <c r="A713" s="18"/>
      <c r="B713" s="23"/>
      <c r="C713" s="23"/>
      <c r="D713" s="23"/>
      <c r="E713" s="23"/>
      <c r="F713" s="18"/>
      <c r="G713" s="18"/>
      <c r="H713" s="18"/>
    </row>
    <row r="714">
      <c r="A714" s="18"/>
      <c r="B714" s="23"/>
      <c r="C714" s="23"/>
      <c r="D714" s="23"/>
      <c r="E714" s="23"/>
      <c r="F714" s="18"/>
      <c r="G714" s="18"/>
      <c r="H714" s="18"/>
    </row>
    <row r="715">
      <c r="A715" s="18"/>
      <c r="B715" s="23"/>
      <c r="C715" s="23"/>
      <c r="D715" s="23"/>
      <c r="E715" s="23"/>
      <c r="F715" s="18"/>
      <c r="G715" s="18"/>
      <c r="H715" s="18"/>
    </row>
    <row r="716">
      <c r="A716" s="18"/>
      <c r="B716" s="23"/>
      <c r="C716" s="23"/>
      <c r="D716" s="23"/>
      <c r="E716" s="23"/>
      <c r="F716" s="18"/>
      <c r="G716" s="18"/>
      <c r="H716" s="18"/>
    </row>
    <row r="717">
      <c r="A717" s="18"/>
      <c r="B717" s="23"/>
      <c r="C717" s="23"/>
      <c r="D717" s="23"/>
      <c r="E717" s="23"/>
      <c r="F717" s="18"/>
      <c r="G717" s="18"/>
      <c r="H717" s="18"/>
    </row>
    <row r="718">
      <c r="A718" s="18"/>
      <c r="B718" s="23"/>
      <c r="C718" s="23"/>
      <c r="D718" s="23"/>
      <c r="E718" s="23"/>
      <c r="F718" s="18"/>
      <c r="G718" s="18"/>
      <c r="H718" s="18"/>
    </row>
    <row r="719">
      <c r="A719" s="18"/>
      <c r="B719" s="23"/>
      <c r="C719" s="23"/>
      <c r="D719" s="23"/>
      <c r="E719" s="23"/>
      <c r="F719" s="18"/>
      <c r="G719" s="18"/>
      <c r="H719" s="18"/>
    </row>
    <row r="720">
      <c r="A720" s="18"/>
      <c r="B720" s="23"/>
      <c r="C720" s="23"/>
      <c r="D720" s="23"/>
      <c r="E720" s="23"/>
      <c r="F720" s="18"/>
      <c r="G720" s="18"/>
      <c r="H720" s="18"/>
    </row>
    <row r="721">
      <c r="A721" s="18"/>
      <c r="B721" s="23"/>
      <c r="C721" s="23"/>
      <c r="D721" s="23"/>
      <c r="E721" s="23"/>
      <c r="F721" s="18"/>
      <c r="G721" s="18"/>
      <c r="H721" s="18"/>
    </row>
    <row r="722">
      <c r="A722" s="18"/>
      <c r="B722" s="23"/>
      <c r="C722" s="23"/>
      <c r="D722" s="23"/>
      <c r="E722" s="23"/>
      <c r="F722" s="18"/>
      <c r="G722" s="18"/>
      <c r="H722" s="18"/>
    </row>
    <row r="723">
      <c r="A723" s="18"/>
      <c r="B723" s="23"/>
      <c r="C723" s="23"/>
      <c r="D723" s="23"/>
      <c r="E723" s="23"/>
      <c r="F723" s="18"/>
      <c r="G723" s="18"/>
      <c r="H723" s="18"/>
    </row>
    <row r="724">
      <c r="A724" s="18"/>
      <c r="B724" s="23"/>
      <c r="C724" s="23"/>
      <c r="D724" s="23"/>
      <c r="E724" s="23"/>
      <c r="F724" s="18"/>
      <c r="G724" s="18"/>
      <c r="H724" s="18"/>
    </row>
    <row r="725">
      <c r="A725" s="18"/>
      <c r="B725" s="23"/>
      <c r="C725" s="23"/>
      <c r="D725" s="23"/>
      <c r="E725" s="23"/>
      <c r="F725" s="18"/>
      <c r="G725" s="18"/>
      <c r="H725" s="18"/>
    </row>
    <row r="726">
      <c r="A726" s="18"/>
      <c r="B726" s="23"/>
      <c r="C726" s="23"/>
      <c r="D726" s="23"/>
      <c r="E726" s="23"/>
      <c r="F726" s="18"/>
      <c r="G726" s="18"/>
      <c r="H726" s="18"/>
    </row>
    <row r="727">
      <c r="A727" s="18"/>
      <c r="B727" s="23"/>
      <c r="C727" s="23"/>
      <c r="D727" s="23"/>
      <c r="E727" s="23"/>
      <c r="F727" s="18"/>
      <c r="G727" s="18"/>
      <c r="H727" s="18"/>
    </row>
    <row r="728">
      <c r="A728" s="18"/>
      <c r="B728" s="23"/>
      <c r="C728" s="23"/>
      <c r="D728" s="23"/>
      <c r="E728" s="23"/>
      <c r="F728" s="18"/>
      <c r="G728" s="18"/>
      <c r="H728" s="18"/>
    </row>
    <row r="729">
      <c r="A729" s="18"/>
      <c r="B729" s="23"/>
      <c r="C729" s="23"/>
      <c r="D729" s="23"/>
      <c r="E729" s="23"/>
      <c r="F729" s="18"/>
      <c r="G729" s="18"/>
      <c r="H729" s="18"/>
    </row>
    <row r="730">
      <c r="A730" s="18"/>
      <c r="B730" s="23"/>
      <c r="C730" s="23"/>
      <c r="D730" s="23"/>
      <c r="E730" s="23"/>
      <c r="F730" s="18"/>
      <c r="G730" s="18"/>
      <c r="H730" s="18"/>
    </row>
    <row r="731">
      <c r="A731" s="18"/>
      <c r="B731" s="23"/>
      <c r="C731" s="23"/>
      <c r="D731" s="23"/>
      <c r="E731" s="23"/>
      <c r="F731" s="18"/>
      <c r="G731" s="18"/>
      <c r="H731" s="18"/>
    </row>
    <row r="732">
      <c r="A732" s="18"/>
      <c r="B732" s="23"/>
      <c r="C732" s="23"/>
      <c r="D732" s="23"/>
      <c r="E732" s="23"/>
      <c r="F732" s="18"/>
      <c r="G732" s="18"/>
      <c r="H732" s="18"/>
    </row>
    <row r="733">
      <c r="A733" s="18"/>
      <c r="B733" s="23"/>
      <c r="C733" s="23"/>
      <c r="D733" s="23"/>
      <c r="E733" s="23"/>
      <c r="F733" s="18"/>
      <c r="G733" s="18"/>
      <c r="H733" s="18"/>
    </row>
    <row r="734">
      <c r="A734" s="18"/>
      <c r="B734" s="23"/>
      <c r="C734" s="23"/>
      <c r="D734" s="23"/>
      <c r="E734" s="23"/>
      <c r="F734" s="18"/>
      <c r="G734" s="18"/>
      <c r="H734" s="18"/>
    </row>
    <row r="735">
      <c r="A735" s="18"/>
      <c r="B735" s="23"/>
      <c r="C735" s="23"/>
      <c r="D735" s="23"/>
      <c r="E735" s="23"/>
      <c r="F735" s="18"/>
      <c r="G735" s="18"/>
      <c r="H735" s="18"/>
    </row>
    <row r="736">
      <c r="A736" s="18"/>
      <c r="B736" s="23"/>
      <c r="C736" s="23"/>
      <c r="D736" s="23"/>
      <c r="E736" s="23"/>
      <c r="F736" s="18"/>
      <c r="G736" s="18"/>
      <c r="H736" s="18"/>
    </row>
    <row r="737">
      <c r="A737" s="18"/>
      <c r="B737" s="23"/>
      <c r="C737" s="23"/>
      <c r="D737" s="23"/>
      <c r="E737" s="23"/>
      <c r="F737" s="18"/>
      <c r="G737" s="18"/>
      <c r="H737" s="18"/>
    </row>
    <row r="738">
      <c r="A738" s="18"/>
      <c r="B738" s="23"/>
      <c r="C738" s="23"/>
      <c r="D738" s="23"/>
      <c r="E738" s="23"/>
      <c r="F738" s="18"/>
      <c r="G738" s="18"/>
      <c r="H738" s="18"/>
    </row>
    <row r="739">
      <c r="A739" s="18"/>
      <c r="B739" s="23"/>
      <c r="C739" s="23"/>
      <c r="D739" s="23"/>
      <c r="E739" s="23"/>
      <c r="F739" s="18"/>
      <c r="G739" s="18"/>
      <c r="H739" s="18"/>
    </row>
    <row r="740">
      <c r="A740" s="18"/>
      <c r="B740" s="23"/>
      <c r="C740" s="23"/>
      <c r="D740" s="23"/>
      <c r="E740" s="23"/>
      <c r="F740" s="18"/>
      <c r="G740" s="18"/>
      <c r="H740" s="18"/>
    </row>
    <row r="741">
      <c r="A741" s="18"/>
      <c r="B741" s="23"/>
      <c r="C741" s="23"/>
      <c r="D741" s="23"/>
      <c r="E741" s="23"/>
      <c r="F741" s="18"/>
      <c r="G741" s="18"/>
      <c r="H741" s="18"/>
    </row>
    <row r="742">
      <c r="A742" s="18"/>
      <c r="B742" s="23"/>
      <c r="C742" s="23"/>
      <c r="D742" s="23"/>
      <c r="E742" s="23"/>
      <c r="F742" s="18"/>
      <c r="G742" s="18"/>
      <c r="H742" s="18"/>
    </row>
    <row r="743">
      <c r="A743" s="18"/>
      <c r="B743" s="23"/>
      <c r="C743" s="23"/>
      <c r="D743" s="23"/>
      <c r="E743" s="23"/>
      <c r="F743" s="18"/>
      <c r="G743" s="18"/>
      <c r="H743" s="18"/>
    </row>
    <row r="744">
      <c r="A744" s="18"/>
      <c r="B744" s="23"/>
      <c r="C744" s="23"/>
      <c r="D744" s="23"/>
      <c r="E744" s="23"/>
      <c r="F744" s="18"/>
      <c r="G744" s="18"/>
      <c r="H744" s="18"/>
    </row>
    <row r="745">
      <c r="A745" s="18"/>
      <c r="B745" s="23"/>
      <c r="C745" s="23"/>
      <c r="D745" s="23"/>
      <c r="E745" s="23"/>
      <c r="F745" s="18"/>
      <c r="G745" s="18"/>
      <c r="H745" s="18"/>
    </row>
    <row r="746">
      <c r="A746" s="18"/>
      <c r="B746" s="23"/>
      <c r="C746" s="23"/>
      <c r="D746" s="23"/>
      <c r="E746" s="23"/>
      <c r="F746" s="18"/>
      <c r="G746" s="18"/>
      <c r="H746" s="18"/>
    </row>
    <row r="747">
      <c r="A747" s="18"/>
      <c r="B747" s="23"/>
      <c r="C747" s="23"/>
      <c r="D747" s="23"/>
      <c r="E747" s="23"/>
      <c r="F747" s="18"/>
      <c r="G747" s="18"/>
      <c r="H747" s="18"/>
    </row>
    <row r="748">
      <c r="A748" s="18"/>
      <c r="B748" s="23"/>
      <c r="C748" s="23"/>
      <c r="D748" s="23"/>
      <c r="E748" s="23"/>
      <c r="F748" s="18"/>
      <c r="G748" s="18"/>
      <c r="H748" s="18"/>
    </row>
    <row r="749">
      <c r="A749" s="18"/>
      <c r="B749" s="23"/>
      <c r="C749" s="23"/>
      <c r="D749" s="23"/>
      <c r="E749" s="23"/>
      <c r="F749" s="18"/>
      <c r="G749" s="18"/>
      <c r="H749" s="18"/>
    </row>
    <row r="750">
      <c r="A750" s="18"/>
      <c r="B750" s="23"/>
      <c r="C750" s="23"/>
      <c r="D750" s="23"/>
      <c r="E750" s="23"/>
      <c r="F750" s="18"/>
      <c r="G750" s="18"/>
      <c r="H750" s="18"/>
    </row>
    <row r="751">
      <c r="A751" s="18"/>
      <c r="B751" s="23"/>
      <c r="C751" s="23"/>
      <c r="D751" s="23"/>
      <c r="E751" s="23"/>
      <c r="F751" s="18"/>
      <c r="G751" s="18"/>
      <c r="H751" s="18"/>
    </row>
    <row r="752">
      <c r="A752" s="18"/>
      <c r="B752" s="23"/>
      <c r="C752" s="23"/>
      <c r="D752" s="23"/>
      <c r="E752" s="23"/>
      <c r="F752" s="18"/>
      <c r="G752" s="18"/>
      <c r="H752" s="18"/>
    </row>
    <row r="753">
      <c r="A753" s="18"/>
      <c r="B753" s="23"/>
      <c r="C753" s="23"/>
      <c r="D753" s="23"/>
      <c r="E753" s="23"/>
      <c r="F753" s="18"/>
      <c r="G753" s="18"/>
      <c r="H753" s="18"/>
    </row>
    <row r="754">
      <c r="A754" s="18"/>
      <c r="B754" s="23"/>
      <c r="C754" s="23"/>
      <c r="D754" s="23"/>
      <c r="E754" s="23"/>
      <c r="F754" s="18"/>
      <c r="G754" s="18"/>
      <c r="H754" s="18"/>
    </row>
    <row r="755">
      <c r="A755" s="18"/>
      <c r="B755" s="23"/>
      <c r="C755" s="23"/>
      <c r="D755" s="23"/>
      <c r="E755" s="23"/>
      <c r="F755" s="18"/>
      <c r="G755" s="18"/>
      <c r="H755" s="18"/>
    </row>
    <row r="756">
      <c r="A756" s="18"/>
      <c r="B756" s="23"/>
      <c r="C756" s="23"/>
      <c r="D756" s="23"/>
      <c r="E756" s="23"/>
      <c r="F756" s="18"/>
      <c r="G756" s="18"/>
      <c r="H756" s="18"/>
    </row>
    <row r="757">
      <c r="A757" s="18"/>
      <c r="B757" s="23"/>
      <c r="C757" s="23"/>
      <c r="D757" s="23"/>
      <c r="E757" s="23"/>
      <c r="F757" s="18"/>
      <c r="G757" s="18"/>
      <c r="H757" s="18"/>
    </row>
    <row r="758">
      <c r="A758" s="18"/>
      <c r="B758" s="23"/>
      <c r="C758" s="23"/>
      <c r="D758" s="23"/>
      <c r="E758" s="23"/>
      <c r="F758" s="18"/>
      <c r="G758" s="18"/>
      <c r="H758" s="18"/>
    </row>
    <row r="759">
      <c r="A759" s="18"/>
      <c r="B759" s="23"/>
      <c r="C759" s="23"/>
      <c r="D759" s="23"/>
      <c r="E759" s="23"/>
      <c r="F759" s="18"/>
      <c r="G759" s="18"/>
      <c r="H759" s="18"/>
    </row>
    <row r="760">
      <c r="A760" s="18"/>
      <c r="B760" s="23"/>
      <c r="C760" s="23"/>
      <c r="D760" s="23"/>
      <c r="E760" s="23"/>
      <c r="F760" s="18"/>
      <c r="G760" s="18"/>
      <c r="H760" s="18"/>
    </row>
    <row r="761">
      <c r="A761" s="18"/>
      <c r="B761" s="23"/>
      <c r="C761" s="23"/>
      <c r="D761" s="23"/>
      <c r="E761" s="23"/>
      <c r="F761" s="18"/>
      <c r="G761" s="18"/>
      <c r="H761" s="18"/>
    </row>
    <row r="762">
      <c r="A762" s="18"/>
      <c r="B762" s="23"/>
      <c r="C762" s="23"/>
      <c r="D762" s="23"/>
      <c r="E762" s="23"/>
      <c r="F762" s="18"/>
      <c r="G762" s="18"/>
      <c r="H762" s="18"/>
    </row>
    <row r="763">
      <c r="A763" s="18"/>
      <c r="B763" s="23"/>
      <c r="C763" s="23"/>
      <c r="D763" s="23"/>
      <c r="E763" s="23"/>
      <c r="F763" s="18"/>
      <c r="G763" s="18"/>
      <c r="H763" s="18"/>
    </row>
    <row r="764">
      <c r="A764" s="18"/>
      <c r="B764" s="23"/>
      <c r="C764" s="23"/>
      <c r="D764" s="23"/>
      <c r="E764" s="23"/>
      <c r="F764" s="18"/>
      <c r="G764" s="18"/>
      <c r="H764" s="18"/>
    </row>
    <row r="765">
      <c r="A765" s="18"/>
      <c r="B765" s="23"/>
      <c r="C765" s="23"/>
      <c r="D765" s="23"/>
      <c r="E765" s="23"/>
      <c r="F765" s="18"/>
      <c r="G765" s="18"/>
      <c r="H765" s="18"/>
    </row>
    <row r="766">
      <c r="A766" s="18"/>
      <c r="B766" s="23"/>
      <c r="C766" s="23"/>
      <c r="D766" s="23"/>
      <c r="E766" s="23"/>
      <c r="F766" s="18"/>
      <c r="G766" s="18"/>
      <c r="H766" s="18"/>
    </row>
    <row r="767">
      <c r="A767" s="18"/>
      <c r="B767" s="23"/>
      <c r="C767" s="23"/>
      <c r="D767" s="23"/>
      <c r="E767" s="23"/>
      <c r="F767" s="18"/>
      <c r="G767" s="18"/>
      <c r="H767" s="18"/>
    </row>
    <row r="768">
      <c r="A768" s="18"/>
      <c r="B768" s="23"/>
      <c r="C768" s="23"/>
      <c r="D768" s="23"/>
      <c r="E768" s="23"/>
      <c r="F768" s="18"/>
      <c r="G768" s="18"/>
      <c r="H768" s="18"/>
    </row>
    <row r="769">
      <c r="A769" s="18"/>
      <c r="B769" s="23"/>
      <c r="C769" s="23"/>
      <c r="D769" s="23"/>
      <c r="E769" s="23"/>
      <c r="F769" s="18"/>
      <c r="G769" s="18"/>
      <c r="H769" s="18"/>
    </row>
    <row r="770">
      <c r="A770" s="18"/>
      <c r="B770" s="23"/>
      <c r="C770" s="23"/>
      <c r="D770" s="23"/>
      <c r="E770" s="23"/>
      <c r="F770" s="18"/>
      <c r="G770" s="18"/>
      <c r="H770" s="18"/>
    </row>
    <row r="771">
      <c r="A771" s="18"/>
      <c r="B771" s="23"/>
      <c r="C771" s="23"/>
      <c r="D771" s="23"/>
      <c r="E771" s="23"/>
      <c r="F771" s="18"/>
      <c r="G771" s="18"/>
      <c r="H771" s="18"/>
    </row>
    <row r="772">
      <c r="A772" s="18"/>
      <c r="B772" s="23"/>
      <c r="C772" s="23"/>
      <c r="D772" s="23"/>
      <c r="E772" s="23"/>
      <c r="F772" s="18"/>
      <c r="G772" s="18"/>
      <c r="H772" s="18"/>
    </row>
    <row r="773">
      <c r="A773" s="18"/>
      <c r="B773" s="23"/>
      <c r="C773" s="23"/>
      <c r="D773" s="23"/>
      <c r="E773" s="23"/>
      <c r="F773" s="18"/>
      <c r="G773" s="18"/>
      <c r="H773" s="18"/>
    </row>
    <row r="774">
      <c r="A774" s="18"/>
      <c r="B774" s="23"/>
      <c r="C774" s="23"/>
      <c r="D774" s="23"/>
      <c r="E774" s="23"/>
      <c r="F774" s="18"/>
      <c r="G774" s="18"/>
      <c r="H774" s="18"/>
    </row>
    <row r="775">
      <c r="A775" s="18"/>
      <c r="B775" s="23"/>
      <c r="C775" s="23"/>
      <c r="D775" s="23"/>
      <c r="E775" s="23"/>
      <c r="F775" s="18"/>
      <c r="G775" s="18"/>
      <c r="H775" s="18"/>
    </row>
    <row r="776">
      <c r="A776" s="18"/>
      <c r="B776" s="23"/>
      <c r="C776" s="23"/>
      <c r="D776" s="23"/>
      <c r="E776" s="23"/>
      <c r="F776" s="18"/>
      <c r="G776" s="18"/>
      <c r="H776" s="18"/>
    </row>
    <row r="777">
      <c r="A777" s="18"/>
      <c r="B777" s="23"/>
      <c r="C777" s="23"/>
      <c r="D777" s="23"/>
      <c r="E777" s="23"/>
      <c r="F777" s="18"/>
      <c r="G777" s="18"/>
      <c r="H777" s="18"/>
    </row>
    <row r="778">
      <c r="A778" s="18"/>
      <c r="B778" s="23"/>
      <c r="C778" s="23"/>
      <c r="D778" s="23"/>
      <c r="E778" s="23"/>
      <c r="F778" s="18"/>
      <c r="G778" s="18"/>
      <c r="H778" s="18"/>
    </row>
    <row r="779">
      <c r="A779" s="18"/>
      <c r="B779" s="23"/>
      <c r="C779" s="23"/>
      <c r="D779" s="23"/>
      <c r="E779" s="23"/>
      <c r="F779" s="18"/>
      <c r="G779" s="18"/>
      <c r="H779" s="18"/>
    </row>
    <row r="780">
      <c r="A780" s="18"/>
      <c r="B780" s="23"/>
      <c r="C780" s="23"/>
      <c r="D780" s="23"/>
      <c r="E780" s="23"/>
      <c r="F780" s="18"/>
      <c r="G780" s="18"/>
      <c r="H780" s="18"/>
    </row>
    <row r="781">
      <c r="A781" s="18"/>
      <c r="B781" s="23"/>
      <c r="C781" s="23"/>
      <c r="D781" s="23"/>
      <c r="E781" s="23"/>
      <c r="F781" s="18"/>
      <c r="G781" s="18"/>
      <c r="H781" s="18"/>
    </row>
    <row r="782">
      <c r="A782" s="18"/>
      <c r="B782" s="23"/>
      <c r="C782" s="23"/>
      <c r="D782" s="23"/>
      <c r="E782" s="23"/>
      <c r="F782" s="18"/>
      <c r="G782" s="18"/>
      <c r="H782" s="18"/>
    </row>
    <row r="783">
      <c r="A783" s="18"/>
      <c r="B783" s="23"/>
      <c r="C783" s="23"/>
      <c r="D783" s="23"/>
      <c r="E783" s="23"/>
      <c r="F783" s="18"/>
      <c r="G783" s="18"/>
      <c r="H783" s="18"/>
    </row>
    <row r="784">
      <c r="A784" s="18"/>
      <c r="B784" s="23"/>
      <c r="C784" s="23"/>
      <c r="D784" s="23"/>
      <c r="E784" s="23"/>
      <c r="F784" s="18"/>
      <c r="G784" s="18"/>
      <c r="H784" s="18"/>
    </row>
    <row r="785">
      <c r="A785" s="18"/>
      <c r="B785" s="23"/>
      <c r="C785" s="23"/>
      <c r="D785" s="23"/>
      <c r="E785" s="23"/>
      <c r="F785" s="18"/>
      <c r="G785" s="18"/>
      <c r="H785" s="18"/>
    </row>
    <row r="786">
      <c r="A786" s="18"/>
      <c r="B786" s="23"/>
      <c r="C786" s="23"/>
      <c r="D786" s="23"/>
      <c r="E786" s="23"/>
      <c r="F786" s="18"/>
      <c r="G786" s="18"/>
      <c r="H786" s="18"/>
    </row>
    <row r="787">
      <c r="A787" s="18"/>
      <c r="B787" s="23"/>
      <c r="C787" s="23"/>
      <c r="D787" s="23"/>
      <c r="E787" s="23"/>
      <c r="F787" s="18"/>
      <c r="G787" s="18"/>
      <c r="H787" s="18"/>
    </row>
    <row r="788">
      <c r="A788" s="18"/>
      <c r="B788" s="23"/>
      <c r="C788" s="23"/>
      <c r="D788" s="23"/>
      <c r="E788" s="23"/>
      <c r="F788" s="18"/>
      <c r="G788" s="18"/>
      <c r="H788" s="18"/>
    </row>
    <row r="789">
      <c r="A789" s="18"/>
      <c r="B789" s="23"/>
      <c r="C789" s="23"/>
      <c r="D789" s="23"/>
      <c r="E789" s="23"/>
      <c r="F789" s="18"/>
      <c r="G789" s="18"/>
      <c r="H789" s="18"/>
    </row>
    <row r="790">
      <c r="A790" s="18"/>
      <c r="B790" s="23"/>
      <c r="C790" s="23"/>
      <c r="D790" s="23"/>
      <c r="E790" s="23"/>
      <c r="F790" s="18"/>
      <c r="G790" s="18"/>
      <c r="H790" s="18"/>
    </row>
    <row r="791">
      <c r="A791" s="18"/>
      <c r="B791" s="23"/>
      <c r="C791" s="23"/>
      <c r="D791" s="23"/>
      <c r="E791" s="23"/>
      <c r="F791" s="18"/>
      <c r="G791" s="18"/>
      <c r="H791" s="18"/>
    </row>
    <row r="792">
      <c r="A792" s="18"/>
      <c r="B792" s="23"/>
      <c r="C792" s="23"/>
      <c r="D792" s="23"/>
      <c r="E792" s="23"/>
      <c r="F792" s="18"/>
      <c r="G792" s="18"/>
      <c r="H792" s="18"/>
    </row>
    <row r="793">
      <c r="A793" s="18"/>
      <c r="B793" s="23"/>
      <c r="C793" s="23"/>
      <c r="D793" s="23"/>
      <c r="E793" s="23"/>
      <c r="F793" s="18"/>
      <c r="G793" s="18"/>
      <c r="H793" s="18"/>
    </row>
    <row r="794">
      <c r="A794" s="18"/>
      <c r="B794" s="23"/>
      <c r="C794" s="23"/>
      <c r="D794" s="23"/>
      <c r="E794" s="23"/>
      <c r="F794" s="18"/>
      <c r="G794" s="18"/>
      <c r="H794" s="18"/>
    </row>
    <row r="795">
      <c r="A795" s="18"/>
      <c r="B795" s="23"/>
      <c r="C795" s="23"/>
      <c r="D795" s="23"/>
      <c r="E795" s="23"/>
      <c r="F795" s="18"/>
      <c r="G795" s="18"/>
      <c r="H795" s="18"/>
    </row>
    <row r="796">
      <c r="A796" s="18"/>
      <c r="B796" s="23"/>
      <c r="C796" s="23"/>
      <c r="D796" s="23"/>
      <c r="E796" s="23"/>
      <c r="F796" s="18"/>
      <c r="G796" s="18"/>
      <c r="H796" s="18"/>
    </row>
    <row r="797">
      <c r="A797" s="18"/>
      <c r="B797" s="23"/>
      <c r="C797" s="23"/>
      <c r="D797" s="23"/>
      <c r="E797" s="23"/>
      <c r="F797" s="18"/>
      <c r="G797" s="18"/>
      <c r="H797" s="18"/>
    </row>
    <row r="798">
      <c r="A798" s="18"/>
      <c r="B798" s="23"/>
      <c r="C798" s="23"/>
      <c r="D798" s="23"/>
      <c r="E798" s="23"/>
      <c r="F798" s="18"/>
      <c r="G798" s="18"/>
      <c r="H798" s="18"/>
    </row>
    <row r="799">
      <c r="A799" s="18"/>
      <c r="B799" s="23"/>
      <c r="C799" s="23"/>
      <c r="D799" s="23"/>
      <c r="E799" s="23"/>
      <c r="F799" s="18"/>
      <c r="G799" s="18"/>
      <c r="H799" s="18"/>
    </row>
    <row r="800">
      <c r="A800" s="18"/>
      <c r="B800" s="23"/>
      <c r="C800" s="23"/>
      <c r="D800" s="23"/>
      <c r="E800" s="23"/>
      <c r="F800" s="18"/>
      <c r="G800" s="18"/>
      <c r="H800" s="18"/>
    </row>
    <row r="801">
      <c r="A801" s="18"/>
      <c r="B801" s="23"/>
      <c r="C801" s="23"/>
      <c r="D801" s="23"/>
      <c r="E801" s="23"/>
      <c r="F801" s="18"/>
      <c r="G801" s="18"/>
      <c r="H801" s="18"/>
    </row>
    <row r="802">
      <c r="A802" s="18"/>
      <c r="B802" s="23"/>
      <c r="C802" s="23"/>
      <c r="D802" s="23"/>
      <c r="E802" s="23"/>
      <c r="F802" s="18"/>
      <c r="G802" s="18"/>
      <c r="H802" s="18"/>
    </row>
    <row r="803">
      <c r="A803" s="18"/>
      <c r="B803" s="23"/>
      <c r="C803" s="23"/>
      <c r="D803" s="23"/>
      <c r="E803" s="23"/>
      <c r="F803" s="18"/>
      <c r="G803" s="18"/>
      <c r="H803" s="18"/>
    </row>
    <row r="804">
      <c r="A804" s="18"/>
      <c r="B804" s="23"/>
      <c r="C804" s="23"/>
      <c r="D804" s="23"/>
      <c r="E804" s="23"/>
      <c r="F804" s="18"/>
      <c r="G804" s="18"/>
      <c r="H804" s="18"/>
    </row>
    <row r="805">
      <c r="A805" s="18"/>
      <c r="B805" s="23"/>
      <c r="C805" s="23"/>
      <c r="D805" s="23"/>
      <c r="E805" s="23"/>
      <c r="F805" s="18"/>
      <c r="G805" s="18"/>
      <c r="H805" s="18"/>
    </row>
    <row r="806">
      <c r="A806" s="18"/>
      <c r="B806" s="23"/>
      <c r="C806" s="23"/>
      <c r="D806" s="23"/>
      <c r="E806" s="23"/>
      <c r="F806" s="18"/>
      <c r="G806" s="18"/>
      <c r="H806" s="18"/>
    </row>
    <row r="807">
      <c r="A807" s="18"/>
      <c r="B807" s="23"/>
      <c r="C807" s="23"/>
      <c r="D807" s="23"/>
      <c r="E807" s="23"/>
      <c r="F807" s="18"/>
      <c r="G807" s="18"/>
      <c r="H807" s="18"/>
    </row>
    <row r="808">
      <c r="A808" s="18"/>
      <c r="B808" s="23"/>
      <c r="C808" s="23"/>
      <c r="D808" s="23"/>
      <c r="E808" s="23"/>
      <c r="F808" s="18"/>
      <c r="G808" s="18"/>
      <c r="H808" s="18"/>
    </row>
    <row r="809">
      <c r="A809" s="18"/>
      <c r="B809" s="23"/>
      <c r="C809" s="23"/>
      <c r="D809" s="23"/>
      <c r="E809" s="23"/>
      <c r="F809" s="18"/>
      <c r="G809" s="18"/>
      <c r="H809" s="18"/>
    </row>
    <row r="810">
      <c r="A810" s="18"/>
      <c r="B810" s="23"/>
      <c r="C810" s="23"/>
      <c r="D810" s="23"/>
      <c r="E810" s="23"/>
      <c r="F810" s="18"/>
      <c r="G810" s="18"/>
      <c r="H810" s="18"/>
    </row>
    <row r="811">
      <c r="A811" s="18"/>
      <c r="B811" s="23"/>
      <c r="C811" s="23"/>
      <c r="D811" s="23"/>
      <c r="E811" s="23"/>
      <c r="F811" s="18"/>
      <c r="G811" s="18"/>
      <c r="H811" s="18"/>
    </row>
    <row r="812">
      <c r="A812" s="18"/>
      <c r="B812" s="23"/>
      <c r="C812" s="23"/>
      <c r="D812" s="23"/>
      <c r="E812" s="23"/>
      <c r="F812" s="18"/>
      <c r="G812" s="18"/>
      <c r="H812" s="18"/>
    </row>
    <row r="813">
      <c r="A813" s="18"/>
      <c r="B813" s="23"/>
      <c r="C813" s="23"/>
      <c r="D813" s="23"/>
      <c r="E813" s="23"/>
      <c r="F813" s="18"/>
      <c r="G813" s="18"/>
      <c r="H813" s="18"/>
    </row>
    <row r="814">
      <c r="A814" s="18"/>
      <c r="B814" s="23"/>
      <c r="C814" s="23"/>
      <c r="D814" s="23"/>
      <c r="E814" s="23"/>
      <c r="F814" s="18"/>
      <c r="G814" s="18"/>
      <c r="H814" s="18"/>
    </row>
    <row r="815">
      <c r="A815" s="18"/>
      <c r="B815" s="23"/>
      <c r="C815" s="23"/>
      <c r="D815" s="23"/>
      <c r="E815" s="23"/>
      <c r="F815" s="18"/>
      <c r="G815" s="18"/>
      <c r="H815" s="18"/>
    </row>
    <row r="816">
      <c r="A816" s="18"/>
      <c r="B816" s="23"/>
      <c r="C816" s="23"/>
      <c r="D816" s="23"/>
      <c r="E816" s="23"/>
      <c r="F816" s="18"/>
      <c r="G816" s="18"/>
      <c r="H816" s="18"/>
    </row>
    <row r="817">
      <c r="A817" s="18"/>
      <c r="B817" s="23"/>
      <c r="C817" s="23"/>
      <c r="D817" s="23"/>
      <c r="E817" s="23"/>
      <c r="F817" s="18"/>
      <c r="G817" s="18"/>
      <c r="H817" s="18"/>
    </row>
    <row r="818">
      <c r="A818" s="18"/>
      <c r="B818" s="23"/>
      <c r="C818" s="23"/>
      <c r="D818" s="23"/>
      <c r="E818" s="23"/>
      <c r="F818" s="18"/>
      <c r="G818" s="18"/>
      <c r="H818" s="18"/>
    </row>
    <row r="819">
      <c r="A819" s="18"/>
      <c r="B819" s="23"/>
      <c r="C819" s="23"/>
      <c r="D819" s="23"/>
      <c r="E819" s="23"/>
      <c r="F819" s="18"/>
      <c r="G819" s="18"/>
      <c r="H819" s="18"/>
    </row>
    <row r="820">
      <c r="A820" s="18"/>
      <c r="B820" s="23"/>
      <c r="C820" s="23"/>
      <c r="D820" s="23"/>
      <c r="E820" s="23"/>
      <c r="F820" s="18"/>
      <c r="G820" s="18"/>
      <c r="H820" s="18"/>
    </row>
    <row r="821">
      <c r="A821" s="18"/>
      <c r="B821" s="23"/>
      <c r="C821" s="23"/>
      <c r="D821" s="23"/>
      <c r="E821" s="23"/>
      <c r="F821" s="18"/>
      <c r="G821" s="18"/>
      <c r="H821" s="18"/>
    </row>
    <row r="822">
      <c r="A822" s="18"/>
      <c r="B822" s="23"/>
      <c r="C822" s="23"/>
      <c r="D822" s="23"/>
      <c r="E822" s="23"/>
      <c r="F822" s="18"/>
      <c r="G822" s="18"/>
      <c r="H822" s="18"/>
    </row>
    <row r="823">
      <c r="A823" s="18"/>
      <c r="B823" s="23"/>
      <c r="C823" s="23"/>
      <c r="D823" s="23"/>
      <c r="E823" s="23"/>
      <c r="F823" s="18"/>
      <c r="G823" s="18"/>
      <c r="H823" s="18"/>
    </row>
    <row r="824">
      <c r="A824" s="18"/>
      <c r="B824" s="23"/>
      <c r="C824" s="23"/>
      <c r="D824" s="23"/>
      <c r="E824" s="23"/>
      <c r="F824" s="18"/>
      <c r="G824" s="18"/>
      <c r="H824" s="18"/>
    </row>
    <row r="825">
      <c r="A825" s="18"/>
      <c r="B825" s="23"/>
      <c r="C825" s="23"/>
      <c r="D825" s="23"/>
      <c r="E825" s="23"/>
      <c r="F825" s="18"/>
      <c r="G825" s="18"/>
      <c r="H825" s="18"/>
    </row>
    <row r="826">
      <c r="A826" s="18"/>
      <c r="B826" s="23"/>
      <c r="C826" s="23"/>
      <c r="D826" s="23"/>
      <c r="E826" s="23"/>
      <c r="F826" s="18"/>
      <c r="G826" s="18"/>
      <c r="H826" s="18"/>
    </row>
    <row r="827">
      <c r="A827" s="18"/>
      <c r="B827" s="23"/>
      <c r="C827" s="23"/>
      <c r="D827" s="23"/>
      <c r="E827" s="23"/>
      <c r="F827" s="18"/>
      <c r="G827" s="18"/>
      <c r="H827" s="18"/>
    </row>
    <row r="828">
      <c r="A828" s="18"/>
      <c r="B828" s="23"/>
      <c r="C828" s="23"/>
      <c r="D828" s="23"/>
      <c r="E828" s="23"/>
      <c r="F828" s="18"/>
      <c r="G828" s="18"/>
      <c r="H828" s="18"/>
    </row>
    <row r="829">
      <c r="A829" s="18"/>
      <c r="B829" s="23"/>
      <c r="C829" s="23"/>
      <c r="D829" s="23"/>
      <c r="E829" s="23"/>
      <c r="F829" s="18"/>
      <c r="G829" s="18"/>
      <c r="H829" s="18"/>
    </row>
    <row r="830">
      <c r="A830" s="18"/>
      <c r="B830" s="23"/>
      <c r="C830" s="23"/>
      <c r="D830" s="23"/>
      <c r="E830" s="23"/>
      <c r="F830" s="18"/>
      <c r="G830" s="18"/>
      <c r="H830" s="18"/>
    </row>
    <row r="831">
      <c r="A831" s="18"/>
      <c r="B831" s="23"/>
      <c r="C831" s="23"/>
      <c r="D831" s="23"/>
      <c r="E831" s="23"/>
      <c r="F831" s="18"/>
      <c r="G831" s="18"/>
      <c r="H831" s="18"/>
    </row>
    <row r="832">
      <c r="A832" s="18"/>
      <c r="B832" s="23"/>
      <c r="C832" s="23"/>
      <c r="D832" s="23"/>
      <c r="E832" s="23"/>
      <c r="F832" s="18"/>
      <c r="G832" s="18"/>
      <c r="H832" s="18"/>
    </row>
    <row r="833">
      <c r="A833" s="18"/>
      <c r="B833" s="23"/>
      <c r="C833" s="23"/>
      <c r="D833" s="23"/>
      <c r="E833" s="23"/>
      <c r="F833" s="18"/>
      <c r="G833" s="18"/>
      <c r="H833" s="18"/>
    </row>
    <row r="834">
      <c r="A834" s="18"/>
      <c r="B834" s="23"/>
      <c r="C834" s="23"/>
      <c r="D834" s="23"/>
      <c r="E834" s="23"/>
      <c r="F834" s="18"/>
      <c r="G834" s="18"/>
      <c r="H834" s="18"/>
    </row>
    <row r="835">
      <c r="A835" s="18"/>
      <c r="B835" s="23"/>
      <c r="C835" s="23"/>
      <c r="D835" s="23"/>
      <c r="E835" s="23"/>
      <c r="F835" s="18"/>
      <c r="G835" s="18"/>
      <c r="H835" s="18"/>
    </row>
    <row r="836">
      <c r="A836" s="18"/>
      <c r="B836" s="23"/>
      <c r="C836" s="23"/>
      <c r="D836" s="23"/>
      <c r="E836" s="23"/>
      <c r="F836" s="18"/>
      <c r="G836" s="18"/>
      <c r="H836" s="18"/>
    </row>
    <row r="837">
      <c r="A837" s="18"/>
      <c r="B837" s="23"/>
      <c r="C837" s="23"/>
      <c r="D837" s="23"/>
      <c r="E837" s="23"/>
      <c r="F837" s="18"/>
      <c r="G837" s="18"/>
      <c r="H837" s="18"/>
    </row>
    <row r="838">
      <c r="A838" s="18"/>
      <c r="B838" s="23"/>
      <c r="C838" s="23"/>
      <c r="D838" s="23"/>
      <c r="E838" s="23"/>
      <c r="F838" s="18"/>
      <c r="G838" s="18"/>
      <c r="H838" s="18"/>
    </row>
    <row r="839">
      <c r="A839" s="18"/>
      <c r="B839" s="23"/>
      <c r="C839" s="23"/>
      <c r="D839" s="23"/>
      <c r="E839" s="23"/>
      <c r="F839" s="18"/>
      <c r="G839" s="18"/>
      <c r="H839" s="18"/>
    </row>
    <row r="840">
      <c r="A840" s="18"/>
      <c r="B840" s="23"/>
      <c r="C840" s="23"/>
      <c r="D840" s="23"/>
      <c r="E840" s="23"/>
      <c r="F840" s="18"/>
      <c r="G840" s="18"/>
      <c r="H840" s="18"/>
    </row>
    <row r="841">
      <c r="A841" s="18"/>
      <c r="B841" s="23"/>
      <c r="C841" s="23"/>
      <c r="D841" s="23"/>
      <c r="E841" s="23"/>
      <c r="F841" s="18"/>
      <c r="G841" s="18"/>
      <c r="H841" s="18"/>
    </row>
    <row r="842">
      <c r="A842" s="18"/>
      <c r="B842" s="23"/>
      <c r="C842" s="23"/>
      <c r="D842" s="23"/>
      <c r="E842" s="23"/>
      <c r="F842" s="18"/>
      <c r="G842" s="18"/>
      <c r="H842" s="18"/>
    </row>
    <row r="843">
      <c r="A843" s="18"/>
      <c r="B843" s="23"/>
      <c r="C843" s="23"/>
      <c r="D843" s="23"/>
      <c r="E843" s="23"/>
      <c r="F843" s="18"/>
      <c r="G843" s="18"/>
      <c r="H843" s="18"/>
    </row>
    <row r="844">
      <c r="A844" s="18"/>
      <c r="B844" s="23"/>
      <c r="C844" s="23"/>
      <c r="D844" s="23"/>
      <c r="E844" s="23"/>
      <c r="F844" s="18"/>
      <c r="G844" s="18"/>
      <c r="H844" s="18"/>
    </row>
    <row r="845">
      <c r="A845" s="18"/>
      <c r="B845" s="23"/>
      <c r="C845" s="23"/>
      <c r="D845" s="23"/>
      <c r="E845" s="23"/>
      <c r="F845" s="18"/>
      <c r="G845" s="18"/>
      <c r="H845" s="18"/>
    </row>
    <row r="846">
      <c r="A846" s="18"/>
      <c r="B846" s="23"/>
      <c r="C846" s="23"/>
      <c r="D846" s="23"/>
      <c r="E846" s="23"/>
      <c r="F846" s="18"/>
      <c r="G846" s="18"/>
      <c r="H846" s="18"/>
    </row>
    <row r="847">
      <c r="A847" s="18"/>
      <c r="B847" s="23"/>
      <c r="C847" s="23"/>
      <c r="D847" s="23"/>
      <c r="E847" s="23"/>
      <c r="F847" s="18"/>
      <c r="G847" s="18"/>
      <c r="H847" s="18"/>
    </row>
    <row r="848">
      <c r="A848" s="18"/>
      <c r="B848" s="23"/>
      <c r="C848" s="23"/>
      <c r="D848" s="23"/>
      <c r="E848" s="23"/>
      <c r="F848" s="18"/>
      <c r="G848" s="18"/>
      <c r="H848" s="18"/>
    </row>
    <row r="849">
      <c r="A849" s="18"/>
      <c r="B849" s="23"/>
      <c r="C849" s="23"/>
      <c r="D849" s="23"/>
      <c r="E849" s="23"/>
      <c r="F849" s="18"/>
      <c r="G849" s="18"/>
      <c r="H849" s="18"/>
    </row>
    <row r="850">
      <c r="A850" s="18"/>
      <c r="B850" s="23"/>
      <c r="C850" s="23"/>
      <c r="D850" s="23"/>
      <c r="E850" s="23"/>
      <c r="F850" s="18"/>
      <c r="G850" s="18"/>
      <c r="H850" s="18"/>
    </row>
    <row r="851">
      <c r="A851" s="18"/>
      <c r="B851" s="23"/>
      <c r="C851" s="23"/>
      <c r="D851" s="23"/>
      <c r="E851" s="23"/>
      <c r="F851" s="18"/>
      <c r="G851" s="18"/>
      <c r="H851" s="18"/>
    </row>
    <row r="852">
      <c r="A852" s="18"/>
      <c r="B852" s="23"/>
      <c r="C852" s="23"/>
      <c r="D852" s="23"/>
      <c r="E852" s="23"/>
      <c r="F852" s="18"/>
      <c r="G852" s="18"/>
      <c r="H852" s="18"/>
    </row>
    <row r="853">
      <c r="A853" s="18"/>
      <c r="B853" s="23"/>
      <c r="C853" s="23"/>
      <c r="D853" s="23"/>
      <c r="E853" s="23"/>
      <c r="F853" s="18"/>
      <c r="G853" s="18"/>
      <c r="H853" s="18"/>
    </row>
    <row r="854">
      <c r="A854" s="18"/>
      <c r="B854" s="23"/>
      <c r="C854" s="23"/>
      <c r="D854" s="23"/>
      <c r="E854" s="23"/>
      <c r="F854" s="18"/>
      <c r="G854" s="18"/>
      <c r="H854" s="18"/>
    </row>
    <row r="855">
      <c r="A855" s="18"/>
      <c r="B855" s="23"/>
      <c r="C855" s="23"/>
      <c r="D855" s="23"/>
      <c r="E855" s="23"/>
      <c r="F855" s="18"/>
      <c r="G855" s="18"/>
      <c r="H855" s="18"/>
    </row>
    <row r="856">
      <c r="A856" s="18"/>
      <c r="B856" s="23"/>
      <c r="C856" s="23"/>
      <c r="D856" s="23"/>
      <c r="E856" s="23"/>
      <c r="F856" s="18"/>
      <c r="G856" s="18"/>
      <c r="H856" s="18"/>
    </row>
    <row r="857">
      <c r="A857" s="18"/>
      <c r="B857" s="23"/>
      <c r="C857" s="23"/>
      <c r="D857" s="23"/>
      <c r="E857" s="23"/>
      <c r="F857" s="18"/>
      <c r="G857" s="18"/>
      <c r="H857" s="18"/>
    </row>
    <row r="858">
      <c r="A858" s="18"/>
      <c r="B858" s="23"/>
      <c r="C858" s="23"/>
      <c r="D858" s="23"/>
      <c r="E858" s="23"/>
      <c r="F858" s="18"/>
      <c r="G858" s="18"/>
      <c r="H858" s="18"/>
    </row>
    <row r="859">
      <c r="A859" s="18"/>
      <c r="B859" s="23"/>
      <c r="C859" s="23"/>
      <c r="D859" s="23"/>
      <c r="E859" s="23"/>
      <c r="F859" s="18"/>
      <c r="G859" s="18"/>
      <c r="H859" s="18"/>
    </row>
    <row r="860">
      <c r="A860" s="18"/>
      <c r="B860" s="23"/>
      <c r="C860" s="23"/>
      <c r="D860" s="23"/>
      <c r="E860" s="23"/>
      <c r="F860" s="18"/>
      <c r="G860" s="18"/>
      <c r="H860" s="18"/>
    </row>
    <row r="861">
      <c r="A861" s="18"/>
      <c r="B861" s="23"/>
      <c r="C861" s="23"/>
      <c r="D861" s="23"/>
      <c r="E861" s="23"/>
      <c r="F861" s="18"/>
      <c r="G861" s="18"/>
      <c r="H861" s="18"/>
    </row>
    <row r="862">
      <c r="A862" s="18"/>
      <c r="B862" s="23"/>
      <c r="C862" s="23"/>
      <c r="D862" s="23"/>
      <c r="E862" s="23"/>
      <c r="F862" s="18"/>
      <c r="G862" s="18"/>
      <c r="H862" s="18"/>
    </row>
    <row r="863">
      <c r="A863" s="18"/>
      <c r="B863" s="23"/>
      <c r="C863" s="23"/>
      <c r="D863" s="23"/>
      <c r="E863" s="23"/>
      <c r="F863" s="18"/>
      <c r="G863" s="18"/>
      <c r="H863" s="18"/>
    </row>
    <row r="864">
      <c r="A864" s="18"/>
      <c r="B864" s="23"/>
      <c r="C864" s="23"/>
      <c r="D864" s="23"/>
      <c r="E864" s="23"/>
      <c r="F864" s="18"/>
      <c r="G864" s="18"/>
      <c r="H864" s="18"/>
    </row>
    <row r="865">
      <c r="A865" s="18"/>
      <c r="B865" s="23"/>
      <c r="C865" s="23"/>
      <c r="D865" s="23"/>
      <c r="E865" s="23"/>
      <c r="F865" s="18"/>
      <c r="G865" s="18"/>
      <c r="H865" s="18"/>
    </row>
    <row r="866">
      <c r="A866" s="18"/>
      <c r="B866" s="23"/>
      <c r="C866" s="23"/>
      <c r="D866" s="23"/>
      <c r="E866" s="23"/>
      <c r="F866" s="18"/>
      <c r="G866" s="18"/>
      <c r="H866" s="18"/>
    </row>
    <row r="867">
      <c r="A867" s="18"/>
      <c r="B867" s="23"/>
      <c r="C867" s="23"/>
      <c r="D867" s="23"/>
      <c r="E867" s="23"/>
      <c r="F867" s="18"/>
      <c r="G867" s="18"/>
      <c r="H867" s="18"/>
    </row>
    <row r="868">
      <c r="A868" s="18"/>
      <c r="B868" s="23"/>
      <c r="C868" s="23"/>
      <c r="D868" s="23"/>
      <c r="E868" s="23"/>
      <c r="F868" s="18"/>
      <c r="G868" s="18"/>
      <c r="H868" s="18"/>
    </row>
    <row r="869">
      <c r="A869" s="18"/>
      <c r="B869" s="23"/>
      <c r="C869" s="23"/>
      <c r="D869" s="23"/>
      <c r="E869" s="23"/>
      <c r="F869" s="18"/>
      <c r="G869" s="18"/>
      <c r="H869" s="18"/>
    </row>
    <row r="870">
      <c r="A870" s="18"/>
      <c r="B870" s="23"/>
      <c r="C870" s="23"/>
      <c r="D870" s="23"/>
      <c r="E870" s="23"/>
      <c r="F870" s="18"/>
      <c r="G870" s="18"/>
      <c r="H870" s="18"/>
    </row>
    <row r="871">
      <c r="A871" s="18"/>
      <c r="B871" s="23"/>
      <c r="C871" s="23"/>
      <c r="D871" s="23"/>
      <c r="E871" s="23"/>
      <c r="F871" s="18"/>
      <c r="G871" s="18"/>
      <c r="H871" s="18"/>
    </row>
    <row r="872">
      <c r="A872" s="18"/>
      <c r="B872" s="23"/>
      <c r="C872" s="23"/>
      <c r="D872" s="23"/>
      <c r="E872" s="23"/>
      <c r="F872" s="18"/>
      <c r="G872" s="18"/>
      <c r="H872" s="18"/>
    </row>
    <row r="873">
      <c r="A873" s="18"/>
      <c r="B873" s="23"/>
      <c r="C873" s="23"/>
      <c r="D873" s="23"/>
      <c r="E873" s="23"/>
      <c r="F873" s="18"/>
      <c r="G873" s="18"/>
      <c r="H873" s="18"/>
    </row>
    <row r="874">
      <c r="A874" s="18"/>
      <c r="B874" s="23"/>
      <c r="C874" s="23"/>
      <c r="D874" s="23"/>
      <c r="E874" s="23"/>
      <c r="F874" s="18"/>
      <c r="G874" s="18"/>
      <c r="H874" s="18"/>
    </row>
    <row r="875">
      <c r="A875" s="18"/>
      <c r="B875" s="23"/>
      <c r="C875" s="23"/>
      <c r="D875" s="23"/>
      <c r="E875" s="23"/>
      <c r="F875" s="18"/>
      <c r="G875" s="18"/>
      <c r="H875" s="18"/>
    </row>
    <row r="876">
      <c r="A876" s="18"/>
      <c r="B876" s="23"/>
      <c r="C876" s="23"/>
      <c r="D876" s="23"/>
      <c r="E876" s="23"/>
      <c r="F876" s="18"/>
      <c r="G876" s="18"/>
      <c r="H876" s="18"/>
    </row>
    <row r="877">
      <c r="A877" s="18"/>
      <c r="B877" s="23"/>
      <c r="C877" s="23"/>
      <c r="D877" s="23"/>
      <c r="E877" s="23"/>
      <c r="F877" s="18"/>
      <c r="G877" s="18"/>
      <c r="H877" s="18"/>
    </row>
    <row r="878">
      <c r="A878" s="18"/>
      <c r="B878" s="23"/>
      <c r="C878" s="23"/>
      <c r="D878" s="23"/>
      <c r="E878" s="23"/>
      <c r="F878" s="18"/>
      <c r="G878" s="18"/>
      <c r="H878" s="18"/>
    </row>
    <row r="879">
      <c r="A879" s="18"/>
      <c r="B879" s="23"/>
      <c r="C879" s="23"/>
      <c r="D879" s="23"/>
      <c r="E879" s="23"/>
      <c r="F879" s="18"/>
      <c r="G879" s="18"/>
      <c r="H879" s="18"/>
    </row>
    <row r="880">
      <c r="A880" s="18"/>
      <c r="B880" s="23"/>
      <c r="C880" s="23"/>
      <c r="D880" s="23"/>
      <c r="E880" s="23"/>
      <c r="F880" s="18"/>
      <c r="G880" s="18"/>
      <c r="H880" s="18"/>
    </row>
    <row r="881">
      <c r="A881" s="18"/>
      <c r="B881" s="23"/>
      <c r="C881" s="23"/>
      <c r="D881" s="23"/>
      <c r="E881" s="23"/>
      <c r="F881" s="18"/>
      <c r="G881" s="18"/>
      <c r="H881" s="18"/>
    </row>
    <row r="882">
      <c r="A882" s="18"/>
      <c r="B882" s="23"/>
      <c r="C882" s="23"/>
      <c r="D882" s="23"/>
      <c r="E882" s="23"/>
      <c r="F882" s="18"/>
      <c r="G882" s="18"/>
      <c r="H882" s="18"/>
    </row>
    <row r="883">
      <c r="A883" s="18"/>
      <c r="B883" s="23"/>
      <c r="C883" s="23"/>
      <c r="D883" s="23"/>
      <c r="E883" s="23"/>
      <c r="F883" s="18"/>
      <c r="G883" s="18"/>
      <c r="H883" s="18"/>
    </row>
    <row r="884">
      <c r="A884" s="18"/>
      <c r="B884" s="23"/>
      <c r="C884" s="23"/>
      <c r="D884" s="23"/>
      <c r="E884" s="23"/>
      <c r="F884" s="18"/>
      <c r="G884" s="18"/>
      <c r="H884" s="18"/>
    </row>
    <row r="885">
      <c r="A885" s="18"/>
      <c r="B885" s="23"/>
      <c r="C885" s="23"/>
      <c r="D885" s="23"/>
      <c r="E885" s="23"/>
      <c r="F885" s="18"/>
      <c r="G885" s="18"/>
      <c r="H885" s="18"/>
    </row>
    <row r="886">
      <c r="A886" s="18"/>
      <c r="B886" s="23"/>
      <c r="C886" s="23"/>
      <c r="D886" s="23"/>
      <c r="E886" s="23"/>
      <c r="F886" s="18"/>
      <c r="G886" s="18"/>
      <c r="H886" s="18"/>
    </row>
    <row r="887">
      <c r="A887" s="18"/>
      <c r="B887" s="23"/>
      <c r="C887" s="23"/>
      <c r="D887" s="23"/>
      <c r="E887" s="23"/>
      <c r="F887" s="18"/>
      <c r="G887" s="18"/>
      <c r="H887" s="18"/>
    </row>
    <row r="888">
      <c r="A888" s="18"/>
      <c r="B888" s="23"/>
      <c r="C888" s="23"/>
      <c r="D888" s="23"/>
      <c r="E888" s="23"/>
      <c r="F888" s="18"/>
      <c r="G888" s="18"/>
      <c r="H888" s="18"/>
    </row>
    <row r="889">
      <c r="A889" s="18"/>
      <c r="B889" s="23"/>
      <c r="C889" s="23"/>
      <c r="D889" s="23"/>
      <c r="E889" s="23"/>
      <c r="F889" s="18"/>
      <c r="G889" s="18"/>
      <c r="H889" s="18"/>
    </row>
    <row r="890">
      <c r="A890" s="18"/>
      <c r="B890" s="23"/>
      <c r="C890" s="23"/>
      <c r="D890" s="23"/>
      <c r="E890" s="23"/>
      <c r="F890" s="18"/>
      <c r="G890" s="18"/>
      <c r="H890" s="18"/>
    </row>
    <row r="891">
      <c r="A891" s="18"/>
      <c r="B891" s="23"/>
      <c r="C891" s="23"/>
      <c r="D891" s="23"/>
      <c r="E891" s="23"/>
      <c r="F891" s="18"/>
      <c r="G891" s="18"/>
      <c r="H891" s="18"/>
    </row>
    <row r="892">
      <c r="A892" s="18"/>
      <c r="B892" s="23"/>
      <c r="C892" s="23"/>
      <c r="D892" s="23"/>
      <c r="E892" s="23"/>
      <c r="F892" s="18"/>
      <c r="G892" s="18"/>
      <c r="H892" s="18"/>
    </row>
    <row r="893">
      <c r="A893" s="18"/>
      <c r="B893" s="23"/>
      <c r="C893" s="23"/>
      <c r="D893" s="23"/>
      <c r="E893" s="23"/>
      <c r="F893" s="18"/>
      <c r="G893" s="18"/>
      <c r="H893" s="18"/>
    </row>
    <row r="894">
      <c r="A894" s="18"/>
      <c r="B894" s="23"/>
      <c r="C894" s="23"/>
      <c r="D894" s="23"/>
      <c r="E894" s="23"/>
      <c r="F894" s="18"/>
      <c r="G894" s="18"/>
      <c r="H894" s="18"/>
    </row>
    <row r="895">
      <c r="A895" s="18"/>
      <c r="B895" s="23"/>
      <c r="C895" s="23"/>
      <c r="D895" s="23"/>
      <c r="E895" s="23"/>
      <c r="F895" s="18"/>
      <c r="G895" s="18"/>
      <c r="H895" s="18"/>
    </row>
    <row r="896">
      <c r="A896" s="18"/>
      <c r="B896" s="23"/>
      <c r="C896" s="23"/>
      <c r="D896" s="23"/>
      <c r="E896" s="23"/>
      <c r="F896" s="18"/>
      <c r="G896" s="18"/>
      <c r="H896" s="18"/>
    </row>
    <row r="897">
      <c r="A897" s="18"/>
      <c r="B897" s="23"/>
      <c r="C897" s="23"/>
      <c r="D897" s="23"/>
      <c r="E897" s="23"/>
      <c r="F897" s="18"/>
      <c r="G897" s="18"/>
      <c r="H897" s="18"/>
    </row>
    <row r="898">
      <c r="A898" s="18"/>
      <c r="B898" s="23"/>
      <c r="C898" s="23"/>
      <c r="D898" s="23"/>
      <c r="E898" s="23"/>
      <c r="F898" s="18"/>
      <c r="G898" s="18"/>
      <c r="H898" s="18"/>
    </row>
    <row r="899">
      <c r="A899" s="18"/>
      <c r="B899" s="23"/>
      <c r="C899" s="23"/>
      <c r="D899" s="23"/>
      <c r="E899" s="23"/>
      <c r="F899" s="18"/>
      <c r="G899" s="18"/>
      <c r="H899" s="18"/>
    </row>
    <row r="900">
      <c r="A900" s="18"/>
      <c r="B900" s="23"/>
      <c r="C900" s="23"/>
      <c r="D900" s="23"/>
      <c r="E900" s="23"/>
      <c r="F900" s="18"/>
      <c r="G900" s="18"/>
      <c r="H900" s="18"/>
    </row>
    <row r="901">
      <c r="A901" s="18"/>
      <c r="B901" s="23"/>
      <c r="C901" s="23"/>
      <c r="D901" s="23"/>
      <c r="E901" s="23"/>
      <c r="F901" s="18"/>
      <c r="G901" s="18"/>
      <c r="H901" s="18"/>
    </row>
    <row r="902">
      <c r="A902" s="18"/>
      <c r="B902" s="23"/>
      <c r="C902" s="23"/>
      <c r="D902" s="23"/>
      <c r="E902" s="23"/>
      <c r="F902" s="18"/>
      <c r="G902" s="18"/>
      <c r="H902" s="18"/>
    </row>
    <row r="903">
      <c r="A903" s="18"/>
      <c r="B903" s="23"/>
      <c r="C903" s="23"/>
      <c r="D903" s="23"/>
      <c r="E903" s="23"/>
      <c r="F903" s="18"/>
      <c r="G903" s="18"/>
      <c r="H903" s="18"/>
    </row>
    <row r="904">
      <c r="A904" s="18"/>
      <c r="B904" s="23"/>
      <c r="C904" s="23"/>
      <c r="D904" s="23"/>
      <c r="E904" s="23"/>
      <c r="F904" s="18"/>
      <c r="G904" s="18"/>
      <c r="H904" s="18"/>
    </row>
    <row r="905">
      <c r="A905" s="18"/>
      <c r="B905" s="23"/>
      <c r="C905" s="23"/>
      <c r="D905" s="23"/>
      <c r="E905" s="23"/>
      <c r="F905" s="18"/>
      <c r="G905" s="18"/>
      <c r="H905" s="18"/>
    </row>
    <row r="906">
      <c r="A906" s="18"/>
      <c r="B906" s="23"/>
      <c r="C906" s="23"/>
      <c r="D906" s="23"/>
      <c r="E906" s="23"/>
      <c r="F906" s="18"/>
      <c r="G906" s="18"/>
      <c r="H906" s="18"/>
    </row>
    <row r="907">
      <c r="A907" s="18"/>
      <c r="B907" s="23"/>
      <c r="C907" s="23"/>
      <c r="D907" s="23"/>
      <c r="E907" s="23"/>
      <c r="F907" s="18"/>
      <c r="G907" s="18"/>
      <c r="H907" s="18"/>
    </row>
    <row r="908">
      <c r="A908" s="18"/>
      <c r="B908" s="23"/>
      <c r="C908" s="23"/>
      <c r="D908" s="23"/>
      <c r="E908" s="23"/>
      <c r="F908" s="18"/>
      <c r="G908" s="18"/>
      <c r="H908" s="18"/>
    </row>
    <row r="909">
      <c r="A909" s="18"/>
      <c r="B909" s="23"/>
      <c r="C909" s="23"/>
      <c r="D909" s="23"/>
      <c r="E909" s="23"/>
      <c r="F909" s="18"/>
      <c r="G909" s="18"/>
      <c r="H909" s="18"/>
    </row>
    <row r="910">
      <c r="A910" s="18"/>
      <c r="B910" s="23"/>
      <c r="C910" s="23"/>
      <c r="D910" s="23"/>
      <c r="E910" s="23"/>
      <c r="F910" s="18"/>
      <c r="G910" s="18"/>
      <c r="H910" s="18"/>
    </row>
    <row r="911">
      <c r="A911" s="18"/>
      <c r="B911" s="23"/>
      <c r="C911" s="23"/>
      <c r="D911" s="23"/>
      <c r="E911" s="23"/>
      <c r="F911" s="18"/>
      <c r="G911" s="18"/>
      <c r="H911" s="18"/>
    </row>
    <row r="912">
      <c r="A912" s="18"/>
      <c r="B912" s="23"/>
      <c r="C912" s="23"/>
      <c r="D912" s="23"/>
      <c r="E912" s="23"/>
      <c r="F912" s="18"/>
      <c r="G912" s="18"/>
      <c r="H912" s="18"/>
    </row>
    <row r="913">
      <c r="A913" s="18"/>
      <c r="B913" s="23"/>
      <c r="C913" s="23"/>
      <c r="D913" s="23"/>
      <c r="E913" s="23"/>
      <c r="F913" s="18"/>
      <c r="G913" s="18"/>
      <c r="H913" s="18"/>
    </row>
    <row r="914">
      <c r="A914" s="18"/>
      <c r="B914" s="23"/>
      <c r="C914" s="23"/>
      <c r="D914" s="23"/>
      <c r="E914" s="23"/>
      <c r="F914" s="18"/>
      <c r="G914" s="18"/>
      <c r="H914" s="18"/>
    </row>
    <row r="915">
      <c r="A915" s="18"/>
      <c r="B915" s="23"/>
      <c r="C915" s="23"/>
      <c r="D915" s="23"/>
      <c r="E915" s="23"/>
      <c r="F915" s="18"/>
      <c r="G915" s="18"/>
      <c r="H915" s="18"/>
    </row>
    <row r="916">
      <c r="A916" s="18"/>
      <c r="B916" s="23"/>
      <c r="C916" s="23"/>
      <c r="D916" s="23"/>
      <c r="E916" s="23"/>
      <c r="F916" s="18"/>
      <c r="G916" s="18"/>
      <c r="H916" s="18"/>
    </row>
    <row r="917">
      <c r="A917" s="18"/>
      <c r="B917" s="23"/>
      <c r="C917" s="23"/>
      <c r="D917" s="23"/>
      <c r="E917" s="23"/>
      <c r="F917" s="18"/>
      <c r="G917" s="18"/>
      <c r="H917" s="18"/>
    </row>
    <row r="918">
      <c r="A918" s="18"/>
      <c r="B918" s="23"/>
      <c r="C918" s="23"/>
      <c r="D918" s="23"/>
      <c r="E918" s="23"/>
      <c r="F918" s="18"/>
      <c r="G918" s="18"/>
      <c r="H918" s="18"/>
    </row>
    <row r="919">
      <c r="A919" s="18"/>
      <c r="B919" s="23"/>
      <c r="C919" s="23"/>
      <c r="D919" s="23"/>
      <c r="E919" s="23"/>
      <c r="F919" s="18"/>
      <c r="G919" s="18"/>
      <c r="H919" s="18"/>
    </row>
    <row r="920">
      <c r="A920" s="18"/>
      <c r="B920" s="23"/>
      <c r="C920" s="23"/>
      <c r="D920" s="23"/>
      <c r="E920" s="23"/>
      <c r="F920" s="18"/>
      <c r="G920" s="18"/>
      <c r="H920" s="18"/>
    </row>
    <row r="921">
      <c r="A921" s="18"/>
      <c r="B921" s="23"/>
      <c r="C921" s="23"/>
      <c r="D921" s="23"/>
      <c r="E921" s="23"/>
      <c r="F921" s="18"/>
      <c r="G921" s="18"/>
      <c r="H921" s="18"/>
    </row>
    <row r="922">
      <c r="A922" s="18"/>
      <c r="B922" s="23"/>
      <c r="C922" s="23"/>
      <c r="D922" s="23"/>
      <c r="E922" s="23"/>
      <c r="F922" s="18"/>
      <c r="G922" s="18"/>
      <c r="H922" s="18"/>
    </row>
    <row r="923">
      <c r="A923" s="18"/>
      <c r="B923" s="23"/>
      <c r="C923" s="23"/>
      <c r="D923" s="23"/>
      <c r="E923" s="23"/>
      <c r="F923" s="18"/>
      <c r="G923" s="18"/>
      <c r="H923" s="18"/>
    </row>
    <row r="924">
      <c r="A924" s="18"/>
      <c r="B924" s="23"/>
      <c r="C924" s="23"/>
      <c r="D924" s="23"/>
      <c r="E924" s="23"/>
      <c r="F924" s="18"/>
      <c r="G924" s="18"/>
      <c r="H924" s="18"/>
    </row>
    <row r="925">
      <c r="A925" s="18"/>
      <c r="B925" s="23"/>
      <c r="C925" s="23"/>
      <c r="D925" s="23"/>
      <c r="E925" s="23"/>
      <c r="F925" s="18"/>
      <c r="G925" s="18"/>
      <c r="H925" s="18"/>
    </row>
    <row r="926">
      <c r="A926" s="18"/>
      <c r="B926" s="23"/>
      <c r="C926" s="23"/>
      <c r="D926" s="23"/>
      <c r="E926" s="23"/>
      <c r="F926" s="18"/>
      <c r="G926" s="18"/>
      <c r="H926" s="18"/>
    </row>
    <row r="927">
      <c r="A927" s="18"/>
      <c r="B927" s="23"/>
      <c r="C927" s="23"/>
      <c r="D927" s="23"/>
      <c r="E927" s="23"/>
      <c r="F927" s="18"/>
      <c r="G927" s="18"/>
      <c r="H927" s="18"/>
    </row>
    <row r="928">
      <c r="A928" s="18"/>
      <c r="B928" s="23"/>
      <c r="C928" s="23"/>
      <c r="D928" s="23"/>
      <c r="E928" s="23"/>
      <c r="F928" s="18"/>
      <c r="G928" s="18"/>
      <c r="H928" s="18"/>
    </row>
    <row r="929">
      <c r="A929" s="18"/>
      <c r="B929" s="23"/>
      <c r="C929" s="23"/>
      <c r="D929" s="23"/>
      <c r="E929" s="23"/>
      <c r="F929" s="18"/>
      <c r="G929" s="18"/>
      <c r="H929" s="18"/>
    </row>
    <row r="930">
      <c r="A930" s="18"/>
      <c r="B930" s="23"/>
      <c r="C930" s="23"/>
      <c r="D930" s="23"/>
      <c r="E930" s="23"/>
      <c r="F930" s="18"/>
      <c r="G930" s="18"/>
      <c r="H930" s="18"/>
    </row>
    <row r="931">
      <c r="A931" s="18"/>
      <c r="B931" s="23"/>
      <c r="C931" s="23"/>
      <c r="D931" s="23"/>
      <c r="E931" s="23"/>
      <c r="F931" s="18"/>
      <c r="G931" s="18"/>
      <c r="H931" s="18"/>
    </row>
    <row r="932">
      <c r="A932" s="18"/>
      <c r="B932" s="23"/>
      <c r="C932" s="23"/>
      <c r="D932" s="23"/>
      <c r="E932" s="23"/>
      <c r="F932" s="18"/>
      <c r="G932" s="18"/>
      <c r="H932" s="18"/>
    </row>
    <row r="933">
      <c r="A933" s="18"/>
      <c r="B933" s="23"/>
      <c r="C933" s="23"/>
      <c r="D933" s="23"/>
      <c r="E933" s="23"/>
      <c r="F933" s="18"/>
      <c r="G933" s="18"/>
      <c r="H933" s="18"/>
    </row>
    <row r="934">
      <c r="A934" s="18"/>
      <c r="B934" s="23"/>
      <c r="C934" s="23"/>
      <c r="D934" s="23"/>
      <c r="E934" s="23"/>
      <c r="F934" s="18"/>
      <c r="G934" s="18"/>
      <c r="H934" s="18"/>
    </row>
    <row r="935">
      <c r="A935" s="18"/>
      <c r="B935" s="23"/>
      <c r="C935" s="23"/>
      <c r="D935" s="23"/>
      <c r="E935" s="23"/>
      <c r="F935" s="18"/>
      <c r="G935" s="18"/>
      <c r="H935" s="18"/>
    </row>
    <row r="936">
      <c r="A936" s="18"/>
      <c r="B936" s="23"/>
      <c r="C936" s="23"/>
      <c r="D936" s="23"/>
      <c r="E936" s="23"/>
      <c r="F936" s="18"/>
      <c r="G936" s="18"/>
      <c r="H936" s="18"/>
    </row>
    <row r="937">
      <c r="A937" s="18"/>
      <c r="B937" s="23"/>
      <c r="C937" s="23"/>
      <c r="D937" s="23"/>
      <c r="E937" s="23"/>
      <c r="F937" s="18"/>
      <c r="G937" s="18"/>
      <c r="H937" s="18"/>
    </row>
    <row r="938">
      <c r="A938" s="18"/>
      <c r="B938" s="23"/>
      <c r="C938" s="23"/>
      <c r="D938" s="23"/>
      <c r="E938" s="23"/>
      <c r="F938" s="18"/>
      <c r="G938" s="18"/>
      <c r="H938" s="18"/>
    </row>
    <row r="939">
      <c r="A939" s="18"/>
      <c r="B939" s="23"/>
      <c r="C939" s="23"/>
      <c r="D939" s="23"/>
      <c r="E939" s="23"/>
      <c r="F939" s="18"/>
      <c r="G939" s="18"/>
      <c r="H939" s="18"/>
    </row>
    <row r="940">
      <c r="A940" s="18"/>
      <c r="B940" s="23"/>
      <c r="C940" s="23"/>
      <c r="D940" s="23"/>
      <c r="E940" s="23"/>
      <c r="F940" s="18"/>
      <c r="G940" s="18"/>
      <c r="H940" s="18"/>
    </row>
    <row r="941">
      <c r="A941" s="18"/>
      <c r="B941" s="23"/>
      <c r="C941" s="23"/>
      <c r="D941" s="23"/>
      <c r="E941" s="23"/>
      <c r="F941" s="18"/>
      <c r="G941" s="18"/>
      <c r="H941" s="18"/>
    </row>
    <row r="942">
      <c r="A942" s="18"/>
      <c r="B942" s="23"/>
      <c r="C942" s="23"/>
      <c r="D942" s="23"/>
      <c r="E942" s="23"/>
      <c r="F942" s="18"/>
      <c r="G942" s="18"/>
      <c r="H942" s="18"/>
    </row>
    <row r="943">
      <c r="A943" s="18"/>
      <c r="B943" s="23"/>
      <c r="C943" s="23"/>
      <c r="D943" s="23"/>
      <c r="E943" s="23"/>
      <c r="F943" s="18"/>
      <c r="G943" s="18"/>
      <c r="H943" s="18"/>
    </row>
    <row r="944">
      <c r="A944" s="18"/>
      <c r="B944" s="23"/>
      <c r="C944" s="23"/>
      <c r="D944" s="23"/>
      <c r="E944" s="23"/>
      <c r="F944" s="18"/>
      <c r="G944" s="18"/>
      <c r="H944" s="18"/>
    </row>
    <row r="945">
      <c r="A945" s="18"/>
      <c r="B945" s="23"/>
      <c r="C945" s="23"/>
      <c r="D945" s="23"/>
      <c r="E945" s="23"/>
      <c r="F945" s="18"/>
      <c r="G945" s="18"/>
      <c r="H945" s="18"/>
    </row>
    <row r="946">
      <c r="A946" s="18"/>
      <c r="B946" s="23"/>
      <c r="C946" s="23"/>
      <c r="D946" s="23"/>
      <c r="E946" s="23"/>
      <c r="F946" s="18"/>
      <c r="G946" s="18"/>
      <c r="H946" s="18"/>
    </row>
    <row r="947">
      <c r="A947" s="18"/>
      <c r="B947" s="23"/>
      <c r="C947" s="23"/>
      <c r="D947" s="23"/>
      <c r="E947" s="23"/>
      <c r="F947" s="18"/>
      <c r="G947" s="18"/>
      <c r="H947" s="18"/>
    </row>
    <row r="948">
      <c r="A948" s="18"/>
      <c r="B948" s="23"/>
      <c r="C948" s="23"/>
      <c r="D948" s="23"/>
      <c r="E948" s="23"/>
      <c r="F948" s="18"/>
      <c r="G948" s="18"/>
      <c r="H948" s="18"/>
    </row>
    <row r="949">
      <c r="A949" s="18"/>
      <c r="B949" s="23"/>
      <c r="C949" s="23"/>
      <c r="D949" s="23"/>
      <c r="E949" s="23"/>
      <c r="F949" s="18"/>
      <c r="G949" s="18"/>
      <c r="H949" s="18"/>
    </row>
    <row r="950">
      <c r="A950" s="18"/>
      <c r="B950" s="23"/>
      <c r="C950" s="23"/>
      <c r="D950" s="23"/>
      <c r="E950" s="23"/>
      <c r="F950" s="18"/>
      <c r="G950" s="18"/>
      <c r="H950" s="18"/>
    </row>
    <row r="951">
      <c r="A951" s="18"/>
      <c r="B951" s="23"/>
      <c r="C951" s="23"/>
      <c r="D951" s="23"/>
      <c r="E951" s="23"/>
      <c r="F951" s="18"/>
      <c r="G951" s="18"/>
      <c r="H951" s="18"/>
    </row>
    <row r="952">
      <c r="A952" s="18"/>
      <c r="B952" s="23"/>
      <c r="C952" s="23"/>
      <c r="D952" s="23"/>
      <c r="E952" s="23"/>
      <c r="F952" s="18"/>
      <c r="G952" s="18"/>
      <c r="H952" s="18"/>
    </row>
    <row r="953">
      <c r="A953" s="18"/>
      <c r="B953" s="23"/>
      <c r="C953" s="23"/>
      <c r="D953" s="23"/>
      <c r="E953" s="23"/>
      <c r="F953" s="18"/>
      <c r="G953" s="18"/>
      <c r="H953" s="18"/>
    </row>
    <row r="954">
      <c r="A954" s="18"/>
      <c r="B954" s="23"/>
      <c r="C954" s="23"/>
      <c r="D954" s="23"/>
      <c r="E954" s="23"/>
      <c r="F954" s="18"/>
      <c r="G954" s="18"/>
      <c r="H954" s="18"/>
    </row>
    <row r="955">
      <c r="A955" s="18"/>
      <c r="B955" s="23"/>
      <c r="C955" s="23"/>
      <c r="D955" s="23"/>
      <c r="E955" s="23"/>
      <c r="F955" s="18"/>
      <c r="G955" s="18"/>
      <c r="H955" s="18"/>
    </row>
    <row r="956">
      <c r="A956" s="18"/>
      <c r="B956" s="23"/>
      <c r="C956" s="23"/>
      <c r="D956" s="23"/>
      <c r="E956" s="23"/>
      <c r="F956" s="18"/>
      <c r="G956" s="18"/>
      <c r="H956" s="18"/>
    </row>
    <row r="957">
      <c r="A957" s="18"/>
      <c r="B957" s="23"/>
      <c r="C957" s="23"/>
      <c r="D957" s="23"/>
      <c r="E957" s="23"/>
      <c r="F957" s="18"/>
      <c r="G957" s="18"/>
      <c r="H957" s="18"/>
    </row>
    <row r="958">
      <c r="A958" s="18"/>
      <c r="B958" s="23"/>
      <c r="C958" s="23"/>
      <c r="D958" s="23"/>
      <c r="E958" s="23"/>
      <c r="F958" s="18"/>
      <c r="G958" s="18"/>
      <c r="H958" s="18"/>
    </row>
    <row r="959">
      <c r="A959" s="18"/>
      <c r="B959" s="23"/>
      <c r="C959" s="23"/>
      <c r="D959" s="23"/>
      <c r="E959" s="23"/>
      <c r="F959" s="18"/>
      <c r="G959" s="18"/>
      <c r="H959" s="18"/>
    </row>
    <row r="960">
      <c r="A960" s="18"/>
      <c r="B960" s="23"/>
      <c r="C960" s="23"/>
      <c r="D960" s="23"/>
      <c r="E960" s="23"/>
      <c r="F960" s="18"/>
      <c r="G960" s="18"/>
      <c r="H960" s="18"/>
    </row>
    <row r="961">
      <c r="A961" s="18"/>
      <c r="B961" s="23"/>
      <c r="C961" s="23"/>
      <c r="D961" s="23"/>
      <c r="E961" s="23"/>
      <c r="F961" s="18"/>
      <c r="G961" s="18"/>
      <c r="H961" s="18"/>
    </row>
    <row r="962">
      <c r="A962" s="18"/>
      <c r="B962" s="23"/>
      <c r="C962" s="23"/>
      <c r="D962" s="23"/>
      <c r="E962" s="23"/>
      <c r="F962" s="18"/>
      <c r="G962" s="18"/>
      <c r="H962" s="18"/>
    </row>
    <row r="963">
      <c r="A963" s="18"/>
      <c r="B963" s="23"/>
      <c r="C963" s="23"/>
      <c r="D963" s="23"/>
      <c r="E963" s="23"/>
      <c r="F963" s="18"/>
      <c r="G963" s="18"/>
      <c r="H963" s="18"/>
    </row>
    <row r="964">
      <c r="A964" s="18"/>
      <c r="B964" s="23"/>
      <c r="C964" s="23"/>
      <c r="D964" s="23"/>
      <c r="E964" s="23"/>
      <c r="F964" s="18"/>
      <c r="G964" s="18"/>
      <c r="H964" s="18"/>
    </row>
    <row r="965">
      <c r="A965" s="18"/>
      <c r="B965" s="23"/>
      <c r="C965" s="23"/>
      <c r="D965" s="23"/>
      <c r="E965" s="23"/>
      <c r="F965" s="18"/>
      <c r="G965" s="18"/>
      <c r="H965" s="18"/>
    </row>
    <row r="966">
      <c r="A966" s="18"/>
      <c r="B966" s="23"/>
      <c r="C966" s="23"/>
      <c r="D966" s="23"/>
      <c r="E966" s="23"/>
      <c r="F966" s="18"/>
      <c r="G966" s="18"/>
      <c r="H966" s="18"/>
    </row>
    <row r="967">
      <c r="A967" s="18"/>
      <c r="B967" s="23"/>
      <c r="C967" s="23"/>
      <c r="D967" s="23"/>
      <c r="E967" s="23"/>
      <c r="F967" s="18"/>
      <c r="G967" s="18"/>
      <c r="H967" s="18"/>
    </row>
    <row r="968">
      <c r="A968" s="18"/>
      <c r="B968" s="23"/>
      <c r="C968" s="23"/>
      <c r="D968" s="23"/>
      <c r="E968" s="23"/>
      <c r="F968" s="18"/>
      <c r="G968" s="18"/>
      <c r="H968" s="18"/>
    </row>
    <row r="969">
      <c r="A969" s="18"/>
      <c r="B969" s="23"/>
      <c r="C969" s="23"/>
      <c r="D969" s="23"/>
      <c r="E969" s="23"/>
      <c r="F969" s="18"/>
      <c r="G969" s="18"/>
      <c r="H969" s="18"/>
    </row>
    <row r="970">
      <c r="A970" s="18"/>
      <c r="B970" s="23"/>
      <c r="C970" s="23"/>
      <c r="D970" s="23"/>
      <c r="E970" s="23"/>
      <c r="F970" s="18"/>
      <c r="G970" s="18"/>
      <c r="H970" s="18"/>
    </row>
    <row r="971">
      <c r="A971" s="18"/>
      <c r="B971" s="23"/>
      <c r="C971" s="23"/>
      <c r="D971" s="23"/>
      <c r="E971" s="23"/>
      <c r="F971" s="18"/>
      <c r="G971" s="18"/>
      <c r="H971" s="18"/>
    </row>
    <row r="972">
      <c r="A972" s="18"/>
      <c r="B972" s="23"/>
      <c r="C972" s="23"/>
      <c r="D972" s="23"/>
      <c r="E972" s="23"/>
      <c r="F972" s="18"/>
      <c r="G972" s="18"/>
      <c r="H972" s="18"/>
    </row>
    <row r="973">
      <c r="A973" s="18"/>
      <c r="B973" s="23"/>
      <c r="C973" s="23"/>
      <c r="D973" s="23"/>
      <c r="E973" s="23"/>
      <c r="F973" s="18"/>
      <c r="G973" s="18"/>
      <c r="H973" s="18"/>
    </row>
    <row r="974">
      <c r="A974" s="18"/>
      <c r="B974" s="23"/>
      <c r="C974" s="23"/>
      <c r="D974" s="23"/>
      <c r="E974" s="23"/>
      <c r="F974" s="18"/>
      <c r="G974" s="18"/>
      <c r="H974" s="18"/>
    </row>
    <row r="975">
      <c r="A975" s="18"/>
      <c r="B975" s="23"/>
      <c r="C975" s="23"/>
      <c r="D975" s="23"/>
      <c r="E975" s="23"/>
      <c r="F975" s="18"/>
      <c r="G975" s="18"/>
      <c r="H975" s="18"/>
    </row>
    <row r="976">
      <c r="A976" s="18"/>
      <c r="B976" s="23"/>
      <c r="C976" s="23"/>
      <c r="D976" s="23"/>
      <c r="E976" s="23"/>
      <c r="F976" s="18"/>
      <c r="G976" s="18"/>
      <c r="H976" s="18"/>
    </row>
    <row r="977">
      <c r="A977" s="18"/>
      <c r="B977" s="23"/>
      <c r="C977" s="23"/>
      <c r="D977" s="23"/>
      <c r="E977" s="23"/>
      <c r="F977" s="18"/>
      <c r="G977" s="18"/>
      <c r="H977" s="18"/>
    </row>
    <row r="978">
      <c r="A978" s="18"/>
      <c r="B978" s="23"/>
      <c r="C978" s="23"/>
      <c r="D978" s="23"/>
      <c r="E978" s="23"/>
      <c r="F978" s="18"/>
      <c r="G978" s="18"/>
      <c r="H978" s="18"/>
    </row>
    <row r="979">
      <c r="A979" s="18"/>
      <c r="B979" s="23"/>
      <c r="C979" s="23"/>
      <c r="D979" s="23"/>
      <c r="E979" s="23"/>
      <c r="F979" s="18"/>
      <c r="G979" s="18"/>
      <c r="H979" s="18"/>
    </row>
    <row r="980">
      <c r="A980" s="18"/>
      <c r="B980" s="23"/>
      <c r="C980" s="23"/>
      <c r="D980" s="23"/>
      <c r="E980" s="23"/>
      <c r="F980" s="18"/>
      <c r="G980" s="18"/>
      <c r="H980" s="18"/>
    </row>
    <row r="981">
      <c r="A981" s="18"/>
      <c r="B981" s="23"/>
      <c r="C981" s="23"/>
      <c r="D981" s="23"/>
      <c r="E981" s="23"/>
      <c r="F981" s="18"/>
      <c r="G981" s="18"/>
      <c r="H981" s="18"/>
    </row>
    <row r="982">
      <c r="A982" s="18"/>
      <c r="B982" s="23"/>
      <c r="C982" s="23"/>
      <c r="D982" s="23"/>
      <c r="E982" s="23"/>
      <c r="F982" s="18"/>
      <c r="G982" s="18"/>
      <c r="H982" s="18"/>
    </row>
    <row r="983">
      <c r="A983" s="18"/>
      <c r="B983" s="23"/>
      <c r="C983" s="23"/>
      <c r="D983" s="23"/>
      <c r="E983" s="23"/>
      <c r="F983" s="18"/>
      <c r="G983" s="18"/>
      <c r="H983" s="18"/>
    </row>
    <row r="984">
      <c r="A984" s="18"/>
      <c r="B984" s="23"/>
      <c r="C984" s="23"/>
      <c r="D984" s="23"/>
      <c r="E984" s="23"/>
      <c r="F984" s="18"/>
      <c r="G984" s="18"/>
      <c r="H984" s="18"/>
    </row>
    <row r="985">
      <c r="A985" s="18"/>
      <c r="B985" s="23"/>
      <c r="C985" s="23"/>
      <c r="D985" s="23"/>
      <c r="E985" s="23"/>
      <c r="F985" s="18"/>
      <c r="G985" s="18"/>
      <c r="H985" s="18"/>
    </row>
    <row r="986">
      <c r="A986" s="18"/>
      <c r="B986" s="23"/>
      <c r="C986" s="23"/>
      <c r="D986" s="23"/>
      <c r="E986" s="23"/>
      <c r="F986" s="18"/>
      <c r="G986" s="18"/>
      <c r="H986" s="18"/>
    </row>
    <row r="987">
      <c r="A987" s="18"/>
      <c r="B987" s="23"/>
      <c r="C987" s="23"/>
      <c r="D987" s="23"/>
      <c r="E987" s="23"/>
      <c r="F987" s="18"/>
      <c r="G987" s="18"/>
      <c r="H987" s="18"/>
    </row>
    <row r="988">
      <c r="A988" s="18"/>
      <c r="B988" s="23"/>
      <c r="C988" s="23"/>
      <c r="D988" s="23"/>
      <c r="E988" s="23"/>
      <c r="F988" s="18"/>
      <c r="G988" s="18"/>
      <c r="H988" s="18"/>
    </row>
    <row r="989">
      <c r="A989" s="18"/>
      <c r="B989" s="23"/>
      <c r="C989" s="23"/>
      <c r="D989" s="23"/>
      <c r="E989" s="23"/>
      <c r="F989" s="18"/>
      <c r="G989" s="18"/>
      <c r="H989" s="18"/>
    </row>
    <row r="990">
      <c r="A990" s="18"/>
      <c r="B990" s="23"/>
      <c r="C990" s="23"/>
      <c r="D990" s="23"/>
      <c r="E990" s="23"/>
      <c r="F990" s="18"/>
      <c r="G990" s="18"/>
      <c r="H990" s="18"/>
    </row>
    <row r="991">
      <c r="A991" s="18"/>
      <c r="B991" s="23"/>
      <c r="C991" s="23"/>
      <c r="D991" s="23"/>
      <c r="E991" s="23"/>
      <c r="F991" s="18"/>
      <c r="G991" s="18"/>
      <c r="H991" s="18"/>
    </row>
    <row r="992">
      <c r="A992" s="18"/>
      <c r="B992" s="23"/>
      <c r="C992" s="23"/>
      <c r="D992" s="23"/>
      <c r="E992" s="23"/>
      <c r="F992" s="18"/>
      <c r="G992" s="18"/>
      <c r="H992" s="18"/>
    </row>
    <row r="993">
      <c r="A993" s="18"/>
      <c r="B993" s="23"/>
      <c r="C993" s="23"/>
      <c r="D993" s="23"/>
      <c r="E993" s="23"/>
      <c r="F993" s="18"/>
      <c r="G993" s="18"/>
      <c r="H993" s="18"/>
    </row>
    <row r="994">
      <c r="A994" s="18"/>
      <c r="B994" s="23"/>
      <c r="C994" s="23"/>
      <c r="D994" s="23"/>
      <c r="E994" s="23"/>
      <c r="F994" s="18"/>
      <c r="G994" s="18"/>
      <c r="H994" s="18"/>
    </row>
    <row r="995">
      <c r="A995" s="18"/>
      <c r="B995" s="23"/>
      <c r="C995" s="23"/>
      <c r="D995" s="23"/>
      <c r="E995" s="23"/>
      <c r="F995" s="18"/>
      <c r="G995" s="18"/>
      <c r="H995" s="18"/>
    </row>
    <row r="996">
      <c r="A996" s="18"/>
      <c r="B996" s="23"/>
      <c r="C996" s="23"/>
      <c r="D996" s="23"/>
      <c r="E996" s="23"/>
      <c r="F996" s="18"/>
      <c r="G996" s="18"/>
      <c r="H996" s="18"/>
    </row>
    <row r="997">
      <c r="A997" s="18"/>
      <c r="B997" s="23"/>
      <c r="C997" s="23"/>
      <c r="D997" s="23"/>
      <c r="E997" s="23"/>
      <c r="F997" s="18"/>
      <c r="G997" s="18"/>
      <c r="H997" s="18"/>
    </row>
    <row r="998">
      <c r="A998" s="18"/>
      <c r="B998" s="23"/>
      <c r="C998" s="23"/>
      <c r="D998" s="23"/>
      <c r="E998" s="23"/>
      <c r="F998" s="18"/>
      <c r="G998" s="18"/>
      <c r="H998" s="18"/>
    </row>
    <row r="999">
      <c r="A999" s="18"/>
      <c r="B999" s="23"/>
      <c r="C999" s="23"/>
      <c r="D999" s="23"/>
      <c r="E999" s="23"/>
      <c r="F999" s="18"/>
      <c r="G999" s="18"/>
      <c r="H999" s="18"/>
    </row>
    <row r="1000">
      <c r="A1000" s="18"/>
      <c r="B1000" s="23"/>
      <c r="C1000" s="23"/>
      <c r="D1000" s="23"/>
      <c r="E1000" s="23"/>
      <c r="F1000" s="18"/>
      <c r="G1000" s="18"/>
      <c r="H1000" s="18"/>
    </row>
    <row r="1001">
      <c r="A1001" s="18"/>
      <c r="B1001" s="23"/>
      <c r="C1001" s="23"/>
      <c r="D1001" s="23"/>
      <c r="E1001" s="23"/>
      <c r="F1001" s="18"/>
      <c r="G1001" s="18"/>
      <c r="H1001" s="18"/>
    </row>
    <row r="1002">
      <c r="A1002" s="18"/>
      <c r="B1002" s="23"/>
      <c r="C1002" s="23"/>
      <c r="D1002" s="23"/>
      <c r="E1002" s="23"/>
      <c r="F1002" s="18"/>
      <c r="G1002" s="18"/>
      <c r="H1002" s="1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6" width="9.5"/>
  </cols>
  <sheetData>
    <row r="1">
      <c r="A1" s="25" t="s">
        <v>1003</v>
      </c>
      <c r="B1" s="2"/>
      <c r="C1" s="2"/>
      <c r="D1" s="2"/>
      <c r="E1" s="2"/>
      <c r="F1" s="2"/>
      <c r="G1" s="2"/>
      <c r="H1" s="2"/>
      <c r="I1" s="2"/>
      <c r="J1" s="2"/>
      <c r="K1" s="2"/>
      <c r="L1" s="2"/>
      <c r="M1" s="2"/>
      <c r="N1" s="2"/>
      <c r="O1" s="2"/>
      <c r="P1" s="2"/>
      <c r="Q1" s="2"/>
      <c r="R1" s="2"/>
      <c r="S1" s="2"/>
      <c r="T1" s="2"/>
      <c r="U1" s="2"/>
      <c r="V1" s="2"/>
      <c r="W1" s="2"/>
      <c r="X1" s="2"/>
      <c r="Y1" s="2"/>
      <c r="Z1" s="3"/>
      <c r="AA1" s="26"/>
      <c r="AB1" s="26"/>
      <c r="AC1" s="26"/>
      <c r="AD1" s="26"/>
      <c r="AE1" s="26"/>
    </row>
    <row r="2">
      <c r="A2" s="27" t="s">
        <v>1004</v>
      </c>
      <c r="B2" s="28" t="s">
        <v>1005</v>
      </c>
      <c r="C2" s="2"/>
      <c r="D2" s="2"/>
      <c r="E2" s="2"/>
      <c r="F2" s="3"/>
      <c r="G2" s="29" t="s">
        <v>1006</v>
      </c>
      <c r="H2" s="2"/>
      <c r="I2" s="2"/>
      <c r="J2" s="2"/>
      <c r="K2" s="2"/>
      <c r="L2" s="30" t="s">
        <v>1007</v>
      </c>
      <c r="M2" s="2"/>
      <c r="N2" s="2"/>
      <c r="O2" s="2"/>
      <c r="P2" s="3"/>
      <c r="Q2" s="31">
        <v>45413.0</v>
      </c>
      <c r="R2" s="2"/>
      <c r="S2" s="2"/>
      <c r="T2" s="2"/>
      <c r="U2" s="3"/>
      <c r="V2" s="32" t="s">
        <v>1008</v>
      </c>
      <c r="W2" s="2"/>
      <c r="X2" s="2"/>
      <c r="Y2" s="2"/>
      <c r="Z2" s="2"/>
    </row>
    <row r="3">
      <c r="A3" s="27" t="s">
        <v>1009</v>
      </c>
      <c r="B3" s="33" t="s">
        <v>1005</v>
      </c>
      <c r="C3" s="33" t="s">
        <v>1010</v>
      </c>
      <c r="D3" s="33" t="s">
        <v>1006</v>
      </c>
      <c r="E3" s="33" t="s">
        <v>1011</v>
      </c>
      <c r="F3" s="33" t="s">
        <v>1007</v>
      </c>
      <c r="G3" s="34" t="s">
        <v>1005</v>
      </c>
      <c r="H3" s="34" t="s">
        <v>1010</v>
      </c>
      <c r="I3" s="34" t="s">
        <v>1006</v>
      </c>
      <c r="J3" s="34" t="s">
        <v>1011</v>
      </c>
      <c r="K3" s="34" t="s">
        <v>1007</v>
      </c>
      <c r="L3" s="35" t="s">
        <v>1005</v>
      </c>
      <c r="M3" s="35" t="s">
        <v>1010</v>
      </c>
      <c r="N3" s="35" t="s">
        <v>1006</v>
      </c>
      <c r="O3" s="35" t="s">
        <v>1011</v>
      </c>
      <c r="P3" s="35" t="s">
        <v>1007</v>
      </c>
      <c r="Q3" s="36" t="s">
        <v>1005</v>
      </c>
      <c r="R3" s="36" t="s">
        <v>1010</v>
      </c>
      <c r="S3" s="36" t="s">
        <v>1006</v>
      </c>
      <c r="T3" s="36" t="s">
        <v>1011</v>
      </c>
      <c r="U3" s="36" t="s">
        <v>1007</v>
      </c>
      <c r="V3" s="36" t="s">
        <v>1005</v>
      </c>
      <c r="W3" s="36" t="s">
        <v>1010</v>
      </c>
      <c r="X3" s="36" t="s">
        <v>1006</v>
      </c>
      <c r="Y3" s="37" t="s">
        <v>1011</v>
      </c>
      <c r="Z3" s="37" t="s">
        <v>1007</v>
      </c>
    </row>
    <row r="4">
      <c r="A4" s="27" t="s">
        <v>1012</v>
      </c>
      <c r="B4" s="38" t="s">
        <v>1013</v>
      </c>
      <c r="C4" s="38" t="s">
        <v>1014</v>
      </c>
      <c r="D4" s="38" t="s">
        <v>1015</v>
      </c>
      <c r="E4" s="38" t="s">
        <v>1016</v>
      </c>
      <c r="F4" s="38" t="s">
        <v>1017</v>
      </c>
      <c r="G4" s="38" t="s">
        <v>1018</v>
      </c>
      <c r="H4" s="38" t="s">
        <v>1019</v>
      </c>
      <c r="I4" s="38" t="s">
        <v>1020</v>
      </c>
      <c r="J4" s="38" t="s">
        <v>1021</v>
      </c>
      <c r="K4" s="38" t="s">
        <v>1022</v>
      </c>
      <c r="L4" s="38" t="s">
        <v>1023</v>
      </c>
      <c r="M4" s="38" t="s">
        <v>1024</v>
      </c>
      <c r="N4" s="38" t="s">
        <v>1025</v>
      </c>
      <c r="O4" s="38" t="s">
        <v>1026</v>
      </c>
      <c r="P4" s="38" t="s">
        <v>1027</v>
      </c>
      <c r="Q4" s="38" t="s">
        <v>1028</v>
      </c>
      <c r="R4" s="38" t="s">
        <v>1029</v>
      </c>
      <c r="S4" s="38" t="s">
        <v>1030</v>
      </c>
      <c r="T4" s="38" t="s">
        <v>1031</v>
      </c>
      <c r="U4" s="38" t="s">
        <v>1032</v>
      </c>
      <c r="V4" s="38" t="s">
        <v>1033</v>
      </c>
      <c r="W4" s="38" t="s">
        <v>1034</v>
      </c>
      <c r="X4" s="38" t="s">
        <v>1035</v>
      </c>
      <c r="Y4" s="38" t="s">
        <v>1036</v>
      </c>
      <c r="Z4" s="38" t="s">
        <v>1037</v>
      </c>
    </row>
    <row r="5">
      <c r="A5" s="39" t="s">
        <v>1038</v>
      </c>
      <c r="B5" s="40">
        <f t="shared" ref="B5:Z5" si="1">COUNTIFS(B8:B53,"CORRECT")</f>
        <v>26</v>
      </c>
      <c r="C5" s="40">
        <f t="shared" si="1"/>
        <v>25</v>
      </c>
      <c r="D5" s="40">
        <f t="shared" si="1"/>
        <v>25</v>
      </c>
      <c r="E5" s="40">
        <f t="shared" si="1"/>
        <v>25</v>
      </c>
      <c r="F5" s="40">
        <f t="shared" si="1"/>
        <v>24</v>
      </c>
      <c r="G5" s="40">
        <f t="shared" si="1"/>
        <v>25</v>
      </c>
      <c r="H5" s="40">
        <f t="shared" si="1"/>
        <v>25</v>
      </c>
      <c r="I5" s="40">
        <f t="shared" si="1"/>
        <v>25</v>
      </c>
      <c r="J5" s="40">
        <f t="shared" si="1"/>
        <v>25</v>
      </c>
      <c r="K5" s="40">
        <f t="shared" si="1"/>
        <v>25</v>
      </c>
      <c r="L5" s="40">
        <f t="shared" si="1"/>
        <v>25</v>
      </c>
      <c r="M5" s="40">
        <f t="shared" si="1"/>
        <v>25</v>
      </c>
      <c r="N5" s="40">
        <f t="shared" si="1"/>
        <v>25</v>
      </c>
      <c r="O5" s="40">
        <f t="shared" si="1"/>
        <v>23</v>
      </c>
      <c r="P5" s="40">
        <f t="shared" si="1"/>
        <v>22</v>
      </c>
      <c r="Q5" s="40">
        <f t="shared" si="1"/>
        <v>26</v>
      </c>
      <c r="R5" s="40">
        <f t="shared" si="1"/>
        <v>25</v>
      </c>
      <c r="S5" s="40">
        <f t="shared" si="1"/>
        <v>23</v>
      </c>
      <c r="T5" s="40">
        <f t="shared" si="1"/>
        <v>22</v>
      </c>
      <c r="U5" s="40">
        <f t="shared" si="1"/>
        <v>21</v>
      </c>
      <c r="V5" s="40">
        <f t="shared" si="1"/>
        <v>26</v>
      </c>
      <c r="W5" s="40">
        <f t="shared" si="1"/>
        <v>25</v>
      </c>
      <c r="X5" s="40">
        <f t="shared" si="1"/>
        <v>25</v>
      </c>
      <c r="Y5" s="40">
        <f t="shared" si="1"/>
        <v>18</v>
      </c>
      <c r="Z5" s="40">
        <f t="shared" si="1"/>
        <v>21</v>
      </c>
    </row>
    <row r="6">
      <c r="A6" s="39" t="s">
        <v>1039</v>
      </c>
      <c r="B6" s="39">
        <v>46.0</v>
      </c>
      <c r="C6" s="39">
        <v>46.0</v>
      </c>
      <c r="D6" s="39">
        <v>46.0</v>
      </c>
      <c r="E6" s="39">
        <v>46.0</v>
      </c>
      <c r="F6" s="39">
        <v>46.0</v>
      </c>
      <c r="G6" s="39">
        <v>46.0</v>
      </c>
      <c r="H6" s="39">
        <v>46.0</v>
      </c>
      <c r="I6" s="39">
        <v>46.0</v>
      </c>
      <c r="J6" s="39">
        <v>46.0</v>
      </c>
      <c r="K6" s="39">
        <v>46.0</v>
      </c>
      <c r="L6" s="39">
        <v>46.0</v>
      </c>
      <c r="M6" s="39">
        <v>46.0</v>
      </c>
      <c r="N6" s="39">
        <v>46.0</v>
      </c>
      <c r="O6" s="39">
        <v>46.0</v>
      </c>
      <c r="P6" s="39">
        <v>46.0</v>
      </c>
      <c r="Q6" s="39">
        <v>46.0</v>
      </c>
      <c r="R6" s="39">
        <v>46.0</v>
      </c>
      <c r="S6" s="39">
        <v>46.0</v>
      </c>
      <c r="T6" s="39">
        <v>46.0</v>
      </c>
      <c r="U6" s="39">
        <v>46.0</v>
      </c>
      <c r="V6" s="39">
        <v>46.0</v>
      </c>
      <c r="W6" s="39">
        <v>46.0</v>
      </c>
      <c r="X6" s="39">
        <v>46.0</v>
      </c>
      <c r="Y6" s="39">
        <v>46.0</v>
      </c>
      <c r="Z6" s="39">
        <v>46.0</v>
      </c>
    </row>
    <row r="7">
      <c r="A7" s="41" t="s">
        <v>1040</v>
      </c>
      <c r="B7" s="42">
        <f t="shared" ref="B7:Z7" si="2">B5/B6</f>
        <v>0.5652173913</v>
      </c>
      <c r="C7" s="42">
        <f t="shared" si="2"/>
        <v>0.5434782609</v>
      </c>
      <c r="D7" s="42">
        <f t="shared" si="2"/>
        <v>0.5434782609</v>
      </c>
      <c r="E7" s="42">
        <f t="shared" si="2"/>
        <v>0.5434782609</v>
      </c>
      <c r="F7" s="42">
        <f t="shared" si="2"/>
        <v>0.5217391304</v>
      </c>
      <c r="G7" s="42">
        <f t="shared" si="2"/>
        <v>0.5434782609</v>
      </c>
      <c r="H7" s="42">
        <f t="shared" si="2"/>
        <v>0.5434782609</v>
      </c>
      <c r="I7" s="42">
        <f t="shared" si="2"/>
        <v>0.5434782609</v>
      </c>
      <c r="J7" s="42">
        <f t="shared" si="2"/>
        <v>0.5434782609</v>
      </c>
      <c r="K7" s="42">
        <f t="shared" si="2"/>
        <v>0.5434782609</v>
      </c>
      <c r="L7" s="42">
        <f t="shared" si="2"/>
        <v>0.5434782609</v>
      </c>
      <c r="M7" s="42">
        <f t="shared" si="2"/>
        <v>0.5434782609</v>
      </c>
      <c r="N7" s="42">
        <f t="shared" si="2"/>
        <v>0.5434782609</v>
      </c>
      <c r="O7" s="42">
        <f t="shared" si="2"/>
        <v>0.5</v>
      </c>
      <c r="P7" s="42">
        <f t="shared" si="2"/>
        <v>0.4782608696</v>
      </c>
      <c r="Q7" s="42">
        <f t="shared" si="2"/>
        <v>0.5652173913</v>
      </c>
      <c r="R7" s="42">
        <f t="shared" si="2"/>
        <v>0.5434782609</v>
      </c>
      <c r="S7" s="42">
        <f t="shared" si="2"/>
        <v>0.5</v>
      </c>
      <c r="T7" s="42">
        <f t="shared" si="2"/>
        <v>0.4782608696</v>
      </c>
      <c r="U7" s="42">
        <f t="shared" si="2"/>
        <v>0.4565217391</v>
      </c>
      <c r="V7" s="42">
        <f t="shared" si="2"/>
        <v>0.5652173913</v>
      </c>
      <c r="W7" s="42">
        <f t="shared" si="2"/>
        <v>0.5434782609</v>
      </c>
      <c r="X7" s="42">
        <f t="shared" si="2"/>
        <v>0.5434782609</v>
      </c>
      <c r="Y7" s="42">
        <f t="shared" si="2"/>
        <v>0.3913043478</v>
      </c>
      <c r="Z7" s="42">
        <f t="shared" si="2"/>
        <v>0.4565217391</v>
      </c>
      <c r="AA7" s="43">
        <f>AVERAGE(A7:Z7)</f>
        <v>0.5234782609</v>
      </c>
    </row>
    <row r="8">
      <c r="A8" s="44">
        <v>1.0</v>
      </c>
      <c r="B8" s="45" t="s">
        <v>1041</v>
      </c>
      <c r="C8" s="46" t="s">
        <v>1042</v>
      </c>
      <c r="D8" s="46" t="s">
        <v>1041</v>
      </c>
      <c r="E8" s="46" t="s">
        <v>1041</v>
      </c>
      <c r="F8" s="46" t="s">
        <v>1041</v>
      </c>
      <c r="G8" s="45" t="s">
        <v>1041</v>
      </c>
      <c r="H8" s="46" t="s">
        <v>1041</v>
      </c>
      <c r="I8" s="46" t="s">
        <v>1041</v>
      </c>
      <c r="J8" s="46" t="s">
        <v>1041</v>
      </c>
      <c r="K8" s="46" t="s">
        <v>1041</v>
      </c>
      <c r="L8" s="45" t="s">
        <v>1041</v>
      </c>
      <c r="M8" s="46" t="s">
        <v>1041</v>
      </c>
      <c r="N8" s="46" t="s">
        <v>1041</v>
      </c>
      <c r="O8" s="46" t="s">
        <v>1041</v>
      </c>
      <c r="P8" s="47" t="s">
        <v>1041</v>
      </c>
      <c r="Q8" s="46" t="s">
        <v>1041</v>
      </c>
      <c r="R8" s="46" t="s">
        <v>1041</v>
      </c>
      <c r="S8" s="46" t="s">
        <v>1041</v>
      </c>
      <c r="T8" s="46" t="s">
        <v>1041</v>
      </c>
      <c r="U8" s="46" t="s">
        <v>1042</v>
      </c>
      <c r="V8" s="45" t="s">
        <v>1041</v>
      </c>
      <c r="W8" s="46" t="s">
        <v>1041</v>
      </c>
      <c r="X8" s="46" t="s">
        <v>1041</v>
      </c>
      <c r="Y8" s="48" t="s">
        <v>1041</v>
      </c>
      <c r="Z8" s="49" t="s">
        <v>1041</v>
      </c>
    </row>
    <row r="9">
      <c r="A9" s="44">
        <v>2.0</v>
      </c>
      <c r="B9" s="50" t="s">
        <v>1042</v>
      </c>
      <c r="C9" s="51" t="s">
        <v>1042</v>
      </c>
      <c r="D9" s="51" t="s">
        <v>1042</v>
      </c>
      <c r="E9" s="51" t="s">
        <v>1042</v>
      </c>
      <c r="F9" s="51" t="s">
        <v>1042</v>
      </c>
      <c r="G9" s="50" t="s">
        <v>1042</v>
      </c>
      <c r="H9" s="51" t="s">
        <v>1042</v>
      </c>
      <c r="I9" s="51" t="s">
        <v>1042</v>
      </c>
      <c r="J9" s="51" t="s">
        <v>1042</v>
      </c>
      <c r="K9" s="51" t="s">
        <v>1042</v>
      </c>
      <c r="L9" s="50" t="s">
        <v>1042</v>
      </c>
      <c r="M9" s="51" t="s">
        <v>1042</v>
      </c>
      <c r="N9" s="51" t="s">
        <v>1042</v>
      </c>
      <c r="O9" s="51" t="s">
        <v>1042</v>
      </c>
      <c r="P9" s="52" t="s">
        <v>1042</v>
      </c>
      <c r="Q9" s="51" t="s">
        <v>1042</v>
      </c>
      <c r="R9" s="51" t="s">
        <v>1042</v>
      </c>
      <c r="S9" s="51" t="s">
        <v>1042</v>
      </c>
      <c r="T9" s="51" t="s">
        <v>1042</v>
      </c>
      <c r="U9" s="51" t="s">
        <v>1041</v>
      </c>
      <c r="V9" s="50" t="s">
        <v>1042</v>
      </c>
      <c r="W9" s="51" t="s">
        <v>1042</v>
      </c>
      <c r="X9" s="51" t="s">
        <v>1042</v>
      </c>
      <c r="Y9" s="53" t="s">
        <v>1042</v>
      </c>
      <c r="Z9" s="54" t="s">
        <v>1042</v>
      </c>
    </row>
    <row r="10">
      <c r="A10" s="44">
        <v>3.0</v>
      </c>
      <c r="B10" s="50" t="s">
        <v>1042</v>
      </c>
      <c r="C10" s="51" t="s">
        <v>1042</v>
      </c>
      <c r="D10" s="51" t="s">
        <v>1042</v>
      </c>
      <c r="E10" s="51" t="s">
        <v>1042</v>
      </c>
      <c r="F10" s="51" t="s">
        <v>1042</v>
      </c>
      <c r="G10" s="50" t="s">
        <v>1042</v>
      </c>
      <c r="H10" s="51" t="s">
        <v>1042</v>
      </c>
      <c r="I10" s="51" t="s">
        <v>1042</v>
      </c>
      <c r="J10" s="51" t="s">
        <v>1042</v>
      </c>
      <c r="K10" s="51" t="s">
        <v>1042</v>
      </c>
      <c r="L10" s="50" t="s">
        <v>1042</v>
      </c>
      <c r="M10" s="51" t="s">
        <v>1042</v>
      </c>
      <c r="N10" s="51" t="s">
        <v>1042</v>
      </c>
      <c r="O10" s="51" t="s">
        <v>1042</v>
      </c>
      <c r="P10" s="52" t="s">
        <v>1042</v>
      </c>
      <c r="Q10" s="51" t="s">
        <v>1042</v>
      </c>
      <c r="R10" s="51" t="s">
        <v>1042</v>
      </c>
      <c r="S10" s="51" t="s">
        <v>1042</v>
      </c>
      <c r="T10" s="51" t="s">
        <v>1042</v>
      </c>
      <c r="U10" s="51" t="s">
        <v>1042</v>
      </c>
      <c r="V10" s="50" t="s">
        <v>1042</v>
      </c>
      <c r="W10" s="51" t="s">
        <v>1042</v>
      </c>
      <c r="X10" s="51" t="s">
        <v>1042</v>
      </c>
      <c r="Y10" s="53" t="s">
        <v>1042</v>
      </c>
      <c r="Z10" s="54" t="s">
        <v>1042</v>
      </c>
    </row>
    <row r="11">
      <c r="A11" s="44">
        <v>4.0</v>
      </c>
      <c r="B11" s="50" t="s">
        <v>1041</v>
      </c>
      <c r="C11" s="51" t="s">
        <v>1042</v>
      </c>
      <c r="D11" s="51" t="s">
        <v>1041</v>
      </c>
      <c r="E11" s="51" t="s">
        <v>1041</v>
      </c>
      <c r="F11" s="51" t="s">
        <v>1041</v>
      </c>
      <c r="G11" s="50" t="s">
        <v>1041</v>
      </c>
      <c r="H11" s="51" t="s">
        <v>1041</v>
      </c>
      <c r="I11" s="51" t="s">
        <v>1041</v>
      </c>
      <c r="J11" s="51" t="s">
        <v>1041</v>
      </c>
      <c r="K11" s="51" t="s">
        <v>1041</v>
      </c>
      <c r="L11" s="50" t="s">
        <v>1041</v>
      </c>
      <c r="M11" s="51" t="s">
        <v>1041</v>
      </c>
      <c r="N11" s="51" t="s">
        <v>1041</v>
      </c>
      <c r="O11" s="51" t="s">
        <v>1041</v>
      </c>
      <c r="P11" s="52" t="s">
        <v>1041</v>
      </c>
      <c r="Q11" s="51" t="s">
        <v>1041</v>
      </c>
      <c r="R11" s="51" t="s">
        <v>1041</v>
      </c>
      <c r="S11" s="51" t="s">
        <v>1041</v>
      </c>
      <c r="T11" s="51" t="s">
        <v>1041</v>
      </c>
      <c r="U11" s="51" t="s">
        <v>1041</v>
      </c>
      <c r="V11" s="50" t="s">
        <v>1041</v>
      </c>
      <c r="W11" s="51" t="s">
        <v>1041</v>
      </c>
      <c r="X11" s="51" t="s">
        <v>1041</v>
      </c>
      <c r="Y11" s="53" t="s">
        <v>1041</v>
      </c>
      <c r="Z11" s="54" t="s">
        <v>1042</v>
      </c>
    </row>
    <row r="12">
      <c r="A12" s="44">
        <v>5.0</v>
      </c>
      <c r="B12" s="50" t="s">
        <v>1042</v>
      </c>
      <c r="C12" s="51" t="s">
        <v>1042</v>
      </c>
      <c r="D12" s="51" t="s">
        <v>1042</v>
      </c>
      <c r="E12" s="51" t="s">
        <v>1042</v>
      </c>
      <c r="F12" s="51" t="s">
        <v>1042</v>
      </c>
      <c r="G12" s="50" t="s">
        <v>1042</v>
      </c>
      <c r="H12" s="51" t="s">
        <v>1042</v>
      </c>
      <c r="I12" s="51" t="s">
        <v>1042</v>
      </c>
      <c r="J12" s="51" t="s">
        <v>1042</v>
      </c>
      <c r="K12" s="51" t="s">
        <v>1042</v>
      </c>
      <c r="L12" s="50" t="s">
        <v>1042</v>
      </c>
      <c r="M12" s="51" t="s">
        <v>1042</v>
      </c>
      <c r="N12" s="51" t="s">
        <v>1042</v>
      </c>
      <c r="O12" s="51" t="s">
        <v>1042</v>
      </c>
      <c r="P12" s="52" t="s">
        <v>1041</v>
      </c>
      <c r="Q12" s="51" t="s">
        <v>1042</v>
      </c>
      <c r="R12" s="51" t="s">
        <v>1042</v>
      </c>
      <c r="S12" s="51" t="s">
        <v>1042</v>
      </c>
      <c r="T12" s="51" t="s">
        <v>1042</v>
      </c>
      <c r="U12" s="51" t="s">
        <v>1041</v>
      </c>
      <c r="V12" s="50" t="s">
        <v>1042</v>
      </c>
      <c r="W12" s="51" t="s">
        <v>1042</v>
      </c>
      <c r="X12" s="51" t="s">
        <v>1041</v>
      </c>
      <c r="Y12" s="53" t="s">
        <v>1041</v>
      </c>
      <c r="Z12" s="54" t="s">
        <v>1042</v>
      </c>
    </row>
    <row r="13">
      <c r="A13" s="44">
        <v>6.0</v>
      </c>
      <c r="B13" s="50" t="s">
        <v>1042</v>
      </c>
      <c r="C13" s="51" t="s">
        <v>1042</v>
      </c>
      <c r="D13" s="51" t="s">
        <v>1042</v>
      </c>
      <c r="E13" s="51" t="s">
        <v>1042</v>
      </c>
      <c r="F13" s="51" t="s">
        <v>1042</v>
      </c>
      <c r="G13" s="50" t="s">
        <v>1042</v>
      </c>
      <c r="H13" s="51" t="s">
        <v>1042</v>
      </c>
      <c r="I13" s="51" t="s">
        <v>1042</v>
      </c>
      <c r="J13" s="51" t="s">
        <v>1042</v>
      </c>
      <c r="K13" s="51" t="s">
        <v>1042</v>
      </c>
      <c r="L13" s="50" t="s">
        <v>1042</v>
      </c>
      <c r="M13" s="51" t="s">
        <v>1042</v>
      </c>
      <c r="N13" s="51" t="s">
        <v>1042</v>
      </c>
      <c r="O13" s="51" t="s">
        <v>1042</v>
      </c>
      <c r="P13" s="52" t="s">
        <v>1042</v>
      </c>
      <c r="Q13" s="51" t="s">
        <v>1042</v>
      </c>
      <c r="R13" s="51" t="s">
        <v>1042</v>
      </c>
      <c r="S13" s="51" t="s">
        <v>1042</v>
      </c>
      <c r="T13" s="51" t="s">
        <v>1042</v>
      </c>
      <c r="U13" s="51" t="s">
        <v>1041</v>
      </c>
      <c r="V13" s="50" t="s">
        <v>1042</v>
      </c>
      <c r="W13" s="51" t="s">
        <v>1042</v>
      </c>
      <c r="X13" s="51" t="s">
        <v>1042</v>
      </c>
      <c r="Y13" s="53" t="s">
        <v>1042</v>
      </c>
      <c r="Z13" s="54" t="s">
        <v>1042</v>
      </c>
    </row>
    <row r="14">
      <c r="A14" s="44">
        <v>7.0</v>
      </c>
      <c r="B14" s="50" t="s">
        <v>1042</v>
      </c>
      <c r="C14" s="51" t="s">
        <v>1041</v>
      </c>
      <c r="D14" s="51" t="s">
        <v>1042</v>
      </c>
      <c r="E14" s="51" t="s">
        <v>1042</v>
      </c>
      <c r="F14" s="51" t="s">
        <v>1042</v>
      </c>
      <c r="G14" s="50" t="s">
        <v>1042</v>
      </c>
      <c r="H14" s="51" t="s">
        <v>1042</v>
      </c>
      <c r="I14" s="51" t="s">
        <v>1042</v>
      </c>
      <c r="J14" s="51" t="s">
        <v>1042</v>
      </c>
      <c r="K14" s="51" t="s">
        <v>1042</v>
      </c>
      <c r="L14" s="50" t="s">
        <v>1042</v>
      </c>
      <c r="M14" s="51" t="s">
        <v>1042</v>
      </c>
      <c r="N14" s="51" t="s">
        <v>1042</v>
      </c>
      <c r="O14" s="51" t="s">
        <v>1042</v>
      </c>
      <c r="P14" s="52" t="s">
        <v>1042</v>
      </c>
      <c r="Q14" s="51" t="s">
        <v>1042</v>
      </c>
      <c r="R14" s="51" t="s">
        <v>1042</v>
      </c>
      <c r="S14" s="51" t="s">
        <v>1042</v>
      </c>
      <c r="T14" s="51" t="s">
        <v>1042</v>
      </c>
      <c r="U14" s="51" t="s">
        <v>1041</v>
      </c>
      <c r="V14" s="50" t="s">
        <v>1042</v>
      </c>
      <c r="W14" s="51" t="s">
        <v>1042</v>
      </c>
      <c r="X14" s="51" t="s">
        <v>1042</v>
      </c>
      <c r="Y14" s="53" t="s">
        <v>1042</v>
      </c>
      <c r="Z14" s="54" t="s">
        <v>1041</v>
      </c>
    </row>
    <row r="15">
      <c r="A15" s="44">
        <v>8.0</v>
      </c>
      <c r="B15" s="50" t="s">
        <v>1042</v>
      </c>
      <c r="C15" s="51" t="s">
        <v>1041</v>
      </c>
      <c r="D15" s="51" t="s">
        <v>1041</v>
      </c>
      <c r="E15" s="51" t="s">
        <v>1041</v>
      </c>
      <c r="F15" s="51" t="s">
        <v>1041</v>
      </c>
      <c r="G15" s="50" t="s">
        <v>1041</v>
      </c>
      <c r="H15" s="51" t="s">
        <v>1041</v>
      </c>
      <c r="I15" s="51" t="s">
        <v>1041</v>
      </c>
      <c r="J15" s="51" t="s">
        <v>1041</v>
      </c>
      <c r="K15" s="51" t="s">
        <v>1041</v>
      </c>
      <c r="L15" s="50" t="s">
        <v>1041</v>
      </c>
      <c r="M15" s="51" t="s">
        <v>1041</v>
      </c>
      <c r="N15" s="51" t="s">
        <v>1041</v>
      </c>
      <c r="O15" s="51" t="s">
        <v>1042</v>
      </c>
      <c r="P15" s="52" t="s">
        <v>1042</v>
      </c>
      <c r="Q15" s="51" t="s">
        <v>1041</v>
      </c>
      <c r="R15" s="51" t="s">
        <v>1041</v>
      </c>
      <c r="S15" s="51" t="s">
        <v>1041</v>
      </c>
      <c r="T15" s="51" t="s">
        <v>1041</v>
      </c>
      <c r="U15" s="51" t="s">
        <v>1041</v>
      </c>
      <c r="V15" s="50" t="s">
        <v>1041</v>
      </c>
      <c r="W15" s="51" t="s">
        <v>1041</v>
      </c>
      <c r="X15" s="51" t="s">
        <v>1041</v>
      </c>
      <c r="Y15" s="53" t="s">
        <v>1041</v>
      </c>
      <c r="Z15" s="54" t="s">
        <v>1041</v>
      </c>
      <c r="AA15" s="55"/>
    </row>
    <row r="16">
      <c r="A16" s="44">
        <v>9.0</v>
      </c>
      <c r="B16" s="50" t="s">
        <v>1041</v>
      </c>
      <c r="C16" s="51" t="s">
        <v>1041</v>
      </c>
      <c r="D16" s="51" t="s">
        <v>1041</v>
      </c>
      <c r="E16" s="51" t="s">
        <v>1041</v>
      </c>
      <c r="F16" s="51" t="s">
        <v>1041</v>
      </c>
      <c r="G16" s="50" t="s">
        <v>1041</v>
      </c>
      <c r="H16" s="51" t="s">
        <v>1041</v>
      </c>
      <c r="I16" s="51" t="s">
        <v>1041</v>
      </c>
      <c r="J16" s="51" t="s">
        <v>1041</v>
      </c>
      <c r="K16" s="51" t="s">
        <v>1041</v>
      </c>
      <c r="L16" s="50" t="s">
        <v>1041</v>
      </c>
      <c r="M16" s="51" t="s">
        <v>1041</v>
      </c>
      <c r="N16" s="51" t="s">
        <v>1041</v>
      </c>
      <c r="O16" s="51" t="s">
        <v>1042</v>
      </c>
      <c r="P16" s="52" t="s">
        <v>1041</v>
      </c>
      <c r="Q16" s="51" t="s">
        <v>1041</v>
      </c>
      <c r="R16" s="51" t="s">
        <v>1041</v>
      </c>
      <c r="S16" s="51" t="s">
        <v>1041</v>
      </c>
      <c r="T16" s="51" t="s">
        <v>1041</v>
      </c>
      <c r="U16" s="51" t="s">
        <v>1041</v>
      </c>
      <c r="V16" s="50" t="s">
        <v>1041</v>
      </c>
      <c r="W16" s="51" t="s">
        <v>1041</v>
      </c>
      <c r="X16" s="51" t="s">
        <v>1041</v>
      </c>
      <c r="Y16" s="53" t="s">
        <v>1042</v>
      </c>
      <c r="Z16" s="54" t="s">
        <v>1042</v>
      </c>
    </row>
    <row r="17">
      <c r="A17" s="44">
        <v>10.0</v>
      </c>
      <c r="B17" s="50" t="s">
        <v>1041</v>
      </c>
      <c r="C17" s="51" t="s">
        <v>1041</v>
      </c>
      <c r="D17" s="51" t="s">
        <v>1041</v>
      </c>
      <c r="E17" s="51" t="s">
        <v>1041</v>
      </c>
      <c r="F17" s="51" t="s">
        <v>1041</v>
      </c>
      <c r="G17" s="50" t="s">
        <v>1041</v>
      </c>
      <c r="H17" s="51" t="s">
        <v>1041</v>
      </c>
      <c r="I17" s="51" t="s">
        <v>1041</v>
      </c>
      <c r="J17" s="51" t="s">
        <v>1041</v>
      </c>
      <c r="K17" s="51" t="s">
        <v>1041</v>
      </c>
      <c r="L17" s="50" t="s">
        <v>1041</v>
      </c>
      <c r="M17" s="51" t="s">
        <v>1041</v>
      </c>
      <c r="N17" s="51" t="s">
        <v>1041</v>
      </c>
      <c r="O17" s="51" t="s">
        <v>1041</v>
      </c>
      <c r="P17" s="52" t="s">
        <v>1041</v>
      </c>
      <c r="Q17" s="51" t="s">
        <v>1041</v>
      </c>
      <c r="R17" s="51" t="s">
        <v>1041</v>
      </c>
      <c r="S17" s="51" t="s">
        <v>1041</v>
      </c>
      <c r="T17" s="51" t="s">
        <v>1041</v>
      </c>
      <c r="U17" s="51" t="s">
        <v>1041</v>
      </c>
      <c r="V17" s="50" t="s">
        <v>1041</v>
      </c>
      <c r="W17" s="51" t="s">
        <v>1041</v>
      </c>
      <c r="X17" s="51" t="s">
        <v>1041</v>
      </c>
      <c r="Y17" s="53" t="s">
        <v>1041</v>
      </c>
      <c r="Z17" s="54" t="s">
        <v>1041</v>
      </c>
    </row>
    <row r="18">
      <c r="A18" s="44">
        <v>11.0</v>
      </c>
      <c r="B18" s="50" t="s">
        <v>1041</v>
      </c>
      <c r="C18" s="51" t="s">
        <v>1041</v>
      </c>
      <c r="D18" s="51" t="s">
        <v>1041</v>
      </c>
      <c r="E18" s="51" t="s">
        <v>1041</v>
      </c>
      <c r="F18" s="51" t="s">
        <v>1041</v>
      </c>
      <c r="G18" s="50" t="s">
        <v>1041</v>
      </c>
      <c r="H18" s="51" t="s">
        <v>1041</v>
      </c>
      <c r="I18" s="51" t="s">
        <v>1041</v>
      </c>
      <c r="J18" s="51" t="s">
        <v>1041</v>
      </c>
      <c r="K18" s="51" t="s">
        <v>1041</v>
      </c>
      <c r="L18" s="50" t="s">
        <v>1041</v>
      </c>
      <c r="M18" s="51" t="s">
        <v>1041</v>
      </c>
      <c r="N18" s="51" t="s">
        <v>1041</v>
      </c>
      <c r="O18" s="51" t="s">
        <v>1041</v>
      </c>
      <c r="P18" s="52" t="s">
        <v>1041</v>
      </c>
      <c r="Q18" s="51" t="s">
        <v>1041</v>
      </c>
      <c r="R18" s="51" t="s">
        <v>1041</v>
      </c>
      <c r="S18" s="51" t="s">
        <v>1041</v>
      </c>
      <c r="T18" s="51" t="s">
        <v>1041</v>
      </c>
      <c r="U18" s="51" t="s">
        <v>1041</v>
      </c>
      <c r="V18" s="50" t="s">
        <v>1041</v>
      </c>
      <c r="W18" s="51" t="s">
        <v>1041</v>
      </c>
      <c r="X18" s="51" t="s">
        <v>1041</v>
      </c>
      <c r="Y18" s="53" t="s">
        <v>1041</v>
      </c>
      <c r="Z18" s="54" t="s">
        <v>1042</v>
      </c>
    </row>
    <row r="19">
      <c r="A19" s="44">
        <v>12.0</v>
      </c>
      <c r="B19" s="50" t="s">
        <v>1042</v>
      </c>
      <c r="C19" s="51" t="s">
        <v>1042</v>
      </c>
      <c r="D19" s="51" t="s">
        <v>1042</v>
      </c>
      <c r="E19" s="51" t="s">
        <v>1042</v>
      </c>
      <c r="F19" s="51" t="s">
        <v>1042</v>
      </c>
      <c r="G19" s="50" t="s">
        <v>1042</v>
      </c>
      <c r="H19" s="51" t="s">
        <v>1042</v>
      </c>
      <c r="I19" s="51" t="s">
        <v>1042</v>
      </c>
      <c r="J19" s="51" t="s">
        <v>1042</v>
      </c>
      <c r="K19" s="51" t="s">
        <v>1042</v>
      </c>
      <c r="L19" s="50" t="s">
        <v>1042</v>
      </c>
      <c r="M19" s="51" t="s">
        <v>1042</v>
      </c>
      <c r="N19" s="51" t="s">
        <v>1042</v>
      </c>
      <c r="O19" s="51" t="s">
        <v>1042</v>
      </c>
      <c r="P19" s="52" t="s">
        <v>1042</v>
      </c>
      <c r="Q19" s="51" t="s">
        <v>1042</v>
      </c>
      <c r="R19" s="51" t="s">
        <v>1042</v>
      </c>
      <c r="S19" s="51" t="s">
        <v>1042</v>
      </c>
      <c r="T19" s="51" t="s">
        <v>1042</v>
      </c>
      <c r="U19" s="51" t="s">
        <v>1042</v>
      </c>
      <c r="V19" s="50" t="s">
        <v>1042</v>
      </c>
      <c r="W19" s="51" t="s">
        <v>1042</v>
      </c>
      <c r="X19" s="51" t="s">
        <v>1042</v>
      </c>
      <c r="Y19" s="53" t="s">
        <v>1042</v>
      </c>
      <c r="Z19" s="54" t="s">
        <v>1042</v>
      </c>
    </row>
    <row r="20">
      <c r="A20" s="44">
        <v>13.0</v>
      </c>
      <c r="B20" s="50" t="s">
        <v>1042</v>
      </c>
      <c r="C20" s="51" t="s">
        <v>1042</v>
      </c>
      <c r="D20" s="51" t="s">
        <v>1042</v>
      </c>
      <c r="E20" s="51" t="s">
        <v>1042</v>
      </c>
      <c r="F20" s="51" t="s">
        <v>1042</v>
      </c>
      <c r="G20" s="50" t="s">
        <v>1042</v>
      </c>
      <c r="H20" s="51" t="s">
        <v>1042</v>
      </c>
      <c r="I20" s="51" t="s">
        <v>1042</v>
      </c>
      <c r="J20" s="51" t="s">
        <v>1042</v>
      </c>
      <c r="K20" s="51" t="s">
        <v>1042</v>
      </c>
      <c r="L20" s="50" t="s">
        <v>1042</v>
      </c>
      <c r="M20" s="51" t="s">
        <v>1042</v>
      </c>
      <c r="N20" s="51" t="s">
        <v>1042</v>
      </c>
      <c r="O20" s="51" t="s">
        <v>1042</v>
      </c>
      <c r="P20" s="52" t="s">
        <v>1042</v>
      </c>
      <c r="Q20" s="51" t="s">
        <v>1042</v>
      </c>
      <c r="R20" s="51" t="s">
        <v>1042</v>
      </c>
      <c r="S20" s="51" t="s">
        <v>1042</v>
      </c>
      <c r="T20" s="51" t="s">
        <v>1042</v>
      </c>
      <c r="U20" s="51" t="s">
        <v>1042</v>
      </c>
      <c r="V20" s="50" t="s">
        <v>1042</v>
      </c>
      <c r="W20" s="51" t="s">
        <v>1042</v>
      </c>
      <c r="X20" s="51" t="s">
        <v>1042</v>
      </c>
      <c r="Y20" s="53" t="s">
        <v>1042</v>
      </c>
      <c r="Z20" s="54" t="s">
        <v>1041</v>
      </c>
    </row>
    <row r="21">
      <c r="A21" s="44">
        <v>14.0</v>
      </c>
      <c r="B21" s="50" t="s">
        <v>1041</v>
      </c>
      <c r="C21" s="51" t="s">
        <v>1041</v>
      </c>
      <c r="D21" s="51" t="s">
        <v>1041</v>
      </c>
      <c r="E21" s="51" t="s">
        <v>1041</v>
      </c>
      <c r="F21" s="51" t="s">
        <v>1041</v>
      </c>
      <c r="G21" s="50" t="s">
        <v>1041</v>
      </c>
      <c r="H21" s="51" t="s">
        <v>1041</v>
      </c>
      <c r="I21" s="51" t="s">
        <v>1041</v>
      </c>
      <c r="J21" s="51" t="s">
        <v>1041</v>
      </c>
      <c r="K21" s="51" t="s">
        <v>1041</v>
      </c>
      <c r="L21" s="50" t="s">
        <v>1041</v>
      </c>
      <c r="M21" s="51" t="s">
        <v>1041</v>
      </c>
      <c r="N21" s="51" t="s">
        <v>1041</v>
      </c>
      <c r="O21" s="51" t="s">
        <v>1041</v>
      </c>
      <c r="P21" s="52" t="s">
        <v>1041</v>
      </c>
      <c r="Q21" s="51" t="s">
        <v>1041</v>
      </c>
      <c r="R21" s="51" t="s">
        <v>1041</v>
      </c>
      <c r="S21" s="51" t="s">
        <v>1041</v>
      </c>
      <c r="T21" s="51" t="s">
        <v>1041</v>
      </c>
      <c r="U21" s="51" t="s">
        <v>1041</v>
      </c>
      <c r="V21" s="50" t="s">
        <v>1041</v>
      </c>
      <c r="W21" s="51" t="s">
        <v>1041</v>
      </c>
      <c r="X21" s="51" t="s">
        <v>1041</v>
      </c>
      <c r="Y21" s="53" t="s">
        <v>1041</v>
      </c>
      <c r="Z21" s="54" t="s">
        <v>1041</v>
      </c>
    </row>
    <row r="22">
      <c r="A22" s="44">
        <v>15.0</v>
      </c>
      <c r="B22" s="50" t="s">
        <v>1042</v>
      </c>
      <c r="C22" s="51" t="s">
        <v>1042</v>
      </c>
      <c r="D22" s="51" t="s">
        <v>1042</v>
      </c>
      <c r="E22" s="51" t="s">
        <v>1042</v>
      </c>
      <c r="F22" s="51" t="s">
        <v>1042</v>
      </c>
      <c r="G22" s="50" t="s">
        <v>1042</v>
      </c>
      <c r="H22" s="51" t="s">
        <v>1042</v>
      </c>
      <c r="I22" s="51" t="s">
        <v>1042</v>
      </c>
      <c r="J22" s="51" t="s">
        <v>1042</v>
      </c>
      <c r="K22" s="51" t="s">
        <v>1042</v>
      </c>
      <c r="L22" s="50" t="s">
        <v>1042</v>
      </c>
      <c r="M22" s="51" t="s">
        <v>1042</v>
      </c>
      <c r="N22" s="51" t="s">
        <v>1042</v>
      </c>
      <c r="O22" s="51" t="s">
        <v>1042</v>
      </c>
      <c r="P22" s="52" t="s">
        <v>1042</v>
      </c>
      <c r="Q22" s="51" t="s">
        <v>1042</v>
      </c>
      <c r="R22" s="51" t="s">
        <v>1042</v>
      </c>
      <c r="S22" s="51" t="s">
        <v>1042</v>
      </c>
      <c r="T22" s="51" t="s">
        <v>1042</v>
      </c>
      <c r="U22" s="51" t="s">
        <v>1042</v>
      </c>
      <c r="V22" s="50" t="s">
        <v>1042</v>
      </c>
      <c r="W22" s="51" t="s">
        <v>1042</v>
      </c>
      <c r="X22" s="51" t="s">
        <v>1042</v>
      </c>
      <c r="Y22" s="53" t="s">
        <v>1042</v>
      </c>
      <c r="Z22" s="54" t="s">
        <v>1042</v>
      </c>
    </row>
    <row r="23">
      <c r="A23" s="44">
        <v>16.0</v>
      </c>
      <c r="B23" s="50" t="s">
        <v>1042</v>
      </c>
      <c r="C23" s="51" t="s">
        <v>1041</v>
      </c>
      <c r="D23" s="51" t="s">
        <v>1042</v>
      </c>
      <c r="E23" s="51" t="s">
        <v>1042</v>
      </c>
      <c r="F23" s="51" t="s">
        <v>1042</v>
      </c>
      <c r="G23" s="50" t="s">
        <v>1042</v>
      </c>
      <c r="H23" s="51" t="s">
        <v>1042</v>
      </c>
      <c r="I23" s="51" t="s">
        <v>1042</v>
      </c>
      <c r="J23" s="51" t="s">
        <v>1042</v>
      </c>
      <c r="K23" s="51" t="s">
        <v>1042</v>
      </c>
      <c r="L23" s="50" t="s">
        <v>1042</v>
      </c>
      <c r="M23" s="51" t="s">
        <v>1042</v>
      </c>
      <c r="N23" s="51" t="s">
        <v>1042</v>
      </c>
      <c r="O23" s="51" t="s">
        <v>1042</v>
      </c>
      <c r="P23" s="52" t="s">
        <v>1042</v>
      </c>
      <c r="Q23" s="51" t="s">
        <v>1042</v>
      </c>
      <c r="R23" s="51" t="s">
        <v>1042</v>
      </c>
      <c r="S23" s="51" t="s">
        <v>1042</v>
      </c>
      <c r="T23" s="51" t="s">
        <v>1042</v>
      </c>
      <c r="U23" s="51" t="s">
        <v>1042</v>
      </c>
      <c r="V23" s="50" t="s">
        <v>1042</v>
      </c>
      <c r="W23" s="51" t="s">
        <v>1042</v>
      </c>
      <c r="X23" s="51" t="s">
        <v>1042</v>
      </c>
      <c r="Y23" s="53" t="s">
        <v>1041</v>
      </c>
      <c r="Z23" s="54" t="s">
        <v>1042</v>
      </c>
    </row>
    <row r="24">
      <c r="A24" s="44">
        <v>17.0</v>
      </c>
      <c r="B24" s="50" t="s">
        <v>1041</v>
      </c>
      <c r="C24" s="51" t="s">
        <v>1041</v>
      </c>
      <c r="D24" s="51" t="s">
        <v>1041</v>
      </c>
      <c r="E24" s="51" t="s">
        <v>1041</v>
      </c>
      <c r="F24" s="51" t="s">
        <v>1041</v>
      </c>
      <c r="G24" s="50" t="s">
        <v>1041</v>
      </c>
      <c r="H24" s="51" t="s">
        <v>1041</v>
      </c>
      <c r="I24" s="51" t="s">
        <v>1041</v>
      </c>
      <c r="J24" s="51" t="s">
        <v>1041</v>
      </c>
      <c r="K24" s="51" t="s">
        <v>1041</v>
      </c>
      <c r="L24" s="50" t="s">
        <v>1041</v>
      </c>
      <c r="M24" s="51" t="s">
        <v>1041</v>
      </c>
      <c r="N24" s="51" t="s">
        <v>1041</v>
      </c>
      <c r="O24" s="51" t="s">
        <v>1041</v>
      </c>
      <c r="P24" s="52" t="s">
        <v>1041</v>
      </c>
      <c r="Q24" s="51" t="s">
        <v>1041</v>
      </c>
      <c r="R24" s="51" t="s">
        <v>1041</v>
      </c>
      <c r="S24" s="51" t="s">
        <v>1041</v>
      </c>
      <c r="T24" s="51" t="s">
        <v>1041</v>
      </c>
      <c r="U24" s="51" t="s">
        <v>1042</v>
      </c>
      <c r="V24" s="50" t="s">
        <v>1041</v>
      </c>
      <c r="W24" s="51" t="s">
        <v>1041</v>
      </c>
      <c r="X24" s="51" t="s">
        <v>1041</v>
      </c>
      <c r="Y24" s="53" t="s">
        <v>1041</v>
      </c>
      <c r="Z24" s="54" t="s">
        <v>1041</v>
      </c>
    </row>
    <row r="25">
      <c r="A25" s="44">
        <v>18.0</v>
      </c>
      <c r="B25" s="50" t="s">
        <v>1042</v>
      </c>
      <c r="C25" s="51" t="s">
        <v>1042</v>
      </c>
      <c r="D25" s="51" t="s">
        <v>1042</v>
      </c>
      <c r="E25" s="51" t="s">
        <v>1042</v>
      </c>
      <c r="F25" s="51" t="s">
        <v>1042</v>
      </c>
      <c r="G25" s="50" t="s">
        <v>1042</v>
      </c>
      <c r="H25" s="51" t="s">
        <v>1042</v>
      </c>
      <c r="I25" s="51" t="s">
        <v>1042</v>
      </c>
      <c r="J25" s="51" t="s">
        <v>1042</v>
      </c>
      <c r="K25" s="51" t="s">
        <v>1042</v>
      </c>
      <c r="L25" s="50" t="s">
        <v>1042</v>
      </c>
      <c r="M25" s="51" t="s">
        <v>1042</v>
      </c>
      <c r="N25" s="51" t="s">
        <v>1042</v>
      </c>
      <c r="O25" s="51" t="s">
        <v>1042</v>
      </c>
      <c r="P25" s="52" t="s">
        <v>1042</v>
      </c>
      <c r="Q25" s="51" t="s">
        <v>1042</v>
      </c>
      <c r="R25" s="51" t="s">
        <v>1042</v>
      </c>
      <c r="S25" s="51" t="s">
        <v>1042</v>
      </c>
      <c r="T25" s="51" t="s">
        <v>1042</v>
      </c>
      <c r="U25" s="51" t="s">
        <v>1042</v>
      </c>
      <c r="V25" s="50" t="s">
        <v>1042</v>
      </c>
      <c r="W25" s="51" t="s">
        <v>1042</v>
      </c>
      <c r="X25" s="51" t="s">
        <v>1042</v>
      </c>
      <c r="Y25" s="53" t="s">
        <v>1042</v>
      </c>
      <c r="Z25" s="54" t="s">
        <v>1042</v>
      </c>
    </row>
    <row r="26">
      <c r="A26" s="44">
        <v>19.0</v>
      </c>
      <c r="B26" s="50" t="s">
        <v>1042</v>
      </c>
      <c r="C26" s="51" t="s">
        <v>1041</v>
      </c>
      <c r="D26" s="51" t="s">
        <v>1042</v>
      </c>
      <c r="E26" s="51" t="s">
        <v>1042</v>
      </c>
      <c r="F26" s="51" t="s">
        <v>1042</v>
      </c>
      <c r="G26" s="50" t="s">
        <v>1042</v>
      </c>
      <c r="H26" s="51" t="s">
        <v>1042</v>
      </c>
      <c r="I26" s="51" t="s">
        <v>1042</v>
      </c>
      <c r="J26" s="51" t="s">
        <v>1042</v>
      </c>
      <c r="K26" s="51" t="s">
        <v>1042</v>
      </c>
      <c r="L26" s="50" t="s">
        <v>1042</v>
      </c>
      <c r="M26" s="51" t="s">
        <v>1042</v>
      </c>
      <c r="N26" s="51" t="s">
        <v>1042</v>
      </c>
      <c r="O26" s="51" t="s">
        <v>1041</v>
      </c>
      <c r="P26" s="52" t="s">
        <v>1041</v>
      </c>
      <c r="Q26" s="51" t="s">
        <v>1042</v>
      </c>
      <c r="R26" s="51" t="s">
        <v>1042</v>
      </c>
      <c r="S26" s="51" t="s">
        <v>1041</v>
      </c>
      <c r="T26" s="51" t="s">
        <v>1041</v>
      </c>
      <c r="U26" s="51" t="s">
        <v>1041</v>
      </c>
      <c r="V26" s="50" t="s">
        <v>1042</v>
      </c>
      <c r="W26" s="51" t="s">
        <v>1042</v>
      </c>
      <c r="X26" s="51" t="s">
        <v>1042</v>
      </c>
      <c r="Y26" s="53" t="s">
        <v>1041</v>
      </c>
      <c r="Z26" s="54" t="s">
        <v>1041</v>
      </c>
    </row>
    <row r="27">
      <c r="A27" s="44">
        <v>20.0</v>
      </c>
      <c r="B27" s="50" t="s">
        <v>1041</v>
      </c>
      <c r="C27" s="51" t="s">
        <v>1041</v>
      </c>
      <c r="D27" s="51" t="s">
        <v>1041</v>
      </c>
      <c r="E27" s="51" t="s">
        <v>1041</v>
      </c>
      <c r="F27" s="51" t="s">
        <v>1041</v>
      </c>
      <c r="G27" s="50" t="s">
        <v>1041</v>
      </c>
      <c r="H27" s="51" t="s">
        <v>1041</v>
      </c>
      <c r="I27" s="51" t="s">
        <v>1041</v>
      </c>
      <c r="J27" s="51" t="s">
        <v>1041</v>
      </c>
      <c r="K27" s="51" t="s">
        <v>1041</v>
      </c>
      <c r="L27" s="50" t="s">
        <v>1041</v>
      </c>
      <c r="M27" s="51" t="s">
        <v>1041</v>
      </c>
      <c r="N27" s="51" t="s">
        <v>1041</v>
      </c>
      <c r="O27" s="51" t="s">
        <v>1041</v>
      </c>
      <c r="P27" s="52" t="s">
        <v>1041</v>
      </c>
      <c r="Q27" s="51" t="s">
        <v>1041</v>
      </c>
      <c r="R27" s="51" t="s">
        <v>1041</v>
      </c>
      <c r="S27" s="51" t="s">
        <v>1041</v>
      </c>
      <c r="T27" s="51" t="s">
        <v>1041</v>
      </c>
      <c r="U27" s="51" t="s">
        <v>1041</v>
      </c>
      <c r="V27" s="50" t="s">
        <v>1041</v>
      </c>
      <c r="W27" s="51" t="s">
        <v>1041</v>
      </c>
      <c r="X27" s="51" t="s">
        <v>1041</v>
      </c>
      <c r="Y27" s="53" t="s">
        <v>1041</v>
      </c>
      <c r="Z27" s="54" t="s">
        <v>1041</v>
      </c>
    </row>
    <row r="28">
      <c r="A28" s="44">
        <v>21.0</v>
      </c>
      <c r="B28" s="50" t="s">
        <v>1041</v>
      </c>
      <c r="C28" s="51" t="s">
        <v>1041</v>
      </c>
      <c r="D28" s="51" t="s">
        <v>1041</v>
      </c>
      <c r="E28" s="51" t="s">
        <v>1041</v>
      </c>
      <c r="F28" s="51" t="s">
        <v>1041</v>
      </c>
      <c r="G28" s="50" t="s">
        <v>1041</v>
      </c>
      <c r="H28" s="51" t="s">
        <v>1041</v>
      </c>
      <c r="I28" s="51" t="s">
        <v>1041</v>
      </c>
      <c r="J28" s="51" t="s">
        <v>1041</v>
      </c>
      <c r="K28" s="51" t="s">
        <v>1041</v>
      </c>
      <c r="L28" s="50" t="s">
        <v>1041</v>
      </c>
      <c r="M28" s="51" t="s">
        <v>1041</v>
      </c>
      <c r="N28" s="51" t="s">
        <v>1041</v>
      </c>
      <c r="O28" s="51" t="s">
        <v>1041</v>
      </c>
      <c r="P28" s="52" t="s">
        <v>1041</v>
      </c>
      <c r="Q28" s="51" t="s">
        <v>1041</v>
      </c>
      <c r="R28" s="51" t="s">
        <v>1041</v>
      </c>
      <c r="S28" s="51" t="s">
        <v>1041</v>
      </c>
      <c r="T28" s="51" t="s">
        <v>1041</v>
      </c>
      <c r="U28" s="51" t="s">
        <v>1041</v>
      </c>
      <c r="V28" s="50" t="s">
        <v>1041</v>
      </c>
      <c r="W28" s="51" t="s">
        <v>1041</v>
      </c>
      <c r="X28" s="51" t="s">
        <v>1041</v>
      </c>
      <c r="Y28" s="53" t="s">
        <v>1041</v>
      </c>
      <c r="Z28" s="54" t="s">
        <v>1041</v>
      </c>
    </row>
    <row r="29">
      <c r="A29" s="44">
        <v>22.0</v>
      </c>
      <c r="B29" s="50" t="s">
        <v>1042</v>
      </c>
      <c r="C29" s="51" t="s">
        <v>1042</v>
      </c>
      <c r="D29" s="51" t="s">
        <v>1042</v>
      </c>
      <c r="E29" s="51" t="s">
        <v>1042</v>
      </c>
      <c r="F29" s="51" t="s">
        <v>1042</v>
      </c>
      <c r="G29" s="50" t="s">
        <v>1042</v>
      </c>
      <c r="H29" s="51" t="s">
        <v>1042</v>
      </c>
      <c r="I29" s="51" t="s">
        <v>1042</v>
      </c>
      <c r="J29" s="51" t="s">
        <v>1042</v>
      </c>
      <c r="K29" s="51" t="s">
        <v>1042</v>
      </c>
      <c r="L29" s="50" t="s">
        <v>1042</v>
      </c>
      <c r="M29" s="51" t="s">
        <v>1042</v>
      </c>
      <c r="N29" s="51" t="s">
        <v>1042</v>
      </c>
      <c r="O29" s="51" t="s">
        <v>1042</v>
      </c>
      <c r="P29" s="52" t="s">
        <v>1041</v>
      </c>
      <c r="Q29" s="51" t="s">
        <v>1042</v>
      </c>
      <c r="R29" s="51" t="s">
        <v>1042</v>
      </c>
      <c r="S29" s="51" t="s">
        <v>1042</v>
      </c>
      <c r="T29" s="51" t="s">
        <v>1042</v>
      </c>
      <c r="U29" s="51" t="s">
        <v>1042</v>
      </c>
      <c r="V29" s="50" t="s">
        <v>1042</v>
      </c>
      <c r="W29" s="51" t="s">
        <v>1042</v>
      </c>
      <c r="X29" s="51" t="s">
        <v>1042</v>
      </c>
      <c r="Y29" s="53" t="s">
        <v>1042</v>
      </c>
      <c r="Z29" s="54" t="s">
        <v>1041</v>
      </c>
    </row>
    <row r="30">
      <c r="A30" s="44">
        <v>23.0</v>
      </c>
      <c r="B30" s="50" t="s">
        <v>1042</v>
      </c>
      <c r="C30" s="51" t="s">
        <v>1042</v>
      </c>
      <c r="D30" s="51" t="s">
        <v>1042</v>
      </c>
      <c r="E30" s="51" t="s">
        <v>1042</v>
      </c>
      <c r="F30" s="51" t="s">
        <v>1042</v>
      </c>
      <c r="G30" s="50" t="s">
        <v>1042</v>
      </c>
      <c r="H30" s="51" t="s">
        <v>1042</v>
      </c>
      <c r="I30" s="51" t="s">
        <v>1042</v>
      </c>
      <c r="J30" s="51" t="s">
        <v>1042</v>
      </c>
      <c r="K30" s="51" t="s">
        <v>1042</v>
      </c>
      <c r="L30" s="50" t="s">
        <v>1042</v>
      </c>
      <c r="M30" s="51" t="s">
        <v>1042</v>
      </c>
      <c r="N30" s="51" t="s">
        <v>1042</v>
      </c>
      <c r="O30" s="51" t="s">
        <v>1042</v>
      </c>
      <c r="P30" s="52" t="s">
        <v>1042</v>
      </c>
      <c r="Q30" s="51" t="s">
        <v>1042</v>
      </c>
      <c r="R30" s="51" t="s">
        <v>1042</v>
      </c>
      <c r="S30" s="51" t="s">
        <v>1042</v>
      </c>
      <c r="T30" s="51" t="s">
        <v>1042</v>
      </c>
      <c r="U30" s="51" t="s">
        <v>1042</v>
      </c>
      <c r="V30" s="50" t="s">
        <v>1042</v>
      </c>
      <c r="W30" s="51" t="s">
        <v>1042</v>
      </c>
      <c r="X30" s="51" t="s">
        <v>1042</v>
      </c>
      <c r="Y30" s="53" t="s">
        <v>1041</v>
      </c>
      <c r="Z30" s="54" t="s">
        <v>1042</v>
      </c>
    </row>
    <row r="31">
      <c r="A31" s="44">
        <v>24.0</v>
      </c>
      <c r="B31" s="50" t="s">
        <v>1041</v>
      </c>
      <c r="C31" s="51" t="s">
        <v>1042</v>
      </c>
      <c r="D31" s="51" t="s">
        <v>1041</v>
      </c>
      <c r="E31" s="51" t="s">
        <v>1041</v>
      </c>
      <c r="F31" s="51" t="s">
        <v>1041</v>
      </c>
      <c r="G31" s="50" t="s">
        <v>1041</v>
      </c>
      <c r="H31" s="51" t="s">
        <v>1041</v>
      </c>
      <c r="I31" s="51" t="s">
        <v>1041</v>
      </c>
      <c r="J31" s="51" t="s">
        <v>1041</v>
      </c>
      <c r="K31" s="51" t="s">
        <v>1041</v>
      </c>
      <c r="L31" s="50" t="s">
        <v>1041</v>
      </c>
      <c r="M31" s="51" t="s">
        <v>1041</v>
      </c>
      <c r="N31" s="51" t="s">
        <v>1041</v>
      </c>
      <c r="O31" s="51" t="s">
        <v>1041</v>
      </c>
      <c r="P31" s="52" t="s">
        <v>1041</v>
      </c>
      <c r="Q31" s="51" t="s">
        <v>1041</v>
      </c>
      <c r="R31" s="51" t="s">
        <v>1041</v>
      </c>
      <c r="S31" s="51" t="s">
        <v>1041</v>
      </c>
      <c r="T31" s="51" t="s">
        <v>1041</v>
      </c>
      <c r="U31" s="51" t="s">
        <v>1041</v>
      </c>
      <c r="V31" s="50" t="s">
        <v>1041</v>
      </c>
      <c r="W31" s="51" t="s">
        <v>1041</v>
      </c>
      <c r="X31" s="51" t="s">
        <v>1041</v>
      </c>
      <c r="Y31" s="53" t="s">
        <v>1041</v>
      </c>
      <c r="Z31" s="54" t="s">
        <v>1041</v>
      </c>
    </row>
    <row r="32">
      <c r="A32" s="44">
        <v>25.0</v>
      </c>
      <c r="B32" s="50" t="s">
        <v>1041</v>
      </c>
      <c r="C32" s="51" t="s">
        <v>1042</v>
      </c>
      <c r="D32" s="51" t="s">
        <v>1041</v>
      </c>
      <c r="E32" s="51" t="s">
        <v>1041</v>
      </c>
      <c r="F32" s="51" t="s">
        <v>1041</v>
      </c>
      <c r="G32" s="50" t="s">
        <v>1041</v>
      </c>
      <c r="H32" s="51" t="s">
        <v>1041</v>
      </c>
      <c r="I32" s="51" t="s">
        <v>1041</v>
      </c>
      <c r="J32" s="51" t="s">
        <v>1041</v>
      </c>
      <c r="K32" s="51" t="s">
        <v>1041</v>
      </c>
      <c r="L32" s="50" t="s">
        <v>1041</v>
      </c>
      <c r="M32" s="51" t="s">
        <v>1041</v>
      </c>
      <c r="N32" s="51" t="s">
        <v>1041</v>
      </c>
      <c r="O32" s="51" t="s">
        <v>1041</v>
      </c>
      <c r="P32" s="52" t="s">
        <v>1041</v>
      </c>
      <c r="Q32" s="51" t="s">
        <v>1041</v>
      </c>
      <c r="R32" s="51" t="s">
        <v>1041</v>
      </c>
      <c r="S32" s="51" t="s">
        <v>1041</v>
      </c>
      <c r="T32" s="51" t="s">
        <v>1041</v>
      </c>
      <c r="U32" s="51" t="s">
        <v>1041</v>
      </c>
      <c r="V32" s="50" t="s">
        <v>1041</v>
      </c>
      <c r="W32" s="51" t="s">
        <v>1041</v>
      </c>
      <c r="X32" s="51" t="s">
        <v>1041</v>
      </c>
      <c r="Y32" s="53" t="s">
        <v>1042</v>
      </c>
      <c r="Z32" s="54" t="s">
        <v>1042</v>
      </c>
    </row>
    <row r="33">
      <c r="A33" s="44">
        <v>26.0</v>
      </c>
      <c r="B33" s="50" t="s">
        <v>1041</v>
      </c>
      <c r="C33" s="51" t="s">
        <v>1041</v>
      </c>
      <c r="D33" s="51" t="s">
        <v>1041</v>
      </c>
      <c r="E33" s="51" t="s">
        <v>1041</v>
      </c>
      <c r="F33" s="51" t="s">
        <v>1041</v>
      </c>
      <c r="G33" s="50" t="s">
        <v>1041</v>
      </c>
      <c r="H33" s="51" t="s">
        <v>1041</v>
      </c>
      <c r="I33" s="51" t="s">
        <v>1041</v>
      </c>
      <c r="J33" s="51" t="s">
        <v>1041</v>
      </c>
      <c r="K33" s="51" t="s">
        <v>1041</v>
      </c>
      <c r="L33" s="50" t="s">
        <v>1041</v>
      </c>
      <c r="M33" s="51" t="s">
        <v>1041</v>
      </c>
      <c r="N33" s="51" t="s">
        <v>1041</v>
      </c>
      <c r="O33" s="51" t="s">
        <v>1041</v>
      </c>
      <c r="P33" s="52" t="s">
        <v>1041</v>
      </c>
      <c r="Q33" s="51" t="s">
        <v>1041</v>
      </c>
      <c r="R33" s="51" t="s">
        <v>1041</v>
      </c>
      <c r="S33" s="51" t="s">
        <v>1041</v>
      </c>
      <c r="T33" s="51" t="s">
        <v>1041</v>
      </c>
      <c r="U33" s="51" t="s">
        <v>1042</v>
      </c>
      <c r="V33" s="50" t="s">
        <v>1041</v>
      </c>
      <c r="W33" s="51" t="s">
        <v>1041</v>
      </c>
      <c r="X33" s="51" t="s">
        <v>1041</v>
      </c>
      <c r="Y33" s="53" t="s">
        <v>1041</v>
      </c>
      <c r="Z33" s="54" t="s">
        <v>1041</v>
      </c>
    </row>
    <row r="34">
      <c r="A34" s="44">
        <v>27.0</v>
      </c>
      <c r="B34" s="50" t="s">
        <v>1042</v>
      </c>
      <c r="C34" s="51" t="s">
        <v>1042</v>
      </c>
      <c r="D34" s="51" t="s">
        <v>1042</v>
      </c>
      <c r="E34" s="51" t="s">
        <v>1042</v>
      </c>
      <c r="F34" s="51" t="s">
        <v>1042</v>
      </c>
      <c r="G34" s="50" t="s">
        <v>1042</v>
      </c>
      <c r="H34" s="51" t="s">
        <v>1042</v>
      </c>
      <c r="I34" s="51" t="s">
        <v>1042</v>
      </c>
      <c r="J34" s="51" t="s">
        <v>1042</v>
      </c>
      <c r="K34" s="51" t="s">
        <v>1042</v>
      </c>
      <c r="L34" s="50" t="s">
        <v>1042</v>
      </c>
      <c r="M34" s="51" t="s">
        <v>1042</v>
      </c>
      <c r="N34" s="51" t="s">
        <v>1042</v>
      </c>
      <c r="O34" s="51" t="s">
        <v>1042</v>
      </c>
      <c r="P34" s="52" t="s">
        <v>1041</v>
      </c>
      <c r="Q34" s="51" t="s">
        <v>1042</v>
      </c>
      <c r="R34" s="51" t="s">
        <v>1042</v>
      </c>
      <c r="S34" s="51" t="s">
        <v>1042</v>
      </c>
      <c r="T34" s="51" t="s">
        <v>1042</v>
      </c>
      <c r="U34" s="51" t="s">
        <v>1042</v>
      </c>
      <c r="V34" s="50" t="s">
        <v>1042</v>
      </c>
      <c r="W34" s="51" t="s">
        <v>1042</v>
      </c>
      <c r="X34" s="51" t="s">
        <v>1042</v>
      </c>
      <c r="Y34" s="53" t="s">
        <v>1042</v>
      </c>
      <c r="Z34" s="54" t="s">
        <v>1042</v>
      </c>
    </row>
    <row r="35">
      <c r="A35" s="44">
        <v>28.0</v>
      </c>
      <c r="B35" s="50" t="s">
        <v>1042</v>
      </c>
      <c r="C35" s="51" t="s">
        <v>1042</v>
      </c>
      <c r="D35" s="51" t="s">
        <v>1042</v>
      </c>
      <c r="E35" s="51" t="s">
        <v>1042</v>
      </c>
      <c r="F35" s="51" t="s">
        <v>1042</v>
      </c>
      <c r="G35" s="50" t="s">
        <v>1042</v>
      </c>
      <c r="H35" s="51" t="s">
        <v>1042</v>
      </c>
      <c r="I35" s="51" t="s">
        <v>1042</v>
      </c>
      <c r="J35" s="51" t="s">
        <v>1042</v>
      </c>
      <c r="K35" s="51" t="s">
        <v>1042</v>
      </c>
      <c r="L35" s="50" t="s">
        <v>1042</v>
      </c>
      <c r="M35" s="51" t="s">
        <v>1042</v>
      </c>
      <c r="N35" s="51" t="s">
        <v>1042</v>
      </c>
      <c r="O35" s="51" t="s">
        <v>1041</v>
      </c>
      <c r="P35" s="52" t="s">
        <v>1042</v>
      </c>
      <c r="Q35" s="51" t="s">
        <v>1042</v>
      </c>
      <c r="R35" s="51" t="s">
        <v>1042</v>
      </c>
      <c r="S35" s="51" t="s">
        <v>1042</v>
      </c>
      <c r="T35" s="51" t="s">
        <v>1042</v>
      </c>
      <c r="U35" s="51" t="s">
        <v>1042</v>
      </c>
      <c r="V35" s="50" t="s">
        <v>1042</v>
      </c>
      <c r="W35" s="51" t="s">
        <v>1042</v>
      </c>
      <c r="X35" s="51" t="s">
        <v>1042</v>
      </c>
      <c r="Y35" s="53" t="s">
        <v>1042</v>
      </c>
      <c r="Z35" s="54" t="s">
        <v>1041</v>
      </c>
    </row>
    <row r="36">
      <c r="A36" s="44">
        <v>29.0</v>
      </c>
      <c r="B36" s="50" t="s">
        <v>1042</v>
      </c>
      <c r="C36" s="51" t="s">
        <v>1042</v>
      </c>
      <c r="D36" s="51" t="s">
        <v>1042</v>
      </c>
      <c r="E36" s="51" t="s">
        <v>1042</v>
      </c>
      <c r="F36" s="51" t="s">
        <v>1042</v>
      </c>
      <c r="G36" s="50" t="s">
        <v>1042</v>
      </c>
      <c r="H36" s="51" t="s">
        <v>1042</v>
      </c>
      <c r="I36" s="51" t="s">
        <v>1042</v>
      </c>
      <c r="J36" s="51" t="s">
        <v>1042</v>
      </c>
      <c r="K36" s="51" t="s">
        <v>1042</v>
      </c>
      <c r="L36" s="50" t="s">
        <v>1042</v>
      </c>
      <c r="M36" s="51" t="s">
        <v>1042</v>
      </c>
      <c r="N36" s="51" t="s">
        <v>1042</v>
      </c>
      <c r="O36" s="51" t="s">
        <v>1042</v>
      </c>
      <c r="P36" s="52" t="s">
        <v>1042</v>
      </c>
      <c r="Q36" s="51" t="s">
        <v>1042</v>
      </c>
      <c r="R36" s="51" t="s">
        <v>1042</v>
      </c>
      <c r="S36" s="51" t="s">
        <v>1042</v>
      </c>
      <c r="T36" s="51" t="s">
        <v>1042</v>
      </c>
      <c r="U36" s="51" t="s">
        <v>1041</v>
      </c>
      <c r="V36" s="50" t="s">
        <v>1042</v>
      </c>
      <c r="W36" s="51" t="s">
        <v>1042</v>
      </c>
      <c r="X36" s="51" t="s">
        <v>1042</v>
      </c>
      <c r="Y36" s="53" t="s">
        <v>1041</v>
      </c>
      <c r="Z36" s="54" t="s">
        <v>1042</v>
      </c>
    </row>
    <row r="37">
      <c r="A37" s="44">
        <v>30.0</v>
      </c>
      <c r="B37" s="50" t="s">
        <v>1041</v>
      </c>
      <c r="C37" s="51" t="s">
        <v>1041</v>
      </c>
      <c r="D37" s="51" t="s">
        <v>1041</v>
      </c>
      <c r="E37" s="51" t="s">
        <v>1041</v>
      </c>
      <c r="F37" s="51" t="s">
        <v>1041</v>
      </c>
      <c r="G37" s="50" t="s">
        <v>1041</v>
      </c>
      <c r="H37" s="51" t="s">
        <v>1041</v>
      </c>
      <c r="I37" s="51" t="s">
        <v>1041</v>
      </c>
      <c r="J37" s="51" t="s">
        <v>1041</v>
      </c>
      <c r="K37" s="51" t="s">
        <v>1041</v>
      </c>
      <c r="L37" s="50" t="s">
        <v>1041</v>
      </c>
      <c r="M37" s="51" t="s">
        <v>1041</v>
      </c>
      <c r="N37" s="51" t="s">
        <v>1041</v>
      </c>
      <c r="O37" s="51" t="s">
        <v>1041</v>
      </c>
      <c r="P37" s="52" t="s">
        <v>1041</v>
      </c>
      <c r="Q37" s="51" t="s">
        <v>1041</v>
      </c>
      <c r="R37" s="51" t="s">
        <v>1041</v>
      </c>
      <c r="S37" s="51" t="s">
        <v>1041</v>
      </c>
      <c r="T37" s="51" t="s">
        <v>1041</v>
      </c>
      <c r="U37" s="51" t="s">
        <v>1041</v>
      </c>
      <c r="V37" s="50" t="s">
        <v>1041</v>
      </c>
      <c r="W37" s="51" t="s">
        <v>1041</v>
      </c>
      <c r="X37" s="51" t="s">
        <v>1041</v>
      </c>
      <c r="Y37" s="53" t="s">
        <v>1041</v>
      </c>
      <c r="Z37" s="54" t="s">
        <v>1042</v>
      </c>
    </row>
    <row r="38">
      <c r="A38" s="44">
        <v>31.0</v>
      </c>
      <c r="B38" s="50" t="s">
        <v>1041</v>
      </c>
      <c r="C38" s="51" t="s">
        <v>1041</v>
      </c>
      <c r="D38" s="51" t="s">
        <v>1041</v>
      </c>
      <c r="E38" s="51" t="s">
        <v>1041</v>
      </c>
      <c r="F38" s="51" t="s">
        <v>1041</v>
      </c>
      <c r="G38" s="50" t="s">
        <v>1041</v>
      </c>
      <c r="H38" s="51" t="s">
        <v>1041</v>
      </c>
      <c r="I38" s="51" t="s">
        <v>1041</v>
      </c>
      <c r="J38" s="51" t="s">
        <v>1041</v>
      </c>
      <c r="K38" s="51" t="s">
        <v>1041</v>
      </c>
      <c r="L38" s="50" t="s">
        <v>1041</v>
      </c>
      <c r="M38" s="51" t="s">
        <v>1041</v>
      </c>
      <c r="N38" s="51" t="s">
        <v>1041</v>
      </c>
      <c r="O38" s="51" t="s">
        <v>1041</v>
      </c>
      <c r="P38" s="52" t="s">
        <v>1041</v>
      </c>
      <c r="Q38" s="51" t="s">
        <v>1041</v>
      </c>
      <c r="R38" s="51" t="s">
        <v>1041</v>
      </c>
      <c r="S38" s="51" t="s">
        <v>1041</v>
      </c>
      <c r="T38" s="51" t="s">
        <v>1041</v>
      </c>
      <c r="U38" s="51" t="s">
        <v>1041</v>
      </c>
      <c r="V38" s="50" t="s">
        <v>1041</v>
      </c>
      <c r="W38" s="51" t="s">
        <v>1041</v>
      </c>
      <c r="X38" s="51" t="s">
        <v>1041</v>
      </c>
      <c r="Y38" s="53" t="s">
        <v>1041</v>
      </c>
      <c r="Z38" s="54" t="s">
        <v>1041</v>
      </c>
    </row>
    <row r="39">
      <c r="A39" s="44">
        <v>32.0</v>
      </c>
      <c r="B39" s="50" t="s">
        <v>1041</v>
      </c>
      <c r="C39" s="51" t="s">
        <v>1042</v>
      </c>
      <c r="D39" s="51" t="s">
        <v>1041</v>
      </c>
      <c r="E39" s="51" t="s">
        <v>1041</v>
      </c>
      <c r="F39" s="51" t="s">
        <v>1041</v>
      </c>
      <c r="G39" s="50" t="s">
        <v>1041</v>
      </c>
      <c r="H39" s="51" t="s">
        <v>1041</v>
      </c>
      <c r="I39" s="51" t="s">
        <v>1041</v>
      </c>
      <c r="J39" s="51" t="s">
        <v>1041</v>
      </c>
      <c r="K39" s="51" t="s">
        <v>1042</v>
      </c>
      <c r="L39" s="50" t="s">
        <v>1041</v>
      </c>
      <c r="M39" s="51" t="s">
        <v>1041</v>
      </c>
      <c r="N39" s="51" t="s">
        <v>1041</v>
      </c>
      <c r="O39" s="51" t="s">
        <v>1041</v>
      </c>
      <c r="P39" s="52" t="s">
        <v>1042</v>
      </c>
      <c r="Q39" s="51" t="s">
        <v>1042</v>
      </c>
      <c r="R39" s="51" t="s">
        <v>1041</v>
      </c>
      <c r="S39" s="51" t="s">
        <v>1042</v>
      </c>
      <c r="T39" s="51" t="s">
        <v>1041</v>
      </c>
      <c r="U39" s="51" t="s">
        <v>1042</v>
      </c>
      <c r="V39" s="50" t="s">
        <v>1042</v>
      </c>
      <c r="W39" s="51" t="s">
        <v>1041</v>
      </c>
      <c r="X39" s="51" t="s">
        <v>1042</v>
      </c>
      <c r="Y39" s="53" t="s">
        <v>1041</v>
      </c>
      <c r="Z39" s="54" t="s">
        <v>1041</v>
      </c>
    </row>
    <row r="40">
      <c r="A40" s="44">
        <v>33.0</v>
      </c>
      <c r="B40" s="50" t="s">
        <v>1042</v>
      </c>
      <c r="C40" s="51" t="s">
        <v>1041</v>
      </c>
      <c r="D40" s="51" t="s">
        <v>1042</v>
      </c>
      <c r="E40" s="51" t="s">
        <v>1042</v>
      </c>
      <c r="F40" s="51" t="s">
        <v>1042</v>
      </c>
      <c r="G40" s="50" t="s">
        <v>1042</v>
      </c>
      <c r="H40" s="51" t="s">
        <v>1042</v>
      </c>
      <c r="I40" s="51" t="s">
        <v>1042</v>
      </c>
      <c r="J40" s="51" t="s">
        <v>1041</v>
      </c>
      <c r="K40" s="51" t="s">
        <v>1041</v>
      </c>
      <c r="L40" s="50" t="s">
        <v>1042</v>
      </c>
      <c r="M40" s="51" t="s">
        <v>1042</v>
      </c>
      <c r="N40" s="51" t="s">
        <v>1042</v>
      </c>
      <c r="O40" s="51" t="s">
        <v>1041</v>
      </c>
      <c r="P40" s="52" t="s">
        <v>1041</v>
      </c>
      <c r="Q40" s="51" t="s">
        <v>1042</v>
      </c>
      <c r="R40" s="51" t="s">
        <v>1042</v>
      </c>
      <c r="S40" s="51" t="s">
        <v>1041</v>
      </c>
      <c r="T40" s="51" t="s">
        <v>1041</v>
      </c>
      <c r="U40" s="51" t="s">
        <v>1042</v>
      </c>
      <c r="V40" s="50" t="s">
        <v>1042</v>
      </c>
      <c r="W40" s="51" t="s">
        <v>1042</v>
      </c>
      <c r="X40" s="51" t="s">
        <v>1041</v>
      </c>
      <c r="Y40" s="53" t="s">
        <v>1041</v>
      </c>
      <c r="Z40" s="54" t="s">
        <v>1041</v>
      </c>
    </row>
    <row r="41">
      <c r="A41" s="44">
        <v>34.0</v>
      </c>
      <c r="B41" s="50" t="s">
        <v>1042</v>
      </c>
      <c r="C41" s="51" t="s">
        <v>1042</v>
      </c>
      <c r="D41" s="51" t="s">
        <v>1042</v>
      </c>
      <c r="E41" s="51" t="s">
        <v>1042</v>
      </c>
      <c r="F41" s="51" t="s">
        <v>1042</v>
      </c>
      <c r="G41" s="50" t="s">
        <v>1042</v>
      </c>
      <c r="H41" s="51" t="s">
        <v>1042</v>
      </c>
      <c r="I41" s="51" t="s">
        <v>1042</v>
      </c>
      <c r="J41" s="51" t="s">
        <v>1042</v>
      </c>
      <c r="K41" s="51" t="s">
        <v>1042</v>
      </c>
      <c r="L41" s="50" t="s">
        <v>1042</v>
      </c>
      <c r="M41" s="51" t="s">
        <v>1042</v>
      </c>
      <c r="N41" s="51" t="s">
        <v>1042</v>
      </c>
      <c r="O41" s="51" t="s">
        <v>1042</v>
      </c>
      <c r="P41" s="52" t="s">
        <v>1042</v>
      </c>
      <c r="Q41" s="51" t="s">
        <v>1042</v>
      </c>
      <c r="R41" s="51" t="s">
        <v>1042</v>
      </c>
      <c r="S41" s="51" t="s">
        <v>1042</v>
      </c>
      <c r="T41" s="51" t="s">
        <v>1042</v>
      </c>
      <c r="U41" s="51" t="s">
        <v>1041</v>
      </c>
      <c r="V41" s="50" t="s">
        <v>1042</v>
      </c>
      <c r="W41" s="51" t="s">
        <v>1042</v>
      </c>
      <c r="X41" s="51" t="s">
        <v>1042</v>
      </c>
      <c r="Y41" s="53" t="s">
        <v>1042</v>
      </c>
      <c r="Z41" s="54" t="s">
        <v>1041</v>
      </c>
    </row>
    <row r="42">
      <c r="A42" s="44">
        <v>35.0</v>
      </c>
      <c r="B42" s="50" t="s">
        <v>1042</v>
      </c>
      <c r="C42" s="51" t="s">
        <v>1042</v>
      </c>
      <c r="D42" s="51" t="s">
        <v>1042</v>
      </c>
      <c r="E42" s="51" t="s">
        <v>1042</v>
      </c>
      <c r="F42" s="51" t="s">
        <v>1042</v>
      </c>
      <c r="G42" s="50" t="s">
        <v>1042</v>
      </c>
      <c r="H42" s="51" t="s">
        <v>1042</v>
      </c>
      <c r="I42" s="51" t="s">
        <v>1042</v>
      </c>
      <c r="J42" s="51" t="s">
        <v>1042</v>
      </c>
      <c r="K42" s="51" t="s">
        <v>1042</v>
      </c>
      <c r="L42" s="50" t="s">
        <v>1042</v>
      </c>
      <c r="M42" s="51" t="s">
        <v>1042</v>
      </c>
      <c r="N42" s="51" t="s">
        <v>1042</v>
      </c>
      <c r="O42" s="51" t="s">
        <v>1042</v>
      </c>
      <c r="P42" s="52" t="s">
        <v>1042</v>
      </c>
      <c r="Q42" s="51" t="s">
        <v>1042</v>
      </c>
      <c r="R42" s="51" t="s">
        <v>1042</v>
      </c>
      <c r="S42" s="51" t="s">
        <v>1042</v>
      </c>
      <c r="T42" s="51" t="s">
        <v>1041</v>
      </c>
      <c r="U42" s="51" t="s">
        <v>1042</v>
      </c>
      <c r="V42" s="50" t="s">
        <v>1042</v>
      </c>
      <c r="W42" s="51" t="s">
        <v>1042</v>
      </c>
      <c r="X42" s="51" t="s">
        <v>1042</v>
      </c>
      <c r="Y42" s="53" t="s">
        <v>1041</v>
      </c>
      <c r="Z42" s="54" t="s">
        <v>1041</v>
      </c>
    </row>
    <row r="43">
      <c r="A43" s="44">
        <v>36.0</v>
      </c>
      <c r="B43" s="50" t="s">
        <v>1042</v>
      </c>
      <c r="C43" s="51" t="s">
        <v>1042</v>
      </c>
      <c r="D43" s="51" t="s">
        <v>1042</v>
      </c>
      <c r="E43" s="51" t="s">
        <v>1042</v>
      </c>
      <c r="F43" s="51" t="s">
        <v>1042</v>
      </c>
      <c r="G43" s="50" t="s">
        <v>1042</v>
      </c>
      <c r="H43" s="51" t="s">
        <v>1042</v>
      </c>
      <c r="I43" s="51" t="s">
        <v>1042</v>
      </c>
      <c r="J43" s="51" t="s">
        <v>1042</v>
      </c>
      <c r="K43" s="51" t="s">
        <v>1042</v>
      </c>
      <c r="L43" s="50" t="s">
        <v>1042</v>
      </c>
      <c r="M43" s="51" t="s">
        <v>1042</v>
      </c>
      <c r="N43" s="51" t="s">
        <v>1042</v>
      </c>
      <c r="O43" s="51" t="s">
        <v>1042</v>
      </c>
      <c r="P43" s="52" t="s">
        <v>1042</v>
      </c>
      <c r="Q43" s="51" t="s">
        <v>1042</v>
      </c>
      <c r="R43" s="51" t="s">
        <v>1042</v>
      </c>
      <c r="S43" s="51" t="s">
        <v>1042</v>
      </c>
      <c r="T43" s="51" t="s">
        <v>1042</v>
      </c>
      <c r="U43" s="51" t="s">
        <v>1042</v>
      </c>
      <c r="V43" s="50" t="s">
        <v>1042</v>
      </c>
      <c r="W43" s="51" t="s">
        <v>1042</v>
      </c>
      <c r="X43" s="51" t="s">
        <v>1042</v>
      </c>
      <c r="Y43" s="53" t="s">
        <v>1041</v>
      </c>
      <c r="Z43" s="54" t="s">
        <v>1042</v>
      </c>
    </row>
    <row r="44">
      <c r="A44" s="44">
        <v>37.0</v>
      </c>
      <c r="B44" s="50" t="s">
        <v>1041</v>
      </c>
      <c r="C44" s="51" t="s">
        <v>1041</v>
      </c>
      <c r="D44" s="51" t="s">
        <v>1041</v>
      </c>
      <c r="E44" s="51" t="s">
        <v>1041</v>
      </c>
      <c r="F44" s="51" t="s">
        <v>1041</v>
      </c>
      <c r="G44" s="50" t="s">
        <v>1041</v>
      </c>
      <c r="H44" s="51" t="s">
        <v>1041</v>
      </c>
      <c r="I44" s="51" t="s">
        <v>1041</v>
      </c>
      <c r="J44" s="51" t="s">
        <v>1041</v>
      </c>
      <c r="K44" s="51" t="s">
        <v>1041</v>
      </c>
      <c r="L44" s="50" t="s">
        <v>1041</v>
      </c>
      <c r="M44" s="51" t="s">
        <v>1041</v>
      </c>
      <c r="N44" s="51" t="s">
        <v>1041</v>
      </c>
      <c r="O44" s="51" t="s">
        <v>1041</v>
      </c>
      <c r="P44" s="52" t="s">
        <v>1041</v>
      </c>
      <c r="Q44" s="51" t="s">
        <v>1041</v>
      </c>
      <c r="R44" s="51" t="s">
        <v>1041</v>
      </c>
      <c r="S44" s="51" t="s">
        <v>1041</v>
      </c>
      <c r="T44" s="51" t="s">
        <v>1041</v>
      </c>
      <c r="U44" s="51" t="s">
        <v>1041</v>
      </c>
      <c r="V44" s="50" t="s">
        <v>1041</v>
      </c>
      <c r="W44" s="51" t="s">
        <v>1041</v>
      </c>
      <c r="X44" s="51" t="s">
        <v>1041</v>
      </c>
      <c r="Y44" s="53" t="s">
        <v>1041</v>
      </c>
      <c r="Z44" s="54" t="s">
        <v>1041</v>
      </c>
    </row>
    <row r="45">
      <c r="A45" s="44">
        <v>38.0</v>
      </c>
      <c r="B45" s="50" t="s">
        <v>1042</v>
      </c>
      <c r="C45" s="51" t="s">
        <v>1042</v>
      </c>
      <c r="D45" s="51" t="s">
        <v>1042</v>
      </c>
      <c r="E45" s="51" t="s">
        <v>1042</v>
      </c>
      <c r="F45" s="51" t="s">
        <v>1042</v>
      </c>
      <c r="G45" s="50" t="s">
        <v>1042</v>
      </c>
      <c r="H45" s="51" t="s">
        <v>1042</v>
      </c>
      <c r="I45" s="51" t="s">
        <v>1042</v>
      </c>
      <c r="J45" s="51" t="s">
        <v>1042</v>
      </c>
      <c r="K45" s="51" t="s">
        <v>1042</v>
      </c>
      <c r="L45" s="50" t="s">
        <v>1042</v>
      </c>
      <c r="M45" s="51" t="s">
        <v>1042</v>
      </c>
      <c r="N45" s="51" t="s">
        <v>1042</v>
      </c>
      <c r="O45" s="51" t="s">
        <v>1042</v>
      </c>
      <c r="P45" s="52" t="s">
        <v>1042</v>
      </c>
      <c r="Q45" s="51" t="s">
        <v>1042</v>
      </c>
      <c r="R45" s="51" t="s">
        <v>1042</v>
      </c>
      <c r="S45" s="51" t="s">
        <v>1042</v>
      </c>
      <c r="T45" s="51" t="s">
        <v>1042</v>
      </c>
      <c r="U45" s="51" t="s">
        <v>1042</v>
      </c>
      <c r="V45" s="50" t="s">
        <v>1042</v>
      </c>
      <c r="W45" s="51" t="s">
        <v>1042</v>
      </c>
      <c r="X45" s="51" t="s">
        <v>1042</v>
      </c>
      <c r="Y45" s="53" t="s">
        <v>1042</v>
      </c>
      <c r="Z45" s="54" t="s">
        <v>1042</v>
      </c>
    </row>
    <row r="46">
      <c r="A46" s="44">
        <v>39.0</v>
      </c>
      <c r="B46" s="50" t="s">
        <v>1041</v>
      </c>
      <c r="C46" s="51" t="s">
        <v>1041</v>
      </c>
      <c r="D46" s="51" t="s">
        <v>1041</v>
      </c>
      <c r="E46" s="51" t="s">
        <v>1041</v>
      </c>
      <c r="F46" s="51" t="s">
        <v>1041</v>
      </c>
      <c r="G46" s="50" t="s">
        <v>1041</v>
      </c>
      <c r="H46" s="51" t="s">
        <v>1041</v>
      </c>
      <c r="I46" s="51" t="s">
        <v>1041</v>
      </c>
      <c r="J46" s="51" t="s">
        <v>1041</v>
      </c>
      <c r="K46" s="51" t="s">
        <v>1041</v>
      </c>
      <c r="L46" s="50" t="s">
        <v>1041</v>
      </c>
      <c r="M46" s="51" t="s">
        <v>1041</v>
      </c>
      <c r="N46" s="51" t="s">
        <v>1041</v>
      </c>
      <c r="O46" s="51" t="s">
        <v>1041</v>
      </c>
      <c r="P46" s="52" t="s">
        <v>1041</v>
      </c>
      <c r="Q46" s="51" t="s">
        <v>1041</v>
      </c>
      <c r="R46" s="51" t="s">
        <v>1041</v>
      </c>
      <c r="S46" s="51" t="s">
        <v>1041</v>
      </c>
      <c r="T46" s="51" t="s">
        <v>1041</v>
      </c>
      <c r="U46" s="51" t="s">
        <v>1041</v>
      </c>
      <c r="V46" s="50" t="s">
        <v>1041</v>
      </c>
      <c r="W46" s="51" t="s">
        <v>1041</v>
      </c>
      <c r="X46" s="51" t="s">
        <v>1041</v>
      </c>
      <c r="Y46" s="53" t="s">
        <v>1041</v>
      </c>
      <c r="Z46" s="54" t="s">
        <v>1041</v>
      </c>
    </row>
    <row r="47">
      <c r="A47" s="44">
        <v>40.0</v>
      </c>
      <c r="B47" s="50" t="s">
        <v>1042</v>
      </c>
      <c r="C47" s="51" t="s">
        <v>1041</v>
      </c>
      <c r="D47" s="51" t="s">
        <v>1042</v>
      </c>
      <c r="E47" s="51" t="s">
        <v>1042</v>
      </c>
      <c r="F47" s="51" t="s">
        <v>1041</v>
      </c>
      <c r="G47" s="50" t="s">
        <v>1042</v>
      </c>
      <c r="H47" s="51" t="s">
        <v>1042</v>
      </c>
      <c r="I47" s="51" t="s">
        <v>1042</v>
      </c>
      <c r="J47" s="51" t="s">
        <v>1042</v>
      </c>
      <c r="K47" s="51" t="s">
        <v>1042</v>
      </c>
      <c r="L47" s="50" t="s">
        <v>1042</v>
      </c>
      <c r="M47" s="51" t="s">
        <v>1042</v>
      </c>
      <c r="N47" s="51" t="s">
        <v>1042</v>
      </c>
      <c r="O47" s="51" t="s">
        <v>1042</v>
      </c>
      <c r="P47" s="52" t="s">
        <v>1041</v>
      </c>
      <c r="Q47" s="51" t="s">
        <v>1042</v>
      </c>
      <c r="R47" s="51" t="s">
        <v>1042</v>
      </c>
      <c r="S47" s="51" t="s">
        <v>1041</v>
      </c>
      <c r="T47" s="51" t="s">
        <v>1042</v>
      </c>
      <c r="U47" s="51" t="s">
        <v>1041</v>
      </c>
      <c r="V47" s="50" t="s">
        <v>1042</v>
      </c>
      <c r="W47" s="51" t="s">
        <v>1042</v>
      </c>
      <c r="X47" s="51" t="s">
        <v>1042</v>
      </c>
      <c r="Y47" s="53" t="s">
        <v>1041</v>
      </c>
      <c r="Z47" s="54" t="s">
        <v>1042</v>
      </c>
    </row>
    <row r="48">
      <c r="A48" s="44">
        <v>41.0</v>
      </c>
      <c r="B48" s="50" t="s">
        <v>1042</v>
      </c>
      <c r="C48" s="51" t="s">
        <v>1042</v>
      </c>
      <c r="D48" s="51" t="s">
        <v>1042</v>
      </c>
      <c r="E48" s="51" t="s">
        <v>1042</v>
      </c>
      <c r="F48" s="51" t="s">
        <v>1042</v>
      </c>
      <c r="G48" s="50" t="s">
        <v>1042</v>
      </c>
      <c r="H48" s="51" t="s">
        <v>1042</v>
      </c>
      <c r="I48" s="51" t="s">
        <v>1042</v>
      </c>
      <c r="J48" s="51" t="s">
        <v>1042</v>
      </c>
      <c r="K48" s="51" t="s">
        <v>1042</v>
      </c>
      <c r="L48" s="50" t="s">
        <v>1042</v>
      </c>
      <c r="M48" s="51" t="s">
        <v>1042</v>
      </c>
      <c r="N48" s="51" t="s">
        <v>1042</v>
      </c>
      <c r="O48" s="51" t="s">
        <v>1042</v>
      </c>
      <c r="P48" s="52" t="s">
        <v>1041</v>
      </c>
      <c r="Q48" s="51" t="s">
        <v>1042</v>
      </c>
      <c r="R48" s="51" t="s">
        <v>1042</v>
      </c>
      <c r="S48" s="51" t="s">
        <v>1042</v>
      </c>
      <c r="T48" s="51" t="s">
        <v>1042</v>
      </c>
      <c r="U48" s="51" t="s">
        <v>1042</v>
      </c>
      <c r="V48" s="50" t="s">
        <v>1042</v>
      </c>
      <c r="W48" s="51" t="s">
        <v>1042</v>
      </c>
      <c r="X48" s="51" t="s">
        <v>1042</v>
      </c>
      <c r="Y48" s="53" t="s">
        <v>1042</v>
      </c>
      <c r="Z48" s="54" t="s">
        <v>1042</v>
      </c>
    </row>
    <row r="49">
      <c r="A49" s="44">
        <v>42.0</v>
      </c>
      <c r="B49" s="50" t="s">
        <v>1041</v>
      </c>
      <c r="C49" s="51" t="s">
        <v>1041</v>
      </c>
      <c r="D49" s="51" t="s">
        <v>1041</v>
      </c>
      <c r="E49" s="51" t="s">
        <v>1041</v>
      </c>
      <c r="F49" s="51" t="s">
        <v>1041</v>
      </c>
      <c r="G49" s="50" t="s">
        <v>1041</v>
      </c>
      <c r="H49" s="51" t="s">
        <v>1041</v>
      </c>
      <c r="I49" s="51" t="s">
        <v>1041</v>
      </c>
      <c r="J49" s="51" t="s">
        <v>1041</v>
      </c>
      <c r="K49" s="51" t="s">
        <v>1041</v>
      </c>
      <c r="L49" s="50" t="s">
        <v>1041</v>
      </c>
      <c r="M49" s="51" t="s">
        <v>1041</v>
      </c>
      <c r="N49" s="51" t="s">
        <v>1041</v>
      </c>
      <c r="O49" s="51" t="s">
        <v>1041</v>
      </c>
      <c r="P49" s="52" t="s">
        <v>1041</v>
      </c>
      <c r="Q49" s="51" t="s">
        <v>1041</v>
      </c>
      <c r="R49" s="51" t="s">
        <v>1041</v>
      </c>
      <c r="S49" s="51" t="s">
        <v>1041</v>
      </c>
      <c r="T49" s="51" t="s">
        <v>1041</v>
      </c>
      <c r="U49" s="51" t="s">
        <v>1041</v>
      </c>
      <c r="V49" s="50" t="s">
        <v>1041</v>
      </c>
      <c r="W49" s="51" t="s">
        <v>1041</v>
      </c>
      <c r="X49" s="51" t="s">
        <v>1041</v>
      </c>
      <c r="Y49" s="53" t="s">
        <v>1041</v>
      </c>
      <c r="Z49" s="54" t="s">
        <v>1041</v>
      </c>
    </row>
    <row r="50">
      <c r="A50" s="44">
        <v>43.0</v>
      </c>
      <c r="B50" s="50" t="s">
        <v>1041</v>
      </c>
      <c r="C50" s="51" t="s">
        <v>1041</v>
      </c>
      <c r="D50" s="51" t="s">
        <v>1041</v>
      </c>
      <c r="E50" s="51" t="s">
        <v>1041</v>
      </c>
      <c r="F50" s="51" t="s">
        <v>1041</v>
      </c>
      <c r="G50" s="50" t="s">
        <v>1041</v>
      </c>
      <c r="H50" s="51" t="s">
        <v>1041</v>
      </c>
      <c r="I50" s="51" t="s">
        <v>1041</v>
      </c>
      <c r="J50" s="51" t="s">
        <v>1042</v>
      </c>
      <c r="K50" s="51" t="s">
        <v>1041</v>
      </c>
      <c r="L50" s="50" t="s">
        <v>1041</v>
      </c>
      <c r="M50" s="51" t="s">
        <v>1041</v>
      </c>
      <c r="N50" s="51" t="s">
        <v>1041</v>
      </c>
      <c r="O50" s="51" t="s">
        <v>1041</v>
      </c>
      <c r="P50" s="52" t="s">
        <v>1042</v>
      </c>
      <c r="Q50" s="51" t="s">
        <v>1041</v>
      </c>
      <c r="R50" s="51" t="s">
        <v>1041</v>
      </c>
      <c r="S50" s="51" t="s">
        <v>1041</v>
      </c>
      <c r="T50" s="51" t="s">
        <v>1041</v>
      </c>
      <c r="U50" s="51" t="s">
        <v>1041</v>
      </c>
      <c r="V50" s="50" t="s">
        <v>1041</v>
      </c>
      <c r="W50" s="51" t="s">
        <v>1041</v>
      </c>
      <c r="X50" s="51" t="s">
        <v>1042</v>
      </c>
      <c r="Y50" s="53" t="s">
        <v>1041</v>
      </c>
      <c r="Z50" s="54" t="s">
        <v>1041</v>
      </c>
    </row>
    <row r="51">
      <c r="A51" s="44">
        <v>44.0</v>
      </c>
      <c r="B51" s="50" t="s">
        <v>1041</v>
      </c>
      <c r="C51" s="51" t="s">
        <v>1041</v>
      </c>
      <c r="D51" s="51" t="s">
        <v>1041</v>
      </c>
      <c r="E51" s="51" t="s">
        <v>1041</v>
      </c>
      <c r="F51" s="51" t="s">
        <v>1041</v>
      </c>
      <c r="G51" s="50" t="s">
        <v>1041</v>
      </c>
      <c r="H51" s="51" t="s">
        <v>1041</v>
      </c>
      <c r="I51" s="51" t="s">
        <v>1041</v>
      </c>
      <c r="J51" s="51" t="s">
        <v>1041</v>
      </c>
      <c r="K51" s="51" t="s">
        <v>1041</v>
      </c>
      <c r="L51" s="50" t="s">
        <v>1041</v>
      </c>
      <c r="M51" s="51" t="s">
        <v>1041</v>
      </c>
      <c r="N51" s="51" t="s">
        <v>1041</v>
      </c>
      <c r="O51" s="51" t="s">
        <v>1041</v>
      </c>
      <c r="P51" s="52" t="s">
        <v>1042</v>
      </c>
      <c r="Q51" s="51" t="s">
        <v>1041</v>
      </c>
      <c r="R51" s="51" t="s">
        <v>1041</v>
      </c>
      <c r="S51" s="51" t="s">
        <v>1041</v>
      </c>
      <c r="T51" s="51" t="s">
        <v>1041</v>
      </c>
      <c r="U51" s="51" t="s">
        <v>1041</v>
      </c>
      <c r="V51" s="50" t="s">
        <v>1041</v>
      </c>
      <c r="W51" s="51" t="s">
        <v>1041</v>
      </c>
      <c r="X51" s="51" t="s">
        <v>1041</v>
      </c>
      <c r="Y51" s="53" t="s">
        <v>1041</v>
      </c>
      <c r="Z51" s="54" t="s">
        <v>1041</v>
      </c>
    </row>
    <row r="52">
      <c r="A52" s="44">
        <v>45.0</v>
      </c>
      <c r="B52" s="50" t="s">
        <v>1042</v>
      </c>
      <c r="C52" s="51" t="s">
        <v>1042</v>
      </c>
      <c r="D52" s="51" t="s">
        <v>1042</v>
      </c>
      <c r="E52" s="51" t="s">
        <v>1042</v>
      </c>
      <c r="F52" s="51" t="s">
        <v>1042</v>
      </c>
      <c r="G52" s="50" t="s">
        <v>1042</v>
      </c>
      <c r="H52" s="51" t="s">
        <v>1042</v>
      </c>
      <c r="I52" s="51" t="s">
        <v>1042</v>
      </c>
      <c r="J52" s="51" t="s">
        <v>1042</v>
      </c>
      <c r="K52" s="51" t="s">
        <v>1042</v>
      </c>
      <c r="L52" s="50" t="s">
        <v>1042</v>
      </c>
      <c r="M52" s="51" t="s">
        <v>1042</v>
      </c>
      <c r="N52" s="51" t="s">
        <v>1042</v>
      </c>
      <c r="O52" s="51" t="s">
        <v>1041</v>
      </c>
      <c r="P52" s="52" t="s">
        <v>1042</v>
      </c>
      <c r="Q52" s="51" t="s">
        <v>1042</v>
      </c>
      <c r="R52" s="51" t="s">
        <v>1042</v>
      </c>
      <c r="S52" s="51" t="s">
        <v>1042</v>
      </c>
      <c r="T52" s="51" t="s">
        <v>1042</v>
      </c>
      <c r="U52" s="51" t="s">
        <v>1042</v>
      </c>
      <c r="V52" s="50" t="s">
        <v>1042</v>
      </c>
      <c r="W52" s="51" t="s">
        <v>1042</v>
      </c>
      <c r="X52" s="51" t="s">
        <v>1042</v>
      </c>
      <c r="Y52" s="53" t="s">
        <v>1042</v>
      </c>
      <c r="Z52" s="54" t="s">
        <v>1042</v>
      </c>
    </row>
    <row r="53">
      <c r="A53" s="44">
        <v>46.0</v>
      </c>
      <c r="B53" s="56" t="s">
        <v>1042</v>
      </c>
      <c r="C53" s="57" t="s">
        <v>1042</v>
      </c>
      <c r="D53" s="57" t="s">
        <v>1042</v>
      </c>
      <c r="E53" s="57" t="s">
        <v>1042</v>
      </c>
      <c r="F53" s="57" t="s">
        <v>1042</v>
      </c>
      <c r="G53" s="56" t="s">
        <v>1042</v>
      </c>
      <c r="H53" s="57" t="s">
        <v>1042</v>
      </c>
      <c r="I53" s="57" t="s">
        <v>1042</v>
      </c>
      <c r="J53" s="57" t="s">
        <v>1042</v>
      </c>
      <c r="K53" s="57" t="s">
        <v>1042</v>
      </c>
      <c r="L53" s="56" t="s">
        <v>1042</v>
      </c>
      <c r="M53" s="57" t="s">
        <v>1042</v>
      </c>
      <c r="N53" s="57" t="s">
        <v>1042</v>
      </c>
      <c r="O53" s="57" t="s">
        <v>1042</v>
      </c>
      <c r="P53" s="58" t="s">
        <v>1042</v>
      </c>
      <c r="Q53" s="57" t="s">
        <v>1042</v>
      </c>
      <c r="R53" s="57" t="s">
        <v>1042</v>
      </c>
      <c r="S53" s="57" t="s">
        <v>1042</v>
      </c>
      <c r="T53" s="57" t="s">
        <v>1042</v>
      </c>
      <c r="U53" s="57" t="s">
        <v>1042</v>
      </c>
      <c r="V53" s="56" t="s">
        <v>1042</v>
      </c>
      <c r="W53" s="57" t="s">
        <v>1042</v>
      </c>
      <c r="X53" s="57" t="s">
        <v>1042</v>
      </c>
      <c r="Y53" s="6" t="s">
        <v>1042</v>
      </c>
      <c r="Z53" s="59" t="s">
        <v>1041</v>
      </c>
    </row>
    <row r="54">
      <c r="A54" s="60"/>
      <c r="B54" s="60"/>
      <c r="C54" s="60"/>
      <c r="D54" s="60"/>
      <c r="E54" s="60"/>
      <c r="F54" s="60"/>
    </row>
    <row r="55">
      <c r="A55" s="60"/>
      <c r="B55" s="60"/>
      <c r="C55" s="60"/>
      <c r="D55" s="60"/>
      <c r="E55" s="60"/>
      <c r="F55" s="60"/>
    </row>
    <row r="56">
      <c r="A56" s="60"/>
      <c r="B56" s="60"/>
      <c r="C56" s="60"/>
      <c r="D56" s="60"/>
      <c r="E56" s="60"/>
      <c r="F56" s="60"/>
    </row>
    <row r="57">
      <c r="A57" s="60"/>
      <c r="B57" s="60"/>
      <c r="C57" s="60"/>
      <c r="D57" s="60"/>
      <c r="E57" s="60"/>
      <c r="F57" s="60"/>
    </row>
    <row r="58">
      <c r="A58" s="60"/>
      <c r="B58" s="60"/>
      <c r="C58" s="60"/>
      <c r="D58" s="60"/>
      <c r="E58" s="60"/>
      <c r="F58" s="60"/>
    </row>
    <row r="59">
      <c r="A59" s="60"/>
      <c r="B59" s="60"/>
      <c r="C59" s="60"/>
      <c r="D59" s="60"/>
      <c r="E59" s="60"/>
      <c r="F59" s="60"/>
    </row>
    <row r="60">
      <c r="A60" s="60"/>
      <c r="B60" s="60"/>
      <c r="C60" s="60"/>
      <c r="D60" s="60"/>
      <c r="E60" s="60"/>
      <c r="F60" s="60"/>
    </row>
    <row r="61">
      <c r="A61" s="60"/>
      <c r="B61" s="60"/>
      <c r="C61" s="60"/>
      <c r="D61" s="60"/>
      <c r="E61" s="60"/>
      <c r="F61" s="60"/>
    </row>
    <row r="62">
      <c r="A62" s="60"/>
      <c r="B62" s="60"/>
      <c r="C62" s="60"/>
      <c r="D62" s="60"/>
      <c r="E62" s="60"/>
      <c r="F62" s="60"/>
    </row>
    <row r="63">
      <c r="A63" s="60"/>
      <c r="B63" s="60"/>
      <c r="C63" s="60"/>
      <c r="D63" s="60"/>
      <c r="E63" s="60"/>
      <c r="F63" s="60"/>
    </row>
    <row r="64">
      <c r="A64" s="60"/>
      <c r="B64" s="60"/>
      <c r="C64" s="60"/>
      <c r="D64" s="60"/>
      <c r="E64" s="60"/>
      <c r="F64" s="60"/>
    </row>
    <row r="65">
      <c r="A65" s="60"/>
      <c r="B65" s="60"/>
      <c r="C65" s="60"/>
      <c r="D65" s="60"/>
      <c r="E65" s="60"/>
      <c r="F65" s="60"/>
    </row>
    <row r="66">
      <c r="A66" s="60"/>
      <c r="B66" s="60"/>
      <c r="C66" s="60"/>
      <c r="D66" s="60"/>
      <c r="E66" s="60"/>
      <c r="F66" s="60"/>
    </row>
    <row r="67">
      <c r="A67" s="60"/>
      <c r="B67" s="60"/>
      <c r="C67" s="60"/>
      <c r="D67" s="60"/>
      <c r="E67" s="60"/>
      <c r="F67" s="60"/>
    </row>
    <row r="68">
      <c r="A68" s="60"/>
      <c r="B68" s="60"/>
      <c r="C68" s="60"/>
      <c r="D68" s="60"/>
      <c r="E68" s="60"/>
      <c r="F68" s="60"/>
    </row>
    <row r="69">
      <c r="A69" s="60"/>
      <c r="B69" s="60"/>
      <c r="C69" s="60"/>
      <c r="D69" s="60"/>
      <c r="E69" s="60"/>
      <c r="F69" s="60"/>
    </row>
    <row r="70">
      <c r="A70" s="60"/>
      <c r="B70" s="60"/>
      <c r="C70" s="60"/>
      <c r="D70" s="60"/>
      <c r="E70" s="60"/>
      <c r="F70" s="60"/>
    </row>
    <row r="71">
      <c r="A71" s="60"/>
      <c r="B71" s="60"/>
      <c r="C71" s="60"/>
      <c r="D71" s="60"/>
      <c r="E71" s="60"/>
      <c r="F71" s="60"/>
    </row>
    <row r="72">
      <c r="A72" s="60"/>
      <c r="B72" s="60"/>
      <c r="C72" s="60"/>
      <c r="D72" s="60"/>
      <c r="E72" s="60"/>
      <c r="F72" s="60"/>
    </row>
    <row r="73">
      <c r="A73" s="60"/>
      <c r="B73" s="60"/>
      <c r="C73" s="60"/>
      <c r="D73" s="60"/>
      <c r="E73" s="60"/>
      <c r="F73" s="60"/>
    </row>
    <row r="74">
      <c r="A74" s="60"/>
      <c r="B74" s="60"/>
      <c r="C74" s="60"/>
      <c r="D74" s="60"/>
      <c r="E74" s="60"/>
      <c r="F74" s="60"/>
    </row>
    <row r="75">
      <c r="A75" s="60"/>
      <c r="B75" s="60"/>
      <c r="C75" s="60"/>
      <c r="D75" s="60"/>
      <c r="E75" s="60"/>
      <c r="F75" s="60"/>
    </row>
    <row r="76">
      <c r="A76" s="60"/>
      <c r="B76" s="60"/>
      <c r="C76" s="60"/>
      <c r="D76" s="60"/>
      <c r="E76" s="60"/>
      <c r="F76" s="60"/>
    </row>
    <row r="77">
      <c r="A77" s="60"/>
      <c r="B77" s="60"/>
      <c r="C77" s="60"/>
      <c r="D77" s="60"/>
      <c r="E77" s="60"/>
      <c r="F77" s="60"/>
    </row>
    <row r="78">
      <c r="A78" s="60"/>
      <c r="B78" s="60"/>
      <c r="C78" s="60"/>
      <c r="D78" s="60"/>
      <c r="E78" s="60"/>
      <c r="F78" s="60"/>
    </row>
    <row r="79">
      <c r="A79" s="60"/>
      <c r="B79" s="60"/>
      <c r="C79" s="60"/>
      <c r="D79" s="60"/>
      <c r="E79" s="60"/>
      <c r="F79" s="60"/>
    </row>
    <row r="80">
      <c r="A80" s="60"/>
      <c r="B80" s="60"/>
      <c r="C80" s="60"/>
      <c r="D80" s="60"/>
      <c r="E80" s="60"/>
      <c r="F80" s="60"/>
    </row>
    <row r="81">
      <c r="A81" s="60"/>
      <c r="B81" s="60"/>
      <c r="C81" s="60"/>
      <c r="D81" s="60"/>
      <c r="E81" s="60"/>
      <c r="F81" s="60"/>
    </row>
    <row r="82">
      <c r="A82" s="60"/>
      <c r="B82" s="60"/>
      <c r="C82" s="60"/>
      <c r="D82" s="60"/>
      <c r="E82" s="60"/>
      <c r="F82" s="60"/>
    </row>
    <row r="83">
      <c r="A83" s="60"/>
      <c r="B83" s="60"/>
      <c r="C83" s="60"/>
      <c r="D83" s="60"/>
      <c r="E83" s="60"/>
      <c r="F83" s="60"/>
    </row>
    <row r="84">
      <c r="A84" s="60"/>
      <c r="B84" s="60"/>
      <c r="C84" s="60"/>
      <c r="D84" s="60"/>
      <c r="E84" s="60"/>
      <c r="F84" s="60"/>
    </row>
    <row r="85">
      <c r="A85" s="60"/>
      <c r="B85" s="60"/>
      <c r="C85" s="60"/>
      <c r="D85" s="60"/>
      <c r="E85" s="60"/>
      <c r="F85" s="60"/>
    </row>
    <row r="86">
      <c r="A86" s="60"/>
      <c r="B86" s="60"/>
      <c r="C86" s="60"/>
      <c r="D86" s="60"/>
      <c r="E86" s="60"/>
      <c r="F86" s="60"/>
    </row>
    <row r="87">
      <c r="A87" s="60"/>
      <c r="B87" s="60"/>
      <c r="C87" s="60"/>
      <c r="D87" s="60"/>
      <c r="E87" s="60"/>
      <c r="F87" s="60"/>
    </row>
    <row r="88">
      <c r="A88" s="60"/>
      <c r="B88" s="60"/>
      <c r="C88" s="60"/>
      <c r="D88" s="60"/>
      <c r="E88" s="60"/>
      <c r="F88" s="60"/>
    </row>
    <row r="89">
      <c r="A89" s="60"/>
      <c r="B89" s="60"/>
      <c r="C89" s="60"/>
      <c r="D89" s="60"/>
      <c r="E89" s="60"/>
      <c r="F89" s="60"/>
    </row>
    <row r="90">
      <c r="A90" s="60"/>
      <c r="B90" s="60"/>
      <c r="C90" s="60"/>
      <c r="D90" s="60"/>
      <c r="E90" s="60"/>
      <c r="F90" s="60"/>
    </row>
    <row r="91">
      <c r="A91" s="60"/>
      <c r="B91" s="60"/>
      <c r="C91" s="60"/>
      <c r="D91" s="60"/>
      <c r="E91" s="60"/>
      <c r="F91" s="60"/>
    </row>
    <row r="92">
      <c r="A92" s="60"/>
      <c r="B92" s="60"/>
      <c r="C92" s="60"/>
      <c r="D92" s="60"/>
      <c r="E92" s="60"/>
      <c r="F92" s="60"/>
    </row>
    <row r="93">
      <c r="A93" s="60"/>
      <c r="B93" s="60"/>
      <c r="C93" s="60"/>
      <c r="D93" s="60"/>
      <c r="E93" s="60"/>
      <c r="F93" s="60"/>
    </row>
    <row r="94">
      <c r="A94" s="60"/>
      <c r="B94" s="60"/>
      <c r="C94" s="60"/>
      <c r="D94" s="60"/>
      <c r="E94" s="60"/>
      <c r="F94" s="60"/>
    </row>
    <row r="95">
      <c r="A95" s="60"/>
      <c r="B95" s="60"/>
      <c r="C95" s="60"/>
      <c r="D95" s="60"/>
      <c r="E95" s="60"/>
      <c r="F95" s="60"/>
    </row>
    <row r="96">
      <c r="A96" s="60"/>
      <c r="B96" s="60"/>
      <c r="C96" s="60"/>
      <c r="D96" s="60"/>
      <c r="E96" s="60"/>
      <c r="F96" s="60"/>
    </row>
    <row r="97">
      <c r="A97" s="60"/>
      <c r="B97" s="60"/>
      <c r="C97" s="60"/>
      <c r="D97" s="60"/>
      <c r="E97" s="60"/>
      <c r="F97" s="60"/>
    </row>
    <row r="98">
      <c r="A98" s="60"/>
      <c r="B98" s="60"/>
      <c r="C98" s="60"/>
      <c r="D98" s="60"/>
      <c r="E98" s="60"/>
      <c r="F98" s="60"/>
    </row>
    <row r="99">
      <c r="A99" s="60"/>
      <c r="B99" s="60"/>
      <c r="C99" s="60"/>
      <c r="D99" s="60"/>
      <c r="E99" s="60"/>
      <c r="F99" s="60"/>
    </row>
    <row r="100">
      <c r="A100" s="60"/>
      <c r="B100" s="60"/>
      <c r="C100" s="60"/>
      <c r="D100" s="60"/>
      <c r="E100" s="60"/>
      <c r="F100" s="60"/>
    </row>
    <row r="101">
      <c r="A101" s="60"/>
      <c r="B101" s="60"/>
      <c r="C101" s="60"/>
      <c r="D101" s="60"/>
      <c r="E101" s="60"/>
      <c r="F101" s="60"/>
    </row>
    <row r="102">
      <c r="A102" s="60"/>
      <c r="B102" s="60"/>
      <c r="C102" s="60"/>
      <c r="D102" s="60"/>
      <c r="E102" s="60"/>
      <c r="F102" s="60"/>
    </row>
    <row r="103">
      <c r="A103" s="60"/>
      <c r="B103" s="60"/>
      <c r="C103" s="60"/>
      <c r="D103" s="60"/>
      <c r="E103" s="60"/>
      <c r="F103" s="60"/>
    </row>
    <row r="104">
      <c r="A104" s="60"/>
      <c r="B104" s="60"/>
      <c r="C104" s="60"/>
      <c r="D104" s="60"/>
      <c r="E104" s="60"/>
      <c r="F104" s="60"/>
    </row>
    <row r="105">
      <c r="A105" s="60"/>
      <c r="B105" s="60"/>
      <c r="C105" s="60"/>
      <c r="D105" s="60"/>
      <c r="E105" s="60"/>
      <c r="F105" s="60"/>
    </row>
    <row r="106">
      <c r="A106" s="60"/>
      <c r="B106" s="60"/>
      <c r="C106" s="60"/>
      <c r="D106" s="60"/>
      <c r="E106" s="60"/>
      <c r="F106" s="60"/>
    </row>
    <row r="107">
      <c r="A107" s="60"/>
      <c r="B107" s="60"/>
      <c r="C107" s="60"/>
      <c r="D107" s="60"/>
      <c r="E107" s="60"/>
      <c r="F107" s="60"/>
    </row>
    <row r="108">
      <c r="A108" s="60"/>
      <c r="B108" s="60"/>
      <c r="C108" s="60"/>
      <c r="D108" s="60"/>
      <c r="E108" s="60"/>
      <c r="F108" s="60"/>
    </row>
    <row r="109">
      <c r="A109" s="60"/>
      <c r="B109" s="60"/>
      <c r="C109" s="60"/>
      <c r="D109" s="60"/>
      <c r="E109" s="60"/>
      <c r="F109" s="60"/>
    </row>
    <row r="110">
      <c r="A110" s="60"/>
      <c r="B110" s="60"/>
      <c r="C110" s="60"/>
      <c r="D110" s="60"/>
      <c r="E110" s="60"/>
      <c r="F110" s="60"/>
    </row>
    <row r="111">
      <c r="A111" s="60"/>
      <c r="B111" s="60"/>
      <c r="C111" s="60"/>
      <c r="D111" s="60"/>
      <c r="E111" s="60"/>
      <c r="F111" s="60"/>
    </row>
    <row r="112">
      <c r="A112" s="60"/>
      <c r="B112" s="60"/>
      <c r="C112" s="60"/>
      <c r="D112" s="60"/>
      <c r="E112" s="60"/>
      <c r="F112" s="60"/>
    </row>
    <row r="113">
      <c r="A113" s="60"/>
      <c r="B113" s="60"/>
      <c r="C113" s="60"/>
      <c r="D113" s="60"/>
      <c r="E113" s="60"/>
      <c r="F113" s="60"/>
    </row>
    <row r="114">
      <c r="A114" s="60"/>
      <c r="B114" s="60"/>
      <c r="C114" s="60"/>
      <c r="D114" s="60"/>
      <c r="E114" s="60"/>
      <c r="F114" s="60"/>
    </row>
    <row r="115">
      <c r="A115" s="60"/>
      <c r="B115" s="60"/>
      <c r="C115" s="60"/>
      <c r="D115" s="60"/>
      <c r="E115" s="60"/>
      <c r="F115" s="60"/>
    </row>
    <row r="116">
      <c r="A116" s="60"/>
      <c r="B116" s="60"/>
      <c r="C116" s="60"/>
      <c r="D116" s="60"/>
      <c r="E116" s="60"/>
      <c r="F116" s="60"/>
    </row>
    <row r="117">
      <c r="A117" s="60"/>
      <c r="B117" s="60"/>
      <c r="C117" s="60"/>
      <c r="D117" s="60"/>
      <c r="E117" s="60"/>
      <c r="F117" s="60"/>
    </row>
    <row r="118">
      <c r="A118" s="60"/>
      <c r="B118" s="60"/>
      <c r="C118" s="60"/>
      <c r="D118" s="60"/>
      <c r="E118" s="60"/>
      <c r="F118" s="60"/>
    </row>
    <row r="119">
      <c r="A119" s="60"/>
      <c r="B119" s="60"/>
      <c r="C119" s="60"/>
      <c r="D119" s="60"/>
      <c r="E119" s="60"/>
      <c r="F119" s="60"/>
    </row>
    <row r="120">
      <c r="A120" s="60"/>
      <c r="B120" s="60"/>
      <c r="C120" s="60"/>
      <c r="D120" s="60"/>
      <c r="E120" s="60"/>
      <c r="F120" s="60"/>
    </row>
    <row r="121">
      <c r="A121" s="60"/>
      <c r="B121" s="60"/>
      <c r="C121" s="60"/>
      <c r="D121" s="60"/>
      <c r="E121" s="60"/>
      <c r="F121" s="60"/>
    </row>
    <row r="122">
      <c r="A122" s="60"/>
      <c r="B122" s="60"/>
      <c r="C122" s="60"/>
      <c r="D122" s="60"/>
      <c r="E122" s="60"/>
      <c r="F122" s="60"/>
    </row>
    <row r="123">
      <c r="A123" s="60"/>
      <c r="B123" s="60"/>
      <c r="C123" s="60"/>
      <c r="D123" s="60"/>
      <c r="E123" s="60"/>
      <c r="F123" s="60"/>
    </row>
    <row r="124">
      <c r="A124" s="60"/>
      <c r="B124" s="60"/>
      <c r="C124" s="60"/>
      <c r="D124" s="60"/>
      <c r="E124" s="60"/>
      <c r="F124" s="60"/>
    </row>
    <row r="125">
      <c r="A125" s="60"/>
      <c r="B125" s="60"/>
      <c r="C125" s="60"/>
      <c r="D125" s="60"/>
      <c r="E125" s="60"/>
      <c r="F125" s="60"/>
    </row>
    <row r="126">
      <c r="A126" s="60"/>
      <c r="B126" s="60"/>
      <c r="C126" s="60"/>
      <c r="D126" s="60"/>
      <c r="E126" s="60"/>
      <c r="F126" s="60"/>
    </row>
    <row r="127">
      <c r="A127" s="60"/>
      <c r="B127" s="60"/>
      <c r="C127" s="60"/>
      <c r="D127" s="60"/>
      <c r="E127" s="60"/>
      <c r="F127" s="60"/>
    </row>
    <row r="128">
      <c r="A128" s="60"/>
      <c r="B128" s="60"/>
      <c r="C128" s="60"/>
      <c r="D128" s="60"/>
      <c r="E128" s="60"/>
      <c r="F128" s="60"/>
    </row>
    <row r="129">
      <c r="A129" s="60"/>
      <c r="B129" s="60"/>
      <c r="C129" s="60"/>
      <c r="D129" s="60"/>
      <c r="E129" s="60"/>
      <c r="F129" s="60"/>
    </row>
    <row r="130">
      <c r="A130" s="60"/>
      <c r="B130" s="60"/>
      <c r="C130" s="60"/>
      <c r="D130" s="60"/>
      <c r="E130" s="60"/>
      <c r="F130" s="60"/>
    </row>
    <row r="131">
      <c r="A131" s="60"/>
      <c r="B131" s="60"/>
      <c r="C131" s="60"/>
      <c r="D131" s="60"/>
      <c r="E131" s="60"/>
      <c r="F131" s="60"/>
    </row>
    <row r="132">
      <c r="A132" s="60"/>
      <c r="B132" s="60"/>
      <c r="C132" s="60"/>
      <c r="D132" s="60"/>
      <c r="E132" s="60"/>
      <c r="F132" s="60"/>
    </row>
    <row r="133">
      <c r="A133" s="60"/>
      <c r="B133" s="60"/>
      <c r="C133" s="60"/>
      <c r="D133" s="60"/>
      <c r="E133" s="60"/>
      <c r="F133" s="60"/>
    </row>
    <row r="134">
      <c r="A134" s="60"/>
      <c r="B134" s="60"/>
      <c r="C134" s="60"/>
      <c r="D134" s="60"/>
      <c r="E134" s="60"/>
      <c r="F134" s="60"/>
    </row>
    <row r="135">
      <c r="A135" s="60"/>
      <c r="B135" s="60"/>
      <c r="C135" s="60"/>
      <c r="D135" s="60"/>
      <c r="E135" s="60"/>
      <c r="F135" s="60"/>
    </row>
    <row r="136">
      <c r="A136" s="60"/>
      <c r="B136" s="60"/>
      <c r="C136" s="60"/>
      <c r="D136" s="60"/>
      <c r="E136" s="60"/>
      <c r="F136" s="60"/>
    </row>
    <row r="137">
      <c r="A137" s="60"/>
      <c r="B137" s="60"/>
      <c r="C137" s="60"/>
      <c r="D137" s="60"/>
      <c r="E137" s="60"/>
      <c r="F137" s="60"/>
    </row>
    <row r="138">
      <c r="A138" s="60"/>
      <c r="B138" s="60"/>
      <c r="C138" s="60"/>
      <c r="D138" s="60"/>
      <c r="E138" s="60"/>
      <c r="F138" s="60"/>
    </row>
    <row r="139">
      <c r="A139" s="60"/>
      <c r="B139" s="60"/>
      <c r="C139" s="60"/>
      <c r="D139" s="60"/>
      <c r="E139" s="60"/>
      <c r="F139" s="60"/>
    </row>
    <row r="140">
      <c r="A140" s="60"/>
      <c r="B140" s="60"/>
      <c r="C140" s="60"/>
      <c r="D140" s="60"/>
      <c r="E140" s="60"/>
      <c r="F140" s="60"/>
    </row>
    <row r="141">
      <c r="A141" s="60"/>
      <c r="B141" s="60"/>
      <c r="C141" s="60"/>
      <c r="D141" s="60"/>
      <c r="E141" s="60"/>
      <c r="F141" s="60"/>
    </row>
    <row r="142">
      <c r="A142" s="60"/>
      <c r="B142" s="60"/>
      <c r="C142" s="60"/>
      <c r="D142" s="60"/>
      <c r="E142" s="60"/>
      <c r="F142" s="60"/>
    </row>
    <row r="143">
      <c r="A143" s="60"/>
      <c r="B143" s="60"/>
      <c r="C143" s="60"/>
      <c r="D143" s="60"/>
      <c r="E143" s="60"/>
      <c r="F143" s="60"/>
    </row>
    <row r="144">
      <c r="A144" s="60"/>
      <c r="B144" s="60"/>
      <c r="C144" s="60"/>
      <c r="D144" s="60"/>
      <c r="E144" s="60"/>
      <c r="F144" s="60"/>
    </row>
    <row r="145">
      <c r="A145" s="60"/>
      <c r="B145" s="60"/>
      <c r="C145" s="60"/>
      <c r="D145" s="60"/>
      <c r="E145" s="60"/>
      <c r="F145" s="60"/>
    </row>
    <row r="146">
      <c r="A146" s="60"/>
      <c r="B146" s="60"/>
      <c r="C146" s="60"/>
      <c r="D146" s="60"/>
      <c r="E146" s="60"/>
      <c r="F146" s="60"/>
    </row>
    <row r="147">
      <c r="A147" s="60"/>
      <c r="B147" s="60"/>
      <c r="C147" s="60"/>
      <c r="D147" s="60"/>
      <c r="E147" s="60"/>
      <c r="F147" s="60"/>
    </row>
    <row r="148">
      <c r="A148" s="60"/>
      <c r="B148" s="60"/>
      <c r="C148" s="60"/>
      <c r="D148" s="60"/>
      <c r="E148" s="60"/>
      <c r="F148" s="60"/>
    </row>
    <row r="149">
      <c r="A149" s="60"/>
      <c r="B149" s="60"/>
      <c r="C149" s="60"/>
      <c r="D149" s="60"/>
      <c r="E149" s="60"/>
      <c r="F149" s="60"/>
    </row>
    <row r="150">
      <c r="A150" s="60"/>
      <c r="B150" s="60"/>
      <c r="C150" s="60"/>
      <c r="D150" s="60"/>
      <c r="E150" s="60"/>
      <c r="F150" s="60"/>
    </row>
    <row r="151">
      <c r="A151" s="60"/>
      <c r="B151" s="60"/>
      <c r="C151" s="60"/>
      <c r="D151" s="60"/>
      <c r="E151" s="60"/>
      <c r="F151" s="60"/>
    </row>
    <row r="152">
      <c r="A152" s="60"/>
      <c r="B152" s="60"/>
      <c r="C152" s="60"/>
      <c r="D152" s="60"/>
      <c r="E152" s="60"/>
      <c r="F152" s="60"/>
    </row>
    <row r="153">
      <c r="A153" s="60"/>
      <c r="B153" s="60"/>
      <c r="C153" s="60"/>
      <c r="D153" s="60"/>
      <c r="E153" s="60"/>
      <c r="F153" s="60"/>
    </row>
    <row r="154">
      <c r="A154" s="60"/>
      <c r="B154" s="60"/>
      <c r="C154" s="60"/>
      <c r="D154" s="60"/>
      <c r="E154" s="60"/>
      <c r="F154" s="60"/>
    </row>
    <row r="155">
      <c r="A155" s="60"/>
      <c r="B155" s="60"/>
      <c r="C155" s="60"/>
      <c r="D155" s="60"/>
      <c r="E155" s="60"/>
      <c r="F155" s="60"/>
    </row>
    <row r="156">
      <c r="A156" s="60"/>
      <c r="B156" s="60"/>
      <c r="C156" s="60"/>
      <c r="D156" s="60"/>
      <c r="E156" s="60"/>
      <c r="F156" s="60"/>
    </row>
    <row r="157">
      <c r="A157" s="60"/>
      <c r="B157" s="60"/>
      <c r="C157" s="60"/>
      <c r="D157" s="60"/>
      <c r="E157" s="60"/>
      <c r="F157" s="60"/>
    </row>
    <row r="158">
      <c r="A158" s="60"/>
      <c r="B158" s="60"/>
      <c r="C158" s="60"/>
      <c r="D158" s="60"/>
      <c r="E158" s="60"/>
      <c r="F158" s="60"/>
    </row>
    <row r="159">
      <c r="A159" s="60"/>
      <c r="B159" s="60"/>
      <c r="C159" s="60"/>
      <c r="D159" s="60"/>
      <c r="E159" s="60"/>
      <c r="F159" s="60"/>
    </row>
    <row r="160">
      <c r="A160" s="60"/>
      <c r="B160" s="60"/>
      <c r="C160" s="60"/>
      <c r="D160" s="60"/>
      <c r="E160" s="60"/>
      <c r="F160" s="60"/>
    </row>
    <row r="161">
      <c r="A161" s="60"/>
      <c r="B161" s="60"/>
      <c r="C161" s="60"/>
      <c r="D161" s="60"/>
      <c r="E161" s="60"/>
      <c r="F161" s="60"/>
    </row>
    <row r="162">
      <c r="A162" s="60"/>
      <c r="B162" s="60"/>
      <c r="C162" s="60"/>
      <c r="D162" s="60"/>
      <c r="E162" s="60"/>
      <c r="F162" s="60"/>
    </row>
    <row r="163">
      <c r="A163" s="60"/>
      <c r="B163" s="60"/>
      <c r="C163" s="60"/>
      <c r="D163" s="60"/>
      <c r="E163" s="60"/>
      <c r="F163" s="60"/>
    </row>
    <row r="164">
      <c r="A164" s="60"/>
      <c r="B164" s="60"/>
      <c r="C164" s="60"/>
      <c r="D164" s="60"/>
      <c r="E164" s="60"/>
      <c r="F164" s="60"/>
    </row>
    <row r="165">
      <c r="A165" s="60"/>
      <c r="B165" s="60"/>
      <c r="C165" s="60"/>
      <c r="D165" s="60"/>
      <c r="E165" s="60"/>
      <c r="F165" s="60"/>
    </row>
    <row r="166">
      <c r="A166" s="60"/>
      <c r="B166" s="60"/>
      <c r="C166" s="60"/>
      <c r="D166" s="60"/>
      <c r="E166" s="60"/>
      <c r="F166" s="60"/>
    </row>
    <row r="167">
      <c r="A167" s="60"/>
      <c r="B167" s="60"/>
      <c r="C167" s="60"/>
      <c r="D167" s="60"/>
      <c r="E167" s="60"/>
      <c r="F167" s="60"/>
    </row>
    <row r="168">
      <c r="A168" s="60"/>
      <c r="B168" s="60"/>
      <c r="C168" s="60"/>
      <c r="D168" s="60"/>
      <c r="E168" s="60"/>
      <c r="F168" s="60"/>
    </row>
    <row r="169">
      <c r="A169" s="60"/>
      <c r="B169" s="60"/>
      <c r="C169" s="60"/>
      <c r="D169" s="60"/>
      <c r="E169" s="60"/>
      <c r="F169" s="60"/>
    </row>
    <row r="170">
      <c r="A170" s="60"/>
      <c r="B170" s="60"/>
      <c r="C170" s="60"/>
      <c r="D170" s="60"/>
      <c r="E170" s="60"/>
      <c r="F170" s="60"/>
    </row>
    <row r="171">
      <c r="A171" s="60"/>
      <c r="B171" s="60"/>
      <c r="C171" s="60"/>
      <c r="D171" s="60"/>
      <c r="E171" s="60"/>
      <c r="F171" s="60"/>
    </row>
    <row r="172">
      <c r="A172" s="60"/>
      <c r="B172" s="60"/>
      <c r="C172" s="60"/>
      <c r="D172" s="60"/>
      <c r="E172" s="60"/>
      <c r="F172" s="60"/>
    </row>
    <row r="173">
      <c r="A173" s="60"/>
      <c r="B173" s="60"/>
      <c r="C173" s="60"/>
      <c r="D173" s="60"/>
      <c r="E173" s="60"/>
      <c r="F173" s="60"/>
    </row>
    <row r="174">
      <c r="A174" s="60"/>
      <c r="B174" s="60"/>
      <c r="C174" s="60"/>
      <c r="D174" s="60"/>
      <c r="E174" s="60"/>
      <c r="F174" s="60"/>
    </row>
    <row r="175">
      <c r="A175" s="60"/>
      <c r="B175" s="60"/>
      <c r="C175" s="60"/>
      <c r="D175" s="60"/>
      <c r="E175" s="60"/>
      <c r="F175" s="60"/>
    </row>
    <row r="176">
      <c r="A176" s="60"/>
      <c r="B176" s="60"/>
      <c r="C176" s="60"/>
      <c r="D176" s="60"/>
      <c r="E176" s="60"/>
      <c r="F176" s="60"/>
    </row>
    <row r="177">
      <c r="A177" s="60"/>
      <c r="B177" s="60"/>
      <c r="C177" s="60"/>
      <c r="D177" s="60"/>
      <c r="E177" s="60"/>
      <c r="F177" s="60"/>
    </row>
    <row r="178">
      <c r="A178" s="60"/>
      <c r="B178" s="60"/>
      <c r="C178" s="60"/>
      <c r="D178" s="60"/>
      <c r="E178" s="60"/>
      <c r="F178" s="60"/>
    </row>
    <row r="179">
      <c r="A179" s="60"/>
      <c r="B179" s="60"/>
      <c r="C179" s="60"/>
      <c r="D179" s="60"/>
      <c r="E179" s="60"/>
      <c r="F179" s="60"/>
    </row>
    <row r="180">
      <c r="A180" s="60"/>
      <c r="B180" s="60"/>
      <c r="C180" s="60"/>
      <c r="D180" s="60"/>
      <c r="E180" s="60"/>
      <c r="F180" s="60"/>
    </row>
    <row r="181">
      <c r="A181" s="60"/>
      <c r="B181" s="60"/>
      <c r="C181" s="60"/>
      <c r="D181" s="60"/>
      <c r="E181" s="60"/>
      <c r="F181" s="60"/>
    </row>
    <row r="182">
      <c r="A182" s="60"/>
      <c r="B182" s="60"/>
      <c r="C182" s="60"/>
      <c r="D182" s="60"/>
      <c r="E182" s="60"/>
      <c r="F182" s="60"/>
    </row>
    <row r="183">
      <c r="A183" s="60"/>
      <c r="B183" s="60"/>
      <c r="C183" s="60"/>
      <c r="D183" s="60"/>
      <c r="E183" s="60"/>
      <c r="F183" s="60"/>
    </row>
    <row r="184">
      <c r="A184" s="60"/>
      <c r="B184" s="60"/>
      <c r="C184" s="60"/>
      <c r="D184" s="60"/>
      <c r="E184" s="60"/>
      <c r="F184" s="60"/>
    </row>
    <row r="185">
      <c r="A185" s="60"/>
      <c r="B185" s="60"/>
      <c r="C185" s="60"/>
      <c r="D185" s="60"/>
      <c r="E185" s="60"/>
      <c r="F185" s="60"/>
    </row>
    <row r="186">
      <c r="A186" s="60"/>
      <c r="B186" s="60"/>
      <c r="C186" s="60"/>
      <c r="D186" s="60"/>
      <c r="E186" s="60"/>
      <c r="F186" s="60"/>
    </row>
    <row r="187">
      <c r="A187" s="60"/>
      <c r="B187" s="60"/>
      <c r="C187" s="60"/>
      <c r="D187" s="60"/>
      <c r="E187" s="60"/>
      <c r="F187" s="60"/>
    </row>
    <row r="188">
      <c r="A188" s="60"/>
      <c r="B188" s="60"/>
      <c r="C188" s="60"/>
      <c r="D188" s="60"/>
      <c r="E188" s="60"/>
      <c r="F188" s="60"/>
    </row>
    <row r="189">
      <c r="A189" s="60"/>
      <c r="B189" s="60"/>
      <c r="C189" s="60"/>
      <c r="D189" s="60"/>
      <c r="E189" s="60"/>
      <c r="F189" s="60"/>
    </row>
    <row r="190">
      <c r="A190" s="60"/>
      <c r="B190" s="60"/>
      <c r="C190" s="60"/>
      <c r="D190" s="60"/>
      <c r="E190" s="60"/>
      <c r="F190" s="60"/>
    </row>
    <row r="191">
      <c r="A191" s="60"/>
      <c r="B191" s="60"/>
      <c r="C191" s="60"/>
      <c r="D191" s="60"/>
      <c r="E191" s="60"/>
      <c r="F191" s="60"/>
    </row>
    <row r="192">
      <c r="A192" s="60"/>
      <c r="B192" s="60"/>
      <c r="C192" s="60"/>
      <c r="D192" s="60"/>
      <c r="E192" s="60"/>
      <c r="F192" s="60"/>
    </row>
    <row r="193">
      <c r="A193" s="60"/>
      <c r="B193" s="60"/>
      <c r="C193" s="60"/>
      <c r="D193" s="60"/>
      <c r="E193" s="60"/>
      <c r="F193" s="60"/>
    </row>
    <row r="194">
      <c r="A194" s="60"/>
      <c r="B194" s="60"/>
      <c r="C194" s="60"/>
      <c r="D194" s="60"/>
      <c r="E194" s="60"/>
      <c r="F194" s="60"/>
    </row>
    <row r="195">
      <c r="A195" s="60"/>
      <c r="B195" s="60"/>
      <c r="C195" s="60"/>
      <c r="D195" s="60"/>
      <c r="E195" s="60"/>
      <c r="F195" s="60"/>
    </row>
    <row r="196">
      <c r="A196" s="60"/>
      <c r="B196" s="60"/>
      <c r="C196" s="60"/>
      <c r="D196" s="60"/>
      <c r="E196" s="60"/>
      <c r="F196" s="60"/>
    </row>
    <row r="197">
      <c r="A197" s="60"/>
      <c r="B197" s="60"/>
      <c r="C197" s="60"/>
      <c r="D197" s="60"/>
      <c r="E197" s="60"/>
      <c r="F197" s="60"/>
    </row>
    <row r="198">
      <c r="A198" s="60"/>
      <c r="B198" s="60"/>
      <c r="C198" s="60"/>
      <c r="D198" s="60"/>
      <c r="E198" s="60"/>
      <c r="F198" s="60"/>
    </row>
    <row r="199">
      <c r="A199" s="60"/>
      <c r="B199" s="60"/>
      <c r="C199" s="60"/>
      <c r="D199" s="60"/>
      <c r="E199" s="60"/>
      <c r="F199" s="60"/>
    </row>
    <row r="200">
      <c r="A200" s="60"/>
      <c r="B200" s="60"/>
      <c r="C200" s="60"/>
      <c r="D200" s="60"/>
      <c r="E200" s="60"/>
      <c r="F200" s="60"/>
    </row>
    <row r="201">
      <c r="A201" s="60"/>
      <c r="B201" s="60"/>
      <c r="C201" s="60"/>
      <c r="D201" s="60"/>
      <c r="E201" s="60"/>
      <c r="F201" s="60"/>
    </row>
    <row r="202">
      <c r="A202" s="60"/>
      <c r="B202" s="60"/>
      <c r="C202" s="60"/>
      <c r="D202" s="60"/>
      <c r="E202" s="60"/>
      <c r="F202" s="60"/>
    </row>
    <row r="203">
      <c r="A203" s="60"/>
      <c r="B203" s="60"/>
      <c r="C203" s="60"/>
      <c r="D203" s="60"/>
      <c r="E203" s="60"/>
      <c r="F203" s="60"/>
    </row>
    <row r="204">
      <c r="A204" s="60"/>
      <c r="B204" s="60"/>
      <c r="C204" s="60"/>
      <c r="D204" s="60"/>
      <c r="E204" s="60"/>
      <c r="F204" s="60"/>
    </row>
    <row r="205">
      <c r="A205" s="60"/>
      <c r="B205" s="60"/>
      <c r="C205" s="60"/>
      <c r="D205" s="60"/>
      <c r="E205" s="60"/>
      <c r="F205" s="60"/>
    </row>
    <row r="206">
      <c r="A206" s="60"/>
      <c r="B206" s="60"/>
      <c r="C206" s="60"/>
      <c r="D206" s="60"/>
      <c r="E206" s="60"/>
      <c r="F206" s="60"/>
    </row>
    <row r="207">
      <c r="A207" s="60"/>
      <c r="B207" s="60"/>
      <c r="C207" s="60"/>
      <c r="D207" s="60"/>
      <c r="E207" s="60"/>
      <c r="F207" s="60"/>
    </row>
    <row r="208">
      <c r="A208" s="60"/>
      <c r="B208" s="60"/>
      <c r="C208" s="60"/>
      <c r="D208" s="60"/>
      <c r="E208" s="60"/>
      <c r="F208" s="60"/>
    </row>
    <row r="209">
      <c r="A209" s="60"/>
      <c r="B209" s="60"/>
      <c r="C209" s="60"/>
      <c r="D209" s="60"/>
      <c r="E209" s="60"/>
      <c r="F209" s="60"/>
    </row>
    <row r="210">
      <c r="A210" s="60"/>
      <c r="B210" s="60"/>
      <c r="C210" s="60"/>
      <c r="D210" s="60"/>
      <c r="E210" s="60"/>
      <c r="F210" s="60"/>
    </row>
    <row r="211">
      <c r="A211" s="60"/>
      <c r="B211" s="60"/>
      <c r="C211" s="60"/>
      <c r="D211" s="60"/>
      <c r="E211" s="60"/>
      <c r="F211" s="60"/>
    </row>
    <row r="212">
      <c r="A212" s="60"/>
      <c r="B212" s="60"/>
      <c r="C212" s="60"/>
      <c r="D212" s="60"/>
      <c r="E212" s="60"/>
      <c r="F212" s="60"/>
    </row>
    <row r="213">
      <c r="A213" s="60"/>
      <c r="B213" s="60"/>
      <c r="C213" s="60"/>
      <c r="D213" s="60"/>
      <c r="E213" s="60"/>
      <c r="F213" s="60"/>
    </row>
    <row r="214">
      <c r="A214" s="60"/>
      <c r="B214" s="60"/>
      <c r="C214" s="60"/>
      <c r="D214" s="60"/>
      <c r="E214" s="60"/>
      <c r="F214" s="60"/>
    </row>
    <row r="215">
      <c r="A215" s="60"/>
      <c r="B215" s="60"/>
      <c r="C215" s="60"/>
      <c r="D215" s="60"/>
      <c r="E215" s="60"/>
      <c r="F215" s="60"/>
    </row>
    <row r="216">
      <c r="A216" s="60"/>
      <c r="B216" s="60"/>
      <c r="C216" s="60"/>
      <c r="D216" s="60"/>
      <c r="E216" s="60"/>
      <c r="F216" s="60"/>
    </row>
    <row r="217">
      <c r="A217" s="60"/>
      <c r="B217" s="60"/>
      <c r="C217" s="60"/>
      <c r="D217" s="60"/>
      <c r="E217" s="60"/>
      <c r="F217" s="60"/>
    </row>
    <row r="218">
      <c r="A218" s="60"/>
      <c r="B218" s="60"/>
      <c r="C218" s="60"/>
      <c r="D218" s="60"/>
      <c r="E218" s="60"/>
      <c r="F218" s="60"/>
    </row>
    <row r="219">
      <c r="A219" s="60"/>
      <c r="B219" s="60"/>
      <c r="C219" s="60"/>
      <c r="D219" s="60"/>
      <c r="E219" s="60"/>
      <c r="F219" s="60"/>
    </row>
    <row r="220">
      <c r="A220" s="60"/>
      <c r="B220" s="60"/>
      <c r="C220" s="60"/>
      <c r="D220" s="60"/>
      <c r="E220" s="60"/>
      <c r="F220" s="60"/>
    </row>
    <row r="221">
      <c r="A221" s="60"/>
      <c r="B221" s="60"/>
      <c r="C221" s="60"/>
      <c r="D221" s="60"/>
      <c r="E221" s="60"/>
      <c r="F221" s="60"/>
    </row>
    <row r="222">
      <c r="A222" s="60"/>
      <c r="B222" s="60"/>
      <c r="C222" s="60"/>
      <c r="D222" s="60"/>
      <c r="E222" s="60"/>
      <c r="F222" s="60"/>
    </row>
    <row r="223">
      <c r="A223" s="60"/>
      <c r="B223" s="60"/>
      <c r="C223" s="60"/>
      <c r="D223" s="60"/>
      <c r="E223" s="60"/>
      <c r="F223" s="60"/>
    </row>
    <row r="224">
      <c r="A224" s="60"/>
      <c r="B224" s="60"/>
      <c r="C224" s="60"/>
      <c r="D224" s="60"/>
      <c r="E224" s="60"/>
      <c r="F224" s="60"/>
    </row>
    <row r="225">
      <c r="A225" s="60"/>
      <c r="B225" s="60"/>
      <c r="C225" s="60"/>
      <c r="D225" s="60"/>
      <c r="E225" s="60"/>
      <c r="F225" s="60"/>
    </row>
    <row r="226">
      <c r="A226" s="60"/>
      <c r="B226" s="60"/>
      <c r="C226" s="60"/>
      <c r="D226" s="60"/>
      <c r="E226" s="60"/>
      <c r="F226" s="60"/>
    </row>
    <row r="227">
      <c r="A227" s="60"/>
      <c r="B227" s="60"/>
      <c r="C227" s="60"/>
      <c r="D227" s="60"/>
      <c r="E227" s="60"/>
      <c r="F227" s="60"/>
    </row>
    <row r="228">
      <c r="A228" s="60"/>
      <c r="B228" s="60"/>
      <c r="C228" s="60"/>
      <c r="D228" s="60"/>
      <c r="E228" s="60"/>
      <c r="F228" s="60"/>
    </row>
    <row r="229">
      <c r="A229" s="60"/>
      <c r="B229" s="60"/>
      <c r="C229" s="60"/>
      <c r="D229" s="60"/>
      <c r="E229" s="60"/>
      <c r="F229" s="60"/>
    </row>
    <row r="230">
      <c r="A230" s="60"/>
      <c r="B230" s="60"/>
      <c r="C230" s="60"/>
      <c r="D230" s="60"/>
      <c r="E230" s="60"/>
      <c r="F230" s="60"/>
    </row>
    <row r="231">
      <c r="A231" s="60"/>
      <c r="B231" s="60"/>
      <c r="C231" s="60"/>
      <c r="D231" s="60"/>
      <c r="E231" s="60"/>
      <c r="F231" s="60"/>
    </row>
    <row r="232">
      <c r="A232" s="60"/>
      <c r="B232" s="60"/>
      <c r="C232" s="60"/>
      <c r="D232" s="60"/>
      <c r="E232" s="60"/>
      <c r="F232" s="60"/>
    </row>
    <row r="233">
      <c r="A233" s="60"/>
      <c r="B233" s="60"/>
      <c r="C233" s="60"/>
      <c r="D233" s="60"/>
      <c r="E233" s="60"/>
      <c r="F233" s="60"/>
    </row>
    <row r="234">
      <c r="A234" s="60"/>
      <c r="B234" s="60"/>
      <c r="C234" s="60"/>
      <c r="D234" s="60"/>
      <c r="E234" s="60"/>
      <c r="F234" s="60"/>
    </row>
    <row r="235">
      <c r="A235" s="60"/>
      <c r="B235" s="60"/>
      <c r="C235" s="60"/>
      <c r="D235" s="60"/>
      <c r="E235" s="60"/>
      <c r="F235" s="60"/>
    </row>
    <row r="236">
      <c r="A236" s="60"/>
      <c r="B236" s="60"/>
      <c r="C236" s="60"/>
      <c r="D236" s="60"/>
      <c r="E236" s="60"/>
      <c r="F236" s="60"/>
    </row>
    <row r="237">
      <c r="A237" s="60"/>
      <c r="B237" s="60"/>
      <c r="C237" s="60"/>
      <c r="D237" s="60"/>
      <c r="E237" s="60"/>
      <c r="F237" s="60"/>
    </row>
    <row r="238">
      <c r="A238" s="60"/>
      <c r="B238" s="60"/>
      <c r="C238" s="60"/>
      <c r="D238" s="60"/>
      <c r="E238" s="60"/>
      <c r="F238" s="60"/>
    </row>
    <row r="239">
      <c r="A239" s="60"/>
      <c r="B239" s="60"/>
      <c r="C239" s="60"/>
      <c r="D239" s="60"/>
      <c r="E239" s="60"/>
      <c r="F239" s="60"/>
    </row>
    <row r="240">
      <c r="A240" s="60"/>
      <c r="B240" s="60"/>
      <c r="C240" s="60"/>
      <c r="D240" s="60"/>
      <c r="E240" s="60"/>
      <c r="F240" s="60"/>
    </row>
    <row r="241">
      <c r="A241" s="60"/>
      <c r="B241" s="60"/>
      <c r="C241" s="60"/>
      <c r="D241" s="60"/>
      <c r="E241" s="60"/>
      <c r="F241" s="60"/>
    </row>
    <row r="242">
      <c r="A242" s="60"/>
      <c r="B242" s="60"/>
      <c r="C242" s="60"/>
      <c r="D242" s="60"/>
      <c r="E242" s="60"/>
      <c r="F242" s="60"/>
    </row>
    <row r="243">
      <c r="A243" s="60"/>
      <c r="B243" s="60"/>
      <c r="C243" s="60"/>
      <c r="D243" s="60"/>
      <c r="E243" s="60"/>
      <c r="F243" s="60"/>
    </row>
    <row r="244">
      <c r="A244" s="60"/>
      <c r="B244" s="60"/>
      <c r="C244" s="60"/>
      <c r="D244" s="60"/>
      <c r="E244" s="60"/>
      <c r="F244" s="60"/>
    </row>
    <row r="245">
      <c r="A245" s="60"/>
      <c r="B245" s="60"/>
      <c r="C245" s="60"/>
      <c r="D245" s="60"/>
      <c r="E245" s="60"/>
      <c r="F245" s="60"/>
    </row>
    <row r="246">
      <c r="A246" s="60"/>
      <c r="B246" s="60"/>
      <c r="C246" s="60"/>
      <c r="D246" s="60"/>
      <c r="E246" s="60"/>
      <c r="F246" s="60"/>
    </row>
    <row r="247">
      <c r="A247" s="60"/>
      <c r="B247" s="60"/>
      <c r="C247" s="60"/>
      <c r="D247" s="60"/>
      <c r="E247" s="60"/>
      <c r="F247" s="60"/>
    </row>
    <row r="248">
      <c r="A248" s="60"/>
      <c r="B248" s="60"/>
      <c r="C248" s="60"/>
      <c r="D248" s="60"/>
      <c r="E248" s="60"/>
      <c r="F248" s="60"/>
    </row>
    <row r="249">
      <c r="A249" s="60"/>
      <c r="B249" s="60"/>
      <c r="C249" s="60"/>
      <c r="D249" s="60"/>
      <c r="E249" s="60"/>
      <c r="F249" s="60"/>
    </row>
    <row r="250">
      <c r="A250" s="60"/>
      <c r="B250" s="60"/>
      <c r="C250" s="60"/>
      <c r="D250" s="60"/>
      <c r="E250" s="60"/>
      <c r="F250" s="60"/>
    </row>
    <row r="251">
      <c r="A251" s="60"/>
      <c r="B251" s="60"/>
      <c r="C251" s="60"/>
      <c r="D251" s="60"/>
      <c r="E251" s="60"/>
      <c r="F251" s="60"/>
    </row>
    <row r="252">
      <c r="A252" s="60"/>
      <c r="B252" s="60"/>
      <c r="C252" s="60"/>
      <c r="D252" s="60"/>
      <c r="E252" s="60"/>
      <c r="F252" s="60"/>
    </row>
    <row r="253">
      <c r="A253" s="60"/>
      <c r="B253" s="60"/>
      <c r="C253" s="60"/>
      <c r="D253" s="60"/>
      <c r="E253" s="60"/>
      <c r="F253" s="60"/>
    </row>
    <row r="254">
      <c r="A254" s="60"/>
      <c r="B254" s="60"/>
      <c r="C254" s="60"/>
      <c r="D254" s="60"/>
      <c r="E254" s="60"/>
      <c r="F254" s="60"/>
    </row>
    <row r="255">
      <c r="A255" s="60"/>
      <c r="B255" s="60"/>
      <c r="C255" s="60"/>
      <c r="D255" s="60"/>
      <c r="E255" s="60"/>
      <c r="F255" s="60"/>
    </row>
    <row r="256">
      <c r="A256" s="60"/>
      <c r="B256" s="60"/>
      <c r="C256" s="60"/>
      <c r="D256" s="60"/>
      <c r="E256" s="60"/>
      <c r="F256" s="60"/>
    </row>
    <row r="257">
      <c r="A257" s="60"/>
      <c r="B257" s="60"/>
      <c r="C257" s="60"/>
      <c r="D257" s="60"/>
      <c r="E257" s="60"/>
      <c r="F257" s="60"/>
    </row>
    <row r="258">
      <c r="A258" s="60"/>
      <c r="B258" s="60"/>
      <c r="C258" s="60"/>
      <c r="D258" s="60"/>
      <c r="E258" s="60"/>
      <c r="F258" s="60"/>
    </row>
    <row r="259">
      <c r="A259" s="60"/>
      <c r="B259" s="60"/>
      <c r="C259" s="60"/>
      <c r="D259" s="60"/>
      <c r="E259" s="60"/>
      <c r="F259" s="60"/>
    </row>
    <row r="260">
      <c r="A260" s="60"/>
      <c r="B260" s="60"/>
      <c r="C260" s="60"/>
      <c r="D260" s="60"/>
      <c r="E260" s="60"/>
      <c r="F260" s="60"/>
    </row>
    <row r="261">
      <c r="A261" s="60"/>
      <c r="B261" s="60"/>
      <c r="C261" s="60"/>
      <c r="D261" s="60"/>
      <c r="E261" s="60"/>
      <c r="F261" s="60"/>
    </row>
    <row r="262">
      <c r="A262" s="60"/>
      <c r="B262" s="60"/>
      <c r="C262" s="60"/>
      <c r="D262" s="60"/>
      <c r="E262" s="60"/>
      <c r="F262" s="60"/>
    </row>
    <row r="263">
      <c r="A263" s="60"/>
      <c r="B263" s="60"/>
      <c r="C263" s="60"/>
      <c r="D263" s="60"/>
      <c r="E263" s="60"/>
      <c r="F263" s="60"/>
    </row>
    <row r="264">
      <c r="A264" s="60"/>
      <c r="B264" s="60"/>
      <c r="C264" s="60"/>
      <c r="D264" s="60"/>
      <c r="E264" s="60"/>
      <c r="F264" s="60"/>
    </row>
    <row r="265">
      <c r="A265" s="60"/>
      <c r="B265" s="60"/>
      <c r="C265" s="60"/>
      <c r="D265" s="60"/>
      <c r="E265" s="60"/>
      <c r="F265" s="60"/>
    </row>
    <row r="266">
      <c r="A266" s="60"/>
      <c r="B266" s="60"/>
      <c r="C266" s="60"/>
      <c r="D266" s="60"/>
      <c r="E266" s="60"/>
      <c r="F266" s="60"/>
    </row>
    <row r="267">
      <c r="A267" s="60"/>
      <c r="B267" s="60"/>
      <c r="C267" s="60"/>
      <c r="D267" s="60"/>
      <c r="E267" s="60"/>
      <c r="F267" s="60"/>
    </row>
    <row r="268">
      <c r="A268" s="60"/>
      <c r="B268" s="60"/>
      <c r="C268" s="60"/>
      <c r="D268" s="60"/>
      <c r="E268" s="60"/>
      <c r="F268" s="60"/>
    </row>
    <row r="269">
      <c r="A269" s="60"/>
      <c r="B269" s="60"/>
      <c r="C269" s="60"/>
      <c r="D269" s="60"/>
      <c r="E269" s="60"/>
      <c r="F269" s="60"/>
    </row>
    <row r="270">
      <c r="A270" s="60"/>
      <c r="B270" s="60"/>
      <c r="C270" s="60"/>
      <c r="D270" s="60"/>
      <c r="E270" s="60"/>
      <c r="F270" s="60"/>
    </row>
    <row r="271">
      <c r="A271" s="60"/>
      <c r="B271" s="60"/>
      <c r="C271" s="60"/>
      <c r="D271" s="60"/>
      <c r="E271" s="60"/>
      <c r="F271" s="60"/>
    </row>
    <row r="272">
      <c r="A272" s="60"/>
      <c r="B272" s="60"/>
      <c r="C272" s="60"/>
      <c r="D272" s="60"/>
      <c r="E272" s="60"/>
      <c r="F272" s="60"/>
    </row>
    <row r="273">
      <c r="A273" s="60"/>
      <c r="B273" s="60"/>
      <c r="C273" s="60"/>
      <c r="D273" s="60"/>
      <c r="E273" s="60"/>
      <c r="F273" s="60"/>
    </row>
    <row r="274">
      <c r="A274" s="60"/>
      <c r="B274" s="60"/>
      <c r="C274" s="60"/>
      <c r="D274" s="60"/>
      <c r="E274" s="60"/>
      <c r="F274" s="60"/>
    </row>
    <row r="275">
      <c r="A275" s="60"/>
      <c r="B275" s="60"/>
      <c r="C275" s="60"/>
      <c r="D275" s="60"/>
      <c r="E275" s="60"/>
      <c r="F275" s="60"/>
    </row>
    <row r="276">
      <c r="A276" s="60"/>
      <c r="B276" s="60"/>
      <c r="C276" s="60"/>
      <c r="D276" s="60"/>
      <c r="E276" s="60"/>
      <c r="F276" s="60"/>
    </row>
    <row r="277">
      <c r="A277" s="60"/>
      <c r="B277" s="60"/>
      <c r="C277" s="60"/>
      <c r="D277" s="60"/>
      <c r="E277" s="60"/>
      <c r="F277" s="60"/>
    </row>
    <row r="278">
      <c r="A278" s="60"/>
      <c r="B278" s="60"/>
      <c r="C278" s="60"/>
      <c r="D278" s="60"/>
      <c r="E278" s="60"/>
      <c r="F278" s="60"/>
    </row>
    <row r="279">
      <c r="A279" s="60"/>
      <c r="B279" s="60"/>
      <c r="C279" s="60"/>
      <c r="D279" s="60"/>
      <c r="E279" s="60"/>
      <c r="F279" s="60"/>
    </row>
    <row r="280">
      <c r="A280" s="60"/>
      <c r="B280" s="60"/>
      <c r="C280" s="60"/>
      <c r="D280" s="60"/>
      <c r="E280" s="60"/>
      <c r="F280" s="60"/>
    </row>
    <row r="281">
      <c r="A281" s="60"/>
      <c r="B281" s="60"/>
      <c r="C281" s="60"/>
      <c r="D281" s="60"/>
      <c r="E281" s="60"/>
      <c r="F281" s="60"/>
    </row>
    <row r="282">
      <c r="A282" s="60"/>
      <c r="B282" s="60"/>
      <c r="C282" s="60"/>
      <c r="D282" s="60"/>
      <c r="E282" s="60"/>
      <c r="F282" s="60"/>
    </row>
    <row r="283">
      <c r="A283" s="60"/>
      <c r="B283" s="60"/>
      <c r="C283" s="60"/>
      <c r="D283" s="60"/>
      <c r="E283" s="60"/>
      <c r="F283" s="60"/>
    </row>
    <row r="284">
      <c r="A284" s="60"/>
      <c r="B284" s="60"/>
      <c r="C284" s="60"/>
      <c r="D284" s="60"/>
      <c r="E284" s="60"/>
      <c r="F284" s="60"/>
    </row>
    <row r="285">
      <c r="A285" s="60"/>
      <c r="B285" s="60"/>
      <c r="C285" s="60"/>
      <c r="D285" s="60"/>
      <c r="E285" s="60"/>
      <c r="F285" s="60"/>
    </row>
    <row r="286">
      <c r="A286" s="60"/>
      <c r="B286" s="60"/>
      <c r="C286" s="60"/>
      <c r="D286" s="60"/>
      <c r="E286" s="60"/>
      <c r="F286" s="60"/>
    </row>
    <row r="287">
      <c r="A287" s="60"/>
      <c r="B287" s="60"/>
      <c r="C287" s="60"/>
      <c r="D287" s="60"/>
      <c r="E287" s="60"/>
      <c r="F287" s="60"/>
    </row>
    <row r="288">
      <c r="A288" s="60"/>
      <c r="B288" s="60"/>
      <c r="C288" s="60"/>
      <c r="D288" s="60"/>
      <c r="E288" s="60"/>
      <c r="F288" s="60"/>
    </row>
    <row r="289">
      <c r="A289" s="60"/>
      <c r="B289" s="60"/>
      <c r="C289" s="60"/>
      <c r="D289" s="60"/>
      <c r="E289" s="60"/>
      <c r="F289" s="60"/>
    </row>
    <row r="290">
      <c r="A290" s="60"/>
      <c r="B290" s="60"/>
      <c r="C290" s="60"/>
      <c r="D290" s="60"/>
      <c r="E290" s="60"/>
      <c r="F290" s="60"/>
    </row>
    <row r="291">
      <c r="A291" s="60"/>
      <c r="B291" s="60"/>
      <c r="C291" s="60"/>
      <c r="D291" s="60"/>
      <c r="E291" s="60"/>
      <c r="F291" s="60"/>
    </row>
    <row r="292">
      <c r="A292" s="60"/>
      <c r="B292" s="60"/>
      <c r="C292" s="60"/>
      <c r="D292" s="60"/>
      <c r="E292" s="60"/>
      <c r="F292" s="60"/>
    </row>
    <row r="293">
      <c r="A293" s="60"/>
      <c r="B293" s="60"/>
      <c r="C293" s="60"/>
      <c r="D293" s="60"/>
      <c r="E293" s="60"/>
      <c r="F293" s="60"/>
    </row>
    <row r="294">
      <c r="A294" s="60"/>
      <c r="B294" s="60"/>
      <c r="C294" s="60"/>
      <c r="D294" s="60"/>
      <c r="E294" s="60"/>
      <c r="F294" s="60"/>
    </row>
    <row r="295">
      <c r="A295" s="60"/>
      <c r="B295" s="60"/>
      <c r="C295" s="60"/>
      <c r="D295" s="60"/>
      <c r="E295" s="60"/>
      <c r="F295" s="60"/>
    </row>
    <row r="296">
      <c r="A296" s="60"/>
      <c r="B296" s="60"/>
      <c r="C296" s="60"/>
      <c r="D296" s="60"/>
      <c r="E296" s="60"/>
      <c r="F296" s="60"/>
    </row>
    <row r="297">
      <c r="A297" s="60"/>
      <c r="B297" s="60"/>
      <c r="C297" s="60"/>
      <c r="D297" s="60"/>
      <c r="E297" s="60"/>
      <c r="F297" s="60"/>
    </row>
    <row r="298">
      <c r="A298" s="60"/>
      <c r="B298" s="60"/>
      <c r="C298" s="60"/>
      <c r="D298" s="60"/>
      <c r="E298" s="60"/>
      <c r="F298" s="60"/>
    </row>
    <row r="299">
      <c r="A299" s="60"/>
      <c r="B299" s="60"/>
      <c r="C299" s="60"/>
      <c r="D299" s="60"/>
      <c r="E299" s="60"/>
      <c r="F299" s="60"/>
    </row>
    <row r="300">
      <c r="A300" s="60"/>
      <c r="B300" s="60"/>
      <c r="C300" s="60"/>
      <c r="D300" s="60"/>
      <c r="E300" s="60"/>
      <c r="F300" s="60"/>
    </row>
    <row r="301">
      <c r="A301" s="60"/>
      <c r="B301" s="60"/>
      <c r="C301" s="60"/>
      <c r="D301" s="60"/>
      <c r="E301" s="60"/>
      <c r="F301" s="60"/>
    </row>
    <row r="302">
      <c r="A302" s="60"/>
      <c r="B302" s="60"/>
      <c r="C302" s="60"/>
      <c r="D302" s="60"/>
      <c r="E302" s="60"/>
      <c r="F302" s="60"/>
    </row>
    <row r="303">
      <c r="A303" s="60"/>
      <c r="B303" s="60"/>
      <c r="C303" s="60"/>
      <c r="D303" s="60"/>
      <c r="E303" s="60"/>
      <c r="F303" s="60"/>
    </row>
    <row r="304">
      <c r="A304" s="60"/>
      <c r="B304" s="60"/>
      <c r="C304" s="60"/>
      <c r="D304" s="60"/>
      <c r="E304" s="60"/>
      <c r="F304" s="60"/>
    </row>
    <row r="305">
      <c r="A305" s="60"/>
      <c r="B305" s="60"/>
      <c r="C305" s="60"/>
      <c r="D305" s="60"/>
      <c r="E305" s="60"/>
      <c r="F305" s="60"/>
    </row>
    <row r="306">
      <c r="A306" s="60"/>
      <c r="B306" s="60"/>
      <c r="C306" s="60"/>
      <c r="D306" s="60"/>
      <c r="E306" s="60"/>
      <c r="F306" s="60"/>
    </row>
    <row r="307">
      <c r="A307" s="60"/>
      <c r="B307" s="60"/>
      <c r="C307" s="60"/>
      <c r="D307" s="60"/>
      <c r="E307" s="60"/>
      <c r="F307" s="60"/>
    </row>
    <row r="308">
      <c r="A308" s="60"/>
      <c r="B308" s="60"/>
      <c r="C308" s="60"/>
      <c r="D308" s="60"/>
      <c r="E308" s="60"/>
      <c r="F308" s="60"/>
    </row>
    <row r="309">
      <c r="A309" s="60"/>
      <c r="B309" s="60"/>
      <c r="C309" s="60"/>
      <c r="D309" s="60"/>
      <c r="E309" s="60"/>
      <c r="F309" s="60"/>
    </row>
    <row r="310">
      <c r="A310" s="60"/>
      <c r="B310" s="60"/>
      <c r="C310" s="60"/>
      <c r="D310" s="60"/>
      <c r="E310" s="60"/>
      <c r="F310" s="60"/>
    </row>
    <row r="311">
      <c r="A311" s="60"/>
      <c r="B311" s="60"/>
      <c r="C311" s="60"/>
      <c r="D311" s="60"/>
      <c r="E311" s="60"/>
      <c r="F311" s="60"/>
    </row>
    <row r="312">
      <c r="A312" s="60"/>
      <c r="B312" s="60"/>
      <c r="C312" s="60"/>
      <c r="D312" s="60"/>
      <c r="E312" s="60"/>
      <c r="F312" s="60"/>
    </row>
    <row r="313">
      <c r="A313" s="60"/>
      <c r="B313" s="60"/>
      <c r="C313" s="60"/>
      <c r="D313" s="60"/>
      <c r="E313" s="60"/>
      <c r="F313" s="60"/>
    </row>
    <row r="314">
      <c r="A314" s="60"/>
      <c r="B314" s="60"/>
      <c r="C314" s="60"/>
      <c r="D314" s="60"/>
      <c r="E314" s="60"/>
      <c r="F314" s="60"/>
    </row>
    <row r="315">
      <c r="A315" s="60"/>
      <c r="B315" s="60"/>
      <c r="C315" s="60"/>
      <c r="D315" s="60"/>
      <c r="E315" s="60"/>
      <c r="F315" s="60"/>
    </row>
    <row r="316">
      <c r="A316" s="60"/>
      <c r="B316" s="60"/>
      <c r="C316" s="60"/>
      <c r="D316" s="60"/>
      <c r="E316" s="60"/>
      <c r="F316" s="60"/>
    </row>
    <row r="317">
      <c r="A317" s="60"/>
      <c r="B317" s="60"/>
      <c r="C317" s="60"/>
      <c r="D317" s="60"/>
      <c r="E317" s="60"/>
      <c r="F317" s="60"/>
    </row>
    <row r="318">
      <c r="A318" s="60"/>
      <c r="B318" s="60"/>
      <c r="C318" s="60"/>
      <c r="D318" s="60"/>
      <c r="E318" s="60"/>
      <c r="F318" s="60"/>
    </row>
    <row r="319">
      <c r="A319" s="60"/>
      <c r="B319" s="60"/>
      <c r="C319" s="60"/>
      <c r="D319" s="60"/>
      <c r="E319" s="60"/>
      <c r="F319" s="60"/>
    </row>
    <row r="320">
      <c r="A320" s="60"/>
      <c r="B320" s="60"/>
      <c r="C320" s="60"/>
      <c r="D320" s="60"/>
      <c r="E320" s="60"/>
      <c r="F320" s="60"/>
    </row>
    <row r="321">
      <c r="A321" s="60"/>
      <c r="B321" s="60"/>
      <c r="C321" s="60"/>
      <c r="D321" s="60"/>
      <c r="E321" s="60"/>
      <c r="F321" s="60"/>
    </row>
    <row r="322">
      <c r="A322" s="60"/>
      <c r="B322" s="60"/>
      <c r="C322" s="60"/>
      <c r="D322" s="60"/>
      <c r="E322" s="60"/>
      <c r="F322" s="60"/>
    </row>
    <row r="323">
      <c r="A323" s="60"/>
      <c r="B323" s="60"/>
      <c r="C323" s="60"/>
      <c r="D323" s="60"/>
      <c r="E323" s="60"/>
      <c r="F323" s="60"/>
    </row>
    <row r="324">
      <c r="A324" s="60"/>
      <c r="B324" s="60"/>
      <c r="C324" s="60"/>
      <c r="D324" s="60"/>
      <c r="E324" s="60"/>
      <c r="F324" s="60"/>
    </row>
    <row r="325">
      <c r="A325" s="60"/>
      <c r="B325" s="60"/>
      <c r="C325" s="60"/>
      <c r="D325" s="60"/>
      <c r="E325" s="60"/>
      <c r="F325" s="60"/>
    </row>
    <row r="326">
      <c r="A326" s="60"/>
      <c r="B326" s="60"/>
      <c r="C326" s="60"/>
      <c r="D326" s="60"/>
      <c r="E326" s="60"/>
      <c r="F326" s="60"/>
    </row>
    <row r="327">
      <c r="A327" s="60"/>
      <c r="B327" s="60"/>
      <c r="C327" s="60"/>
      <c r="D327" s="60"/>
      <c r="E327" s="60"/>
      <c r="F327" s="60"/>
    </row>
    <row r="328">
      <c r="A328" s="60"/>
      <c r="B328" s="60"/>
      <c r="C328" s="60"/>
      <c r="D328" s="60"/>
      <c r="E328" s="60"/>
      <c r="F328" s="60"/>
    </row>
    <row r="329">
      <c r="A329" s="60"/>
      <c r="B329" s="60"/>
      <c r="C329" s="60"/>
      <c r="D329" s="60"/>
      <c r="E329" s="60"/>
      <c r="F329" s="60"/>
    </row>
    <row r="330">
      <c r="A330" s="60"/>
      <c r="B330" s="60"/>
      <c r="C330" s="60"/>
      <c r="D330" s="60"/>
      <c r="E330" s="60"/>
      <c r="F330" s="60"/>
    </row>
    <row r="331">
      <c r="A331" s="60"/>
      <c r="B331" s="60"/>
      <c r="C331" s="60"/>
      <c r="D331" s="60"/>
      <c r="E331" s="60"/>
      <c r="F331" s="60"/>
    </row>
    <row r="332">
      <c r="A332" s="60"/>
      <c r="B332" s="60"/>
      <c r="C332" s="60"/>
      <c r="D332" s="60"/>
      <c r="E332" s="60"/>
      <c r="F332" s="60"/>
    </row>
    <row r="333">
      <c r="A333" s="60"/>
      <c r="B333" s="60"/>
      <c r="C333" s="60"/>
      <c r="D333" s="60"/>
      <c r="E333" s="60"/>
      <c r="F333" s="60"/>
    </row>
    <row r="334">
      <c r="A334" s="60"/>
      <c r="B334" s="60"/>
      <c r="C334" s="60"/>
      <c r="D334" s="60"/>
      <c r="E334" s="60"/>
      <c r="F334" s="60"/>
    </row>
    <row r="335">
      <c r="A335" s="60"/>
      <c r="B335" s="60"/>
      <c r="C335" s="60"/>
      <c r="D335" s="60"/>
      <c r="E335" s="60"/>
      <c r="F335" s="60"/>
    </row>
    <row r="336">
      <c r="A336" s="60"/>
      <c r="B336" s="60"/>
      <c r="C336" s="60"/>
      <c r="D336" s="60"/>
      <c r="E336" s="60"/>
      <c r="F336" s="60"/>
    </row>
    <row r="337">
      <c r="A337" s="60"/>
      <c r="B337" s="60"/>
      <c r="C337" s="60"/>
      <c r="D337" s="60"/>
      <c r="E337" s="60"/>
      <c r="F337" s="60"/>
    </row>
    <row r="338">
      <c r="A338" s="60"/>
      <c r="B338" s="60"/>
      <c r="C338" s="60"/>
      <c r="D338" s="60"/>
      <c r="E338" s="60"/>
      <c r="F338" s="60"/>
    </row>
    <row r="339">
      <c r="A339" s="60"/>
      <c r="B339" s="60"/>
      <c r="C339" s="60"/>
      <c r="D339" s="60"/>
      <c r="E339" s="60"/>
      <c r="F339" s="60"/>
    </row>
    <row r="340">
      <c r="A340" s="60"/>
      <c r="B340" s="60"/>
      <c r="C340" s="60"/>
      <c r="D340" s="60"/>
      <c r="E340" s="60"/>
      <c r="F340" s="60"/>
    </row>
    <row r="341">
      <c r="A341" s="60"/>
      <c r="B341" s="60"/>
      <c r="C341" s="60"/>
      <c r="D341" s="60"/>
      <c r="E341" s="60"/>
      <c r="F341" s="60"/>
    </row>
    <row r="342">
      <c r="A342" s="60"/>
      <c r="B342" s="60"/>
      <c r="C342" s="60"/>
      <c r="D342" s="60"/>
      <c r="E342" s="60"/>
      <c r="F342" s="60"/>
    </row>
    <row r="343">
      <c r="A343" s="60"/>
      <c r="B343" s="60"/>
      <c r="C343" s="60"/>
      <c r="D343" s="60"/>
      <c r="E343" s="60"/>
      <c r="F343" s="60"/>
    </row>
    <row r="344">
      <c r="A344" s="60"/>
      <c r="B344" s="60"/>
      <c r="C344" s="60"/>
      <c r="D344" s="60"/>
      <c r="E344" s="60"/>
      <c r="F344" s="60"/>
    </row>
    <row r="345">
      <c r="A345" s="60"/>
      <c r="B345" s="60"/>
      <c r="C345" s="60"/>
      <c r="D345" s="60"/>
      <c r="E345" s="60"/>
      <c r="F345" s="60"/>
    </row>
    <row r="346">
      <c r="A346" s="60"/>
      <c r="B346" s="60"/>
      <c r="C346" s="60"/>
      <c r="D346" s="60"/>
      <c r="E346" s="60"/>
      <c r="F346" s="60"/>
    </row>
    <row r="347">
      <c r="A347" s="60"/>
      <c r="B347" s="60"/>
      <c r="C347" s="60"/>
      <c r="D347" s="60"/>
      <c r="E347" s="60"/>
      <c r="F347" s="60"/>
    </row>
    <row r="348">
      <c r="A348" s="60"/>
      <c r="B348" s="60"/>
      <c r="C348" s="60"/>
      <c r="D348" s="60"/>
      <c r="E348" s="60"/>
      <c r="F348" s="60"/>
    </row>
    <row r="349">
      <c r="A349" s="60"/>
      <c r="B349" s="60"/>
      <c r="C349" s="60"/>
      <c r="D349" s="60"/>
      <c r="E349" s="60"/>
      <c r="F349" s="60"/>
    </row>
    <row r="350">
      <c r="A350" s="60"/>
      <c r="B350" s="60"/>
      <c r="C350" s="60"/>
      <c r="D350" s="60"/>
      <c r="E350" s="60"/>
      <c r="F350" s="60"/>
    </row>
    <row r="351">
      <c r="A351" s="60"/>
      <c r="B351" s="60"/>
      <c r="C351" s="60"/>
      <c r="D351" s="60"/>
      <c r="E351" s="60"/>
      <c r="F351" s="60"/>
    </row>
    <row r="352">
      <c r="A352" s="60"/>
      <c r="B352" s="60"/>
      <c r="C352" s="60"/>
      <c r="D352" s="60"/>
      <c r="E352" s="60"/>
      <c r="F352" s="60"/>
    </row>
    <row r="353">
      <c r="A353" s="60"/>
      <c r="B353" s="60"/>
      <c r="C353" s="60"/>
      <c r="D353" s="60"/>
      <c r="E353" s="60"/>
      <c r="F353" s="60"/>
    </row>
    <row r="354">
      <c r="A354" s="60"/>
      <c r="B354" s="60"/>
      <c r="C354" s="60"/>
      <c r="D354" s="60"/>
      <c r="E354" s="60"/>
      <c r="F354" s="60"/>
    </row>
    <row r="355">
      <c r="A355" s="60"/>
      <c r="B355" s="60"/>
      <c r="C355" s="60"/>
      <c r="D355" s="60"/>
      <c r="E355" s="60"/>
      <c r="F355" s="60"/>
    </row>
    <row r="356">
      <c r="A356" s="60"/>
      <c r="B356" s="60"/>
      <c r="C356" s="60"/>
      <c r="D356" s="60"/>
      <c r="E356" s="60"/>
      <c r="F356" s="60"/>
    </row>
    <row r="357">
      <c r="A357" s="60"/>
      <c r="B357" s="60"/>
      <c r="C357" s="60"/>
      <c r="D357" s="60"/>
      <c r="E357" s="60"/>
      <c r="F357" s="60"/>
    </row>
    <row r="358">
      <c r="A358" s="60"/>
      <c r="B358" s="60"/>
      <c r="C358" s="60"/>
      <c r="D358" s="60"/>
      <c r="E358" s="60"/>
      <c r="F358" s="60"/>
    </row>
    <row r="359">
      <c r="A359" s="60"/>
      <c r="B359" s="60"/>
      <c r="C359" s="60"/>
      <c r="D359" s="60"/>
      <c r="E359" s="60"/>
      <c r="F359" s="60"/>
    </row>
    <row r="360">
      <c r="A360" s="60"/>
      <c r="B360" s="60"/>
      <c r="C360" s="60"/>
      <c r="D360" s="60"/>
      <c r="E360" s="60"/>
      <c r="F360" s="60"/>
    </row>
    <row r="361">
      <c r="A361" s="60"/>
      <c r="B361" s="60"/>
      <c r="C361" s="60"/>
      <c r="D361" s="60"/>
      <c r="E361" s="60"/>
      <c r="F361" s="60"/>
    </row>
    <row r="362">
      <c r="A362" s="60"/>
      <c r="B362" s="60"/>
      <c r="C362" s="60"/>
      <c r="D362" s="60"/>
      <c r="E362" s="60"/>
      <c r="F362" s="60"/>
    </row>
    <row r="363">
      <c r="A363" s="60"/>
      <c r="B363" s="60"/>
      <c r="C363" s="60"/>
      <c r="D363" s="60"/>
      <c r="E363" s="60"/>
      <c r="F363" s="60"/>
    </row>
    <row r="364">
      <c r="A364" s="60"/>
      <c r="B364" s="60"/>
      <c r="C364" s="60"/>
      <c r="D364" s="60"/>
      <c r="E364" s="60"/>
      <c r="F364" s="60"/>
    </row>
    <row r="365">
      <c r="A365" s="60"/>
      <c r="B365" s="60"/>
      <c r="C365" s="60"/>
      <c r="D365" s="60"/>
      <c r="E365" s="60"/>
      <c r="F365" s="60"/>
    </row>
    <row r="366">
      <c r="A366" s="60"/>
      <c r="B366" s="60"/>
      <c r="C366" s="60"/>
      <c r="D366" s="60"/>
      <c r="E366" s="60"/>
      <c r="F366" s="60"/>
    </row>
    <row r="367">
      <c r="A367" s="60"/>
      <c r="B367" s="60"/>
      <c r="C367" s="60"/>
      <c r="D367" s="60"/>
      <c r="E367" s="60"/>
      <c r="F367" s="60"/>
    </row>
    <row r="368">
      <c r="A368" s="60"/>
      <c r="B368" s="60"/>
      <c r="C368" s="60"/>
      <c r="D368" s="60"/>
      <c r="E368" s="60"/>
      <c r="F368" s="60"/>
    </row>
    <row r="369">
      <c r="A369" s="60"/>
      <c r="B369" s="60"/>
      <c r="C369" s="60"/>
      <c r="D369" s="60"/>
      <c r="E369" s="60"/>
      <c r="F369" s="60"/>
    </row>
    <row r="370">
      <c r="A370" s="60"/>
      <c r="B370" s="60"/>
      <c r="C370" s="60"/>
      <c r="D370" s="60"/>
      <c r="E370" s="60"/>
      <c r="F370" s="60"/>
    </row>
    <row r="371">
      <c r="A371" s="60"/>
      <c r="B371" s="60"/>
      <c r="C371" s="60"/>
      <c r="D371" s="60"/>
      <c r="E371" s="60"/>
      <c r="F371" s="60"/>
    </row>
    <row r="372">
      <c r="A372" s="60"/>
      <c r="B372" s="60"/>
      <c r="C372" s="60"/>
      <c r="D372" s="60"/>
      <c r="E372" s="60"/>
      <c r="F372" s="60"/>
    </row>
    <row r="373">
      <c r="A373" s="60"/>
      <c r="B373" s="60"/>
      <c r="C373" s="60"/>
      <c r="D373" s="60"/>
      <c r="E373" s="60"/>
      <c r="F373" s="60"/>
    </row>
    <row r="374">
      <c r="A374" s="60"/>
      <c r="B374" s="60"/>
      <c r="C374" s="60"/>
      <c r="D374" s="60"/>
      <c r="E374" s="60"/>
      <c r="F374" s="60"/>
    </row>
    <row r="375">
      <c r="A375" s="60"/>
      <c r="B375" s="60"/>
      <c r="C375" s="60"/>
      <c r="D375" s="60"/>
      <c r="E375" s="60"/>
      <c r="F375" s="60"/>
    </row>
    <row r="376">
      <c r="A376" s="60"/>
      <c r="B376" s="60"/>
      <c r="C376" s="60"/>
      <c r="D376" s="60"/>
      <c r="E376" s="60"/>
      <c r="F376" s="60"/>
    </row>
    <row r="377">
      <c r="A377" s="60"/>
      <c r="B377" s="60"/>
      <c r="C377" s="60"/>
      <c r="D377" s="60"/>
      <c r="E377" s="60"/>
      <c r="F377" s="60"/>
    </row>
    <row r="378">
      <c r="A378" s="60"/>
      <c r="B378" s="60"/>
      <c r="C378" s="60"/>
      <c r="D378" s="60"/>
      <c r="E378" s="60"/>
      <c r="F378" s="60"/>
    </row>
    <row r="379">
      <c r="A379" s="60"/>
      <c r="B379" s="60"/>
      <c r="C379" s="60"/>
      <c r="D379" s="60"/>
      <c r="E379" s="60"/>
      <c r="F379" s="60"/>
    </row>
    <row r="380">
      <c r="A380" s="60"/>
      <c r="B380" s="60"/>
      <c r="C380" s="60"/>
      <c r="D380" s="60"/>
      <c r="E380" s="60"/>
      <c r="F380" s="60"/>
    </row>
    <row r="381">
      <c r="A381" s="60"/>
      <c r="B381" s="60"/>
      <c r="C381" s="60"/>
      <c r="D381" s="60"/>
      <c r="E381" s="60"/>
      <c r="F381" s="60"/>
    </row>
    <row r="382">
      <c r="A382" s="60"/>
      <c r="B382" s="60"/>
      <c r="C382" s="60"/>
      <c r="D382" s="60"/>
      <c r="E382" s="60"/>
      <c r="F382" s="60"/>
    </row>
    <row r="383">
      <c r="A383" s="60"/>
      <c r="B383" s="60"/>
      <c r="C383" s="60"/>
      <c r="D383" s="60"/>
      <c r="E383" s="60"/>
      <c r="F383" s="60"/>
    </row>
    <row r="384">
      <c r="A384" s="60"/>
      <c r="B384" s="60"/>
      <c r="C384" s="60"/>
      <c r="D384" s="60"/>
      <c r="E384" s="60"/>
      <c r="F384" s="60"/>
    </row>
    <row r="385">
      <c r="A385" s="60"/>
      <c r="B385" s="60"/>
      <c r="C385" s="60"/>
      <c r="D385" s="60"/>
      <c r="E385" s="60"/>
      <c r="F385" s="60"/>
    </row>
    <row r="386">
      <c r="A386" s="60"/>
      <c r="B386" s="60"/>
      <c r="C386" s="60"/>
      <c r="D386" s="60"/>
      <c r="E386" s="60"/>
      <c r="F386" s="60"/>
    </row>
    <row r="387">
      <c r="A387" s="60"/>
      <c r="B387" s="60"/>
      <c r="C387" s="60"/>
      <c r="D387" s="60"/>
      <c r="E387" s="60"/>
      <c r="F387" s="60"/>
    </row>
    <row r="388">
      <c r="A388" s="60"/>
      <c r="B388" s="60"/>
      <c r="C388" s="60"/>
      <c r="D388" s="60"/>
      <c r="E388" s="60"/>
      <c r="F388" s="60"/>
    </row>
    <row r="389">
      <c r="A389" s="60"/>
      <c r="B389" s="60"/>
      <c r="C389" s="60"/>
      <c r="D389" s="60"/>
      <c r="E389" s="60"/>
      <c r="F389" s="60"/>
    </row>
    <row r="390">
      <c r="A390" s="60"/>
      <c r="B390" s="60"/>
      <c r="C390" s="60"/>
      <c r="D390" s="60"/>
      <c r="E390" s="60"/>
      <c r="F390" s="60"/>
    </row>
    <row r="391">
      <c r="A391" s="60"/>
      <c r="B391" s="60"/>
      <c r="C391" s="60"/>
      <c r="D391" s="60"/>
      <c r="E391" s="60"/>
      <c r="F391" s="60"/>
    </row>
    <row r="392">
      <c r="A392" s="60"/>
      <c r="B392" s="60"/>
      <c r="C392" s="60"/>
      <c r="D392" s="60"/>
      <c r="E392" s="60"/>
      <c r="F392" s="60"/>
    </row>
    <row r="393">
      <c r="A393" s="60"/>
      <c r="B393" s="60"/>
      <c r="C393" s="60"/>
      <c r="D393" s="60"/>
      <c r="E393" s="60"/>
      <c r="F393" s="60"/>
    </row>
    <row r="394">
      <c r="A394" s="60"/>
      <c r="B394" s="60"/>
      <c r="C394" s="60"/>
      <c r="D394" s="60"/>
      <c r="E394" s="60"/>
      <c r="F394" s="60"/>
    </row>
    <row r="395">
      <c r="A395" s="60"/>
      <c r="B395" s="60"/>
      <c r="C395" s="60"/>
      <c r="D395" s="60"/>
      <c r="E395" s="60"/>
      <c r="F395" s="60"/>
    </row>
    <row r="396">
      <c r="A396" s="60"/>
      <c r="B396" s="60"/>
      <c r="C396" s="60"/>
      <c r="D396" s="60"/>
      <c r="E396" s="60"/>
      <c r="F396" s="60"/>
    </row>
    <row r="397">
      <c r="A397" s="60"/>
      <c r="B397" s="60"/>
      <c r="C397" s="60"/>
      <c r="D397" s="60"/>
      <c r="E397" s="60"/>
      <c r="F397" s="60"/>
    </row>
    <row r="398">
      <c r="A398" s="60"/>
      <c r="B398" s="60"/>
      <c r="C398" s="60"/>
      <c r="D398" s="60"/>
      <c r="E398" s="60"/>
      <c r="F398" s="60"/>
    </row>
    <row r="399">
      <c r="A399" s="60"/>
      <c r="B399" s="60"/>
      <c r="C399" s="60"/>
      <c r="D399" s="60"/>
      <c r="E399" s="60"/>
      <c r="F399" s="60"/>
    </row>
    <row r="400">
      <c r="A400" s="60"/>
      <c r="B400" s="60"/>
      <c r="C400" s="60"/>
      <c r="D400" s="60"/>
      <c r="E400" s="60"/>
      <c r="F400" s="60"/>
    </row>
    <row r="401">
      <c r="A401" s="60"/>
      <c r="B401" s="60"/>
      <c r="C401" s="60"/>
      <c r="D401" s="60"/>
      <c r="E401" s="60"/>
      <c r="F401" s="60"/>
    </row>
    <row r="402">
      <c r="A402" s="60"/>
      <c r="B402" s="60"/>
      <c r="C402" s="60"/>
      <c r="D402" s="60"/>
      <c r="E402" s="60"/>
      <c r="F402" s="60"/>
    </row>
    <row r="403">
      <c r="A403" s="60"/>
      <c r="B403" s="60"/>
      <c r="C403" s="60"/>
      <c r="D403" s="60"/>
      <c r="E403" s="60"/>
      <c r="F403" s="60"/>
    </row>
    <row r="404">
      <c r="A404" s="60"/>
      <c r="B404" s="60"/>
      <c r="C404" s="60"/>
      <c r="D404" s="60"/>
      <c r="E404" s="60"/>
      <c r="F404" s="60"/>
    </row>
    <row r="405">
      <c r="A405" s="60"/>
      <c r="B405" s="60"/>
      <c r="C405" s="60"/>
      <c r="D405" s="60"/>
      <c r="E405" s="60"/>
      <c r="F405" s="60"/>
    </row>
    <row r="406">
      <c r="A406" s="60"/>
      <c r="B406" s="60"/>
      <c r="C406" s="60"/>
      <c r="D406" s="60"/>
      <c r="E406" s="60"/>
      <c r="F406" s="60"/>
    </row>
    <row r="407">
      <c r="A407" s="60"/>
      <c r="B407" s="60"/>
      <c r="C407" s="60"/>
      <c r="D407" s="60"/>
      <c r="E407" s="60"/>
      <c r="F407" s="60"/>
    </row>
    <row r="408">
      <c r="A408" s="60"/>
      <c r="B408" s="60"/>
      <c r="C408" s="60"/>
      <c r="D408" s="60"/>
      <c r="E408" s="60"/>
      <c r="F408" s="60"/>
    </row>
    <row r="409">
      <c r="A409" s="60"/>
      <c r="B409" s="60"/>
      <c r="C409" s="60"/>
      <c r="D409" s="60"/>
      <c r="E409" s="60"/>
      <c r="F409" s="60"/>
    </row>
    <row r="410">
      <c r="A410" s="60"/>
      <c r="B410" s="60"/>
      <c r="C410" s="60"/>
      <c r="D410" s="60"/>
      <c r="E410" s="60"/>
      <c r="F410" s="60"/>
    </row>
    <row r="411">
      <c r="A411" s="60"/>
      <c r="B411" s="60"/>
      <c r="C411" s="60"/>
      <c r="D411" s="60"/>
      <c r="E411" s="60"/>
      <c r="F411" s="60"/>
    </row>
    <row r="412">
      <c r="A412" s="60"/>
      <c r="B412" s="60"/>
      <c r="C412" s="60"/>
      <c r="D412" s="60"/>
      <c r="E412" s="60"/>
      <c r="F412" s="60"/>
    </row>
    <row r="413">
      <c r="A413" s="60"/>
      <c r="B413" s="60"/>
      <c r="C413" s="60"/>
      <c r="D413" s="60"/>
      <c r="E413" s="60"/>
      <c r="F413" s="60"/>
    </row>
    <row r="414">
      <c r="A414" s="60"/>
      <c r="B414" s="60"/>
      <c r="C414" s="60"/>
      <c r="D414" s="60"/>
      <c r="E414" s="60"/>
      <c r="F414" s="60"/>
    </row>
    <row r="415">
      <c r="A415" s="60"/>
      <c r="B415" s="60"/>
      <c r="C415" s="60"/>
      <c r="D415" s="60"/>
      <c r="E415" s="60"/>
      <c r="F415" s="60"/>
    </row>
    <row r="416">
      <c r="A416" s="60"/>
      <c r="B416" s="60"/>
      <c r="C416" s="60"/>
      <c r="D416" s="60"/>
      <c r="E416" s="60"/>
      <c r="F416" s="60"/>
    </row>
    <row r="417">
      <c r="A417" s="60"/>
      <c r="B417" s="60"/>
      <c r="C417" s="60"/>
      <c r="D417" s="60"/>
      <c r="E417" s="60"/>
      <c r="F417" s="60"/>
    </row>
    <row r="418">
      <c r="A418" s="60"/>
      <c r="B418" s="60"/>
      <c r="C418" s="60"/>
      <c r="D418" s="60"/>
      <c r="E418" s="60"/>
      <c r="F418" s="60"/>
    </row>
    <row r="419">
      <c r="A419" s="60"/>
      <c r="B419" s="60"/>
      <c r="C419" s="60"/>
      <c r="D419" s="60"/>
      <c r="E419" s="60"/>
      <c r="F419" s="60"/>
    </row>
    <row r="420">
      <c r="A420" s="60"/>
      <c r="B420" s="60"/>
      <c r="C420" s="60"/>
      <c r="D420" s="60"/>
      <c r="E420" s="60"/>
      <c r="F420" s="60"/>
    </row>
    <row r="421">
      <c r="A421" s="60"/>
      <c r="B421" s="60"/>
      <c r="C421" s="60"/>
      <c r="D421" s="60"/>
      <c r="E421" s="60"/>
      <c r="F421" s="60"/>
    </row>
    <row r="422">
      <c r="A422" s="60"/>
      <c r="B422" s="60"/>
      <c r="C422" s="60"/>
      <c r="D422" s="60"/>
      <c r="E422" s="60"/>
      <c r="F422" s="60"/>
    </row>
    <row r="423">
      <c r="A423" s="60"/>
      <c r="B423" s="60"/>
      <c r="C423" s="60"/>
      <c r="D423" s="60"/>
      <c r="E423" s="60"/>
      <c r="F423" s="60"/>
    </row>
    <row r="424">
      <c r="A424" s="60"/>
      <c r="B424" s="60"/>
      <c r="C424" s="60"/>
      <c r="D424" s="60"/>
      <c r="E424" s="60"/>
      <c r="F424" s="60"/>
    </row>
    <row r="425">
      <c r="A425" s="60"/>
      <c r="B425" s="60"/>
      <c r="C425" s="60"/>
      <c r="D425" s="60"/>
      <c r="E425" s="60"/>
      <c r="F425" s="60"/>
    </row>
    <row r="426">
      <c r="A426" s="60"/>
      <c r="B426" s="60"/>
      <c r="C426" s="60"/>
      <c r="D426" s="60"/>
      <c r="E426" s="60"/>
      <c r="F426" s="60"/>
    </row>
    <row r="427">
      <c r="A427" s="60"/>
      <c r="B427" s="60"/>
      <c r="C427" s="60"/>
      <c r="D427" s="60"/>
      <c r="E427" s="60"/>
      <c r="F427" s="60"/>
    </row>
    <row r="428">
      <c r="A428" s="60"/>
      <c r="B428" s="60"/>
      <c r="C428" s="60"/>
      <c r="D428" s="60"/>
      <c r="E428" s="60"/>
      <c r="F428" s="60"/>
    </row>
    <row r="429">
      <c r="A429" s="60"/>
      <c r="B429" s="60"/>
      <c r="C429" s="60"/>
      <c r="D429" s="60"/>
      <c r="E429" s="60"/>
      <c r="F429" s="60"/>
    </row>
    <row r="430">
      <c r="A430" s="60"/>
      <c r="B430" s="60"/>
      <c r="C430" s="60"/>
      <c r="D430" s="60"/>
      <c r="E430" s="60"/>
      <c r="F430" s="60"/>
    </row>
    <row r="431">
      <c r="A431" s="60"/>
      <c r="B431" s="60"/>
      <c r="C431" s="60"/>
      <c r="D431" s="60"/>
      <c r="E431" s="60"/>
      <c r="F431" s="60"/>
    </row>
    <row r="432">
      <c r="A432" s="60"/>
      <c r="B432" s="60"/>
      <c r="C432" s="60"/>
      <c r="D432" s="60"/>
      <c r="E432" s="60"/>
      <c r="F432" s="60"/>
    </row>
    <row r="433">
      <c r="A433" s="60"/>
      <c r="B433" s="60"/>
      <c r="C433" s="60"/>
      <c r="D433" s="60"/>
      <c r="E433" s="60"/>
      <c r="F433" s="60"/>
    </row>
    <row r="434">
      <c r="A434" s="60"/>
      <c r="B434" s="60"/>
      <c r="C434" s="60"/>
      <c r="D434" s="60"/>
      <c r="E434" s="60"/>
      <c r="F434" s="60"/>
    </row>
    <row r="435">
      <c r="A435" s="60"/>
      <c r="B435" s="60"/>
      <c r="C435" s="60"/>
      <c r="D435" s="60"/>
      <c r="E435" s="60"/>
      <c r="F435" s="60"/>
    </row>
    <row r="436">
      <c r="A436" s="60"/>
      <c r="B436" s="60"/>
      <c r="C436" s="60"/>
      <c r="D436" s="60"/>
      <c r="E436" s="60"/>
      <c r="F436" s="60"/>
    </row>
    <row r="437">
      <c r="A437" s="60"/>
      <c r="B437" s="60"/>
      <c r="C437" s="60"/>
      <c r="D437" s="60"/>
      <c r="E437" s="60"/>
      <c r="F437" s="60"/>
    </row>
    <row r="438">
      <c r="A438" s="60"/>
      <c r="B438" s="60"/>
      <c r="C438" s="60"/>
      <c r="D438" s="60"/>
      <c r="E438" s="60"/>
      <c r="F438" s="60"/>
    </row>
    <row r="439">
      <c r="A439" s="60"/>
      <c r="B439" s="60"/>
      <c r="C439" s="60"/>
      <c r="D439" s="60"/>
      <c r="E439" s="60"/>
      <c r="F439" s="60"/>
    </row>
    <row r="440">
      <c r="A440" s="60"/>
      <c r="B440" s="60"/>
      <c r="C440" s="60"/>
      <c r="D440" s="60"/>
      <c r="E440" s="60"/>
      <c r="F440" s="60"/>
    </row>
    <row r="441">
      <c r="A441" s="60"/>
      <c r="B441" s="60"/>
      <c r="C441" s="60"/>
      <c r="D441" s="60"/>
      <c r="E441" s="60"/>
      <c r="F441" s="60"/>
    </row>
    <row r="442">
      <c r="A442" s="60"/>
      <c r="B442" s="60"/>
      <c r="C442" s="60"/>
      <c r="D442" s="60"/>
      <c r="E442" s="60"/>
      <c r="F442" s="60"/>
    </row>
    <row r="443">
      <c r="A443" s="60"/>
      <c r="B443" s="60"/>
      <c r="C443" s="60"/>
      <c r="D443" s="60"/>
      <c r="E443" s="60"/>
      <c r="F443" s="60"/>
    </row>
    <row r="444">
      <c r="A444" s="60"/>
      <c r="B444" s="60"/>
      <c r="C444" s="60"/>
      <c r="D444" s="60"/>
      <c r="E444" s="60"/>
      <c r="F444" s="60"/>
    </row>
    <row r="445">
      <c r="A445" s="60"/>
      <c r="B445" s="60"/>
      <c r="C445" s="60"/>
      <c r="D445" s="60"/>
      <c r="E445" s="60"/>
      <c r="F445" s="60"/>
    </row>
    <row r="446">
      <c r="A446" s="60"/>
      <c r="B446" s="60"/>
      <c r="C446" s="60"/>
      <c r="D446" s="60"/>
      <c r="E446" s="60"/>
      <c r="F446" s="60"/>
    </row>
    <row r="447">
      <c r="A447" s="60"/>
      <c r="B447" s="60"/>
      <c r="C447" s="60"/>
      <c r="D447" s="60"/>
      <c r="E447" s="60"/>
      <c r="F447" s="60"/>
    </row>
    <row r="448">
      <c r="A448" s="60"/>
      <c r="B448" s="60"/>
      <c r="C448" s="60"/>
      <c r="D448" s="60"/>
      <c r="E448" s="60"/>
      <c r="F448" s="60"/>
    </row>
    <row r="449">
      <c r="A449" s="60"/>
      <c r="B449" s="60"/>
      <c r="C449" s="60"/>
      <c r="D449" s="60"/>
      <c r="E449" s="60"/>
      <c r="F449" s="60"/>
    </row>
    <row r="450">
      <c r="A450" s="60"/>
      <c r="B450" s="60"/>
      <c r="C450" s="60"/>
      <c r="D450" s="60"/>
      <c r="E450" s="60"/>
      <c r="F450" s="60"/>
    </row>
    <row r="451">
      <c r="A451" s="60"/>
      <c r="B451" s="60"/>
      <c r="C451" s="60"/>
      <c r="D451" s="60"/>
      <c r="E451" s="60"/>
      <c r="F451" s="60"/>
    </row>
    <row r="452">
      <c r="A452" s="60"/>
      <c r="B452" s="60"/>
      <c r="C452" s="60"/>
      <c r="D452" s="60"/>
      <c r="E452" s="60"/>
      <c r="F452" s="60"/>
    </row>
    <row r="453">
      <c r="A453" s="60"/>
      <c r="B453" s="60"/>
      <c r="C453" s="60"/>
      <c r="D453" s="60"/>
      <c r="E453" s="60"/>
      <c r="F453" s="60"/>
    </row>
    <row r="454">
      <c r="A454" s="60"/>
      <c r="B454" s="60"/>
      <c r="C454" s="60"/>
      <c r="D454" s="60"/>
      <c r="E454" s="60"/>
      <c r="F454" s="60"/>
    </row>
    <row r="455">
      <c r="A455" s="60"/>
      <c r="B455" s="60"/>
      <c r="C455" s="60"/>
      <c r="D455" s="60"/>
      <c r="E455" s="60"/>
      <c r="F455" s="60"/>
    </row>
    <row r="456">
      <c r="A456" s="60"/>
      <c r="B456" s="60"/>
      <c r="C456" s="60"/>
      <c r="D456" s="60"/>
      <c r="E456" s="60"/>
      <c r="F456" s="60"/>
    </row>
    <row r="457">
      <c r="A457" s="60"/>
      <c r="B457" s="60"/>
      <c r="C457" s="60"/>
      <c r="D457" s="60"/>
      <c r="E457" s="60"/>
      <c r="F457" s="60"/>
    </row>
    <row r="458">
      <c r="A458" s="60"/>
      <c r="B458" s="60"/>
      <c r="C458" s="60"/>
      <c r="D458" s="60"/>
      <c r="E458" s="60"/>
      <c r="F458" s="60"/>
    </row>
    <row r="459">
      <c r="A459" s="60"/>
      <c r="B459" s="60"/>
      <c r="C459" s="60"/>
      <c r="D459" s="60"/>
      <c r="E459" s="60"/>
      <c r="F459" s="60"/>
    </row>
    <row r="460">
      <c r="A460" s="60"/>
      <c r="B460" s="60"/>
      <c r="C460" s="60"/>
      <c r="D460" s="60"/>
      <c r="E460" s="60"/>
      <c r="F460" s="60"/>
    </row>
    <row r="461">
      <c r="A461" s="60"/>
      <c r="B461" s="60"/>
      <c r="C461" s="60"/>
      <c r="D461" s="60"/>
      <c r="E461" s="60"/>
      <c r="F461" s="60"/>
    </row>
    <row r="462">
      <c r="A462" s="60"/>
      <c r="B462" s="60"/>
      <c r="C462" s="60"/>
      <c r="D462" s="60"/>
      <c r="E462" s="60"/>
      <c r="F462" s="60"/>
    </row>
    <row r="463">
      <c r="A463" s="60"/>
      <c r="B463" s="60"/>
      <c r="C463" s="60"/>
      <c r="D463" s="60"/>
      <c r="E463" s="60"/>
      <c r="F463" s="60"/>
    </row>
    <row r="464">
      <c r="A464" s="60"/>
      <c r="B464" s="60"/>
      <c r="C464" s="60"/>
      <c r="D464" s="60"/>
      <c r="E464" s="60"/>
      <c r="F464" s="60"/>
    </row>
    <row r="465">
      <c r="A465" s="60"/>
      <c r="B465" s="60"/>
      <c r="C465" s="60"/>
      <c r="D465" s="60"/>
      <c r="E465" s="60"/>
      <c r="F465" s="60"/>
    </row>
    <row r="466">
      <c r="A466" s="60"/>
      <c r="B466" s="60"/>
      <c r="C466" s="60"/>
      <c r="D466" s="60"/>
      <c r="E466" s="60"/>
      <c r="F466" s="60"/>
    </row>
    <row r="467">
      <c r="A467" s="60"/>
      <c r="B467" s="60"/>
      <c r="C467" s="60"/>
      <c r="D467" s="60"/>
      <c r="E467" s="60"/>
      <c r="F467" s="60"/>
    </row>
    <row r="468">
      <c r="A468" s="60"/>
      <c r="B468" s="60"/>
      <c r="C468" s="60"/>
      <c r="D468" s="60"/>
      <c r="E468" s="60"/>
      <c r="F468" s="60"/>
    </row>
    <row r="469">
      <c r="A469" s="60"/>
      <c r="B469" s="60"/>
      <c r="C469" s="60"/>
      <c r="D469" s="60"/>
      <c r="E469" s="60"/>
      <c r="F469" s="60"/>
    </row>
    <row r="470">
      <c r="A470" s="60"/>
      <c r="B470" s="60"/>
      <c r="C470" s="60"/>
      <c r="D470" s="60"/>
      <c r="E470" s="60"/>
      <c r="F470" s="60"/>
    </row>
    <row r="471">
      <c r="A471" s="60"/>
      <c r="B471" s="60"/>
      <c r="C471" s="60"/>
      <c r="D471" s="60"/>
      <c r="E471" s="60"/>
      <c r="F471" s="60"/>
    </row>
    <row r="472">
      <c r="A472" s="60"/>
      <c r="B472" s="60"/>
      <c r="C472" s="60"/>
      <c r="D472" s="60"/>
      <c r="E472" s="60"/>
      <c r="F472" s="60"/>
    </row>
    <row r="473">
      <c r="A473" s="60"/>
      <c r="B473" s="60"/>
      <c r="C473" s="60"/>
      <c r="D473" s="60"/>
      <c r="E473" s="60"/>
      <c r="F473" s="60"/>
    </row>
    <row r="474">
      <c r="A474" s="60"/>
      <c r="B474" s="60"/>
      <c r="C474" s="60"/>
      <c r="D474" s="60"/>
      <c r="E474" s="60"/>
      <c r="F474" s="60"/>
    </row>
    <row r="475">
      <c r="A475" s="60"/>
      <c r="B475" s="60"/>
      <c r="C475" s="60"/>
      <c r="D475" s="60"/>
      <c r="E475" s="60"/>
      <c r="F475" s="60"/>
    </row>
    <row r="476">
      <c r="A476" s="60"/>
      <c r="B476" s="60"/>
      <c r="C476" s="60"/>
      <c r="D476" s="60"/>
      <c r="E476" s="60"/>
      <c r="F476" s="60"/>
    </row>
    <row r="477">
      <c r="A477" s="60"/>
      <c r="B477" s="60"/>
      <c r="C477" s="60"/>
      <c r="D477" s="60"/>
      <c r="E477" s="60"/>
      <c r="F477" s="60"/>
    </row>
    <row r="478">
      <c r="A478" s="60"/>
      <c r="B478" s="60"/>
      <c r="C478" s="60"/>
      <c r="D478" s="60"/>
      <c r="E478" s="60"/>
      <c r="F478" s="60"/>
    </row>
    <row r="479">
      <c r="A479" s="60"/>
      <c r="B479" s="60"/>
      <c r="C479" s="60"/>
      <c r="D479" s="60"/>
      <c r="E479" s="60"/>
      <c r="F479" s="60"/>
    </row>
    <row r="480">
      <c r="A480" s="60"/>
      <c r="B480" s="60"/>
      <c r="C480" s="60"/>
      <c r="D480" s="60"/>
      <c r="E480" s="60"/>
      <c r="F480" s="60"/>
    </row>
    <row r="481">
      <c r="A481" s="60"/>
      <c r="B481" s="60"/>
      <c r="C481" s="60"/>
      <c r="D481" s="60"/>
      <c r="E481" s="60"/>
      <c r="F481" s="60"/>
    </row>
    <row r="482">
      <c r="A482" s="60"/>
      <c r="B482" s="60"/>
      <c r="C482" s="60"/>
      <c r="D482" s="60"/>
      <c r="E482" s="60"/>
      <c r="F482" s="60"/>
    </row>
    <row r="483">
      <c r="A483" s="60"/>
      <c r="B483" s="60"/>
      <c r="C483" s="60"/>
      <c r="D483" s="60"/>
      <c r="E483" s="60"/>
      <c r="F483" s="60"/>
    </row>
    <row r="484">
      <c r="A484" s="60"/>
      <c r="B484" s="60"/>
      <c r="C484" s="60"/>
      <c r="D484" s="60"/>
      <c r="E484" s="60"/>
      <c r="F484" s="60"/>
    </row>
    <row r="485">
      <c r="A485" s="60"/>
      <c r="B485" s="60"/>
      <c r="C485" s="60"/>
      <c r="D485" s="60"/>
      <c r="E485" s="60"/>
      <c r="F485" s="60"/>
    </row>
    <row r="486">
      <c r="A486" s="60"/>
      <c r="B486" s="60"/>
      <c r="C486" s="60"/>
      <c r="D486" s="60"/>
      <c r="E486" s="60"/>
      <c r="F486" s="60"/>
    </row>
    <row r="487">
      <c r="A487" s="60"/>
      <c r="B487" s="60"/>
      <c r="C487" s="60"/>
      <c r="D487" s="60"/>
      <c r="E487" s="60"/>
      <c r="F487" s="60"/>
    </row>
    <row r="488">
      <c r="A488" s="60"/>
      <c r="B488" s="60"/>
      <c r="C488" s="60"/>
      <c r="D488" s="60"/>
      <c r="E488" s="60"/>
      <c r="F488" s="60"/>
    </row>
    <row r="489">
      <c r="A489" s="60"/>
      <c r="B489" s="60"/>
      <c r="C489" s="60"/>
      <c r="D489" s="60"/>
      <c r="E489" s="60"/>
      <c r="F489" s="60"/>
    </row>
    <row r="490">
      <c r="A490" s="60"/>
      <c r="B490" s="60"/>
      <c r="C490" s="60"/>
      <c r="D490" s="60"/>
      <c r="E490" s="60"/>
      <c r="F490" s="60"/>
    </row>
    <row r="491">
      <c r="A491" s="60"/>
      <c r="B491" s="60"/>
      <c r="C491" s="60"/>
      <c r="D491" s="60"/>
      <c r="E491" s="60"/>
      <c r="F491" s="60"/>
    </row>
    <row r="492">
      <c r="A492" s="60"/>
      <c r="B492" s="60"/>
      <c r="C492" s="60"/>
      <c r="D492" s="60"/>
      <c r="E492" s="60"/>
      <c r="F492" s="60"/>
    </row>
    <row r="493">
      <c r="A493" s="60"/>
      <c r="B493" s="60"/>
      <c r="C493" s="60"/>
      <c r="D493" s="60"/>
      <c r="E493" s="60"/>
      <c r="F493" s="60"/>
    </row>
    <row r="494">
      <c r="A494" s="60"/>
      <c r="B494" s="60"/>
      <c r="C494" s="60"/>
      <c r="D494" s="60"/>
      <c r="E494" s="60"/>
      <c r="F494" s="60"/>
    </row>
    <row r="495">
      <c r="A495" s="60"/>
      <c r="B495" s="60"/>
      <c r="C495" s="60"/>
      <c r="D495" s="60"/>
      <c r="E495" s="60"/>
      <c r="F495" s="60"/>
    </row>
    <row r="496">
      <c r="A496" s="60"/>
      <c r="B496" s="60"/>
      <c r="C496" s="60"/>
      <c r="D496" s="60"/>
      <c r="E496" s="60"/>
      <c r="F496" s="60"/>
    </row>
    <row r="497">
      <c r="A497" s="60"/>
      <c r="B497" s="60"/>
      <c r="C497" s="60"/>
      <c r="D497" s="60"/>
      <c r="E497" s="60"/>
      <c r="F497" s="60"/>
    </row>
    <row r="498">
      <c r="A498" s="60"/>
      <c r="B498" s="60"/>
      <c r="C498" s="60"/>
      <c r="D498" s="60"/>
      <c r="E498" s="60"/>
      <c r="F498" s="60"/>
    </row>
    <row r="499">
      <c r="A499" s="60"/>
      <c r="B499" s="60"/>
      <c r="C499" s="60"/>
      <c r="D499" s="60"/>
      <c r="E499" s="60"/>
      <c r="F499" s="60"/>
    </row>
    <row r="500">
      <c r="A500" s="60"/>
      <c r="B500" s="60"/>
      <c r="C500" s="60"/>
      <c r="D500" s="60"/>
      <c r="E500" s="60"/>
      <c r="F500" s="60"/>
    </row>
    <row r="501">
      <c r="A501" s="60"/>
      <c r="B501" s="60"/>
      <c r="C501" s="60"/>
      <c r="D501" s="60"/>
      <c r="E501" s="60"/>
      <c r="F501" s="60"/>
    </row>
    <row r="502">
      <c r="A502" s="60"/>
      <c r="B502" s="60"/>
      <c r="C502" s="60"/>
      <c r="D502" s="60"/>
      <c r="E502" s="60"/>
      <c r="F502" s="60"/>
    </row>
    <row r="503">
      <c r="A503" s="60"/>
      <c r="B503" s="60"/>
      <c r="C503" s="60"/>
      <c r="D503" s="60"/>
      <c r="E503" s="60"/>
      <c r="F503" s="60"/>
    </row>
    <row r="504">
      <c r="A504" s="60"/>
      <c r="B504" s="60"/>
      <c r="C504" s="60"/>
      <c r="D504" s="60"/>
      <c r="E504" s="60"/>
      <c r="F504" s="60"/>
    </row>
    <row r="505">
      <c r="A505" s="60"/>
      <c r="B505" s="60"/>
      <c r="C505" s="60"/>
      <c r="D505" s="60"/>
      <c r="E505" s="60"/>
      <c r="F505" s="60"/>
    </row>
    <row r="506">
      <c r="A506" s="60"/>
      <c r="B506" s="60"/>
      <c r="C506" s="60"/>
      <c r="D506" s="60"/>
      <c r="E506" s="60"/>
      <c r="F506" s="60"/>
    </row>
    <row r="507">
      <c r="A507" s="60"/>
      <c r="B507" s="60"/>
      <c r="C507" s="60"/>
      <c r="D507" s="60"/>
      <c r="E507" s="60"/>
      <c r="F507" s="60"/>
    </row>
    <row r="508">
      <c r="A508" s="60"/>
      <c r="B508" s="60"/>
      <c r="C508" s="60"/>
      <c r="D508" s="60"/>
      <c r="E508" s="60"/>
      <c r="F508" s="60"/>
    </row>
    <row r="509">
      <c r="A509" s="60"/>
      <c r="B509" s="60"/>
      <c r="C509" s="60"/>
      <c r="D509" s="60"/>
      <c r="E509" s="60"/>
      <c r="F509" s="60"/>
    </row>
    <row r="510">
      <c r="A510" s="60"/>
      <c r="B510" s="60"/>
      <c r="C510" s="60"/>
      <c r="D510" s="60"/>
      <c r="E510" s="60"/>
      <c r="F510" s="60"/>
    </row>
    <row r="511">
      <c r="A511" s="60"/>
      <c r="B511" s="60"/>
      <c r="C511" s="60"/>
      <c r="D511" s="60"/>
      <c r="E511" s="60"/>
      <c r="F511" s="60"/>
    </row>
    <row r="512">
      <c r="A512" s="60"/>
      <c r="B512" s="60"/>
      <c r="C512" s="60"/>
      <c r="D512" s="60"/>
      <c r="E512" s="60"/>
      <c r="F512" s="60"/>
    </row>
    <row r="513">
      <c r="A513" s="60"/>
      <c r="B513" s="60"/>
      <c r="C513" s="60"/>
      <c r="D513" s="60"/>
      <c r="E513" s="60"/>
      <c r="F513" s="60"/>
    </row>
    <row r="514">
      <c r="A514" s="60"/>
      <c r="B514" s="60"/>
      <c r="C514" s="60"/>
      <c r="D514" s="60"/>
      <c r="E514" s="60"/>
      <c r="F514" s="60"/>
    </row>
    <row r="515">
      <c r="A515" s="60"/>
      <c r="B515" s="60"/>
      <c r="C515" s="60"/>
      <c r="D515" s="60"/>
      <c r="E515" s="60"/>
      <c r="F515" s="60"/>
    </row>
    <row r="516">
      <c r="A516" s="60"/>
      <c r="B516" s="60"/>
      <c r="C516" s="60"/>
      <c r="D516" s="60"/>
      <c r="E516" s="60"/>
      <c r="F516" s="60"/>
    </row>
    <row r="517">
      <c r="A517" s="60"/>
      <c r="B517" s="60"/>
      <c r="C517" s="60"/>
      <c r="D517" s="60"/>
      <c r="E517" s="60"/>
      <c r="F517" s="60"/>
    </row>
    <row r="518">
      <c r="A518" s="60"/>
      <c r="B518" s="60"/>
      <c r="C518" s="60"/>
      <c r="D518" s="60"/>
      <c r="E518" s="60"/>
      <c r="F518" s="60"/>
    </row>
    <row r="519">
      <c r="A519" s="60"/>
      <c r="B519" s="60"/>
      <c r="C519" s="60"/>
      <c r="D519" s="60"/>
      <c r="E519" s="60"/>
      <c r="F519" s="60"/>
    </row>
    <row r="520">
      <c r="A520" s="60"/>
      <c r="B520" s="60"/>
      <c r="C520" s="60"/>
      <c r="D520" s="60"/>
      <c r="E520" s="60"/>
      <c r="F520" s="60"/>
    </row>
    <row r="521">
      <c r="A521" s="60"/>
      <c r="B521" s="60"/>
      <c r="C521" s="60"/>
      <c r="D521" s="60"/>
      <c r="E521" s="60"/>
      <c r="F521" s="60"/>
    </row>
    <row r="522">
      <c r="A522" s="60"/>
      <c r="B522" s="60"/>
      <c r="C522" s="60"/>
      <c r="D522" s="60"/>
      <c r="E522" s="60"/>
      <c r="F522" s="60"/>
    </row>
    <row r="523">
      <c r="A523" s="60"/>
      <c r="B523" s="60"/>
      <c r="C523" s="60"/>
      <c r="D523" s="60"/>
      <c r="E523" s="60"/>
      <c r="F523" s="60"/>
    </row>
    <row r="524">
      <c r="A524" s="60"/>
      <c r="B524" s="60"/>
      <c r="C524" s="60"/>
      <c r="D524" s="60"/>
      <c r="E524" s="60"/>
      <c r="F524" s="60"/>
    </row>
    <row r="525">
      <c r="A525" s="60"/>
      <c r="B525" s="60"/>
      <c r="C525" s="60"/>
      <c r="D525" s="60"/>
      <c r="E525" s="60"/>
      <c r="F525" s="60"/>
    </row>
    <row r="526">
      <c r="A526" s="60"/>
      <c r="B526" s="60"/>
      <c r="C526" s="60"/>
      <c r="D526" s="60"/>
      <c r="E526" s="60"/>
      <c r="F526" s="60"/>
    </row>
    <row r="527">
      <c r="A527" s="60"/>
      <c r="B527" s="60"/>
      <c r="C527" s="60"/>
      <c r="D527" s="60"/>
      <c r="E527" s="60"/>
      <c r="F527" s="60"/>
    </row>
    <row r="528">
      <c r="A528" s="60"/>
      <c r="B528" s="60"/>
      <c r="C528" s="60"/>
      <c r="D528" s="60"/>
      <c r="E528" s="60"/>
      <c r="F528" s="60"/>
    </row>
    <row r="529">
      <c r="A529" s="60"/>
      <c r="B529" s="60"/>
      <c r="C529" s="60"/>
      <c r="D529" s="60"/>
      <c r="E529" s="60"/>
      <c r="F529" s="60"/>
    </row>
    <row r="530">
      <c r="A530" s="60"/>
      <c r="B530" s="60"/>
      <c r="C530" s="60"/>
      <c r="D530" s="60"/>
      <c r="E530" s="60"/>
      <c r="F530" s="60"/>
    </row>
    <row r="531">
      <c r="A531" s="60"/>
      <c r="B531" s="60"/>
      <c r="C531" s="60"/>
      <c r="D531" s="60"/>
      <c r="E531" s="60"/>
      <c r="F531" s="60"/>
    </row>
    <row r="532">
      <c r="A532" s="60"/>
      <c r="B532" s="60"/>
      <c r="C532" s="60"/>
      <c r="D532" s="60"/>
      <c r="E532" s="60"/>
      <c r="F532" s="60"/>
    </row>
    <row r="533">
      <c r="A533" s="60"/>
      <c r="B533" s="60"/>
      <c r="C533" s="60"/>
      <c r="D533" s="60"/>
      <c r="E533" s="60"/>
      <c r="F533" s="60"/>
    </row>
    <row r="534">
      <c r="A534" s="60"/>
      <c r="B534" s="60"/>
      <c r="C534" s="60"/>
      <c r="D534" s="60"/>
      <c r="E534" s="60"/>
      <c r="F534" s="60"/>
    </row>
    <row r="535">
      <c r="A535" s="60"/>
      <c r="B535" s="60"/>
      <c r="C535" s="60"/>
      <c r="D535" s="60"/>
      <c r="E535" s="60"/>
      <c r="F535" s="60"/>
    </row>
    <row r="536">
      <c r="A536" s="60"/>
      <c r="B536" s="60"/>
      <c r="C536" s="60"/>
      <c r="D536" s="60"/>
      <c r="E536" s="60"/>
      <c r="F536" s="60"/>
    </row>
    <row r="537">
      <c r="A537" s="60"/>
      <c r="B537" s="60"/>
      <c r="C537" s="60"/>
      <c r="D537" s="60"/>
      <c r="E537" s="60"/>
      <c r="F537" s="60"/>
    </row>
    <row r="538">
      <c r="A538" s="60"/>
      <c r="B538" s="60"/>
      <c r="C538" s="60"/>
      <c r="D538" s="60"/>
      <c r="E538" s="60"/>
      <c r="F538" s="60"/>
    </row>
    <row r="539">
      <c r="A539" s="60"/>
      <c r="B539" s="60"/>
      <c r="C539" s="60"/>
      <c r="D539" s="60"/>
      <c r="E539" s="60"/>
      <c r="F539" s="60"/>
    </row>
    <row r="540">
      <c r="A540" s="60"/>
      <c r="B540" s="60"/>
      <c r="C540" s="60"/>
      <c r="D540" s="60"/>
      <c r="E540" s="60"/>
      <c r="F540" s="60"/>
    </row>
    <row r="541">
      <c r="A541" s="60"/>
      <c r="B541" s="60"/>
      <c r="C541" s="60"/>
      <c r="D541" s="60"/>
      <c r="E541" s="60"/>
      <c r="F541" s="60"/>
    </row>
    <row r="542">
      <c r="A542" s="60"/>
      <c r="B542" s="60"/>
      <c r="C542" s="60"/>
      <c r="D542" s="60"/>
      <c r="E542" s="60"/>
      <c r="F542" s="60"/>
    </row>
    <row r="543">
      <c r="A543" s="60"/>
      <c r="B543" s="60"/>
      <c r="C543" s="60"/>
      <c r="D543" s="60"/>
      <c r="E543" s="60"/>
      <c r="F543" s="60"/>
    </row>
    <row r="544">
      <c r="A544" s="60"/>
      <c r="B544" s="60"/>
      <c r="C544" s="60"/>
      <c r="D544" s="60"/>
      <c r="E544" s="60"/>
      <c r="F544" s="60"/>
    </row>
    <row r="545">
      <c r="A545" s="60"/>
      <c r="B545" s="60"/>
      <c r="C545" s="60"/>
      <c r="D545" s="60"/>
      <c r="E545" s="60"/>
      <c r="F545" s="60"/>
    </row>
    <row r="546">
      <c r="A546" s="60"/>
      <c r="B546" s="60"/>
      <c r="C546" s="60"/>
      <c r="D546" s="60"/>
      <c r="E546" s="60"/>
      <c r="F546" s="60"/>
    </row>
    <row r="547">
      <c r="A547" s="60"/>
      <c r="B547" s="60"/>
      <c r="C547" s="60"/>
      <c r="D547" s="60"/>
      <c r="E547" s="60"/>
      <c r="F547" s="60"/>
    </row>
    <row r="548">
      <c r="A548" s="60"/>
      <c r="B548" s="60"/>
      <c r="C548" s="60"/>
      <c r="D548" s="60"/>
      <c r="E548" s="60"/>
      <c r="F548" s="60"/>
    </row>
    <row r="549">
      <c r="A549" s="60"/>
      <c r="B549" s="60"/>
      <c r="C549" s="60"/>
      <c r="D549" s="60"/>
      <c r="E549" s="60"/>
      <c r="F549" s="60"/>
    </row>
    <row r="550">
      <c r="A550" s="60"/>
      <c r="B550" s="60"/>
      <c r="C550" s="60"/>
      <c r="D550" s="60"/>
      <c r="E550" s="60"/>
      <c r="F550" s="60"/>
    </row>
    <row r="551">
      <c r="A551" s="60"/>
      <c r="B551" s="60"/>
      <c r="C551" s="60"/>
      <c r="D551" s="60"/>
      <c r="E551" s="60"/>
      <c r="F551" s="60"/>
    </row>
    <row r="552">
      <c r="A552" s="60"/>
      <c r="B552" s="60"/>
      <c r="C552" s="60"/>
      <c r="D552" s="60"/>
      <c r="E552" s="60"/>
      <c r="F552" s="60"/>
    </row>
    <row r="553">
      <c r="A553" s="60"/>
      <c r="B553" s="60"/>
      <c r="C553" s="60"/>
      <c r="D553" s="60"/>
      <c r="E553" s="60"/>
      <c r="F553" s="60"/>
    </row>
    <row r="554">
      <c r="A554" s="60"/>
      <c r="B554" s="60"/>
      <c r="C554" s="60"/>
      <c r="D554" s="60"/>
      <c r="E554" s="60"/>
      <c r="F554" s="60"/>
    </row>
    <row r="555">
      <c r="A555" s="60"/>
      <c r="B555" s="60"/>
      <c r="C555" s="60"/>
      <c r="D555" s="60"/>
      <c r="E555" s="60"/>
      <c r="F555" s="60"/>
    </row>
    <row r="556">
      <c r="A556" s="60"/>
      <c r="B556" s="60"/>
      <c r="C556" s="60"/>
      <c r="D556" s="60"/>
      <c r="E556" s="60"/>
      <c r="F556" s="60"/>
    </row>
    <row r="557">
      <c r="A557" s="60"/>
      <c r="B557" s="60"/>
      <c r="C557" s="60"/>
      <c r="D557" s="60"/>
      <c r="E557" s="60"/>
      <c r="F557" s="60"/>
    </row>
    <row r="558">
      <c r="A558" s="60"/>
      <c r="B558" s="60"/>
      <c r="C558" s="60"/>
      <c r="D558" s="60"/>
      <c r="E558" s="60"/>
      <c r="F558" s="60"/>
    </row>
    <row r="559">
      <c r="A559" s="60"/>
      <c r="B559" s="60"/>
      <c r="C559" s="60"/>
      <c r="D559" s="60"/>
      <c r="E559" s="60"/>
      <c r="F559" s="60"/>
    </row>
    <row r="560">
      <c r="A560" s="60"/>
      <c r="B560" s="60"/>
      <c r="C560" s="60"/>
      <c r="D560" s="60"/>
      <c r="E560" s="60"/>
      <c r="F560" s="60"/>
    </row>
    <row r="561">
      <c r="A561" s="60"/>
      <c r="B561" s="60"/>
      <c r="C561" s="60"/>
      <c r="D561" s="60"/>
      <c r="E561" s="60"/>
      <c r="F561" s="60"/>
    </row>
    <row r="562">
      <c r="A562" s="60"/>
      <c r="B562" s="60"/>
      <c r="C562" s="60"/>
      <c r="D562" s="60"/>
      <c r="E562" s="60"/>
      <c r="F562" s="60"/>
    </row>
    <row r="563">
      <c r="A563" s="60"/>
      <c r="B563" s="60"/>
      <c r="C563" s="60"/>
      <c r="D563" s="60"/>
      <c r="E563" s="60"/>
      <c r="F563" s="60"/>
    </row>
    <row r="564">
      <c r="A564" s="60"/>
      <c r="B564" s="60"/>
      <c r="C564" s="60"/>
      <c r="D564" s="60"/>
      <c r="E564" s="60"/>
      <c r="F564" s="60"/>
    </row>
    <row r="565">
      <c r="A565" s="60"/>
      <c r="B565" s="60"/>
      <c r="C565" s="60"/>
      <c r="D565" s="60"/>
      <c r="E565" s="60"/>
      <c r="F565" s="60"/>
    </row>
    <row r="566">
      <c r="A566" s="60"/>
      <c r="B566" s="60"/>
      <c r="C566" s="60"/>
      <c r="D566" s="60"/>
      <c r="E566" s="60"/>
      <c r="F566" s="60"/>
    </row>
    <row r="567">
      <c r="A567" s="60"/>
      <c r="B567" s="60"/>
      <c r="C567" s="60"/>
      <c r="D567" s="60"/>
      <c r="E567" s="60"/>
      <c r="F567" s="60"/>
    </row>
    <row r="568">
      <c r="A568" s="60"/>
      <c r="B568" s="60"/>
      <c r="C568" s="60"/>
      <c r="D568" s="60"/>
      <c r="E568" s="60"/>
      <c r="F568" s="60"/>
    </row>
    <row r="569">
      <c r="A569" s="60"/>
      <c r="B569" s="60"/>
      <c r="C569" s="60"/>
      <c r="D569" s="60"/>
      <c r="E569" s="60"/>
      <c r="F569" s="60"/>
    </row>
    <row r="570">
      <c r="A570" s="60"/>
      <c r="B570" s="60"/>
      <c r="C570" s="60"/>
      <c r="D570" s="60"/>
      <c r="E570" s="60"/>
      <c r="F570" s="60"/>
    </row>
    <row r="571">
      <c r="A571" s="60"/>
      <c r="B571" s="60"/>
      <c r="C571" s="60"/>
      <c r="D571" s="60"/>
      <c r="E571" s="60"/>
      <c r="F571" s="60"/>
    </row>
    <row r="572">
      <c r="A572" s="60"/>
      <c r="B572" s="60"/>
      <c r="C572" s="60"/>
      <c r="D572" s="60"/>
      <c r="E572" s="60"/>
      <c r="F572" s="60"/>
    </row>
    <row r="573">
      <c r="A573" s="60"/>
      <c r="B573" s="60"/>
      <c r="C573" s="60"/>
      <c r="D573" s="60"/>
      <c r="E573" s="60"/>
      <c r="F573" s="60"/>
    </row>
    <row r="574">
      <c r="A574" s="60"/>
      <c r="B574" s="60"/>
      <c r="C574" s="60"/>
      <c r="D574" s="60"/>
      <c r="E574" s="60"/>
      <c r="F574" s="60"/>
    </row>
    <row r="575">
      <c r="A575" s="60"/>
      <c r="B575" s="60"/>
      <c r="C575" s="60"/>
      <c r="D575" s="60"/>
      <c r="E575" s="60"/>
      <c r="F575" s="60"/>
    </row>
    <row r="576">
      <c r="A576" s="60"/>
      <c r="B576" s="60"/>
      <c r="C576" s="60"/>
      <c r="D576" s="60"/>
      <c r="E576" s="60"/>
      <c r="F576" s="60"/>
    </row>
    <row r="577">
      <c r="A577" s="60"/>
      <c r="B577" s="60"/>
      <c r="C577" s="60"/>
      <c r="D577" s="60"/>
      <c r="E577" s="60"/>
      <c r="F577" s="60"/>
    </row>
    <row r="578">
      <c r="A578" s="60"/>
      <c r="B578" s="60"/>
      <c r="C578" s="60"/>
      <c r="D578" s="60"/>
      <c r="E578" s="60"/>
      <c r="F578" s="60"/>
    </row>
    <row r="579">
      <c r="A579" s="60"/>
      <c r="B579" s="60"/>
      <c r="C579" s="60"/>
      <c r="D579" s="60"/>
      <c r="E579" s="60"/>
      <c r="F579" s="60"/>
    </row>
    <row r="580">
      <c r="A580" s="60"/>
      <c r="B580" s="60"/>
      <c r="C580" s="60"/>
      <c r="D580" s="60"/>
      <c r="E580" s="60"/>
      <c r="F580" s="60"/>
    </row>
    <row r="581">
      <c r="A581" s="60"/>
      <c r="B581" s="60"/>
      <c r="C581" s="60"/>
      <c r="D581" s="60"/>
      <c r="E581" s="60"/>
      <c r="F581" s="60"/>
    </row>
    <row r="582">
      <c r="A582" s="60"/>
      <c r="B582" s="60"/>
      <c r="C582" s="60"/>
      <c r="D582" s="60"/>
      <c r="E582" s="60"/>
      <c r="F582" s="60"/>
    </row>
    <row r="583">
      <c r="A583" s="60"/>
      <c r="B583" s="60"/>
      <c r="C583" s="60"/>
      <c r="D583" s="60"/>
      <c r="E583" s="60"/>
      <c r="F583" s="60"/>
    </row>
    <row r="584">
      <c r="A584" s="60"/>
      <c r="B584" s="60"/>
      <c r="C584" s="60"/>
      <c r="D584" s="60"/>
      <c r="E584" s="60"/>
      <c r="F584" s="60"/>
    </row>
    <row r="585">
      <c r="A585" s="60"/>
      <c r="B585" s="60"/>
      <c r="C585" s="60"/>
      <c r="D585" s="60"/>
      <c r="E585" s="60"/>
      <c r="F585" s="60"/>
    </row>
    <row r="586">
      <c r="A586" s="60"/>
      <c r="B586" s="60"/>
      <c r="C586" s="60"/>
      <c r="D586" s="60"/>
      <c r="E586" s="60"/>
      <c r="F586" s="60"/>
    </row>
    <row r="587">
      <c r="A587" s="60"/>
      <c r="B587" s="60"/>
      <c r="C587" s="60"/>
      <c r="D587" s="60"/>
      <c r="E587" s="60"/>
      <c r="F587" s="60"/>
    </row>
    <row r="588">
      <c r="A588" s="60"/>
      <c r="B588" s="60"/>
      <c r="C588" s="60"/>
      <c r="D588" s="60"/>
      <c r="E588" s="60"/>
      <c r="F588" s="60"/>
    </row>
    <row r="589">
      <c r="A589" s="60"/>
      <c r="B589" s="60"/>
      <c r="C589" s="60"/>
      <c r="D589" s="60"/>
      <c r="E589" s="60"/>
      <c r="F589" s="60"/>
    </row>
    <row r="590">
      <c r="A590" s="60"/>
      <c r="B590" s="60"/>
      <c r="C590" s="60"/>
      <c r="D590" s="60"/>
      <c r="E590" s="60"/>
      <c r="F590" s="60"/>
    </row>
    <row r="591">
      <c r="A591" s="60"/>
      <c r="B591" s="60"/>
      <c r="C591" s="60"/>
      <c r="D591" s="60"/>
      <c r="E591" s="60"/>
      <c r="F591" s="60"/>
    </row>
    <row r="592">
      <c r="A592" s="60"/>
      <c r="B592" s="60"/>
      <c r="C592" s="60"/>
      <c r="D592" s="60"/>
      <c r="E592" s="60"/>
      <c r="F592" s="60"/>
    </row>
    <row r="593">
      <c r="A593" s="60"/>
      <c r="B593" s="60"/>
      <c r="C593" s="60"/>
      <c r="D593" s="60"/>
      <c r="E593" s="60"/>
      <c r="F593" s="60"/>
    </row>
    <row r="594">
      <c r="A594" s="60"/>
      <c r="B594" s="60"/>
      <c r="C594" s="60"/>
      <c r="D594" s="60"/>
      <c r="E594" s="60"/>
      <c r="F594" s="60"/>
    </row>
    <row r="595">
      <c r="A595" s="60"/>
      <c r="B595" s="60"/>
      <c r="C595" s="60"/>
      <c r="D595" s="60"/>
      <c r="E595" s="60"/>
      <c r="F595" s="60"/>
    </row>
    <row r="596">
      <c r="A596" s="60"/>
      <c r="B596" s="60"/>
      <c r="C596" s="60"/>
      <c r="D596" s="60"/>
      <c r="E596" s="60"/>
      <c r="F596" s="60"/>
    </row>
    <row r="597">
      <c r="A597" s="60"/>
      <c r="B597" s="60"/>
      <c r="C597" s="60"/>
      <c r="D597" s="60"/>
      <c r="E597" s="60"/>
      <c r="F597" s="60"/>
    </row>
    <row r="598">
      <c r="A598" s="60"/>
      <c r="B598" s="60"/>
      <c r="C598" s="60"/>
      <c r="D598" s="60"/>
      <c r="E598" s="60"/>
      <c r="F598" s="60"/>
    </row>
    <row r="599">
      <c r="A599" s="60"/>
      <c r="B599" s="60"/>
      <c r="C599" s="60"/>
      <c r="D599" s="60"/>
      <c r="E599" s="60"/>
      <c r="F599" s="60"/>
    </row>
    <row r="600">
      <c r="A600" s="60"/>
      <c r="B600" s="60"/>
      <c r="C600" s="60"/>
      <c r="D600" s="60"/>
      <c r="E600" s="60"/>
      <c r="F600" s="60"/>
    </row>
    <row r="601">
      <c r="A601" s="60"/>
      <c r="B601" s="60"/>
      <c r="C601" s="60"/>
      <c r="D601" s="60"/>
      <c r="E601" s="60"/>
      <c r="F601" s="60"/>
    </row>
    <row r="602">
      <c r="A602" s="60"/>
      <c r="B602" s="60"/>
      <c r="C602" s="60"/>
      <c r="D602" s="60"/>
      <c r="E602" s="60"/>
      <c r="F602" s="60"/>
    </row>
    <row r="603">
      <c r="A603" s="60"/>
      <c r="B603" s="60"/>
      <c r="C603" s="60"/>
      <c r="D603" s="60"/>
      <c r="E603" s="60"/>
      <c r="F603" s="60"/>
    </row>
    <row r="604">
      <c r="A604" s="60"/>
      <c r="B604" s="60"/>
      <c r="C604" s="60"/>
      <c r="D604" s="60"/>
      <c r="E604" s="60"/>
      <c r="F604" s="60"/>
    </row>
    <row r="605">
      <c r="A605" s="60"/>
      <c r="B605" s="60"/>
      <c r="C605" s="60"/>
      <c r="D605" s="60"/>
      <c r="E605" s="60"/>
      <c r="F605" s="60"/>
    </row>
    <row r="606">
      <c r="A606" s="60"/>
      <c r="B606" s="60"/>
      <c r="C606" s="60"/>
      <c r="D606" s="60"/>
      <c r="E606" s="60"/>
      <c r="F606" s="60"/>
    </row>
    <row r="607">
      <c r="A607" s="60"/>
      <c r="B607" s="60"/>
      <c r="C607" s="60"/>
      <c r="D607" s="60"/>
      <c r="E607" s="60"/>
      <c r="F607" s="60"/>
    </row>
    <row r="608">
      <c r="A608" s="60"/>
      <c r="B608" s="60"/>
      <c r="C608" s="60"/>
      <c r="D608" s="60"/>
      <c r="E608" s="60"/>
      <c r="F608" s="60"/>
    </row>
    <row r="609">
      <c r="A609" s="60"/>
      <c r="B609" s="60"/>
      <c r="C609" s="60"/>
      <c r="D609" s="60"/>
      <c r="E609" s="60"/>
      <c r="F609" s="60"/>
    </row>
    <row r="610">
      <c r="A610" s="60"/>
      <c r="B610" s="60"/>
      <c r="C610" s="60"/>
      <c r="D610" s="60"/>
      <c r="E610" s="60"/>
      <c r="F610" s="60"/>
    </row>
    <row r="611">
      <c r="A611" s="60"/>
      <c r="B611" s="60"/>
      <c r="C611" s="60"/>
      <c r="D611" s="60"/>
      <c r="E611" s="60"/>
      <c r="F611" s="60"/>
    </row>
    <row r="612">
      <c r="A612" s="60"/>
      <c r="B612" s="60"/>
      <c r="C612" s="60"/>
      <c r="D612" s="60"/>
      <c r="E612" s="60"/>
      <c r="F612" s="60"/>
    </row>
    <row r="613">
      <c r="A613" s="60"/>
      <c r="B613" s="60"/>
      <c r="C613" s="60"/>
      <c r="D613" s="60"/>
      <c r="E613" s="60"/>
      <c r="F613" s="60"/>
    </row>
    <row r="614">
      <c r="A614" s="60"/>
      <c r="B614" s="60"/>
      <c r="C614" s="60"/>
      <c r="D614" s="60"/>
      <c r="E614" s="60"/>
      <c r="F614" s="60"/>
    </row>
    <row r="615">
      <c r="A615" s="60"/>
      <c r="B615" s="60"/>
      <c r="C615" s="60"/>
      <c r="D615" s="60"/>
      <c r="E615" s="60"/>
      <c r="F615" s="60"/>
    </row>
    <row r="616">
      <c r="A616" s="60"/>
      <c r="B616" s="60"/>
      <c r="C616" s="60"/>
      <c r="D616" s="60"/>
      <c r="E616" s="60"/>
      <c r="F616" s="60"/>
    </row>
    <row r="617">
      <c r="A617" s="60"/>
      <c r="B617" s="60"/>
      <c r="C617" s="60"/>
      <c r="D617" s="60"/>
      <c r="E617" s="60"/>
      <c r="F617" s="60"/>
    </row>
    <row r="618">
      <c r="A618" s="60"/>
      <c r="B618" s="60"/>
      <c r="C618" s="60"/>
      <c r="D618" s="60"/>
      <c r="E618" s="60"/>
      <c r="F618" s="60"/>
    </row>
    <row r="619">
      <c r="A619" s="60"/>
      <c r="B619" s="60"/>
      <c r="C619" s="60"/>
      <c r="D619" s="60"/>
      <c r="E619" s="60"/>
      <c r="F619" s="60"/>
    </row>
    <row r="620">
      <c r="A620" s="60"/>
      <c r="B620" s="60"/>
      <c r="C620" s="60"/>
      <c r="D620" s="60"/>
      <c r="E620" s="60"/>
      <c r="F620" s="60"/>
    </row>
    <row r="621">
      <c r="A621" s="60"/>
      <c r="B621" s="60"/>
      <c r="C621" s="60"/>
      <c r="D621" s="60"/>
      <c r="E621" s="60"/>
      <c r="F621" s="60"/>
    </row>
    <row r="622">
      <c r="A622" s="60"/>
      <c r="B622" s="60"/>
      <c r="C622" s="60"/>
      <c r="D622" s="60"/>
      <c r="E622" s="60"/>
      <c r="F622" s="60"/>
    </row>
    <row r="623">
      <c r="A623" s="60"/>
      <c r="B623" s="60"/>
      <c r="C623" s="60"/>
      <c r="D623" s="60"/>
      <c r="E623" s="60"/>
      <c r="F623" s="60"/>
    </row>
    <row r="624">
      <c r="A624" s="60"/>
      <c r="B624" s="60"/>
      <c r="C624" s="60"/>
      <c r="D624" s="60"/>
      <c r="E624" s="60"/>
      <c r="F624" s="60"/>
    </row>
    <row r="625">
      <c r="A625" s="60"/>
      <c r="B625" s="60"/>
      <c r="C625" s="60"/>
      <c r="D625" s="60"/>
      <c r="E625" s="60"/>
      <c r="F625" s="60"/>
    </row>
    <row r="626">
      <c r="A626" s="60"/>
      <c r="B626" s="60"/>
      <c r="C626" s="60"/>
      <c r="D626" s="60"/>
      <c r="E626" s="60"/>
      <c r="F626" s="60"/>
    </row>
    <row r="627">
      <c r="A627" s="60"/>
      <c r="B627" s="60"/>
      <c r="C627" s="60"/>
      <c r="D627" s="60"/>
      <c r="E627" s="60"/>
      <c r="F627" s="60"/>
    </row>
    <row r="628">
      <c r="A628" s="60"/>
      <c r="B628" s="60"/>
      <c r="C628" s="60"/>
      <c r="D628" s="60"/>
      <c r="E628" s="60"/>
      <c r="F628" s="60"/>
    </row>
    <row r="629">
      <c r="A629" s="60"/>
      <c r="B629" s="60"/>
      <c r="C629" s="60"/>
      <c r="D629" s="60"/>
      <c r="E629" s="60"/>
      <c r="F629" s="60"/>
    </row>
    <row r="630">
      <c r="A630" s="60"/>
      <c r="B630" s="60"/>
      <c r="C630" s="60"/>
      <c r="D630" s="60"/>
      <c r="E630" s="60"/>
      <c r="F630" s="60"/>
    </row>
    <row r="631">
      <c r="A631" s="60"/>
      <c r="B631" s="60"/>
      <c r="C631" s="60"/>
      <c r="D631" s="60"/>
      <c r="E631" s="60"/>
      <c r="F631" s="60"/>
    </row>
    <row r="632">
      <c r="A632" s="60"/>
      <c r="B632" s="60"/>
      <c r="C632" s="60"/>
      <c r="D632" s="60"/>
      <c r="E632" s="60"/>
      <c r="F632" s="60"/>
    </row>
    <row r="633">
      <c r="A633" s="60"/>
      <c r="B633" s="60"/>
      <c r="C633" s="60"/>
      <c r="D633" s="60"/>
      <c r="E633" s="60"/>
      <c r="F633" s="60"/>
    </row>
    <row r="634">
      <c r="A634" s="60"/>
      <c r="B634" s="60"/>
      <c r="C634" s="60"/>
      <c r="D634" s="60"/>
      <c r="E634" s="60"/>
      <c r="F634" s="60"/>
    </row>
    <row r="635">
      <c r="A635" s="60"/>
      <c r="B635" s="60"/>
      <c r="C635" s="60"/>
      <c r="D635" s="60"/>
      <c r="E635" s="60"/>
      <c r="F635" s="60"/>
    </row>
    <row r="636">
      <c r="A636" s="60"/>
      <c r="B636" s="60"/>
      <c r="C636" s="60"/>
      <c r="D636" s="60"/>
      <c r="E636" s="60"/>
      <c r="F636" s="60"/>
    </row>
    <row r="637">
      <c r="A637" s="60"/>
      <c r="B637" s="60"/>
      <c r="C637" s="60"/>
      <c r="D637" s="60"/>
      <c r="E637" s="60"/>
      <c r="F637" s="60"/>
    </row>
    <row r="638">
      <c r="A638" s="60"/>
      <c r="B638" s="60"/>
      <c r="C638" s="60"/>
      <c r="D638" s="60"/>
      <c r="E638" s="60"/>
      <c r="F638" s="60"/>
    </row>
    <row r="639">
      <c r="A639" s="60"/>
      <c r="B639" s="60"/>
      <c r="C639" s="60"/>
      <c r="D639" s="60"/>
      <c r="E639" s="60"/>
      <c r="F639" s="60"/>
    </row>
    <row r="640">
      <c r="A640" s="60"/>
      <c r="B640" s="60"/>
      <c r="C640" s="60"/>
      <c r="D640" s="60"/>
      <c r="E640" s="60"/>
      <c r="F640" s="60"/>
    </row>
    <row r="641">
      <c r="A641" s="60"/>
      <c r="B641" s="60"/>
      <c r="C641" s="60"/>
      <c r="D641" s="60"/>
      <c r="E641" s="60"/>
      <c r="F641" s="60"/>
    </row>
    <row r="642">
      <c r="A642" s="60"/>
      <c r="B642" s="60"/>
      <c r="C642" s="60"/>
      <c r="D642" s="60"/>
      <c r="E642" s="60"/>
      <c r="F642" s="60"/>
    </row>
    <row r="643">
      <c r="A643" s="60"/>
      <c r="B643" s="60"/>
      <c r="C643" s="60"/>
      <c r="D643" s="60"/>
      <c r="E643" s="60"/>
      <c r="F643" s="60"/>
    </row>
    <row r="644">
      <c r="A644" s="60"/>
      <c r="B644" s="60"/>
      <c r="C644" s="60"/>
      <c r="D644" s="60"/>
      <c r="E644" s="60"/>
      <c r="F644" s="60"/>
    </row>
    <row r="645">
      <c r="A645" s="60"/>
      <c r="B645" s="60"/>
      <c r="C645" s="60"/>
      <c r="D645" s="60"/>
      <c r="E645" s="60"/>
      <c r="F645" s="60"/>
    </row>
    <row r="646">
      <c r="A646" s="60"/>
      <c r="B646" s="60"/>
      <c r="C646" s="60"/>
      <c r="D646" s="60"/>
      <c r="E646" s="60"/>
      <c r="F646" s="60"/>
    </row>
    <row r="647">
      <c r="A647" s="60"/>
      <c r="B647" s="60"/>
      <c r="C647" s="60"/>
      <c r="D647" s="60"/>
      <c r="E647" s="60"/>
      <c r="F647" s="60"/>
    </row>
    <row r="648">
      <c r="A648" s="60"/>
      <c r="B648" s="60"/>
      <c r="C648" s="60"/>
      <c r="D648" s="60"/>
      <c r="E648" s="60"/>
      <c r="F648" s="60"/>
    </row>
    <row r="649">
      <c r="A649" s="60"/>
      <c r="B649" s="60"/>
      <c r="C649" s="60"/>
      <c r="D649" s="60"/>
      <c r="E649" s="60"/>
      <c r="F649" s="60"/>
    </row>
    <row r="650">
      <c r="A650" s="60"/>
      <c r="B650" s="60"/>
      <c r="C650" s="60"/>
      <c r="D650" s="60"/>
      <c r="E650" s="60"/>
      <c r="F650" s="60"/>
    </row>
    <row r="651">
      <c r="A651" s="60"/>
      <c r="B651" s="60"/>
      <c r="C651" s="60"/>
      <c r="D651" s="60"/>
      <c r="E651" s="60"/>
      <c r="F651" s="60"/>
    </row>
    <row r="652">
      <c r="A652" s="60"/>
      <c r="B652" s="60"/>
      <c r="C652" s="60"/>
      <c r="D652" s="60"/>
      <c r="E652" s="60"/>
      <c r="F652" s="60"/>
    </row>
    <row r="653">
      <c r="A653" s="60"/>
      <c r="B653" s="60"/>
      <c r="C653" s="60"/>
      <c r="D653" s="60"/>
      <c r="E653" s="60"/>
      <c r="F653" s="60"/>
    </row>
    <row r="654">
      <c r="A654" s="60"/>
      <c r="B654" s="60"/>
      <c r="C654" s="60"/>
      <c r="D654" s="60"/>
      <c r="E654" s="60"/>
      <c r="F654" s="60"/>
    </row>
    <row r="655">
      <c r="A655" s="60"/>
      <c r="B655" s="60"/>
      <c r="C655" s="60"/>
      <c r="D655" s="60"/>
      <c r="E655" s="60"/>
      <c r="F655" s="60"/>
    </row>
    <row r="656">
      <c r="A656" s="60"/>
      <c r="B656" s="60"/>
      <c r="C656" s="60"/>
      <c r="D656" s="60"/>
      <c r="E656" s="60"/>
      <c r="F656" s="60"/>
    </row>
    <row r="657">
      <c r="A657" s="60"/>
      <c r="B657" s="60"/>
      <c r="C657" s="60"/>
      <c r="D657" s="60"/>
      <c r="E657" s="60"/>
      <c r="F657" s="60"/>
    </row>
    <row r="658">
      <c r="A658" s="60"/>
      <c r="B658" s="60"/>
      <c r="C658" s="60"/>
      <c r="D658" s="60"/>
      <c r="E658" s="60"/>
      <c r="F658" s="60"/>
    </row>
    <row r="659">
      <c r="A659" s="60"/>
      <c r="B659" s="60"/>
      <c r="C659" s="60"/>
      <c r="D659" s="60"/>
      <c r="E659" s="60"/>
      <c r="F659" s="60"/>
    </row>
    <row r="660">
      <c r="A660" s="60"/>
      <c r="B660" s="60"/>
      <c r="C660" s="60"/>
      <c r="D660" s="60"/>
      <c r="E660" s="60"/>
      <c r="F660" s="60"/>
    </row>
    <row r="661">
      <c r="A661" s="60"/>
      <c r="B661" s="60"/>
      <c r="C661" s="60"/>
      <c r="D661" s="60"/>
      <c r="E661" s="60"/>
      <c r="F661" s="60"/>
    </row>
    <row r="662">
      <c r="A662" s="60"/>
      <c r="B662" s="60"/>
      <c r="C662" s="60"/>
      <c r="D662" s="60"/>
      <c r="E662" s="60"/>
      <c r="F662" s="60"/>
    </row>
    <row r="663">
      <c r="A663" s="60"/>
      <c r="B663" s="60"/>
      <c r="C663" s="60"/>
      <c r="D663" s="60"/>
      <c r="E663" s="60"/>
      <c r="F663" s="60"/>
    </row>
    <row r="664">
      <c r="A664" s="60"/>
      <c r="B664" s="60"/>
      <c r="C664" s="60"/>
      <c r="D664" s="60"/>
      <c r="E664" s="60"/>
      <c r="F664" s="60"/>
    </row>
    <row r="665">
      <c r="A665" s="60"/>
      <c r="B665" s="60"/>
      <c r="C665" s="60"/>
      <c r="D665" s="60"/>
      <c r="E665" s="60"/>
      <c r="F665" s="60"/>
    </row>
    <row r="666">
      <c r="A666" s="60"/>
      <c r="B666" s="60"/>
      <c r="C666" s="60"/>
      <c r="D666" s="60"/>
      <c r="E666" s="60"/>
      <c r="F666" s="60"/>
    </row>
    <row r="667">
      <c r="A667" s="60"/>
      <c r="B667" s="60"/>
      <c r="C667" s="60"/>
      <c r="D667" s="60"/>
      <c r="E667" s="60"/>
      <c r="F667" s="60"/>
    </row>
    <row r="668">
      <c r="A668" s="60"/>
      <c r="B668" s="60"/>
      <c r="C668" s="60"/>
      <c r="D668" s="60"/>
      <c r="E668" s="60"/>
      <c r="F668" s="60"/>
    </row>
    <row r="669">
      <c r="A669" s="60"/>
      <c r="B669" s="60"/>
      <c r="C669" s="60"/>
      <c r="D669" s="60"/>
      <c r="E669" s="60"/>
      <c r="F669" s="60"/>
    </row>
    <row r="670">
      <c r="A670" s="60"/>
      <c r="B670" s="60"/>
      <c r="C670" s="60"/>
      <c r="D670" s="60"/>
      <c r="E670" s="60"/>
      <c r="F670" s="60"/>
    </row>
    <row r="671">
      <c r="A671" s="60"/>
      <c r="B671" s="60"/>
      <c r="C671" s="60"/>
      <c r="D671" s="60"/>
      <c r="E671" s="60"/>
      <c r="F671" s="60"/>
    </row>
    <row r="672">
      <c r="A672" s="60"/>
      <c r="B672" s="60"/>
      <c r="C672" s="60"/>
      <c r="D672" s="60"/>
      <c r="E672" s="60"/>
      <c r="F672" s="60"/>
    </row>
    <row r="673">
      <c r="A673" s="60"/>
      <c r="B673" s="60"/>
      <c r="C673" s="60"/>
      <c r="D673" s="60"/>
      <c r="E673" s="60"/>
      <c r="F673" s="60"/>
    </row>
    <row r="674">
      <c r="A674" s="60"/>
      <c r="B674" s="60"/>
      <c r="C674" s="60"/>
      <c r="D674" s="60"/>
      <c r="E674" s="60"/>
      <c r="F674" s="60"/>
    </row>
    <row r="675">
      <c r="A675" s="60"/>
      <c r="B675" s="60"/>
      <c r="C675" s="60"/>
      <c r="D675" s="60"/>
      <c r="E675" s="60"/>
      <c r="F675" s="60"/>
    </row>
    <row r="676">
      <c r="A676" s="60"/>
      <c r="B676" s="60"/>
      <c r="C676" s="60"/>
      <c r="D676" s="60"/>
      <c r="E676" s="60"/>
      <c r="F676" s="60"/>
    </row>
    <row r="677">
      <c r="A677" s="60"/>
      <c r="B677" s="60"/>
      <c r="C677" s="60"/>
      <c r="D677" s="60"/>
      <c r="E677" s="60"/>
      <c r="F677" s="60"/>
    </row>
    <row r="678">
      <c r="A678" s="60"/>
      <c r="B678" s="60"/>
      <c r="C678" s="60"/>
      <c r="D678" s="60"/>
      <c r="E678" s="60"/>
      <c r="F678" s="60"/>
    </row>
    <row r="679">
      <c r="A679" s="60"/>
      <c r="B679" s="60"/>
      <c r="C679" s="60"/>
      <c r="D679" s="60"/>
      <c r="E679" s="60"/>
      <c r="F679" s="60"/>
    </row>
    <row r="680">
      <c r="A680" s="60"/>
      <c r="B680" s="60"/>
      <c r="C680" s="60"/>
      <c r="D680" s="60"/>
      <c r="E680" s="60"/>
      <c r="F680" s="60"/>
    </row>
    <row r="681">
      <c r="A681" s="60"/>
      <c r="B681" s="60"/>
      <c r="C681" s="60"/>
      <c r="D681" s="60"/>
      <c r="E681" s="60"/>
      <c r="F681" s="60"/>
    </row>
    <row r="682">
      <c r="A682" s="60"/>
      <c r="B682" s="60"/>
      <c r="C682" s="60"/>
      <c r="D682" s="60"/>
      <c r="E682" s="60"/>
      <c r="F682" s="60"/>
    </row>
    <row r="683">
      <c r="A683" s="60"/>
      <c r="B683" s="60"/>
      <c r="C683" s="60"/>
      <c r="D683" s="60"/>
      <c r="E683" s="60"/>
      <c r="F683" s="60"/>
    </row>
    <row r="684">
      <c r="A684" s="60"/>
      <c r="B684" s="60"/>
      <c r="C684" s="60"/>
      <c r="D684" s="60"/>
      <c r="E684" s="60"/>
      <c r="F684" s="60"/>
    </row>
    <row r="685">
      <c r="A685" s="60"/>
      <c r="B685" s="60"/>
      <c r="C685" s="60"/>
      <c r="D685" s="60"/>
      <c r="E685" s="60"/>
      <c r="F685" s="60"/>
    </row>
    <row r="686">
      <c r="A686" s="60"/>
      <c r="B686" s="60"/>
      <c r="C686" s="60"/>
      <c r="D686" s="60"/>
      <c r="E686" s="60"/>
      <c r="F686" s="60"/>
    </row>
    <row r="687">
      <c r="A687" s="60"/>
      <c r="B687" s="60"/>
      <c r="C687" s="60"/>
      <c r="D687" s="60"/>
      <c r="E687" s="60"/>
      <c r="F687" s="60"/>
    </row>
    <row r="688">
      <c r="A688" s="60"/>
      <c r="B688" s="60"/>
      <c r="C688" s="60"/>
      <c r="D688" s="60"/>
      <c r="E688" s="60"/>
      <c r="F688" s="60"/>
    </row>
    <row r="689">
      <c r="A689" s="60"/>
      <c r="B689" s="60"/>
      <c r="C689" s="60"/>
      <c r="D689" s="60"/>
      <c r="E689" s="60"/>
      <c r="F689" s="60"/>
    </row>
    <row r="690">
      <c r="A690" s="60"/>
      <c r="B690" s="60"/>
      <c r="C690" s="60"/>
      <c r="D690" s="60"/>
      <c r="E690" s="60"/>
      <c r="F690" s="60"/>
    </row>
    <row r="691">
      <c r="A691" s="60"/>
      <c r="B691" s="60"/>
      <c r="C691" s="60"/>
      <c r="D691" s="60"/>
      <c r="E691" s="60"/>
      <c r="F691" s="60"/>
    </row>
    <row r="692">
      <c r="A692" s="60"/>
      <c r="B692" s="60"/>
      <c r="C692" s="60"/>
      <c r="D692" s="60"/>
      <c r="E692" s="60"/>
      <c r="F692" s="60"/>
    </row>
    <row r="693">
      <c r="A693" s="60"/>
      <c r="B693" s="60"/>
      <c r="C693" s="60"/>
      <c r="D693" s="60"/>
      <c r="E693" s="60"/>
      <c r="F693" s="60"/>
    </row>
    <row r="694">
      <c r="A694" s="60"/>
      <c r="B694" s="60"/>
      <c r="C694" s="60"/>
      <c r="D694" s="60"/>
      <c r="E694" s="60"/>
      <c r="F694" s="60"/>
    </row>
    <row r="695">
      <c r="A695" s="60"/>
      <c r="B695" s="60"/>
      <c r="C695" s="60"/>
      <c r="D695" s="60"/>
      <c r="E695" s="60"/>
      <c r="F695" s="60"/>
    </row>
    <row r="696">
      <c r="A696" s="60"/>
      <c r="B696" s="60"/>
      <c r="C696" s="60"/>
      <c r="D696" s="60"/>
      <c r="E696" s="60"/>
      <c r="F696" s="60"/>
    </row>
    <row r="697">
      <c r="A697" s="60"/>
      <c r="B697" s="60"/>
      <c r="C697" s="60"/>
      <c r="D697" s="60"/>
      <c r="E697" s="60"/>
      <c r="F697" s="60"/>
    </row>
    <row r="698">
      <c r="A698" s="60"/>
      <c r="B698" s="60"/>
      <c r="C698" s="60"/>
      <c r="D698" s="60"/>
      <c r="E698" s="60"/>
      <c r="F698" s="60"/>
    </row>
    <row r="699">
      <c r="A699" s="60"/>
      <c r="B699" s="60"/>
      <c r="C699" s="60"/>
      <c r="D699" s="60"/>
      <c r="E699" s="60"/>
      <c r="F699" s="60"/>
    </row>
    <row r="700">
      <c r="A700" s="60"/>
      <c r="B700" s="60"/>
      <c r="C700" s="60"/>
      <c r="D700" s="60"/>
      <c r="E700" s="60"/>
      <c r="F700" s="60"/>
    </row>
    <row r="701">
      <c r="A701" s="60"/>
      <c r="B701" s="60"/>
      <c r="C701" s="60"/>
      <c r="D701" s="60"/>
      <c r="E701" s="60"/>
      <c r="F701" s="60"/>
    </row>
    <row r="702">
      <c r="A702" s="60"/>
      <c r="B702" s="60"/>
      <c r="C702" s="60"/>
      <c r="D702" s="60"/>
      <c r="E702" s="60"/>
      <c r="F702" s="60"/>
    </row>
    <row r="703">
      <c r="A703" s="60"/>
      <c r="B703" s="60"/>
      <c r="C703" s="60"/>
      <c r="D703" s="60"/>
      <c r="E703" s="60"/>
      <c r="F703" s="60"/>
    </row>
    <row r="704">
      <c r="A704" s="60"/>
      <c r="B704" s="60"/>
      <c r="C704" s="60"/>
      <c r="D704" s="60"/>
      <c r="E704" s="60"/>
      <c r="F704" s="60"/>
    </row>
    <row r="705">
      <c r="A705" s="60"/>
      <c r="B705" s="60"/>
      <c r="C705" s="60"/>
      <c r="D705" s="60"/>
      <c r="E705" s="60"/>
      <c r="F705" s="60"/>
    </row>
    <row r="706">
      <c r="A706" s="60"/>
      <c r="B706" s="60"/>
      <c r="C706" s="60"/>
      <c r="D706" s="60"/>
      <c r="E706" s="60"/>
      <c r="F706" s="60"/>
    </row>
    <row r="707">
      <c r="A707" s="60"/>
      <c r="B707" s="60"/>
      <c r="C707" s="60"/>
      <c r="D707" s="60"/>
      <c r="E707" s="60"/>
      <c r="F707" s="60"/>
    </row>
    <row r="708">
      <c r="A708" s="60"/>
      <c r="B708" s="60"/>
      <c r="C708" s="60"/>
      <c r="D708" s="60"/>
      <c r="E708" s="60"/>
      <c r="F708" s="60"/>
    </row>
    <row r="709">
      <c r="A709" s="60"/>
      <c r="B709" s="60"/>
      <c r="C709" s="60"/>
      <c r="D709" s="60"/>
      <c r="E709" s="60"/>
      <c r="F709" s="60"/>
    </row>
    <row r="710">
      <c r="A710" s="60"/>
      <c r="B710" s="60"/>
      <c r="C710" s="60"/>
      <c r="D710" s="60"/>
      <c r="E710" s="60"/>
      <c r="F710" s="60"/>
    </row>
    <row r="711">
      <c r="A711" s="60"/>
      <c r="B711" s="60"/>
      <c r="C711" s="60"/>
      <c r="D711" s="60"/>
      <c r="E711" s="60"/>
      <c r="F711" s="60"/>
    </row>
    <row r="712">
      <c r="A712" s="60"/>
      <c r="B712" s="60"/>
      <c r="C712" s="60"/>
      <c r="D712" s="60"/>
      <c r="E712" s="60"/>
      <c r="F712" s="60"/>
    </row>
    <row r="713">
      <c r="A713" s="60"/>
      <c r="B713" s="60"/>
      <c r="C713" s="60"/>
      <c r="D713" s="60"/>
      <c r="E713" s="60"/>
      <c r="F713" s="60"/>
    </row>
    <row r="714">
      <c r="A714" s="60"/>
      <c r="B714" s="60"/>
      <c r="C714" s="60"/>
      <c r="D714" s="60"/>
      <c r="E714" s="60"/>
      <c r="F714" s="60"/>
    </row>
    <row r="715">
      <c r="A715" s="60"/>
      <c r="B715" s="60"/>
      <c r="C715" s="60"/>
      <c r="D715" s="60"/>
      <c r="E715" s="60"/>
      <c r="F715" s="60"/>
    </row>
    <row r="716">
      <c r="A716" s="60"/>
      <c r="B716" s="60"/>
      <c r="C716" s="60"/>
      <c r="D716" s="60"/>
      <c r="E716" s="60"/>
      <c r="F716" s="60"/>
    </row>
    <row r="717">
      <c r="A717" s="60"/>
      <c r="B717" s="60"/>
      <c r="C717" s="60"/>
      <c r="D717" s="60"/>
      <c r="E717" s="60"/>
      <c r="F717" s="60"/>
    </row>
    <row r="718">
      <c r="A718" s="60"/>
      <c r="B718" s="60"/>
      <c r="C718" s="60"/>
      <c r="D718" s="60"/>
      <c r="E718" s="60"/>
      <c r="F718" s="60"/>
    </row>
    <row r="719">
      <c r="A719" s="60"/>
      <c r="B719" s="60"/>
      <c r="C719" s="60"/>
      <c r="D719" s="60"/>
      <c r="E719" s="60"/>
      <c r="F719" s="60"/>
    </row>
    <row r="720">
      <c r="A720" s="60"/>
      <c r="B720" s="60"/>
      <c r="C720" s="60"/>
      <c r="D720" s="60"/>
      <c r="E720" s="60"/>
      <c r="F720" s="60"/>
    </row>
    <row r="721">
      <c r="A721" s="60"/>
      <c r="B721" s="60"/>
      <c r="C721" s="60"/>
      <c r="D721" s="60"/>
      <c r="E721" s="60"/>
      <c r="F721" s="60"/>
    </row>
    <row r="722">
      <c r="A722" s="60"/>
      <c r="B722" s="60"/>
      <c r="C722" s="60"/>
      <c r="D722" s="60"/>
      <c r="E722" s="60"/>
      <c r="F722" s="60"/>
    </row>
    <row r="723">
      <c r="A723" s="60"/>
      <c r="B723" s="60"/>
      <c r="C723" s="60"/>
      <c r="D723" s="60"/>
      <c r="E723" s="60"/>
      <c r="F723" s="60"/>
    </row>
    <row r="724">
      <c r="A724" s="60"/>
      <c r="B724" s="60"/>
      <c r="C724" s="60"/>
      <c r="D724" s="60"/>
      <c r="E724" s="60"/>
      <c r="F724" s="60"/>
    </row>
    <row r="725">
      <c r="A725" s="60"/>
      <c r="B725" s="60"/>
      <c r="C725" s="60"/>
      <c r="D725" s="60"/>
      <c r="E725" s="60"/>
      <c r="F725" s="60"/>
    </row>
    <row r="726">
      <c r="A726" s="60"/>
      <c r="B726" s="60"/>
      <c r="C726" s="60"/>
      <c r="D726" s="60"/>
      <c r="E726" s="60"/>
      <c r="F726" s="60"/>
    </row>
    <row r="727">
      <c r="A727" s="60"/>
      <c r="B727" s="60"/>
      <c r="C727" s="60"/>
      <c r="D727" s="60"/>
      <c r="E727" s="60"/>
      <c r="F727" s="60"/>
    </row>
    <row r="728">
      <c r="A728" s="60"/>
      <c r="B728" s="60"/>
      <c r="C728" s="60"/>
      <c r="D728" s="60"/>
      <c r="E728" s="60"/>
      <c r="F728" s="60"/>
    </row>
    <row r="729">
      <c r="A729" s="60"/>
      <c r="B729" s="60"/>
      <c r="C729" s="60"/>
      <c r="D729" s="60"/>
      <c r="E729" s="60"/>
      <c r="F729" s="60"/>
    </row>
    <row r="730">
      <c r="A730" s="60"/>
      <c r="B730" s="60"/>
      <c r="C730" s="60"/>
      <c r="D730" s="60"/>
      <c r="E730" s="60"/>
      <c r="F730" s="60"/>
    </row>
    <row r="731">
      <c r="A731" s="60"/>
      <c r="B731" s="60"/>
      <c r="C731" s="60"/>
      <c r="D731" s="60"/>
      <c r="E731" s="60"/>
      <c r="F731" s="60"/>
    </row>
    <row r="732">
      <c r="A732" s="60"/>
      <c r="B732" s="60"/>
      <c r="C732" s="60"/>
      <c r="D732" s="60"/>
      <c r="E732" s="60"/>
      <c r="F732" s="60"/>
    </row>
    <row r="733">
      <c r="A733" s="60"/>
      <c r="B733" s="60"/>
      <c r="C733" s="60"/>
      <c r="D733" s="60"/>
      <c r="E733" s="60"/>
      <c r="F733" s="60"/>
    </row>
    <row r="734">
      <c r="A734" s="60"/>
      <c r="B734" s="60"/>
      <c r="C734" s="60"/>
      <c r="D734" s="60"/>
      <c r="E734" s="60"/>
      <c r="F734" s="60"/>
    </row>
    <row r="735">
      <c r="A735" s="60"/>
      <c r="B735" s="60"/>
      <c r="C735" s="60"/>
      <c r="D735" s="60"/>
      <c r="E735" s="60"/>
      <c r="F735" s="60"/>
    </row>
    <row r="736">
      <c r="A736" s="60"/>
      <c r="B736" s="60"/>
      <c r="C736" s="60"/>
      <c r="D736" s="60"/>
      <c r="E736" s="60"/>
      <c r="F736" s="60"/>
    </row>
    <row r="737">
      <c r="A737" s="60"/>
      <c r="B737" s="60"/>
      <c r="C737" s="60"/>
      <c r="D737" s="60"/>
      <c r="E737" s="60"/>
      <c r="F737" s="60"/>
    </row>
    <row r="738">
      <c r="A738" s="60"/>
      <c r="B738" s="60"/>
      <c r="C738" s="60"/>
      <c r="D738" s="60"/>
      <c r="E738" s="60"/>
      <c r="F738" s="60"/>
    </row>
    <row r="739">
      <c r="A739" s="60"/>
      <c r="B739" s="60"/>
      <c r="C739" s="60"/>
      <c r="D739" s="60"/>
      <c r="E739" s="60"/>
      <c r="F739" s="60"/>
    </row>
    <row r="740">
      <c r="A740" s="60"/>
      <c r="B740" s="60"/>
      <c r="C740" s="60"/>
      <c r="D740" s="60"/>
      <c r="E740" s="60"/>
      <c r="F740" s="60"/>
    </row>
    <row r="741">
      <c r="A741" s="60"/>
      <c r="B741" s="60"/>
      <c r="C741" s="60"/>
      <c r="D741" s="60"/>
      <c r="E741" s="60"/>
      <c r="F741" s="60"/>
    </row>
    <row r="742">
      <c r="A742" s="60"/>
      <c r="B742" s="60"/>
      <c r="C742" s="60"/>
      <c r="D742" s="60"/>
      <c r="E742" s="60"/>
      <c r="F742" s="60"/>
    </row>
    <row r="743">
      <c r="A743" s="60"/>
      <c r="B743" s="60"/>
      <c r="C743" s="60"/>
      <c r="D743" s="60"/>
      <c r="E743" s="60"/>
      <c r="F743" s="60"/>
    </row>
    <row r="744">
      <c r="A744" s="60"/>
      <c r="B744" s="60"/>
      <c r="C744" s="60"/>
      <c r="D744" s="60"/>
      <c r="E744" s="60"/>
      <c r="F744" s="60"/>
    </row>
    <row r="745">
      <c r="A745" s="60"/>
      <c r="B745" s="60"/>
      <c r="C745" s="60"/>
      <c r="D745" s="60"/>
      <c r="E745" s="60"/>
      <c r="F745" s="60"/>
    </row>
    <row r="746">
      <c r="A746" s="60"/>
      <c r="B746" s="60"/>
      <c r="C746" s="60"/>
      <c r="D746" s="60"/>
      <c r="E746" s="60"/>
      <c r="F746" s="60"/>
    </row>
    <row r="747">
      <c r="A747" s="60"/>
      <c r="B747" s="60"/>
      <c r="C747" s="60"/>
      <c r="D747" s="60"/>
      <c r="E747" s="60"/>
      <c r="F747" s="60"/>
    </row>
    <row r="748">
      <c r="A748" s="60"/>
      <c r="B748" s="60"/>
      <c r="C748" s="60"/>
      <c r="D748" s="60"/>
      <c r="E748" s="60"/>
      <c r="F748" s="60"/>
    </row>
    <row r="749">
      <c r="A749" s="60"/>
      <c r="B749" s="60"/>
      <c r="C749" s="60"/>
      <c r="D749" s="60"/>
      <c r="E749" s="60"/>
      <c r="F749" s="60"/>
    </row>
    <row r="750">
      <c r="A750" s="60"/>
      <c r="B750" s="60"/>
      <c r="C750" s="60"/>
      <c r="D750" s="60"/>
      <c r="E750" s="60"/>
      <c r="F750" s="60"/>
    </row>
    <row r="751">
      <c r="A751" s="60"/>
      <c r="B751" s="60"/>
      <c r="C751" s="60"/>
      <c r="D751" s="60"/>
      <c r="E751" s="60"/>
      <c r="F751" s="60"/>
    </row>
    <row r="752">
      <c r="A752" s="60"/>
      <c r="B752" s="60"/>
      <c r="C752" s="60"/>
      <c r="D752" s="60"/>
      <c r="E752" s="60"/>
      <c r="F752" s="60"/>
    </row>
    <row r="753">
      <c r="A753" s="60"/>
      <c r="B753" s="60"/>
      <c r="C753" s="60"/>
      <c r="D753" s="60"/>
      <c r="E753" s="60"/>
      <c r="F753" s="60"/>
    </row>
    <row r="754">
      <c r="A754" s="60"/>
      <c r="B754" s="60"/>
      <c r="C754" s="60"/>
      <c r="D754" s="60"/>
      <c r="E754" s="60"/>
      <c r="F754" s="60"/>
    </row>
    <row r="755">
      <c r="A755" s="60"/>
      <c r="B755" s="60"/>
      <c r="C755" s="60"/>
      <c r="D755" s="60"/>
      <c r="E755" s="60"/>
      <c r="F755" s="60"/>
    </row>
    <row r="756">
      <c r="A756" s="60"/>
      <c r="B756" s="60"/>
      <c r="C756" s="60"/>
      <c r="D756" s="60"/>
      <c r="E756" s="60"/>
      <c r="F756" s="60"/>
    </row>
    <row r="757">
      <c r="A757" s="60"/>
      <c r="B757" s="60"/>
      <c r="C757" s="60"/>
      <c r="D757" s="60"/>
      <c r="E757" s="60"/>
      <c r="F757" s="60"/>
    </row>
    <row r="758">
      <c r="A758" s="60"/>
      <c r="B758" s="60"/>
      <c r="C758" s="60"/>
      <c r="D758" s="60"/>
      <c r="E758" s="60"/>
      <c r="F758" s="60"/>
    </row>
    <row r="759">
      <c r="A759" s="60"/>
      <c r="B759" s="60"/>
      <c r="C759" s="60"/>
      <c r="D759" s="60"/>
      <c r="E759" s="60"/>
      <c r="F759" s="60"/>
    </row>
    <row r="760">
      <c r="A760" s="60"/>
      <c r="B760" s="60"/>
      <c r="C760" s="60"/>
      <c r="D760" s="60"/>
      <c r="E760" s="60"/>
      <c r="F760" s="60"/>
    </row>
    <row r="761">
      <c r="A761" s="60"/>
      <c r="B761" s="60"/>
      <c r="C761" s="60"/>
      <c r="D761" s="60"/>
      <c r="E761" s="60"/>
      <c r="F761" s="60"/>
    </row>
    <row r="762">
      <c r="A762" s="60"/>
      <c r="B762" s="60"/>
      <c r="C762" s="60"/>
      <c r="D762" s="60"/>
      <c r="E762" s="60"/>
      <c r="F762" s="60"/>
    </row>
    <row r="763">
      <c r="A763" s="60"/>
      <c r="B763" s="60"/>
      <c r="C763" s="60"/>
      <c r="D763" s="60"/>
      <c r="E763" s="60"/>
      <c r="F763" s="60"/>
    </row>
    <row r="764">
      <c r="A764" s="60"/>
      <c r="B764" s="60"/>
      <c r="C764" s="60"/>
      <c r="D764" s="60"/>
      <c r="E764" s="60"/>
      <c r="F764" s="60"/>
    </row>
    <row r="765">
      <c r="A765" s="60"/>
      <c r="B765" s="60"/>
      <c r="C765" s="60"/>
      <c r="D765" s="60"/>
      <c r="E765" s="60"/>
      <c r="F765" s="60"/>
    </row>
    <row r="766">
      <c r="A766" s="60"/>
      <c r="B766" s="60"/>
      <c r="C766" s="60"/>
      <c r="D766" s="60"/>
      <c r="E766" s="60"/>
      <c r="F766" s="60"/>
    </row>
    <row r="767">
      <c r="A767" s="60"/>
      <c r="B767" s="60"/>
      <c r="C767" s="60"/>
      <c r="D767" s="60"/>
      <c r="E767" s="60"/>
      <c r="F767" s="60"/>
    </row>
    <row r="768">
      <c r="A768" s="60"/>
      <c r="B768" s="60"/>
      <c r="C768" s="60"/>
      <c r="D768" s="60"/>
      <c r="E768" s="60"/>
      <c r="F768" s="60"/>
    </row>
    <row r="769">
      <c r="A769" s="60"/>
      <c r="B769" s="60"/>
      <c r="C769" s="60"/>
      <c r="D769" s="60"/>
      <c r="E769" s="60"/>
      <c r="F769" s="60"/>
    </row>
    <row r="770">
      <c r="A770" s="60"/>
      <c r="B770" s="60"/>
      <c r="C770" s="60"/>
      <c r="D770" s="60"/>
      <c r="E770" s="60"/>
      <c r="F770" s="60"/>
    </row>
    <row r="771">
      <c r="A771" s="60"/>
      <c r="B771" s="60"/>
      <c r="C771" s="60"/>
      <c r="D771" s="60"/>
      <c r="E771" s="60"/>
      <c r="F771" s="60"/>
    </row>
    <row r="772">
      <c r="A772" s="60"/>
      <c r="B772" s="60"/>
      <c r="C772" s="60"/>
      <c r="D772" s="60"/>
      <c r="E772" s="60"/>
      <c r="F772" s="60"/>
    </row>
    <row r="773">
      <c r="A773" s="60"/>
      <c r="B773" s="60"/>
      <c r="C773" s="60"/>
      <c r="D773" s="60"/>
      <c r="E773" s="60"/>
      <c r="F773" s="60"/>
    </row>
    <row r="774">
      <c r="A774" s="60"/>
      <c r="B774" s="60"/>
      <c r="C774" s="60"/>
      <c r="D774" s="60"/>
      <c r="E774" s="60"/>
      <c r="F774" s="60"/>
    </row>
    <row r="775">
      <c r="A775" s="60"/>
      <c r="B775" s="60"/>
      <c r="C775" s="60"/>
      <c r="D775" s="60"/>
      <c r="E775" s="60"/>
      <c r="F775" s="60"/>
    </row>
    <row r="776">
      <c r="A776" s="60"/>
      <c r="B776" s="60"/>
      <c r="C776" s="60"/>
      <c r="D776" s="60"/>
      <c r="E776" s="60"/>
      <c r="F776" s="60"/>
    </row>
    <row r="777">
      <c r="A777" s="60"/>
      <c r="B777" s="60"/>
      <c r="C777" s="60"/>
      <c r="D777" s="60"/>
      <c r="E777" s="60"/>
      <c r="F777" s="60"/>
    </row>
    <row r="778">
      <c r="A778" s="60"/>
      <c r="B778" s="60"/>
      <c r="C778" s="60"/>
      <c r="D778" s="60"/>
      <c r="E778" s="60"/>
      <c r="F778" s="60"/>
    </row>
    <row r="779">
      <c r="A779" s="60"/>
      <c r="B779" s="60"/>
      <c r="C779" s="60"/>
      <c r="D779" s="60"/>
      <c r="E779" s="60"/>
      <c r="F779" s="60"/>
    </row>
    <row r="780">
      <c r="A780" s="60"/>
      <c r="B780" s="60"/>
      <c r="C780" s="60"/>
      <c r="D780" s="60"/>
      <c r="E780" s="60"/>
      <c r="F780" s="60"/>
    </row>
    <row r="781">
      <c r="A781" s="60"/>
      <c r="B781" s="60"/>
      <c r="C781" s="60"/>
      <c r="D781" s="60"/>
      <c r="E781" s="60"/>
      <c r="F781" s="60"/>
    </row>
    <row r="782">
      <c r="A782" s="60"/>
      <c r="B782" s="60"/>
      <c r="C782" s="60"/>
      <c r="D782" s="60"/>
      <c r="E782" s="60"/>
      <c r="F782" s="60"/>
    </row>
    <row r="783">
      <c r="A783" s="60"/>
      <c r="B783" s="60"/>
      <c r="C783" s="60"/>
      <c r="D783" s="60"/>
      <c r="E783" s="60"/>
      <c r="F783" s="60"/>
    </row>
    <row r="784">
      <c r="A784" s="60"/>
      <c r="B784" s="60"/>
      <c r="C784" s="60"/>
      <c r="D784" s="60"/>
      <c r="E784" s="60"/>
      <c r="F784" s="60"/>
    </row>
    <row r="785">
      <c r="A785" s="60"/>
      <c r="B785" s="60"/>
      <c r="C785" s="60"/>
      <c r="D785" s="60"/>
      <c r="E785" s="60"/>
      <c r="F785" s="60"/>
    </row>
    <row r="786">
      <c r="A786" s="60"/>
      <c r="B786" s="60"/>
      <c r="C786" s="60"/>
      <c r="D786" s="60"/>
      <c r="E786" s="60"/>
      <c r="F786" s="60"/>
    </row>
    <row r="787">
      <c r="A787" s="60"/>
      <c r="B787" s="60"/>
      <c r="C787" s="60"/>
      <c r="D787" s="60"/>
      <c r="E787" s="60"/>
      <c r="F787" s="60"/>
    </row>
    <row r="788">
      <c r="A788" s="60"/>
      <c r="B788" s="60"/>
      <c r="C788" s="60"/>
      <c r="D788" s="60"/>
      <c r="E788" s="60"/>
      <c r="F788" s="60"/>
    </row>
    <row r="789">
      <c r="A789" s="60"/>
      <c r="B789" s="60"/>
      <c r="C789" s="60"/>
      <c r="D789" s="60"/>
      <c r="E789" s="60"/>
      <c r="F789" s="60"/>
    </row>
    <row r="790">
      <c r="A790" s="60"/>
      <c r="B790" s="60"/>
      <c r="C790" s="60"/>
      <c r="D790" s="60"/>
      <c r="E790" s="60"/>
      <c r="F790" s="60"/>
    </row>
    <row r="791">
      <c r="A791" s="60"/>
      <c r="B791" s="60"/>
      <c r="C791" s="60"/>
      <c r="D791" s="60"/>
      <c r="E791" s="60"/>
      <c r="F791" s="60"/>
    </row>
    <row r="792">
      <c r="A792" s="60"/>
      <c r="B792" s="60"/>
      <c r="C792" s="60"/>
      <c r="D792" s="60"/>
      <c r="E792" s="60"/>
      <c r="F792" s="60"/>
    </row>
    <row r="793">
      <c r="A793" s="60"/>
      <c r="B793" s="60"/>
      <c r="C793" s="60"/>
      <c r="D793" s="60"/>
      <c r="E793" s="60"/>
      <c r="F793" s="60"/>
    </row>
    <row r="794">
      <c r="A794" s="60"/>
      <c r="B794" s="60"/>
      <c r="C794" s="60"/>
      <c r="D794" s="60"/>
      <c r="E794" s="60"/>
      <c r="F794" s="60"/>
    </row>
    <row r="795">
      <c r="A795" s="60"/>
      <c r="B795" s="60"/>
      <c r="C795" s="60"/>
      <c r="D795" s="60"/>
      <c r="E795" s="60"/>
      <c r="F795" s="60"/>
    </row>
    <row r="796">
      <c r="A796" s="60"/>
      <c r="B796" s="60"/>
      <c r="C796" s="60"/>
      <c r="D796" s="60"/>
      <c r="E796" s="60"/>
      <c r="F796" s="60"/>
    </row>
    <row r="797">
      <c r="A797" s="60"/>
      <c r="B797" s="60"/>
      <c r="C797" s="60"/>
      <c r="D797" s="60"/>
      <c r="E797" s="60"/>
      <c r="F797" s="60"/>
    </row>
    <row r="798">
      <c r="A798" s="60"/>
      <c r="B798" s="60"/>
      <c r="C798" s="60"/>
      <c r="D798" s="60"/>
      <c r="E798" s="60"/>
      <c r="F798" s="60"/>
    </row>
    <row r="799">
      <c r="A799" s="60"/>
      <c r="B799" s="60"/>
      <c r="C799" s="60"/>
      <c r="D799" s="60"/>
      <c r="E799" s="60"/>
      <c r="F799" s="60"/>
    </row>
    <row r="800">
      <c r="A800" s="60"/>
      <c r="B800" s="60"/>
      <c r="C800" s="60"/>
      <c r="D800" s="60"/>
      <c r="E800" s="60"/>
      <c r="F800" s="60"/>
    </row>
    <row r="801">
      <c r="A801" s="60"/>
      <c r="B801" s="60"/>
      <c r="C801" s="60"/>
      <c r="D801" s="60"/>
      <c r="E801" s="60"/>
      <c r="F801" s="60"/>
    </row>
    <row r="802">
      <c r="A802" s="60"/>
      <c r="B802" s="60"/>
      <c r="C802" s="60"/>
      <c r="D802" s="60"/>
      <c r="E802" s="60"/>
      <c r="F802" s="60"/>
    </row>
    <row r="803">
      <c r="A803" s="60"/>
      <c r="B803" s="60"/>
      <c r="C803" s="60"/>
      <c r="D803" s="60"/>
      <c r="E803" s="60"/>
      <c r="F803" s="60"/>
    </row>
    <row r="804">
      <c r="A804" s="60"/>
      <c r="B804" s="60"/>
      <c r="C804" s="60"/>
      <c r="D804" s="60"/>
      <c r="E804" s="60"/>
      <c r="F804" s="60"/>
    </row>
    <row r="805">
      <c r="A805" s="60"/>
      <c r="B805" s="60"/>
      <c r="C805" s="60"/>
      <c r="D805" s="60"/>
      <c r="E805" s="60"/>
      <c r="F805" s="60"/>
    </row>
    <row r="806">
      <c r="A806" s="60"/>
      <c r="B806" s="60"/>
      <c r="C806" s="60"/>
      <c r="D806" s="60"/>
      <c r="E806" s="60"/>
      <c r="F806" s="60"/>
    </row>
    <row r="807">
      <c r="A807" s="60"/>
      <c r="B807" s="60"/>
      <c r="C807" s="60"/>
      <c r="D807" s="60"/>
      <c r="E807" s="60"/>
      <c r="F807" s="60"/>
    </row>
    <row r="808">
      <c r="A808" s="60"/>
      <c r="B808" s="60"/>
      <c r="C808" s="60"/>
      <c r="D808" s="60"/>
      <c r="E808" s="60"/>
      <c r="F808" s="60"/>
    </row>
    <row r="809">
      <c r="A809" s="60"/>
      <c r="B809" s="60"/>
      <c r="C809" s="60"/>
      <c r="D809" s="60"/>
      <c r="E809" s="60"/>
      <c r="F809" s="60"/>
    </row>
    <row r="810">
      <c r="A810" s="60"/>
      <c r="B810" s="60"/>
      <c r="C810" s="60"/>
      <c r="D810" s="60"/>
      <c r="E810" s="60"/>
      <c r="F810" s="60"/>
    </row>
    <row r="811">
      <c r="A811" s="60"/>
      <c r="B811" s="60"/>
      <c r="C811" s="60"/>
      <c r="D811" s="60"/>
      <c r="E811" s="60"/>
      <c r="F811" s="60"/>
    </row>
    <row r="812">
      <c r="A812" s="60"/>
      <c r="B812" s="60"/>
      <c r="C812" s="60"/>
      <c r="D812" s="60"/>
      <c r="E812" s="60"/>
      <c r="F812" s="60"/>
    </row>
    <row r="813">
      <c r="A813" s="60"/>
      <c r="B813" s="60"/>
      <c r="C813" s="60"/>
      <c r="D813" s="60"/>
      <c r="E813" s="60"/>
      <c r="F813" s="60"/>
    </row>
    <row r="814">
      <c r="A814" s="60"/>
      <c r="B814" s="60"/>
      <c r="C814" s="60"/>
      <c r="D814" s="60"/>
      <c r="E814" s="60"/>
      <c r="F814" s="60"/>
    </row>
    <row r="815">
      <c r="A815" s="60"/>
      <c r="B815" s="60"/>
      <c r="C815" s="60"/>
      <c r="D815" s="60"/>
      <c r="E815" s="60"/>
      <c r="F815" s="60"/>
    </row>
    <row r="816">
      <c r="A816" s="60"/>
      <c r="B816" s="60"/>
      <c r="C816" s="60"/>
      <c r="D816" s="60"/>
      <c r="E816" s="60"/>
      <c r="F816" s="60"/>
    </row>
    <row r="817">
      <c r="A817" s="60"/>
      <c r="B817" s="60"/>
      <c r="C817" s="60"/>
      <c r="D817" s="60"/>
      <c r="E817" s="60"/>
      <c r="F817" s="60"/>
    </row>
    <row r="818">
      <c r="A818" s="60"/>
      <c r="B818" s="60"/>
      <c r="C818" s="60"/>
      <c r="D818" s="60"/>
      <c r="E818" s="60"/>
      <c r="F818" s="60"/>
    </row>
    <row r="819">
      <c r="A819" s="60"/>
      <c r="B819" s="60"/>
      <c r="C819" s="60"/>
      <c r="D819" s="60"/>
      <c r="E819" s="60"/>
      <c r="F819" s="60"/>
    </row>
    <row r="820">
      <c r="A820" s="60"/>
      <c r="B820" s="60"/>
      <c r="C820" s="60"/>
      <c r="D820" s="60"/>
      <c r="E820" s="60"/>
      <c r="F820" s="60"/>
    </row>
    <row r="821">
      <c r="A821" s="60"/>
      <c r="B821" s="60"/>
      <c r="C821" s="60"/>
      <c r="D821" s="60"/>
      <c r="E821" s="60"/>
      <c r="F821" s="60"/>
    </row>
    <row r="822">
      <c r="A822" s="60"/>
      <c r="B822" s="60"/>
      <c r="C822" s="60"/>
      <c r="D822" s="60"/>
      <c r="E822" s="60"/>
      <c r="F822" s="60"/>
    </row>
    <row r="823">
      <c r="A823" s="60"/>
      <c r="B823" s="60"/>
      <c r="C823" s="60"/>
      <c r="D823" s="60"/>
      <c r="E823" s="60"/>
      <c r="F823" s="60"/>
    </row>
    <row r="824">
      <c r="A824" s="60"/>
      <c r="B824" s="60"/>
      <c r="C824" s="60"/>
      <c r="D824" s="60"/>
      <c r="E824" s="60"/>
      <c r="F824" s="60"/>
    </row>
    <row r="825">
      <c r="A825" s="60"/>
      <c r="B825" s="60"/>
      <c r="C825" s="60"/>
      <c r="D825" s="60"/>
      <c r="E825" s="60"/>
      <c r="F825" s="60"/>
    </row>
    <row r="826">
      <c r="A826" s="60"/>
      <c r="B826" s="60"/>
      <c r="C826" s="60"/>
      <c r="D826" s="60"/>
      <c r="E826" s="60"/>
      <c r="F826" s="60"/>
    </row>
    <row r="827">
      <c r="A827" s="60"/>
      <c r="B827" s="60"/>
      <c r="C827" s="60"/>
      <c r="D827" s="60"/>
      <c r="E827" s="60"/>
      <c r="F827" s="60"/>
    </row>
    <row r="828">
      <c r="A828" s="60"/>
      <c r="B828" s="60"/>
      <c r="C828" s="60"/>
      <c r="D828" s="60"/>
      <c r="E828" s="60"/>
      <c r="F828" s="60"/>
    </row>
    <row r="829">
      <c r="A829" s="60"/>
      <c r="B829" s="60"/>
      <c r="C829" s="60"/>
      <c r="D829" s="60"/>
      <c r="E829" s="60"/>
      <c r="F829" s="60"/>
    </row>
    <row r="830">
      <c r="A830" s="60"/>
      <c r="B830" s="60"/>
      <c r="C830" s="60"/>
      <c r="D830" s="60"/>
      <c r="E830" s="60"/>
      <c r="F830" s="60"/>
    </row>
    <row r="831">
      <c r="A831" s="60"/>
      <c r="B831" s="60"/>
      <c r="C831" s="60"/>
      <c r="D831" s="60"/>
      <c r="E831" s="60"/>
      <c r="F831" s="60"/>
    </row>
    <row r="832">
      <c r="A832" s="60"/>
      <c r="B832" s="60"/>
      <c r="C832" s="60"/>
      <c r="D832" s="60"/>
      <c r="E832" s="60"/>
      <c r="F832" s="60"/>
    </row>
    <row r="833">
      <c r="A833" s="60"/>
      <c r="B833" s="60"/>
      <c r="C833" s="60"/>
      <c r="D833" s="60"/>
      <c r="E833" s="60"/>
      <c r="F833" s="60"/>
    </row>
    <row r="834">
      <c r="A834" s="60"/>
      <c r="B834" s="60"/>
      <c r="C834" s="60"/>
      <c r="D834" s="60"/>
      <c r="E834" s="60"/>
      <c r="F834" s="60"/>
    </row>
    <row r="835">
      <c r="A835" s="60"/>
      <c r="B835" s="60"/>
      <c r="C835" s="60"/>
      <c r="D835" s="60"/>
      <c r="E835" s="60"/>
      <c r="F835" s="60"/>
    </row>
    <row r="836">
      <c r="A836" s="60"/>
      <c r="B836" s="60"/>
      <c r="C836" s="60"/>
      <c r="D836" s="60"/>
      <c r="E836" s="60"/>
      <c r="F836" s="60"/>
    </row>
    <row r="837">
      <c r="A837" s="60"/>
      <c r="B837" s="60"/>
      <c r="C837" s="60"/>
      <c r="D837" s="60"/>
      <c r="E837" s="60"/>
      <c r="F837" s="60"/>
    </row>
    <row r="838">
      <c r="A838" s="60"/>
      <c r="B838" s="60"/>
      <c r="C838" s="60"/>
      <c r="D838" s="60"/>
      <c r="E838" s="60"/>
      <c r="F838" s="60"/>
    </row>
    <row r="839">
      <c r="A839" s="60"/>
      <c r="B839" s="60"/>
      <c r="C839" s="60"/>
      <c r="D839" s="60"/>
      <c r="E839" s="60"/>
      <c r="F839" s="60"/>
    </row>
    <row r="840">
      <c r="A840" s="60"/>
      <c r="B840" s="60"/>
      <c r="C840" s="60"/>
      <c r="D840" s="60"/>
      <c r="E840" s="60"/>
      <c r="F840" s="60"/>
    </row>
    <row r="841">
      <c r="A841" s="60"/>
      <c r="B841" s="60"/>
      <c r="C841" s="60"/>
      <c r="D841" s="60"/>
      <c r="E841" s="60"/>
      <c r="F841" s="60"/>
    </row>
    <row r="842">
      <c r="A842" s="60"/>
      <c r="B842" s="60"/>
      <c r="C842" s="60"/>
      <c r="D842" s="60"/>
      <c r="E842" s="60"/>
      <c r="F842" s="60"/>
    </row>
    <row r="843">
      <c r="A843" s="60"/>
      <c r="B843" s="60"/>
      <c r="C843" s="60"/>
      <c r="D843" s="60"/>
      <c r="E843" s="60"/>
      <c r="F843" s="60"/>
    </row>
    <row r="844">
      <c r="A844" s="60"/>
      <c r="B844" s="60"/>
      <c r="C844" s="60"/>
      <c r="D844" s="60"/>
      <c r="E844" s="60"/>
      <c r="F844" s="60"/>
    </row>
    <row r="845">
      <c r="A845" s="60"/>
      <c r="B845" s="60"/>
      <c r="C845" s="60"/>
      <c r="D845" s="60"/>
      <c r="E845" s="60"/>
      <c r="F845" s="60"/>
    </row>
    <row r="846">
      <c r="A846" s="60"/>
      <c r="B846" s="60"/>
      <c r="C846" s="60"/>
      <c r="D846" s="60"/>
      <c r="E846" s="60"/>
      <c r="F846" s="60"/>
    </row>
    <row r="847">
      <c r="A847" s="60"/>
      <c r="B847" s="60"/>
      <c r="C847" s="60"/>
      <c r="D847" s="60"/>
      <c r="E847" s="60"/>
      <c r="F847" s="60"/>
    </row>
    <row r="848">
      <c r="A848" s="60"/>
      <c r="B848" s="60"/>
      <c r="C848" s="60"/>
      <c r="D848" s="60"/>
      <c r="E848" s="60"/>
      <c r="F848" s="60"/>
    </row>
    <row r="849">
      <c r="A849" s="60"/>
      <c r="B849" s="60"/>
      <c r="C849" s="60"/>
      <c r="D849" s="60"/>
      <c r="E849" s="60"/>
      <c r="F849" s="60"/>
    </row>
    <row r="850">
      <c r="A850" s="60"/>
      <c r="B850" s="60"/>
      <c r="C850" s="60"/>
      <c r="D850" s="60"/>
      <c r="E850" s="60"/>
      <c r="F850" s="60"/>
    </row>
    <row r="851">
      <c r="A851" s="60"/>
      <c r="B851" s="60"/>
      <c r="C851" s="60"/>
      <c r="D851" s="60"/>
      <c r="E851" s="60"/>
      <c r="F851" s="60"/>
    </row>
    <row r="852">
      <c r="A852" s="60"/>
      <c r="B852" s="60"/>
      <c r="C852" s="60"/>
      <c r="D852" s="60"/>
      <c r="E852" s="60"/>
      <c r="F852" s="60"/>
    </row>
    <row r="853">
      <c r="A853" s="60"/>
      <c r="B853" s="60"/>
      <c r="C853" s="60"/>
      <c r="D853" s="60"/>
      <c r="E853" s="60"/>
      <c r="F853" s="60"/>
    </row>
    <row r="854">
      <c r="A854" s="60"/>
      <c r="B854" s="60"/>
      <c r="C854" s="60"/>
      <c r="D854" s="60"/>
      <c r="E854" s="60"/>
      <c r="F854" s="60"/>
    </row>
    <row r="855">
      <c r="A855" s="60"/>
      <c r="B855" s="60"/>
      <c r="C855" s="60"/>
      <c r="D855" s="60"/>
      <c r="E855" s="60"/>
      <c r="F855" s="60"/>
    </row>
    <row r="856">
      <c r="A856" s="60"/>
      <c r="B856" s="60"/>
      <c r="C856" s="60"/>
      <c r="D856" s="60"/>
      <c r="E856" s="60"/>
      <c r="F856" s="60"/>
    </row>
    <row r="857">
      <c r="A857" s="60"/>
      <c r="B857" s="60"/>
      <c r="C857" s="60"/>
      <c r="D857" s="60"/>
      <c r="E857" s="60"/>
      <c r="F857" s="60"/>
    </row>
    <row r="858">
      <c r="A858" s="60"/>
      <c r="B858" s="60"/>
      <c r="C858" s="60"/>
      <c r="D858" s="60"/>
      <c r="E858" s="60"/>
      <c r="F858" s="60"/>
    </row>
    <row r="859">
      <c r="A859" s="60"/>
      <c r="B859" s="60"/>
      <c r="C859" s="60"/>
      <c r="D859" s="60"/>
      <c r="E859" s="60"/>
      <c r="F859" s="60"/>
    </row>
    <row r="860">
      <c r="A860" s="60"/>
      <c r="B860" s="60"/>
      <c r="C860" s="60"/>
      <c r="D860" s="60"/>
      <c r="E860" s="60"/>
      <c r="F860" s="60"/>
    </row>
    <row r="861">
      <c r="A861" s="60"/>
      <c r="B861" s="60"/>
      <c r="C861" s="60"/>
      <c r="D861" s="60"/>
      <c r="E861" s="60"/>
      <c r="F861" s="60"/>
    </row>
    <row r="862">
      <c r="A862" s="60"/>
      <c r="B862" s="60"/>
      <c r="C862" s="60"/>
      <c r="D862" s="60"/>
      <c r="E862" s="60"/>
      <c r="F862" s="60"/>
    </row>
    <row r="863">
      <c r="A863" s="60"/>
      <c r="B863" s="60"/>
      <c r="C863" s="60"/>
      <c r="D863" s="60"/>
      <c r="E863" s="60"/>
      <c r="F863" s="60"/>
    </row>
    <row r="864">
      <c r="A864" s="60"/>
      <c r="B864" s="60"/>
      <c r="C864" s="60"/>
      <c r="D864" s="60"/>
      <c r="E864" s="60"/>
      <c r="F864" s="60"/>
    </row>
    <row r="865">
      <c r="A865" s="60"/>
      <c r="B865" s="60"/>
      <c r="C865" s="60"/>
      <c r="D865" s="60"/>
      <c r="E865" s="60"/>
      <c r="F865" s="60"/>
    </row>
    <row r="866">
      <c r="A866" s="60"/>
      <c r="B866" s="60"/>
      <c r="C866" s="60"/>
      <c r="D866" s="60"/>
      <c r="E866" s="60"/>
      <c r="F866" s="60"/>
    </row>
    <row r="867">
      <c r="A867" s="60"/>
      <c r="B867" s="60"/>
      <c r="C867" s="60"/>
      <c r="D867" s="60"/>
      <c r="E867" s="60"/>
      <c r="F867" s="60"/>
    </row>
    <row r="868">
      <c r="A868" s="60"/>
      <c r="B868" s="60"/>
      <c r="C868" s="60"/>
      <c r="D868" s="60"/>
      <c r="E868" s="60"/>
      <c r="F868" s="60"/>
    </row>
    <row r="869">
      <c r="A869" s="60"/>
      <c r="B869" s="60"/>
      <c r="C869" s="60"/>
      <c r="D869" s="60"/>
      <c r="E869" s="60"/>
      <c r="F869" s="60"/>
    </row>
    <row r="870">
      <c r="A870" s="60"/>
      <c r="B870" s="60"/>
      <c r="C870" s="60"/>
      <c r="D870" s="60"/>
      <c r="E870" s="60"/>
      <c r="F870" s="60"/>
    </row>
    <row r="871">
      <c r="A871" s="60"/>
      <c r="B871" s="60"/>
      <c r="C871" s="60"/>
      <c r="D871" s="60"/>
      <c r="E871" s="60"/>
      <c r="F871" s="60"/>
    </row>
    <row r="872">
      <c r="A872" s="60"/>
      <c r="B872" s="60"/>
      <c r="C872" s="60"/>
      <c r="D872" s="60"/>
      <c r="E872" s="60"/>
      <c r="F872" s="60"/>
    </row>
    <row r="873">
      <c r="A873" s="60"/>
      <c r="B873" s="60"/>
      <c r="C873" s="60"/>
      <c r="D873" s="60"/>
      <c r="E873" s="60"/>
      <c r="F873" s="60"/>
    </row>
    <row r="874">
      <c r="A874" s="60"/>
      <c r="B874" s="60"/>
      <c r="C874" s="60"/>
      <c r="D874" s="60"/>
      <c r="E874" s="60"/>
      <c r="F874" s="60"/>
    </row>
    <row r="875">
      <c r="A875" s="60"/>
      <c r="B875" s="60"/>
      <c r="C875" s="60"/>
      <c r="D875" s="60"/>
      <c r="E875" s="60"/>
      <c r="F875" s="60"/>
    </row>
    <row r="876">
      <c r="A876" s="60"/>
      <c r="B876" s="60"/>
      <c r="C876" s="60"/>
      <c r="D876" s="60"/>
      <c r="E876" s="60"/>
      <c r="F876" s="60"/>
    </row>
    <row r="877">
      <c r="A877" s="60"/>
      <c r="B877" s="60"/>
      <c r="C877" s="60"/>
      <c r="D877" s="60"/>
      <c r="E877" s="60"/>
      <c r="F877" s="60"/>
    </row>
    <row r="878">
      <c r="A878" s="60"/>
      <c r="B878" s="60"/>
      <c r="C878" s="60"/>
      <c r="D878" s="60"/>
      <c r="E878" s="60"/>
      <c r="F878" s="60"/>
    </row>
    <row r="879">
      <c r="A879" s="60"/>
      <c r="B879" s="60"/>
      <c r="C879" s="60"/>
      <c r="D879" s="60"/>
      <c r="E879" s="60"/>
      <c r="F879" s="60"/>
    </row>
    <row r="880">
      <c r="A880" s="60"/>
      <c r="B880" s="60"/>
      <c r="C880" s="60"/>
      <c r="D880" s="60"/>
      <c r="E880" s="60"/>
      <c r="F880" s="60"/>
    </row>
    <row r="881">
      <c r="A881" s="60"/>
      <c r="B881" s="60"/>
      <c r="C881" s="60"/>
      <c r="D881" s="60"/>
      <c r="E881" s="60"/>
      <c r="F881" s="60"/>
    </row>
    <row r="882">
      <c r="A882" s="60"/>
      <c r="B882" s="60"/>
      <c r="C882" s="60"/>
      <c r="D882" s="60"/>
      <c r="E882" s="60"/>
      <c r="F882" s="60"/>
    </row>
    <row r="883">
      <c r="A883" s="60"/>
      <c r="B883" s="60"/>
      <c r="C883" s="60"/>
      <c r="D883" s="60"/>
      <c r="E883" s="60"/>
      <c r="F883" s="60"/>
    </row>
    <row r="884">
      <c r="A884" s="60"/>
      <c r="B884" s="60"/>
      <c r="C884" s="60"/>
      <c r="D884" s="60"/>
      <c r="E884" s="60"/>
      <c r="F884" s="60"/>
    </row>
    <row r="885">
      <c r="A885" s="60"/>
      <c r="B885" s="60"/>
      <c r="C885" s="60"/>
      <c r="D885" s="60"/>
      <c r="E885" s="60"/>
      <c r="F885" s="60"/>
    </row>
    <row r="886">
      <c r="A886" s="60"/>
      <c r="B886" s="60"/>
      <c r="C886" s="60"/>
      <c r="D886" s="60"/>
      <c r="E886" s="60"/>
      <c r="F886" s="60"/>
    </row>
    <row r="887">
      <c r="A887" s="60"/>
      <c r="B887" s="60"/>
      <c r="C887" s="60"/>
      <c r="D887" s="60"/>
      <c r="E887" s="60"/>
      <c r="F887" s="60"/>
    </row>
    <row r="888">
      <c r="A888" s="60"/>
      <c r="B888" s="60"/>
      <c r="C888" s="60"/>
      <c r="D888" s="60"/>
      <c r="E888" s="60"/>
      <c r="F888" s="60"/>
    </row>
    <row r="889">
      <c r="A889" s="60"/>
      <c r="B889" s="60"/>
      <c r="C889" s="60"/>
      <c r="D889" s="60"/>
      <c r="E889" s="60"/>
      <c r="F889" s="60"/>
    </row>
    <row r="890">
      <c r="A890" s="60"/>
      <c r="B890" s="60"/>
      <c r="C890" s="60"/>
      <c r="D890" s="60"/>
      <c r="E890" s="60"/>
      <c r="F890" s="60"/>
    </row>
    <row r="891">
      <c r="A891" s="60"/>
      <c r="B891" s="60"/>
      <c r="C891" s="60"/>
      <c r="D891" s="60"/>
      <c r="E891" s="60"/>
      <c r="F891" s="60"/>
    </row>
    <row r="892">
      <c r="A892" s="60"/>
      <c r="B892" s="60"/>
      <c r="C892" s="60"/>
      <c r="D892" s="60"/>
      <c r="E892" s="60"/>
      <c r="F892" s="60"/>
    </row>
    <row r="893">
      <c r="A893" s="60"/>
      <c r="B893" s="60"/>
      <c r="C893" s="60"/>
      <c r="D893" s="60"/>
      <c r="E893" s="60"/>
      <c r="F893" s="60"/>
    </row>
    <row r="894">
      <c r="A894" s="60"/>
      <c r="B894" s="60"/>
      <c r="C894" s="60"/>
      <c r="D894" s="60"/>
      <c r="E894" s="60"/>
      <c r="F894" s="60"/>
    </row>
    <row r="895">
      <c r="A895" s="60"/>
      <c r="B895" s="60"/>
      <c r="C895" s="60"/>
      <c r="D895" s="60"/>
      <c r="E895" s="60"/>
      <c r="F895" s="60"/>
    </row>
    <row r="896">
      <c r="A896" s="60"/>
      <c r="B896" s="60"/>
      <c r="C896" s="60"/>
      <c r="D896" s="60"/>
      <c r="E896" s="60"/>
      <c r="F896" s="60"/>
    </row>
    <row r="897">
      <c r="A897" s="60"/>
      <c r="B897" s="60"/>
      <c r="C897" s="60"/>
      <c r="D897" s="60"/>
      <c r="E897" s="60"/>
      <c r="F897" s="60"/>
    </row>
    <row r="898">
      <c r="A898" s="60"/>
      <c r="B898" s="60"/>
      <c r="C898" s="60"/>
      <c r="D898" s="60"/>
      <c r="E898" s="60"/>
      <c r="F898" s="60"/>
    </row>
    <row r="899">
      <c r="A899" s="60"/>
      <c r="B899" s="60"/>
      <c r="C899" s="60"/>
      <c r="D899" s="60"/>
      <c r="E899" s="60"/>
      <c r="F899" s="60"/>
    </row>
    <row r="900">
      <c r="A900" s="60"/>
      <c r="B900" s="60"/>
      <c r="C900" s="60"/>
      <c r="D900" s="60"/>
      <c r="E900" s="60"/>
      <c r="F900" s="60"/>
    </row>
    <row r="901">
      <c r="A901" s="60"/>
      <c r="B901" s="60"/>
      <c r="C901" s="60"/>
      <c r="D901" s="60"/>
      <c r="E901" s="60"/>
      <c r="F901" s="60"/>
    </row>
    <row r="902">
      <c r="A902" s="60"/>
      <c r="B902" s="60"/>
      <c r="C902" s="60"/>
      <c r="D902" s="60"/>
      <c r="E902" s="60"/>
      <c r="F902" s="60"/>
    </row>
    <row r="903">
      <c r="A903" s="60"/>
      <c r="B903" s="60"/>
      <c r="C903" s="60"/>
      <c r="D903" s="60"/>
      <c r="E903" s="60"/>
      <c r="F903" s="60"/>
    </row>
    <row r="904">
      <c r="A904" s="60"/>
      <c r="B904" s="60"/>
      <c r="C904" s="60"/>
      <c r="D904" s="60"/>
      <c r="E904" s="60"/>
      <c r="F904" s="60"/>
    </row>
    <row r="905">
      <c r="A905" s="60"/>
      <c r="B905" s="60"/>
      <c r="C905" s="60"/>
      <c r="D905" s="60"/>
      <c r="E905" s="60"/>
      <c r="F905" s="60"/>
    </row>
    <row r="906">
      <c r="A906" s="60"/>
      <c r="B906" s="60"/>
      <c r="C906" s="60"/>
      <c r="D906" s="60"/>
      <c r="E906" s="60"/>
      <c r="F906" s="60"/>
    </row>
    <row r="907">
      <c r="A907" s="60"/>
      <c r="B907" s="60"/>
      <c r="C907" s="60"/>
      <c r="D907" s="60"/>
      <c r="E907" s="60"/>
      <c r="F907" s="60"/>
    </row>
    <row r="908">
      <c r="A908" s="60"/>
      <c r="B908" s="60"/>
      <c r="C908" s="60"/>
      <c r="D908" s="60"/>
      <c r="E908" s="60"/>
      <c r="F908" s="60"/>
    </row>
    <row r="909">
      <c r="A909" s="60"/>
      <c r="B909" s="60"/>
      <c r="C909" s="60"/>
      <c r="D909" s="60"/>
      <c r="E909" s="60"/>
      <c r="F909" s="60"/>
    </row>
    <row r="910">
      <c r="A910" s="60"/>
      <c r="B910" s="60"/>
      <c r="C910" s="60"/>
      <c r="D910" s="60"/>
      <c r="E910" s="60"/>
      <c r="F910" s="60"/>
    </row>
    <row r="911">
      <c r="A911" s="60"/>
      <c r="B911" s="60"/>
      <c r="C911" s="60"/>
      <c r="D911" s="60"/>
      <c r="E911" s="60"/>
      <c r="F911" s="60"/>
    </row>
    <row r="912">
      <c r="A912" s="60"/>
      <c r="B912" s="60"/>
      <c r="C912" s="60"/>
      <c r="D912" s="60"/>
      <c r="E912" s="60"/>
      <c r="F912" s="60"/>
    </row>
    <row r="913">
      <c r="A913" s="60"/>
      <c r="B913" s="60"/>
      <c r="C913" s="60"/>
      <c r="D913" s="60"/>
      <c r="E913" s="60"/>
      <c r="F913" s="60"/>
    </row>
    <row r="914">
      <c r="A914" s="60"/>
      <c r="B914" s="60"/>
      <c r="C914" s="60"/>
      <c r="D914" s="60"/>
      <c r="E914" s="60"/>
      <c r="F914" s="60"/>
    </row>
    <row r="915">
      <c r="A915" s="60"/>
      <c r="B915" s="60"/>
      <c r="C915" s="60"/>
      <c r="D915" s="60"/>
      <c r="E915" s="60"/>
      <c r="F915" s="60"/>
    </row>
    <row r="916">
      <c r="A916" s="60"/>
      <c r="B916" s="60"/>
      <c r="C916" s="60"/>
      <c r="D916" s="60"/>
      <c r="E916" s="60"/>
      <c r="F916" s="60"/>
    </row>
    <row r="917">
      <c r="A917" s="60"/>
      <c r="B917" s="60"/>
      <c r="C917" s="60"/>
      <c r="D917" s="60"/>
      <c r="E917" s="60"/>
      <c r="F917" s="60"/>
    </row>
    <row r="918">
      <c r="A918" s="60"/>
      <c r="B918" s="60"/>
      <c r="C918" s="60"/>
      <c r="D918" s="60"/>
      <c r="E918" s="60"/>
      <c r="F918" s="60"/>
    </row>
    <row r="919">
      <c r="A919" s="60"/>
      <c r="B919" s="60"/>
      <c r="C919" s="60"/>
      <c r="D919" s="60"/>
      <c r="E919" s="60"/>
      <c r="F919" s="60"/>
    </row>
    <row r="920">
      <c r="A920" s="60"/>
      <c r="B920" s="60"/>
      <c r="C920" s="60"/>
      <c r="D920" s="60"/>
      <c r="E920" s="60"/>
      <c r="F920" s="60"/>
    </row>
    <row r="921">
      <c r="A921" s="60"/>
      <c r="B921" s="60"/>
      <c r="C921" s="60"/>
      <c r="D921" s="60"/>
      <c r="E921" s="60"/>
      <c r="F921" s="60"/>
    </row>
    <row r="922">
      <c r="A922" s="60"/>
      <c r="B922" s="60"/>
      <c r="C922" s="60"/>
      <c r="D922" s="60"/>
      <c r="E922" s="60"/>
      <c r="F922" s="60"/>
    </row>
    <row r="923">
      <c r="A923" s="60"/>
      <c r="B923" s="60"/>
      <c r="C923" s="60"/>
      <c r="D923" s="60"/>
      <c r="E923" s="60"/>
      <c r="F923" s="60"/>
    </row>
    <row r="924">
      <c r="A924" s="60"/>
      <c r="B924" s="60"/>
      <c r="C924" s="60"/>
      <c r="D924" s="60"/>
      <c r="E924" s="60"/>
      <c r="F924" s="60"/>
    </row>
    <row r="925">
      <c r="A925" s="60"/>
      <c r="B925" s="60"/>
      <c r="C925" s="60"/>
      <c r="D925" s="60"/>
      <c r="E925" s="60"/>
      <c r="F925" s="60"/>
    </row>
    <row r="926">
      <c r="A926" s="60"/>
      <c r="B926" s="60"/>
      <c r="C926" s="60"/>
      <c r="D926" s="60"/>
      <c r="E926" s="60"/>
      <c r="F926" s="60"/>
    </row>
    <row r="927">
      <c r="A927" s="60"/>
      <c r="B927" s="60"/>
      <c r="C927" s="60"/>
      <c r="D927" s="60"/>
      <c r="E927" s="60"/>
      <c r="F927" s="60"/>
    </row>
    <row r="928">
      <c r="A928" s="60"/>
      <c r="B928" s="60"/>
      <c r="C928" s="60"/>
      <c r="D928" s="60"/>
      <c r="E928" s="60"/>
      <c r="F928" s="60"/>
    </row>
    <row r="929">
      <c r="A929" s="60"/>
      <c r="B929" s="60"/>
      <c r="C929" s="60"/>
      <c r="D929" s="60"/>
      <c r="E929" s="60"/>
      <c r="F929" s="60"/>
    </row>
    <row r="930">
      <c r="A930" s="60"/>
      <c r="B930" s="60"/>
      <c r="C930" s="60"/>
      <c r="D930" s="60"/>
      <c r="E930" s="60"/>
      <c r="F930" s="60"/>
    </row>
    <row r="931">
      <c r="A931" s="60"/>
      <c r="B931" s="60"/>
      <c r="C931" s="60"/>
      <c r="D931" s="60"/>
      <c r="E931" s="60"/>
      <c r="F931" s="60"/>
    </row>
    <row r="932">
      <c r="A932" s="60"/>
      <c r="B932" s="60"/>
      <c r="C932" s="60"/>
      <c r="D932" s="60"/>
      <c r="E932" s="60"/>
      <c r="F932" s="60"/>
    </row>
    <row r="933">
      <c r="A933" s="60"/>
      <c r="B933" s="60"/>
      <c r="C933" s="60"/>
      <c r="D933" s="60"/>
      <c r="E933" s="60"/>
      <c r="F933" s="60"/>
    </row>
    <row r="934">
      <c r="A934" s="60"/>
      <c r="B934" s="60"/>
      <c r="C934" s="60"/>
      <c r="D934" s="60"/>
      <c r="E934" s="60"/>
      <c r="F934" s="60"/>
    </row>
    <row r="935">
      <c r="A935" s="60"/>
      <c r="B935" s="60"/>
      <c r="C935" s="60"/>
      <c r="D935" s="60"/>
      <c r="E935" s="60"/>
      <c r="F935" s="60"/>
    </row>
    <row r="936">
      <c r="A936" s="60"/>
      <c r="B936" s="60"/>
      <c r="C936" s="60"/>
      <c r="D936" s="60"/>
      <c r="E936" s="60"/>
      <c r="F936" s="60"/>
    </row>
    <row r="937">
      <c r="A937" s="60"/>
      <c r="B937" s="60"/>
      <c r="C937" s="60"/>
      <c r="D937" s="60"/>
      <c r="E937" s="60"/>
      <c r="F937" s="60"/>
    </row>
    <row r="938">
      <c r="A938" s="60"/>
      <c r="B938" s="60"/>
      <c r="C938" s="60"/>
      <c r="D938" s="60"/>
      <c r="E938" s="60"/>
      <c r="F938" s="60"/>
    </row>
    <row r="939">
      <c r="A939" s="60"/>
      <c r="B939" s="60"/>
      <c r="C939" s="60"/>
      <c r="D939" s="60"/>
      <c r="E939" s="60"/>
      <c r="F939" s="60"/>
    </row>
    <row r="940">
      <c r="A940" s="60"/>
      <c r="B940" s="60"/>
      <c r="C940" s="60"/>
      <c r="D940" s="60"/>
      <c r="E940" s="60"/>
      <c r="F940" s="60"/>
    </row>
    <row r="941">
      <c r="A941" s="60"/>
      <c r="B941" s="60"/>
      <c r="C941" s="60"/>
      <c r="D941" s="60"/>
      <c r="E941" s="60"/>
      <c r="F941" s="60"/>
    </row>
    <row r="942">
      <c r="A942" s="60"/>
      <c r="B942" s="60"/>
      <c r="C942" s="60"/>
      <c r="D942" s="60"/>
      <c r="E942" s="60"/>
      <c r="F942" s="60"/>
    </row>
    <row r="943">
      <c r="A943" s="60"/>
      <c r="B943" s="60"/>
      <c r="C943" s="60"/>
      <c r="D943" s="60"/>
      <c r="E943" s="60"/>
      <c r="F943" s="60"/>
    </row>
    <row r="944">
      <c r="A944" s="60"/>
      <c r="B944" s="60"/>
      <c r="C944" s="60"/>
      <c r="D944" s="60"/>
      <c r="E944" s="60"/>
      <c r="F944" s="60"/>
    </row>
    <row r="945">
      <c r="A945" s="60"/>
      <c r="B945" s="60"/>
      <c r="C945" s="60"/>
      <c r="D945" s="60"/>
      <c r="E945" s="60"/>
      <c r="F945" s="60"/>
    </row>
    <row r="946">
      <c r="A946" s="60"/>
      <c r="B946" s="60"/>
      <c r="C946" s="60"/>
      <c r="D946" s="60"/>
      <c r="E946" s="60"/>
      <c r="F946" s="60"/>
    </row>
    <row r="947">
      <c r="A947" s="60"/>
      <c r="B947" s="60"/>
      <c r="C947" s="60"/>
      <c r="D947" s="60"/>
      <c r="E947" s="60"/>
      <c r="F947" s="60"/>
    </row>
    <row r="948">
      <c r="A948" s="60"/>
      <c r="B948" s="60"/>
      <c r="C948" s="60"/>
      <c r="D948" s="60"/>
      <c r="E948" s="60"/>
      <c r="F948" s="60"/>
    </row>
    <row r="949">
      <c r="A949" s="60"/>
      <c r="B949" s="60"/>
      <c r="C949" s="60"/>
      <c r="D949" s="60"/>
      <c r="E949" s="60"/>
      <c r="F949" s="60"/>
    </row>
    <row r="950">
      <c r="A950" s="60"/>
      <c r="B950" s="60"/>
      <c r="C950" s="60"/>
      <c r="D950" s="60"/>
      <c r="E950" s="60"/>
      <c r="F950" s="60"/>
    </row>
    <row r="951">
      <c r="A951" s="60"/>
      <c r="B951" s="60"/>
      <c r="C951" s="60"/>
      <c r="D951" s="60"/>
      <c r="E951" s="60"/>
      <c r="F951" s="60"/>
    </row>
    <row r="952">
      <c r="A952" s="60"/>
      <c r="B952" s="60"/>
      <c r="C952" s="60"/>
      <c r="D952" s="60"/>
      <c r="E952" s="60"/>
      <c r="F952" s="60"/>
    </row>
    <row r="953">
      <c r="A953" s="60"/>
      <c r="B953" s="60"/>
      <c r="C953" s="60"/>
      <c r="D953" s="60"/>
      <c r="E953" s="60"/>
      <c r="F953" s="60"/>
    </row>
    <row r="954">
      <c r="A954" s="60"/>
      <c r="B954" s="60"/>
      <c r="C954" s="60"/>
      <c r="D954" s="60"/>
      <c r="E954" s="60"/>
      <c r="F954" s="60"/>
    </row>
    <row r="955">
      <c r="A955" s="60"/>
      <c r="B955" s="60"/>
      <c r="C955" s="60"/>
      <c r="D955" s="60"/>
      <c r="E955" s="60"/>
      <c r="F955" s="60"/>
    </row>
    <row r="956">
      <c r="A956" s="60"/>
      <c r="B956" s="60"/>
      <c r="C956" s="60"/>
      <c r="D956" s="60"/>
      <c r="E956" s="60"/>
      <c r="F956" s="60"/>
    </row>
    <row r="957">
      <c r="A957" s="60"/>
      <c r="B957" s="60"/>
      <c r="C957" s="60"/>
      <c r="D957" s="60"/>
      <c r="E957" s="60"/>
      <c r="F957" s="60"/>
    </row>
    <row r="958">
      <c r="A958" s="60"/>
      <c r="B958" s="60"/>
      <c r="C958" s="60"/>
      <c r="D958" s="60"/>
      <c r="E958" s="60"/>
      <c r="F958" s="60"/>
    </row>
    <row r="959">
      <c r="A959" s="60"/>
      <c r="B959" s="60"/>
      <c r="C959" s="60"/>
      <c r="D959" s="60"/>
      <c r="E959" s="60"/>
      <c r="F959" s="60"/>
    </row>
    <row r="960">
      <c r="A960" s="60"/>
      <c r="B960" s="60"/>
      <c r="C960" s="60"/>
      <c r="D960" s="60"/>
      <c r="E960" s="60"/>
      <c r="F960" s="60"/>
    </row>
    <row r="961">
      <c r="A961" s="60"/>
      <c r="B961" s="60"/>
      <c r="C961" s="60"/>
      <c r="D961" s="60"/>
      <c r="E961" s="60"/>
      <c r="F961" s="60"/>
    </row>
    <row r="962">
      <c r="A962" s="60"/>
      <c r="B962" s="60"/>
      <c r="C962" s="60"/>
      <c r="D962" s="60"/>
      <c r="E962" s="60"/>
      <c r="F962" s="60"/>
    </row>
    <row r="963">
      <c r="A963" s="60"/>
      <c r="B963" s="60"/>
      <c r="C963" s="60"/>
      <c r="D963" s="60"/>
      <c r="E963" s="60"/>
      <c r="F963" s="60"/>
    </row>
    <row r="964">
      <c r="A964" s="60"/>
      <c r="B964" s="60"/>
      <c r="C964" s="60"/>
      <c r="D964" s="60"/>
      <c r="E964" s="60"/>
      <c r="F964" s="60"/>
    </row>
    <row r="965">
      <c r="A965" s="60"/>
      <c r="B965" s="60"/>
      <c r="C965" s="60"/>
      <c r="D965" s="60"/>
      <c r="E965" s="60"/>
      <c r="F965" s="60"/>
    </row>
    <row r="966">
      <c r="A966" s="60"/>
      <c r="B966" s="60"/>
      <c r="C966" s="60"/>
      <c r="D966" s="60"/>
      <c r="E966" s="60"/>
      <c r="F966" s="60"/>
    </row>
    <row r="967">
      <c r="A967" s="60"/>
      <c r="B967" s="60"/>
      <c r="C967" s="60"/>
      <c r="D967" s="60"/>
      <c r="E967" s="60"/>
      <c r="F967" s="60"/>
    </row>
    <row r="968">
      <c r="A968" s="60"/>
      <c r="B968" s="60"/>
      <c r="C968" s="60"/>
      <c r="D968" s="60"/>
      <c r="E968" s="60"/>
      <c r="F968" s="60"/>
    </row>
    <row r="969">
      <c r="A969" s="60"/>
      <c r="B969" s="60"/>
      <c r="C969" s="60"/>
      <c r="D969" s="60"/>
      <c r="E969" s="60"/>
      <c r="F969" s="60"/>
    </row>
    <row r="970">
      <c r="A970" s="60"/>
      <c r="B970" s="60"/>
      <c r="C970" s="60"/>
      <c r="D970" s="60"/>
      <c r="E970" s="60"/>
      <c r="F970" s="60"/>
    </row>
    <row r="971">
      <c r="A971" s="60"/>
      <c r="B971" s="60"/>
      <c r="C971" s="60"/>
      <c r="D971" s="60"/>
      <c r="E971" s="60"/>
      <c r="F971" s="60"/>
    </row>
    <row r="972">
      <c r="A972" s="60"/>
      <c r="B972" s="60"/>
      <c r="C972" s="60"/>
      <c r="D972" s="60"/>
      <c r="E972" s="60"/>
      <c r="F972" s="60"/>
    </row>
    <row r="973">
      <c r="A973" s="60"/>
      <c r="B973" s="60"/>
      <c r="C973" s="60"/>
      <c r="D973" s="60"/>
      <c r="E973" s="60"/>
      <c r="F973" s="60"/>
    </row>
    <row r="974">
      <c r="A974" s="60"/>
      <c r="B974" s="60"/>
      <c r="C974" s="60"/>
      <c r="D974" s="60"/>
      <c r="E974" s="60"/>
      <c r="F974" s="60"/>
    </row>
    <row r="975">
      <c r="A975" s="60"/>
      <c r="B975" s="60"/>
      <c r="C975" s="60"/>
      <c r="D975" s="60"/>
      <c r="E975" s="60"/>
      <c r="F975" s="60"/>
    </row>
    <row r="976">
      <c r="A976" s="60"/>
      <c r="B976" s="60"/>
      <c r="C976" s="60"/>
      <c r="D976" s="60"/>
      <c r="E976" s="60"/>
      <c r="F976" s="60"/>
    </row>
    <row r="977">
      <c r="A977" s="60"/>
      <c r="B977" s="60"/>
      <c r="C977" s="60"/>
      <c r="D977" s="60"/>
      <c r="E977" s="60"/>
      <c r="F977" s="60"/>
    </row>
    <row r="978">
      <c r="A978" s="60"/>
      <c r="B978" s="60"/>
      <c r="C978" s="60"/>
      <c r="D978" s="60"/>
      <c r="E978" s="60"/>
      <c r="F978" s="60"/>
    </row>
    <row r="979">
      <c r="A979" s="60"/>
      <c r="B979" s="60"/>
      <c r="C979" s="60"/>
      <c r="D979" s="60"/>
      <c r="E979" s="60"/>
      <c r="F979" s="60"/>
    </row>
    <row r="980">
      <c r="A980" s="60"/>
      <c r="B980" s="60"/>
      <c r="C980" s="60"/>
      <c r="D980" s="60"/>
      <c r="E980" s="60"/>
      <c r="F980" s="60"/>
    </row>
    <row r="981">
      <c r="A981" s="60"/>
      <c r="B981" s="60"/>
      <c r="C981" s="60"/>
      <c r="D981" s="60"/>
      <c r="E981" s="60"/>
      <c r="F981" s="60"/>
    </row>
    <row r="982">
      <c r="A982" s="60"/>
      <c r="B982" s="60"/>
      <c r="C982" s="60"/>
      <c r="D982" s="60"/>
      <c r="E982" s="60"/>
      <c r="F982" s="60"/>
    </row>
    <row r="983">
      <c r="A983" s="60"/>
      <c r="B983" s="60"/>
      <c r="C983" s="60"/>
      <c r="D983" s="60"/>
      <c r="E983" s="60"/>
      <c r="F983" s="60"/>
    </row>
    <row r="984">
      <c r="A984" s="60"/>
      <c r="B984" s="60"/>
      <c r="C984" s="60"/>
      <c r="D984" s="60"/>
      <c r="E984" s="60"/>
      <c r="F984" s="60"/>
    </row>
    <row r="985">
      <c r="A985" s="60"/>
      <c r="B985" s="60"/>
      <c r="C985" s="60"/>
      <c r="D985" s="60"/>
      <c r="E985" s="60"/>
      <c r="F985" s="60"/>
    </row>
    <row r="986">
      <c r="A986" s="60"/>
      <c r="B986" s="60"/>
      <c r="C986" s="60"/>
      <c r="D986" s="60"/>
      <c r="E986" s="60"/>
      <c r="F986" s="60"/>
    </row>
    <row r="987">
      <c r="A987" s="60"/>
      <c r="B987" s="60"/>
      <c r="C987" s="60"/>
      <c r="D987" s="60"/>
      <c r="E987" s="60"/>
      <c r="F987" s="60"/>
    </row>
    <row r="988">
      <c r="A988" s="60"/>
      <c r="B988" s="60"/>
      <c r="C988" s="60"/>
      <c r="D988" s="60"/>
      <c r="E988" s="60"/>
      <c r="F988" s="60"/>
    </row>
    <row r="989">
      <c r="A989" s="60"/>
      <c r="B989" s="60"/>
      <c r="C989" s="60"/>
      <c r="D989" s="60"/>
      <c r="E989" s="60"/>
      <c r="F989" s="60"/>
    </row>
    <row r="990">
      <c r="A990" s="60"/>
      <c r="B990" s="60"/>
      <c r="C990" s="60"/>
      <c r="D990" s="60"/>
      <c r="E990" s="60"/>
      <c r="F990" s="60"/>
    </row>
    <row r="991">
      <c r="A991" s="60"/>
      <c r="B991" s="60"/>
      <c r="C991" s="60"/>
      <c r="D991" s="60"/>
      <c r="E991" s="60"/>
      <c r="F991" s="60"/>
    </row>
    <row r="992">
      <c r="A992" s="60"/>
      <c r="B992" s="60"/>
      <c r="C992" s="60"/>
      <c r="D992" s="60"/>
      <c r="E992" s="60"/>
      <c r="F992" s="60"/>
    </row>
    <row r="993">
      <c r="A993" s="60"/>
      <c r="B993" s="60"/>
      <c r="C993" s="60"/>
      <c r="D993" s="60"/>
      <c r="E993" s="60"/>
      <c r="F993" s="60"/>
    </row>
    <row r="994">
      <c r="A994" s="60"/>
      <c r="B994" s="60"/>
      <c r="C994" s="60"/>
      <c r="D994" s="60"/>
      <c r="E994" s="60"/>
      <c r="F994" s="60"/>
    </row>
    <row r="995">
      <c r="A995" s="60"/>
      <c r="B995" s="60"/>
      <c r="C995" s="60"/>
      <c r="D995" s="60"/>
      <c r="E995" s="60"/>
      <c r="F995" s="60"/>
    </row>
    <row r="996">
      <c r="A996" s="60"/>
      <c r="B996" s="60"/>
      <c r="C996" s="60"/>
      <c r="D996" s="60"/>
      <c r="E996" s="60"/>
      <c r="F996" s="60"/>
    </row>
    <row r="997">
      <c r="A997" s="60"/>
      <c r="B997" s="60"/>
      <c r="C997" s="60"/>
      <c r="D997" s="60"/>
      <c r="E997" s="60"/>
      <c r="F997" s="60"/>
    </row>
    <row r="998">
      <c r="A998" s="60"/>
      <c r="B998" s="60"/>
      <c r="C998" s="60"/>
      <c r="D998" s="60"/>
      <c r="E998" s="60"/>
      <c r="F998" s="60"/>
    </row>
    <row r="999">
      <c r="A999" s="60"/>
      <c r="B999" s="60"/>
      <c r="C999" s="60"/>
      <c r="D999" s="60"/>
      <c r="E999" s="60"/>
      <c r="F999" s="60"/>
    </row>
    <row r="1000">
      <c r="A1000" s="60"/>
      <c r="B1000" s="60"/>
      <c r="C1000" s="60"/>
      <c r="D1000" s="60"/>
      <c r="E1000" s="60"/>
      <c r="F1000" s="60"/>
    </row>
    <row r="1001">
      <c r="A1001" s="60"/>
      <c r="B1001" s="60"/>
      <c r="C1001" s="60"/>
      <c r="D1001" s="60"/>
      <c r="E1001" s="60"/>
      <c r="F1001" s="60"/>
    </row>
    <row r="1002">
      <c r="A1002" s="60"/>
      <c r="B1002" s="60"/>
      <c r="C1002" s="60"/>
      <c r="D1002" s="60"/>
      <c r="E1002" s="60"/>
      <c r="F1002" s="60"/>
    </row>
  </sheetData>
  <mergeCells count="6">
    <mergeCell ref="A1:Z1"/>
    <mergeCell ref="B2:F2"/>
    <mergeCell ref="G2:K2"/>
    <mergeCell ref="L2:P2"/>
    <mergeCell ref="Q2:U2"/>
    <mergeCell ref="V2:Z2"/>
  </mergeCells>
  <conditionalFormatting sqref="B8:Z53">
    <cfRule type="cellIs" dxfId="0" priority="1" operator="equal">
      <formula>"CORRECT"</formula>
    </cfRule>
  </conditionalFormatting>
  <conditionalFormatting sqref="B8:Z53">
    <cfRule type="cellIs" dxfId="1" priority="2" operator="notEqual">
      <formula>"CORRECT"</formula>
    </cfRule>
  </conditionalFormatting>
  <drawing r:id="rId1"/>
</worksheet>
</file>