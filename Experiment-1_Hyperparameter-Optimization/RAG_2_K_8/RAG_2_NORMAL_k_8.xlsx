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<sst xmlns="http://schemas.openxmlformats.org/spreadsheetml/2006/main" count="3482" uniqueCount="504">
  <si>
    <t>SUMMARY RESULT BETWEEN TEST</t>
  </si>
  <si>
    <t>Temp</t>
  </si>
  <si>
    <t>Topp</t>
  </si>
  <si>
    <t>Parameters</t>
  </si>
  <si>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</si>
  <si>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</si>
  <si>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</si>
  <si>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</si>
  <si>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</si>
  <si>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</si>
  <si>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</si>
  <si>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</si>
  <si>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</si>
  <si>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</si>
  <si>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</si>
  <si>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</si>
  <si>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</si>
  <si>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</si>
  <si>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</si>
  <si>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</si>
  <si>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</si>
  <si>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</si>
  <si>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</si>
  <si>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</si>
  <si>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</si>
  <si>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</si>
  <si>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</si>
  <si>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</si>
  <si>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</si>
  <si>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</si>
  <si>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</si>
  <si>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</si>
  <si>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</si>
  <si>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</si>
  <si>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</si>
  <si>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</si>
  <si>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</si>
  <si>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provides cutaneous innervation of the medial aspect of the leg."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</si>
  <si>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</si>
  <si>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</si>
  <si>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</si>
  <si>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</si>
  <si>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</si>
  <si>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nausea and pain, and the most appropriate therapy is to reverse the effects of the morphine with an opioid antagonist, such as naloxone (C). Flumazenil is a benzodiazepine antagonist and would not be effective in this situation. Ketorolac is a nonsteroidal anti-inflammatory drug (NSAID) and would not address the patient's opioid-induced nausea and pain."</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</si>
  <si>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</si>
  <si>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</si>
  <si>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</si>
  <si>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</si>
  <si>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</si>
  <si>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rapidly expand intravascular volume and reduce serum calcium levels, which is essential in emergency situations."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</si>
  <si>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</si>
  <si>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</si>
  <si>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</si>
  <si>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</si>
  <si>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</si>
  <si>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</si>
  <si>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</si>
  <si>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</si>
  <si>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</si>
  <si>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sevoflurane added to the fresh gas flow. The vaporizer adds 40 mL/min of sevoflurane to the gas mixture, and the fresh gas flow is 5 L/min. Therefore, the delivered anesthetic concentration is 0.5% (40 mL/min / 8000 mL/min)."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</si>
  <si>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</si>
  <si>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</si>
  <si>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</si>
  <si>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</si>
  <si>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and extremities, thereby conserving heat and maintaining a stable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</si>
  <si>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</si>
  <si>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</si>
  <si>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</si>
  <si>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</si>
  <si>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after the initial 1-hour observation period, and it is necessary to remain hospitalized for further observation to ensure the patient's safety."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</si>
  <si>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</si>
  <si>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</si>
  <si>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</si>
  <si>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</si>
  <si>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as it can alter the spread of the local anesthetic solution. This is because hyperbaric solutions spread to dependent regions, while hypobaric solutions spread to nondependent regions, and isobaric solutions are not influenced by gravitational forces."</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</si>
  <si>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</si>
  <si>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</si>
  <si>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</si>
  <si>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</si>
  <si>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postobstructive pulmonary edema, which is a rare but significant consequence of laryngospasm and other upper airway obstruction. The most appropriate management is to provide positive-pressure ventilation to help alleviate the edema and improve oxygenation."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</si>
  <si>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</si>
  <si>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</si>
  <si>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</si>
  <si>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</si>
  <si>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sudden development of nausea, diaphoresis, and sharp pain in the left shoulder suggests a cardiac etiology, which is unlikely to be angina pectoris given the sudden onset. Bladder perforation is a possible cause, as it can lead to sudden changes in intravascular volume and electrolyte imbalances, which may cause these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</si>
  <si>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</si>
  <si>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</si>
  <si>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</si>
  <si>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</si>
  <si>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which suggests that the endotracheal tube may not be in the trachea, leading to hypoventilation and decreased oxygenation of the patient's lungs. This is the most likely cause of the decrease in SpO2, as the patient is receiving constant ventilator settings and FiO2 of 0.3."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</si>
  <si>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</si>
  <si>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</si>
  <si>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</si>
  <si>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</si>
  <si>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that she is not severely hypoxic. The most likely cause of her hypoxemia is hypoventilation, as mentioned in the context that 'alveolar hypoventilation are the most common causes of postoperative hypoxemia in the PACU'."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</si>
  <si>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</si>
  <si>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</si>
  <si>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</si>
  <si>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</si>
  <si>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the ventilator does not deliver a preset tidal volume but relies on the patient's intrinsic respiratory drive. The pressure support breaths are triggered by a decrease in airway pressure, which is a natural response to the patient's inspiratory effort."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</si>
  <si>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</si>
  <si>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</si>
  <si>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</si>
  <si>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</si>
  <si>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This is because the increased heart rate and workload of the heart require more oxygen and nutrients, which are supplied by coronary blood flow. Increasing coronary perfusion pressure ensures that the heart receives the necessary resources to meet its increased demands."</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</si>
  <si>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</si>
  <si>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</si>
  <si>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</si>
  <si>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</si>
  <si>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measures the time it takes for a blood sample to clot. It is a sensitive indicator of liver synthetic function, as the liver synthesizes coagulation factors such as prothrombin. A prolonged PT can reflect significant hepatic impairment and is often the first laboratory abnormality to appear in liver disease, making it a useful test to confirm adequate synthetic hepatic function."</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</si>
  <si>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</si>
  <si>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</si>
  <si>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</si>
  <si>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</si>
  <si>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This is because the shock waves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</si>
  <si>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</si>
  <si>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</si>
  <si>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</si>
  <si>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</si>
  <si>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supply tube enters the circuit near the reservoir bag, but the fresh gas is actually delivered at the patient end of the circuit,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</si>
  <si>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</si>
  <si>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</si>
  <si>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</si>
  <si>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</si>
  <si>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a shift of the diaphragm and alter the normal pattern of breathing, leading to changes in the capnogram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</si>
  <si>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</si>
  <si>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</si>
  <si>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</si>
  <si>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</si>
  <si>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previous administration of penicillin, which suggests that he may have a penicillin allergy. Cefazolin is a cephalosporin antibiotic, which is structurally similar to penicillin. Therefore, it is likely that the patient will also have an allergic reaction to cefazolin. Administering hydrocortisone, a corticosteroid, followed by cefazolin may help to alleviate the allergic reaction. Vancomycin is a different class of antibiotic and may not be effective in treating the infection, and it may also cause an allergic reaction in this patient."</t>
  </si>
  <si>
    <t>Which of the following factors DECREASES the MAC of isoflurane?</t>
  </si>
  <si>
    <t>A. Acute cocaine intoxication</t>
  </si>
  <si>
    <t>B. Chronic ethanol abuse</t>
  </si>
  <si>
    <t>C. Symptomatic hyponatremia</t>
  </si>
  <si>
    <t>{   "Answer": "B",   "Explain": "Chronic ethanol abuse decreases the MAC of isoflurane, as stated in the text: 'Chronic amphetamine use, chronic ethanol abuse, and acute alcohol ingestion all decrease MAC'."</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</si>
  <si>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</si>
  <si>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</si>
  <si>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</si>
  <si>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</si>
  <si>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rapid and profound cardiovascular depression."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</si>
  <si>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</si>
  <si>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</si>
  <si>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</si>
  <si>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</si>
  <si>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the same partial pressure of oxygen, more oxygen will be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</si>
  <si>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</si>
  <si>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</si>
  <si>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</si>
  <si>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</si>
  <si>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decreased cardiac output and peripheral resistance."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</si>
  <si>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</si>
  <si>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</si>
  <si>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</si>
  <si>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</si>
  <si>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it does not cause dose-related seizure inhibition and can even lead to generalized activation of seizure foci." }</t>
  </si>
  <si>
    <t>Which of the following drugs does NOT cause enhanced activity of the GABA receptor?</t>
  </si>
  <si>
    <t>B. Ketamine</t>
  </si>
  <si>
    <t>{   "Answer": "A",   "Explain": "Etomidate is an agonist at the GABA receptor, which means it enhances the activity of GABA, a neurotransmitter that has a calming effect on the nervous system. This is in contrast to ketamine and propofol, which do not have this effect." }</t>
  </si>
  <si>
    <t>Which of the following components is MISPLACED in the circle system shown in the above illustration?</t>
  </si>
  <si>
    <t>A. Fresh gas inlet</t>
  </si>
  <si>
    <t>B. CO2 absorber</t>
  </si>
  <si>
    <t>C. Expiratory valve</t>
  </si>
  <si>
    <t>{   "Answer": "B",   "Explain": "The CO2 absorber is not misplaced in the circle system. According to the context, the circle system consists of several essential components, including a fresh gas inflow source, inspiratory and expiratory unidirectional valves, inspiratory and expiratory corrugated tubes, a Y-piece, and a CO2 absorber. The CO2 absorber is an essential component of the circle system, and its placement is not misplaced."</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</si>
  <si>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</si>
  <si>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</si>
  <si>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</si>
  <si>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</si>
  <si>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as a large volume of distribution indicates that the drug is distributed widely throughout the body and is not being tightly bound to plasma proteins." }</t>
  </si>
  <si>
    <t>Which of the following drugs has the LONGEST duration of action in a patient with renal failure?</t>
  </si>
  <si>
    <t>A. Neostigmine</t>
  </si>
  <si>
    <t>B. Rocuronium</t>
  </si>
  <si>
    <t>C. Succinylcholine</t>
  </si>
  <si>
    <t>{   "Answer": "B",   "Explain": "Rocuronium has an elimination half-life increased in renal failure because of an increase in the volume of distribution with no change in clearance, which might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</si>
  <si>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</si>
  <si>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</si>
  <si>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</si>
  <si>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</si>
  <si>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</si>
  <si>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</si>
  <si>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</si>
  <si>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</si>
  <si>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</si>
  <si>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</si>
  <si>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</si>
  <si>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</si>
  <si>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</si>
  <si>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</si>
  <si>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other peripheral tissues, resulting in a reduction in heat loss through radiation, convection, conduction, and evaporation."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</si>
  <si>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</si>
  <si>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</si>
  <si>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</si>
  <si>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</si>
  <si>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improved to 92% when FiO2 was increased to 1.0. This suggests that the patient's hypoxemia is responsive to supplemental oxygen, which is consistent with a decreased FRC (functional residual capacity) as the most likely cause of hypoxemia."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</si>
  <si>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</si>
  <si>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</si>
  <si>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</si>
  <si>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</si>
  <si>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blocks the brachial plexus. The most likely cause of this is a phrenic nerve block, which is a complication of the supraclavicular approach. Therefore, the next step would be to perform an intercostobrachial block to restore sensation to the medial upper arm."</t>
  </si>
  <si>
    <t>Which of the following mechanisms is PRIMARILY responsible for emergence after a single dose of propofol?</t>
  </si>
  <si>
    <t>A. Redistribution</t>
  </si>
  <si>
    <t>B. Metabolism</t>
  </si>
  <si>
    <t>C. Excretion</t>
  </si>
  <si>
    <t>{   "Answer": "A",   "Explain": "After a single dose of propofol, redistribution is primarily responsible for emergence. This is because propofol is highly soluble in blood and rapidly redistributes from the brain to other tissues in the body, leading to a decrease in its concentration in the brain and a subsequent emergence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</si>
  <si>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</si>
  <si>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</si>
  <si>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</si>
  <si>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</si>
  <si>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can cause oxygen to escape, reducing the O2 analyzer reading from 50% to 30%. As the anesthesia machine is set to deliver O2 2 L/min, a leak in the ventilator bellows would allow some of the oxygen to escape, resulting in a decrease in the O2 analyzer reading."</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</si>
  <si>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</si>
  <si>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</si>
  <si>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</si>
  <si>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</si>
  <si>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with a slow nystagmic gaze, maintenance of cough, swallow, and corneal reflexes, moderate dilation of the pupils, lacrimation, salivation, and an increase in skeletal muscle tone with apparently coordinated but purposeless movements of the extremities."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</si>
  <si>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</si>
  <si>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</si>
  <si>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</si>
  <si>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</si>
  <si>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elimination half-life is the most likely explanation for its decreased duration of action compared to an IV dose of morphine, as it is rapidly metabolized and eliminated from the body, leading to a shorter duration of its effects."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</si>
  <si>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</si>
  <si>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</si>
  <si>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</si>
  <si>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</si>
  <si>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spread of the sample means around the population mean. It measures the amount of variation in the sample means that can be expected due to random sampling error. In other words, it represents the amount of error that can be expected in the sample mean due to random chance."</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</si>
  <si>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</si>
  <si>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</si>
  <si>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</si>
  <si>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</si>
  <si>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as carboxyhemoglobin (COHb) absorbs light in a way that can be misinterpreted by pulse oximeters, leading to inaccurate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</si>
  <si>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</si>
  <si>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</si>
  <si>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</si>
  <si>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</si>
  <si>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not significantly elevated. The patient is receiving a 4-hour general anesthetic, which may cause a slight increase in blood glucose levels due to the stress response. However, this increase is unlikely to be marked, and the patient's blood glucose level is most likely to remain in the mildly elevated range, around 150-180 mg/dL, on emergence from anesthesia." }</t>
  </si>
  <si>
    <t>Which of the following drugs INCREASES gastric pH while decreasing gastric volume?</t>
  </si>
  <si>
    <t>A. Glycopyrrolate</t>
  </si>
  <si>
    <t>B. Metoclopramide</t>
  </si>
  <si>
    <t>C. Ranitidine</t>
  </si>
  <si>
    <t>{   "Answer": "C",   "Explain": "Ranitidine is an H2 receptor antagonist that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</si>
  <si>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</si>
  <si>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</si>
  <si>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</si>
  <si>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</si>
  <si>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a smaller amount of nitrous oxide needs to be dissolved in the blood before equilibration with the gas phase is reached. This results in a more rapid equilibration of alveolar and inspired concentrations of nitrous oxide compared to desflurane."</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</si>
  <si>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</si>
  <si>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</si>
  <si>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</si>
  <si>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</si>
  <si>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while apneic by filling the functional residual capacity with oxygen, thus increasing the time period the patient can safely be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</si>
  <si>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</si>
  <si>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</si>
  <si>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</si>
  <si>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</si>
  <si>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can cause unopposed adduction of the left vocal cord at rest, leading to hoarseness or voice impairment."</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</si>
  <si>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</si>
  <si>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</si>
  <si>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</si>
  <si>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</si>
  <si>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45 mmHg. This is because the patient's body has adapted to the high oxygen levels and has increased oxygen extraction from the blood, resulting in a lower mixed venous O2 tension."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</si>
  <si>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</si>
  <si>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</si>
  <si>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</si>
  <si>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</si>
  <si>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</si>
  <si>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</si>
  <si>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</si>
  <si>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</si>
  <si>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</si>
  <si>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opioid-induced nausea and pain, and the most appropriate therapy is to reverse the effects of the morphine with an opioid antagonist, such as Naloxone (C). Flumazenil is a benzodiazepine receptor antagonist and is not suitable for opioid-induced nausea and pain. Ketorolac is a nonsteroidal anti-inflammatory drug (NSAID) and is not effective in treating opioid-induced nausea and pain."</t>
  </si>
  <si>
    <t>{   "Answer": "B",   "Explain": "The delivered anesthetic concentration is 0.5%. The vaporizer adds 40 mL/min of sevoflurane to the gas flow, and the fresh gas flow is 5 L/min. The total gas flow is 100 mL/min + 5 L/min = 105 mL/min. The percentage of sevoflurane is (40 mL/min / 105 mL/min) x 100% = 38.1%. However, the vapor pressure of sevoflurane is 150 mmHg, which is 21% of the total pressure of 760 mmHg. Therefore, the delivered concentration of sevoflurane is 21% of 2.5%, which is 0.5%."</t>
  </si>
  <si>
    <t>{   "Answer": "A",   "Explain": "Flumazenil has low affinity for benzodiazepine receptors, which means it can easily antagonize the effects of midazolam without causing rebound sedation. This is in contrast to other benzodiazepine antagonists that may have a higher affinity for the receptors and could potentially cause rebound sedation." }</t>
  </si>
  <si>
    <t>{   "Answer": "B",   "Explain": "The patient is experiencing postobstructive pulmonary edema, which is a transudative edema that results from the exaggerated negative pressure generated by inspiration against an obstructed airway. Furosemide, a diuretic, is the most appropriate management strategy to treat this condition, as it can help to reduce the amount of fluid in the lungs and alleviate the symptoms of pulmonary edema." }</t>
  </si>
  <si>
    <t>{   "Answer": "B",   "Explain": "The patient's symptoms, including nausea, diaphoresis, and sharp pain in the left shoulder, are consistent with a sudden onset of TURP syndrome, which is a complication of transurethral resection of the prostate. The syndrome is characterized by hyponatremia, excessive intravascular volume, and edema, which can lead to cardiac and respiratory complications. The sudden onset of symptoms suggests that the patient may have developed a bladder perforation, which is a common cause of TURP syndrome." }</t>
  </si>
  <si>
    <t>{   "Answer": "C",   "Explain": "The patient's SpO2 decreased from 99% to 90% and the partial pressure of ETCO2 increased from 38 to 43 mmHg, which suggests that the endotracheal tube may not be in the trachea, leading to hypoventilation and decreased oxygenation of the patient's lungs. This is the most likely cause of the decrease in SpO2." }</t>
  </si>
  <si>
    <t>{   "Answer": "B",   "Explain": "The patient's SpO2 is 90% on room air, indicating that she is not severely hypoxic. However, the patient is receiving IV PCA with morphine, which can cause respiratory depression and hypoventilation. Hypoventilation is the most common cause of postoperative hypoxemia, and it is the most likely cause in this patient given her obesity and the use of morphine." }</t>
  </si>
  <si>
    <t>{   "Answer": A,   "Explain": "In pressure support ventilation, the ventilator does not deliver a preset tidal volume but relies on the patient's intrinsic respiratory drive. The pressure support breaths are triggered by a decrease in airway pressure, which is a natural response to the patient's inspiratory effort." }</t>
  </si>
  <si>
    <t>{   "Answer": "B",   "Explain": "Prothrombin time (PT) is a laboratory test that measures the liver's ability to synthesize coagulation factors, specifically prothrombin. A normal PT result indicates adequate synthetic hepatic function, as the liver is the primary site for the production of prothrombin and other coagulation factors."</t>
  </si>
  <si>
    <t>{   "Answer": "C",   "Explain": "Instillation of local anesthetic into the trachea via the cricothyroid membrane is most likely to block the Recurrent Laryngeal Nerve, which is responsible for innervating the larynx and trachea." }</t>
  </si>
  <si>
    <t>{   "Answer": "A",   "Explain": "A leak in the ventilator bellows is the most likely cause of a decrease in the O2 analyzer reading from 50% to 30% after 30 minutes of stable anesthesia. This is because a leak in the ventilator bellows would allow oxygen to escape, reducing the oxygen flow rate and decreasing the O2 analyzer reading."</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</si>
  <si>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</si>
  <si>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</si>
  <si>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opioid-induced nausea and pain after receiving morphine and midazolam. Flumazenil is a benzodiazepine antagonist, which would not address the patient's opioid-induced nausea. Ketorolac is a nonsteroidal anti-inflammatory drug (NSAID) that may worsen the patient's pain. Naloxone, on the other hand, is an opioid antagonist that can reverse the effects of morphine and relieve opioid-induced nausea and pain, making it the most appropriate therapy for this patient's condition."</t>
  </si>
  <si>
    <t>{   "Answer": "B",   "Explain": "The delivered anesthetic concentration is 0.5%. The vaporizer adds 40 mL/min of sevoflurane to the gas flow, and the fresh gas flow is 5 L/min. The total gas flow is 100 mL/min + 5 L/min = 105 mL/min. The percentage of sevoflurane in the gas flow is (40 mL/min / 105 mL/min) x 100%, which is approximately 38%. Since the vapor pressure of sevoflurane is 150 mmHg, the percentage of sevoflurane in the gas flow is also approximately 0.5%."</t>
  </si>
  <si>
    <t>{   "Answer": "C",   "Explain": "Vasoconstriction is the most effective physiologic mechanism for maintaining body temperature in an adult patient with mild hypothermia anesthetized with 1 MAC of isoflurane. This is because vasoconstriction helps to reduce heat loss by convection and radiation, which are the primary mechanisms of heat loss during anesthesia." }</t>
  </si>
  <si>
    <t>{   "Answer": "A",   "Explain": "Flumazenil has low affinity for benzodiazepine receptors, which means it can easily antagonize the effects of midazolam, a benzodiazepine agonist. This is because flumazenil binds to the benzodiazepine receptor with a lower affinity than midazolam, allowing it to displace midazolam and reverse its effects." }</t>
  </si>
  <si>
    <t>{   "Answer": "C",   "Explain": "The patient is experiencing postobstructive pulmonary edema, which is a type of noncardiogenic pulmonary edema caused by laryngospasm. The most appropriate management is to provide positive-pressure ventilation to help alleviate the edema and improve oxygenation." }</t>
  </si>
  <si>
    <t>{   "Answer": "B",   "Explain": "The patient's symptoms of nausea, diaphoresis, and sharp pain in the left shoulder are most likely caused by bladder perforation, which is a complication of TURP. This is because the patient received a spinal anesthetic and the symptoms are consistent with a sudden and severe reaction to the procedure." }</t>
  </si>
  <si>
    <t>{   "Answer": "B",   "Explain": "The patient's SpO2 is 90% on room air, indicating that she is not severely hypoxic. However, the most common causes of postoperative hypoxemia are atelectasis and alveolar hypoventilation. Since the patient is receiving IV PCA with morphine, which can cause respiratory depression, alveolar hypoventilation is the most likely cause of her hypoxemia."</t>
  </si>
  <si>
    <t>{   Answer: A,   "Explain": "In pressure support ventilation, the ventilator does not deliver a preset tidal volume but instead relies on the patient's intrinsic respiratory drive. The pressure support breaths are triggered by a decrease in airway pressure, which is a natural response to the patient's inspiratory effort." }</t>
  </si>
  <si>
    <t>{   "Answer": "B",   "Explain": "To satisfy the increased metabolic demand of the myocardium, the anesthesiologist should increase coronary perfusion pressure, which is the pressure gradient that drives blood flow through the coronary arteries. This is because the increased heart rate and workload of the heart require more oxygen and nutrients, which are supplied by the coronary circulation."</t>
  </si>
  <si>
    <t>{   "Answer": "B",   "Explain": "The prothrombin time (PT) is the most likely laboratory value to confirm adequate synthetic hepatic function because it measures the time required for the liver to synthesize and release coagulation factors, such as prothrombin, into the bloodstream. A normal PT result indicates that the liver is functioning properly and producing adequate amounts of these essential proteins."</t>
  </si>
  <si>
    <t>{   "Answer": B,   "Explain": "ECG synchronization is the best strategy to prevent ventricular dysrhythmias in a patient undergoing extracorporeal shock wave lithotripsy. This is because the shock waves are timed with the patient's heart rate and are triggered by the R wave on the patient's electrocardiogram, thus minimizing the risk of cardiac dysrhythmias."</t>
  </si>
  <si>
    <t>{   "Answer": "C",   "Explain": "The patient is in the lateral position, which can cause a decrease in lung volume and a subsequent increase in the resistance to gas flow, leading to a more gradual slope between points A and B." }</t>
  </si>
  <si>
    <t>{   "Answer": "B",   "Explain": "The patient has a history of a rash with previous administration of penicillin, which suggests that he may have an allergy to penicillin. Cefazolin is a cephalosporin antibiotic that is structurally similar to penicillin, so it is likely that the patient will also have an allergic reaction to it. Therefore, the anesthesiologist should administer hydrocortisone, a corticosteroid, to help alleviate the allergic reaction, followed by cefazolin if the patient's condition permits."</t>
  </si>
  <si>
    <t>{   "Answer": "B",   "Explain": "In clinical hypothyroidism, there is a decrease in myocardial contractility, leading to decreased cardiac output and peripheral resistance. This is because thyroid hormones play a crucial role in regulating cardiac function, and decreased levels of these hormones can lead to decreased cardiac contractility and output." }</t>
  </si>
  <si>
    <t>{   "Answer": "B",   "Explain": "According to the context, the CO2 absorber is a crucial component of a circle system that prevents rebreathing of carbon dioxide. In the given illustration, the CO2 absorber is misplaced, which is incorrect. The correct placement of the CO2 absorber is essential to ensure the safe and efficient functioning of the circle system."</t>
  </si>
  <si>
    <t>{   "Answer": "C",   "Explain": "A new IV anesthetic with a very large volume of distribution is most likely to have low plasma protein binding, as a large volume of distribution indicates that the anesthetic is distributed throughout the body and is not being significantly bound to plasma proteins." }</t>
  </si>
  <si>
    <t>{   "Answer": "B",   "Explain": "Rocuronium has an increased elimination half-life in renal failure due to an increase in volume of distribution with no change in clearance, which might account for a longer duration of action in anephric patients." }</t>
  </si>
  <si>
    <t>{   "Answer": "A",   "Explain": "Ablation of thermoregulatory vasoconstriction is the most likely explanation for the initial reduction in core temperature during general anesthesia. This is because general anesthesia causes a decrease in thermoregulatory vasoconstriction, leading to a reduction in heat conservation and an increase in heat loss, resulting in a decrease in core temperature." }</t>
  </si>
  <si>
    <t>{   "Answer": "A",   "Explain": "The patient's SpO2 decreased from 98% to 84% when FiO2 was 0.5, and then improved to 92% when FiO2 was increased to 1.0. This suggests that the patient's hypoxemia is responsive to supplemental oxygen, which is consistent with a cause of hypoxemia that is easily treated with higher FiO2. The most likely cause of hypoxemia in this scenario is decreased FRC, which is a common cause of postoperative hypoxemia in the PACU." }</t>
  </si>
  <si>
    <t>{   "Answer": "A",   "Explain": "After a single dose of propofol, redistribution is primarily responsible for emergence. This is because propofol is highly soluble in blood and rapidly redistributes from the brain to other tissues, leading to a decrease in its concentration in the brain and a subsequent emergence from anesthesia." }</t>
  </si>
  <si>
    <t>{   "Answer": "C",   "Explain": "Fentanyl's shorter elimination half-life is the most likely explanation for its decreased duration of action compared to an IV dose of morphine, as it is rapidly metabolized and eliminated from the body, leading to a shorter duration of effect." }</t>
  </si>
  <si>
    <t>{   "Answer": "A",   "Explain": "The standard error of the mean (SEM) shows the precision of the population mean, which is the spread of the sample means around the population mean. It measures the amount of variation in the sample means that can be expected due to random sampling error. In other words, it represents the degree of precision with which the sample mean estimates the population mean."</t>
  </si>
  <si>
    <t>{   "Answer": "B",   "Explain": "Pulse oximetry does not accurately reflect SaO2 in the presence of carboxyhemoglobinemia because carboxyhemoglobin (COHb) absorbs light in a way that is similar to oxyhemoglobin (O2Hb), making it difficult for the pulse oximeter to distinguish between the two." }</t>
  </si>
  <si>
    <t>{   "Answer": "A",   "Explain": "The primary purpose of denitrogenation prior to anesthetic induction is to improve matching of ventilation and perfusion, which increases the time period the patient can safely be apneic and reduces the risk of hypoxemia during the induction of anesthesia." }</t>
  </si>
  <si>
    <t>{   "Answer": "A",   "Explain": "After breathing 100% O2 for 10 minutes, the mixed venous O2 tension is expected to be 45 mmHg. This is because the patient's body has adapted to the high oxygen levels and has increased oxygen extraction to maintain normal oxygen delivery to the tissues." }</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</si>
  <si>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</si>
  <si>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</si>
  <si>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</si>
  <si>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"C",   "Explain": "The patient is experiencing opioid-induced nausea and pain, and the most appropriate therapy is to reverse the effects of the morphine with an opioid antagonist, such as Naloxone (C). Flumazenil is a benzodiazepine receptor antagonist and is not suitable for reversing opioid-induced effects. Ketorolac is a nonsteroidal anti-inflammatory drug (NSAID) and is not effective in reversing opioid-induced nausea and pain."</t>
  </si>
  <si>
    <t>{   "Answer": "C",   "Explain": "Instillation of local anesthetic into the trachea via the cricothyroid membrane is most likely to block the Recurrent Laryngeal Nerve, which is responsible for providing sensation to the larynx and trachea." }</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</si>
  <si>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</si>
  <si>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</si>
  <si>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is likely causing the patient's right upper quadrant abdominal pain and nausea." }</t>
  </si>
  <si>
    <t>{   "Answer": "B",   "Explain": "Normal saline is the most appropriate initial management for a 68-year-old woman with primary hyperparathyroidism and a serum calcium concentration of 15 mg/dL. This is because normal saline can help to dilute the elevated calcium levels and reduce the risk of cardiac complications, while also providing fluid support for the patient." }</t>
  </si>
  <si>
    <t>{   "Answer": "C",   "Explain": "The Caffeine-halothane contracture test has the highest sensitivity and specificity for MH, making it the most reliable test for predicting the likelihood of developing malignant hyperthermia." }</t>
  </si>
  <si>
    <t>{   "Answer": "B",   "Explain": "To determine the delivered anesthetic concentration, we need to calculate the volume of sevoflurane added to the fresh gas flow. Given that 40 mL/min of sevoflurane is added to the vaporizer output, and the fresh gas flow is 5 L/min, we can calculate the percentage of sevoflurane in the output gas mixture. The volume of sevoflurane added is 40 mL/min, and the total volume of gas flowing out of the vaporizer is 190 mL/min (40 mL/min sevoflurane + 150 mL/min oxygen). Therefore, the percentage of sevoflurane in the output gas mixture is (40 mL/min / 190 mL/min) x 100% = 21%. This is equivalent to a concentration of 0.5%."</t>
  </si>
  <si>
    <t>{   "Answer": "C",   "Explain": "Vasoconstriction is the most effective physiologic mechanism for maintaining body temperature in this patient with mild hypothermia, as it helps to reduce heat loss through radiation and conduction. Shivering thermogenesis is not effective in this patient as it is usually associated with hypothermia, and nonshivering thermogenesis is not a significant contributor to heat production in adults." }</t>
  </si>
  <si>
    <t>{   "Answer": "A",   "Explain": "Flumazenil has low affinity for benzodiazepine receptors, which means it is less likely to cause rebound sedation and respiratory suppression compared to other benzodiazepine antagonists. This is because flumazenil is a selective antagonist that binds to benzodiazepine receptors with a low affinity, whereas other benzodiazepine antagonists may have a higher affinity and potentially cause rebound effects." }</t>
  </si>
  <si>
    <t>{   "Answer": "B",   "Explain": "Patient position is the most important factor in determining the block height, as it can alter the spread of the local anesthetic solution in the cerebrospinal fluid. This is because hyperbaric solutions tend to spread to non-dependent regions, while hypobaric solutions spread to non-dependent regions, and isobaric solutions are not influenced by gravitational forces."</t>
  </si>
  <si>
    <t>{   "Answer": "B",   "Explain": "The patient is experiencing pulmonary edema after resolution of postoperative laryngospasm, which is a noncardiogenic cause of pulmonary edema. The most appropriate management is to administer furosemide, a diuretic, to help reduce the edema and improve oxygenation." }</t>
  </si>
  <si>
    <t>{   "Answer": "B",   "Explain": "The patient's symptoms of nausea, diaphoresis, and sharp pain in the left shoulder are most likely caused by bladder perforation, which is a complication of TURP. This is because the symptoms are sudden in onset and are not typical of spinal anesthesia complications, which usually manifest as numbness or tingling." }</t>
  </si>
  <si>
    <t>{   "Answer": "C",   "Explain": "The question states that the patient's SpO2 decreased from 99% to 90% and the partial pressure of ETCO2 increased from 38 to 43 mmHg. Given that FiO2 is 0.3 and all ventilator settings have been constant, the most likely cause of the decrease in SpO2 is right mainstem endobronchial intubation, which would lead to inadequate ventilation of the lungs." }</t>
  </si>
  <si>
    <t>{   "Answer": "B",   "Explain": "The patient's SpO2 is 90% on room air, indicating that she is not severely hypoxic. The most likely cause of her hypoxemia is hypoventilation, as it is the most common cause of postoperative hypoxemia in the PACU, and it can lead to a corresponding increase in arterial partial pressure of carbon dioxide (PaCO2)." }</t>
  </si>
  <si>
    <t>{   "Answer": A,   "Explain": "In pressure support ventilation, the ventilator does not deliver a preset tidal volume but instead relies on the patient's intrinsic respiratory drive. The amount of pressure support is set between 5 and 20 cm H2O pressure to ensure adequate tidal volume and minute ventilation. The ventilator is triggered by a decrease in airway pressure, which allows the patient to breathe naturally and increases the tidal volume and minute ventilation accordingly." }</t>
  </si>
  <si>
    <t>{   "Answer": "B",   "Explain": "An increase in heart rate from 60 bpm to 120 bpm during induction of anesthesia increases myocardial oxygen demand. To satisfy this increased demand, the body needs to increase coronary perfusion pressure to ensure adequate oxygen delivery to the myocardium. This is the most likely factor to satisfy the increased metabolic demand of the myocardium."</t>
  </si>
  <si>
    <t>{   "Answer": "B",   "Explain": "The prothrombin time (PT) is a laboratory test that measures the time it takes for a blood sample to clot. It is a sensitive indicator of liver synthetic function, as the liver synthesizes coagulation factors such as prothrombin. A prolonged PT is often the first laboratory abnormality to occur in liver disease, and it can reflect both acute and chronic liver failure." }</t>
  </si>
  <si>
    <t>{   "Answer": "A",   "Explain": "Compared to a semiclosed circle system, a Bain circuit exhibits less rebreathing of CO2 because the fresh gas supply tube enters the circuit near the reservoir bag, but the fresh gas is actually delivered at the patient end of the circuit, allowing for more efficient scavenging of waste gases and reducing the amount of rebrebreathed gases."</t>
  </si>
  <si>
    <t>{   "Answer": "C",   "Explain": "The patient is in the lateral position, which can cause the diaphragm to drop and reduce lung expansion, leading to a decrease in tidal volume and an increase in the slope of phase III, as seen between points A and B." }</t>
  </si>
  <si>
    <t>{   "Answer": "B",   "Explain": "The patient has a history of a rash with previous administration of penicillin, indicating a possible allergic reaction. To manage this, the anesthesiologist should administer hydrocortisone, a corticosteroid, to reduce the risk of an allergic reaction, followed by cefazolin, the antibiotic of choice for this patient's condition."</t>
  </si>
  <si>
    <t>{   "Answer": "B",   "Explain": "Chronic ethanol abuse decreases the MAC of isoflurane, as stated in the text." }</t>
  </si>
  <si>
    <t>{   "Answer": "A",   "Explain": "Bupivacaine's primary toxic effect on the cardiovascular system is a blockade of norepinephrine release, which can lead to a rapid and profound cardiovascular depression, potentially resulting in cardiac arrhythmias and cardiac arrest." }</t>
  </si>
  <si>
    <t>{   "Answer": "C",   "Explain": "Hyperthermia causes a rightward shift of the oxyhemoglobin dissociation curve, allowing for more oxygen to be unloaded to tissues at the same partial pressure of oxygen." }</t>
  </si>
  <si>
    <t>{   "Answer": "B",   "Explain": "In hypothyroidism, there is a decrease in cardiac contractility, which is reflected in a decreased myocardial contractility." }</t>
  </si>
  <si>
    <t>{   "Answer": "A",   "Explain": "Etomidate is most likely to be associated with longer seizure duration when used for electroconvulsive therapy because it has been associated with grand mal seizures and produces increased EEG activity in epileptogenic foci, making it a less suitable choice for this procedure compared to other anesthetics like methohexital and propofol." }</t>
  </si>
  <si>
    <t>{   "Answer": "A",   "Explain": "Etomidate is an agonist at the GABA receptor, which means it enhances the activity of GABA, whereas the other options, ketamine and propofol, do not have this effect." }</t>
  </si>
  <si>
    <t>{   "Answer": "B",   "Explain": "According to the context, a CO2 absorber is a necessary component in a circle system to prevent rebreathing of carbon dioxide. However, in the given illustration, the CO2 absorber is misplaced, which means it is not located in its correct position in the circle system." }</t>
  </si>
  <si>
    <t>{   "Answer": "C",   "Explain": "A new IV anesthetic with a very large volume of distribution is most likely to have low plasma protein binding. This is because a large volume of distribution indicates that the anesthetic is distributed widely throughout the body, and therefore, it is not bound to plasma proteins to a significant extent." }</t>
  </si>
  <si>
    <t>{   "Answer": "B",   "Explain": "Rocuronium has an elimination half-life increased in renal failure because of an increase in the volume of distribution with no change in clearance, which might account for a longer duration of action in anephric patients." }</t>
  </si>
  <si>
    <t>{   "Answer": "C",   "Explain": "Instillation of local anesthetic into the trachea via the cricothyroid membrane is most likely to block the Recurrent Laryngeal Nerve, which is responsible for innervating the larynx and providing sensation to the vocal cords." }</t>
  </si>
  <si>
    <t>{   "Answer": "A",   "Explain": "Ablation of thermoregulatory vasoconstriction is the most likely explanation for the initial reduction in core temperature during general anesthesia. This is because general anesthesia causes a decrease in the body's ability to regulate its temperature, leading to a loss of vasoconstriction and subsequent heat loss." }</t>
  </si>
  <si>
    <t>{   "Answer": "A",   "Explain": "The patient's SpO2 decreases from 98% to 84% when his FiO2 is 0.5, and then improves to 92% when his FiO2 is increased to 1.0. This suggests that his hypoxemia is caused by a shunt, which is easily overcome by increasing the inspired oxygen concentration. This is consistent with atelectasis, which is a common cause of postoperative hypoxemia in the PACU." }</t>
  </si>
  <si>
    <t>{   Answer: "B",   "Explain": "The patient has complete anesthesia in the median, radial, and ulnar nerve distributions after a supraclavicular block, which blocks the terminal branches of the brachial plexus. The patient requires an additional block of the intercostobrachial nerve, which is not blocked by the supraclavicular block, to achieve complete anesthesia for the procedure."</t>
  </si>
  <si>
    <t>{   "Answer": "A",   "Explain": "After a single dose of propofol, emergence is primarily due to redistribution, as the drug's effects on the brain and other organs are reversed as it is gradually eliminated from the bloodstream and tissues." }</t>
  </si>
  <si>
    <t>{   "Answer": "A",   "Explain": "A leak in the ventilator bellows is the most likely cause of a decrease in the O2 analyzer reading from 50% to 30% after 30 minutes of stable anesthesia. This is because a leak in the ventilator bellows would allow oxygen to escape, reducing the amount of oxygen delivered to the patient and decreasing the O2 analyzer reading."</t>
  </si>
  <si>
    <t>{   "Answer": "A",   "Explain": "After an induction dose of ketamine, patients appear to be in a cataleptic state with eyes remaining open with a slow nystagmic gaze, moderate dilation of the pupils, lacrimation, salivation, and an increase in skeletal muscle tone, with apparently coordinated but purposeless movements of the extremities, despite being considered to be in a state of intense analgesia and amnesia."</t>
  </si>
  <si>
    <t>{   "Answer": "C",   "Explain": "Fentanyl's shorter elimination half-life is the most likely explanation for its decreased duration of action compared to an IV dose of morphine. This is because a shorter elimination half-life means that the effects of fentanyl are shorter-lived and are eliminated from the body more quickly, leading to a shorter duration of action." }</t>
  </si>
  <si>
    <t>{   "Answer": "A",   "Explain": "The standard error of the mean shows the precision of the population mean, which is the expected value of the sample mean if the sample were repeated multiple times. It measures the amount of variation in the sample means that would be expected due to random sampling error."</t>
  </si>
  <si>
    <t>{   "Answer": "B",   "Explain": "Pulse oximetry does not accurately reflect SaO2 in situations with carboxyhemoglobinemia, as carboxyhemoglobin (COHb) absorbs light in a way that is not accounted for by traditional pulse oximetry calibration curves, leading to inaccurate readings."</t>
  </si>
  <si>
    <t>{   "Answer": "B",   "Explain": "The patient's fasting blood glucose level is 100 mg/dL, which is not high enough to cause a significant change in glucose levels during anesthesia. The patient is receiving a 4-hour general anesthetic, which is unlikely to cause a significant change in glucose levels. Therefore, mild hyperglycemia is the most likely expected outcome on emergence."</t>
  </si>
  <si>
    <t>{   "Answer": "C",   "Explain": "Ranitidine is an H2 receptor antagonist that increases gastric pH while decreasing gastric volume, making it a suitable option for altering gastric contents to prevent pulmonary aspiration." }</t>
  </si>
  <si>
    <t>{   "Answer": "C",   "Explain": "Nitrous oxide has a lower blood gas solubility compared to desflurane, which means that a smaller amount of nitrous oxide needs to be dissolved in the blood before equilibration with the gas phase is reached. This results in a more rapid equilibration of alveolar and inspired concentrations of nitrous oxide compared to desflurane, which has a higher blood gas solubility."</t>
  </si>
  <si>
    <t>{   "Answer": "A",   "Explain": "A 32-year-old woman sustains an injury to the left recurrent laryngeal nerve during thyroidectomy, which will cause unopposed adduction of the left vocal cord at rest, leading to hoarseness." }</t>
  </si>
  <si>
    <t>{   "Answer": "A",   "Explain": "Normal mixed venous PO2 (Pvo2) is 40 mm Hg, as stated in the context. After breathing 100% O2 for 10 minutes, the Pao2 will be high, but the oxygen content of the blood will not increase significantly due to the limited capacity of hemoglobin to bind oxygen. Therefore, the mixed venous oxygen tension will remain around 40 mm Hg, which is choice A."</t>
  </si>
  <si>
    <t>{   "Answer": "A",   "Explain": "According to the context, flumazenil has a very rapid clearance and short elimination half-life, with a plasma half-life of about 1 hour, making it the shortest-lived of all benzodiazepines used in anesthetic practice." }</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</si>
  <si>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</si>
  <si>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</si>
  <si>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"For an operation at the medial aspect of the lower leg, the common peroneal nerve should be blocked. According to the provided context, procedures that also involve the medial aspect of the leg, such as anesthesia to the tibial and peroneal nerves, typically involve blocking the sciatic nerve high in the popliteal fossa, but for procedures that also involve the medial aspect of the leg, the femoral nerve can be blocked at the adductor canal."</t>
  </si>
  <si>
    <t>{   "Answer": "B",   "Explain": "The patient is experiencing right upper quadrant abdominal pain and nausea 30 minutes after receiving morphine and midazolam. Given that the patient has a history of anesthesia, it is likely that the pain is related to the opioids. Flumazenil is an antagonist of benzodiazepines, which is not relevant in this case. Naloxone is an opioid antagonist, but it may not be the best choice as the patient has already received morphine. Ketorolac, a nonsteroidal anti-inflammatory drug (NSAID), is a more appropriate choice as it is a non-opioid medication that can help alleviate abdominal pain and nausea." }</t>
  </si>
  <si>
    <t>{ "Answer": "B", "Explain": "Normal saline is the most appropriate initial management for the 68-year-old woman with primary hyperparathyroidism and a serum calcium concentration of 15 mg/dL. Normal saline will help to dilute the serum calcium levels and provide adequate fluid resuscitation to treat the hypercalcemia. Magnesium sulfate is not necessary in this situation, and methylprednisone is not typically used to treat hypercalcemia."</t>
  </si>
  <si>
    <t>{   "Answer": "C",   "Explain": "The Caffeine-halothane contracture test has the highest sensitivity and specificity for malignant hyperthermia diagnosis, making it the most reliable test for predicting the likelihood of developing malignant hyperthermia." }</t>
  </si>
  <si>
    <t>{   "Answer": "B",   "Explain": "The delivery of anesthetic is set to 150 mmHg, which is equal to 21% of the gas mixture. 150 mmHg is the vapor pressure of the anesthetic, which is saturated at this point. The total flow of the gas mixture is 5 L/min, and 40 mL/min of anesthetic is added to this mixture. To calculate the delivered anesthetic concentration, we need to find what percentage of the gas flow (5 L/min) is 40 mL/min. This can be done by setting up a proportion: 40 mL/min/(100 mL/min) = 21%/100%. This calculation shows that the delivered anesthetic concentration is 0.5% (20%)." }</t>
  </si>
  <si>
    <t>{   "Answer": "C",   "Explain": "Vasoconstriction is a more effective physiologic mechanism for maintaining body temperature in a hypothermic patient, as it reduces heat loss from the body's core to the environment by constricting blood vessels and allowing the body to conserve heat." }</t>
  </si>
  <si>
    <t>{   "Answer": "B",   "Explain": "Flumazenil may have moderate intrinsic agonist activity, which could potentially lead to a rebound effect, causing the patient to remain sedated and leading to serious recurrent sedation at a later time. This is a concern, especially when flumazenil is used to reverse midazolam sedation." }</t>
  </si>
  <si>
    <t>{   "Answer": "C",   "Explain": "According to the context, spread of anesthetic solution in cerebrospinal fluid after its administration into the subarachnoid space is most influenced by the dose of the local anesthetic. The text states, 'The dose, volume, and concentration are inextricably linked (Volume × Concentration = Dose), but dose is the most reliable determinant of local anesthetic spread (and thus block height) when compared with either volume or concentration for isobaric and hypobaric local anesthetic solutions.'"</t>
  </si>
  <si>
    <t>{   "Answer": "B",   "Explain": "While the patient is breathing 100% O2, SpO2 is 80%, and there is a history of postoperative laryngospasm, the most appropriate management strategy is to administer furosemide, a diuretic medication that can help reduce pulmonary edema."</t>
  </si>
  <si>
    <t>{   "Answer": "B",   "Explain": "The sudden onset of nausea, diaphoresis, and sharp pain in the left shoulder is due to the development of TURP syndrome, which is a complication of transurethral resection of the prostate. This syndrome occurs as a result of irrigation solution absorption, leading to hyponatremia, hypertonicity, and edema." }</t>
  </si>
  <si>
    <t>{   "Answer": "C",   "Explain": "The etiology of a decrease in SpO2 is not caused by a CO2 embolus (A) or compression of the vena cava (B) as both of these conditions would not cause a prolonged and continuous decrease in oxygen saturation. The increase in ETCO2 and prolonged decrease in SpO2 are more consistent with a diagnosis of right mainstem endobronchial intubation, which can cause underventilation of the lungs leading to decreased oxygenation and increased carbon dioxide production." }</t>
  </si>
  <si>
    <t>{   "Answer": "B,   "Explain": "Since the patient is receiving IV PCA with morphine, anesthetic drugs can also cause hypoventilation, which is the most likely cause of her hypoxemia. Absorption of CO2 from the abdomen can cause hypercapnia, while increased dead space ventilation is also a possibility. However, since the patient's SpO2 is 90% on room air, hypoxemia is more likely due to alveolar hypoventilation."</t>
  </si>
  <si>
    <t>{   Answer: "A",   "Explain": "In pressure support ventilation, pressure support breaths are triggered by a decrease in airway pressure, as the ventilator senses the patient's inspiratory effort and provides additional assistance." }</t>
  </si>
  <si>
    <t>{   "Answer": "B",   "Explain": "To satisfy the increased metabolic demand of the myocardium, the anesthesiologist needs to increase coronary perfusion pressure, which can be achieved by raising systemic blood pressure through fluid resuscitation or vasopressors." }</t>
  </si>
  <si>
    <t>{   "Answer": "B",   "Explain": "The prothrombin time (PT) is the most likely to confirm adequate synthetic hepatic function because it directly measures the liver's ability to synthesize coagulation factors, including prothrombin, in response to vitamin K. The PT test is a sensitive indicator of liver synthetic function and can reflect changes in liver function earlier than other liver function tests." }</t>
  </si>
  <si>
    <t>{     "Answer": B,     "Explain": "ECG synchronization is a strategy that best prevents ventricular dysrhythmias in a patient undergoing extracorporeal shock wave lithotripsy, as it ensures that shock waves are timed with the patient's heart rate and are delivered during the refractory period of the heart muscle, thus minimizing the risk of cardiac dysrhythmias." }</t>
  </si>
  <si>
    <t>{   "Answer": A,   "Explain": "Compared to a semiclosed circle system, a Bain circuit exhibits less rebreathing of CO2, as the fresh gas supply flows into the circuit at the patient's end, reducing the chance of rebreathing exhaled gases." }</t>
  </si>
  <si>
    <t>{   "Answer": "C",   "Explain": "The patient's position being lateral might cause the capnograph waveform to change, leading to a lower inspired CO2 and a corresponding decrease in CO2 concentration between point A and point B, which is a characteristic of increasing tidal volume." }</t>
  </si>
  <si>
    <t>{   Answer: "B",   "Explain": "The surgeon has asked if cefazolin can be administered to the patient, despite the patient having a history of allergy to penicillin. The anesthesiologist should administer hydrocortisone followed by cefazolin, as the patient has a prior allergic reaction to penicillin, and cefazolin is a beta-lactam antibiotic that is structurally similar to penicillin."</t>
  </si>
  <si>
    <t>{ "Answer": "A", "Explain": "Acute cocaine intoxication decreases the MAC of isoflurane, as mentioned in the provided context."</t>
  </si>
  <si>
    <t>{   "Answer": "A",   "Explain": "Bupivacaine's primary toxic effect on the cardiovascular system is a blockade of norepinephrine release, which can lead to a potentially life-threatening cardiotoxicity, especially when combined with other factors such as hypoxia and acidosis." }</t>
  </si>
  <si>
    <t>{   "Answer": "C",   "Explain": "Hyperthermia causes a rightward shift of the oxyhemoglobin dissociation curve, making it easier for tissues to release oxygen, which is beneficial in hyperthermic conditions." }</t>
  </si>
  <si>
    <t>{   "Answer": "A",   "Explain": "One of the findings most likely to be decreased in a patient with clinical hypothyroidism is MAC (mean arterial blood pressure). This is because hypothyroidism increases peripheral vascular resistance, leading to reduced blood flow and decreased blood pressure. In hypothyroidism, blood volume also decreases, further contributing to a decline in blood pressure."</t>
  </si>
  <si>
    <t>{   "Answer": "A",   "Explain": "Etomidate is more likely to be associated with longer seizure duration when used for electroconvulsive therapy because it has been shown to produce increased EEG activity in epileptogenic foci and has been associated with grand mal seizures, whereas methohexital and propofol have been shown to have anticonvulsant effects." }</t>
  </si>
  <si>
    <t>{   "Answer": "A",   "Explain": "Etomidate is an agonist at the GABA receptor, directly activating the receptor at low concentrations and also enhancing its response to agonists at higher concentrations." }</t>
  </si>
  <si>
    <t>{   Answer: "B",   "Explain": "According to the passage, in a circle system, one component is mentioned as a CO2 absorber canister. Among the given options, the other components include the fresh gas inlet and the expiratory valve. Therefore, CO2 absorber is the component misplaced in the circle system."}</t>
  </si>
  <si>
    <t>{   "Answer": "C",   "Explain": "A new IV anesthetic with a very large volume of distribution is likely to have low plasma protein binding because it can distribute to many tissues and extravascular spaces in the body, resulting in less protein binding." }</t>
  </si>
  <si>
    <t>{   "Answer": "C",   "Explain": "Succinylcholine does not have a prolonged duration of action in patients with renal failure, as it is metabolized by the body and eliminated rapidly." }</t>
  </si>
  <si>
    <t>{   "Answer": "C",   "Explain": "Instillation of local anesthetic into the trachea via the cricothyroid membrane is MOST likely to block the Recurrent Laryngeal nerve, which provides sensory input from the lower pharynx and the upper part of the larynx, including the glottic surface of the epiglottis and the aryepiglottic folds." }</t>
  </si>
  <si>
    <t>{     "Answer": A,     "Explain": "Gagging that occurs during awake intubation is prevented by local anesthetic block of the superior laryngeal nerve, which is achieved by blocking the sensory input from the lower pharynx and upper part of the larynx, including the epiglottic surface and the aryepiglottic folds, thereby reducing the gag reflex."</t>
  </si>
  <si>
    <t>{   "Answer": "A",   "Explain": "Ablation of thermoregulatory vasoconstriction is the most likely explanation for the initial reduction in core temperature during general anesthesia. General anesthesia induces vasodilation, which reduces the body's natural thermoregulatory mechanisms, including vasoconstriction, leading to a decrease in core temperature."</t>
  </si>
  <si>
    <t>{   "Answer": "A",   "Explain": "The patient's SpO2 decreased from 98% to 84% when FiO2 was 0.5, and then improved to 92% when FiO2 was increased to 1.0. This suggests that the hypoxemia is responsive to increased oxygenation, making atelectasis (shunt) and alveolar hypoventilation a more likely cause, given that both are common causes of postoperative hypoxemia in the PACU." }</t>
  </si>
  <si>
    <t>{   "Answer": C,   "Explain": "The most suitable next step is to perform an additional musculocutaneous nerve block to complete the anesthesia for the procedure. The patient had a complete anesthesia in the median, radial, and ulnar nerve distributions, but the musculocutaneous nerve block was not mentioned. Adding another block to the nerve can provide a more comprehensive anesthesia and ensure proper coverage of the surgical area."</t>
  </si>
  <si>
    <t>{   "Answer": "A",   "Explain": "Redistribution is primarily responsible for emergence after a single dose of propofol. After a single dose of propofol, the concentration of the drug decreases rapidly due to redistribution from the blood to other tissues, causing the anesthetic effect to wear off and leading to emergence from anesthesia." }</t>
  </si>
  <si>
    <t>{ "Answer": "A", "Explain": "A leak in the ventilator bellows would cause oxygen to escape, which would result in a lower oxygen reading in the analyzer, decreasing the O2 level from 50% to 30% over time." }</t>
  </si>
  <si>
    <t>{   Answer: "A",   "Explain": "An induction dose of ketamine is most likely to have intense analgesia and amnesia in patients despite the patient appearing as if they may be awake." }</t>
  </si>
  <si>
    <t>{   "Answer": "C",   "Explain": "As compared with an IV dose of morphine, the decreased duration of action of an IV dose of fentanyl is most likely due to its shorter elimination half-life. Fentanyl is rapidly metabolized in the liver and undergoes redistribution to inactive tissue sites, leading to a more rapid decrease in its plasma concentration and subsequent termination of its effects, whereas morphine has a slower metabolism and a longer elimination half-life, resulting in a more sustained effect."</t>
  </si>
  <si>
    <t>{   "Answer": "A",   "Explain": "The standard error of the mean (SEM) shows the precision of the sample mean as an estimate of the population mean. It is calculated as the standard deviation of the sample mean divided by the square root of the sample size. A small standard error indicates that the sample mean is a precise estimate of the population mean, while a large standard error indicates less precision." }</t>
  </si>
  <si>
    <t>{   Answer: "B",   "Explain": "Pulse oximetry accurately reflects SaO2 in cases of Carboxyhemoglobinemia (B) because the oximeter's accuracy is not significantly impaired by the presence of carboxyhemoglobin." }</t>
  </si>
  <si>
    <t>{   "Answer": "C",   "Explain": "A fasting blood glucose of 100 mg/dL is relatively close to a healthy range, and considering the patient is receiving general anesthesia, it is likely that the blood glucose level will not significantly change. Mild hypoglycemia (C) is a more plausible outcome than marked hypoglycemia (A) or mild hyperglycemia (B) given the patient's relatively normal fasting glucose level." }</t>
  </si>
  <si>
    <t>{   "Answer": "C",   "Explain": "Ranitidine, an H2 receptor antagonist, increases gastric pH without affecting gastric volume, making it a suitable option for altering gastric contents to reduce the risk of pulmonary aspiration." }</t>
  </si>
  <si>
    <t>{   "Answer": A,   "Explain": "The inspired concentration of nitrous oxide decreases due to its high solubility in blood, which slows down its uptake into the bloodstream and causes its alveolar and inspired concentrations to equilibrate more rapidly compared to desflurane which has a lower solubility in blood." }</t>
  </si>
  <si>
    <t>{     Answer: "A",     "Explain": "Preoxygenation, the process of replacing nitrogen in the lungs with oxygen, provides an increased length of time before hemoglobin desaturation occurs in an apneic patient. This prolonged apnea time creates a safety margin for the anesthesiologist to secure the airway and resume ventilation, which is the primary purpose of denitrogenation prior to anesthetic induction." }</t>
  </si>
  <si>
    <t>{   "Answer": "A",   "Explain": "A 32-year-old woman sustains an injury to the left recurrent laryngeal nerve during thyroidectomy, which is likely to cause unopposed adduction of the left vocal cord, resulting in adduction of the left vocal cord at rest." }</t>
  </si>
  <si>
    <t>{   "Answer": "A",   "Explain": "After breathing 100% O2 for 10 minutes, the mixed venous O2 tension is expected to be 45 mmHg. This is because the oxygen content of the blood has increased from the high FiO2, but the body's oxygen demand remains the same. The result is a normal mixed venous O2 content, but a low mixed venous O2 tension because the oxygen is not being extracted from the blood as quickly as it is being delivered."</t>
  </si>
  <si>
    <t>{   "Answer": "A",   "Explain": "According to the provided context, flumazenil has the shortest elimination half-life among the options. Box 23.2 stated that flumazenil has 'a very rapid clearance and short elimination half-life', with a plasma half-life of 'about 1 hour'. In contrast, the elimination half-life of midazolam ranges from 1.7 to 3.5 hours." }</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</si>
  <si>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</si>
  <si>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</si>
  <si>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most likely cause of the decrease in SpO2 is right mainstem endobronchial intubation, as the patient's endotracheal tube may not be in the trachea, leading to inadequate ventilation and decreased oxygenation of the lungs." }</t>
  </si>
  <si>
    <t>{   "Answer": "A",   "Explain": "A 32-year-old woman sustains an injury to the left recurrent laryngeal nerve during thyroidectomy, which is likely to cause unopposed adduction of the left vocal cord at rest, leading to hoarseness or voice impairment." }</t>
  </si>
  <si>
    <t>{   "Answer": "A",   "Explain": "After breathing 100% O2 for 10 minutes, the mixed venous O2 tension is expected to be 45 mmHg. This is because the body has adapted to the increased oxygen levels by increasing oxygen extraction from the blood, which reduces the amount of oxygen in the mixed venous blood." }</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</si>
  <si>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</si>
  <si>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</si>
  <si>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most likely be blocked, as it is innervated by the sciatic nerve via the common peroneal and tibial nerves and provides cutaneous innervation of the medial aspect of the leg."</t>
  </si>
  <si>
    <t>{   "Answer": "C",   "Explain": "Since the patient developed nausea, the most appropriate therapy for her pain is to antagonize the effect of morphine with Naloxone (C). Flumazenil (A) is used to reverse the effects of benzodiazepines, and Ketorolac (B) is a NSAID that may not effectively treat the patient's pain due to its mechanism of action." }</t>
  </si>
  <si>
    <t>{     "Answer": "B",     "Explain": "Normal saline is the most appropriate initial management for a 68-year-old woman with primary hyperparathyroidism and a serum calcium concentration of 15 mg/dL. This is because hypercalcemia is often accompanied by dehydration, and aggressive hydration with normal saline can help to rapidly reduce serum calcium levels." }</t>
  </si>
  <si>
    <t>{   "Answer": "C",   "Explain": "The Caffeine-halothane contracture test has the highest sensitivity and specificity for MH diagnosis, making it the most reliable test to predict the likelihood of a patient developing malignant hyperthermia." }</t>
  </si>
  <si>
    <t>{   "Answer": "B",   "Explain": "100 mL of O2 is bubbled through a vaporizer containing an anesthetic with a vapor pressure of 150 mmHg, and this mixture is added to a fresh gas flow of 5 L/min. To find the delivered anesthetic concentration, we need to set up a proportion: (40 mL/min sevoflurane)/(100 mL/min O2) = (x mL/min sevoflurane in the final mixture)/(1500 mL/min fresh gas flow + 40 mL/min sevoflurane). Simplifying the proportion, we get x/(1500 + 40) = 40/100. Solving for x, we get x = 1.33%. However, this is not a choice option. Therefore, we consider the fresh gas flow to be approximately 1500 mL/min (assuming negligible loss of gas), making the proportion 40/1500 = 2.67%. The delivered anesthetic concentration is 2.5%, which is the highest choice option." }</t>
  </si>
  <si>
    <t>{   "Answer": "C",   "Explain": "Vasoconstriction is the most effective physiologic mechanism for maintaining body temperature in an adult patient with mild hypothermia who is anesthetized with 1 MAC of isoflurane. As the patient is already anesthetized, shivering thermogenesis is unlikely to occur, and the anesthetic will also blunt the body's natural response to hypothermia. Therefore, vasoconstriction, which is a mechanism to conserve heat by reducing blood flow to peripheral tissues, is the most effective means of maintaining body temperature in this scenario." }</t>
  </si>
  <si>
    <t>{   "Answer": "A",   "Explain": "Since midazolam has a longer duration of action than flumazenil, if the patient is discharged in 1 hour after the procedure, there is a risk of recurrent sedation and respiratory depression. Flumazenil can antagonize the effects of midazolam, but its effects may wear off within a few hours, leaving the patient vulnerable to resedation. Staying in the hospital for observation ensures that the patient's sedation level can be monitored and any signs of resedation can be quickly addressed."</t>
  </si>
  <si>
    <t>{   "Answer": "C",   "Explain": "According to the context, patient position and additives do not exert a significant effect on the extent of spread of local anesthetic following subarachnoid block with hyperbaric bupivacaine. Instead, the total dose of drug (volume × concentration) is the most important factor that determines the spread of the local anesthetic solution." }</t>
  </si>
  <si>
    <t>{   "Answer": "B",   "Explain": "The patient is developing pulmonary edema after resolution of postoperative laryngospasm, indicating a postobstructive etiology. Administration of furosemide is the most appropriate management strategy as it can help to remove excess fluid and reduce fluid congestion in the lungs, ultimately improving oxygenation and reducing edema." }</t>
  </si>
  <si>
    <t>{     "Answer": "B",     "Explain": "A sudden onset of nausea, diaphoresis, and sharp pain in the left shoulder is likely caused by a cardiac etiology, specifically bladder perforation, given that the patient has recently received a spinal anesthetic and is undergoing a procedure involving irrigation fluids, which may lead to complications such as TURP syndrome."</t>
  </si>
  <si>
    <t>{   "Answer": "C",   "Explain": "Given that the patient is in the Trendelenburg position with CO2 insufflation, and the end-tidal CO2 (ETCO2) increased from 38 to 43 mmHg, it is possible that the endotracheal tube has not been properly positioned in the trachea, leading to a right mainstem endobronchial intubation. This would result in CO2-rich gases entering the lung but not being effectively ventilated, causing a decrease in SpO2."</t>
  </si>
  <si>
    <t>{   "Answer": "B",   "Explain": "Since the patient is receiving IV PCA with morphine, which is a common cause of hypoventilation, and the hypoxemia is 2 hours after surgery, the most likely cause of her hypoxemia is hypoventilation, as stated in the text 'alveolar hypoventilation are the most common causes of postoperative hypoxemia in the PACU'. Additionally, other potential causes such as increased dead space or absorption of CO2 from the abdomen are not as likely in this scenario."</t>
  </si>
  <si>
    <t>{   Answer: A,   "Explain": "In pressure support ventilation, the ventilator does not deliver a preset tidal volume but instead relies on the patient's intrinsic respiratory drive. Pressure support breaths are triggered by a decrease in airway pressure, which is the natural result of a patient's effort to breathe. This mechanism ensures that the ventilator supports the patient's natural breathing pattern and helps to augment their tidal volume." }</t>
  </si>
  <si>
    <t>{   "Answer": "B",   "Explain": "Increased coronary perfusion pressure is most likely to satisfy the increased metabolic demand of the myocardium. When the heart rate increases from 60 to 120 bpm, the increased workload of the heart requires more oxygen. Increased coronary perfusion pressure, which is a product of mean arterial pressure and coronary vascular resistance, would increase the delivery of oxygen-rich blood to the myocardium, satisfying the increased demand." }</t>
  </si>
  <si>
    <t>{   "Answer": "B",   "Explain": "The prothrombin time (PT) is the test that is most likely to confirm adequate synthetic hepatic function. The liver synthesizes coagulation factors, including prothrombin, and impaired liver function can lead to prolonged PT values. In severe liver disease, PT can become prolonged and can reflect acute liver failure, making it a useful indicator of liver function."</t>
  </si>
  <si>
    <t>{   "Answer": B,   "Explain": "ECG synchronization is the strategy that BEST prevents ventricular dysrhythmias in a patient undergoing extracorporeal shock wave lithotripsy. The shock waves are timed with the patient's heart rate and are triggered by the R wave on the patient's electrocardiogram, thus minimizing the risk of cardiac dysrhythmias." }</t>
  </si>
  <si>
    <t>{   "Answer": "A",   "Explain": "A Bain circuit exhibits less rebreathing of CO2 compared with a semiclosed circle system because the fresh gas supply tube runs coaxially inside the corrugated expiratory tubing, allowing for a lower risk of rebreathing of exhaled gases and carbon dioxide."</t>
  </si>
  <si>
    <t>{   "Answer": "C",   "Explain": "The patient's position from lateral to prone position can cause changes in the normal capnogram waveform, resulting in the finding between point A and point B." }</t>
  </si>
  <si>
    <t>{   "Answer": "B",   "Explain": "The patient had a reaction to penicillin, so cefazolin, a penicillin-type antibiotic, should not be administered. Administering hydrocortisone, a glucocorticoid, followed by cefazolin would allow for treatment of the infection while avoiding the patient's allergy."</t>
  </si>
  <si>
    <t>{   "Answer": "A",   "Explain": "Acute cocaine intoxication decreases the MAC of isoflurane, which means that a person experiencing acute cocaine intoxication may be more sensitive to the anesthetic effects of isoflurane and require less of it to achieve the same level of anesthesia." }</t>
  </si>
  <si>
    <t>{   "Answer": "A",   "Explain": "Bupivacaine's primary toxic effect on the cardiovascular system is the blockade of norepinephrine release, which can lead to decreased peripheral resistance, cardiac depression, and even cardiovascular collapse." }</t>
  </si>
  <si>
    <t>{   "Answer": "C",   "Explain": "Hyperthermia causes a rightward shift of the oxyhemoglobin dissociation curve, making it easier for tissues to take up oxygen." }</t>
  </si>
  <si>
    <t>{     "Answer": "B",     "Explain": "In clinical hypothyroidism, the reduced levels of triiodothyronine (T3) and thyroxine (T4) lead to decreased systemic vascular resistance, reduced peripheral vasodilation, and a decrease in cardiac output. Myocardial contractility, on the other hand, is increased, which may not be directly affected by decreased thyroid hormone levels. Therefore, myocardial contractility is not decreased in clinical hypothyroidism."</t>
  </si>
  <si>
    <t>{     "Answer": "A",     "Explain": "Etomidate is the anesthetic drug most likely to be associated with longer seizure duration when used for electroconvulsive therapy. According to the text, etomidate has been associated with grand mal seizures and produces increased EEG activity in epileptogenic foci, which may prolong seizure duration."</t>
  </si>
  <si>
    <t>{   "Answer": "A",   "Explain": "Etomidate is an agonist at the GABA receptor, which means it can enhance the activity of GABA at concentrations associated with clinical doses, as well as directly activate the receptor in higher concentrations. Therefore, it does not not cause decreased activity of the GABA receptor." }</t>
  </si>
  <si>
    <t>{   "Answer": "B",   "Explain": "In a traditional circle system, the CO2 absorber is typically located between the patient and the unidirectional valves, which means it is not'misplaced' in the system. Options A and C, the fresh gas inlet and expiratory valve, respectively, are not correct answers as they are both properly functioning components in the circle system." }</t>
  </si>
  <si>
    <t>{   "Answer": "C",   "Explain": "A large volume of distribution implies that the drug distributes to many tissues and is not bound to blood or plasma proteins, therefore, it has low plasma protein binding."</t>
  </si>
  <si>
    <t>{     "Answer": "B",     "Explain": "Rocuronium has a prolonged duration of action in patients with renal failure due to an increase in volume of distribution with no change in clearance, resulting in the longest duration of action among the given options."</t>
  </si>
  <si>
    <t>{   "Answer": "C",   "Explain": "Instillation of local anesthetic into the trachea via the cricothyroid membrane is most likely to block the Recurrent Laryngeal nerve, which is responsible for sensation from the lower pharynx and the upper part of the larynx, including the glottic surface of the epiglottis and the aryepiglottic folds."</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</si>
  <si>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</si>
  <si>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   "Answer": "A",   "Explain": "The initial reduction in core temperature during general anesthesia is likely due to the ablation of thermoregulatory vasoconstriction, which allows for heat to escape from the body through the skin." }</t>
  </si>
  <si>
    <t>{   "Answer": "A",   "Explain": "The patient's SpO2 decreased from 98% to 84% with an FiO2 of 0.5, indicating that increasing the inspired oxygen may not fully resolve hypoxemia. However, when FiO2 was increased to 1.0, SpO2 improved to 92%. This suggests that hypoxemia was likely caused by a problem that can be overcome with increased oxygen supplementation, such as hypoventilation or ventilation-perfusion mismatch, rather than an issue with room air admixture or decreased FRC." }</t>
  </si>
  <si>
    <t>{   Answer: "B",   "Explain": "The patient has complete anesthesia in the median, radial, and ulnar nerve distributions after a supraclavicular block, which suggests that the nerves were effectively blocked at the distal trunk-proximal division level of the brachial plexus. However, two hours of tourniquet inflation are required for the procedure's completion, indicating that there is still some degree of sensory or motor blockage. Therefore, the most appropriate next step would be to add a block of the axillary nerve, which innervates the deltoid muscle, to provide additional anesthesia for the arm."</t>
  </si>
  <si>
    <t>{   "Answer": "A",   "Explain": "The mechanism primarily responsible for emergence after a single dose of propofol is redistribution, as it takes time for the effects of the drug to wear off and for the individual to transition back to a state of consciousness." }</t>
  </si>
  <si>
    <t>{   "Answer": "A",   "Explain": "After 30 minutes of stable anesthesia, a decrease in the O2 analyzer reading from 50% to 30% is likely caused by oxygen leaking out of the anesthesia machine. The oxygen flow tube could be the source of the leak, resulting in the oxygen flow being delivered downstream of the nitrous oxide, which would decrease the inspired oxygen concentration and cause a hypoxic mixture to be delivered to the patient."</t>
  </si>
  <si>
    <t>{   "Answer": "A",   "Explain": "After an induction dose of ketamine, the patient appears to be in a cataleptic state with intense analgesia and amnesia, despite seeming to be awake, with characteristics such as eyes remaining open with a slow nystagmic gaze, moderate dilation of the pupils, lacrimation, salivation, and an increase in skeletal muscle tone with purposeless movements of the extremities." }</t>
  </si>
  <si>
    <t>{     "Answer": "C",     "Explain": "As compared with an IV dose of morphine, the decreased duration of action of an IV dose of fentanyl is most likely explained by its shorter elimination half-life. Fentanyl is more rapidly metabolized and redistributed to inactive tissue sites, leading to a quicker decrease in plasma concentration, whereas morphine's longer duration of action is due to its slower clearance and distribution half-life."</t>
  </si>
  <si>
    <t>{   "Answer": "A",   "Explain": "The standard error of the mean (SEM) is a measure of the amount of uncertainty there is in estimating the population mean from a sample of data. It is calculated as the standard deviation of the sampling distribution of the sample means. The standard error of the mean is a measure of the precision of the population mean, indicating how close the sample mean is likely to be to the true population mean." }</t>
  </si>
  <si>
    <t>{   "Answer": "B",   "Explain": "Pulse oximetry does not accurately reflect SaO2 in situations of carboxyhemoglobinemia because COHb and O2Hb have similar absorption properties at the light wavelengths used in pulse oximetry, making it difficult to accurately distinguish between the two, resulting in inaccurate readings."</t>
  </si>
  <si>
    <t>{   "Answer": "C",   "Explain": "Given a fasting blood glucose of 100 mg/dL, the patient is already slightly above the normal range. During anesthesia, the patient's glucose level is likely to decrease due to reduced caloric intake and the normal physiologic response to stress, such as increased insulin production. Therefore, mild hypoglycemia (C) is the most likely expected blood glucose concentration on emergence."</t>
  </si>
  <si>
    <t>{   "Answer": "C",   "Explain": "H2 receptor antagonists, such as Ranitidine, increase gastric pH in pregnant women approximately one hour after administration without producing adverse effects." }</t>
  </si>
  <si>
    <t>{   "Answer": "C",   "Explain": "Lower blood gas solubility of nitrous oxide allows for more rapid equilibration of alveolar and inspired concentrations compared to desflurane, which has a higher blood gas solubility." }</t>
  </si>
  <si>
    <t>{   "Answer": "A",   "Explain": "The primary purpose of denitrogenation prior to anesthetic induction is to improve matching of ventilation and perfusion by filling the functional residual capacity with oxygen, thereby increasing the patient's reserve of oxygen while apneic." }</t>
  </si>
  <si>
    <t>{   "Answer": "A",   "Explain": "Injury to the left recurrent laryngeal nerve during thyroidectomy will most likely cause unopposed adduction of the left vocal cord, resulting in adduction of the left vocal cord at rest."</t>
  </si>
  <si>
    <t>{   "Answer": "A",   "Explain": "When a person breathes 100% O2 for 10 minutes, the Pao2 will be increased, which in turn increases the affinity of hemoglobin for O2. This makes it more difficult for O2 to dissociate from hemoglobin in the lung, resulting in a decreased mixed venous oxygen tension. The normal mixed venous PO2 is 40 mm Hg, so it is expected to be below that after breathing 100% O2 for 10 minutes, making option A, 45 mm Hg, the correct answer." }</t>
  </si>
  <si>
    <t>{     "Answer": "A",     "Explain": "According to the provided context, Flumazenil has a very rapid clearance and short elimination half-life, with the latter mentioned to be even shorter than most benzodiazepine receptor agonists. Specifically, it is mentioned that the plasma half-life of flumazenil is approximately 1 hour, which is shorter than that of other benzodiazepines, including midazolam and lorazepam."</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</si>
  <si>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</si>
  <si>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</si>
  <si>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is recommended for anesthesia to the medical aspect of the leg, where it is blocked commonly at the adductor canal, adding to a block with successful high results."</t>
  </si>
  <si>
    <t>Here's a potential reply JSON answer:  {"Answer": "C",  "Explain": "Becasue it appears the patient is experiencing worsening postanesthesia syndrome signs (right upper quadrant abdominal pain and nausea) 30 minutes POST-succinct for lap chole chymia morphinee preme for surgical interventions in the past. Therefore,\na more detailed evaluation and management are necessary."}</t>
  </si>
  <si>
    <t>The answer is {'Answer': "B", "Explain": "Given the situation is emergent, initial management should be aimed at reducing calcium concentrations to a normal range quickly using normal saline to promote blood diuresis and eventually lowering calcium concentrations further."}</t>
  </si>
  <si>
    <t>{ "Answer": "C", "Explain": "This type of testing is referred to as an infusion contraction test, where a biopsy is taken from the affected muscle, and then different anaesthetics can be slowly infused onto the biopsy sample. The results indicate whether the biopsied muscle cells contract excessively in response to exposure to a specific inducing agent (e.g., halothane, caffeine")</t>
  </si>
  <si>
    <t>{   Answer: "A", Explain: "A total of Ø2 is administered at a rate of 100 mL/min through the vaporizer into the gas flow stream. Adding the anesthetic vapor pressure of 150 mmHg into this mixture of Ø2, then setting up Ø2O ml/min 80% of 1001 = 80mm to convert Ø2Hm/hm = °3H.75mlml min 2ml/ml min Øl1mm min2Øm2.   % of this Ø0 ofthis mlfly Øto2o to obtain xØ0."}</t>
  </si>
  <si>
    <t>{ "Answer": "C", "Explain": "Vasoconstriction is the most effective mechanism for maintaining body temperature in an patient with mild hypothermia anestheztiezd with 1MAC of Isoflorane. Given that the physiological defenses against thermal depression are reduced under general anesthesia, other mechanisms like nonshivering thermogenesis and shivering thermogenesis are also impaired to a certain degree and less capable to sustain the normal body temperature." }</t>
  </si>
  <si>
    <t>{   "Answer": "B",   "Explain": "“it probably higher than [sic, likely means ‘than those of’] and vice versa", which means that flumazenil binds only to midazole but may not sufficienty antagonize them resulting further prolongation of anesthesia which makes patient hospitalisation is still required"}</t>
  </si>
  <si>
    <t>None</t>
  </si>
  <si>
    <t>{ "Noah\n" = B</t>
  </si>
  <si>
    <t>{ "Answer": B, "Explain": "Administering furosemide (Lasix) would be the most appropriate management strategy to treat the pulmonary edema at this point. This option addresses the possible cause of the pulmonary edema related to residual lung damage, especially given the young age of the patient. Additionally, postobstructive pulmonary edema (PNPE) is likely given that the boy suffered laryngospasm following the resolution of airway obstruction." }</t>
  </si>
  <si>
    <t>{   "Answer": "B",   "Explain": "Forty-five minutes after surgical instrumentation began, the emergence time,  angina pectoris is usually reported within the first few minutes of spinal injection." }</t>
  </si>
  <si>
    <t>|{   "Answer": "C",   "Explain\": "During the 15-minute period after induction, the SP02 decreased from 99% to 90% with PEEpi2 increasing from 38 to 43 mmHg, 3. A constant Fi02 was maintained, ruling-out the likelihood of a cardiopulmonary embolism (CHO2). There is also evidence of the 20-minute tube being in the esopagus, tracheal tube movement dislodgement syndrome: The patient. Based on a sudden decrease in patient COOe (50-80). Given the evidence, this is a situation requiring the 90, indicating that 10-15mmhg increases above normal (37) as, for instance.)\".</t>
  </si>
  <si>
    <t>{ _x0001_"Answer": "B", _x0001_"Explain": "Because alveolar hypoventilation can cause even normotopic lungs with air filled alveolaeros to fail  transport enough amount of oxygen (due to the resulting mismatch in their rate of CO 2 removal from venousblood. Normal lungs that are supplied with normocapoticaemia hypoxia will requirea supplementary oxygen in both a physiological manner anda a diagnosticaid" }</t>
  </si>
  <si>
    <t>{   Answer: A.,   Explain: "Pressure-support breaths in patients receiving pressure support ventilation are not triggered by changes in airway pressure or inspiratory flow rate, but rather by preset internal set points within machines programmed by intensivists or physicians prior to clinical use."</t>
  </si>
  <si>
    <t>{   "Answer" : "B",   "Explain" : "Decreasing the severity of the increased myocardial oxygen demand, therefore satisfying it with C. If only one pressure drops the supply pressure, that might make matters worse and do the  heart injury or more O( sub O2). Decreased resistance isn\'t the reason here due t'"</t>
  </si>
  <si>
    <t>{ "Answer": B, "Exexplain": When evaluating synthetic liver function, serum albumin measures quantitative and metabolic liver function. A prothrombin time measurement tests for intrinsic coagulant factors, evaluating both liver synthetic and quantitative liver function deficiencies. A lower coagulation protein value such "factor level below 80 percentage" typically reveals functional heparinic hepatic damage; for comparison, albumin deficiency can manifest as serum albumin within lower range levels. Liver-derived protein loss may affect the liver.</t>
  </si>
  <si>
    <t>Here is your required answer in a JSON format:   {"Answer": "B",   "Explanaton": "ECG syncrhonization, denoted as option B is best for preventing ventricular dysrythmias during extracorporeal shock wave lithotripsy."}</t>
  </si>
  <si>
    <t>Here is his response:  The chosen question is an objective one requesting information found in this passage’s documentation in the provided book that we learned on from class. As per our studies from a past lesson this particular paragraph provided will likely be relevant that might contain an explanation what Bain. In addition, we are presented in the table of Contents for an interesting variety of related to breathing techniques system. Comparered by and closed circles circuit exhibits and are:  -     Less carbon dioxide re-circulating. -       This answer explains that a, or even as an easier alternative) that shows less. One might also point more    fast-changing   within the  {"Answer":A,"Explain":  A comparison by  system and or circle with a faster, also it changes  for CO."};</t>
  </si>
  <si>
    <t>{ "Answer": "C", "Explain": "The most reasonable and accurate explanation for the findings between A and B (point to point in time on the chart) is attributed to 'Patient position', as in Fig. 41.11 during controlled mechanical ventilation (Figure B), note was made of increased upslopeduce of Phase II during surgery but with lap patient was in the recumbent/sitting position compared with the lateral recumbent position, this would most likely cause the capnografhic results."}</t>
  </si>
  <si>
    <t>{     Article: A,   Explain: "It would be the most appropriate for the anesthesiologist to delay the administration of cefazolin, at least 15 to 20 minutes after the administration of cefaloglycin for at least an hour as recommended to ensure there is minimal chance for any histamine release".}</t>
  </si>
  <si>
    <t>{       "Answer": "C",        "Explain":  "Hyponatremia is included in the list of factors that decrease the minimum alveolar concentration (MAC). So, Option C, which refers to Hypososothiaemic anaemia hypertimaria hypothermia hypovolia oedymia paravoaemia pleonasma rheoednia" is the chosen answer and the correct answer due to chronic eethanol abuse, symphotometricaemia. }</t>
  </si>
  <si>
    <t>Here in a JSON format is an answer based on provided evidence: {   "Answer": "A",    "Extract": As highlighted, cardiac toxicity induced by bupivacaine, unlike lidocaine seems to involve blockade of the norepinephrine release within the presynpetic junctions or a central location, thereby contributing to bradycar\'dia in patients.</t>
  </si>
  <si>
    <t>Here is the provided answer in JSON format:  {   "Answer": "C",   "Explain": "Hyperthermia causes a rightward shift in the oxyhemoglobin dissociation curve, making for easier delivery of oxygen to the tissues." }</t>
  </si>
  <si>
    <t>{ Answer: "B", `Explain: "In patients with clinical hypothyroidism, heart dysfunction occurs, which could affect myocardial contractility, but less so." }</t>
  </si>
  <si>
    <t>{     "Answer": "A",     "Explain":  "Atopicate has been reported to cause human seizures in electroconvualsives patients, although the duration of its effects were in seizures when it is taken for therapy.Etomet is more likely associated with long seizure disorders. "   (Here we have stated our answer as A which matches best with the explanation about human cases who are associated with the prolongs their seizures. However, this sentence will seem weird and the logic should be improved and re-worded, since "atopicate" was given and the main point remains about "etomidate causing se..e").")</t>
  </si>
  <si>
    <t>Here is your request written formally in question,answer Json.     What does of  does Not     for?         "The      does      the".)         {"Anss wer ": B,                       &amp;  }</t>
  </si>
  <si>
    <t>{     Answer: "B",     "Explain": "According to the context, the circle system shown includes the fresh gas inlet, expiratory valve, and CO2 absorber. However, the problem is stating that one component is misplaced, and out of these, B. CO2 absorber, makes the most sense to answer because according to Figure 15-9 which shows the circular flow of a traditional circle system, CO2 absorber is downstream compared to the expirary value, which is one common and usual positioning. It would not explain the correct flow of O2 or any breathing circuit without such assumption."}  However, I don't find any conclusive clue in the provided context. Hence the answer should be marked as unkown.</t>
  </si>
  <si>
    <t>{   Answer: B,   "Explain": "The large volume of distribution implies that the drug distributes itself throughout the body tissues. As highlighted in the literature extract from 'Miller's Anesthesia', typical anesthetics are hydrophobic, therefore exhibit high partitioning in tissues high in lipid content. High lipid solubility is associated with a larger volume of distribution because the molecule is more easily dispersed in the fat and adipose tissues, expanding its exposure targets, thereby increasing distribution volume." }</t>
  </si>
  <si>
    <t>{ "struct Answers" : {"Answer" -&gt; "B",     :"Explaination"in "'Rivarium, there might explain for a shorter duration action in anephric  (pats"</t>
  </si>
  <si>
    <t>Here's my answer as a JSON string:  { _x0001_"Answer": "C", _x0001_"Explain": "'In Instillation of local anesthetics are inserted into the Cricothyelial incision, and Instillation or Sprays through ET tubes may also be anesthetic." }</t>
  </si>
  <si>
    <t>{   Answer: A,   "Explain": "Gagging that is known to occur during awake intubation involves activation of the superior laryngeal reflex response, which is mediated by blockade of bilateral superior laryngeal nerves. Preventing such blockage by means of localized anaesthesia is considered an option in this respect, especially for conscious fibreoptic bronchoscopies. Hence, applying local anaesthesia in certain parts of the body to prevent stimulation of various bodily glands and tissues." }</t>
  </si>
  <si>
    <t>{   "Answer": "A",   "Explain": "Under general anesthesia, initial core core temperatures can reduce because of the cessation of various forms of thermoregulatory muscle vasotronic, which contribute to shivering-induced heat generation. These vasomotor responses, which help maintain normal body temperature during conscious wakefulness, are often inhibited directly or indirectly by anesthetics substances" }</t>
  </si>
  <si>
    <t>Here is a JSON object representing my answer:  {   "Answer": B,   "Explain": "Although it wouldn't change PaO2 to completely remedy this case given that ventilations volume is limited by flow rate, which is being supplemented correctly with O2, the decrease in PaO2 still suggests a decrease in alveolian diffusion for CO2 and excess FiO used should effectively improve it. The text does recommend FiO = 1; So it should not be confused initially or so you should only explain."</t>
  </si>
  <si>
    <t>{         "Answer": "A",         "Explain"s: "The patient already has complete anesthesia in median, radial, and ulnar nerve distribution, but additional numbness cannot be achieved by interruptive techniques, making an attempt to identify and access the unaffected nerves that control respiratory, circulatory pressure at the level of axillary, therefore attempting suprageniculate block."</t>
  </si>
  <si>
    <t>{ "Answer": A, "Explain": "The semi-structured interview also mentioned that a significant drop off in emergence after a single propfol dos" }</t>
  </si>
  <si>
    <t>{   "Answer": "A',   "Explain": 'When no oxygen flow is detected by the anesthetic's monitoring unit for 4 times to a continuous momentary event, the fail-safe value triggers safety valve "lock-out time" until flow of main gas ceasing."</t>
  </si>
  <si>
    <t>" Answer': A, Explain: "After an induction dose of ketamine, patients with seemingly open eyes, a slow nystagmic gaze as well as continued cough, swallowing, and ocular reflexes, as the patient has a deep relaxation, significant analgesia, and eventually complete amnesia. Their purposeless and apparently coordinated motions of extreme, making induction medicines such as ketamine provide extremely powerful analys in subjects while having the look or action."</t>
  </si>
  <si>
    <t>{   "Answer": "A",   "Explain": "Fentanyl's greater lipid solubility allows for quicker crossing of the blood-brain barrier, giving it a shorter duration of action compared to morphine." }</t>
  </si>
  <si>
    <t>{   Answer: "A",   "Explain": "The standard error of the mean (SEM) shows the precision of the population mean, which gives the idea of how consistently the observations would deviate from their mean value." }</t>
  </si>
  <si>
    <t>{ "Answer": ABC, "Explain": "None of these (A), (B) or (C) option, as pulse oximetry accurately reflects SaO2, specifically designed pulse oximeter, not Indocynamaine green (choice A). Similarly, it does not work accurately in carbon monoxide poisoning or a carboxyhemoglobinemia (choice B). Pulse oximeter uses empirical cal-culations through calibration curves against known oxy-hbgemoglobin ratios as patients' oxy-genta-ion patterns.</t>
  </si>
  <si>
    <t>Here will take a step-by-by explanation.  Answer:  JSON formatted response as it is requested. Here's with in and:   {  Answer:C  Explain:"Prior  and the operation  on that a single   so hypovemia  so is mild hypoglycemia".</t>
  </si>
  <si>
    <t>{   "Answer": "C",   "Explain": "P2Y receptors are stimulated by cholinesterase inhibitors to facilitate fastening while being managed. This would include that of cholinestase."</t>
  </si>
  <si>
    <t>{   "Answer": C,   "Explain": "Nitrous oxide's alveolar and inspired concentrations equibrate more rapidly because of its low soluble solubility in blood which allow a prompt and larger amount of N2O to dissolve rapidly into a relatively small plasma volume making for equalization without requiring the significant dissolving in and out blood and other tissues as seen in cases like higher- blood-solubleness options" }</t>
  </si>
  <si>
    <t>{ "Answer: A, "Explan": "Improving matching of ventilation and perfusion" }  Note: Step-by-step, preoxygenation aims to "prevent oxygen desaturation" until the patient is effectively reintubulated, which can increase the safe margin during apnea periods resulting from apnea-hypoxia.</t>
  </si>
  <si>
    <t>{   "Answer": "A",   "Explain": "Following bilateral RLN (recurrent laryngeal nerve) injury, unopposed abduction and positioning of the two cords to cause stridor and lead, l,  larynge. Hence, abduction cannot occur in rest. }</t>
  </si>
  <si>
    <t>{ "Answer": B, "Explain": "When anesthetic gas, 10% oxygen, is administered to the client with normal gas mixture, due to its high FiO2, mixed dissolved partial blood pressure and metabolic alkalinesis normally present no difference, showing no change Pa02, as in previous references." }</t>
  </si>
  <si>
    <t>{   "Answer": "A",    "Explain": "Flumazenil is described in this context as 'a short-lived compound.... Rapid-clearance and short elimination half-life.' Moreover, in another passage it is explicitly stated that it 'is about 1 hour—it is as the short lived of all benzodiazepines used in anesthetic.' This indicates that compared to other medications, such as diazepam and midazolam shown in the provided table, including values ranging from about 20-50 minutes to 1.79-3.67 hours respectively, the elimination half-Life of flumazenil is indeed the shortest among the options, at approximately 1 hour, confirming 'A' as the correctly answers." } Trie the assistant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</si>
</sst>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33</v>
      </c>
      <c r="C5" s="14">
        <f t="shared" si="1"/>
        <v>30</v>
      </c>
      <c r="D5" s="14">
        <f t="shared" si="1"/>
        <v>30</v>
      </c>
      <c r="E5" s="14">
        <f t="shared" si="1"/>
        <v>30</v>
      </c>
      <c r="F5" s="14">
        <f t="shared" si="1"/>
        <v>30</v>
      </c>
      <c r="G5" s="14">
        <f t="shared" si="1"/>
        <v>24</v>
      </c>
      <c r="H5" s="14">
        <f t="shared" si="1"/>
        <v>30</v>
      </c>
      <c r="I5" s="14">
        <f t="shared" si="1"/>
        <v>27</v>
      </c>
      <c r="J5" s="14">
        <f t="shared" si="1"/>
        <v>26</v>
      </c>
    </row>
    <row r="6">
      <c r="A6" s="13" t="s">
        <v>14</v>
      </c>
      <c r="B6" s="13">
        <v>46.0</v>
      </c>
      <c r="C6" s="13">
        <v>46.0</v>
      </c>
      <c r="D6" s="13">
        <v>46.0</v>
      </c>
      <c r="E6" s="13">
        <v>46.0</v>
      </c>
      <c r="F6" s="13">
        <v>46.0</v>
      </c>
      <c r="G6" s="13">
        <v>46.0</v>
      </c>
      <c r="H6" s="13">
        <v>46.0</v>
      </c>
      <c r="I6" s="13">
        <v>46.0</v>
      </c>
      <c r="J6" s="13">
        <v>46.0</v>
      </c>
    </row>
    <row r="7">
      <c r="A7" s="15" t="s">
        <v>15</v>
      </c>
      <c r="B7" s="16">
        <f t="shared" ref="B7:J7" si="2">B5/B6</f>
        <v>0.7173913043</v>
      </c>
      <c r="C7" s="16">
        <f t="shared" si="2"/>
        <v>0.652173913</v>
      </c>
      <c r="D7" s="17">
        <f t="shared" si="2"/>
        <v>0.652173913</v>
      </c>
      <c r="E7" s="17">
        <f t="shared" si="2"/>
        <v>0.652173913</v>
      </c>
      <c r="F7" s="17">
        <f t="shared" si="2"/>
        <v>0.652173913</v>
      </c>
      <c r="G7" s="17">
        <f t="shared" si="2"/>
        <v>0.5217391304</v>
      </c>
      <c r="H7" s="17">
        <f t="shared" si="2"/>
        <v>0.652173913</v>
      </c>
      <c r="I7" s="17">
        <f t="shared" si="2"/>
        <v>0.5869565217</v>
      </c>
      <c r="J7" s="17">
        <f t="shared" si="2"/>
        <v>0.5652173913</v>
      </c>
      <c r="K7" s="18"/>
    </row>
    <row r="8">
      <c r="A8" s="19">
        <v>1.0</v>
      </c>
      <c r="B8" s="20" t="s">
        <v>16</v>
      </c>
      <c r="C8" s="21" t="s">
        <v>16</v>
      </c>
      <c r="D8" s="22" t="s">
        <v>16</v>
      </c>
      <c r="E8" s="23" t="s">
        <v>16</v>
      </c>
      <c r="F8" s="23" t="s">
        <v>16</v>
      </c>
      <c r="G8" s="23" t="s">
        <v>17</v>
      </c>
      <c r="H8" s="24" t="s">
        <v>16</v>
      </c>
      <c r="I8" s="23" t="s">
        <v>16</v>
      </c>
      <c r="J8" s="23" t="s">
        <v>16</v>
      </c>
    </row>
    <row r="9">
      <c r="A9" s="19">
        <v>2.0</v>
      </c>
      <c r="B9" s="20" t="s">
        <v>16</v>
      </c>
      <c r="C9" s="21" t="s">
        <v>16</v>
      </c>
      <c r="D9" s="25" t="s">
        <v>16</v>
      </c>
      <c r="E9" s="26" t="s">
        <v>16</v>
      </c>
      <c r="F9" s="26" t="s">
        <v>16</v>
      </c>
      <c r="G9" s="26" t="s">
        <v>17</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17</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17</v>
      </c>
      <c r="H15" s="27" t="s">
        <v>16</v>
      </c>
      <c r="I15" s="26" t="s">
        <v>17</v>
      </c>
      <c r="J15" s="26" t="s">
        <v>17</v>
      </c>
    </row>
    <row r="16">
      <c r="A16" s="19">
        <v>9.0</v>
      </c>
      <c r="B16" s="20" t="s">
        <v>16</v>
      </c>
      <c r="C16" s="21" t="s">
        <v>17</v>
      </c>
      <c r="D16" s="25" t="s">
        <v>16</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16</v>
      </c>
      <c r="H17" s="27" t="s">
        <v>16</v>
      </c>
      <c r="I17" s="26" t="s">
        <v>16</v>
      </c>
      <c r="J17" s="26" t="s">
        <v>16</v>
      </c>
    </row>
    <row r="18">
      <c r="A18" s="19">
        <v>11.0</v>
      </c>
      <c r="B18" s="20" t="s">
        <v>16</v>
      </c>
      <c r="C18" s="21" t="s">
        <v>16</v>
      </c>
      <c r="D18" s="25" t="s">
        <v>16</v>
      </c>
      <c r="E18" s="26" t="s">
        <v>16</v>
      </c>
      <c r="F18" s="26" t="s">
        <v>16</v>
      </c>
      <c r="G18" s="26" t="s">
        <v>16</v>
      </c>
      <c r="H18" s="27" t="s">
        <v>16</v>
      </c>
      <c r="I18" s="26" t="s">
        <v>16</v>
      </c>
      <c r="J18" s="26" t="s">
        <v>16</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16</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16</v>
      </c>
    </row>
    <row r="27">
      <c r="A27" s="19">
        <v>20.0</v>
      </c>
      <c r="B27" s="20" t="s">
        <v>17</v>
      </c>
      <c r="C27" s="21" t="s">
        <v>17</v>
      </c>
      <c r="D27" s="25" t="s">
        <v>17</v>
      </c>
      <c r="E27" s="26" t="s">
        <v>17</v>
      </c>
      <c r="F27" s="26" t="s">
        <v>17</v>
      </c>
      <c r="G27" s="26" t="s">
        <v>17</v>
      </c>
      <c r="H27" s="27" t="s">
        <v>17</v>
      </c>
      <c r="I27" s="26" t="s">
        <v>17</v>
      </c>
      <c r="J27" s="26" t="s">
        <v>16</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17</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17</v>
      </c>
      <c r="H32" s="27" t="s">
        <v>17</v>
      </c>
      <c r="I32" s="26" t="s">
        <v>17</v>
      </c>
      <c r="J32" s="26" t="s">
        <v>16</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17</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17</v>
      </c>
    </row>
    <row r="40">
      <c r="A40" s="19">
        <v>33.0</v>
      </c>
      <c r="B40" s="20" t="s">
        <v>16</v>
      </c>
      <c r="C40" s="21" t="s">
        <v>16</v>
      </c>
      <c r="D40" s="25" t="s">
        <v>16</v>
      </c>
      <c r="E40" s="26" t="s">
        <v>16</v>
      </c>
      <c r="F40" s="26" t="s">
        <v>16</v>
      </c>
      <c r="G40" s="26" t="s">
        <v>17</v>
      </c>
      <c r="H40" s="27" t="s">
        <v>16</v>
      </c>
      <c r="I40" s="26" t="s">
        <v>16</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17</v>
      </c>
      <c r="C42" s="21" t="s">
        <v>17</v>
      </c>
      <c r="D42" s="25" t="s">
        <v>17</v>
      </c>
      <c r="E42" s="26" t="s">
        <v>17</v>
      </c>
      <c r="F42" s="26" t="s">
        <v>17</v>
      </c>
      <c r="G42" s="26" t="s">
        <v>17</v>
      </c>
      <c r="H42" s="27" t="s">
        <v>17</v>
      </c>
      <c r="I42" s="26" t="s">
        <v>17</v>
      </c>
      <c r="J42" s="26" t="s">
        <v>17</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16</v>
      </c>
      <c r="E47" s="26" t="s">
        <v>16</v>
      </c>
      <c r="F47" s="26" t="s">
        <v>16</v>
      </c>
      <c r="G47" s="26" t="s">
        <v>17</v>
      </c>
      <c r="H47" s="27" t="s">
        <v>16</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16</v>
      </c>
      <c r="H49" s="27" t="s">
        <v>17</v>
      </c>
      <c r="I49" s="26" t="s">
        <v>17</v>
      </c>
      <c r="J49" s="26" t="s">
        <v>17</v>
      </c>
    </row>
    <row r="50">
      <c r="A50" s="19">
        <v>43.0</v>
      </c>
      <c r="B50" s="20" t="s">
        <v>16</v>
      </c>
      <c r="C50" s="21" t="s">
        <v>16</v>
      </c>
      <c r="D50" s="25" t="s">
        <v>17</v>
      </c>
      <c r="E50" s="26" t="s">
        <v>16</v>
      </c>
      <c r="F50" s="26" t="s">
        <v>16</v>
      </c>
      <c r="G50" s="26" t="s">
        <v>17</v>
      </c>
      <c r="H50" s="27" t="s">
        <v>16</v>
      </c>
      <c r="I50" s="26" t="s">
        <v>17</v>
      </c>
      <c r="J50" s="26" t="s">
        <v>17</v>
      </c>
    </row>
    <row r="51">
      <c r="A51" s="19">
        <v>44.0</v>
      </c>
      <c r="B51" s="20" t="s">
        <v>16</v>
      </c>
      <c r="C51" s="21" t="s">
        <v>16</v>
      </c>
      <c r="D51" s="25" t="s">
        <v>16</v>
      </c>
      <c r="E51" s="26" t="s">
        <v>16</v>
      </c>
      <c r="F51" s="26" t="s">
        <v>16</v>
      </c>
      <c r="G51" s="26" t="s">
        <v>16</v>
      </c>
      <c r="H51" s="27" t="s">
        <v>16</v>
      </c>
      <c r="I51" s="26" t="s">
        <v>16</v>
      </c>
      <c r="J51" s="26" t="s">
        <v>16</v>
      </c>
    </row>
    <row r="52">
      <c r="A52" s="19">
        <v>45.0</v>
      </c>
      <c r="B52" s="20" t="s">
        <v>16</v>
      </c>
      <c r="C52" s="21" t="s">
        <v>16</v>
      </c>
      <c r="D52" s="25" t="s">
        <v>16</v>
      </c>
      <c r="E52" s="26" t="s">
        <v>16</v>
      </c>
      <c r="F52" s="26" t="s">
        <v>16</v>
      </c>
      <c r="G52" s="26" t="s">
        <v>16</v>
      </c>
      <c r="H52" s="27" t="s">
        <v>16</v>
      </c>
      <c r="I52" s="26" t="s">
        <v>16</v>
      </c>
      <c r="J52" s="26" t="s">
        <v>17</v>
      </c>
    </row>
    <row r="53">
      <c r="A53" s="19">
        <v>46.0</v>
      </c>
      <c r="B53" s="28" t="s">
        <v>16</v>
      </c>
      <c r="C53" s="21" t="s">
        <v>16</v>
      </c>
      <c r="D53" s="29" t="s">
        <v>16</v>
      </c>
      <c r="E53" s="30" t="s">
        <v>16</v>
      </c>
      <c r="F53" s="30" t="s">
        <v>16</v>
      </c>
      <c r="G53" s="30" t="s">
        <v>16</v>
      </c>
      <c r="H53" s="31" t="s">
        <v>16</v>
      </c>
      <c r="I53" s="30" t="s">
        <v>16</v>
      </c>
      <c r="J53" s="30" t="s">
        <v>16</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27533.0</v>
      </c>
    </row>
    <row r="5" ht="60.0" customHeight="1">
      <c r="A5" s="39">
        <v>2.0</v>
      </c>
      <c r="B5" s="40" t="s">
        <v>38</v>
      </c>
      <c r="C5" s="40" t="s">
        <v>39</v>
      </c>
      <c r="D5" s="40" t="s">
        <v>40</v>
      </c>
      <c r="E5" s="40" t="s">
        <v>41</v>
      </c>
      <c r="F5" s="39" t="str">
        <f t="shared" si="1"/>
        <v>CORRECT</v>
      </c>
      <c r="G5" s="39" t="s">
        <v>42</v>
      </c>
      <c r="H5" s="43" t="s">
        <v>42</v>
      </c>
      <c r="I5" s="42" t="s">
        <v>43</v>
      </c>
      <c r="J5" s="41">
        <v>42339.0</v>
      </c>
    </row>
    <row r="6" ht="60.0" customHeight="1">
      <c r="A6" s="39">
        <v>3.0</v>
      </c>
      <c r="B6" s="40" t="s">
        <v>44</v>
      </c>
      <c r="C6" s="40" t="s">
        <v>45</v>
      </c>
      <c r="D6" s="40" t="s">
        <v>46</v>
      </c>
      <c r="E6" s="40" t="s">
        <v>47</v>
      </c>
      <c r="F6" s="39" t="str">
        <f t="shared" si="1"/>
        <v>CORRECT</v>
      </c>
      <c r="G6" s="39" t="s">
        <v>48</v>
      </c>
      <c r="H6" s="41" t="s">
        <v>48</v>
      </c>
      <c r="I6" s="42" t="s">
        <v>49</v>
      </c>
      <c r="J6" s="41">
        <v>31906.0</v>
      </c>
    </row>
    <row r="7" ht="60.0" customHeight="1">
      <c r="A7" s="39">
        <v>4.0</v>
      </c>
      <c r="B7" s="40" t="s">
        <v>50</v>
      </c>
      <c r="C7" s="40" t="s">
        <v>51</v>
      </c>
      <c r="D7" s="40" t="s">
        <v>52</v>
      </c>
      <c r="E7" s="40" t="s">
        <v>53</v>
      </c>
      <c r="F7" s="39" t="str">
        <f t="shared" si="1"/>
        <v>CORRECT</v>
      </c>
      <c r="G7" s="39" t="s">
        <v>42</v>
      </c>
      <c r="H7" s="41" t="s">
        <v>42</v>
      </c>
      <c r="I7" s="42" t="s">
        <v>54</v>
      </c>
      <c r="J7" s="41">
        <v>23142.0</v>
      </c>
    </row>
    <row r="8" ht="60.0" customHeight="1">
      <c r="A8" s="39">
        <v>5.0</v>
      </c>
      <c r="B8" s="40" t="s">
        <v>55</v>
      </c>
      <c r="C8" s="40" t="s">
        <v>56</v>
      </c>
      <c r="D8" s="40" t="s">
        <v>57</v>
      </c>
      <c r="E8" s="40" t="s">
        <v>58</v>
      </c>
      <c r="F8" s="39" t="str">
        <f t="shared" si="1"/>
        <v>CORRECT</v>
      </c>
      <c r="G8" s="39" t="s">
        <v>48</v>
      </c>
      <c r="H8" s="43" t="s">
        <v>48</v>
      </c>
      <c r="I8" s="42" t="s">
        <v>59</v>
      </c>
      <c r="J8" s="41">
        <v>40351.0</v>
      </c>
    </row>
    <row r="9" ht="60.0" customHeight="1">
      <c r="A9" s="39">
        <v>6.0</v>
      </c>
      <c r="B9" s="40" t="s">
        <v>60</v>
      </c>
      <c r="C9" s="40" t="s">
        <v>61</v>
      </c>
      <c r="D9" s="40" t="s">
        <v>62</v>
      </c>
      <c r="E9" s="40" t="s">
        <v>63</v>
      </c>
      <c r="F9" s="39" t="str">
        <f t="shared" si="1"/>
        <v>CORRECT</v>
      </c>
      <c r="G9" s="39" t="s">
        <v>42</v>
      </c>
      <c r="H9" s="41" t="s">
        <v>42</v>
      </c>
      <c r="I9" s="42" t="s">
        <v>64</v>
      </c>
      <c r="J9" s="41">
        <v>36499.0</v>
      </c>
    </row>
    <row r="10" ht="60.0" customHeight="1">
      <c r="A10" s="39">
        <v>7.0</v>
      </c>
      <c r="B10" s="40" t="s">
        <v>65</v>
      </c>
      <c r="C10" s="40" t="s">
        <v>66</v>
      </c>
      <c r="D10" s="40" t="s">
        <v>67</v>
      </c>
      <c r="E10" s="40" t="s">
        <v>68</v>
      </c>
      <c r="F10" s="39" t="str">
        <f t="shared" si="1"/>
        <v>CORRECT</v>
      </c>
      <c r="G10" s="39" t="s">
        <v>42</v>
      </c>
      <c r="H10" s="41" t="s">
        <v>42</v>
      </c>
      <c r="I10" s="42" t="s">
        <v>69</v>
      </c>
      <c r="J10" s="41">
        <v>26769.0</v>
      </c>
    </row>
    <row r="11" ht="60.0" customHeight="1">
      <c r="A11" s="39">
        <v>8.0</v>
      </c>
      <c r="B11" s="40" t="s">
        <v>70</v>
      </c>
      <c r="C11" s="40" t="s">
        <v>71</v>
      </c>
      <c r="D11" s="40" t="s">
        <v>72</v>
      </c>
      <c r="E11" s="40" t="s">
        <v>73</v>
      </c>
      <c r="F11" s="39" t="str">
        <f t="shared" si="1"/>
        <v>CORRECT</v>
      </c>
      <c r="G11" s="39" t="s">
        <v>48</v>
      </c>
      <c r="H11" s="41" t="s">
        <v>48</v>
      </c>
      <c r="I11" s="42" t="s">
        <v>74</v>
      </c>
      <c r="J11" s="41">
        <v>30728.0</v>
      </c>
    </row>
    <row r="12" ht="60.0" customHeight="1">
      <c r="A12" s="39">
        <v>9.0</v>
      </c>
      <c r="B12" s="40" t="s">
        <v>75</v>
      </c>
      <c r="C12" s="40" t="s">
        <v>76</v>
      </c>
      <c r="D12" s="40" t="s">
        <v>77</v>
      </c>
      <c r="E12" s="40" t="s">
        <v>78</v>
      </c>
      <c r="F12" s="39" t="str">
        <f t="shared" si="1"/>
        <v>CORRECT</v>
      </c>
      <c r="G12" s="39" t="s">
        <v>42</v>
      </c>
      <c r="H12" s="41" t="s">
        <v>42</v>
      </c>
      <c r="I12" s="42" t="s">
        <v>79</v>
      </c>
      <c r="J12" s="41">
        <v>28596.0</v>
      </c>
    </row>
    <row r="13" ht="60.0" customHeight="1">
      <c r="A13" s="39">
        <v>10.0</v>
      </c>
      <c r="B13" s="40" t="s">
        <v>80</v>
      </c>
      <c r="C13" s="40" t="s">
        <v>81</v>
      </c>
      <c r="D13" s="40" t="s">
        <v>82</v>
      </c>
      <c r="E13" s="40" t="s">
        <v>83</v>
      </c>
      <c r="F13" s="39" t="str">
        <f t="shared" si="1"/>
        <v>CORRECT</v>
      </c>
      <c r="G13" s="39" t="s">
        <v>48</v>
      </c>
      <c r="H13" s="41" t="s">
        <v>48</v>
      </c>
      <c r="I13" s="42" t="s">
        <v>84</v>
      </c>
      <c r="J13" s="41">
        <v>36929.0</v>
      </c>
    </row>
    <row r="14" ht="60.0" customHeight="1">
      <c r="A14" s="39">
        <v>11.0</v>
      </c>
      <c r="B14" s="40" t="s">
        <v>85</v>
      </c>
      <c r="C14" s="40" t="s">
        <v>86</v>
      </c>
      <c r="D14" s="40" t="s">
        <v>87</v>
      </c>
      <c r="E14" s="40" t="s">
        <v>88</v>
      </c>
      <c r="F14" s="39" t="str">
        <f t="shared" si="1"/>
        <v>CORRECT</v>
      </c>
      <c r="G14" s="39" t="s">
        <v>42</v>
      </c>
      <c r="H14" s="43" t="s">
        <v>42</v>
      </c>
      <c r="I14" s="42" t="s">
        <v>89</v>
      </c>
      <c r="J14" s="41">
        <v>47635.0</v>
      </c>
    </row>
    <row r="15" ht="60.0" customHeight="1">
      <c r="A15" s="39">
        <v>12.0</v>
      </c>
      <c r="B15" s="40" t="s">
        <v>90</v>
      </c>
      <c r="C15" s="40" t="s">
        <v>91</v>
      </c>
      <c r="D15" s="40" t="s">
        <v>92</v>
      </c>
      <c r="E15" s="40" t="s">
        <v>93</v>
      </c>
      <c r="F15" s="39" t="str">
        <f t="shared" si="1"/>
        <v>CORRECT</v>
      </c>
      <c r="G15" s="39" t="s">
        <v>48</v>
      </c>
      <c r="H15" s="43" t="s">
        <v>48</v>
      </c>
      <c r="I15" s="42" t="s">
        <v>94</v>
      </c>
      <c r="J15" s="41">
        <v>34234.0</v>
      </c>
    </row>
    <row r="16" ht="60.0" customHeight="1">
      <c r="A16" s="39">
        <v>13.0</v>
      </c>
      <c r="B16" s="40" t="s">
        <v>95</v>
      </c>
      <c r="C16" s="40" t="s">
        <v>96</v>
      </c>
      <c r="D16" s="40" t="s">
        <v>97</v>
      </c>
      <c r="E16" s="40" t="s">
        <v>98</v>
      </c>
      <c r="F16" s="39" t="str">
        <f t="shared" si="1"/>
        <v>CORRECT</v>
      </c>
      <c r="G16" s="39" t="s">
        <v>36</v>
      </c>
      <c r="H16" s="41" t="s">
        <v>36</v>
      </c>
      <c r="I16" s="42" t="s">
        <v>99</v>
      </c>
      <c r="J16" s="41">
        <v>27056.0</v>
      </c>
    </row>
    <row r="17" ht="60.0" customHeight="1">
      <c r="A17" s="39">
        <v>14.0</v>
      </c>
      <c r="B17" s="40" t="s">
        <v>100</v>
      </c>
      <c r="C17" s="40" t="s">
        <v>101</v>
      </c>
      <c r="D17" s="40" t="s">
        <v>102</v>
      </c>
      <c r="E17" s="40" t="s">
        <v>103</v>
      </c>
      <c r="F17" s="39" t="str">
        <f t="shared" si="1"/>
        <v>CORRECT</v>
      </c>
      <c r="G17" s="39" t="s">
        <v>36</v>
      </c>
      <c r="H17" s="41" t="s">
        <v>36</v>
      </c>
      <c r="I17" s="42" t="s">
        <v>104</v>
      </c>
      <c r="J17" s="41">
        <v>34387.0</v>
      </c>
    </row>
    <row r="18" ht="60.0" customHeight="1">
      <c r="A18" s="39">
        <v>15.0</v>
      </c>
      <c r="B18" s="40" t="s">
        <v>105</v>
      </c>
      <c r="C18" s="40" t="s">
        <v>106</v>
      </c>
      <c r="D18" s="40" t="s">
        <v>107</v>
      </c>
      <c r="E18" s="40" t="s">
        <v>108</v>
      </c>
      <c r="F18" s="39" t="str">
        <f t="shared" si="1"/>
        <v>CORRECT</v>
      </c>
      <c r="G18" s="39" t="s">
        <v>48</v>
      </c>
      <c r="H18" s="43" t="s">
        <v>48</v>
      </c>
      <c r="I18" s="42" t="s">
        <v>109</v>
      </c>
      <c r="J18" s="41">
        <v>41324.0</v>
      </c>
    </row>
    <row r="19" ht="60.0" customHeight="1">
      <c r="A19" s="39">
        <v>16.0</v>
      </c>
      <c r="B19" s="40" t="s">
        <v>110</v>
      </c>
      <c r="C19" s="40" t="s">
        <v>111</v>
      </c>
      <c r="D19" s="40" t="s">
        <v>112</v>
      </c>
      <c r="E19" s="40" t="s">
        <v>113</v>
      </c>
      <c r="F19" s="39" t="str">
        <f t="shared" si="1"/>
        <v>CORRECT</v>
      </c>
      <c r="G19" s="39" t="s">
        <v>48</v>
      </c>
      <c r="H19" s="43" t="s">
        <v>48</v>
      </c>
      <c r="I19" s="42" t="s">
        <v>114</v>
      </c>
      <c r="J19" s="41">
        <v>35559.0</v>
      </c>
    </row>
    <row r="20" ht="60.0" customHeight="1">
      <c r="A20" s="39">
        <v>17.0</v>
      </c>
      <c r="B20" s="40" t="s">
        <v>115</v>
      </c>
      <c r="C20" s="40" t="s">
        <v>116</v>
      </c>
      <c r="D20" s="40" t="s">
        <v>117</v>
      </c>
      <c r="E20" s="40" t="s">
        <v>118</v>
      </c>
      <c r="F20" s="39" t="str">
        <f t="shared" si="1"/>
        <v>WRONG</v>
      </c>
      <c r="G20" s="39" t="s">
        <v>42</v>
      </c>
      <c r="H20" s="41" t="s">
        <v>36</v>
      </c>
      <c r="I20" s="42" t="s">
        <v>119</v>
      </c>
      <c r="J20" s="41">
        <v>31192.0</v>
      </c>
    </row>
    <row r="21" ht="60.0" customHeight="1">
      <c r="A21" s="39">
        <v>18.0</v>
      </c>
      <c r="B21" s="40" t="s">
        <v>120</v>
      </c>
      <c r="C21" s="40" t="s">
        <v>121</v>
      </c>
      <c r="D21" s="40" t="s">
        <v>122</v>
      </c>
      <c r="E21" s="40" t="s">
        <v>123</v>
      </c>
      <c r="F21" s="39" t="str">
        <f t="shared" si="1"/>
        <v>CORRECT</v>
      </c>
      <c r="G21" s="39" t="s">
        <v>42</v>
      </c>
      <c r="H21" s="41" t="s">
        <v>42</v>
      </c>
      <c r="I21" s="42" t="s">
        <v>124</v>
      </c>
      <c r="J21" s="41">
        <v>23365.0</v>
      </c>
    </row>
    <row r="22" ht="60.0" customHeight="1">
      <c r="A22" s="39">
        <v>19.0</v>
      </c>
      <c r="B22" s="40" t="s">
        <v>125</v>
      </c>
      <c r="C22" s="40" t="s">
        <v>126</v>
      </c>
      <c r="D22" s="40" t="s">
        <v>127</v>
      </c>
      <c r="E22" s="40" t="s">
        <v>128</v>
      </c>
      <c r="F22" s="39" t="str">
        <f t="shared" si="1"/>
        <v>WRONG</v>
      </c>
      <c r="G22" s="39" t="s">
        <v>36</v>
      </c>
      <c r="H22" s="43" t="s">
        <v>48</v>
      </c>
      <c r="I22" s="42" t="s">
        <v>129</v>
      </c>
      <c r="J22" s="41">
        <v>59261.0</v>
      </c>
    </row>
    <row r="23" ht="60.0" customHeight="1">
      <c r="A23" s="39">
        <v>20.0</v>
      </c>
      <c r="B23" s="40" t="s">
        <v>130</v>
      </c>
      <c r="C23" s="40" t="s">
        <v>131</v>
      </c>
      <c r="D23" s="40" t="s">
        <v>132</v>
      </c>
      <c r="E23" s="40" t="s">
        <v>133</v>
      </c>
      <c r="F23" s="39" t="str">
        <f t="shared" si="1"/>
        <v>WRONG</v>
      </c>
      <c r="G23" s="39" t="s">
        <v>42</v>
      </c>
      <c r="H23" s="41" t="s">
        <v>48</v>
      </c>
      <c r="I23" s="42" t="s">
        <v>134</v>
      </c>
      <c r="J23" s="41">
        <v>23329.0</v>
      </c>
    </row>
    <row r="24" ht="60.0" customHeight="1">
      <c r="A24" s="39">
        <v>21.0</v>
      </c>
      <c r="B24" s="40" t="s">
        <v>135</v>
      </c>
      <c r="C24" s="40" t="s">
        <v>136</v>
      </c>
      <c r="D24" s="40" t="s">
        <v>137</v>
      </c>
      <c r="E24" s="40" t="s">
        <v>138</v>
      </c>
      <c r="F24" s="39" t="str">
        <f t="shared" si="1"/>
        <v>WRONG</v>
      </c>
      <c r="G24" s="39" t="s">
        <v>42</v>
      </c>
      <c r="H24" s="41" t="s">
        <v>36</v>
      </c>
      <c r="I24" s="42" t="s">
        <v>139</v>
      </c>
      <c r="J24" s="41">
        <v>21845.0</v>
      </c>
    </row>
    <row r="25" ht="60.0" customHeight="1">
      <c r="A25" s="39">
        <v>22.0</v>
      </c>
      <c r="B25" s="40" t="s">
        <v>140</v>
      </c>
      <c r="C25" s="40" t="s">
        <v>141</v>
      </c>
      <c r="D25" s="40" t="s">
        <v>142</v>
      </c>
      <c r="E25" s="40" t="s">
        <v>143</v>
      </c>
      <c r="F25" s="39" t="str">
        <f t="shared" si="1"/>
        <v>CORRECT</v>
      </c>
      <c r="G25" s="39" t="s">
        <v>42</v>
      </c>
      <c r="H25" s="41" t="s">
        <v>42</v>
      </c>
      <c r="I25" s="42" t="s">
        <v>144</v>
      </c>
      <c r="J25" s="41">
        <v>22488.0</v>
      </c>
    </row>
    <row r="26" ht="60.0" customHeight="1">
      <c r="A26" s="39">
        <v>23.0</v>
      </c>
      <c r="B26" s="40" t="s">
        <v>145</v>
      </c>
      <c r="C26" s="40" t="s">
        <v>146</v>
      </c>
      <c r="D26" s="40" t="s">
        <v>147</v>
      </c>
      <c r="E26" s="40" t="s">
        <v>148</v>
      </c>
      <c r="F26" s="39" t="str">
        <f t="shared" si="1"/>
        <v>CORRECT</v>
      </c>
      <c r="G26" s="39" t="s">
        <v>48</v>
      </c>
      <c r="H26" s="41" t="s">
        <v>48</v>
      </c>
      <c r="I26" s="42" t="s">
        <v>149</v>
      </c>
      <c r="J26" s="41">
        <v>17308.0</v>
      </c>
    </row>
    <row r="27" ht="60.0" customHeight="1">
      <c r="A27" s="39">
        <v>24.0</v>
      </c>
      <c r="B27" s="40" t="s">
        <v>150</v>
      </c>
      <c r="C27" s="40" t="s">
        <v>151</v>
      </c>
      <c r="D27" s="40" t="s">
        <v>152</v>
      </c>
      <c r="E27" s="40" t="s">
        <v>153</v>
      </c>
      <c r="F27" s="39" t="str">
        <f t="shared" si="1"/>
        <v>CORRECT</v>
      </c>
      <c r="G27" s="39" t="s">
        <v>36</v>
      </c>
      <c r="H27" s="41" t="s">
        <v>36</v>
      </c>
      <c r="I27" s="42" t="s">
        <v>154</v>
      </c>
      <c r="J27" s="41">
        <v>22652.0</v>
      </c>
    </row>
    <row r="28" ht="60.0" customHeight="1">
      <c r="A28" s="39">
        <v>25.0</v>
      </c>
      <c r="B28" s="40" t="s">
        <v>155</v>
      </c>
      <c r="C28" s="40" t="s">
        <v>151</v>
      </c>
      <c r="D28" s="40" t="s">
        <v>156</v>
      </c>
      <c r="E28" s="40" t="s">
        <v>153</v>
      </c>
      <c r="F28" s="39" t="str">
        <f t="shared" si="1"/>
        <v>WRONG</v>
      </c>
      <c r="G28" s="39" t="s">
        <v>48</v>
      </c>
      <c r="H28" s="43" t="s">
        <v>36</v>
      </c>
      <c r="I28" s="42" t="s">
        <v>157</v>
      </c>
      <c r="J28" s="41">
        <v>28978.0</v>
      </c>
    </row>
    <row r="29" ht="60.0" customHeight="1">
      <c r="A29" s="39">
        <v>26.0</v>
      </c>
      <c r="B29" s="40" t="s">
        <v>158</v>
      </c>
      <c r="C29" s="40" t="s">
        <v>159</v>
      </c>
      <c r="D29" s="40" t="s">
        <v>160</v>
      </c>
      <c r="E29" s="40" t="s">
        <v>161</v>
      </c>
      <c r="F29" s="39" t="str">
        <f t="shared" si="1"/>
        <v>WRONG</v>
      </c>
      <c r="G29" s="39" t="s">
        <v>36</v>
      </c>
      <c r="H29" s="41" t="s">
        <v>48</v>
      </c>
      <c r="I29" s="42" t="s">
        <v>162</v>
      </c>
      <c r="J29" s="41">
        <v>42579.0</v>
      </c>
    </row>
    <row r="30" ht="60.0" customHeight="1">
      <c r="A30" s="39">
        <v>27.0</v>
      </c>
      <c r="B30" s="40" t="s">
        <v>163</v>
      </c>
      <c r="C30" s="40" t="s">
        <v>164</v>
      </c>
      <c r="D30" s="40" t="s">
        <v>165</v>
      </c>
      <c r="E30" s="40" t="s">
        <v>166</v>
      </c>
      <c r="F30" s="39" t="str">
        <f t="shared" si="1"/>
        <v>CORRECT</v>
      </c>
      <c r="G30" s="39" t="s">
        <v>42</v>
      </c>
      <c r="H30" s="41" t="s">
        <v>42</v>
      </c>
      <c r="I30" s="42" t="s">
        <v>167</v>
      </c>
      <c r="J30" s="41">
        <v>26851.0</v>
      </c>
    </row>
    <row r="31" ht="60.0" customHeight="1">
      <c r="A31" s="39">
        <v>28.0</v>
      </c>
      <c r="B31" s="40" t="s">
        <v>168</v>
      </c>
      <c r="C31" s="40" t="s">
        <v>169</v>
      </c>
      <c r="D31" s="40" t="s">
        <v>170</v>
      </c>
      <c r="E31" s="40" t="s">
        <v>171</v>
      </c>
      <c r="F31" s="39" t="str">
        <f t="shared" si="1"/>
        <v>WRONG</v>
      </c>
      <c r="G31" s="39" t="s">
        <v>36</v>
      </c>
      <c r="H31" s="43" t="s">
        <v>48</v>
      </c>
      <c r="I31" s="42" t="s">
        <v>172</v>
      </c>
      <c r="J31" s="41">
        <v>27776.0</v>
      </c>
    </row>
    <row r="32" ht="60.0" customHeight="1">
      <c r="A32" s="39">
        <v>29.0</v>
      </c>
      <c r="B32" s="40" t="s">
        <v>173</v>
      </c>
      <c r="C32" s="40" t="s">
        <v>174</v>
      </c>
      <c r="D32" s="40" t="s">
        <v>175</v>
      </c>
      <c r="E32" s="40" t="s">
        <v>176</v>
      </c>
      <c r="F32" s="39" t="str">
        <f t="shared" si="1"/>
        <v>CORRECT</v>
      </c>
      <c r="G32" s="39" t="s">
        <v>42</v>
      </c>
      <c r="H32" s="41" t="s">
        <v>42</v>
      </c>
      <c r="I32" s="42" t="s">
        <v>177</v>
      </c>
      <c r="J32" s="41">
        <v>40507.0</v>
      </c>
    </row>
    <row r="33" ht="60.0" customHeight="1">
      <c r="A33" s="39">
        <v>30.0</v>
      </c>
      <c r="B33" s="40" t="s">
        <v>178</v>
      </c>
      <c r="C33" s="40" t="s">
        <v>179</v>
      </c>
      <c r="D33" s="40" t="s">
        <v>180</v>
      </c>
      <c r="E33" s="40" t="s">
        <v>181</v>
      </c>
      <c r="F33" s="39" t="str">
        <f t="shared" si="1"/>
        <v>WRONG</v>
      </c>
      <c r="G33" s="39" t="s">
        <v>48</v>
      </c>
      <c r="H33" s="41" t="s">
        <v>36</v>
      </c>
      <c r="I33" s="42" t="s">
        <v>182</v>
      </c>
      <c r="J33" s="41">
        <v>34705.0</v>
      </c>
    </row>
    <row r="34" ht="60.0" customHeight="1">
      <c r="A34" s="39">
        <v>31.0</v>
      </c>
      <c r="B34" s="40" t="s">
        <v>183</v>
      </c>
      <c r="C34" s="40" t="s">
        <v>184</v>
      </c>
      <c r="D34" s="40" t="s">
        <v>185</v>
      </c>
      <c r="E34" s="40" t="s">
        <v>186</v>
      </c>
      <c r="F34" s="39" t="str">
        <f t="shared" si="1"/>
        <v>WRONG</v>
      </c>
      <c r="G34" s="39" t="s">
        <v>42</v>
      </c>
      <c r="H34" s="41" t="s">
        <v>36</v>
      </c>
      <c r="I34" s="42" t="s">
        <v>187</v>
      </c>
      <c r="J34" s="41">
        <v>37260.0</v>
      </c>
    </row>
    <row r="35" ht="60.0" customHeight="1">
      <c r="A35" s="39">
        <v>32.0</v>
      </c>
      <c r="B35" s="40" t="s">
        <v>188</v>
      </c>
      <c r="C35" s="40" t="s">
        <v>189</v>
      </c>
      <c r="D35" s="40" t="s">
        <v>190</v>
      </c>
      <c r="E35" s="40" t="s">
        <v>191</v>
      </c>
      <c r="F35" s="39" t="str">
        <f t="shared" si="1"/>
        <v>CORRECT</v>
      </c>
      <c r="G35" s="39" t="s">
        <v>36</v>
      </c>
      <c r="H35" s="41" t="s">
        <v>36</v>
      </c>
      <c r="I35" s="42" t="s">
        <v>192</v>
      </c>
      <c r="J35" s="41">
        <v>41212.0</v>
      </c>
    </row>
    <row r="36" ht="60.0" customHeight="1">
      <c r="A36" s="39">
        <v>33.0</v>
      </c>
      <c r="B36" s="40" t="s">
        <v>193</v>
      </c>
      <c r="C36" s="40" t="s">
        <v>194</v>
      </c>
      <c r="D36" s="40" t="s">
        <v>195</v>
      </c>
      <c r="E36" s="40" t="s">
        <v>196</v>
      </c>
      <c r="F36" s="39" t="str">
        <f t="shared" si="1"/>
        <v>CORRECT</v>
      </c>
      <c r="G36" s="39" t="s">
        <v>48</v>
      </c>
      <c r="H36" s="43" t="s">
        <v>48</v>
      </c>
      <c r="I36" s="42" t="s">
        <v>197</v>
      </c>
      <c r="J36" s="41">
        <v>40864.0</v>
      </c>
    </row>
    <row r="37" ht="60.0" customHeight="1">
      <c r="A37" s="39">
        <v>34.0</v>
      </c>
      <c r="B37" s="40" t="s">
        <v>198</v>
      </c>
      <c r="C37" s="40" t="s">
        <v>199</v>
      </c>
      <c r="D37" s="40" t="s">
        <v>200</v>
      </c>
      <c r="E37" s="40" t="s">
        <v>201</v>
      </c>
      <c r="F37" s="39" t="str">
        <f t="shared" si="1"/>
        <v>CORRECT</v>
      </c>
      <c r="G37" s="39" t="s">
        <v>36</v>
      </c>
      <c r="H37" s="41" t="s">
        <v>36</v>
      </c>
      <c r="I37" s="42" t="s">
        <v>202</v>
      </c>
      <c r="J37" s="41">
        <v>30855.0</v>
      </c>
    </row>
    <row r="38" ht="60.0" customHeight="1">
      <c r="A38" s="39">
        <v>35.0</v>
      </c>
      <c r="B38" s="40" t="s">
        <v>203</v>
      </c>
      <c r="C38" s="40" t="s">
        <v>204</v>
      </c>
      <c r="D38" s="40" t="s">
        <v>205</v>
      </c>
      <c r="E38" s="40" t="s">
        <v>206</v>
      </c>
      <c r="F38" s="39" t="str">
        <f t="shared" si="1"/>
        <v>WRONG</v>
      </c>
      <c r="G38" s="39" t="s">
        <v>48</v>
      </c>
      <c r="H38" s="41" t="s">
        <v>36</v>
      </c>
      <c r="I38" s="42" t="s">
        <v>207</v>
      </c>
      <c r="J38" s="41">
        <v>34593.0</v>
      </c>
    </row>
    <row r="39" ht="60.0" customHeight="1">
      <c r="A39" s="39">
        <v>36.0</v>
      </c>
      <c r="B39" s="40" t="s">
        <v>208</v>
      </c>
      <c r="C39" s="40" t="s">
        <v>209</v>
      </c>
      <c r="D39" s="40" t="s">
        <v>210</v>
      </c>
      <c r="E39" s="40" t="s">
        <v>211</v>
      </c>
      <c r="F39" s="39" t="str">
        <f t="shared" si="1"/>
        <v>CORRECT</v>
      </c>
      <c r="G39" s="39" t="s">
        <v>36</v>
      </c>
      <c r="H39" s="41" t="s">
        <v>36</v>
      </c>
      <c r="I39" s="42" t="s">
        <v>212</v>
      </c>
      <c r="J39" s="41">
        <v>35800.0</v>
      </c>
    </row>
    <row r="40" ht="60.0" customHeight="1">
      <c r="A40" s="39">
        <v>37.0</v>
      </c>
      <c r="B40" s="40" t="s">
        <v>213</v>
      </c>
      <c r="C40" s="40" t="s">
        <v>214</v>
      </c>
      <c r="D40" s="40" t="s">
        <v>215</v>
      </c>
      <c r="E40" s="40" t="s">
        <v>216</v>
      </c>
      <c r="F40" s="39" t="str">
        <f t="shared" si="1"/>
        <v>WRONG</v>
      </c>
      <c r="G40" s="39" t="s">
        <v>36</v>
      </c>
      <c r="H40" s="41" t="s">
        <v>42</v>
      </c>
      <c r="I40" s="42" t="s">
        <v>217</v>
      </c>
      <c r="J40" s="41">
        <v>26061.0</v>
      </c>
    </row>
    <row r="41" ht="60.0" customHeight="1">
      <c r="A41" s="39">
        <v>38.0</v>
      </c>
      <c r="B41" s="40" t="s">
        <v>218</v>
      </c>
      <c r="C41" s="40" t="s">
        <v>219</v>
      </c>
      <c r="D41" s="40" t="s">
        <v>220</v>
      </c>
      <c r="E41" s="40" t="s">
        <v>221</v>
      </c>
      <c r="F41" s="39" t="str">
        <f t="shared" si="1"/>
        <v>CORRECT</v>
      </c>
      <c r="G41" s="39" t="s">
        <v>36</v>
      </c>
      <c r="H41" s="41" t="s">
        <v>36</v>
      </c>
      <c r="I41" s="42" t="s">
        <v>222</v>
      </c>
      <c r="J41" s="41">
        <v>35057.0</v>
      </c>
    </row>
    <row r="42" ht="60.0" customHeight="1">
      <c r="A42" s="39">
        <v>39.0</v>
      </c>
      <c r="B42" s="40" t="s">
        <v>223</v>
      </c>
      <c r="C42" s="40" t="s">
        <v>224</v>
      </c>
      <c r="D42" s="40" t="s">
        <v>225</v>
      </c>
      <c r="E42" s="40" t="s">
        <v>226</v>
      </c>
      <c r="F42" s="39" t="str">
        <f t="shared" si="1"/>
        <v>WRONG</v>
      </c>
      <c r="G42" s="39" t="s">
        <v>42</v>
      </c>
      <c r="H42" s="41" t="s">
        <v>48</v>
      </c>
      <c r="I42" s="42" t="s">
        <v>227</v>
      </c>
      <c r="J42" s="41">
        <v>28075.0</v>
      </c>
    </row>
    <row r="43" ht="60.0" customHeight="1">
      <c r="A43" s="39">
        <v>40.0</v>
      </c>
      <c r="B43" s="40" t="s">
        <v>228</v>
      </c>
      <c r="C43" s="40" t="s">
        <v>229</v>
      </c>
      <c r="D43" s="40" t="s">
        <v>230</v>
      </c>
      <c r="E43" s="40" t="s">
        <v>231</v>
      </c>
      <c r="F43" s="39" t="str">
        <f t="shared" si="1"/>
        <v>CORRECT</v>
      </c>
      <c r="G43" s="39" t="s">
        <v>48</v>
      </c>
      <c r="H43" s="41" t="s">
        <v>48</v>
      </c>
      <c r="I43" s="42" t="s">
        <v>232</v>
      </c>
      <c r="J43" s="41">
        <v>41984.0</v>
      </c>
    </row>
    <row r="44" ht="60.0" customHeight="1">
      <c r="A44" s="39">
        <v>41.0</v>
      </c>
      <c r="B44" s="40" t="s">
        <v>233</v>
      </c>
      <c r="C44" s="40" t="s">
        <v>234</v>
      </c>
      <c r="D44" s="40" t="s">
        <v>235</v>
      </c>
      <c r="E44" s="40" t="s">
        <v>236</v>
      </c>
      <c r="F44" s="39" t="str">
        <f t="shared" si="1"/>
        <v>CORRECT</v>
      </c>
      <c r="G44" s="39" t="s">
        <v>42</v>
      </c>
      <c r="H44" s="41" t="s">
        <v>42</v>
      </c>
      <c r="I44" s="42" t="s">
        <v>237</v>
      </c>
      <c r="J44" s="41">
        <v>14288.0</v>
      </c>
    </row>
    <row r="45" ht="60.0" customHeight="1">
      <c r="A45" s="39">
        <v>42.0</v>
      </c>
      <c r="B45" s="40" t="s">
        <v>238</v>
      </c>
      <c r="C45" s="40" t="s">
        <v>239</v>
      </c>
      <c r="D45" s="40" t="s">
        <v>240</v>
      </c>
      <c r="E45" s="40" t="s">
        <v>241</v>
      </c>
      <c r="F45" s="39" t="str">
        <f t="shared" si="1"/>
        <v>WRONG</v>
      </c>
      <c r="G45" s="39" t="s">
        <v>36</v>
      </c>
      <c r="H45" s="41" t="s">
        <v>42</v>
      </c>
      <c r="I45" s="42" t="s">
        <v>242</v>
      </c>
      <c r="J45" s="41">
        <v>36123.0</v>
      </c>
    </row>
    <row r="46" ht="60.0" customHeight="1">
      <c r="A46" s="39">
        <v>43.0</v>
      </c>
      <c r="B46" s="40" t="s">
        <v>243</v>
      </c>
      <c r="C46" s="40" t="s">
        <v>244</v>
      </c>
      <c r="D46" s="40" t="s">
        <v>245</v>
      </c>
      <c r="E46" s="40" t="s">
        <v>246</v>
      </c>
      <c r="F46" s="39" t="str">
        <f t="shared" si="1"/>
        <v>CORRECT</v>
      </c>
      <c r="G46" s="39" t="s">
        <v>48</v>
      </c>
      <c r="H46" s="41" t="s">
        <v>48</v>
      </c>
      <c r="I46" s="42" t="s">
        <v>247</v>
      </c>
      <c r="J46" s="41">
        <v>21482.0</v>
      </c>
    </row>
    <row r="47" ht="60.0" customHeight="1">
      <c r="A47" s="39">
        <v>44.0</v>
      </c>
      <c r="B47" s="40" t="s">
        <v>248</v>
      </c>
      <c r="C47" s="40" t="s">
        <v>249</v>
      </c>
      <c r="D47" s="40" t="s">
        <v>250</v>
      </c>
      <c r="E47" s="40" t="s">
        <v>251</v>
      </c>
      <c r="F47" s="39" t="str">
        <f t="shared" si="1"/>
        <v>CORRECT</v>
      </c>
      <c r="G47" s="39" t="s">
        <v>36</v>
      </c>
      <c r="H47" s="41" t="s">
        <v>36</v>
      </c>
      <c r="I47" s="42" t="s">
        <v>252</v>
      </c>
      <c r="J47" s="41">
        <v>25699.0</v>
      </c>
    </row>
    <row r="48" ht="60.0" customHeight="1">
      <c r="A48" s="39">
        <v>45.0</v>
      </c>
      <c r="B48" s="40" t="s">
        <v>253</v>
      </c>
      <c r="C48" s="40" t="s">
        <v>254</v>
      </c>
      <c r="D48" s="40" t="s">
        <v>255</v>
      </c>
      <c r="E48" s="40" t="s">
        <v>256</v>
      </c>
      <c r="F48" s="39" t="str">
        <f t="shared" si="1"/>
        <v>CORRECT</v>
      </c>
      <c r="G48" s="39" t="s">
        <v>36</v>
      </c>
      <c r="H48" s="41" t="s">
        <v>36</v>
      </c>
      <c r="I48" s="42" t="s">
        <v>257</v>
      </c>
      <c r="J48" s="41">
        <v>31851.0</v>
      </c>
    </row>
    <row r="49" ht="60.0" customHeight="1">
      <c r="A49" s="39">
        <v>46.0</v>
      </c>
      <c r="B49" s="40" t="s">
        <v>258</v>
      </c>
      <c r="C49" s="40" t="s">
        <v>39</v>
      </c>
      <c r="D49" s="40" t="s">
        <v>259</v>
      </c>
      <c r="E49" s="40" t="s">
        <v>260</v>
      </c>
      <c r="F49" s="39" t="str">
        <f t="shared" si="1"/>
        <v>CORRECT</v>
      </c>
      <c r="G49" s="39" t="s">
        <v>36</v>
      </c>
      <c r="H49" s="41" t="s">
        <v>36</v>
      </c>
      <c r="I49" s="42" t="s">
        <v>261</v>
      </c>
      <c r="J49" s="41">
        <v>26838.0</v>
      </c>
    </row>
    <row r="50">
      <c r="A50" s="44" t="s">
        <v>262</v>
      </c>
      <c r="B50" s="2"/>
      <c r="C50" s="2"/>
      <c r="D50" s="2"/>
      <c r="E50" s="3"/>
      <c r="F50" s="45">
        <f>COUNTIFS(F4:F49,"CORRECT")</f>
        <v>33</v>
      </c>
      <c r="G50" s="46"/>
      <c r="H50" s="46"/>
      <c r="J50" s="47">
        <f>AVERAGE(J4:J49)</f>
        <v>32084.02174</v>
      </c>
    </row>
    <row r="51">
      <c r="A51" s="48" t="s">
        <v>263</v>
      </c>
      <c r="B51" s="2"/>
      <c r="C51" s="2"/>
      <c r="D51" s="2"/>
      <c r="E51" s="3"/>
      <c r="F51" s="49">
        <v>46.0</v>
      </c>
      <c r="G51" s="46"/>
      <c r="H51" s="46"/>
    </row>
    <row r="52">
      <c r="A52" s="44" t="s">
        <v>264</v>
      </c>
      <c r="B52" s="2"/>
      <c r="C52" s="2"/>
      <c r="D52" s="2"/>
      <c r="E52" s="3"/>
      <c r="F52" s="50">
        <f>F50/F51</f>
        <v>0.7173913043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21789.0</v>
      </c>
    </row>
    <row r="5" ht="60.0" customHeight="1">
      <c r="A5" s="39">
        <v>2.0</v>
      </c>
      <c r="B5" s="40" t="s">
        <v>38</v>
      </c>
      <c r="C5" s="40" t="s">
        <v>39</v>
      </c>
      <c r="D5" s="40" t="s">
        <v>40</v>
      </c>
      <c r="E5" s="40" t="s">
        <v>41</v>
      </c>
      <c r="F5" s="39" t="str">
        <f t="shared" si="1"/>
        <v>CORRECT</v>
      </c>
      <c r="G5" s="39" t="s">
        <v>42</v>
      </c>
      <c r="H5" s="43" t="s">
        <v>42</v>
      </c>
      <c r="I5" s="42" t="s">
        <v>267</v>
      </c>
      <c r="J5" s="41">
        <v>43208.0</v>
      </c>
    </row>
    <row r="6" ht="60.0" customHeight="1">
      <c r="A6" s="39">
        <v>3.0</v>
      </c>
      <c r="B6" s="40" t="s">
        <v>44</v>
      </c>
      <c r="C6" s="40" t="s">
        <v>45</v>
      </c>
      <c r="D6" s="40" t="s">
        <v>46</v>
      </c>
      <c r="E6" s="40" t="s">
        <v>47</v>
      </c>
      <c r="F6" s="39" t="str">
        <f t="shared" si="1"/>
        <v>CORRECT</v>
      </c>
      <c r="G6" s="39" t="s">
        <v>48</v>
      </c>
      <c r="H6" s="41" t="s">
        <v>48</v>
      </c>
      <c r="I6" s="42" t="s">
        <v>49</v>
      </c>
      <c r="J6" s="41">
        <v>31793.0</v>
      </c>
    </row>
    <row r="7" ht="60.0" customHeight="1">
      <c r="A7" s="39">
        <v>4.0</v>
      </c>
      <c r="B7" s="40" t="s">
        <v>50</v>
      </c>
      <c r="C7" s="40" t="s">
        <v>51</v>
      </c>
      <c r="D7" s="40" t="s">
        <v>52</v>
      </c>
      <c r="E7" s="40" t="s">
        <v>53</v>
      </c>
      <c r="F7" s="39" t="str">
        <f t="shared" si="1"/>
        <v>CORRECT</v>
      </c>
      <c r="G7" s="39" t="s">
        <v>42</v>
      </c>
      <c r="H7" s="41" t="s">
        <v>42</v>
      </c>
      <c r="I7" s="42" t="s">
        <v>54</v>
      </c>
      <c r="J7" s="41">
        <v>22210.0</v>
      </c>
    </row>
    <row r="8" ht="60.0" customHeight="1">
      <c r="A8" s="39">
        <v>5.0</v>
      </c>
      <c r="B8" s="40" t="s">
        <v>55</v>
      </c>
      <c r="C8" s="40" t="s">
        <v>56</v>
      </c>
      <c r="D8" s="40" t="s">
        <v>57</v>
      </c>
      <c r="E8" s="40" t="s">
        <v>58</v>
      </c>
      <c r="F8" s="39" t="str">
        <f t="shared" si="1"/>
        <v>CORRECT</v>
      </c>
      <c r="G8" s="39" t="s">
        <v>48</v>
      </c>
      <c r="H8" s="43" t="s">
        <v>48</v>
      </c>
      <c r="I8" s="42" t="s">
        <v>268</v>
      </c>
      <c r="J8" s="41">
        <v>68566.0</v>
      </c>
    </row>
    <row r="9" ht="60.0" customHeight="1">
      <c r="A9" s="39">
        <v>6.0</v>
      </c>
      <c r="B9" s="40" t="s">
        <v>60</v>
      </c>
      <c r="C9" s="40" t="s">
        <v>61</v>
      </c>
      <c r="D9" s="40" t="s">
        <v>62</v>
      </c>
      <c r="E9" s="40" t="s">
        <v>63</v>
      </c>
      <c r="F9" s="39" t="str">
        <f t="shared" si="1"/>
        <v>CORRECT</v>
      </c>
      <c r="G9" s="39" t="s">
        <v>42</v>
      </c>
      <c r="H9" s="41" t="s">
        <v>42</v>
      </c>
      <c r="I9" s="42" t="s">
        <v>64</v>
      </c>
      <c r="J9" s="41">
        <v>36984.0</v>
      </c>
    </row>
    <row r="10" ht="60.0" customHeight="1">
      <c r="A10" s="39">
        <v>7.0</v>
      </c>
      <c r="B10" s="40" t="s">
        <v>65</v>
      </c>
      <c r="C10" s="40" t="s">
        <v>66</v>
      </c>
      <c r="D10" s="40" t="s">
        <v>67</v>
      </c>
      <c r="E10" s="40" t="s">
        <v>68</v>
      </c>
      <c r="F10" s="39" t="str">
        <f t="shared" si="1"/>
        <v>WRONG</v>
      </c>
      <c r="G10" s="39" t="s">
        <v>42</v>
      </c>
      <c r="H10" s="41" t="s">
        <v>36</v>
      </c>
      <c r="I10" s="42" t="s">
        <v>269</v>
      </c>
      <c r="J10" s="41">
        <v>33345.0</v>
      </c>
    </row>
    <row r="11" ht="60.0" customHeight="1">
      <c r="A11" s="39">
        <v>8.0</v>
      </c>
      <c r="B11" s="40" t="s">
        <v>70</v>
      </c>
      <c r="C11" s="40" t="s">
        <v>71</v>
      </c>
      <c r="D11" s="40" t="s">
        <v>72</v>
      </c>
      <c r="E11" s="40" t="s">
        <v>73</v>
      </c>
      <c r="F11" s="39" t="str">
        <f t="shared" si="1"/>
        <v>CORRECT</v>
      </c>
      <c r="G11" s="39" t="s">
        <v>48</v>
      </c>
      <c r="H11" s="43" t="s">
        <v>48</v>
      </c>
      <c r="I11" s="42" t="s">
        <v>74</v>
      </c>
      <c r="J11" s="41">
        <v>30783.0</v>
      </c>
    </row>
    <row r="12" ht="60.0" customHeight="1">
      <c r="A12" s="39">
        <v>9.0</v>
      </c>
      <c r="B12" s="40" t="s">
        <v>75</v>
      </c>
      <c r="C12" s="40" t="s">
        <v>76</v>
      </c>
      <c r="D12" s="40" t="s">
        <v>77</v>
      </c>
      <c r="E12" s="40" t="s">
        <v>78</v>
      </c>
      <c r="F12" s="39" t="str">
        <f t="shared" si="1"/>
        <v>WRONG</v>
      </c>
      <c r="G12" s="39" t="s">
        <v>42</v>
      </c>
      <c r="H12" s="41" t="s">
        <v>48</v>
      </c>
      <c r="I12" s="42" t="s">
        <v>270</v>
      </c>
      <c r="J12" s="41">
        <v>40324.0</v>
      </c>
    </row>
    <row r="13" ht="60.0" customHeight="1">
      <c r="A13" s="39">
        <v>10.0</v>
      </c>
      <c r="B13" s="40" t="s">
        <v>80</v>
      </c>
      <c r="C13" s="40" t="s">
        <v>81</v>
      </c>
      <c r="D13" s="40" t="s">
        <v>82</v>
      </c>
      <c r="E13" s="40" t="s">
        <v>83</v>
      </c>
      <c r="F13" s="39" t="str">
        <f t="shared" si="1"/>
        <v>CORRECT</v>
      </c>
      <c r="G13" s="39" t="s">
        <v>48</v>
      </c>
      <c r="H13" s="41" t="s">
        <v>48</v>
      </c>
      <c r="I13" s="42" t="s">
        <v>271</v>
      </c>
      <c r="J13" s="41">
        <v>49585.0</v>
      </c>
    </row>
    <row r="14" ht="60.0" customHeight="1">
      <c r="A14" s="39">
        <v>11.0</v>
      </c>
      <c r="B14" s="40" t="s">
        <v>85</v>
      </c>
      <c r="C14" s="40" t="s">
        <v>86</v>
      </c>
      <c r="D14" s="40" t="s">
        <v>87</v>
      </c>
      <c r="E14" s="40" t="s">
        <v>88</v>
      </c>
      <c r="F14" s="39" t="str">
        <f t="shared" si="1"/>
        <v>CORRECT</v>
      </c>
      <c r="G14" s="39" t="s">
        <v>42</v>
      </c>
      <c r="H14" s="41" t="s">
        <v>42</v>
      </c>
      <c r="I14" s="42" t="s">
        <v>272</v>
      </c>
      <c r="J14" s="41">
        <v>39922.0</v>
      </c>
    </row>
    <row r="15" ht="60.0" customHeight="1">
      <c r="A15" s="39">
        <v>12.0</v>
      </c>
      <c r="B15" s="40" t="s">
        <v>90</v>
      </c>
      <c r="C15" s="40" t="s">
        <v>91</v>
      </c>
      <c r="D15" s="40" t="s">
        <v>92</v>
      </c>
      <c r="E15" s="40" t="s">
        <v>93</v>
      </c>
      <c r="F15" s="39" t="str">
        <f t="shared" si="1"/>
        <v>CORRECT</v>
      </c>
      <c r="G15" s="39" t="s">
        <v>48</v>
      </c>
      <c r="H15" s="41" t="s">
        <v>48</v>
      </c>
      <c r="I15" s="42" t="s">
        <v>273</v>
      </c>
      <c r="J15" s="41">
        <v>39527.0</v>
      </c>
    </row>
    <row r="16" ht="60.0" customHeight="1">
      <c r="A16" s="39">
        <v>13.0</v>
      </c>
      <c r="B16" s="40" t="s">
        <v>95</v>
      </c>
      <c r="C16" s="40" t="s">
        <v>96</v>
      </c>
      <c r="D16" s="40" t="s">
        <v>97</v>
      </c>
      <c r="E16" s="40" t="s">
        <v>98</v>
      </c>
      <c r="F16" s="39" t="str">
        <f t="shared" si="1"/>
        <v>CORRECT</v>
      </c>
      <c r="G16" s="39" t="s">
        <v>36</v>
      </c>
      <c r="H16" s="43" t="s">
        <v>36</v>
      </c>
      <c r="I16" s="42" t="s">
        <v>274</v>
      </c>
      <c r="J16" s="41">
        <v>28200.0</v>
      </c>
    </row>
    <row r="17" ht="60.0" customHeight="1">
      <c r="A17" s="39">
        <v>14.0</v>
      </c>
      <c r="B17" s="40" t="s">
        <v>100</v>
      </c>
      <c r="C17" s="40" t="s">
        <v>101</v>
      </c>
      <c r="D17" s="40" t="s">
        <v>102</v>
      </c>
      <c r="E17" s="40" t="s">
        <v>103</v>
      </c>
      <c r="F17" s="39" t="str">
        <f t="shared" si="1"/>
        <v>WRONG</v>
      </c>
      <c r="G17" s="39" t="s">
        <v>36</v>
      </c>
      <c r="H17" s="43" t="s">
        <v>48</v>
      </c>
      <c r="I17" s="42" t="s">
        <v>104</v>
      </c>
      <c r="J17" s="41">
        <v>34272.0</v>
      </c>
    </row>
    <row r="18" ht="60.0" customHeight="1">
      <c r="A18" s="39">
        <v>15.0</v>
      </c>
      <c r="B18" s="40" t="s">
        <v>105</v>
      </c>
      <c r="C18" s="40" t="s">
        <v>106</v>
      </c>
      <c r="D18" s="40" t="s">
        <v>107</v>
      </c>
      <c r="E18" s="40" t="s">
        <v>108</v>
      </c>
      <c r="F18" s="39" t="str">
        <f t="shared" si="1"/>
        <v>CORRECT</v>
      </c>
      <c r="G18" s="39" t="s">
        <v>48</v>
      </c>
      <c r="H18" s="43" t="s">
        <v>48</v>
      </c>
      <c r="I18" s="42" t="s">
        <v>275</v>
      </c>
      <c r="J18" s="41">
        <v>32651.0</v>
      </c>
    </row>
    <row r="19" ht="60.0" customHeight="1">
      <c r="A19" s="39">
        <v>16.0</v>
      </c>
      <c r="B19" s="40" t="s">
        <v>110</v>
      </c>
      <c r="C19" s="40" t="s">
        <v>111</v>
      </c>
      <c r="D19" s="40" t="s">
        <v>112</v>
      </c>
      <c r="E19" s="40" t="s">
        <v>113</v>
      </c>
      <c r="F19" s="39" t="str">
        <f t="shared" si="1"/>
        <v>CORRECT</v>
      </c>
      <c r="G19" s="39" t="s">
        <v>48</v>
      </c>
      <c r="H19" s="43" t="s">
        <v>48</v>
      </c>
      <c r="I19" s="42" t="s">
        <v>114</v>
      </c>
      <c r="J19" s="41">
        <v>34641.0</v>
      </c>
    </row>
    <row r="20" ht="60.0" customHeight="1">
      <c r="A20" s="39">
        <v>17.0</v>
      </c>
      <c r="B20" s="40" t="s">
        <v>115</v>
      </c>
      <c r="C20" s="40" t="s">
        <v>116</v>
      </c>
      <c r="D20" s="40" t="s">
        <v>117</v>
      </c>
      <c r="E20" s="40" t="s">
        <v>118</v>
      </c>
      <c r="F20" s="39" t="str">
        <f t="shared" si="1"/>
        <v>WRONG</v>
      </c>
      <c r="G20" s="39" t="s">
        <v>42</v>
      </c>
      <c r="H20" s="41" t="s">
        <v>36</v>
      </c>
      <c r="I20" s="42" t="s">
        <v>119</v>
      </c>
      <c r="J20" s="41">
        <v>30771.0</v>
      </c>
    </row>
    <row r="21" ht="60.0" customHeight="1">
      <c r="A21" s="39">
        <v>18.0</v>
      </c>
      <c r="B21" s="40" t="s">
        <v>120</v>
      </c>
      <c r="C21" s="40" t="s">
        <v>121</v>
      </c>
      <c r="D21" s="40" t="s">
        <v>122</v>
      </c>
      <c r="E21" s="40" t="s">
        <v>123</v>
      </c>
      <c r="F21" s="39" t="str">
        <f t="shared" si="1"/>
        <v>CORRECT</v>
      </c>
      <c r="G21" s="39" t="s">
        <v>42</v>
      </c>
      <c r="H21" s="41" t="s">
        <v>42</v>
      </c>
      <c r="I21" s="42" t="s">
        <v>124</v>
      </c>
      <c r="J21" s="41">
        <v>24829.0</v>
      </c>
    </row>
    <row r="22" ht="60.0" customHeight="1">
      <c r="A22" s="39">
        <v>19.0</v>
      </c>
      <c r="B22" s="40" t="s">
        <v>125</v>
      </c>
      <c r="C22" s="40" t="s">
        <v>126</v>
      </c>
      <c r="D22" s="40" t="s">
        <v>127</v>
      </c>
      <c r="E22" s="40" t="s">
        <v>128</v>
      </c>
      <c r="F22" s="39" t="str">
        <f t="shared" si="1"/>
        <v>WRONG</v>
      </c>
      <c r="G22" s="39" t="s">
        <v>36</v>
      </c>
      <c r="H22" s="43" t="s">
        <v>48</v>
      </c>
      <c r="I22" s="42" t="s">
        <v>129</v>
      </c>
      <c r="J22" s="41">
        <v>57877.0</v>
      </c>
    </row>
    <row r="23" ht="60.0" customHeight="1">
      <c r="A23" s="39">
        <v>20.0</v>
      </c>
      <c r="B23" s="40" t="s">
        <v>130</v>
      </c>
      <c r="C23" s="40" t="s">
        <v>131</v>
      </c>
      <c r="D23" s="40" t="s">
        <v>132</v>
      </c>
      <c r="E23" s="40" t="s">
        <v>133</v>
      </c>
      <c r="F23" s="39" t="str">
        <f t="shared" si="1"/>
        <v>WRONG</v>
      </c>
      <c r="G23" s="39" t="s">
        <v>42</v>
      </c>
      <c r="H23" s="43" t="s">
        <v>48</v>
      </c>
      <c r="I23" s="42" t="s">
        <v>134</v>
      </c>
      <c r="J23" s="41">
        <v>22622.0</v>
      </c>
    </row>
    <row r="24" ht="60.0" customHeight="1">
      <c r="A24" s="39">
        <v>21.0</v>
      </c>
      <c r="B24" s="40" t="s">
        <v>135</v>
      </c>
      <c r="C24" s="40" t="s">
        <v>136</v>
      </c>
      <c r="D24" s="40" t="s">
        <v>137</v>
      </c>
      <c r="E24" s="40" t="s">
        <v>138</v>
      </c>
      <c r="F24" s="39" t="str">
        <f t="shared" si="1"/>
        <v>WRONG</v>
      </c>
      <c r="G24" s="39" t="s">
        <v>42</v>
      </c>
      <c r="H24" s="41" t="s">
        <v>36</v>
      </c>
      <c r="I24" s="42" t="s">
        <v>139</v>
      </c>
      <c r="J24" s="41">
        <v>20272.0</v>
      </c>
    </row>
    <row r="25" ht="60.0" customHeight="1">
      <c r="A25" s="39">
        <v>22.0</v>
      </c>
      <c r="B25" s="40" t="s">
        <v>140</v>
      </c>
      <c r="C25" s="40" t="s">
        <v>141</v>
      </c>
      <c r="D25" s="40" t="s">
        <v>142</v>
      </c>
      <c r="E25" s="40" t="s">
        <v>143</v>
      </c>
      <c r="F25" s="39" t="str">
        <f t="shared" si="1"/>
        <v>CORRECT</v>
      </c>
      <c r="G25" s="39" t="s">
        <v>42</v>
      </c>
      <c r="H25" s="41" t="s">
        <v>42</v>
      </c>
      <c r="I25" s="42" t="s">
        <v>144</v>
      </c>
      <c r="J25" s="41">
        <v>22945.0</v>
      </c>
    </row>
    <row r="26" ht="60.0" customHeight="1">
      <c r="A26" s="39">
        <v>23.0</v>
      </c>
      <c r="B26" s="40" t="s">
        <v>145</v>
      </c>
      <c r="C26" s="40" t="s">
        <v>146</v>
      </c>
      <c r="D26" s="40" t="s">
        <v>147</v>
      </c>
      <c r="E26" s="40" t="s">
        <v>148</v>
      </c>
      <c r="F26" s="39" t="str">
        <f t="shared" si="1"/>
        <v>CORRECT</v>
      </c>
      <c r="G26" s="39" t="s">
        <v>48</v>
      </c>
      <c r="H26" s="41" t="s">
        <v>48</v>
      </c>
      <c r="I26" s="42" t="s">
        <v>149</v>
      </c>
      <c r="J26" s="41">
        <v>16842.0</v>
      </c>
    </row>
    <row r="27" ht="60.0" customHeight="1">
      <c r="A27" s="39">
        <v>24.0</v>
      </c>
      <c r="B27" s="40" t="s">
        <v>150</v>
      </c>
      <c r="C27" s="40" t="s">
        <v>151</v>
      </c>
      <c r="D27" s="40" t="s">
        <v>152</v>
      </c>
      <c r="E27" s="40" t="s">
        <v>153</v>
      </c>
      <c r="F27" s="39" t="str">
        <f t="shared" si="1"/>
        <v>CORRECT</v>
      </c>
      <c r="G27" s="39" t="s">
        <v>36</v>
      </c>
      <c r="H27" s="41" t="s">
        <v>36</v>
      </c>
      <c r="I27" s="42" t="s">
        <v>154</v>
      </c>
      <c r="J27" s="41">
        <v>22344.0</v>
      </c>
    </row>
    <row r="28" ht="60.0" customHeight="1">
      <c r="A28" s="39">
        <v>25.0</v>
      </c>
      <c r="B28" s="40" t="s">
        <v>155</v>
      </c>
      <c r="C28" s="40" t="s">
        <v>151</v>
      </c>
      <c r="D28" s="40" t="s">
        <v>156</v>
      </c>
      <c r="E28" s="40" t="s">
        <v>153</v>
      </c>
      <c r="F28" s="39" t="str">
        <f t="shared" si="1"/>
        <v>WRONG</v>
      </c>
      <c r="G28" s="39" t="s">
        <v>48</v>
      </c>
      <c r="H28" s="43" t="s">
        <v>36</v>
      </c>
      <c r="I28" s="42" t="s">
        <v>157</v>
      </c>
      <c r="J28" s="41">
        <v>28758.0</v>
      </c>
    </row>
    <row r="29" ht="60.0" customHeight="1">
      <c r="A29" s="39">
        <v>26.0</v>
      </c>
      <c r="B29" s="40" t="s">
        <v>158</v>
      </c>
      <c r="C29" s="40" t="s">
        <v>159</v>
      </c>
      <c r="D29" s="40" t="s">
        <v>160</v>
      </c>
      <c r="E29" s="40" t="s">
        <v>161</v>
      </c>
      <c r="F29" s="39" t="str">
        <f t="shared" si="1"/>
        <v>WRONG</v>
      </c>
      <c r="G29" s="39" t="s">
        <v>36</v>
      </c>
      <c r="H29" s="43" t="s">
        <v>48</v>
      </c>
      <c r="I29" s="42" t="s">
        <v>162</v>
      </c>
      <c r="J29" s="41">
        <v>41445.0</v>
      </c>
    </row>
    <row r="30" ht="60.0" customHeight="1">
      <c r="A30" s="39">
        <v>27.0</v>
      </c>
      <c r="B30" s="40" t="s">
        <v>163</v>
      </c>
      <c r="C30" s="40" t="s">
        <v>164</v>
      </c>
      <c r="D30" s="40" t="s">
        <v>165</v>
      </c>
      <c r="E30" s="40" t="s">
        <v>166</v>
      </c>
      <c r="F30" s="39" t="str">
        <f t="shared" si="1"/>
        <v>CORRECT</v>
      </c>
      <c r="G30" s="39" t="s">
        <v>42</v>
      </c>
      <c r="H30" s="41" t="s">
        <v>42</v>
      </c>
      <c r="I30" s="42" t="s">
        <v>167</v>
      </c>
      <c r="J30" s="41">
        <v>26167.0</v>
      </c>
    </row>
    <row r="31" ht="60.0" customHeight="1">
      <c r="A31" s="39">
        <v>28.0</v>
      </c>
      <c r="B31" s="40" t="s">
        <v>168</v>
      </c>
      <c r="C31" s="40" t="s">
        <v>169</v>
      </c>
      <c r="D31" s="40" t="s">
        <v>170</v>
      </c>
      <c r="E31" s="40" t="s">
        <v>171</v>
      </c>
      <c r="F31" s="39" t="str">
        <f t="shared" si="1"/>
        <v>WRONG</v>
      </c>
      <c r="G31" s="39" t="s">
        <v>36</v>
      </c>
      <c r="H31" s="43" t="s">
        <v>48</v>
      </c>
      <c r="I31" s="42" t="s">
        <v>172</v>
      </c>
      <c r="J31" s="41">
        <v>26021.0</v>
      </c>
    </row>
    <row r="32" ht="60.0" customHeight="1">
      <c r="A32" s="39">
        <v>29.0</v>
      </c>
      <c r="B32" s="40" t="s">
        <v>173</v>
      </c>
      <c r="C32" s="40" t="s">
        <v>174</v>
      </c>
      <c r="D32" s="40" t="s">
        <v>175</v>
      </c>
      <c r="E32" s="40" t="s">
        <v>176</v>
      </c>
      <c r="F32" s="39" t="str">
        <f t="shared" si="1"/>
        <v>CORRECT</v>
      </c>
      <c r="G32" s="39" t="s">
        <v>42</v>
      </c>
      <c r="H32" s="41" t="s">
        <v>42</v>
      </c>
      <c r="I32" s="42" t="s">
        <v>276</v>
      </c>
      <c r="J32" s="41">
        <v>26373.0</v>
      </c>
    </row>
    <row r="33" ht="60.0" customHeight="1">
      <c r="A33" s="39">
        <v>30.0</v>
      </c>
      <c r="B33" s="40" t="s">
        <v>178</v>
      </c>
      <c r="C33" s="40" t="s">
        <v>179</v>
      </c>
      <c r="D33" s="40" t="s">
        <v>180</v>
      </c>
      <c r="E33" s="40" t="s">
        <v>181</v>
      </c>
      <c r="F33" s="39" t="str">
        <f t="shared" si="1"/>
        <v>WRONG</v>
      </c>
      <c r="G33" s="39" t="s">
        <v>48</v>
      </c>
      <c r="H33" s="41" t="s">
        <v>36</v>
      </c>
      <c r="I33" s="42" t="s">
        <v>182</v>
      </c>
      <c r="J33" s="41">
        <v>35297.0</v>
      </c>
    </row>
    <row r="34" ht="60.0" customHeight="1">
      <c r="A34" s="39">
        <v>31.0</v>
      </c>
      <c r="B34" s="40" t="s">
        <v>183</v>
      </c>
      <c r="C34" s="40" t="s">
        <v>184</v>
      </c>
      <c r="D34" s="40" t="s">
        <v>185</v>
      </c>
      <c r="E34" s="40" t="s">
        <v>186</v>
      </c>
      <c r="F34" s="39" t="str">
        <f t="shared" si="1"/>
        <v>WRONG</v>
      </c>
      <c r="G34" s="39" t="s">
        <v>42</v>
      </c>
      <c r="H34" s="41" t="s">
        <v>36</v>
      </c>
      <c r="I34" s="42" t="s">
        <v>187</v>
      </c>
      <c r="J34" s="41">
        <v>35012.0</v>
      </c>
    </row>
    <row r="35" ht="60.0" customHeight="1">
      <c r="A35" s="39">
        <v>32.0</v>
      </c>
      <c r="B35" s="40" t="s">
        <v>188</v>
      </c>
      <c r="C35" s="40" t="s">
        <v>189</v>
      </c>
      <c r="D35" s="40" t="s">
        <v>190</v>
      </c>
      <c r="E35" s="40" t="s">
        <v>191</v>
      </c>
      <c r="F35" s="39" t="str">
        <f t="shared" si="1"/>
        <v>CORRECT</v>
      </c>
      <c r="G35" s="39" t="s">
        <v>36</v>
      </c>
      <c r="H35" s="41" t="s">
        <v>36</v>
      </c>
      <c r="I35" s="42" t="s">
        <v>192</v>
      </c>
      <c r="J35" s="41">
        <v>40773.0</v>
      </c>
    </row>
    <row r="36" ht="60.0" customHeight="1">
      <c r="A36" s="39">
        <v>33.0</v>
      </c>
      <c r="B36" s="40" t="s">
        <v>193</v>
      </c>
      <c r="C36" s="40" t="s">
        <v>194</v>
      </c>
      <c r="D36" s="40" t="s">
        <v>195</v>
      </c>
      <c r="E36" s="40" t="s">
        <v>196</v>
      </c>
      <c r="F36" s="39" t="str">
        <f t="shared" si="1"/>
        <v>CORRECT</v>
      </c>
      <c r="G36" s="39" t="s">
        <v>48</v>
      </c>
      <c r="H36" s="43" t="s">
        <v>48</v>
      </c>
      <c r="I36" s="42" t="s">
        <v>197</v>
      </c>
      <c r="J36" s="41">
        <v>40107.0</v>
      </c>
    </row>
    <row r="37" ht="60.0" customHeight="1">
      <c r="A37" s="39">
        <v>34.0</v>
      </c>
      <c r="B37" s="40" t="s">
        <v>198</v>
      </c>
      <c r="C37" s="40" t="s">
        <v>199</v>
      </c>
      <c r="D37" s="40" t="s">
        <v>200</v>
      </c>
      <c r="E37" s="40" t="s">
        <v>201</v>
      </c>
      <c r="F37" s="39" t="str">
        <f t="shared" si="1"/>
        <v>CORRECT</v>
      </c>
      <c r="G37" s="39" t="s">
        <v>36</v>
      </c>
      <c r="H37" s="41" t="s">
        <v>36</v>
      </c>
      <c r="I37" s="42" t="s">
        <v>202</v>
      </c>
      <c r="J37" s="41">
        <v>29816.0</v>
      </c>
    </row>
    <row r="38" ht="60.0" customHeight="1">
      <c r="A38" s="39">
        <v>35.0</v>
      </c>
      <c r="B38" s="40" t="s">
        <v>203</v>
      </c>
      <c r="C38" s="40" t="s">
        <v>204</v>
      </c>
      <c r="D38" s="40" t="s">
        <v>205</v>
      </c>
      <c r="E38" s="40" t="s">
        <v>206</v>
      </c>
      <c r="F38" s="39" t="str">
        <f t="shared" si="1"/>
        <v>WRONG</v>
      </c>
      <c r="G38" s="39" t="s">
        <v>48</v>
      </c>
      <c r="H38" s="43" t="s">
        <v>36</v>
      </c>
      <c r="I38" s="42" t="s">
        <v>277</v>
      </c>
      <c r="J38" s="41">
        <v>32476.0</v>
      </c>
    </row>
    <row r="39" ht="60.0" customHeight="1">
      <c r="A39" s="39">
        <v>36.0</v>
      </c>
      <c r="B39" s="40" t="s">
        <v>208</v>
      </c>
      <c r="C39" s="40" t="s">
        <v>209</v>
      </c>
      <c r="D39" s="40" t="s">
        <v>210</v>
      </c>
      <c r="E39" s="40" t="s">
        <v>211</v>
      </c>
      <c r="F39" s="39" t="str">
        <f t="shared" si="1"/>
        <v>CORRECT</v>
      </c>
      <c r="G39" s="39" t="s">
        <v>36</v>
      </c>
      <c r="H39" s="41" t="s">
        <v>36</v>
      </c>
      <c r="I39" s="42" t="s">
        <v>212</v>
      </c>
      <c r="J39" s="41">
        <v>37052.0</v>
      </c>
    </row>
    <row r="40" ht="60.0" customHeight="1">
      <c r="A40" s="39">
        <v>37.0</v>
      </c>
      <c r="B40" s="40" t="s">
        <v>213</v>
      </c>
      <c r="C40" s="40" t="s">
        <v>214</v>
      </c>
      <c r="D40" s="40" t="s">
        <v>215</v>
      </c>
      <c r="E40" s="40" t="s">
        <v>216</v>
      </c>
      <c r="F40" s="39" t="str">
        <f t="shared" si="1"/>
        <v>WRONG</v>
      </c>
      <c r="G40" s="39" t="s">
        <v>36</v>
      </c>
      <c r="H40" s="41" t="s">
        <v>42</v>
      </c>
      <c r="I40" s="42" t="s">
        <v>217</v>
      </c>
      <c r="J40" s="41">
        <v>26704.0</v>
      </c>
    </row>
    <row r="41" ht="60.0" customHeight="1">
      <c r="A41" s="39">
        <v>38.0</v>
      </c>
      <c r="B41" s="40" t="s">
        <v>218</v>
      </c>
      <c r="C41" s="40" t="s">
        <v>219</v>
      </c>
      <c r="D41" s="40" t="s">
        <v>220</v>
      </c>
      <c r="E41" s="40" t="s">
        <v>221</v>
      </c>
      <c r="F41" s="39" t="str">
        <f t="shared" si="1"/>
        <v>CORRECT</v>
      </c>
      <c r="G41" s="39" t="s">
        <v>36</v>
      </c>
      <c r="H41" s="43" t="s">
        <v>36</v>
      </c>
      <c r="I41" s="42" t="s">
        <v>222</v>
      </c>
      <c r="J41" s="41">
        <v>35951.0</v>
      </c>
    </row>
    <row r="42" ht="60.0" customHeight="1">
      <c r="A42" s="39">
        <v>39.0</v>
      </c>
      <c r="B42" s="40" t="s">
        <v>223</v>
      </c>
      <c r="C42" s="40" t="s">
        <v>224</v>
      </c>
      <c r="D42" s="40" t="s">
        <v>225</v>
      </c>
      <c r="E42" s="40" t="s">
        <v>226</v>
      </c>
      <c r="F42" s="39" t="str">
        <f t="shared" si="1"/>
        <v>WRONG</v>
      </c>
      <c r="G42" s="39" t="s">
        <v>42</v>
      </c>
      <c r="H42" s="41" t="s">
        <v>48</v>
      </c>
      <c r="I42" s="42" t="s">
        <v>227</v>
      </c>
      <c r="J42" s="41">
        <v>28910.0</v>
      </c>
    </row>
    <row r="43" ht="60.0" customHeight="1">
      <c r="A43" s="39">
        <v>40.0</v>
      </c>
      <c r="B43" s="40" t="s">
        <v>228</v>
      </c>
      <c r="C43" s="40" t="s">
        <v>229</v>
      </c>
      <c r="D43" s="40" t="s">
        <v>230</v>
      </c>
      <c r="E43" s="40" t="s">
        <v>231</v>
      </c>
      <c r="F43" s="39" t="str">
        <f t="shared" si="1"/>
        <v>CORRECT</v>
      </c>
      <c r="G43" s="39" t="s">
        <v>48</v>
      </c>
      <c r="H43" s="41" t="s">
        <v>48</v>
      </c>
      <c r="I43" s="42" t="s">
        <v>232</v>
      </c>
      <c r="J43" s="41">
        <v>43037.0</v>
      </c>
    </row>
    <row r="44" ht="60.0" customHeight="1">
      <c r="A44" s="39">
        <v>41.0</v>
      </c>
      <c r="B44" s="40" t="s">
        <v>233</v>
      </c>
      <c r="C44" s="40" t="s">
        <v>234</v>
      </c>
      <c r="D44" s="40" t="s">
        <v>235</v>
      </c>
      <c r="E44" s="40" t="s">
        <v>236</v>
      </c>
      <c r="F44" s="39" t="str">
        <f t="shared" si="1"/>
        <v>CORRECT</v>
      </c>
      <c r="G44" s="39" t="s">
        <v>42</v>
      </c>
      <c r="H44" s="41" t="s">
        <v>42</v>
      </c>
      <c r="I44" s="42" t="s">
        <v>237</v>
      </c>
      <c r="J44" s="41">
        <v>15572.0</v>
      </c>
    </row>
    <row r="45" ht="60.0" customHeight="1">
      <c r="A45" s="39">
        <v>42.0</v>
      </c>
      <c r="B45" s="40" t="s">
        <v>238</v>
      </c>
      <c r="C45" s="40" t="s">
        <v>239</v>
      </c>
      <c r="D45" s="40" t="s">
        <v>240</v>
      </c>
      <c r="E45" s="40" t="s">
        <v>241</v>
      </c>
      <c r="F45" s="39" t="str">
        <f t="shared" si="1"/>
        <v>WRONG</v>
      </c>
      <c r="G45" s="39" t="s">
        <v>36</v>
      </c>
      <c r="H45" s="43" t="s">
        <v>42</v>
      </c>
      <c r="I45" s="42" t="s">
        <v>242</v>
      </c>
      <c r="J45" s="41">
        <v>35562.0</v>
      </c>
    </row>
    <row r="46" ht="60.0" customHeight="1">
      <c r="A46" s="39">
        <v>43.0</v>
      </c>
      <c r="B46" s="40" t="s">
        <v>243</v>
      </c>
      <c r="C46" s="40" t="s">
        <v>244</v>
      </c>
      <c r="D46" s="40" t="s">
        <v>245</v>
      </c>
      <c r="E46" s="40" t="s">
        <v>246</v>
      </c>
      <c r="F46" s="39" t="str">
        <f t="shared" si="1"/>
        <v>CORRECT</v>
      </c>
      <c r="G46" s="39" t="s">
        <v>48</v>
      </c>
      <c r="H46" s="41" t="s">
        <v>48</v>
      </c>
      <c r="I46" s="42" t="s">
        <v>247</v>
      </c>
      <c r="J46" s="41">
        <v>24700.0</v>
      </c>
    </row>
    <row r="47" ht="60.0" customHeight="1">
      <c r="A47" s="39">
        <v>44.0</v>
      </c>
      <c r="B47" s="40" t="s">
        <v>248</v>
      </c>
      <c r="C47" s="40" t="s">
        <v>249</v>
      </c>
      <c r="D47" s="40" t="s">
        <v>250</v>
      </c>
      <c r="E47" s="40" t="s">
        <v>251</v>
      </c>
      <c r="F47" s="39" t="str">
        <f t="shared" si="1"/>
        <v>CORRECT</v>
      </c>
      <c r="G47" s="39" t="s">
        <v>36</v>
      </c>
      <c r="H47" s="43" t="s">
        <v>36</v>
      </c>
      <c r="I47" s="42" t="s">
        <v>252</v>
      </c>
      <c r="J47" s="41">
        <v>27133.0</v>
      </c>
    </row>
    <row r="48" ht="60.0" customHeight="1">
      <c r="A48" s="39">
        <v>45.0</v>
      </c>
      <c r="B48" s="40" t="s">
        <v>253</v>
      </c>
      <c r="C48" s="40" t="s">
        <v>254</v>
      </c>
      <c r="D48" s="40" t="s">
        <v>255</v>
      </c>
      <c r="E48" s="40" t="s">
        <v>256</v>
      </c>
      <c r="F48" s="39" t="str">
        <f t="shared" si="1"/>
        <v>CORRECT</v>
      </c>
      <c r="G48" s="39" t="s">
        <v>36</v>
      </c>
      <c r="H48" s="41" t="s">
        <v>36</v>
      </c>
      <c r="I48" s="42" t="s">
        <v>257</v>
      </c>
      <c r="J48" s="41">
        <v>32468.0</v>
      </c>
    </row>
    <row r="49" ht="60.0" customHeight="1">
      <c r="A49" s="39">
        <v>46.0</v>
      </c>
      <c r="B49" s="40" t="s">
        <v>258</v>
      </c>
      <c r="C49" s="40" t="s">
        <v>39</v>
      </c>
      <c r="D49" s="40" t="s">
        <v>259</v>
      </c>
      <c r="E49" s="40" t="s">
        <v>260</v>
      </c>
      <c r="F49" s="39" t="str">
        <f t="shared" si="1"/>
        <v>CORRECT</v>
      </c>
      <c r="G49" s="39" t="s">
        <v>36</v>
      </c>
      <c r="H49" s="41" t="s">
        <v>36</v>
      </c>
      <c r="I49" s="42" t="s">
        <v>261</v>
      </c>
      <c r="J49" s="41">
        <v>26539.0</v>
      </c>
    </row>
    <row r="50">
      <c r="A50" s="44" t="s">
        <v>262</v>
      </c>
      <c r="B50" s="2"/>
      <c r="C50" s="2"/>
      <c r="D50" s="2"/>
      <c r="E50" s="3"/>
      <c r="F50" s="45">
        <f>COUNTIFS(F4:F49,"CORRECT")</f>
        <v>30</v>
      </c>
      <c r="G50" s="46"/>
      <c r="H50" s="46"/>
      <c r="J50" s="47">
        <f>AVERAGE(J4:J49)</f>
        <v>32655.97826</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278</v>
      </c>
      <c r="C2" s="2"/>
      <c r="D2" s="2"/>
      <c r="E2" s="2"/>
      <c r="F2" s="2"/>
      <c r="G2" s="2"/>
      <c r="H2" s="3"/>
      <c r="I2" s="37" t="s">
        <v>279</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21330.0</v>
      </c>
    </row>
    <row r="5" ht="60.0" customHeight="1">
      <c r="A5" s="39">
        <v>2.0</v>
      </c>
      <c r="B5" s="40" t="s">
        <v>38</v>
      </c>
      <c r="C5" s="40" t="s">
        <v>39</v>
      </c>
      <c r="D5" s="40" t="s">
        <v>40</v>
      </c>
      <c r="E5" s="40" t="s">
        <v>41</v>
      </c>
      <c r="F5" s="39" t="str">
        <f t="shared" si="1"/>
        <v>CORRECT</v>
      </c>
      <c r="G5" s="39" t="s">
        <v>42</v>
      </c>
      <c r="H5" s="43" t="s">
        <v>42</v>
      </c>
      <c r="I5" s="42" t="s">
        <v>280</v>
      </c>
      <c r="J5" s="41">
        <v>52614.0</v>
      </c>
    </row>
    <row r="6" ht="60.0" customHeight="1">
      <c r="A6" s="39">
        <v>3.0</v>
      </c>
      <c r="B6" s="40" t="s">
        <v>44</v>
      </c>
      <c r="C6" s="40" t="s">
        <v>45</v>
      </c>
      <c r="D6" s="40" t="s">
        <v>46</v>
      </c>
      <c r="E6" s="40" t="s">
        <v>47</v>
      </c>
      <c r="F6" s="39" t="str">
        <f t="shared" si="1"/>
        <v>CORRECT</v>
      </c>
      <c r="G6" s="39" t="s">
        <v>48</v>
      </c>
      <c r="H6" s="41" t="s">
        <v>48</v>
      </c>
      <c r="I6" s="42" t="s">
        <v>49</v>
      </c>
      <c r="J6" s="41">
        <v>33964.0</v>
      </c>
    </row>
    <row r="7" ht="60.0" customHeight="1">
      <c r="A7" s="39">
        <v>4.0</v>
      </c>
      <c r="B7" s="40" t="s">
        <v>50</v>
      </c>
      <c r="C7" s="40" t="s">
        <v>51</v>
      </c>
      <c r="D7" s="40" t="s">
        <v>52</v>
      </c>
      <c r="E7" s="40" t="s">
        <v>53</v>
      </c>
      <c r="F7" s="39" t="str">
        <f t="shared" si="1"/>
        <v>CORRECT</v>
      </c>
      <c r="G7" s="39" t="s">
        <v>42</v>
      </c>
      <c r="H7" s="41" t="s">
        <v>42</v>
      </c>
      <c r="I7" s="42" t="s">
        <v>54</v>
      </c>
      <c r="J7" s="41">
        <v>24600.0</v>
      </c>
    </row>
    <row r="8" ht="60.0" customHeight="1">
      <c r="A8" s="39">
        <v>5.0</v>
      </c>
      <c r="B8" s="40" t="s">
        <v>55</v>
      </c>
      <c r="C8" s="40" t="s">
        <v>56</v>
      </c>
      <c r="D8" s="40" t="s">
        <v>57</v>
      </c>
      <c r="E8" s="40" t="s">
        <v>58</v>
      </c>
      <c r="F8" s="39" t="str">
        <f t="shared" si="1"/>
        <v>CORRECT</v>
      </c>
      <c r="G8" s="39" t="s">
        <v>48</v>
      </c>
      <c r="H8" s="43" t="s">
        <v>48</v>
      </c>
      <c r="I8" s="42" t="s">
        <v>281</v>
      </c>
      <c r="J8" s="41">
        <v>62298.0</v>
      </c>
    </row>
    <row r="9" ht="60.0" customHeight="1">
      <c r="A9" s="39">
        <v>6.0</v>
      </c>
      <c r="B9" s="40" t="s">
        <v>60</v>
      </c>
      <c r="C9" s="40" t="s">
        <v>61</v>
      </c>
      <c r="D9" s="40" t="s">
        <v>62</v>
      </c>
      <c r="E9" s="40" t="s">
        <v>63</v>
      </c>
      <c r="F9" s="39" t="str">
        <f t="shared" si="1"/>
        <v>CORRECT</v>
      </c>
      <c r="G9" s="39" t="s">
        <v>42</v>
      </c>
      <c r="H9" s="41" t="s">
        <v>42</v>
      </c>
      <c r="I9" s="42" t="s">
        <v>282</v>
      </c>
      <c r="J9" s="41">
        <v>35035.0</v>
      </c>
    </row>
    <row r="10" ht="60.0" customHeight="1">
      <c r="A10" s="39">
        <v>7.0</v>
      </c>
      <c r="B10" s="40" t="s">
        <v>65</v>
      </c>
      <c r="C10" s="40" t="s">
        <v>66</v>
      </c>
      <c r="D10" s="40" t="s">
        <v>67</v>
      </c>
      <c r="E10" s="40" t="s">
        <v>68</v>
      </c>
      <c r="F10" s="39" t="str">
        <f t="shared" si="1"/>
        <v>WRONG</v>
      </c>
      <c r="G10" s="39" t="s">
        <v>42</v>
      </c>
      <c r="H10" s="41" t="s">
        <v>36</v>
      </c>
      <c r="I10" s="42" t="s">
        <v>283</v>
      </c>
      <c r="J10" s="41">
        <v>38905.0</v>
      </c>
    </row>
    <row r="11" ht="60.0" customHeight="1">
      <c r="A11" s="39">
        <v>8.0</v>
      </c>
      <c r="B11" s="40" t="s">
        <v>70</v>
      </c>
      <c r="C11" s="40" t="s">
        <v>71</v>
      </c>
      <c r="D11" s="40" t="s">
        <v>72</v>
      </c>
      <c r="E11" s="40" t="s">
        <v>73</v>
      </c>
      <c r="F11" s="39" t="str">
        <f t="shared" si="1"/>
        <v>CORRECT</v>
      </c>
      <c r="G11" s="39" t="s">
        <v>48</v>
      </c>
      <c r="H11" s="43" t="s">
        <v>48</v>
      </c>
      <c r="I11" s="42" t="s">
        <v>74</v>
      </c>
      <c r="J11" s="41">
        <v>31602.0</v>
      </c>
    </row>
    <row r="12" ht="60.0" customHeight="1">
      <c r="A12" s="39">
        <v>9.0</v>
      </c>
      <c r="B12" s="40" t="s">
        <v>75</v>
      </c>
      <c r="C12" s="40" t="s">
        <v>76</v>
      </c>
      <c r="D12" s="40" t="s">
        <v>77</v>
      </c>
      <c r="E12" s="40" t="s">
        <v>78</v>
      </c>
      <c r="F12" s="39" t="str">
        <f t="shared" si="1"/>
        <v>CORRECT</v>
      </c>
      <c r="G12" s="39" t="s">
        <v>42</v>
      </c>
      <c r="H12" s="41" t="s">
        <v>42</v>
      </c>
      <c r="I12" s="42" t="s">
        <v>284</v>
      </c>
      <c r="J12" s="41">
        <v>28762.0</v>
      </c>
    </row>
    <row r="13" ht="60.0" customHeight="1">
      <c r="A13" s="39">
        <v>10.0</v>
      </c>
      <c r="B13" s="40" t="s">
        <v>80</v>
      </c>
      <c r="C13" s="40" t="s">
        <v>81</v>
      </c>
      <c r="D13" s="40" t="s">
        <v>82</v>
      </c>
      <c r="E13" s="40" t="s">
        <v>83</v>
      </c>
      <c r="F13" s="39" t="str">
        <f t="shared" si="1"/>
        <v>CORRECT</v>
      </c>
      <c r="G13" s="39" t="s">
        <v>48</v>
      </c>
      <c r="H13" s="41" t="s">
        <v>48</v>
      </c>
      <c r="I13" s="42" t="s">
        <v>285</v>
      </c>
      <c r="J13" s="41">
        <v>31895.0</v>
      </c>
    </row>
    <row r="14" ht="60.0" customHeight="1">
      <c r="A14" s="39">
        <v>11.0</v>
      </c>
      <c r="B14" s="40" t="s">
        <v>85</v>
      </c>
      <c r="C14" s="40" t="s">
        <v>86</v>
      </c>
      <c r="D14" s="40" t="s">
        <v>87</v>
      </c>
      <c r="E14" s="40" t="s">
        <v>88</v>
      </c>
      <c r="F14" s="39" t="str">
        <f t="shared" si="1"/>
        <v>CORRECT</v>
      </c>
      <c r="G14" s="39" t="s">
        <v>42</v>
      </c>
      <c r="H14" s="41" t="s">
        <v>42</v>
      </c>
      <c r="I14" s="42" t="s">
        <v>272</v>
      </c>
      <c r="J14" s="41">
        <v>40067.0</v>
      </c>
    </row>
    <row r="15" ht="60.0" customHeight="1">
      <c r="A15" s="39">
        <v>12.0</v>
      </c>
      <c r="B15" s="40" t="s">
        <v>90</v>
      </c>
      <c r="C15" s="40" t="s">
        <v>91</v>
      </c>
      <c r="D15" s="40" t="s">
        <v>92</v>
      </c>
      <c r="E15" s="40" t="s">
        <v>93</v>
      </c>
      <c r="F15" s="39" t="str">
        <f t="shared" si="1"/>
        <v>CORRECT</v>
      </c>
      <c r="G15" s="39" t="s">
        <v>48</v>
      </c>
      <c r="H15" s="41" t="s">
        <v>48</v>
      </c>
      <c r="I15" s="42" t="s">
        <v>286</v>
      </c>
      <c r="J15" s="41">
        <v>39127.0</v>
      </c>
    </row>
    <row r="16" ht="60.0" customHeight="1">
      <c r="A16" s="39">
        <v>13.0</v>
      </c>
      <c r="B16" s="40" t="s">
        <v>95</v>
      </c>
      <c r="C16" s="40" t="s">
        <v>96</v>
      </c>
      <c r="D16" s="40" t="s">
        <v>97</v>
      </c>
      <c r="E16" s="40" t="s">
        <v>98</v>
      </c>
      <c r="F16" s="39" t="str">
        <f t="shared" si="1"/>
        <v>CORRECT</v>
      </c>
      <c r="G16" s="39" t="s">
        <v>36</v>
      </c>
      <c r="H16" s="43" t="s">
        <v>36</v>
      </c>
      <c r="I16" s="42" t="s">
        <v>287</v>
      </c>
      <c r="J16" s="41">
        <v>28255.0</v>
      </c>
    </row>
    <row r="17" ht="60.0" customHeight="1">
      <c r="A17" s="39">
        <v>14.0</v>
      </c>
      <c r="B17" s="40" t="s">
        <v>100</v>
      </c>
      <c r="C17" s="40" t="s">
        <v>101</v>
      </c>
      <c r="D17" s="40" t="s">
        <v>102</v>
      </c>
      <c r="E17" s="40" t="s">
        <v>103</v>
      </c>
      <c r="F17" s="39" t="str">
        <f t="shared" si="1"/>
        <v>WRONG</v>
      </c>
      <c r="G17" s="39" t="s">
        <v>36</v>
      </c>
      <c r="H17" s="43" t="s">
        <v>48</v>
      </c>
      <c r="I17" s="42" t="s">
        <v>288</v>
      </c>
      <c r="J17" s="41">
        <v>32441.0</v>
      </c>
    </row>
    <row r="18" ht="60.0" customHeight="1">
      <c r="A18" s="39">
        <v>15.0</v>
      </c>
      <c r="B18" s="40" t="s">
        <v>105</v>
      </c>
      <c r="C18" s="40" t="s">
        <v>106</v>
      </c>
      <c r="D18" s="40" t="s">
        <v>107</v>
      </c>
      <c r="E18" s="40" t="s">
        <v>108</v>
      </c>
      <c r="F18" s="39" t="str">
        <f t="shared" si="1"/>
        <v>CORRECT</v>
      </c>
      <c r="G18" s="39" t="s">
        <v>48</v>
      </c>
      <c r="H18" s="43" t="s">
        <v>48</v>
      </c>
      <c r="I18" s="42" t="s">
        <v>289</v>
      </c>
      <c r="J18" s="41">
        <v>35636.0</v>
      </c>
    </row>
    <row r="19" ht="60.0" customHeight="1">
      <c r="A19" s="39">
        <v>16.0</v>
      </c>
      <c r="B19" s="40" t="s">
        <v>110</v>
      </c>
      <c r="C19" s="40" t="s">
        <v>111</v>
      </c>
      <c r="D19" s="40" t="s">
        <v>112</v>
      </c>
      <c r="E19" s="40" t="s">
        <v>113</v>
      </c>
      <c r="F19" s="39" t="str">
        <f t="shared" si="1"/>
        <v>CORRECT</v>
      </c>
      <c r="G19" s="39" t="s">
        <v>48</v>
      </c>
      <c r="H19" s="43" t="s">
        <v>48</v>
      </c>
      <c r="I19" s="42" t="s">
        <v>290</v>
      </c>
      <c r="J19" s="41">
        <v>34327.0</v>
      </c>
    </row>
    <row r="20" ht="60.0" customHeight="1">
      <c r="A20" s="39">
        <v>17.0</v>
      </c>
      <c r="B20" s="40" t="s">
        <v>115</v>
      </c>
      <c r="C20" s="40" t="s">
        <v>116</v>
      </c>
      <c r="D20" s="40" t="s">
        <v>117</v>
      </c>
      <c r="E20" s="40" t="s">
        <v>118</v>
      </c>
      <c r="F20" s="39" t="str">
        <f t="shared" si="1"/>
        <v>WRONG</v>
      </c>
      <c r="G20" s="39" t="s">
        <v>42</v>
      </c>
      <c r="H20" s="41" t="s">
        <v>36</v>
      </c>
      <c r="I20" s="42" t="s">
        <v>119</v>
      </c>
      <c r="J20" s="41">
        <v>31153.0</v>
      </c>
    </row>
    <row r="21" ht="60.0" customHeight="1">
      <c r="A21" s="39">
        <v>18.0</v>
      </c>
      <c r="B21" s="40" t="s">
        <v>120</v>
      </c>
      <c r="C21" s="40" t="s">
        <v>121</v>
      </c>
      <c r="D21" s="40" t="s">
        <v>122</v>
      </c>
      <c r="E21" s="40" t="s">
        <v>123</v>
      </c>
      <c r="F21" s="39" t="str">
        <f t="shared" si="1"/>
        <v>CORRECT</v>
      </c>
      <c r="G21" s="39" t="s">
        <v>42</v>
      </c>
      <c r="H21" s="43" t="s">
        <v>42</v>
      </c>
      <c r="I21" s="42" t="s">
        <v>291</v>
      </c>
      <c r="J21" s="41">
        <v>22536.0</v>
      </c>
    </row>
    <row r="22" ht="60.0" customHeight="1">
      <c r="A22" s="39">
        <v>19.0</v>
      </c>
      <c r="B22" s="40" t="s">
        <v>125</v>
      </c>
      <c r="C22" s="40" t="s">
        <v>126</v>
      </c>
      <c r="D22" s="40" t="s">
        <v>127</v>
      </c>
      <c r="E22" s="40" t="s">
        <v>128</v>
      </c>
      <c r="F22" s="39" t="str">
        <f t="shared" si="1"/>
        <v>WRONG</v>
      </c>
      <c r="G22" s="39" t="s">
        <v>36</v>
      </c>
      <c r="H22" s="43" t="s">
        <v>48</v>
      </c>
      <c r="I22" s="42" t="s">
        <v>292</v>
      </c>
      <c r="J22" s="41">
        <v>50478.0</v>
      </c>
    </row>
    <row r="23" ht="60.0" customHeight="1">
      <c r="A23" s="39">
        <v>20.0</v>
      </c>
      <c r="B23" s="40" t="s">
        <v>130</v>
      </c>
      <c r="C23" s="40" t="s">
        <v>131</v>
      </c>
      <c r="D23" s="40" t="s">
        <v>132</v>
      </c>
      <c r="E23" s="40" t="s">
        <v>133</v>
      </c>
      <c r="F23" s="39" t="str">
        <f t="shared" si="1"/>
        <v>WRONG</v>
      </c>
      <c r="G23" s="39" t="s">
        <v>42</v>
      </c>
      <c r="H23" s="43" t="s">
        <v>48</v>
      </c>
      <c r="I23" s="42" t="s">
        <v>134</v>
      </c>
      <c r="J23" s="41">
        <v>22393.0</v>
      </c>
    </row>
    <row r="24" ht="60.0" customHeight="1">
      <c r="A24" s="39">
        <v>21.0</v>
      </c>
      <c r="B24" s="40" t="s">
        <v>135</v>
      </c>
      <c r="C24" s="40" t="s">
        <v>136</v>
      </c>
      <c r="D24" s="40" t="s">
        <v>137</v>
      </c>
      <c r="E24" s="40" t="s">
        <v>138</v>
      </c>
      <c r="F24" s="39" t="str">
        <f t="shared" si="1"/>
        <v>WRONG</v>
      </c>
      <c r="G24" s="39" t="s">
        <v>42</v>
      </c>
      <c r="H24" s="41" t="s">
        <v>36</v>
      </c>
      <c r="I24" s="42" t="s">
        <v>139</v>
      </c>
      <c r="J24" s="41">
        <v>21787.0</v>
      </c>
    </row>
    <row r="25" ht="60.0" customHeight="1">
      <c r="A25" s="39">
        <v>22.0</v>
      </c>
      <c r="B25" s="40" t="s">
        <v>140</v>
      </c>
      <c r="C25" s="40" t="s">
        <v>141</v>
      </c>
      <c r="D25" s="40" t="s">
        <v>142</v>
      </c>
      <c r="E25" s="40" t="s">
        <v>143</v>
      </c>
      <c r="F25" s="39" t="str">
        <f t="shared" si="1"/>
        <v>CORRECT</v>
      </c>
      <c r="G25" s="39" t="s">
        <v>42</v>
      </c>
      <c r="H25" s="41" t="s">
        <v>42</v>
      </c>
      <c r="I25" s="42" t="s">
        <v>144</v>
      </c>
      <c r="J25" s="41">
        <v>23716.0</v>
      </c>
    </row>
    <row r="26" ht="60.0" customHeight="1">
      <c r="A26" s="39">
        <v>23.0</v>
      </c>
      <c r="B26" s="40" t="s">
        <v>145</v>
      </c>
      <c r="C26" s="40" t="s">
        <v>146</v>
      </c>
      <c r="D26" s="40" t="s">
        <v>147</v>
      </c>
      <c r="E26" s="40" t="s">
        <v>148</v>
      </c>
      <c r="F26" s="39" t="str">
        <f t="shared" si="1"/>
        <v>CORRECT</v>
      </c>
      <c r="G26" s="39" t="s">
        <v>48</v>
      </c>
      <c r="H26" s="41" t="s">
        <v>48</v>
      </c>
      <c r="I26" s="42" t="s">
        <v>293</v>
      </c>
      <c r="J26" s="41">
        <v>29016.0</v>
      </c>
    </row>
    <row r="27" ht="60.0" customHeight="1">
      <c r="A27" s="39">
        <v>24.0</v>
      </c>
      <c r="B27" s="40" t="s">
        <v>150</v>
      </c>
      <c r="C27" s="40" t="s">
        <v>151</v>
      </c>
      <c r="D27" s="40" t="s">
        <v>152</v>
      </c>
      <c r="E27" s="40" t="s">
        <v>153</v>
      </c>
      <c r="F27" s="39" t="str">
        <f t="shared" si="1"/>
        <v>CORRECT</v>
      </c>
      <c r="G27" s="39" t="s">
        <v>36</v>
      </c>
      <c r="H27" s="41" t="s">
        <v>36</v>
      </c>
      <c r="I27" s="42" t="s">
        <v>154</v>
      </c>
      <c r="J27" s="41">
        <v>22967.0</v>
      </c>
    </row>
    <row r="28" ht="60.0" customHeight="1">
      <c r="A28" s="39">
        <v>25.0</v>
      </c>
      <c r="B28" s="40" t="s">
        <v>155</v>
      </c>
      <c r="C28" s="40" t="s">
        <v>151</v>
      </c>
      <c r="D28" s="40" t="s">
        <v>156</v>
      </c>
      <c r="E28" s="40" t="s">
        <v>153</v>
      </c>
      <c r="F28" s="39" t="str">
        <f t="shared" si="1"/>
        <v>WRONG</v>
      </c>
      <c r="G28" s="39" t="s">
        <v>48</v>
      </c>
      <c r="H28" s="41" t="s">
        <v>36</v>
      </c>
      <c r="I28" s="42" t="s">
        <v>157</v>
      </c>
      <c r="J28" s="41">
        <v>29523.0</v>
      </c>
    </row>
    <row r="29" ht="60.0" customHeight="1">
      <c r="A29" s="39">
        <v>26.0</v>
      </c>
      <c r="B29" s="40" t="s">
        <v>158</v>
      </c>
      <c r="C29" s="40" t="s">
        <v>159</v>
      </c>
      <c r="D29" s="40" t="s">
        <v>160</v>
      </c>
      <c r="E29" s="40" t="s">
        <v>161</v>
      </c>
      <c r="F29" s="39" t="str">
        <f t="shared" si="1"/>
        <v>WRONG</v>
      </c>
      <c r="G29" s="39" t="s">
        <v>36</v>
      </c>
      <c r="H29" s="43" t="s">
        <v>48</v>
      </c>
      <c r="I29" s="42" t="s">
        <v>294</v>
      </c>
      <c r="J29" s="41">
        <v>36322.0</v>
      </c>
    </row>
    <row r="30" ht="60.0" customHeight="1">
      <c r="A30" s="39">
        <v>27.0</v>
      </c>
      <c r="B30" s="40" t="s">
        <v>163</v>
      </c>
      <c r="C30" s="40" t="s">
        <v>164</v>
      </c>
      <c r="D30" s="40" t="s">
        <v>165</v>
      </c>
      <c r="E30" s="40" t="s">
        <v>166</v>
      </c>
      <c r="F30" s="39" t="str">
        <f t="shared" si="1"/>
        <v>CORRECT</v>
      </c>
      <c r="G30" s="39" t="s">
        <v>42</v>
      </c>
      <c r="H30" s="41" t="s">
        <v>42</v>
      </c>
      <c r="I30" s="42" t="s">
        <v>295</v>
      </c>
      <c r="J30" s="41">
        <v>28689.0</v>
      </c>
    </row>
    <row r="31" ht="60.0" customHeight="1">
      <c r="A31" s="39">
        <v>28.0</v>
      </c>
      <c r="B31" s="40" t="s">
        <v>168</v>
      </c>
      <c r="C31" s="40" t="s">
        <v>169</v>
      </c>
      <c r="D31" s="40" t="s">
        <v>170</v>
      </c>
      <c r="E31" s="40" t="s">
        <v>171</v>
      </c>
      <c r="F31" s="39" t="str">
        <f t="shared" si="1"/>
        <v>WRONG</v>
      </c>
      <c r="G31" s="39" t="s">
        <v>36</v>
      </c>
      <c r="H31" s="41" t="s">
        <v>48</v>
      </c>
      <c r="I31" s="42" t="s">
        <v>296</v>
      </c>
      <c r="J31" s="41">
        <v>25336.0</v>
      </c>
    </row>
    <row r="32" ht="60.0" customHeight="1">
      <c r="A32" s="39">
        <v>29.0</v>
      </c>
      <c r="B32" s="40" t="s">
        <v>173</v>
      </c>
      <c r="C32" s="40" t="s">
        <v>174</v>
      </c>
      <c r="D32" s="40" t="s">
        <v>175</v>
      </c>
      <c r="E32" s="40" t="s">
        <v>176</v>
      </c>
      <c r="F32" s="39" t="str">
        <f t="shared" si="1"/>
        <v>CORRECT</v>
      </c>
      <c r="G32" s="39" t="s">
        <v>42</v>
      </c>
      <c r="H32" s="41" t="s">
        <v>42</v>
      </c>
      <c r="I32" s="42" t="s">
        <v>177</v>
      </c>
      <c r="J32" s="41">
        <v>43877.0</v>
      </c>
    </row>
    <row r="33" ht="60.0" customHeight="1">
      <c r="A33" s="39">
        <v>30.0</v>
      </c>
      <c r="B33" s="40" t="s">
        <v>178</v>
      </c>
      <c r="C33" s="40" t="s">
        <v>179</v>
      </c>
      <c r="D33" s="40" t="s">
        <v>180</v>
      </c>
      <c r="E33" s="40" t="s">
        <v>181</v>
      </c>
      <c r="F33" s="39" t="str">
        <f t="shared" si="1"/>
        <v>WRONG</v>
      </c>
      <c r="G33" s="39" t="s">
        <v>48</v>
      </c>
      <c r="H33" s="41" t="s">
        <v>36</v>
      </c>
      <c r="I33" s="42" t="s">
        <v>182</v>
      </c>
      <c r="J33" s="41">
        <v>37823.0</v>
      </c>
    </row>
    <row r="34" ht="60.0" customHeight="1">
      <c r="A34" s="39">
        <v>31.0</v>
      </c>
      <c r="B34" s="40" t="s">
        <v>183</v>
      </c>
      <c r="C34" s="40" t="s">
        <v>184</v>
      </c>
      <c r="D34" s="40" t="s">
        <v>185</v>
      </c>
      <c r="E34" s="40" t="s">
        <v>186</v>
      </c>
      <c r="F34" s="39" t="str">
        <f t="shared" si="1"/>
        <v>WRONG</v>
      </c>
      <c r="G34" s="39" t="s">
        <v>42</v>
      </c>
      <c r="H34" s="41" t="s">
        <v>36</v>
      </c>
      <c r="I34" s="42" t="s">
        <v>297</v>
      </c>
      <c r="J34" s="41">
        <v>34839.0</v>
      </c>
    </row>
    <row r="35" ht="60.0" customHeight="1">
      <c r="A35" s="39">
        <v>32.0</v>
      </c>
      <c r="B35" s="40" t="s">
        <v>188</v>
      </c>
      <c r="C35" s="40" t="s">
        <v>189</v>
      </c>
      <c r="D35" s="40" t="s">
        <v>190</v>
      </c>
      <c r="E35" s="40" t="s">
        <v>191</v>
      </c>
      <c r="F35" s="39" t="str">
        <f t="shared" si="1"/>
        <v>CORRECT</v>
      </c>
      <c r="G35" s="39" t="s">
        <v>36</v>
      </c>
      <c r="H35" s="41" t="s">
        <v>36</v>
      </c>
      <c r="I35" s="42" t="s">
        <v>298</v>
      </c>
      <c r="J35" s="41">
        <v>52061.0</v>
      </c>
    </row>
    <row r="36" ht="60.0" customHeight="1">
      <c r="A36" s="39">
        <v>33.0</v>
      </c>
      <c r="B36" s="40" t="s">
        <v>193</v>
      </c>
      <c r="C36" s="40" t="s">
        <v>194</v>
      </c>
      <c r="D36" s="40" t="s">
        <v>195</v>
      </c>
      <c r="E36" s="40" t="s">
        <v>196</v>
      </c>
      <c r="F36" s="39" t="str">
        <f t="shared" si="1"/>
        <v>CORRECT</v>
      </c>
      <c r="G36" s="39" t="s">
        <v>48</v>
      </c>
      <c r="H36" s="43" t="s">
        <v>48</v>
      </c>
      <c r="I36" s="42" t="s">
        <v>197</v>
      </c>
      <c r="J36" s="41">
        <v>41549.0</v>
      </c>
    </row>
    <row r="37" ht="60.0" customHeight="1">
      <c r="A37" s="39">
        <v>34.0</v>
      </c>
      <c r="B37" s="40" t="s">
        <v>198</v>
      </c>
      <c r="C37" s="40" t="s">
        <v>199</v>
      </c>
      <c r="D37" s="40" t="s">
        <v>200</v>
      </c>
      <c r="E37" s="40" t="s">
        <v>201</v>
      </c>
      <c r="F37" s="39" t="str">
        <f t="shared" si="1"/>
        <v>CORRECT</v>
      </c>
      <c r="G37" s="39" t="s">
        <v>36</v>
      </c>
      <c r="H37" s="41" t="s">
        <v>36</v>
      </c>
      <c r="I37" s="42" t="s">
        <v>299</v>
      </c>
      <c r="J37" s="41">
        <v>32578.0</v>
      </c>
    </row>
    <row r="38" ht="60.0" customHeight="1">
      <c r="A38" s="39">
        <v>35.0</v>
      </c>
      <c r="B38" s="40" t="s">
        <v>203</v>
      </c>
      <c r="C38" s="40" t="s">
        <v>204</v>
      </c>
      <c r="D38" s="40" t="s">
        <v>205</v>
      </c>
      <c r="E38" s="40" t="s">
        <v>206</v>
      </c>
      <c r="F38" s="39" t="str">
        <f t="shared" si="1"/>
        <v>WRONG</v>
      </c>
      <c r="G38" s="39" t="s">
        <v>48</v>
      </c>
      <c r="H38" s="43" t="s">
        <v>36</v>
      </c>
      <c r="I38" s="42" t="s">
        <v>277</v>
      </c>
      <c r="J38" s="41">
        <v>36860.0</v>
      </c>
    </row>
    <row r="39" ht="60.0" customHeight="1">
      <c r="A39" s="39">
        <v>36.0</v>
      </c>
      <c r="B39" s="40" t="s">
        <v>208</v>
      </c>
      <c r="C39" s="40" t="s">
        <v>209</v>
      </c>
      <c r="D39" s="40" t="s">
        <v>210</v>
      </c>
      <c r="E39" s="40" t="s">
        <v>211</v>
      </c>
      <c r="F39" s="39" t="str">
        <f t="shared" si="1"/>
        <v>CORRECT</v>
      </c>
      <c r="G39" s="39" t="s">
        <v>36</v>
      </c>
      <c r="H39" s="41" t="s">
        <v>36</v>
      </c>
      <c r="I39" s="42" t="s">
        <v>212</v>
      </c>
      <c r="J39" s="41">
        <v>41281.0</v>
      </c>
    </row>
    <row r="40" ht="60.0" customHeight="1">
      <c r="A40" s="39">
        <v>37.0</v>
      </c>
      <c r="B40" s="40" t="s">
        <v>213</v>
      </c>
      <c r="C40" s="40" t="s">
        <v>214</v>
      </c>
      <c r="D40" s="40" t="s">
        <v>215</v>
      </c>
      <c r="E40" s="40" t="s">
        <v>216</v>
      </c>
      <c r="F40" s="39" t="str">
        <f t="shared" si="1"/>
        <v>WRONG</v>
      </c>
      <c r="G40" s="39" t="s">
        <v>36</v>
      </c>
      <c r="H40" s="41" t="s">
        <v>42</v>
      </c>
      <c r="I40" s="42" t="s">
        <v>300</v>
      </c>
      <c r="J40" s="41">
        <v>27328.0</v>
      </c>
    </row>
    <row r="41" ht="60.0" customHeight="1">
      <c r="A41" s="39">
        <v>38.0</v>
      </c>
      <c r="B41" s="40" t="s">
        <v>218</v>
      </c>
      <c r="C41" s="40" t="s">
        <v>219</v>
      </c>
      <c r="D41" s="40" t="s">
        <v>220</v>
      </c>
      <c r="E41" s="40" t="s">
        <v>221</v>
      </c>
      <c r="F41" s="39" t="str">
        <f t="shared" si="1"/>
        <v>CORRECT</v>
      </c>
      <c r="G41" s="39" t="s">
        <v>36</v>
      </c>
      <c r="H41" s="43" t="s">
        <v>36</v>
      </c>
      <c r="I41" s="42" t="s">
        <v>301</v>
      </c>
      <c r="J41" s="41">
        <v>37192.0</v>
      </c>
    </row>
    <row r="42" ht="60.0" customHeight="1">
      <c r="A42" s="39">
        <v>39.0</v>
      </c>
      <c r="B42" s="40" t="s">
        <v>223</v>
      </c>
      <c r="C42" s="40" t="s">
        <v>224</v>
      </c>
      <c r="D42" s="40" t="s">
        <v>225</v>
      </c>
      <c r="E42" s="40" t="s">
        <v>226</v>
      </c>
      <c r="F42" s="39" t="str">
        <f t="shared" si="1"/>
        <v>WRONG</v>
      </c>
      <c r="G42" s="39" t="s">
        <v>42</v>
      </c>
      <c r="H42" s="41" t="s">
        <v>48</v>
      </c>
      <c r="I42" s="42" t="s">
        <v>302</v>
      </c>
      <c r="J42" s="41">
        <v>34416.0</v>
      </c>
    </row>
    <row r="43" ht="60.0" customHeight="1">
      <c r="A43" s="39">
        <v>40.0</v>
      </c>
      <c r="B43" s="40" t="s">
        <v>228</v>
      </c>
      <c r="C43" s="40" t="s">
        <v>229</v>
      </c>
      <c r="D43" s="40" t="s">
        <v>230</v>
      </c>
      <c r="E43" s="40" t="s">
        <v>231</v>
      </c>
      <c r="F43" s="39" t="str">
        <f t="shared" si="1"/>
        <v>CORRECT</v>
      </c>
      <c r="G43" s="39" t="s">
        <v>48</v>
      </c>
      <c r="H43" s="41" t="s">
        <v>48</v>
      </c>
      <c r="I43" s="42" t="s">
        <v>232</v>
      </c>
      <c r="J43" s="41">
        <v>43106.0</v>
      </c>
    </row>
    <row r="44" ht="60.0" customHeight="1">
      <c r="A44" s="39">
        <v>41.0</v>
      </c>
      <c r="B44" s="40" t="s">
        <v>233</v>
      </c>
      <c r="C44" s="40" t="s">
        <v>234</v>
      </c>
      <c r="D44" s="40" t="s">
        <v>235</v>
      </c>
      <c r="E44" s="40" t="s">
        <v>236</v>
      </c>
      <c r="F44" s="39" t="str">
        <f t="shared" si="1"/>
        <v>CORRECT</v>
      </c>
      <c r="G44" s="39" t="s">
        <v>42</v>
      </c>
      <c r="H44" s="41" t="s">
        <v>42</v>
      </c>
      <c r="I44" s="42" t="s">
        <v>237</v>
      </c>
      <c r="J44" s="41">
        <v>15536.0</v>
      </c>
    </row>
    <row r="45" ht="60.0" customHeight="1">
      <c r="A45" s="39">
        <v>42.0</v>
      </c>
      <c r="B45" s="40" t="s">
        <v>238</v>
      </c>
      <c r="C45" s="40" t="s">
        <v>239</v>
      </c>
      <c r="D45" s="40" t="s">
        <v>240</v>
      </c>
      <c r="E45" s="40" t="s">
        <v>241</v>
      </c>
      <c r="F45" s="39" t="str">
        <f t="shared" si="1"/>
        <v>WRONG</v>
      </c>
      <c r="G45" s="39" t="s">
        <v>36</v>
      </c>
      <c r="H45" s="43" t="s">
        <v>42</v>
      </c>
      <c r="I45" s="42" t="s">
        <v>242</v>
      </c>
      <c r="J45" s="41">
        <v>36069.0</v>
      </c>
    </row>
    <row r="46" ht="60.0" customHeight="1">
      <c r="A46" s="39">
        <v>43.0</v>
      </c>
      <c r="B46" s="40" t="s">
        <v>243</v>
      </c>
      <c r="C46" s="40" t="s">
        <v>244</v>
      </c>
      <c r="D46" s="40" t="s">
        <v>245</v>
      </c>
      <c r="E46" s="40" t="s">
        <v>246</v>
      </c>
      <c r="F46" s="39" t="str">
        <f t="shared" si="1"/>
        <v>WRONG</v>
      </c>
      <c r="G46" s="39" t="s">
        <v>48</v>
      </c>
      <c r="H46" s="41" t="s">
        <v>36</v>
      </c>
      <c r="I46" s="42" t="s">
        <v>303</v>
      </c>
      <c r="J46" s="41">
        <v>26942.0</v>
      </c>
    </row>
    <row r="47" ht="60.0" customHeight="1">
      <c r="A47" s="39">
        <v>44.0</v>
      </c>
      <c r="B47" s="40" t="s">
        <v>248</v>
      </c>
      <c r="C47" s="40" t="s">
        <v>249</v>
      </c>
      <c r="D47" s="40" t="s">
        <v>250</v>
      </c>
      <c r="E47" s="40" t="s">
        <v>251</v>
      </c>
      <c r="F47" s="39" t="str">
        <f t="shared" si="1"/>
        <v>CORRECT</v>
      </c>
      <c r="G47" s="39" t="s">
        <v>36</v>
      </c>
      <c r="H47" s="43" t="s">
        <v>36</v>
      </c>
      <c r="I47" s="42" t="s">
        <v>252</v>
      </c>
      <c r="J47" s="41">
        <v>24884.0</v>
      </c>
    </row>
    <row r="48" ht="60.0" customHeight="1">
      <c r="A48" s="39">
        <v>45.0</v>
      </c>
      <c r="B48" s="40" t="s">
        <v>253</v>
      </c>
      <c r="C48" s="40" t="s">
        <v>254</v>
      </c>
      <c r="D48" s="40" t="s">
        <v>255</v>
      </c>
      <c r="E48" s="40" t="s">
        <v>256</v>
      </c>
      <c r="F48" s="39" t="str">
        <f t="shared" si="1"/>
        <v>CORRECT</v>
      </c>
      <c r="G48" s="39" t="s">
        <v>36</v>
      </c>
      <c r="H48" s="41" t="s">
        <v>36</v>
      </c>
      <c r="I48" s="42" t="s">
        <v>304</v>
      </c>
      <c r="J48" s="41">
        <v>29333.0</v>
      </c>
    </row>
    <row r="49" ht="60.0" customHeight="1">
      <c r="A49" s="39">
        <v>46.0</v>
      </c>
      <c r="B49" s="40" t="s">
        <v>258</v>
      </c>
      <c r="C49" s="40" t="s">
        <v>39</v>
      </c>
      <c r="D49" s="40" t="s">
        <v>259</v>
      </c>
      <c r="E49" s="40" t="s">
        <v>260</v>
      </c>
      <c r="F49" s="39" t="str">
        <f t="shared" si="1"/>
        <v>CORRECT</v>
      </c>
      <c r="G49" s="39" t="s">
        <v>36</v>
      </c>
      <c r="H49" s="41" t="s">
        <v>36</v>
      </c>
      <c r="I49" s="42" t="s">
        <v>261</v>
      </c>
      <c r="J49" s="41">
        <v>26834.0</v>
      </c>
    </row>
    <row r="50">
      <c r="A50" s="44" t="s">
        <v>262</v>
      </c>
      <c r="B50" s="2"/>
      <c r="C50" s="2"/>
      <c r="D50" s="2"/>
      <c r="E50" s="3"/>
      <c r="F50" s="45">
        <f>COUNTIFS(F4:F49,"CORRECT")</f>
        <v>30</v>
      </c>
      <c r="G50" s="46"/>
      <c r="H50" s="46"/>
      <c r="J50" s="47">
        <f>AVERAGE(J4:J49)</f>
        <v>33419.17391</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305</v>
      </c>
      <c r="C2" s="2"/>
      <c r="D2" s="2"/>
      <c r="E2" s="2"/>
      <c r="F2" s="2"/>
      <c r="G2" s="2"/>
      <c r="H2" s="3"/>
      <c r="I2" s="37" t="s">
        <v>306</v>
      </c>
      <c r="J2" s="3"/>
      <c r="K2" s="34"/>
      <c r="L2" s="34"/>
      <c r="M2" s="34"/>
      <c r="N2" s="52" t="s">
        <v>307</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3" t="s">
        <v>37</v>
      </c>
      <c r="J4" s="41">
        <v>19945.0</v>
      </c>
    </row>
    <row r="5" ht="60.0" customHeight="1">
      <c r="A5" s="39">
        <v>2.0</v>
      </c>
      <c r="B5" s="40" t="s">
        <v>38</v>
      </c>
      <c r="C5" s="40" t="s">
        <v>39</v>
      </c>
      <c r="D5" s="40" t="s">
        <v>40</v>
      </c>
      <c r="E5" s="40" t="s">
        <v>41</v>
      </c>
      <c r="F5" s="39" t="str">
        <f t="shared" si="1"/>
        <v>CORRECT</v>
      </c>
      <c r="G5" s="39" t="s">
        <v>42</v>
      </c>
      <c r="H5" s="43" t="s">
        <v>42</v>
      </c>
      <c r="I5" s="53" t="s">
        <v>308</v>
      </c>
      <c r="J5" s="41">
        <v>42169.0</v>
      </c>
    </row>
    <row r="6" ht="60.0" customHeight="1">
      <c r="A6" s="39">
        <v>3.0</v>
      </c>
      <c r="B6" s="40" t="s">
        <v>44</v>
      </c>
      <c r="C6" s="40" t="s">
        <v>45</v>
      </c>
      <c r="D6" s="40" t="s">
        <v>46</v>
      </c>
      <c r="E6" s="40" t="s">
        <v>47</v>
      </c>
      <c r="F6" s="39" t="str">
        <f t="shared" si="1"/>
        <v>CORRECT</v>
      </c>
      <c r="G6" s="39" t="s">
        <v>48</v>
      </c>
      <c r="H6" s="41" t="s">
        <v>48</v>
      </c>
      <c r="I6" s="53" t="s">
        <v>49</v>
      </c>
      <c r="J6" s="41">
        <v>29924.0</v>
      </c>
    </row>
    <row r="7" ht="60.0" customHeight="1">
      <c r="A7" s="39">
        <v>4.0</v>
      </c>
      <c r="B7" s="40" t="s">
        <v>50</v>
      </c>
      <c r="C7" s="40" t="s">
        <v>51</v>
      </c>
      <c r="D7" s="40" t="s">
        <v>52</v>
      </c>
      <c r="E7" s="40" t="s">
        <v>53</v>
      </c>
      <c r="F7" s="39" t="str">
        <f t="shared" si="1"/>
        <v>CORRECT</v>
      </c>
      <c r="G7" s="39" t="s">
        <v>42</v>
      </c>
      <c r="H7" s="41" t="s">
        <v>42</v>
      </c>
      <c r="I7" s="53" t="s">
        <v>54</v>
      </c>
      <c r="J7" s="41">
        <v>22260.0</v>
      </c>
    </row>
    <row r="8" ht="60.0" customHeight="1">
      <c r="A8" s="39">
        <v>5.0</v>
      </c>
      <c r="B8" s="40" t="s">
        <v>55</v>
      </c>
      <c r="C8" s="40" t="s">
        <v>56</v>
      </c>
      <c r="D8" s="40" t="s">
        <v>57</v>
      </c>
      <c r="E8" s="40" t="s">
        <v>58</v>
      </c>
      <c r="F8" s="39" t="str">
        <f t="shared" si="1"/>
        <v>CORRECT</v>
      </c>
      <c r="G8" s="39" t="s">
        <v>48</v>
      </c>
      <c r="H8" s="43" t="s">
        <v>48</v>
      </c>
      <c r="I8" s="53" t="s">
        <v>268</v>
      </c>
      <c r="J8" s="41">
        <v>66630.0</v>
      </c>
    </row>
    <row r="9" ht="60.0" customHeight="1">
      <c r="A9" s="39">
        <v>6.0</v>
      </c>
      <c r="B9" s="40" t="s">
        <v>60</v>
      </c>
      <c r="C9" s="40" t="s">
        <v>61</v>
      </c>
      <c r="D9" s="40" t="s">
        <v>62</v>
      </c>
      <c r="E9" s="40" t="s">
        <v>63</v>
      </c>
      <c r="F9" s="39" t="str">
        <f t="shared" si="1"/>
        <v>CORRECT</v>
      </c>
      <c r="G9" s="39" t="s">
        <v>42</v>
      </c>
      <c r="H9" s="41" t="s">
        <v>42</v>
      </c>
      <c r="I9" s="53" t="s">
        <v>64</v>
      </c>
      <c r="J9" s="41">
        <v>36060.0</v>
      </c>
    </row>
    <row r="10" ht="60.0" customHeight="1">
      <c r="A10" s="39">
        <v>7.0</v>
      </c>
      <c r="B10" s="40" t="s">
        <v>65</v>
      </c>
      <c r="C10" s="40" t="s">
        <v>66</v>
      </c>
      <c r="D10" s="40" t="s">
        <v>67</v>
      </c>
      <c r="E10" s="40" t="s">
        <v>68</v>
      </c>
      <c r="F10" s="39" t="str">
        <f t="shared" si="1"/>
        <v>WRONG</v>
      </c>
      <c r="G10" s="39" t="s">
        <v>42</v>
      </c>
      <c r="H10" s="41" t="s">
        <v>36</v>
      </c>
      <c r="I10" s="53" t="s">
        <v>269</v>
      </c>
      <c r="J10" s="41">
        <v>32585.0</v>
      </c>
    </row>
    <row r="11" ht="60.0" customHeight="1">
      <c r="A11" s="39">
        <v>8.0</v>
      </c>
      <c r="B11" s="40" t="s">
        <v>70</v>
      </c>
      <c r="C11" s="40" t="s">
        <v>71</v>
      </c>
      <c r="D11" s="40" t="s">
        <v>72</v>
      </c>
      <c r="E11" s="40" t="s">
        <v>73</v>
      </c>
      <c r="F11" s="39" t="str">
        <f t="shared" si="1"/>
        <v>CORRECT</v>
      </c>
      <c r="G11" s="39" t="s">
        <v>48</v>
      </c>
      <c r="H11" s="43" t="s">
        <v>48</v>
      </c>
      <c r="I11" s="53" t="s">
        <v>74</v>
      </c>
      <c r="J11" s="41">
        <v>33495.0</v>
      </c>
    </row>
    <row r="12" ht="60.0" customHeight="1">
      <c r="A12" s="39">
        <v>9.0</v>
      </c>
      <c r="B12" s="40" t="s">
        <v>75</v>
      </c>
      <c r="C12" s="40" t="s">
        <v>76</v>
      </c>
      <c r="D12" s="40" t="s">
        <v>77</v>
      </c>
      <c r="E12" s="40" t="s">
        <v>78</v>
      </c>
      <c r="F12" s="39" t="str">
        <f t="shared" si="1"/>
        <v>WRONG</v>
      </c>
      <c r="G12" s="39" t="s">
        <v>42</v>
      </c>
      <c r="H12" s="41" t="s">
        <v>48</v>
      </c>
      <c r="I12" s="53" t="s">
        <v>270</v>
      </c>
      <c r="J12" s="41">
        <v>42874.0</v>
      </c>
    </row>
    <row r="13" ht="60.0" customHeight="1">
      <c r="A13" s="39">
        <v>10.0</v>
      </c>
      <c r="B13" s="40" t="s">
        <v>80</v>
      </c>
      <c r="C13" s="40" t="s">
        <v>81</v>
      </c>
      <c r="D13" s="40" t="s">
        <v>82</v>
      </c>
      <c r="E13" s="40" t="s">
        <v>83</v>
      </c>
      <c r="F13" s="39" t="str">
        <f t="shared" si="1"/>
        <v>CORRECT</v>
      </c>
      <c r="G13" s="39" t="s">
        <v>48</v>
      </c>
      <c r="H13" s="41" t="s">
        <v>48</v>
      </c>
      <c r="I13" s="53" t="s">
        <v>271</v>
      </c>
      <c r="J13" s="41">
        <v>53153.0</v>
      </c>
    </row>
    <row r="14" ht="60.0" customHeight="1">
      <c r="A14" s="39">
        <v>11.0</v>
      </c>
      <c r="B14" s="40" t="s">
        <v>85</v>
      </c>
      <c r="C14" s="40" t="s">
        <v>86</v>
      </c>
      <c r="D14" s="40" t="s">
        <v>87</v>
      </c>
      <c r="E14" s="40" t="s">
        <v>88</v>
      </c>
      <c r="F14" s="39" t="str">
        <f t="shared" si="1"/>
        <v>CORRECT</v>
      </c>
      <c r="G14" s="39" t="s">
        <v>42</v>
      </c>
      <c r="H14" s="41" t="s">
        <v>42</v>
      </c>
      <c r="I14" s="53" t="s">
        <v>272</v>
      </c>
      <c r="J14" s="41">
        <v>42931.0</v>
      </c>
    </row>
    <row r="15" ht="60.0" customHeight="1">
      <c r="A15" s="39">
        <v>12.0</v>
      </c>
      <c r="B15" s="40" t="s">
        <v>90</v>
      </c>
      <c r="C15" s="40" t="s">
        <v>91</v>
      </c>
      <c r="D15" s="40" t="s">
        <v>92</v>
      </c>
      <c r="E15" s="40" t="s">
        <v>93</v>
      </c>
      <c r="F15" s="39" t="str">
        <f t="shared" si="1"/>
        <v>CORRECT</v>
      </c>
      <c r="G15" s="39" t="s">
        <v>48</v>
      </c>
      <c r="H15" s="41" t="s">
        <v>48</v>
      </c>
      <c r="I15" s="53" t="s">
        <v>273</v>
      </c>
      <c r="J15" s="41">
        <v>42340.0</v>
      </c>
    </row>
    <row r="16" ht="60.0" customHeight="1">
      <c r="A16" s="39">
        <v>13.0</v>
      </c>
      <c r="B16" s="40" t="s">
        <v>95</v>
      </c>
      <c r="C16" s="40" t="s">
        <v>96</v>
      </c>
      <c r="D16" s="40" t="s">
        <v>97</v>
      </c>
      <c r="E16" s="40" t="s">
        <v>98</v>
      </c>
      <c r="F16" s="39" t="str">
        <f t="shared" si="1"/>
        <v>CORRECT</v>
      </c>
      <c r="G16" s="39" t="s">
        <v>36</v>
      </c>
      <c r="H16" s="43" t="s">
        <v>36</v>
      </c>
      <c r="I16" s="53" t="s">
        <v>274</v>
      </c>
      <c r="J16" s="41">
        <v>30289.0</v>
      </c>
    </row>
    <row r="17" ht="60.0" customHeight="1">
      <c r="A17" s="39">
        <v>14.0</v>
      </c>
      <c r="B17" s="40" t="s">
        <v>100</v>
      </c>
      <c r="C17" s="40" t="s">
        <v>101</v>
      </c>
      <c r="D17" s="40" t="s">
        <v>102</v>
      </c>
      <c r="E17" s="40" t="s">
        <v>103</v>
      </c>
      <c r="F17" s="39" t="str">
        <f t="shared" si="1"/>
        <v>WRONG</v>
      </c>
      <c r="G17" s="39" t="s">
        <v>36</v>
      </c>
      <c r="H17" s="43" t="s">
        <v>48</v>
      </c>
      <c r="I17" s="53" t="s">
        <v>104</v>
      </c>
      <c r="J17" s="41">
        <v>35922.0</v>
      </c>
    </row>
    <row r="18" ht="60.0" customHeight="1">
      <c r="A18" s="39">
        <v>15.0</v>
      </c>
      <c r="B18" s="40" t="s">
        <v>105</v>
      </c>
      <c r="C18" s="40" t="s">
        <v>106</v>
      </c>
      <c r="D18" s="40" t="s">
        <v>107</v>
      </c>
      <c r="E18" s="40" t="s">
        <v>108</v>
      </c>
      <c r="F18" s="39" t="str">
        <f t="shared" si="1"/>
        <v>CORRECT</v>
      </c>
      <c r="G18" s="39" t="s">
        <v>48</v>
      </c>
      <c r="H18" s="43" t="s">
        <v>48</v>
      </c>
      <c r="I18" s="53" t="s">
        <v>275</v>
      </c>
      <c r="J18" s="41">
        <v>35379.0</v>
      </c>
    </row>
    <row r="19" ht="60.0" customHeight="1">
      <c r="A19" s="39">
        <v>16.0</v>
      </c>
      <c r="B19" s="40" t="s">
        <v>110</v>
      </c>
      <c r="C19" s="40" t="s">
        <v>111</v>
      </c>
      <c r="D19" s="40" t="s">
        <v>112</v>
      </c>
      <c r="E19" s="40" t="s">
        <v>113</v>
      </c>
      <c r="F19" s="39" t="str">
        <f t="shared" si="1"/>
        <v>CORRECT</v>
      </c>
      <c r="G19" s="39" t="s">
        <v>48</v>
      </c>
      <c r="H19" s="43" t="s">
        <v>48</v>
      </c>
      <c r="I19" s="53" t="s">
        <v>114</v>
      </c>
      <c r="J19" s="41">
        <v>38134.0</v>
      </c>
    </row>
    <row r="20" ht="60.0" customHeight="1">
      <c r="A20" s="39">
        <v>17.0</v>
      </c>
      <c r="B20" s="40" t="s">
        <v>115</v>
      </c>
      <c r="C20" s="40" t="s">
        <v>116</v>
      </c>
      <c r="D20" s="40" t="s">
        <v>117</v>
      </c>
      <c r="E20" s="40" t="s">
        <v>118</v>
      </c>
      <c r="F20" s="39" t="str">
        <f t="shared" si="1"/>
        <v>WRONG</v>
      </c>
      <c r="G20" s="39" t="s">
        <v>42</v>
      </c>
      <c r="H20" s="41" t="s">
        <v>36</v>
      </c>
      <c r="I20" s="53" t="s">
        <v>119</v>
      </c>
      <c r="J20" s="41">
        <v>33482.0</v>
      </c>
    </row>
    <row r="21" ht="60.0" customHeight="1">
      <c r="A21" s="39">
        <v>18.0</v>
      </c>
      <c r="B21" s="40" t="s">
        <v>120</v>
      </c>
      <c r="C21" s="40" t="s">
        <v>121</v>
      </c>
      <c r="D21" s="40" t="s">
        <v>122</v>
      </c>
      <c r="E21" s="40" t="s">
        <v>123</v>
      </c>
      <c r="F21" s="39" t="str">
        <f t="shared" si="1"/>
        <v>CORRECT</v>
      </c>
      <c r="G21" s="39" t="s">
        <v>42</v>
      </c>
      <c r="H21" s="43" t="s">
        <v>42</v>
      </c>
      <c r="I21" s="53" t="s">
        <v>124</v>
      </c>
      <c r="J21" s="41">
        <v>25962.0</v>
      </c>
    </row>
    <row r="22" ht="60.0" customHeight="1">
      <c r="A22" s="39">
        <v>19.0</v>
      </c>
      <c r="B22" s="40" t="s">
        <v>125</v>
      </c>
      <c r="C22" s="40" t="s">
        <v>126</v>
      </c>
      <c r="D22" s="40" t="s">
        <v>127</v>
      </c>
      <c r="E22" s="40" t="s">
        <v>128</v>
      </c>
      <c r="F22" s="39" t="str">
        <f t="shared" si="1"/>
        <v>WRONG</v>
      </c>
      <c r="G22" s="39" t="s">
        <v>36</v>
      </c>
      <c r="H22" s="43" t="s">
        <v>48</v>
      </c>
      <c r="I22" s="53" t="s">
        <v>129</v>
      </c>
      <c r="J22" s="41">
        <v>62475.0</v>
      </c>
    </row>
    <row r="23" ht="60.0" customHeight="1">
      <c r="A23" s="39">
        <v>20.0</v>
      </c>
      <c r="B23" s="40" t="s">
        <v>130</v>
      </c>
      <c r="C23" s="40" t="s">
        <v>131</v>
      </c>
      <c r="D23" s="40" t="s">
        <v>132</v>
      </c>
      <c r="E23" s="40" t="s">
        <v>133</v>
      </c>
      <c r="F23" s="39" t="str">
        <f t="shared" si="1"/>
        <v>WRONG</v>
      </c>
      <c r="G23" s="39" t="s">
        <v>42</v>
      </c>
      <c r="H23" s="43" t="s">
        <v>48</v>
      </c>
      <c r="I23" s="53" t="s">
        <v>134</v>
      </c>
      <c r="J23" s="41">
        <v>24167.0</v>
      </c>
    </row>
    <row r="24" ht="60.0" customHeight="1">
      <c r="A24" s="39">
        <v>21.0</v>
      </c>
      <c r="B24" s="40" t="s">
        <v>135</v>
      </c>
      <c r="C24" s="40" t="s">
        <v>136</v>
      </c>
      <c r="D24" s="40" t="s">
        <v>137</v>
      </c>
      <c r="E24" s="40" t="s">
        <v>138</v>
      </c>
      <c r="F24" s="39" t="str">
        <f t="shared" si="1"/>
        <v>WRONG</v>
      </c>
      <c r="G24" s="39" t="s">
        <v>42</v>
      </c>
      <c r="H24" s="41" t="s">
        <v>36</v>
      </c>
      <c r="I24" s="53" t="s">
        <v>139</v>
      </c>
      <c r="J24" s="41">
        <v>21875.0</v>
      </c>
    </row>
    <row r="25" ht="60.0" customHeight="1">
      <c r="A25" s="39">
        <v>22.0</v>
      </c>
      <c r="B25" s="40" t="s">
        <v>140</v>
      </c>
      <c r="C25" s="40" t="s">
        <v>141</v>
      </c>
      <c r="D25" s="40" t="s">
        <v>142</v>
      </c>
      <c r="E25" s="40" t="s">
        <v>143</v>
      </c>
      <c r="F25" s="39" t="str">
        <f t="shared" si="1"/>
        <v>CORRECT</v>
      </c>
      <c r="G25" s="39" t="s">
        <v>42</v>
      </c>
      <c r="H25" s="41" t="s">
        <v>42</v>
      </c>
      <c r="I25" s="53" t="s">
        <v>144</v>
      </c>
      <c r="J25" s="41">
        <v>23752.0</v>
      </c>
    </row>
    <row r="26" ht="60.0" customHeight="1">
      <c r="A26" s="39">
        <v>23.0</v>
      </c>
      <c r="B26" s="40" t="s">
        <v>145</v>
      </c>
      <c r="C26" s="40" t="s">
        <v>146</v>
      </c>
      <c r="D26" s="40" t="s">
        <v>147</v>
      </c>
      <c r="E26" s="40" t="s">
        <v>148</v>
      </c>
      <c r="F26" s="39" t="str">
        <f t="shared" si="1"/>
        <v>CORRECT</v>
      </c>
      <c r="G26" s="39" t="s">
        <v>48</v>
      </c>
      <c r="H26" s="41" t="s">
        <v>48</v>
      </c>
      <c r="I26" s="53" t="s">
        <v>149</v>
      </c>
      <c r="J26" s="41">
        <v>17367.0</v>
      </c>
    </row>
    <row r="27" ht="60.0" customHeight="1">
      <c r="A27" s="39">
        <v>24.0</v>
      </c>
      <c r="B27" s="40" t="s">
        <v>150</v>
      </c>
      <c r="C27" s="40" t="s">
        <v>151</v>
      </c>
      <c r="D27" s="40" t="s">
        <v>152</v>
      </c>
      <c r="E27" s="40" t="s">
        <v>153</v>
      </c>
      <c r="F27" s="39" t="str">
        <f t="shared" si="1"/>
        <v>CORRECT</v>
      </c>
      <c r="G27" s="39" t="s">
        <v>36</v>
      </c>
      <c r="H27" s="41" t="s">
        <v>36</v>
      </c>
      <c r="I27" s="53" t="s">
        <v>154</v>
      </c>
      <c r="J27" s="41">
        <v>22875.0</v>
      </c>
    </row>
    <row r="28" ht="60.0" customHeight="1">
      <c r="A28" s="39">
        <v>25.0</v>
      </c>
      <c r="B28" s="40" t="s">
        <v>155</v>
      </c>
      <c r="C28" s="40" t="s">
        <v>151</v>
      </c>
      <c r="D28" s="40" t="s">
        <v>156</v>
      </c>
      <c r="E28" s="40" t="s">
        <v>153</v>
      </c>
      <c r="F28" s="39" t="str">
        <f t="shared" si="1"/>
        <v>WRONG</v>
      </c>
      <c r="G28" s="39" t="s">
        <v>48</v>
      </c>
      <c r="H28" s="43" t="s">
        <v>36</v>
      </c>
      <c r="I28" s="53" t="s">
        <v>157</v>
      </c>
      <c r="J28" s="41">
        <v>29356.0</v>
      </c>
    </row>
    <row r="29" ht="60.0" customHeight="1">
      <c r="A29" s="39">
        <v>26.0</v>
      </c>
      <c r="B29" s="40" t="s">
        <v>158</v>
      </c>
      <c r="C29" s="40" t="s">
        <v>159</v>
      </c>
      <c r="D29" s="40" t="s">
        <v>160</v>
      </c>
      <c r="E29" s="40" t="s">
        <v>161</v>
      </c>
      <c r="F29" s="39" t="str">
        <f t="shared" si="1"/>
        <v>WRONG</v>
      </c>
      <c r="G29" s="39" t="s">
        <v>36</v>
      </c>
      <c r="H29" s="43" t="s">
        <v>48</v>
      </c>
      <c r="I29" s="53" t="s">
        <v>162</v>
      </c>
      <c r="J29" s="41">
        <v>40506.0</v>
      </c>
    </row>
    <row r="30" ht="60.0" customHeight="1">
      <c r="A30" s="39">
        <v>27.0</v>
      </c>
      <c r="B30" s="40" t="s">
        <v>163</v>
      </c>
      <c r="C30" s="40" t="s">
        <v>164</v>
      </c>
      <c r="D30" s="40" t="s">
        <v>165</v>
      </c>
      <c r="E30" s="40" t="s">
        <v>166</v>
      </c>
      <c r="F30" s="39" t="str">
        <f t="shared" si="1"/>
        <v>CORRECT</v>
      </c>
      <c r="G30" s="39" t="s">
        <v>42</v>
      </c>
      <c r="H30" s="41" t="s">
        <v>42</v>
      </c>
      <c r="I30" s="53" t="s">
        <v>167</v>
      </c>
      <c r="J30" s="41">
        <v>25267.0</v>
      </c>
    </row>
    <row r="31" ht="60.0" customHeight="1">
      <c r="A31" s="39">
        <v>28.0</v>
      </c>
      <c r="B31" s="40" t="s">
        <v>168</v>
      </c>
      <c r="C31" s="40" t="s">
        <v>169</v>
      </c>
      <c r="D31" s="40" t="s">
        <v>170</v>
      </c>
      <c r="E31" s="40" t="s">
        <v>171</v>
      </c>
      <c r="F31" s="39" t="str">
        <f t="shared" si="1"/>
        <v>WRONG</v>
      </c>
      <c r="G31" s="39" t="s">
        <v>36</v>
      </c>
      <c r="H31" s="43" t="s">
        <v>48</v>
      </c>
      <c r="I31" s="53" t="s">
        <v>172</v>
      </c>
      <c r="J31" s="41">
        <v>27097.0</v>
      </c>
    </row>
    <row r="32" ht="60.0" customHeight="1">
      <c r="A32" s="39">
        <v>29.0</v>
      </c>
      <c r="B32" s="40" t="s">
        <v>173</v>
      </c>
      <c r="C32" s="40" t="s">
        <v>174</v>
      </c>
      <c r="D32" s="40" t="s">
        <v>175</v>
      </c>
      <c r="E32" s="40" t="s">
        <v>176</v>
      </c>
      <c r="F32" s="39" t="str">
        <f t="shared" si="1"/>
        <v>CORRECT</v>
      </c>
      <c r="G32" s="39" t="s">
        <v>42</v>
      </c>
      <c r="H32" s="41" t="s">
        <v>42</v>
      </c>
      <c r="I32" s="53" t="s">
        <v>309</v>
      </c>
      <c r="J32" s="41">
        <v>27198.0</v>
      </c>
    </row>
    <row r="33" ht="60.0" customHeight="1">
      <c r="A33" s="39">
        <v>30.0</v>
      </c>
      <c r="B33" s="40" t="s">
        <v>178</v>
      </c>
      <c r="C33" s="40" t="s">
        <v>179</v>
      </c>
      <c r="D33" s="40" t="s">
        <v>180</v>
      </c>
      <c r="E33" s="40" t="s">
        <v>181</v>
      </c>
      <c r="F33" s="39" t="str">
        <f t="shared" si="1"/>
        <v>WRONG</v>
      </c>
      <c r="G33" s="39" t="s">
        <v>48</v>
      </c>
      <c r="H33" s="41" t="s">
        <v>36</v>
      </c>
      <c r="I33" s="53" t="s">
        <v>182</v>
      </c>
      <c r="J33" s="41">
        <v>35452.0</v>
      </c>
    </row>
    <row r="34" ht="60.0" customHeight="1">
      <c r="A34" s="39">
        <v>31.0</v>
      </c>
      <c r="B34" s="40" t="s">
        <v>183</v>
      </c>
      <c r="C34" s="40" t="s">
        <v>184</v>
      </c>
      <c r="D34" s="40" t="s">
        <v>185</v>
      </c>
      <c r="E34" s="40" t="s">
        <v>186</v>
      </c>
      <c r="F34" s="39" t="str">
        <f t="shared" si="1"/>
        <v>WRONG</v>
      </c>
      <c r="G34" s="39" t="s">
        <v>42</v>
      </c>
      <c r="H34" s="41" t="s">
        <v>36</v>
      </c>
      <c r="I34" s="53" t="s">
        <v>187</v>
      </c>
      <c r="J34" s="41">
        <v>36787.0</v>
      </c>
    </row>
    <row r="35" ht="60.0" customHeight="1">
      <c r="A35" s="39">
        <v>32.0</v>
      </c>
      <c r="B35" s="40" t="s">
        <v>188</v>
      </c>
      <c r="C35" s="40" t="s">
        <v>189</v>
      </c>
      <c r="D35" s="40" t="s">
        <v>190</v>
      </c>
      <c r="E35" s="40" t="s">
        <v>191</v>
      </c>
      <c r="F35" s="39" t="str">
        <f t="shared" si="1"/>
        <v>CORRECT</v>
      </c>
      <c r="G35" s="39" t="s">
        <v>36</v>
      </c>
      <c r="H35" s="41" t="s">
        <v>36</v>
      </c>
      <c r="I35" s="53" t="s">
        <v>192</v>
      </c>
      <c r="J35" s="41">
        <v>41308.0</v>
      </c>
    </row>
    <row r="36" ht="60.0" customHeight="1">
      <c r="A36" s="39">
        <v>33.0</v>
      </c>
      <c r="B36" s="40" t="s">
        <v>193</v>
      </c>
      <c r="C36" s="40" t="s">
        <v>194</v>
      </c>
      <c r="D36" s="40" t="s">
        <v>195</v>
      </c>
      <c r="E36" s="40" t="s">
        <v>196</v>
      </c>
      <c r="F36" s="39" t="str">
        <f t="shared" si="1"/>
        <v>CORRECT</v>
      </c>
      <c r="G36" s="39" t="s">
        <v>48</v>
      </c>
      <c r="H36" s="43" t="s">
        <v>48</v>
      </c>
      <c r="I36" s="53" t="s">
        <v>197</v>
      </c>
      <c r="J36" s="41">
        <v>40795.0</v>
      </c>
    </row>
    <row r="37" ht="60.0" customHeight="1">
      <c r="A37" s="39">
        <v>34.0</v>
      </c>
      <c r="B37" s="40" t="s">
        <v>198</v>
      </c>
      <c r="C37" s="40" t="s">
        <v>199</v>
      </c>
      <c r="D37" s="40" t="s">
        <v>200</v>
      </c>
      <c r="E37" s="40" t="s">
        <v>201</v>
      </c>
      <c r="F37" s="39" t="str">
        <f t="shared" si="1"/>
        <v>CORRECT</v>
      </c>
      <c r="G37" s="39" t="s">
        <v>36</v>
      </c>
      <c r="H37" s="41" t="s">
        <v>36</v>
      </c>
      <c r="I37" s="53" t="s">
        <v>202</v>
      </c>
      <c r="J37" s="41">
        <v>32460.0</v>
      </c>
    </row>
    <row r="38" ht="60.0" customHeight="1">
      <c r="A38" s="39">
        <v>35.0</v>
      </c>
      <c r="B38" s="40" t="s">
        <v>203</v>
      </c>
      <c r="C38" s="40" t="s">
        <v>204</v>
      </c>
      <c r="D38" s="40" t="s">
        <v>205</v>
      </c>
      <c r="E38" s="40" t="s">
        <v>206</v>
      </c>
      <c r="F38" s="39" t="str">
        <f t="shared" si="1"/>
        <v>WRONG</v>
      </c>
      <c r="G38" s="39" t="s">
        <v>48</v>
      </c>
      <c r="H38" s="43" t="s">
        <v>36</v>
      </c>
      <c r="I38" s="53" t="s">
        <v>277</v>
      </c>
      <c r="J38" s="41">
        <v>36306.0</v>
      </c>
    </row>
    <row r="39" ht="60.0" customHeight="1">
      <c r="A39" s="39">
        <v>36.0</v>
      </c>
      <c r="B39" s="40" t="s">
        <v>208</v>
      </c>
      <c r="C39" s="40" t="s">
        <v>209</v>
      </c>
      <c r="D39" s="40" t="s">
        <v>210</v>
      </c>
      <c r="E39" s="40" t="s">
        <v>211</v>
      </c>
      <c r="F39" s="39" t="str">
        <f t="shared" si="1"/>
        <v>CORRECT</v>
      </c>
      <c r="G39" s="39" t="s">
        <v>36</v>
      </c>
      <c r="H39" s="41" t="s">
        <v>36</v>
      </c>
      <c r="I39" s="53" t="s">
        <v>212</v>
      </c>
      <c r="J39" s="41">
        <v>38810.0</v>
      </c>
    </row>
    <row r="40" ht="60.0" customHeight="1">
      <c r="A40" s="39">
        <v>37.0</v>
      </c>
      <c r="B40" s="40" t="s">
        <v>213</v>
      </c>
      <c r="C40" s="40" t="s">
        <v>214</v>
      </c>
      <c r="D40" s="40" t="s">
        <v>215</v>
      </c>
      <c r="E40" s="40" t="s">
        <v>216</v>
      </c>
      <c r="F40" s="39" t="str">
        <f t="shared" si="1"/>
        <v>WRONG</v>
      </c>
      <c r="G40" s="39" t="s">
        <v>36</v>
      </c>
      <c r="H40" s="41" t="s">
        <v>42</v>
      </c>
      <c r="I40" s="53" t="s">
        <v>217</v>
      </c>
      <c r="J40" s="41">
        <v>26988.0</v>
      </c>
    </row>
    <row r="41" ht="60.0" customHeight="1">
      <c r="A41" s="39">
        <v>38.0</v>
      </c>
      <c r="B41" s="40" t="s">
        <v>218</v>
      </c>
      <c r="C41" s="40" t="s">
        <v>219</v>
      </c>
      <c r="D41" s="40" t="s">
        <v>220</v>
      </c>
      <c r="E41" s="40" t="s">
        <v>221</v>
      </c>
      <c r="F41" s="39" t="str">
        <f t="shared" si="1"/>
        <v>CORRECT</v>
      </c>
      <c r="G41" s="39" t="s">
        <v>36</v>
      </c>
      <c r="H41" s="43" t="s">
        <v>36</v>
      </c>
      <c r="I41" s="53" t="s">
        <v>222</v>
      </c>
      <c r="J41" s="41">
        <v>36352.0</v>
      </c>
    </row>
    <row r="42" ht="60.0" customHeight="1">
      <c r="A42" s="39">
        <v>39.0</v>
      </c>
      <c r="B42" s="40" t="s">
        <v>223</v>
      </c>
      <c r="C42" s="40" t="s">
        <v>224</v>
      </c>
      <c r="D42" s="40" t="s">
        <v>225</v>
      </c>
      <c r="E42" s="40" t="s">
        <v>226</v>
      </c>
      <c r="F42" s="39" t="str">
        <f t="shared" si="1"/>
        <v>WRONG</v>
      </c>
      <c r="G42" s="39" t="s">
        <v>42</v>
      </c>
      <c r="H42" s="41" t="s">
        <v>48</v>
      </c>
      <c r="I42" s="53" t="s">
        <v>227</v>
      </c>
      <c r="J42" s="41">
        <v>29173.0</v>
      </c>
    </row>
    <row r="43" ht="60.0" customHeight="1">
      <c r="A43" s="39">
        <v>40.0</v>
      </c>
      <c r="B43" s="40" t="s">
        <v>228</v>
      </c>
      <c r="C43" s="40" t="s">
        <v>229</v>
      </c>
      <c r="D43" s="40" t="s">
        <v>230</v>
      </c>
      <c r="E43" s="40" t="s">
        <v>231</v>
      </c>
      <c r="F43" s="39" t="str">
        <f t="shared" si="1"/>
        <v>CORRECT</v>
      </c>
      <c r="G43" s="39" t="s">
        <v>48</v>
      </c>
      <c r="H43" s="41" t="s">
        <v>48</v>
      </c>
      <c r="I43" s="53" t="s">
        <v>232</v>
      </c>
      <c r="J43" s="41">
        <v>43546.0</v>
      </c>
    </row>
    <row r="44" ht="60.0" customHeight="1">
      <c r="A44" s="39">
        <v>41.0</v>
      </c>
      <c r="B44" s="40" t="s">
        <v>233</v>
      </c>
      <c r="C44" s="40" t="s">
        <v>234</v>
      </c>
      <c r="D44" s="40" t="s">
        <v>235</v>
      </c>
      <c r="E44" s="40" t="s">
        <v>236</v>
      </c>
      <c r="F44" s="39" t="str">
        <f t="shared" si="1"/>
        <v>CORRECT</v>
      </c>
      <c r="G44" s="39" t="s">
        <v>42</v>
      </c>
      <c r="H44" s="41" t="s">
        <v>42</v>
      </c>
      <c r="I44" s="53" t="s">
        <v>237</v>
      </c>
      <c r="J44" s="41">
        <v>15464.0</v>
      </c>
    </row>
    <row r="45" ht="60.0" customHeight="1">
      <c r="A45" s="39">
        <v>42.0</v>
      </c>
      <c r="B45" s="40" t="s">
        <v>238</v>
      </c>
      <c r="C45" s="40" t="s">
        <v>239</v>
      </c>
      <c r="D45" s="40" t="s">
        <v>240</v>
      </c>
      <c r="E45" s="40" t="s">
        <v>241</v>
      </c>
      <c r="F45" s="39" t="str">
        <f t="shared" si="1"/>
        <v>WRONG</v>
      </c>
      <c r="G45" s="39" t="s">
        <v>36</v>
      </c>
      <c r="H45" s="43" t="s">
        <v>42</v>
      </c>
      <c r="I45" s="53" t="s">
        <v>242</v>
      </c>
      <c r="J45" s="41">
        <v>34251.0</v>
      </c>
    </row>
    <row r="46" ht="60.0" customHeight="1">
      <c r="A46" s="39">
        <v>43.0</v>
      </c>
      <c r="B46" s="40" t="s">
        <v>243</v>
      </c>
      <c r="C46" s="40" t="s">
        <v>244</v>
      </c>
      <c r="D46" s="40" t="s">
        <v>245</v>
      </c>
      <c r="E46" s="40" t="s">
        <v>246</v>
      </c>
      <c r="F46" s="39" t="str">
        <f t="shared" si="1"/>
        <v>CORRECT</v>
      </c>
      <c r="G46" s="39" t="s">
        <v>48</v>
      </c>
      <c r="H46" s="41" t="s">
        <v>48</v>
      </c>
      <c r="I46" s="53" t="s">
        <v>247</v>
      </c>
      <c r="J46" s="41">
        <v>22450.0</v>
      </c>
    </row>
    <row r="47" ht="60.0" customHeight="1">
      <c r="A47" s="39">
        <v>44.0</v>
      </c>
      <c r="B47" s="40" t="s">
        <v>248</v>
      </c>
      <c r="C47" s="40" t="s">
        <v>249</v>
      </c>
      <c r="D47" s="40" t="s">
        <v>250</v>
      </c>
      <c r="E47" s="40" t="s">
        <v>251</v>
      </c>
      <c r="F47" s="39" t="str">
        <f t="shared" si="1"/>
        <v>CORRECT</v>
      </c>
      <c r="G47" s="39" t="s">
        <v>36</v>
      </c>
      <c r="H47" s="43" t="s">
        <v>36</v>
      </c>
      <c r="I47" s="53" t="s">
        <v>252</v>
      </c>
      <c r="J47" s="41">
        <v>25441.0</v>
      </c>
    </row>
    <row r="48" ht="60.0" customHeight="1">
      <c r="A48" s="39">
        <v>45.0</v>
      </c>
      <c r="B48" s="40" t="s">
        <v>253</v>
      </c>
      <c r="C48" s="40" t="s">
        <v>254</v>
      </c>
      <c r="D48" s="40" t="s">
        <v>255</v>
      </c>
      <c r="E48" s="40" t="s">
        <v>256</v>
      </c>
      <c r="F48" s="39" t="str">
        <f t="shared" si="1"/>
        <v>CORRECT</v>
      </c>
      <c r="G48" s="39" t="s">
        <v>36</v>
      </c>
      <c r="H48" s="41" t="s">
        <v>36</v>
      </c>
      <c r="I48" s="53" t="s">
        <v>257</v>
      </c>
      <c r="J48" s="41">
        <v>32508.0</v>
      </c>
    </row>
    <row r="49" ht="60.0" customHeight="1">
      <c r="A49" s="39">
        <v>46.0</v>
      </c>
      <c r="B49" s="40" t="s">
        <v>258</v>
      </c>
      <c r="C49" s="40" t="s">
        <v>39</v>
      </c>
      <c r="D49" s="40" t="s">
        <v>259</v>
      </c>
      <c r="E49" s="40" t="s">
        <v>260</v>
      </c>
      <c r="F49" s="39" t="str">
        <f t="shared" si="1"/>
        <v>CORRECT</v>
      </c>
      <c r="G49" s="39" t="s">
        <v>36</v>
      </c>
      <c r="H49" s="41" t="s">
        <v>36</v>
      </c>
      <c r="I49" s="53" t="s">
        <v>261</v>
      </c>
      <c r="J49" s="41">
        <v>27571.0</v>
      </c>
    </row>
    <row r="50">
      <c r="A50" s="44" t="s">
        <v>262</v>
      </c>
      <c r="B50" s="2"/>
      <c r="C50" s="2"/>
      <c r="D50" s="2"/>
      <c r="E50" s="3"/>
      <c r="F50" s="45">
        <f>COUNTIFS(F4:F49,"CORRECT")</f>
        <v>30</v>
      </c>
      <c r="G50" s="46"/>
      <c r="H50" s="46"/>
      <c r="J50" s="47">
        <f>AVERAGE(J4:J49)</f>
        <v>33502.84783</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310</v>
      </c>
      <c r="C2" s="2"/>
      <c r="D2" s="2"/>
      <c r="E2" s="2"/>
      <c r="F2" s="2"/>
      <c r="G2" s="2"/>
      <c r="H2" s="3"/>
      <c r="I2" s="37" t="s">
        <v>311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53" t="s">
        <v>37</v>
      </c>
      <c r="J4" s="41">
        <v>21506.0</v>
      </c>
    </row>
    <row r="5" ht="60.0" customHeight="1">
      <c r="A5" s="39">
        <v>2.0</v>
      </c>
      <c r="B5" s="40" t="s">
        <v>38</v>
      </c>
      <c r="C5" s="40" t="s">
        <v>39</v>
      </c>
      <c r="D5" s="40" t="s">
        <v>40</v>
      </c>
      <c r="E5" s="40" t="s">
        <v>41</v>
      </c>
      <c r="F5" s="39" t="str">
        <f t="shared" si="1"/>
        <v>CORRECT</v>
      </c>
      <c r="G5" s="39" t="s">
        <v>42</v>
      </c>
      <c r="H5" s="41" t="s">
        <v>42</v>
      </c>
      <c r="I5" s="53" t="s">
        <v>312</v>
      </c>
      <c r="J5" s="41">
        <v>25334.0</v>
      </c>
    </row>
    <row r="6" ht="60.0" customHeight="1">
      <c r="A6" s="39">
        <v>3.0</v>
      </c>
      <c r="B6" s="40" t="s">
        <v>44</v>
      </c>
      <c r="C6" s="40" t="s">
        <v>45</v>
      </c>
      <c r="D6" s="40" t="s">
        <v>46</v>
      </c>
      <c r="E6" s="40" t="s">
        <v>47</v>
      </c>
      <c r="F6" s="39" t="str">
        <f t="shared" si="1"/>
        <v>CORRECT</v>
      </c>
      <c r="G6" s="39" t="s">
        <v>48</v>
      </c>
      <c r="H6" s="41" t="s">
        <v>48</v>
      </c>
      <c r="I6" s="53" t="s">
        <v>313</v>
      </c>
      <c r="J6" s="41">
        <v>32638.0</v>
      </c>
    </row>
    <row r="7" ht="60.0" customHeight="1">
      <c r="A7" s="39">
        <v>4.0</v>
      </c>
      <c r="B7" s="40" t="s">
        <v>50</v>
      </c>
      <c r="C7" s="40" t="s">
        <v>51</v>
      </c>
      <c r="D7" s="40" t="s">
        <v>52</v>
      </c>
      <c r="E7" s="40" t="s">
        <v>53</v>
      </c>
      <c r="F7" s="39" t="str">
        <f t="shared" si="1"/>
        <v>CORRECT</v>
      </c>
      <c r="G7" s="39" t="s">
        <v>42</v>
      </c>
      <c r="H7" s="41" t="s">
        <v>42</v>
      </c>
      <c r="I7" s="53" t="s">
        <v>314</v>
      </c>
      <c r="J7" s="41">
        <v>23439.0</v>
      </c>
    </row>
    <row r="8" ht="60.0" customHeight="1">
      <c r="A8" s="39">
        <v>5.0</v>
      </c>
      <c r="B8" s="40" t="s">
        <v>55</v>
      </c>
      <c r="C8" s="40" t="s">
        <v>56</v>
      </c>
      <c r="D8" s="40" t="s">
        <v>57</v>
      </c>
      <c r="E8" s="40" t="s">
        <v>58</v>
      </c>
      <c r="F8" s="39" t="str">
        <f t="shared" si="1"/>
        <v>CORRECT</v>
      </c>
      <c r="G8" s="39" t="s">
        <v>48</v>
      </c>
      <c r="H8" s="43" t="s">
        <v>48</v>
      </c>
      <c r="I8" s="53" t="s">
        <v>315</v>
      </c>
      <c r="J8" s="41">
        <v>81408.0</v>
      </c>
    </row>
    <row r="9" ht="60.0" customHeight="1">
      <c r="A9" s="39">
        <v>6.0</v>
      </c>
      <c r="B9" s="40" t="s">
        <v>60</v>
      </c>
      <c r="C9" s="40" t="s">
        <v>61</v>
      </c>
      <c r="D9" s="40" t="s">
        <v>62</v>
      </c>
      <c r="E9" s="40" t="s">
        <v>63</v>
      </c>
      <c r="F9" s="39" t="str">
        <f t="shared" si="1"/>
        <v>CORRECT</v>
      </c>
      <c r="G9" s="39" t="s">
        <v>42</v>
      </c>
      <c r="H9" s="41" t="s">
        <v>42</v>
      </c>
      <c r="I9" s="53" t="s">
        <v>316</v>
      </c>
      <c r="J9" s="41">
        <v>40894.0</v>
      </c>
    </row>
    <row r="10" ht="60.0" customHeight="1">
      <c r="A10" s="39">
        <v>7.0</v>
      </c>
      <c r="B10" s="40" t="s">
        <v>65</v>
      </c>
      <c r="C10" s="40" t="s">
        <v>66</v>
      </c>
      <c r="D10" s="40" t="s">
        <v>67</v>
      </c>
      <c r="E10" s="40" t="s">
        <v>68</v>
      </c>
      <c r="F10" s="39" t="str">
        <f t="shared" si="1"/>
        <v>WRONG</v>
      </c>
      <c r="G10" s="39" t="s">
        <v>42</v>
      </c>
      <c r="H10" s="41" t="s">
        <v>36</v>
      </c>
      <c r="I10" s="53" t="s">
        <v>317</v>
      </c>
      <c r="J10" s="41">
        <v>43774.0</v>
      </c>
    </row>
    <row r="11" ht="60.0" customHeight="1">
      <c r="A11" s="39">
        <v>8.0</v>
      </c>
      <c r="B11" s="40" t="s">
        <v>70</v>
      </c>
      <c r="C11" s="40" t="s">
        <v>71</v>
      </c>
      <c r="D11" s="40" t="s">
        <v>72</v>
      </c>
      <c r="E11" s="40" t="s">
        <v>73</v>
      </c>
      <c r="F11" s="39" t="str">
        <f t="shared" si="1"/>
        <v>CORRECT</v>
      </c>
      <c r="G11" s="39" t="s">
        <v>48</v>
      </c>
      <c r="H11" s="43" t="s">
        <v>48</v>
      </c>
      <c r="I11" s="53" t="s">
        <v>318</v>
      </c>
      <c r="J11" s="41">
        <v>37925.0</v>
      </c>
    </row>
    <row r="12" ht="60.0" customHeight="1">
      <c r="A12" s="39">
        <v>9.0</v>
      </c>
      <c r="B12" s="40" t="s">
        <v>75</v>
      </c>
      <c r="C12" s="40" t="s">
        <v>76</v>
      </c>
      <c r="D12" s="40" t="s">
        <v>77</v>
      </c>
      <c r="E12" s="40" t="s">
        <v>78</v>
      </c>
      <c r="F12" s="39" t="str">
        <f t="shared" si="1"/>
        <v>WRONG</v>
      </c>
      <c r="G12" s="39" t="s">
        <v>42</v>
      </c>
      <c r="H12" s="41" t="s">
        <v>48</v>
      </c>
      <c r="I12" s="53" t="s">
        <v>319</v>
      </c>
      <c r="J12" s="41">
        <v>34288.0</v>
      </c>
    </row>
    <row r="13" ht="60.0" customHeight="1">
      <c r="A13" s="39">
        <v>10.0</v>
      </c>
      <c r="B13" s="40" t="s">
        <v>80</v>
      </c>
      <c r="C13" s="40" t="s">
        <v>81</v>
      </c>
      <c r="D13" s="40" t="s">
        <v>82</v>
      </c>
      <c r="E13" s="40" t="s">
        <v>83</v>
      </c>
      <c r="F13" s="39" t="str">
        <f t="shared" si="1"/>
        <v>CORRECT</v>
      </c>
      <c r="G13" s="39" t="s">
        <v>48</v>
      </c>
      <c r="H13" s="41" t="s">
        <v>48</v>
      </c>
      <c r="I13" s="53" t="s">
        <v>320</v>
      </c>
      <c r="J13" s="41">
        <v>35313.0</v>
      </c>
    </row>
    <row r="14" ht="60.0" customHeight="1">
      <c r="A14" s="39">
        <v>11.0</v>
      </c>
      <c r="B14" s="40" t="s">
        <v>85</v>
      </c>
      <c r="C14" s="40" t="s">
        <v>86</v>
      </c>
      <c r="D14" s="40" t="s">
        <v>87</v>
      </c>
      <c r="E14" s="40" t="s">
        <v>88</v>
      </c>
      <c r="F14" s="39" t="str">
        <f t="shared" si="1"/>
        <v>CORRECT</v>
      </c>
      <c r="G14" s="39" t="s">
        <v>42</v>
      </c>
      <c r="H14" s="41" t="s">
        <v>42</v>
      </c>
      <c r="I14" s="53" t="s">
        <v>321</v>
      </c>
      <c r="J14" s="41">
        <v>48427.0</v>
      </c>
    </row>
    <row r="15" ht="60.0" customHeight="1">
      <c r="A15" s="39">
        <v>12.0</v>
      </c>
      <c r="B15" s="40" t="s">
        <v>90</v>
      </c>
      <c r="C15" s="40" t="s">
        <v>91</v>
      </c>
      <c r="D15" s="40" t="s">
        <v>92</v>
      </c>
      <c r="E15" s="40" t="s">
        <v>93</v>
      </c>
      <c r="F15" s="39" t="str">
        <f t="shared" si="1"/>
        <v>CORRECT</v>
      </c>
      <c r="G15" s="39" t="s">
        <v>48</v>
      </c>
      <c r="H15" s="41" t="s">
        <v>48</v>
      </c>
      <c r="I15" s="53" t="s">
        <v>322</v>
      </c>
      <c r="J15" s="41">
        <v>40219.0</v>
      </c>
    </row>
    <row r="16" ht="60.0" customHeight="1">
      <c r="A16" s="39">
        <v>13.0</v>
      </c>
      <c r="B16" s="40" t="s">
        <v>95</v>
      </c>
      <c r="C16" s="40" t="s">
        <v>96</v>
      </c>
      <c r="D16" s="40" t="s">
        <v>97</v>
      </c>
      <c r="E16" s="40" t="s">
        <v>98</v>
      </c>
      <c r="F16" s="39" t="str">
        <f t="shared" si="1"/>
        <v>CORRECT</v>
      </c>
      <c r="G16" s="39" t="s">
        <v>36</v>
      </c>
      <c r="H16" s="43" t="s">
        <v>36</v>
      </c>
      <c r="I16" s="53" t="s">
        <v>323</v>
      </c>
      <c r="J16" s="41">
        <v>40508.0</v>
      </c>
    </row>
    <row r="17" ht="60.0" customHeight="1">
      <c r="A17" s="39">
        <v>14.0</v>
      </c>
      <c r="B17" s="40" t="s">
        <v>100</v>
      </c>
      <c r="C17" s="40" t="s">
        <v>101</v>
      </c>
      <c r="D17" s="40" t="s">
        <v>102</v>
      </c>
      <c r="E17" s="40" t="s">
        <v>103</v>
      </c>
      <c r="F17" s="39" t="str">
        <f t="shared" si="1"/>
        <v>WRONG</v>
      </c>
      <c r="G17" s="39" t="s">
        <v>36</v>
      </c>
      <c r="H17" s="43" t="s">
        <v>48</v>
      </c>
      <c r="I17" s="53" t="s">
        <v>324</v>
      </c>
      <c r="J17" s="41">
        <v>32492.0</v>
      </c>
    </row>
    <row r="18" ht="60.0" customHeight="1">
      <c r="A18" s="39">
        <v>15.0</v>
      </c>
      <c r="B18" s="40" t="s">
        <v>105</v>
      </c>
      <c r="C18" s="40" t="s">
        <v>106</v>
      </c>
      <c r="D18" s="40" t="s">
        <v>107</v>
      </c>
      <c r="E18" s="40" t="s">
        <v>108</v>
      </c>
      <c r="F18" s="39" t="str">
        <f t="shared" si="1"/>
        <v>CORRECT</v>
      </c>
      <c r="G18" s="39" t="s">
        <v>48</v>
      </c>
      <c r="H18" s="41" t="s">
        <v>48</v>
      </c>
      <c r="I18" s="53" t="s">
        <v>325</v>
      </c>
      <c r="J18" s="41">
        <v>39489.0</v>
      </c>
    </row>
    <row r="19" ht="60.0" customHeight="1">
      <c r="A19" s="39">
        <v>16.0</v>
      </c>
      <c r="B19" s="40" t="s">
        <v>110</v>
      </c>
      <c r="C19" s="40" t="s">
        <v>111</v>
      </c>
      <c r="D19" s="40" t="s">
        <v>112</v>
      </c>
      <c r="E19" s="40" t="s">
        <v>113</v>
      </c>
      <c r="F19" s="39" t="str">
        <f t="shared" si="1"/>
        <v>CORRECT</v>
      </c>
      <c r="G19" s="39" t="s">
        <v>48</v>
      </c>
      <c r="H19" s="43" t="s">
        <v>48</v>
      </c>
      <c r="I19" s="53" t="s">
        <v>114</v>
      </c>
      <c r="J19" s="41">
        <v>38195.0</v>
      </c>
    </row>
    <row r="20" ht="60.0" customHeight="1">
      <c r="A20" s="39">
        <v>17.0</v>
      </c>
      <c r="B20" s="40" t="s">
        <v>115</v>
      </c>
      <c r="C20" s="40" t="s">
        <v>116</v>
      </c>
      <c r="D20" s="40" t="s">
        <v>117</v>
      </c>
      <c r="E20" s="40" t="s">
        <v>118</v>
      </c>
      <c r="F20" s="39" t="str">
        <f t="shared" si="1"/>
        <v>WRONG</v>
      </c>
      <c r="G20" s="39" t="s">
        <v>42</v>
      </c>
      <c r="H20" s="41" t="s">
        <v>36</v>
      </c>
      <c r="I20" s="53" t="s">
        <v>326</v>
      </c>
      <c r="J20" s="41">
        <v>38112.0</v>
      </c>
    </row>
    <row r="21" ht="60.0" customHeight="1">
      <c r="A21" s="39">
        <v>18.0</v>
      </c>
      <c r="B21" s="40" t="s">
        <v>120</v>
      </c>
      <c r="C21" s="40" t="s">
        <v>121</v>
      </c>
      <c r="D21" s="40" t="s">
        <v>122</v>
      </c>
      <c r="E21" s="40" t="s">
        <v>123</v>
      </c>
      <c r="F21" s="39" t="str">
        <f t="shared" si="1"/>
        <v>CORRECT</v>
      </c>
      <c r="G21" s="39" t="s">
        <v>42</v>
      </c>
      <c r="H21" s="41" t="s">
        <v>42</v>
      </c>
      <c r="I21" s="53" t="s">
        <v>327</v>
      </c>
      <c r="J21" s="41">
        <v>28466.0</v>
      </c>
    </row>
    <row r="22" ht="60.0" customHeight="1">
      <c r="A22" s="39">
        <v>19.0</v>
      </c>
      <c r="B22" s="40" t="s">
        <v>125</v>
      </c>
      <c r="C22" s="40" t="s">
        <v>126</v>
      </c>
      <c r="D22" s="40" t="s">
        <v>127</v>
      </c>
      <c r="E22" s="40" t="s">
        <v>128</v>
      </c>
      <c r="F22" s="39" t="str">
        <f t="shared" si="1"/>
        <v>WRONG</v>
      </c>
      <c r="G22" s="39" t="s">
        <v>36</v>
      </c>
      <c r="H22" s="43" t="s">
        <v>48</v>
      </c>
      <c r="I22" s="53" t="s">
        <v>328</v>
      </c>
      <c r="J22" s="41">
        <v>38095.0</v>
      </c>
    </row>
    <row r="23" ht="60.0" customHeight="1">
      <c r="A23" s="39">
        <v>20.0</v>
      </c>
      <c r="B23" s="40" t="s">
        <v>130</v>
      </c>
      <c r="C23" s="40" t="s">
        <v>131</v>
      </c>
      <c r="D23" s="40" t="s">
        <v>132</v>
      </c>
      <c r="E23" s="40" t="s">
        <v>133</v>
      </c>
      <c r="F23" s="39" t="str">
        <f t="shared" si="1"/>
        <v>WRONG</v>
      </c>
      <c r="G23" s="39" t="s">
        <v>42</v>
      </c>
      <c r="H23" s="41" t="s">
        <v>48</v>
      </c>
      <c r="I23" s="53" t="s">
        <v>329</v>
      </c>
      <c r="J23" s="41">
        <v>16210.0</v>
      </c>
    </row>
    <row r="24" ht="60.0" customHeight="1">
      <c r="A24" s="39">
        <v>21.0</v>
      </c>
      <c r="B24" s="40" t="s">
        <v>135</v>
      </c>
      <c r="C24" s="40" t="s">
        <v>136</v>
      </c>
      <c r="D24" s="40" t="s">
        <v>137</v>
      </c>
      <c r="E24" s="40" t="s">
        <v>138</v>
      </c>
      <c r="F24" s="39" t="str">
        <f t="shared" si="1"/>
        <v>WRONG</v>
      </c>
      <c r="G24" s="39" t="s">
        <v>42</v>
      </c>
      <c r="H24" s="41" t="s">
        <v>36</v>
      </c>
      <c r="I24" s="53" t="s">
        <v>330</v>
      </c>
      <c r="J24" s="41">
        <v>27912.0</v>
      </c>
    </row>
    <row r="25" ht="60.0" customHeight="1">
      <c r="A25" s="39">
        <v>22.0</v>
      </c>
      <c r="B25" s="40" t="s">
        <v>140</v>
      </c>
      <c r="C25" s="40" t="s">
        <v>141</v>
      </c>
      <c r="D25" s="40" t="s">
        <v>142</v>
      </c>
      <c r="E25" s="40" t="s">
        <v>143</v>
      </c>
      <c r="F25" s="39" t="str">
        <f t="shared" si="1"/>
        <v>CORRECT</v>
      </c>
      <c r="G25" s="39" t="s">
        <v>42</v>
      </c>
      <c r="H25" s="41" t="s">
        <v>42</v>
      </c>
      <c r="I25" s="53" t="s">
        <v>331</v>
      </c>
      <c r="J25" s="41">
        <v>21900.0</v>
      </c>
    </row>
    <row r="26" ht="60.0" customHeight="1">
      <c r="A26" s="39">
        <v>23.0</v>
      </c>
      <c r="B26" s="40" t="s">
        <v>145</v>
      </c>
      <c r="C26" s="40" t="s">
        <v>146</v>
      </c>
      <c r="D26" s="40" t="s">
        <v>147</v>
      </c>
      <c r="E26" s="40" t="s">
        <v>148</v>
      </c>
      <c r="F26" s="39" t="str">
        <f t="shared" si="1"/>
        <v>CORRECT</v>
      </c>
      <c r="G26" s="39" t="s">
        <v>48</v>
      </c>
      <c r="H26" s="41" t="s">
        <v>48</v>
      </c>
      <c r="I26" s="53" t="s">
        <v>332</v>
      </c>
      <c r="J26" s="41">
        <v>19500.0</v>
      </c>
    </row>
    <row r="27" ht="60.0" customHeight="1">
      <c r="A27" s="39">
        <v>24.0</v>
      </c>
      <c r="B27" s="40" t="s">
        <v>150</v>
      </c>
      <c r="C27" s="40" t="s">
        <v>151</v>
      </c>
      <c r="D27" s="40" t="s">
        <v>152</v>
      </c>
      <c r="E27" s="40" t="s">
        <v>153</v>
      </c>
      <c r="F27" s="39" t="str">
        <f t="shared" si="1"/>
        <v>CORRECT</v>
      </c>
      <c r="G27" s="39" t="s">
        <v>36</v>
      </c>
      <c r="H27" s="41" t="s">
        <v>36</v>
      </c>
      <c r="I27" s="53" t="s">
        <v>333</v>
      </c>
      <c r="J27" s="41">
        <v>35200.0</v>
      </c>
    </row>
    <row r="28" ht="60.0" customHeight="1">
      <c r="A28" s="39">
        <v>25.0</v>
      </c>
      <c r="B28" s="40" t="s">
        <v>155</v>
      </c>
      <c r="C28" s="40" t="s">
        <v>151</v>
      </c>
      <c r="D28" s="40" t="s">
        <v>156</v>
      </c>
      <c r="E28" s="40" t="s">
        <v>153</v>
      </c>
      <c r="F28" s="39" t="str">
        <f t="shared" si="1"/>
        <v>WRONG</v>
      </c>
      <c r="G28" s="39" t="s">
        <v>48</v>
      </c>
      <c r="H28" s="43" t="s">
        <v>36</v>
      </c>
      <c r="I28" s="53" t="s">
        <v>334</v>
      </c>
      <c r="J28" s="41">
        <v>25800.0</v>
      </c>
    </row>
    <row r="29" ht="60.0" customHeight="1">
      <c r="A29" s="39">
        <v>26.0</v>
      </c>
      <c r="B29" s="40" t="s">
        <v>158</v>
      </c>
      <c r="C29" s="40" t="s">
        <v>159</v>
      </c>
      <c r="D29" s="40" t="s">
        <v>160</v>
      </c>
      <c r="E29" s="40" t="s">
        <v>161</v>
      </c>
      <c r="F29" s="39" t="str">
        <f t="shared" si="1"/>
        <v>WRONG</v>
      </c>
      <c r="G29" s="39" t="s">
        <v>36</v>
      </c>
      <c r="H29" s="41" t="s">
        <v>48</v>
      </c>
      <c r="I29" s="53" t="s">
        <v>335</v>
      </c>
      <c r="J29" s="41">
        <v>32759.0</v>
      </c>
    </row>
    <row r="30" ht="60.0" customHeight="1">
      <c r="A30" s="39">
        <v>27.0</v>
      </c>
      <c r="B30" s="40" t="s">
        <v>163</v>
      </c>
      <c r="C30" s="40" t="s">
        <v>164</v>
      </c>
      <c r="D30" s="40" t="s">
        <v>165</v>
      </c>
      <c r="E30" s="40" t="s">
        <v>166</v>
      </c>
      <c r="F30" s="39" t="str">
        <f t="shared" si="1"/>
        <v>CORRECT</v>
      </c>
      <c r="G30" s="39" t="s">
        <v>42</v>
      </c>
      <c r="H30" s="41" t="s">
        <v>42</v>
      </c>
      <c r="I30" s="53" t="s">
        <v>336</v>
      </c>
      <c r="J30" s="41">
        <v>32632.0</v>
      </c>
    </row>
    <row r="31" ht="60.0" customHeight="1">
      <c r="A31" s="39">
        <v>28.0</v>
      </c>
      <c r="B31" s="40" t="s">
        <v>168</v>
      </c>
      <c r="C31" s="40" t="s">
        <v>169</v>
      </c>
      <c r="D31" s="40" t="s">
        <v>170</v>
      </c>
      <c r="E31" s="40" t="s">
        <v>171</v>
      </c>
      <c r="F31" s="39" t="str">
        <f t="shared" si="1"/>
        <v>WRONG</v>
      </c>
      <c r="G31" s="39" t="s">
        <v>36</v>
      </c>
      <c r="H31" s="41" t="s">
        <v>48</v>
      </c>
      <c r="I31" s="53" t="s">
        <v>337</v>
      </c>
      <c r="J31" s="41">
        <v>26755.0</v>
      </c>
    </row>
    <row r="32" ht="60.0" customHeight="1">
      <c r="A32" s="39">
        <v>29.0</v>
      </c>
      <c r="B32" s="40" t="s">
        <v>173</v>
      </c>
      <c r="C32" s="40" t="s">
        <v>174</v>
      </c>
      <c r="D32" s="40" t="s">
        <v>175</v>
      </c>
      <c r="E32" s="40" t="s">
        <v>176</v>
      </c>
      <c r="F32" s="39" t="str">
        <f t="shared" si="1"/>
        <v>CORRECT</v>
      </c>
      <c r="G32" s="39" t="s">
        <v>42</v>
      </c>
      <c r="H32" s="41" t="s">
        <v>42</v>
      </c>
      <c r="I32" s="53" t="s">
        <v>338</v>
      </c>
      <c r="J32" s="41">
        <v>30314.0</v>
      </c>
    </row>
    <row r="33" ht="60.0" customHeight="1">
      <c r="A33" s="39">
        <v>30.0</v>
      </c>
      <c r="B33" s="40" t="s">
        <v>178</v>
      </c>
      <c r="C33" s="40" t="s">
        <v>179</v>
      </c>
      <c r="D33" s="40" t="s">
        <v>180</v>
      </c>
      <c r="E33" s="40" t="s">
        <v>181</v>
      </c>
      <c r="F33" s="39" t="str">
        <f t="shared" si="1"/>
        <v>WRONG</v>
      </c>
      <c r="G33" s="39" t="s">
        <v>48</v>
      </c>
      <c r="H33" s="41" t="s">
        <v>36</v>
      </c>
      <c r="I33" s="53" t="s">
        <v>182</v>
      </c>
      <c r="J33" s="41">
        <v>38001.0</v>
      </c>
    </row>
    <row r="34" ht="60.0" customHeight="1">
      <c r="A34" s="39">
        <v>31.0</v>
      </c>
      <c r="B34" s="40" t="s">
        <v>183</v>
      </c>
      <c r="C34" s="40" t="s">
        <v>184</v>
      </c>
      <c r="D34" s="40" t="s">
        <v>185</v>
      </c>
      <c r="E34" s="40" t="s">
        <v>186</v>
      </c>
      <c r="F34" s="39" t="str">
        <f t="shared" si="1"/>
        <v>WRONG</v>
      </c>
      <c r="G34" s="39" t="s">
        <v>42</v>
      </c>
      <c r="H34" s="41" t="s">
        <v>36</v>
      </c>
      <c r="I34" s="53" t="s">
        <v>339</v>
      </c>
      <c r="J34" s="41">
        <v>33673.0</v>
      </c>
    </row>
    <row r="35" ht="60.0" customHeight="1">
      <c r="A35" s="39">
        <v>32.0</v>
      </c>
      <c r="B35" s="40" t="s">
        <v>188</v>
      </c>
      <c r="C35" s="40" t="s">
        <v>189</v>
      </c>
      <c r="D35" s="40" t="s">
        <v>190</v>
      </c>
      <c r="E35" s="40" t="s">
        <v>191</v>
      </c>
      <c r="F35" s="39" t="str">
        <f t="shared" si="1"/>
        <v>CORRECT</v>
      </c>
      <c r="G35" s="39" t="s">
        <v>36</v>
      </c>
      <c r="H35" s="41" t="s">
        <v>36</v>
      </c>
      <c r="I35" s="53" t="s">
        <v>340</v>
      </c>
      <c r="J35" s="41">
        <v>48206.0</v>
      </c>
    </row>
    <row r="36" ht="60.0" customHeight="1">
      <c r="A36" s="39">
        <v>33.0</v>
      </c>
      <c r="B36" s="40" t="s">
        <v>193</v>
      </c>
      <c r="C36" s="40" t="s">
        <v>194</v>
      </c>
      <c r="D36" s="40" t="s">
        <v>195</v>
      </c>
      <c r="E36" s="40" t="s">
        <v>196</v>
      </c>
      <c r="F36" s="39" t="str">
        <f t="shared" si="1"/>
        <v>CORRECT</v>
      </c>
      <c r="G36" s="39" t="s">
        <v>48</v>
      </c>
      <c r="H36" s="43" t="s">
        <v>48</v>
      </c>
      <c r="I36" s="53" t="s">
        <v>341</v>
      </c>
      <c r="J36" s="41">
        <v>38655.0</v>
      </c>
    </row>
    <row r="37" ht="60.0" customHeight="1">
      <c r="A37" s="39">
        <v>34.0</v>
      </c>
      <c r="B37" s="40" t="s">
        <v>198</v>
      </c>
      <c r="C37" s="40" t="s">
        <v>199</v>
      </c>
      <c r="D37" s="40" t="s">
        <v>200</v>
      </c>
      <c r="E37" s="40" t="s">
        <v>201</v>
      </c>
      <c r="F37" s="39" t="str">
        <f t="shared" si="1"/>
        <v>CORRECT</v>
      </c>
      <c r="G37" s="39" t="s">
        <v>36</v>
      </c>
      <c r="H37" s="41" t="s">
        <v>36</v>
      </c>
      <c r="I37" s="53" t="s">
        <v>342</v>
      </c>
      <c r="J37" s="41">
        <v>25652.0</v>
      </c>
    </row>
    <row r="38" ht="60.0" customHeight="1">
      <c r="A38" s="39">
        <v>35.0</v>
      </c>
      <c r="B38" s="40" t="s">
        <v>203</v>
      </c>
      <c r="C38" s="40" t="s">
        <v>204</v>
      </c>
      <c r="D38" s="40" t="s">
        <v>205</v>
      </c>
      <c r="E38" s="40" t="s">
        <v>206</v>
      </c>
      <c r="F38" s="39" t="str">
        <f t="shared" si="1"/>
        <v>WRONG</v>
      </c>
      <c r="G38" s="39" t="s">
        <v>48</v>
      </c>
      <c r="H38" s="43" t="s">
        <v>36</v>
      </c>
      <c r="I38" s="53" t="s">
        <v>343</v>
      </c>
      <c r="J38" s="41">
        <v>38671.0</v>
      </c>
    </row>
    <row r="39" ht="60.0" customHeight="1">
      <c r="A39" s="39">
        <v>36.0</v>
      </c>
      <c r="B39" s="40" t="s">
        <v>208</v>
      </c>
      <c r="C39" s="40" t="s">
        <v>209</v>
      </c>
      <c r="D39" s="40" t="s">
        <v>210</v>
      </c>
      <c r="E39" s="40" t="s">
        <v>211</v>
      </c>
      <c r="F39" s="39" t="str">
        <f t="shared" si="1"/>
        <v>CORRECT</v>
      </c>
      <c r="G39" s="39" t="s">
        <v>36</v>
      </c>
      <c r="H39" s="41" t="s">
        <v>36</v>
      </c>
      <c r="I39" s="53" t="s">
        <v>344</v>
      </c>
      <c r="J39" s="41">
        <v>42130.0</v>
      </c>
    </row>
    <row r="40" ht="60.0" customHeight="1">
      <c r="A40" s="39">
        <v>37.0</v>
      </c>
      <c r="B40" s="40" t="s">
        <v>213</v>
      </c>
      <c r="C40" s="40" t="s">
        <v>214</v>
      </c>
      <c r="D40" s="40" t="s">
        <v>215</v>
      </c>
      <c r="E40" s="40" t="s">
        <v>216</v>
      </c>
      <c r="F40" s="39" t="str">
        <f t="shared" si="1"/>
        <v>WRONG</v>
      </c>
      <c r="G40" s="39" t="s">
        <v>36</v>
      </c>
      <c r="H40" s="41" t="s">
        <v>42</v>
      </c>
      <c r="I40" s="53" t="s">
        <v>345</v>
      </c>
      <c r="J40" s="41">
        <v>34404.0</v>
      </c>
    </row>
    <row r="41" ht="60.0" customHeight="1">
      <c r="A41" s="39">
        <v>38.0</v>
      </c>
      <c r="B41" s="40" t="s">
        <v>218</v>
      </c>
      <c r="C41" s="40" t="s">
        <v>219</v>
      </c>
      <c r="D41" s="40" t="s">
        <v>220</v>
      </c>
      <c r="E41" s="40" t="s">
        <v>221</v>
      </c>
      <c r="F41" s="39" t="str">
        <f t="shared" si="1"/>
        <v>CORRECT</v>
      </c>
      <c r="G41" s="39" t="s">
        <v>36</v>
      </c>
      <c r="H41" s="43" t="s">
        <v>36</v>
      </c>
      <c r="I41" s="53" t="s">
        <v>346</v>
      </c>
      <c r="J41" s="41">
        <v>29535.0</v>
      </c>
    </row>
    <row r="42" ht="60.0" customHeight="1">
      <c r="A42" s="39">
        <v>39.0</v>
      </c>
      <c r="B42" s="40" t="s">
        <v>223</v>
      </c>
      <c r="C42" s="40" t="s">
        <v>224</v>
      </c>
      <c r="D42" s="40" t="s">
        <v>225</v>
      </c>
      <c r="E42" s="40" t="s">
        <v>226</v>
      </c>
      <c r="F42" s="39" t="str">
        <f t="shared" si="1"/>
        <v>WRONG</v>
      </c>
      <c r="G42" s="39" t="s">
        <v>42</v>
      </c>
      <c r="H42" s="41" t="s">
        <v>48</v>
      </c>
      <c r="I42" s="53" t="s">
        <v>347</v>
      </c>
      <c r="J42" s="41">
        <v>31866.0</v>
      </c>
    </row>
    <row r="43" ht="60.0" customHeight="1">
      <c r="A43" s="39">
        <v>40.0</v>
      </c>
      <c r="B43" s="40" t="s">
        <v>228</v>
      </c>
      <c r="C43" s="40" t="s">
        <v>229</v>
      </c>
      <c r="D43" s="40" t="s">
        <v>230</v>
      </c>
      <c r="E43" s="40" t="s">
        <v>231</v>
      </c>
      <c r="F43" s="39" t="str">
        <f t="shared" si="1"/>
        <v>CORRECT</v>
      </c>
      <c r="G43" s="39" t="s">
        <v>48</v>
      </c>
      <c r="H43" s="41" t="s">
        <v>48</v>
      </c>
      <c r="I43" s="53" t="s">
        <v>348</v>
      </c>
      <c r="J43" s="41">
        <v>37595.0</v>
      </c>
    </row>
    <row r="44" ht="60.0" customHeight="1">
      <c r="A44" s="39">
        <v>41.0</v>
      </c>
      <c r="B44" s="40" t="s">
        <v>233</v>
      </c>
      <c r="C44" s="40" t="s">
        <v>234</v>
      </c>
      <c r="D44" s="40" t="s">
        <v>235</v>
      </c>
      <c r="E44" s="40" t="s">
        <v>236</v>
      </c>
      <c r="F44" s="39" t="str">
        <f t="shared" si="1"/>
        <v>CORRECT</v>
      </c>
      <c r="G44" s="39" t="s">
        <v>42</v>
      </c>
      <c r="H44" s="41" t="s">
        <v>42</v>
      </c>
      <c r="I44" s="53" t="s">
        <v>349</v>
      </c>
      <c r="J44" s="41">
        <v>22321.0</v>
      </c>
    </row>
    <row r="45" ht="60.0" customHeight="1">
      <c r="A45" s="39">
        <v>42.0</v>
      </c>
      <c r="B45" s="40" t="s">
        <v>238</v>
      </c>
      <c r="C45" s="40" t="s">
        <v>239</v>
      </c>
      <c r="D45" s="40" t="s">
        <v>240</v>
      </c>
      <c r="E45" s="40" t="s">
        <v>241</v>
      </c>
      <c r="F45" s="39" t="str">
        <f t="shared" si="1"/>
        <v>WRONG</v>
      </c>
      <c r="G45" s="39" t="s">
        <v>36</v>
      </c>
      <c r="H45" s="43" t="s">
        <v>42</v>
      </c>
      <c r="I45" s="53" t="s">
        <v>350</v>
      </c>
      <c r="J45" s="41">
        <v>43066.0</v>
      </c>
    </row>
    <row r="46" ht="60.0" customHeight="1">
      <c r="A46" s="39">
        <v>43.0</v>
      </c>
      <c r="B46" s="40" t="s">
        <v>243</v>
      </c>
      <c r="C46" s="40" t="s">
        <v>244</v>
      </c>
      <c r="D46" s="40" t="s">
        <v>245</v>
      </c>
      <c r="E46" s="40" t="s">
        <v>246</v>
      </c>
      <c r="F46" s="39" t="str">
        <f t="shared" si="1"/>
        <v>CORRECT</v>
      </c>
      <c r="G46" s="39" t="s">
        <v>48</v>
      </c>
      <c r="H46" s="43" t="s">
        <v>48</v>
      </c>
      <c r="I46" s="53" t="s">
        <v>247</v>
      </c>
      <c r="J46" s="41">
        <v>24559.0</v>
      </c>
    </row>
    <row r="47" ht="60.0" customHeight="1">
      <c r="A47" s="39">
        <v>44.0</v>
      </c>
      <c r="B47" s="40" t="s">
        <v>248</v>
      </c>
      <c r="C47" s="40" t="s">
        <v>249</v>
      </c>
      <c r="D47" s="40" t="s">
        <v>250</v>
      </c>
      <c r="E47" s="40" t="s">
        <v>251</v>
      </c>
      <c r="F47" s="39" t="str">
        <f t="shared" si="1"/>
        <v>CORRECT</v>
      </c>
      <c r="G47" s="39" t="s">
        <v>36</v>
      </c>
      <c r="H47" s="41" t="s">
        <v>36</v>
      </c>
      <c r="I47" s="53" t="s">
        <v>351</v>
      </c>
      <c r="J47" s="41">
        <v>27312.0</v>
      </c>
    </row>
    <row r="48" ht="60.0" customHeight="1">
      <c r="A48" s="39">
        <v>45.0</v>
      </c>
      <c r="B48" s="40" t="s">
        <v>253</v>
      </c>
      <c r="C48" s="40" t="s">
        <v>254</v>
      </c>
      <c r="D48" s="40" t="s">
        <v>255</v>
      </c>
      <c r="E48" s="40" t="s">
        <v>256</v>
      </c>
      <c r="F48" s="39" t="str">
        <f t="shared" si="1"/>
        <v>CORRECT</v>
      </c>
      <c r="G48" s="39" t="s">
        <v>36</v>
      </c>
      <c r="H48" s="41" t="s">
        <v>36</v>
      </c>
      <c r="I48" s="53" t="s">
        <v>352</v>
      </c>
      <c r="J48" s="41">
        <v>45366.0</v>
      </c>
    </row>
    <row r="49" ht="60.0" customHeight="1">
      <c r="A49" s="39">
        <v>46.0</v>
      </c>
      <c r="B49" s="40" t="s">
        <v>258</v>
      </c>
      <c r="C49" s="40" t="s">
        <v>39</v>
      </c>
      <c r="D49" s="40" t="s">
        <v>259</v>
      </c>
      <c r="E49" s="40" t="s">
        <v>260</v>
      </c>
      <c r="F49" s="39" t="str">
        <f t="shared" si="1"/>
        <v>CORRECT</v>
      </c>
      <c r="G49" s="39" t="s">
        <v>36</v>
      </c>
      <c r="H49" s="41" t="s">
        <v>36</v>
      </c>
      <c r="I49" s="53" t="s">
        <v>353</v>
      </c>
      <c r="J49" s="41">
        <v>29098.0</v>
      </c>
    </row>
    <row r="50">
      <c r="A50" s="44" t="s">
        <v>262</v>
      </c>
      <c r="B50" s="2"/>
      <c r="C50" s="2"/>
      <c r="D50" s="2"/>
      <c r="E50" s="3"/>
      <c r="F50" s="45">
        <f>COUNTIFS(F4:F49,"CORRECT")</f>
        <v>30</v>
      </c>
      <c r="G50" s="46"/>
      <c r="H50" s="46"/>
      <c r="J50" s="47">
        <f>AVERAGE(J4:J49)</f>
        <v>34339.43478</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354</v>
      </c>
      <c r="C2" s="2"/>
      <c r="D2" s="2"/>
      <c r="E2" s="2"/>
      <c r="F2" s="2"/>
      <c r="G2" s="2"/>
      <c r="H2" s="3"/>
      <c r="I2" s="37" t="s">
        <v>355</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48</v>
      </c>
      <c r="I4" s="53" t="s">
        <v>356</v>
      </c>
      <c r="J4" s="55">
        <v>48882.0</v>
      </c>
    </row>
    <row r="5" ht="60.0" customHeight="1">
      <c r="A5" s="39">
        <v>2.0</v>
      </c>
      <c r="B5" s="40" t="s">
        <v>38</v>
      </c>
      <c r="C5" s="40" t="s">
        <v>39</v>
      </c>
      <c r="D5" s="40" t="s">
        <v>40</v>
      </c>
      <c r="E5" s="40" t="s">
        <v>41</v>
      </c>
      <c r="F5" s="39" t="str">
        <f t="shared" si="1"/>
        <v>WRONG</v>
      </c>
      <c r="G5" s="39" t="s">
        <v>42</v>
      </c>
      <c r="H5" s="55" t="s">
        <v>48</v>
      </c>
      <c r="I5" s="53" t="s">
        <v>357</v>
      </c>
      <c r="J5" s="55">
        <v>64736.0</v>
      </c>
    </row>
    <row r="6" ht="60.0" customHeight="1">
      <c r="A6" s="39">
        <v>3.0</v>
      </c>
      <c r="B6" s="40" t="s">
        <v>44</v>
      </c>
      <c r="C6" s="40" t="s">
        <v>45</v>
      </c>
      <c r="D6" s="40" t="s">
        <v>46</v>
      </c>
      <c r="E6" s="40" t="s">
        <v>47</v>
      </c>
      <c r="F6" s="39" t="str">
        <f t="shared" si="1"/>
        <v>CORRECT</v>
      </c>
      <c r="G6" s="39" t="s">
        <v>48</v>
      </c>
      <c r="H6" s="55" t="s">
        <v>48</v>
      </c>
      <c r="I6" s="53" t="s">
        <v>358</v>
      </c>
      <c r="J6" s="55">
        <v>40653.0</v>
      </c>
    </row>
    <row r="7" ht="60.0" customHeight="1">
      <c r="A7" s="39">
        <v>4.0</v>
      </c>
      <c r="B7" s="40" t="s">
        <v>50</v>
      </c>
      <c r="C7" s="40" t="s">
        <v>51</v>
      </c>
      <c r="D7" s="40" t="s">
        <v>52</v>
      </c>
      <c r="E7" s="40" t="s">
        <v>53</v>
      </c>
      <c r="F7" s="39" t="str">
        <f t="shared" si="1"/>
        <v>CORRECT</v>
      </c>
      <c r="G7" s="39" t="s">
        <v>42</v>
      </c>
      <c r="H7" s="55" t="s">
        <v>42</v>
      </c>
      <c r="I7" s="53" t="s">
        <v>359</v>
      </c>
      <c r="J7" s="55">
        <v>24406.0</v>
      </c>
    </row>
    <row r="8" ht="60.0" customHeight="1">
      <c r="A8" s="39">
        <v>5.0</v>
      </c>
      <c r="B8" s="40" t="s">
        <v>55</v>
      </c>
      <c r="C8" s="40" t="s">
        <v>56</v>
      </c>
      <c r="D8" s="40" t="s">
        <v>57</v>
      </c>
      <c r="E8" s="40" t="s">
        <v>58</v>
      </c>
      <c r="F8" s="39" t="str">
        <f t="shared" si="1"/>
        <v>CORRECT</v>
      </c>
      <c r="G8" s="39" t="s">
        <v>48</v>
      </c>
      <c r="H8" s="54" t="s">
        <v>48</v>
      </c>
      <c r="I8" s="53" t="s">
        <v>360</v>
      </c>
      <c r="J8" s="55">
        <v>70218.0</v>
      </c>
    </row>
    <row r="9" ht="60.0" customHeight="1">
      <c r="A9" s="39">
        <v>6.0</v>
      </c>
      <c r="B9" s="40" t="s">
        <v>60</v>
      </c>
      <c r="C9" s="40" t="s">
        <v>61</v>
      </c>
      <c r="D9" s="40" t="s">
        <v>62</v>
      </c>
      <c r="E9" s="40" t="s">
        <v>63</v>
      </c>
      <c r="F9" s="39" t="str">
        <f t="shared" si="1"/>
        <v>CORRECT</v>
      </c>
      <c r="G9" s="39" t="s">
        <v>42</v>
      </c>
      <c r="H9" s="55" t="s">
        <v>42</v>
      </c>
      <c r="I9" s="53" t="s">
        <v>361</v>
      </c>
      <c r="J9" s="55">
        <v>29527.0</v>
      </c>
    </row>
    <row r="10" ht="60.0" customHeight="1">
      <c r="A10" s="39">
        <v>7.0</v>
      </c>
      <c r="B10" s="40" t="s">
        <v>65</v>
      </c>
      <c r="C10" s="40" t="s">
        <v>66</v>
      </c>
      <c r="D10" s="40" t="s">
        <v>67</v>
      </c>
      <c r="E10" s="40" t="s">
        <v>68</v>
      </c>
      <c r="F10" s="39" t="str">
        <f t="shared" si="1"/>
        <v>WRONG</v>
      </c>
      <c r="G10" s="39" t="s">
        <v>42</v>
      </c>
      <c r="H10" s="54" t="s">
        <v>48</v>
      </c>
      <c r="I10" s="53" t="s">
        <v>362</v>
      </c>
      <c r="J10" s="55">
        <v>34444.0</v>
      </c>
    </row>
    <row r="11" ht="60.0" customHeight="1">
      <c r="A11" s="39">
        <v>8.0</v>
      </c>
      <c r="B11" s="40" t="s">
        <v>70</v>
      </c>
      <c r="C11" s="40" t="s">
        <v>71</v>
      </c>
      <c r="D11" s="40" t="s">
        <v>72</v>
      </c>
      <c r="E11" s="40" t="s">
        <v>73</v>
      </c>
      <c r="F11" s="39" t="str">
        <f t="shared" si="1"/>
        <v>WRONG</v>
      </c>
      <c r="G11" s="39" t="s">
        <v>48</v>
      </c>
      <c r="H11" s="54" t="s">
        <v>42</v>
      </c>
      <c r="I11" s="53" t="s">
        <v>363</v>
      </c>
      <c r="J11" s="55">
        <v>52655.0</v>
      </c>
    </row>
    <row r="12" ht="60.0" customHeight="1">
      <c r="A12" s="39">
        <v>9.0</v>
      </c>
      <c r="B12" s="40" t="s">
        <v>75</v>
      </c>
      <c r="C12" s="40" t="s">
        <v>76</v>
      </c>
      <c r="D12" s="40" t="s">
        <v>77</v>
      </c>
      <c r="E12" s="40" t="s">
        <v>78</v>
      </c>
      <c r="F12" s="39" t="str">
        <f t="shared" si="1"/>
        <v>WRONG</v>
      </c>
      <c r="G12" s="39" t="s">
        <v>42</v>
      </c>
      <c r="H12" s="55" t="s">
        <v>48</v>
      </c>
      <c r="I12" s="53" t="s">
        <v>364</v>
      </c>
      <c r="J12" s="55">
        <v>32546.0</v>
      </c>
    </row>
    <row r="13" ht="60.0" customHeight="1">
      <c r="A13" s="39">
        <v>10.0</v>
      </c>
      <c r="B13" s="40" t="s">
        <v>80</v>
      </c>
      <c r="C13" s="40" t="s">
        <v>81</v>
      </c>
      <c r="D13" s="40" t="s">
        <v>82</v>
      </c>
      <c r="E13" s="40" t="s">
        <v>83</v>
      </c>
      <c r="F13" s="39" t="str">
        <f t="shared" si="1"/>
        <v>CORRECT</v>
      </c>
      <c r="G13" s="39" t="s">
        <v>48</v>
      </c>
      <c r="H13" s="55" t="s">
        <v>48</v>
      </c>
      <c r="I13" s="53" t="s">
        <v>365</v>
      </c>
      <c r="J13" s="55">
        <v>38431.0</v>
      </c>
    </row>
    <row r="14" ht="60.0" customHeight="1">
      <c r="A14" s="39">
        <v>11.0</v>
      </c>
      <c r="B14" s="40" t="s">
        <v>85</v>
      </c>
      <c r="C14" s="40" t="s">
        <v>86</v>
      </c>
      <c r="D14" s="40" t="s">
        <v>87</v>
      </c>
      <c r="E14" s="40" t="s">
        <v>88</v>
      </c>
      <c r="F14" s="39" t="str">
        <f t="shared" si="1"/>
        <v>CORRECT</v>
      </c>
      <c r="G14" s="39" t="s">
        <v>42</v>
      </c>
      <c r="H14" s="55" t="s">
        <v>42</v>
      </c>
      <c r="I14" s="53" t="s">
        <v>366</v>
      </c>
      <c r="J14" s="55">
        <v>53171.0</v>
      </c>
    </row>
    <row r="15" ht="60.0" customHeight="1">
      <c r="A15" s="39">
        <v>12.0</v>
      </c>
      <c r="B15" s="40" t="s">
        <v>90</v>
      </c>
      <c r="C15" s="40" t="s">
        <v>91</v>
      </c>
      <c r="D15" s="40" t="s">
        <v>92</v>
      </c>
      <c r="E15" s="40" t="s">
        <v>93</v>
      </c>
      <c r="F15" s="39" t="str">
        <f t="shared" si="1"/>
        <v>CORRECT</v>
      </c>
      <c r="G15" s="39" t="s">
        <v>48</v>
      </c>
      <c r="H15" s="55" t="s">
        <v>48</v>
      </c>
      <c r="I15" s="53" t="s">
        <v>367</v>
      </c>
      <c r="J15" s="55">
        <v>45226.0</v>
      </c>
    </row>
    <row r="16" ht="60.0" customHeight="1">
      <c r="A16" s="39">
        <v>13.0</v>
      </c>
      <c r="B16" s="40" t="s">
        <v>95</v>
      </c>
      <c r="C16" s="40" t="s">
        <v>96</v>
      </c>
      <c r="D16" s="40" t="s">
        <v>97</v>
      </c>
      <c r="E16" s="40" t="s">
        <v>98</v>
      </c>
      <c r="F16" s="39" t="str">
        <f t="shared" si="1"/>
        <v>CORRECT</v>
      </c>
      <c r="G16" s="39" t="s">
        <v>36</v>
      </c>
      <c r="H16" s="54" t="s">
        <v>36</v>
      </c>
      <c r="I16" s="53" t="s">
        <v>368</v>
      </c>
      <c r="J16" s="55">
        <v>22718.0</v>
      </c>
    </row>
    <row r="17" ht="60.0" customHeight="1">
      <c r="A17" s="39">
        <v>14.0</v>
      </c>
      <c r="B17" s="40" t="s">
        <v>100</v>
      </c>
      <c r="C17" s="40" t="s">
        <v>101</v>
      </c>
      <c r="D17" s="40" t="s">
        <v>102</v>
      </c>
      <c r="E17" s="40" t="s">
        <v>103</v>
      </c>
      <c r="F17" s="39" t="str">
        <f t="shared" si="1"/>
        <v>WRONG</v>
      </c>
      <c r="G17" s="39" t="s">
        <v>36</v>
      </c>
      <c r="H17" s="55" t="s">
        <v>48</v>
      </c>
      <c r="I17" s="53" t="s">
        <v>369</v>
      </c>
      <c r="J17" s="55">
        <v>26129.0</v>
      </c>
    </row>
    <row r="18" ht="60.0" customHeight="1">
      <c r="A18" s="39">
        <v>15.0</v>
      </c>
      <c r="B18" s="40" t="s">
        <v>105</v>
      </c>
      <c r="C18" s="40" t="s">
        <v>106</v>
      </c>
      <c r="D18" s="40" t="s">
        <v>107</v>
      </c>
      <c r="E18" s="40" t="s">
        <v>108</v>
      </c>
      <c r="F18" s="39" t="str">
        <f t="shared" si="1"/>
        <v>CORRECT</v>
      </c>
      <c r="G18" s="39" t="s">
        <v>48</v>
      </c>
      <c r="H18" s="55" t="s">
        <v>48</v>
      </c>
      <c r="I18" s="53" t="s">
        <v>370</v>
      </c>
      <c r="J18" s="55">
        <v>38848.0</v>
      </c>
    </row>
    <row r="19" ht="60.0" customHeight="1">
      <c r="A19" s="39">
        <v>16.0</v>
      </c>
      <c r="B19" s="40" t="s">
        <v>110</v>
      </c>
      <c r="C19" s="40" t="s">
        <v>111</v>
      </c>
      <c r="D19" s="40" t="s">
        <v>112</v>
      </c>
      <c r="E19" s="40" t="s">
        <v>113</v>
      </c>
      <c r="F19" s="39" t="str">
        <f t="shared" si="1"/>
        <v>CORRECT</v>
      </c>
      <c r="G19" s="39" t="s">
        <v>48</v>
      </c>
      <c r="H19" s="54" t="s">
        <v>48</v>
      </c>
      <c r="I19" s="53" t="s">
        <v>371</v>
      </c>
      <c r="J19" s="55">
        <v>36756.0</v>
      </c>
    </row>
    <row r="20" ht="60.0" customHeight="1">
      <c r="A20" s="39">
        <v>17.0</v>
      </c>
      <c r="B20" s="40" t="s">
        <v>115</v>
      </c>
      <c r="C20" s="40" t="s">
        <v>116</v>
      </c>
      <c r="D20" s="40" t="s">
        <v>117</v>
      </c>
      <c r="E20" s="40" t="s">
        <v>118</v>
      </c>
      <c r="F20" s="39" t="str">
        <f t="shared" si="1"/>
        <v>WRONG</v>
      </c>
      <c r="G20" s="39" t="s">
        <v>42</v>
      </c>
      <c r="H20" s="55" t="s">
        <v>36</v>
      </c>
      <c r="I20" s="53" t="s">
        <v>372</v>
      </c>
      <c r="J20" s="55">
        <v>28126.0</v>
      </c>
    </row>
    <row r="21" ht="60.0" customHeight="1">
      <c r="A21" s="39">
        <v>18.0</v>
      </c>
      <c r="B21" s="40" t="s">
        <v>120</v>
      </c>
      <c r="C21" s="40" t="s">
        <v>121</v>
      </c>
      <c r="D21" s="40" t="s">
        <v>122</v>
      </c>
      <c r="E21" s="40" t="s">
        <v>123</v>
      </c>
      <c r="F21" s="39" t="str">
        <f t="shared" si="1"/>
        <v>CORRECT</v>
      </c>
      <c r="G21" s="39" t="s">
        <v>42</v>
      </c>
      <c r="H21" s="55" t="s">
        <v>42</v>
      </c>
      <c r="I21" s="53" t="s">
        <v>373</v>
      </c>
      <c r="J21" s="55">
        <v>28246.0</v>
      </c>
    </row>
    <row r="22" ht="60.0" customHeight="1">
      <c r="A22" s="39">
        <v>19.0</v>
      </c>
      <c r="B22" s="40" t="s">
        <v>125</v>
      </c>
      <c r="C22" s="40" t="s">
        <v>126</v>
      </c>
      <c r="D22" s="40" t="s">
        <v>127</v>
      </c>
      <c r="E22" s="40" t="s">
        <v>128</v>
      </c>
      <c r="F22" s="39" t="str">
        <f t="shared" si="1"/>
        <v>WRONG</v>
      </c>
      <c r="G22" s="39" t="s">
        <v>36</v>
      </c>
      <c r="H22" s="54" t="s">
        <v>48</v>
      </c>
      <c r="I22" s="53" t="s">
        <v>374</v>
      </c>
      <c r="J22" s="55">
        <v>41587.0</v>
      </c>
    </row>
    <row r="23" ht="60.0" customHeight="1">
      <c r="A23" s="39">
        <v>20.0</v>
      </c>
      <c r="B23" s="40" t="s">
        <v>130</v>
      </c>
      <c r="C23" s="40" t="s">
        <v>131</v>
      </c>
      <c r="D23" s="40" t="s">
        <v>132</v>
      </c>
      <c r="E23" s="40" t="s">
        <v>133</v>
      </c>
      <c r="F23" s="39" t="str">
        <f t="shared" si="1"/>
        <v>WRONG</v>
      </c>
      <c r="G23" s="39" t="s">
        <v>42</v>
      </c>
      <c r="H23" s="54" t="s">
        <v>36</v>
      </c>
      <c r="I23" s="53" t="s">
        <v>375</v>
      </c>
      <c r="J23" s="55">
        <v>16632.0</v>
      </c>
    </row>
    <row r="24" ht="60.0" customHeight="1">
      <c r="A24" s="39">
        <v>21.0</v>
      </c>
      <c r="B24" s="40" t="s">
        <v>135</v>
      </c>
      <c r="C24" s="40" t="s">
        <v>136</v>
      </c>
      <c r="D24" s="40" t="s">
        <v>137</v>
      </c>
      <c r="E24" s="40" t="s">
        <v>138</v>
      </c>
      <c r="F24" s="39" t="str">
        <f t="shared" si="1"/>
        <v>WRONG</v>
      </c>
      <c r="G24" s="39" t="s">
        <v>42</v>
      </c>
      <c r="H24" s="55" t="s">
        <v>36</v>
      </c>
      <c r="I24" s="53" t="s">
        <v>376</v>
      </c>
      <c r="J24" s="55">
        <v>29941.0</v>
      </c>
    </row>
    <row r="25" ht="60.0" customHeight="1">
      <c r="A25" s="39">
        <v>22.0</v>
      </c>
      <c r="B25" s="40" t="s">
        <v>140</v>
      </c>
      <c r="C25" s="40" t="s">
        <v>141</v>
      </c>
      <c r="D25" s="40" t="s">
        <v>142</v>
      </c>
      <c r="E25" s="40" t="s">
        <v>143</v>
      </c>
      <c r="F25" s="39" t="str">
        <f t="shared" si="1"/>
        <v>CORRECT</v>
      </c>
      <c r="G25" s="39" t="s">
        <v>42</v>
      </c>
      <c r="H25" s="55" t="s">
        <v>42</v>
      </c>
      <c r="I25" s="53" t="s">
        <v>377</v>
      </c>
      <c r="J25" s="55">
        <v>23216.0</v>
      </c>
    </row>
    <row r="26" ht="60.0" customHeight="1">
      <c r="A26" s="39">
        <v>23.0</v>
      </c>
      <c r="B26" s="40" t="s">
        <v>145</v>
      </c>
      <c r="C26" s="40" t="s">
        <v>146</v>
      </c>
      <c r="D26" s="40" t="s">
        <v>147</v>
      </c>
      <c r="E26" s="40" t="s">
        <v>148</v>
      </c>
      <c r="F26" s="39" t="str">
        <f t="shared" si="1"/>
        <v>WRONG</v>
      </c>
      <c r="G26" s="39" t="s">
        <v>48</v>
      </c>
      <c r="H26" s="54" t="s">
        <v>36</v>
      </c>
      <c r="I26" s="53" t="s">
        <v>378</v>
      </c>
      <c r="J26" s="55">
        <v>35574.0</v>
      </c>
    </row>
    <row r="27" ht="60.0" customHeight="1">
      <c r="A27" s="39">
        <v>24.0</v>
      </c>
      <c r="B27" s="40" t="s">
        <v>150</v>
      </c>
      <c r="C27" s="40" t="s">
        <v>151</v>
      </c>
      <c r="D27" s="40" t="s">
        <v>152</v>
      </c>
      <c r="E27" s="40" t="s">
        <v>153</v>
      </c>
      <c r="F27" s="39" t="str">
        <f t="shared" si="1"/>
        <v>CORRECT</v>
      </c>
      <c r="G27" s="39" t="s">
        <v>36</v>
      </c>
      <c r="H27" s="54" t="s">
        <v>36</v>
      </c>
      <c r="I27" s="53" t="s">
        <v>379</v>
      </c>
      <c r="J27" s="55">
        <v>35446.0</v>
      </c>
    </row>
    <row r="28" ht="60.0" customHeight="1">
      <c r="A28" s="39">
        <v>25.0</v>
      </c>
      <c r="B28" s="40" t="s">
        <v>155</v>
      </c>
      <c r="C28" s="40" t="s">
        <v>151</v>
      </c>
      <c r="D28" s="40" t="s">
        <v>156</v>
      </c>
      <c r="E28" s="40" t="s">
        <v>153</v>
      </c>
      <c r="F28" s="39" t="str">
        <f t="shared" si="1"/>
        <v>WRONG</v>
      </c>
      <c r="G28" s="39" t="s">
        <v>48</v>
      </c>
      <c r="H28" s="55" t="s">
        <v>36</v>
      </c>
      <c r="I28" s="53" t="s">
        <v>380</v>
      </c>
      <c r="J28" s="55">
        <v>21104.0</v>
      </c>
    </row>
    <row r="29" ht="60.0" customHeight="1">
      <c r="A29" s="39">
        <v>26.0</v>
      </c>
      <c r="B29" s="40" t="s">
        <v>158</v>
      </c>
      <c r="C29" s="40" t="s">
        <v>159</v>
      </c>
      <c r="D29" s="40" t="s">
        <v>160</v>
      </c>
      <c r="E29" s="40" t="s">
        <v>161</v>
      </c>
      <c r="F29" s="39" t="str">
        <f t="shared" si="1"/>
        <v>WRONG</v>
      </c>
      <c r="G29" s="39" t="s">
        <v>36</v>
      </c>
      <c r="H29" s="54" t="s">
        <v>48</v>
      </c>
      <c r="I29" s="53" t="s">
        <v>381</v>
      </c>
      <c r="J29" s="55">
        <v>30645.0</v>
      </c>
    </row>
    <row r="30" ht="60.0" customHeight="1">
      <c r="A30" s="39">
        <v>27.0</v>
      </c>
      <c r="B30" s="40" t="s">
        <v>163</v>
      </c>
      <c r="C30" s="40" t="s">
        <v>164</v>
      </c>
      <c r="D30" s="40" t="s">
        <v>165</v>
      </c>
      <c r="E30" s="40" t="s">
        <v>166</v>
      </c>
      <c r="F30" s="39" t="str">
        <f t="shared" si="1"/>
        <v>CORRECT</v>
      </c>
      <c r="G30" s="39" t="s">
        <v>42</v>
      </c>
      <c r="H30" s="55" t="s">
        <v>42</v>
      </c>
      <c r="I30" s="53" t="s">
        <v>382</v>
      </c>
      <c r="J30" s="55">
        <v>24310.0</v>
      </c>
    </row>
    <row r="31" ht="60.0" customHeight="1">
      <c r="A31" s="39">
        <v>28.0</v>
      </c>
      <c r="B31" s="40" t="s">
        <v>168</v>
      </c>
      <c r="C31" s="40" t="s">
        <v>169</v>
      </c>
      <c r="D31" s="40" t="s">
        <v>170</v>
      </c>
      <c r="E31" s="40" t="s">
        <v>171</v>
      </c>
      <c r="F31" s="39" t="str">
        <f t="shared" si="1"/>
        <v>WRONG</v>
      </c>
      <c r="G31" s="39" t="s">
        <v>36</v>
      </c>
      <c r="H31" s="55" t="s">
        <v>42</v>
      </c>
      <c r="I31" s="53" t="s">
        <v>383</v>
      </c>
      <c r="J31" s="55">
        <v>20836.0</v>
      </c>
    </row>
    <row r="32" ht="60.0" customHeight="1">
      <c r="A32" s="39">
        <v>29.0</v>
      </c>
      <c r="B32" s="40" t="s">
        <v>173</v>
      </c>
      <c r="C32" s="40" t="s">
        <v>174</v>
      </c>
      <c r="D32" s="40" t="s">
        <v>175</v>
      </c>
      <c r="E32" s="40" t="s">
        <v>176</v>
      </c>
      <c r="F32" s="39" t="str">
        <f t="shared" si="1"/>
        <v>CORRECT</v>
      </c>
      <c r="G32" s="39" t="s">
        <v>42</v>
      </c>
      <c r="H32" s="55" t="s">
        <v>42</v>
      </c>
      <c r="I32" s="53" t="s">
        <v>384</v>
      </c>
      <c r="J32" s="55">
        <v>37572.0</v>
      </c>
    </row>
    <row r="33" ht="60.0" customHeight="1">
      <c r="A33" s="39">
        <v>30.0</v>
      </c>
      <c r="B33" s="40" t="s">
        <v>178</v>
      </c>
      <c r="C33" s="40" t="s">
        <v>179</v>
      </c>
      <c r="D33" s="40" t="s">
        <v>180</v>
      </c>
      <c r="E33" s="40" t="s">
        <v>181</v>
      </c>
      <c r="F33" s="39" t="str">
        <f t="shared" si="1"/>
        <v>WRONG</v>
      </c>
      <c r="G33" s="39" t="s">
        <v>48</v>
      </c>
      <c r="H33" s="55" t="s">
        <v>36</v>
      </c>
      <c r="I33" s="53" t="s">
        <v>385</v>
      </c>
      <c r="J33" s="55">
        <v>35408.0</v>
      </c>
    </row>
    <row r="34" ht="60.0" customHeight="1">
      <c r="A34" s="39">
        <v>31.0</v>
      </c>
      <c r="B34" s="40" t="s">
        <v>183</v>
      </c>
      <c r="C34" s="40" t="s">
        <v>184</v>
      </c>
      <c r="D34" s="40" t="s">
        <v>185</v>
      </c>
      <c r="E34" s="40" t="s">
        <v>186</v>
      </c>
      <c r="F34" s="39" t="str">
        <f t="shared" si="1"/>
        <v>WRONG</v>
      </c>
      <c r="G34" s="39" t="s">
        <v>42</v>
      </c>
      <c r="H34" s="55" t="s">
        <v>36</v>
      </c>
      <c r="I34" s="53" t="s">
        <v>386</v>
      </c>
      <c r="J34" s="55">
        <v>32833.0</v>
      </c>
    </row>
    <row r="35" ht="60.0" customHeight="1">
      <c r="A35" s="39">
        <v>32.0</v>
      </c>
      <c r="B35" s="40" t="s">
        <v>188</v>
      </c>
      <c r="C35" s="40" t="s">
        <v>189</v>
      </c>
      <c r="D35" s="40" t="s">
        <v>190</v>
      </c>
      <c r="E35" s="40" t="s">
        <v>191</v>
      </c>
      <c r="F35" s="39" t="str">
        <f t="shared" si="1"/>
        <v>CORRECT</v>
      </c>
      <c r="G35" s="39" t="s">
        <v>36</v>
      </c>
      <c r="H35" s="55" t="s">
        <v>36</v>
      </c>
      <c r="I35" s="53" t="s">
        <v>387</v>
      </c>
      <c r="J35" s="55">
        <v>47877.0</v>
      </c>
    </row>
    <row r="36" ht="60.0" customHeight="1">
      <c r="A36" s="39">
        <v>33.0</v>
      </c>
      <c r="B36" s="40" t="s">
        <v>193</v>
      </c>
      <c r="C36" s="40" t="s">
        <v>194</v>
      </c>
      <c r="D36" s="40" t="s">
        <v>195</v>
      </c>
      <c r="E36" s="40" t="s">
        <v>196</v>
      </c>
      <c r="F36" s="39" t="str">
        <f t="shared" si="1"/>
        <v>WRONG</v>
      </c>
      <c r="G36" s="39" t="s">
        <v>48</v>
      </c>
      <c r="H36" s="54" t="s">
        <v>42</v>
      </c>
      <c r="I36" s="53" t="s">
        <v>388</v>
      </c>
      <c r="J36" s="55">
        <v>37818.0</v>
      </c>
    </row>
    <row r="37" ht="60.0" customHeight="1">
      <c r="A37" s="39">
        <v>34.0</v>
      </c>
      <c r="B37" s="40" t="s">
        <v>198</v>
      </c>
      <c r="C37" s="40" t="s">
        <v>199</v>
      </c>
      <c r="D37" s="40" t="s">
        <v>200</v>
      </c>
      <c r="E37" s="40" t="s">
        <v>201</v>
      </c>
      <c r="F37" s="39" t="str">
        <f t="shared" si="1"/>
        <v>CORRECT</v>
      </c>
      <c r="G37" s="39" t="s">
        <v>36</v>
      </c>
      <c r="H37" s="55" t="s">
        <v>36</v>
      </c>
      <c r="I37" s="53" t="s">
        <v>389</v>
      </c>
      <c r="J37" s="55">
        <v>30837.0</v>
      </c>
    </row>
    <row r="38" ht="60.0" customHeight="1">
      <c r="A38" s="39">
        <v>35.0</v>
      </c>
      <c r="B38" s="40" t="s">
        <v>203</v>
      </c>
      <c r="C38" s="40" t="s">
        <v>204</v>
      </c>
      <c r="D38" s="40" t="s">
        <v>205</v>
      </c>
      <c r="E38" s="40" t="s">
        <v>206</v>
      </c>
      <c r="F38" s="39" t="str">
        <f t="shared" si="1"/>
        <v>WRONG</v>
      </c>
      <c r="G38" s="39" t="s">
        <v>48</v>
      </c>
      <c r="H38" s="54" t="s">
        <v>36</v>
      </c>
      <c r="I38" s="53" t="s">
        <v>390</v>
      </c>
      <c r="J38" s="55">
        <v>23204.0</v>
      </c>
    </row>
    <row r="39" ht="60.0" customHeight="1">
      <c r="A39" s="39">
        <v>36.0</v>
      </c>
      <c r="B39" s="40" t="s">
        <v>208</v>
      </c>
      <c r="C39" s="40" t="s">
        <v>209</v>
      </c>
      <c r="D39" s="40" t="s">
        <v>210</v>
      </c>
      <c r="E39" s="40" t="s">
        <v>211</v>
      </c>
      <c r="F39" s="39" t="str">
        <f t="shared" si="1"/>
        <v>CORRECT</v>
      </c>
      <c r="G39" s="39" t="s">
        <v>36</v>
      </c>
      <c r="H39" s="55" t="s">
        <v>36</v>
      </c>
      <c r="I39" s="53" t="s">
        <v>391</v>
      </c>
      <c r="J39" s="55">
        <v>19336.0</v>
      </c>
    </row>
    <row r="40" ht="60.0" customHeight="1">
      <c r="A40" s="39">
        <v>37.0</v>
      </c>
      <c r="B40" s="40" t="s">
        <v>213</v>
      </c>
      <c r="C40" s="40" t="s">
        <v>214</v>
      </c>
      <c r="D40" s="40" t="s">
        <v>215</v>
      </c>
      <c r="E40" s="40" t="s">
        <v>216</v>
      </c>
      <c r="F40" s="39" t="str">
        <f t="shared" si="1"/>
        <v>WRONG</v>
      </c>
      <c r="G40" s="39" t="s">
        <v>36</v>
      </c>
      <c r="H40" s="55" t="s">
        <v>42</v>
      </c>
      <c r="I40" s="53" t="s">
        <v>392</v>
      </c>
      <c r="J40" s="55">
        <v>43751.0</v>
      </c>
    </row>
    <row r="41" ht="60.0" customHeight="1">
      <c r="A41" s="39">
        <v>38.0</v>
      </c>
      <c r="B41" s="40" t="s">
        <v>218</v>
      </c>
      <c r="C41" s="40" t="s">
        <v>219</v>
      </c>
      <c r="D41" s="40" t="s">
        <v>220</v>
      </c>
      <c r="E41" s="40" t="s">
        <v>221</v>
      </c>
      <c r="F41" s="39" t="str">
        <f t="shared" si="1"/>
        <v>CORRECT</v>
      </c>
      <c r="G41" s="39" t="s">
        <v>36</v>
      </c>
      <c r="H41" s="55" t="s">
        <v>36</v>
      </c>
      <c r="I41" s="53" t="s">
        <v>393</v>
      </c>
      <c r="J41" s="55">
        <v>36324.0</v>
      </c>
    </row>
    <row r="42" ht="60.0" customHeight="1">
      <c r="A42" s="39">
        <v>39.0</v>
      </c>
      <c r="B42" s="40" t="s">
        <v>223</v>
      </c>
      <c r="C42" s="40" t="s">
        <v>224</v>
      </c>
      <c r="D42" s="40" t="s">
        <v>225</v>
      </c>
      <c r="E42" s="40" t="s">
        <v>226</v>
      </c>
      <c r="F42" s="39" t="str">
        <f t="shared" si="1"/>
        <v>WRONG</v>
      </c>
      <c r="G42" s="39" t="s">
        <v>42</v>
      </c>
      <c r="H42" s="55" t="s">
        <v>48</v>
      </c>
      <c r="I42" s="53" t="s">
        <v>394</v>
      </c>
      <c r="J42" s="55">
        <v>23086.0</v>
      </c>
    </row>
    <row r="43" ht="60.0" customHeight="1">
      <c r="A43" s="39">
        <v>40.0</v>
      </c>
      <c r="B43" s="40" t="s">
        <v>228</v>
      </c>
      <c r="C43" s="40" t="s">
        <v>229</v>
      </c>
      <c r="D43" s="40" t="s">
        <v>230</v>
      </c>
      <c r="E43" s="40" t="s">
        <v>231</v>
      </c>
      <c r="F43" s="39" t="str">
        <f t="shared" si="1"/>
        <v>WRONG</v>
      </c>
      <c r="G43" s="39" t="s">
        <v>48</v>
      </c>
      <c r="H43" s="54" t="s">
        <v>42</v>
      </c>
      <c r="I43" s="53" t="s">
        <v>395</v>
      </c>
      <c r="J43" s="55">
        <v>40213.0</v>
      </c>
    </row>
    <row r="44" ht="60.0" customHeight="1">
      <c r="A44" s="39">
        <v>41.0</v>
      </c>
      <c r="B44" s="40" t="s">
        <v>233</v>
      </c>
      <c r="C44" s="40" t="s">
        <v>234</v>
      </c>
      <c r="D44" s="40" t="s">
        <v>235</v>
      </c>
      <c r="E44" s="40" t="s">
        <v>236</v>
      </c>
      <c r="F44" s="39" t="str">
        <f t="shared" si="1"/>
        <v>CORRECT</v>
      </c>
      <c r="G44" s="39" t="s">
        <v>42</v>
      </c>
      <c r="H44" s="55" t="s">
        <v>42</v>
      </c>
      <c r="I44" s="53" t="s">
        <v>396</v>
      </c>
      <c r="J44" s="55">
        <v>21999.0</v>
      </c>
    </row>
    <row r="45" ht="60.0" customHeight="1">
      <c r="A45" s="39">
        <v>42.0</v>
      </c>
      <c r="B45" s="40" t="s">
        <v>238</v>
      </c>
      <c r="C45" s="40" t="s">
        <v>239</v>
      </c>
      <c r="D45" s="40" t="s">
        <v>240</v>
      </c>
      <c r="E45" s="40" t="s">
        <v>241</v>
      </c>
      <c r="F45" s="39" t="str">
        <f t="shared" si="1"/>
        <v>CORRECT</v>
      </c>
      <c r="G45" s="39" t="s">
        <v>36</v>
      </c>
      <c r="H45" s="54" t="s">
        <v>36</v>
      </c>
      <c r="I45" s="53" t="s">
        <v>397</v>
      </c>
      <c r="J45" s="55">
        <v>29850.0</v>
      </c>
    </row>
    <row r="46" ht="60.0" customHeight="1">
      <c r="A46" s="39">
        <v>43.0</v>
      </c>
      <c r="B46" s="40" t="s">
        <v>243</v>
      </c>
      <c r="C46" s="40" t="s">
        <v>244</v>
      </c>
      <c r="D46" s="40" t="s">
        <v>245</v>
      </c>
      <c r="E46" s="40" t="s">
        <v>246</v>
      </c>
      <c r="F46" s="39" t="str">
        <f t="shared" si="1"/>
        <v>WRONG</v>
      </c>
      <c r="G46" s="39" t="s">
        <v>48</v>
      </c>
      <c r="H46" s="54" t="s">
        <v>36</v>
      </c>
      <c r="I46" s="53" t="s">
        <v>398</v>
      </c>
      <c r="J46" s="55">
        <v>37266.0</v>
      </c>
    </row>
    <row r="47" ht="60.0" customHeight="1">
      <c r="A47" s="39">
        <v>44.0</v>
      </c>
      <c r="B47" s="40" t="s">
        <v>248</v>
      </c>
      <c r="C47" s="40" t="s">
        <v>249</v>
      </c>
      <c r="D47" s="40" t="s">
        <v>250</v>
      </c>
      <c r="E47" s="40" t="s">
        <v>251</v>
      </c>
      <c r="F47" s="39" t="str">
        <f t="shared" si="1"/>
        <v>CORRECT</v>
      </c>
      <c r="G47" s="39" t="s">
        <v>36</v>
      </c>
      <c r="H47" s="55" t="s">
        <v>36</v>
      </c>
      <c r="I47" s="53" t="s">
        <v>399</v>
      </c>
      <c r="J47" s="55">
        <v>26974.0</v>
      </c>
    </row>
    <row r="48" ht="60.0" customHeight="1">
      <c r="A48" s="39">
        <v>45.0</v>
      </c>
      <c r="B48" s="40" t="s">
        <v>253</v>
      </c>
      <c r="C48" s="40" t="s">
        <v>254</v>
      </c>
      <c r="D48" s="40" t="s">
        <v>255</v>
      </c>
      <c r="E48" s="40" t="s">
        <v>256</v>
      </c>
      <c r="F48" s="39" t="str">
        <f t="shared" si="1"/>
        <v>CORRECT</v>
      </c>
      <c r="G48" s="39" t="s">
        <v>36</v>
      </c>
      <c r="H48" s="55" t="s">
        <v>36</v>
      </c>
      <c r="I48" s="53" t="s">
        <v>400</v>
      </c>
      <c r="J48" s="55">
        <v>44786.0</v>
      </c>
    </row>
    <row r="49" ht="60.0" customHeight="1">
      <c r="A49" s="39">
        <v>46.0</v>
      </c>
      <c r="B49" s="40" t="s">
        <v>258</v>
      </c>
      <c r="C49" s="40" t="s">
        <v>39</v>
      </c>
      <c r="D49" s="40" t="s">
        <v>259</v>
      </c>
      <c r="E49" s="40" t="s">
        <v>260</v>
      </c>
      <c r="F49" s="39" t="str">
        <f t="shared" si="1"/>
        <v>CORRECT</v>
      </c>
      <c r="G49" s="39" t="s">
        <v>36</v>
      </c>
      <c r="H49" s="55" t="s">
        <v>36</v>
      </c>
      <c r="I49" s="53" t="s">
        <v>401</v>
      </c>
      <c r="J49" s="55">
        <v>37318.0</v>
      </c>
    </row>
    <row r="50">
      <c r="A50" s="44" t="s">
        <v>262</v>
      </c>
      <c r="B50" s="2"/>
      <c r="C50" s="2"/>
      <c r="D50" s="2"/>
      <c r="E50" s="3"/>
      <c r="F50" s="45">
        <f>COUNTIFS(F4:F49,"CORRECT")</f>
        <v>24</v>
      </c>
      <c r="G50" s="46"/>
      <c r="H50" s="46"/>
      <c r="J50" s="47">
        <f>AVERAGE(J4:J49)</f>
        <v>34814.36957</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402</v>
      </c>
      <c r="C2" s="2"/>
      <c r="D2" s="2"/>
      <c r="E2" s="2"/>
      <c r="F2" s="2"/>
      <c r="G2" s="2"/>
      <c r="H2" s="3"/>
      <c r="I2" s="37" t="s">
        <v>403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37</v>
      </c>
      <c r="J4" s="55">
        <v>20874.0</v>
      </c>
    </row>
    <row r="5" ht="60.0" customHeight="1">
      <c r="A5" s="39">
        <v>2.0</v>
      </c>
      <c r="B5" s="40" t="s">
        <v>38</v>
      </c>
      <c r="C5" s="40" t="s">
        <v>39</v>
      </c>
      <c r="D5" s="40" t="s">
        <v>40</v>
      </c>
      <c r="E5" s="40" t="s">
        <v>41</v>
      </c>
      <c r="F5" s="39" t="str">
        <f t="shared" si="1"/>
        <v>CORRECT</v>
      </c>
      <c r="G5" s="39" t="s">
        <v>42</v>
      </c>
      <c r="H5" s="54" t="s">
        <v>42</v>
      </c>
      <c r="I5" s="53" t="s">
        <v>308</v>
      </c>
      <c r="J5" s="55">
        <v>42324.0</v>
      </c>
    </row>
    <row r="6" ht="60.0" customHeight="1">
      <c r="A6" s="39">
        <v>3.0</v>
      </c>
      <c r="B6" s="40" t="s">
        <v>44</v>
      </c>
      <c r="C6" s="40" t="s">
        <v>45</v>
      </c>
      <c r="D6" s="40" t="s">
        <v>46</v>
      </c>
      <c r="E6" s="40" t="s">
        <v>47</v>
      </c>
      <c r="F6" s="39" t="str">
        <f t="shared" si="1"/>
        <v>CORRECT</v>
      </c>
      <c r="G6" s="39" t="s">
        <v>48</v>
      </c>
      <c r="H6" s="55" t="s">
        <v>48</v>
      </c>
      <c r="I6" s="53" t="s">
        <v>49</v>
      </c>
      <c r="J6" s="55">
        <v>30699.0</v>
      </c>
    </row>
    <row r="7" ht="60.0" customHeight="1">
      <c r="A7" s="39">
        <v>4.0</v>
      </c>
      <c r="B7" s="40" t="s">
        <v>50</v>
      </c>
      <c r="C7" s="40" t="s">
        <v>51</v>
      </c>
      <c r="D7" s="40" t="s">
        <v>52</v>
      </c>
      <c r="E7" s="40" t="s">
        <v>53</v>
      </c>
      <c r="F7" s="39" t="str">
        <f t="shared" si="1"/>
        <v>CORRECT</v>
      </c>
      <c r="G7" s="39" t="s">
        <v>42</v>
      </c>
      <c r="H7" s="55" t="s">
        <v>42</v>
      </c>
      <c r="I7" s="53" t="s">
        <v>54</v>
      </c>
      <c r="J7" s="55">
        <v>22907.0</v>
      </c>
    </row>
    <row r="8" ht="60.0" customHeight="1">
      <c r="A8" s="39">
        <v>5.0</v>
      </c>
      <c r="B8" s="40" t="s">
        <v>55</v>
      </c>
      <c r="C8" s="40" t="s">
        <v>56</v>
      </c>
      <c r="D8" s="40" t="s">
        <v>57</v>
      </c>
      <c r="E8" s="40" t="s">
        <v>58</v>
      </c>
      <c r="F8" s="39" t="str">
        <f t="shared" si="1"/>
        <v>CORRECT</v>
      </c>
      <c r="G8" s="39" t="s">
        <v>48</v>
      </c>
      <c r="H8" s="54" t="s">
        <v>48</v>
      </c>
      <c r="I8" s="53" t="s">
        <v>268</v>
      </c>
      <c r="J8" s="55">
        <v>68256.0</v>
      </c>
    </row>
    <row r="9" ht="60.0" customHeight="1">
      <c r="A9" s="39">
        <v>6.0</v>
      </c>
      <c r="B9" s="40" t="s">
        <v>60</v>
      </c>
      <c r="C9" s="40" t="s">
        <v>61</v>
      </c>
      <c r="D9" s="40" t="s">
        <v>62</v>
      </c>
      <c r="E9" s="40" t="s">
        <v>63</v>
      </c>
      <c r="F9" s="39" t="str">
        <f t="shared" si="1"/>
        <v>CORRECT</v>
      </c>
      <c r="G9" s="39" t="s">
        <v>42</v>
      </c>
      <c r="H9" s="55" t="s">
        <v>42</v>
      </c>
      <c r="I9" s="53" t="s">
        <v>64</v>
      </c>
      <c r="J9" s="55">
        <v>35902.0</v>
      </c>
    </row>
    <row r="10" ht="60.0" customHeight="1">
      <c r="A10" s="39">
        <v>7.0</v>
      </c>
      <c r="B10" s="40" t="s">
        <v>65</v>
      </c>
      <c r="C10" s="40" t="s">
        <v>66</v>
      </c>
      <c r="D10" s="40" t="s">
        <v>67</v>
      </c>
      <c r="E10" s="40" t="s">
        <v>68</v>
      </c>
      <c r="F10" s="39" t="str">
        <f t="shared" si="1"/>
        <v>WRONG</v>
      </c>
      <c r="G10" s="39" t="s">
        <v>42</v>
      </c>
      <c r="H10" s="55" t="s">
        <v>36</v>
      </c>
      <c r="I10" s="53" t="s">
        <v>269</v>
      </c>
      <c r="J10" s="55">
        <v>34094.0</v>
      </c>
    </row>
    <row r="11" ht="60.0" customHeight="1">
      <c r="A11" s="39">
        <v>8.0</v>
      </c>
      <c r="B11" s="40" t="s">
        <v>70</v>
      </c>
      <c r="C11" s="40" t="s">
        <v>71</v>
      </c>
      <c r="D11" s="40" t="s">
        <v>72</v>
      </c>
      <c r="E11" s="40" t="s">
        <v>73</v>
      </c>
      <c r="F11" s="39" t="str">
        <f t="shared" si="1"/>
        <v>CORRECT</v>
      </c>
      <c r="G11" s="39" t="s">
        <v>48</v>
      </c>
      <c r="H11" s="54" t="s">
        <v>48</v>
      </c>
      <c r="I11" s="53" t="s">
        <v>74</v>
      </c>
      <c r="J11" s="55">
        <v>30637.0</v>
      </c>
    </row>
    <row r="12" ht="60.0" customHeight="1">
      <c r="A12" s="39">
        <v>9.0</v>
      </c>
      <c r="B12" s="40" t="s">
        <v>75</v>
      </c>
      <c r="C12" s="40" t="s">
        <v>76</v>
      </c>
      <c r="D12" s="40" t="s">
        <v>77</v>
      </c>
      <c r="E12" s="40" t="s">
        <v>78</v>
      </c>
      <c r="F12" s="39" t="str">
        <f t="shared" si="1"/>
        <v>WRONG</v>
      </c>
      <c r="G12" s="39" t="s">
        <v>42</v>
      </c>
      <c r="H12" s="54" t="s">
        <v>48</v>
      </c>
      <c r="I12" s="53" t="s">
        <v>270</v>
      </c>
      <c r="J12" s="55">
        <v>39250.0</v>
      </c>
    </row>
    <row r="13" ht="60.0" customHeight="1">
      <c r="A13" s="39">
        <v>10.0</v>
      </c>
      <c r="B13" s="40" t="s">
        <v>80</v>
      </c>
      <c r="C13" s="40" t="s">
        <v>81</v>
      </c>
      <c r="D13" s="40" t="s">
        <v>82</v>
      </c>
      <c r="E13" s="40" t="s">
        <v>83</v>
      </c>
      <c r="F13" s="39" t="str">
        <f t="shared" si="1"/>
        <v>CORRECT</v>
      </c>
      <c r="G13" s="39" t="s">
        <v>48</v>
      </c>
      <c r="H13" s="55" t="s">
        <v>48</v>
      </c>
      <c r="I13" s="53" t="s">
        <v>271</v>
      </c>
      <c r="J13" s="55">
        <v>50182.0</v>
      </c>
    </row>
    <row r="14" ht="60.0" customHeight="1">
      <c r="A14" s="39">
        <v>11.0</v>
      </c>
      <c r="B14" s="40" t="s">
        <v>85</v>
      </c>
      <c r="C14" s="40" t="s">
        <v>86</v>
      </c>
      <c r="D14" s="40" t="s">
        <v>87</v>
      </c>
      <c r="E14" s="40" t="s">
        <v>88</v>
      </c>
      <c r="F14" s="39" t="str">
        <f t="shared" si="1"/>
        <v>CORRECT</v>
      </c>
      <c r="G14" s="39" t="s">
        <v>42</v>
      </c>
      <c r="H14" s="54" t="s">
        <v>42</v>
      </c>
      <c r="I14" s="53" t="s">
        <v>404</v>
      </c>
      <c r="J14" s="55">
        <v>28638.0</v>
      </c>
    </row>
    <row r="15" ht="60.0" customHeight="1">
      <c r="A15" s="39">
        <v>12.0</v>
      </c>
      <c r="B15" s="40" t="s">
        <v>90</v>
      </c>
      <c r="C15" s="40" t="s">
        <v>91</v>
      </c>
      <c r="D15" s="40" t="s">
        <v>92</v>
      </c>
      <c r="E15" s="40" t="s">
        <v>93</v>
      </c>
      <c r="F15" s="39" t="str">
        <f t="shared" si="1"/>
        <v>CORRECT</v>
      </c>
      <c r="G15" s="39" t="s">
        <v>48</v>
      </c>
      <c r="H15" s="54" t="s">
        <v>48</v>
      </c>
      <c r="I15" s="53" t="s">
        <v>273</v>
      </c>
      <c r="J15" s="55">
        <v>37448.0</v>
      </c>
    </row>
    <row r="16" ht="60.0" customHeight="1">
      <c r="A16" s="39">
        <v>13.0</v>
      </c>
      <c r="B16" s="40" t="s">
        <v>95</v>
      </c>
      <c r="C16" s="40" t="s">
        <v>96</v>
      </c>
      <c r="D16" s="40" t="s">
        <v>97</v>
      </c>
      <c r="E16" s="40" t="s">
        <v>98</v>
      </c>
      <c r="F16" s="39" t="str">
        <f t="shared" si="1"/>
        <v>CORRECT</v>
      </c>
      <c r="G16" s="39" t="s">
        <v>36</v>
      </c>
      <c r="H16" s="54" t="s">
        <v>36</v>
      </c>
      <c r="I16" s="53" t="s">
        <v>274</v>
      </c>
      <c r="J16" s="55">
        <v>27321.0</v>
      </c>
    </row>
    <row r="17" ht="60.0" customHeight="1">
      <c r="A17" s="39">
        <v>14.0</v>
      </c>
      <c r="B17" s="40" t="s">
        <v>100</v>
      </c>
      <c r="C17" s="40" t="s">
        <v>101</v>
      </c>
      <c r="D17" s="40" t="s">
        <v>102</v>
      </c>
      <c r="E17" s="40" t="s">
        <v>103</v>
      </c>
      <c r="F17" s="39" t="str">
        <f t="shared" si="1"/>
        <v>WRONG</v>
      </c>
      <c r="G17" s="39" t="s">
        <v>36</v>
      </c>
      <c r="H17" s="55" t="s">
        <v>48</v>
      </c>
      <c r="I17" s="53" t="s">
        <v>104</v>
      </c>
      <c r="J17" s="55">
        <v>33370.0</v>
      </c>
    </row>
    <row r="18" ht="60.0" customHeight="1">
      <c r="A18" s="39">
        <v>15.0</v>
      </c>
      <c r="B18" s="40" t="s">
        <v>105</v>
      </c>
      <c r="C18" s="40" t="s">
        <v>106</v>
      </c>
      <c r="D18" s="40" t="s">
        <v>107</v>
      </c>
      <c r="E18" s="40" t="s">
        <v>108</v>
      </c>
      <c r="F18" s="39" t="str">
        <f t="shared" si="1"/>
        <v>CORRECT</v>
      </c>
      <c r="G18" s="39" t="s">
        <v>48</v>
      </c>
      <c r="H18" s="55" t="s">
        <v>48</v>
      </c>
      <c r="I18" s="53" t="s">
        <v>275</v>
      </c>
      <c r="J18" s="55">
        <v>32175.0</v>
      </c>
    </row>
    <row r="19" ht="60.0" customHeight="1">
      <c r="A19" s="39">
        <v>16.0</v>
      </c>
      <c r="B19" s="40" t="s">
        <v>110</v>
      </c>
      <c r="C19" s="40" t="s">
        <v>111</v>
      </c>
      <c r="D19" s="40" t="s">
        <v>112</v>
      </c>
      <c r="E19" s="40" t="s">
        <v>113</v>
      </c>
      <c r="F19" s="39" t="str">
        <f t="shared" si="1"/>
        <v>CORRECT</v>
      </c>
      <c r="G19" s="39" t="s">
        <v>48</v>
      </c>
      <c r="H19" s="54" t="s">
        <v>48</v>
      </c>
      <c r="I19" s="53" t="s">
        <v>114</v>
      </c>
      <c r="J19" s="55">
        <v>34444.0</v>
      </c>
    </row>
    <row r="20" ht="60.0" customHeight="1">
      <c r="A20" s="39">
        <v>17.0</v>
      </c>
      <c r="B20" s="40" t="s">
        <v>115</v>
      </c>
      <c r="C20" s="40" t="s">
        <v>116</v>
      </c>
      <c r="D20" s="40" t="s">
        <v>117</v>
      </c>
      <c r="E20" s="40" t="s">
        <v>118</v>
      </c>
      <c r="F20" s="39" t="str">
        <f t="shared" si="1"/>
        <v>WRONG</v>
      </c>
      <c r="G20" s="39" t="s">
        <v>42</v>
      </c>
      <c r="H20" s="55" t="s">
        <v>36</v>
      </c>
      <c r="I20" s="53" t="s">
        <v>119</v>
      </c>
      <c r="J20" s="55">
        <v>29586.0</v>
      </c>
    </row>
    <row r="21" ht="60.0" customHeight="1">
      <c r="A21" s="39">
        <v>18.0</v>
      </c>
      <c r="B21" s="40" t="s">
        <v>120</v>
      </c>
      <c r="C21" s="40" t="s">
        <v>121</v>
      </c>
      <c r="D21" s="40" t="s">
        <v>122</v>
      </c>
      <c r="E21" s="40" t="s">
        <v>123</v>
      </c>
      <c r="F21" s="39" t="str">
        <f t="shared" si="1"/>
        <v>CORRECT</v>
      </c>
      <c r="G21" s="39" t="s">
        <v>42</v>
      </c>
      <c r="H21" s="55" t="s">
        <v>42</v>
      </c>
      <c r="I21" s="53" t="s">
        <v>124</v>
      </c>
      <c r="J21" s="55">
        <v>23474.0</v>
      </c>
    </row>
    <row r="22" ht="60.0" customHeight="1">
      <c r="A22" s="39">
        <v>19.0</v>
      </c>
      <c r="B22" s="40" t="s">
        <v>125</v>
      </c>
      <c r="C22" s="40" t="s">
        <v>126</v>
      </c>
      <c r="D22" s="40" t="s">
        <v>127</v>
      </c>
      <c r="E22" s="40" t="s">
        <v>128</v>
      </c>
      <c r="F22" s="39" t="str">
        <f t="shared" si="1"/>
        <v>WRONG</v>
      </c>
      <c r="G22" s="39" t="s">
        <v>36</v>
      </c>
      <c r="H22" s="54" t="s">
        <v>48</v>
      </c>
      <c r="I22" s="53" t="s">
        <v>129</v>
      </c>
      <c r="J22" s="55">
        <v>57482.0</v>
      </c>
    </row>
    <row r="23" ht="60.0" customHeight="1">
      <c r="A23" s="39">
        <v>20.0</v>
      </c>
      <c r="B23" s="40" t="s">
        <v>130</v>
      </c>
      <c r="C23" s="40" t="s">
        <v>131</v>
      </c>
      <c r="D23" s="40" t="s">
        <v>132</v>
      </c>
      <c r="E23" s="40" t="s">
        <v>133</v>
      </c>
      <c r="F23" s="39" t="str">
        <f t="shared" si="1"/>
        <v>WRONG</v>
      </c>
      <c r="G23" s="39" t="s">
        <v>42</v>
      </c>
      <c r="H23" s="55" t="s">
        <v>48</v>
      </c>
      <c r="I23" s="53" t="s">
        <v>134</v>
      </c>
      <c r="J23" s="55">
        <v>22019.0</v>
      </c>
    </row>
    <row r="24" ht="60.0" customHeight="1">
      <c r="A24" s="39">
        <v>21.0</v>
      </c>
      <c r="B24" s="40" t="s">
        <v>135</v>
      </c>
      <c r="C24" s="40" t="s">
        <v>136</v>
      </c>
      <c r="D24" s="40" t="s">
        <v>137</v>
      </c>
      <c r="E24" s="40" t="s">
        <v>138</v>
      </c>
      <c r="F24" s="39" t="str">
        <f t="shared" si="1"/>
        <v>WRONG</v>
      </c>
      <c r="G24" s="39" t="s">
        <v>42</v>
      </c>
      <c r="H24" s="55" t="s">
        <v>36</v>
      </c>
      <c r="I24" s="53" t="s">
        <v>139</v>
      </c>
      <c r="J24" s="55">
        <v>21087.0</v>
      </c>
    </row>
    <row r="25" ht="60.0" customHeight="1">
      <c r="A25" s="39">
        <v>22.0</v>
      </c>
      <c r="B25" s="40" t="s">
        <v>140</v>
      </c>
      <c r="C25" s="40" t="s">
        <v>141</v>
      </c>
      <c r="D25" s="40" t="s">
        <v>142</v>
      </c>
      <c r="E25" s="40" t="s">
        <v>143</v>
      </c>
      <c r="F25" s="39" t="str">
        <f t="shared" si="1"/>
        <v>CORRECT</v>
      </c>
      <c r="G25" s="39" t="s">
        <v>42</v>
      </c>
      <c r="H25" s="55" t="s">
        <v>42</v>
      </c>
      <c r="I25" s="53" t="s">
        <v>144</v>
      </c>
      <c r="J25" s="55">
        <v>23318.0</v>
      </c>
    </row>
    <row r="26" ht="60.0" customHeight="1">
      <c r="A26" s="39">
        <v>23.0</v>
      </c>
      <c r="B26" s="40" t="s">
        <v>145</v>
      </c>
      <c r="C26" s="40" t="s">
        <v>146</v>
      </c>
      <c r="D26" s="40" t="s">
        <v>147</v>
      </c>
      <c r="E26" s="40" t="s">
        <v>148</v>
      </c>
      <c r="F26" s="39" t="str">
        <f t="shared" si="1"/>
        <v>CORRECT</v>
      </c>
      <c r="G26" s="39" t="s">
        <v>48</v>
      </c>
      <c r="H26" s="55" t="s">
        <v>48</v>
      </c>
      <c r="I26" s="53" t="s">
        <v>149</v>
      </c>
      <c r="J26" s="55">
        <v>17205.0</v>
      </c>
    </row>
    <row r="27" ht="60.0" customHeight="1">
      <c r="A27" s="39">
        <v>24.0</v>
      </c>
      <c r="B27" s="40" t="s">
        <v>150</v>
      </c>
      <c r="C27" s="40" t="s">
        <v>151</v>
      </c>
      <c r="D27" s="40" t="s">
        <v>152</v>
      </c>
      <c r="E27" s="40" t="s">
        <v>153</v>
      </c>
      <c r="F27" s="39" t="str">
        <f t="shared" si="1"/>
        <v>CORRECT</v>
      </c>
      <c r="G27" s="39" t="s">
        <v>36</v>
      </c>
      <c r="H27" s="55" t="s">
        <v>36</v>
      </c>
      <c r="I27" s="53" t="s">
        <v>154</v>
      </c>
      <c r="J27" s="55">
        <v>22744.0</v>
      </c>
    </row>
    <row r="28" ht="60.0" customHeight="1">
      <c r="A28" s="39">
        <v>25.0</v>
      </c>
      <c r="B28" s="40" t="s">
        <v>155</v>
      </c>
      <c r="C28" s="40" t="s">
        <v>151</v>
      </c>
      <c r="D28" s="40" t="s">
        <v>156</v>
      </c>
      <c r="E28" s="40" t="s">
        <v>153</v>
      </c>
      <c r="F28" s="39" t="str">
        <f t="shared" si="1"/>
        <v>WRONG</v>
      </c>
      <c r="G28" s="39" t="s">
        <v>48</v>
      </c>
      <c r="H28" s="54" t="s">
        <v>36</v>
      </c>
      <c r="I28" s="53" t="s">
        <v>157</v>
      </c>
      <c r="J28" s="55">
        <v>28769.0</v>
      </c>
    </row>
    <row r="29" ht="60.0" customHeight="1">
      <c r="A29" s="39">
        <v>26.0</v>
      </c>
      <c r="B29" s="40" t="s">
        <v>158</v>
      </c>
      <c r="C29" s="40" t="s">
        <v>159</v>
      </c>
      <c r="D29" s="40" t="s">
        <v>160</v>
      </c>
      <c r="E29" s="40" t="s">
        <v>161</v>
      </c>
      <c r="F29" s="39" t="str">
        <f t="shared" si="1"/>
        <v>WRONG</v>
      </c>
      <c r="G29" s="39" t="s">
        <v>36</v>
      </c>
      <c r="H29" s="54" t="s">
        <v>48</v>
      </c>
      <c r="I29" s="53" t="s">
        <v>162</v>
      </c>
      <c r="J29" s="55">
        <v>43061.0</v>
      </c>
    </row>
    <row r="30" ht="60.0" customHeight="1">
      <c r="A30" s="39">
        <v>27.0</v>
      </c>
      <c r="B30" s="40" t="s">
        <v>163</v>
      </c>
      <c r="C30" s="40" t="s">
        <v>164</v>
      </c>
      <c r="D30" s="40" t="s">
        <v>165</v>
      </c>
      <c r="E30" s="40" t="s">
        <v>166</v>
      </c>
      <c r="F30" s="39" t="str">
        <f t="shared" si="1"/>
        <v>CORRECT</v>
      </c>
      <c r="G30" s="39" t="s">
        <v>42</v>
      </c>
      <c r="H30" s="54" t="s">
        <v>42</v>
      </c>
      <c r="I30" s="53" t="s">
        <v>167</v>
      </c>
      <c r="J30" s="55">
        <v>27171.0</v>
      </c>
    </row>
    <row r="31" ht="60.0" customHeight="1">
      <c r="A31" s="39">
        <v>28.0</v>
      </c>
      <c r="B31" s="40" t="s">
        <v>168</v>
      </c>
      <c r="C31" s="40" t="s">
        <v>169</v>
      </c>
      <c r="D31" s="40" t="s">
        <v>170</v>
      </c>
      <c r="E31" s="40" t="s">
        <v>171</v>
      </c>
      <c r="F31" s="39" t="str">
        <f t="shared" si="1"/>
        <v>WRONG</v>
      </c>
      <c r="G31" s="39" t="s">
        <v>36</v>
      </c>
      <c r="H31" s="54" t="s">
        <v>48</v>
      </c>
      <c r="I31" s="53" t="s">
        <v>172</v>
      </c>
      <c r="J31" s="55">
        <v>27704.0</v>
      </c>
    </row>
    <row r="32" ht="60.0" customHeight="1">
      <c r="A32" s="39">
        <v>29.0</v>
      </c>
      <c r="B32" s="40" t="s">
        <v>173</v>
      </c>
      <c r="C32" s="40" t="s">
        <v>174</v>
      </c>
      <c r="D32" s="40" t="s">
        <v>175</v>
      </c>
      <c r="E32" s="40" t="s">
        <v>176</v>
      </c>
      <c r="F32" s="39" t="str">
        <f t="shared" si="1"/>
        <v>CORRECT</v>
      </c>
      <c r="G32" s="39" t="s">
        <v>42</v>
      </c>
      <c r="H32" s="55" t="s">
        <v>42</v>
      </c>
      <c r="I32" s="53" t="s">
        <v>309</v>
      </c>
      <c r="J32" s="55">
        <v>26208.0</v>
      </c>
    </row>
    <row r="33" ht="60.0" customHeight="1">
      <c r="A33" s="39">
        <v>30.0</v>
      </c>
      <c r="B33" s="40" t="s">
        <v>178</v>
      </c>
      <c r="C33" s="40" t="s">
        <v>179</v>
      </c>
      <c r="D33" s="40" t="s">
        <v>180</v>
      </c>
      <c r="E33" s="40" t="s">
        <v>181</v>
      </c>
      <c r="F33" s="39" t="str">
        <f t="shared" si="1"/>
        <v>WRONG</v>
      </c>
      <c r="G33" s="39" t="s">
        <v>48</v>
      </c>
      <c r="H33" s="55" t="s">
        <v>36</v>
      </c>
      <c r="I33" s="53" t="s">
        <v>182</v>
      </c>
      <c r="J33" s="55">
        <v>36784.0</v>
      </c>
    </row>
    <row r="34" ht="60.0" customHeight="1">
      <c r="A34" s="39">
        <v>31.0</v>
      </c>
      <c r="B34" s="40" t="s">
        <v>183</v>
      </c>
      <c r="C34" s="40" t="s">
        <v>184</v>
      </c>
      <c r="D34" s="40" t="s">
        <v>185</v>
      </c>
      <c r="E34" s="40" t="s">
        <v>186</v>
      </c>
      <c r="F34" s="39" t="str">
        <f t="shared" si="1"/>
        <v>WRONG</v>
      </c>
      <c r="G34" s="39" t="s">
        <v>42</v>
      </c>
      <c r="H34" s="55" t="s">
        <v>36</v>
      </c>
      <c r="I34" s="53" t="s">
        <v>187</v>
      </c>
      <c r="J34" s="55">
        <v>35994.0</v>
      </c>
    </row>
    <row r="35" ht="60.0" customHeight="1">
      <c r="A35" s="39">
        <v>32.0</v>
      </c>
      <c r="B35" s="40" t="s">
        <v>188</v>
      </c>
      <c r="C35" s="40" t="s">
        <v>189</v>
      </c>
      <c r="D35" s="40" t="s">
        <v>190</v>
      </c>
      <c r="E35" s="40" t="s">
        <v>191</v>
      </c>
      <c r="F35" s="39" t="str">
        <f t="shared" si="1"/>
        <v>CORRECT</v>
      </c>
      <c r="G35" s="39" t="s">
        <v>36</v>
      </c>
      <c r="H35" s="54" t="s">
        <v>36</v>
      </c>
      <c r="I35" s="53" t="s">
        <v>192</v>
      </c>
      <c r="J35" s="55">
        <v>40110.0</v>
      </c>
    </row>
    <row r="36" ht="60.0" customHeight="1">
      <c r="A36" s="39">
        <v>33.0</v>
      </c>
      <c r="B36" s="40" t="s">
        <v>193</v>
      </c>
      <c r="C36" s="40" t="s">
        <v>194</v>
      </c>
      <c r="D36" s="40" t="s">
        <v>195</v>
      </c>
      <c r="E36" s="40" t="s">
        <v>196</v>
      </c>
      <c r="F36" s="39" t="str">
        <f t="shared" si="1"/>
        <v>CORRECT</v>
      </c>
      <c r="G36" s="39" t="s">
        <v>48</v>
      </c>
      <c r="H36" s="54" t="s">
        <v>48</v>
      </c>
      <c r="I36" s="53" t="s">
        <v>197</v>
      </c>
      <c r="J36" s="55">
        <v>44408.0</v>
      </c>
    </row>
    <row r="37" ht="60.0" customHeight="1">
      <c r="A37" s="39">
        <v>34.0</v>
      </c>
      <c r="B37" s="40" t="s">
        <v>198</v>
      </c>
      <c r="C37" s="40" t="s">
        <v>199</v>
      </c>
      <c r="D37" s="40" t="s">
        <v>200</v>
      </c>
      <c r="E37" s="40" t="s">
        <v>201</v>
      </c>
      <c r="F37" s="39" t="str">
        <f t="shared" si="1"/>
        <v>CORRECT</v>
      </c>
      <c r="G37" s="39" t="s">
        <v>36</v>
      </c>
      <c r="H37" s="55" t="s">
        <v>36</v>
      </c>
      <c r="I37" s="53" t="s">
        <v>202</v>
      </c>
      <c r="J37" s="55">
        <v>32932.0</v>
      </c>
    </row>
    <row r="38" ht="60.0" customHeight="1">
      <c r="A38" s="39">
        <v>35.0</v>
      </c>
      <c r="B38" s="40" t="s">
        <v>203</v>
      </c>
      <c r="C38" s="40" t="s">
        <v>204</v>
      </c>
      <c r="D38" s="40" t="s">
        <v>205</v>
      </c>
      <c r="E38" s="40" t="s">
        <v>206</v>
      </c>
      <c r="F38" s="39" t="str">
        <f t="shared" si="1"/>
        <v>WRONG</v>
      </c>
      <c r="G38" s="39" t="s">
        <v>48</v>
      </c>
      <c r="H38" s="55" t="s">
        <v>36</v>
      </c>
      <c r="I38" s="53" t="s">
        <v>277</v>
      </c>
      <c r="J38" s="55">
        <v>36797.0</v>
      </c>
    </row>
    <row r="39" ht="60.0" customHeight="1">
      <c r="A39" s="39">
        <v>36.0</v>
      </c>
      <c r="B39" s="40" t="s">
        <v>208</v>
      </c>
      <c r="C39" s="40" t="s">
        <v>209</v>
      </c>
      <c r="D39" s="40" t="s">
        <v>210</v>
      </c>
      <c r="E39" s="40" t="s">
        <v>211</v>
      </c>
      <c r="F39" s="39" t="str">
        <f t="shared" si="1"/>
        <v>CORRECT</v>
      </c>
      <c r="G39" s="39" t="s">
        <v>36</v>
      </c>
      <c r="H39" s="55" t="s">
        <v>36</v>
      </c>
      <c r="I39" s="53" t="s">
        <v>212</v>
      </c>
      <c r="J39" s="55">
        <v>40415.0</v>
      </c>
    </row>
    <row r="40" ht="60.0" customHeight="1">
      <c r="A40" s="39">
        <v>37.0</v>
      </c>
      <c r="B40" s="40" t="s">
        <v>213</v>
      </c>
      <c r="C40" s="40" t="s">
        <v>214</v>
      </c>
      <c r="D40" s="40" t="s">
        <v>215</v>
      </c>
      <c r="E40" s="40" t="s">
        <v>216</v>
      </c>
      <c r="F40" s="39" t="str">
        <f t="shared" si="1"/>
        <v>WRONG</v>
      </c>
      <c r="G40" s="39" t="s">
        <v>36</v>
      </c>
      <c r="H40" s="55" t="s">
        <v>42</v>
      </c>
      <c r="I40" s="53" t="s">
        <v>217</v>
      </c>
      <c r="J40" s="55">
        <v>28708.0</v>
      </c>
    </row>
    <row r="41" ht="60.0" customHeight="1">
      <c r="A41" s="39">
        <v>38.0</v>
      </c>
      <c r="B41" s="40" t="s">
        <v>218</v>
      </c>
      <c r="C41" s="40" t="s">
        <v>219</v>
      </c>
      <c r="D41" s="40" t="s">
        <v>220</v>
      </c>
      <c r="E41" s="40" t="s">
        <v>221</v>
      </c>
      <c r="F41" s="39" t="str">
        <f t="shared" si="1"/>
        <v>CORRECT</v>
      </c>
      <c r="G41" s="39" t="s">
        <v>36</v>
      </c>
      <c r="H41" s="55" t="s">
        <v>36</v>
      </c>
      <c r="I41" s="53" t="s">
        <v>222</v>
      </c>
      <c r="J41" s="55">
        <v>38632.0</v>
      </c>
    </row>
    <row r="42" ht="60.0" customHeight="1">
      <c r="A42" s="39">
        <v>39.0</v>
      </c>
      <c r="B42" s="40" t="s">
        <v>223</v>
      </c>
      <c r="C42" s="40" t="s">
        <v>224</v>
      </c>
      <c r="D42" s="40" t="s">
        <v>225</v>
      </c>
      <c r="E42" s="40" t="s">
        <v>226</v>
      </c>
      <c r="F42" s="39" t="str">
        <f t="shared" si="1"/>
        <v>WRONG</v>
      </c>
      <c r="G42" s="39" t="s">
        <v>42</v>
      </c>
      <c r="H42" s="55" t="s">
        <v>48</v>
      </c>
      <c r="I42" s="53" t="s">
        <v>227</v>
      </c>
      <c r="J42" s="55">
        <v>30803.0</v>
      </c>
    </row>
    <row r="43" ht="60.0" customHeight="1">
      <c r="A43" s="39">
        <v>40.0</v>
      </c>
      <c r="B43" s="40" t="s">
        <v>228</v>
      </c>
      <c r="C43" s="40" t="s">
        <v>229</v>
      </c>
      <c r="D43" s="40" t="s">
        <v>230</v>
      </c>
      <c r="E43" s="40" t="s">
        <v>231</v>
      </c>
      <c r="F43" s="39" t="str">
        <f t="shared" si="1"/>
        <v>CORRECT</v>
      </c>
      <c r="G43" s="39" t="s">
        <v>48</v>
      </c>
      <c r="H43" s="55" t="s">
        <v>48</v>
      </c>
      <c r="I43" s="53" t="s">
        <v>232</v>
      </c>
      <c r="J43" s="55">
        <v>46236.0</v>
      </c>
    </row>
    <row r="44" ht="60.0" customHeight="1">
      <c r="A44" s="39">
        <v>41.0</v>
      </c>
      <c r="B44" s="40" t="s">
        <v>233</v>
      </c>
      <c r="C44" s="40" t="s">
        <v>234</v>
      </c>
      <c r="D44" s="40" t="s">
        <v>235</v>
      </c>
      <c r="E44" s="40" t="s">
        <v>236</v>
      </c>
      <c r="F44" s="39" t="str">
        <f t="shared" si="1"/>
        <v>CORRECT</v>
      </c>
      <c r="G44" s="39" t="s">
        <v>42</v>
      </c>
      <c r="H44" s="55" t="s">
        <v>42</v>
      </c>
      <c r="I44" s="53" t="s">
        <v>237</v>
      </c>
      <c r="J44" s="55">
        <v>16613.0</v>
      </c>
    </row>
    <row r="45" ht="60.0" customHeight="1">
      <c r="A45" s="39">
        <v>42.0</v>
      </c>
      <c r="B45" s="40" t="s">
        <v>238</v>
      </c>
      <c r="C45" s="40" t="s">
        <v>239</v>
      </c>
      <c r="D45" s="40" t="s">
        <v>240</v>
      </c>
      <c r="E45" s="40" t="s">
        <v>241</v>
      </c>
      <c r="F45" s="39" t="str">
        <f t="shared" si="1"/>
        <v>WRONG</v>
      </c>
      <c r="G45" s="39" t="s">
        <v>36</v>
      </c>
      <c r="H45" s="54" t="s">
        <v>42</v>
      </c>
      <c r="I45" s="53" t="s">
        <v>242</v>
      </c>
      <c r="J45" s="55">
        <v>38712.0</v>
      </c>
    </row>
    <row r="46" ht="60.0" customHeight="1">
      <c r="A46" s="39">
        <v>43.0</v>
      </c>
      <c r="B46" s="40" t="s">
        <v>243</v>
      </c>
      <c r="C46" s="40" t="s">
        <v>244</v>
      </c>
      <c r="D46" s="40" t="s">
        <v>245</v>
      </c>
      <c r="E46" s="40" t="s">
        <v>246</v>
      </c>
      <c r="F46" s="39" t="str">
        <f t="shared" si="1"/>
        <v>CORRECT</v>
      </c>
      <c r="G46" s="39" t="s">
        <v>48</v>
      </c>
      <c r="H46" s="55" t="s">
        <v>48</v>
      </c>
      <c r="I46" s="53" t="s">
        <v>247</v>
      </c>
      <c r="J46" s="55">
        <v>24452.0</v>
      </c>
    </row>
    <row r="47" ht="60.0" customHeight="1">
      <c r="A47" s="39">
        <v>44.0</v>
      </c>
      <c r="B47" s="40" t="s">
        <v>248</v>
      </c>
      <c r="C47" s="40" t="s">
        <v>249</v>
      </c>
      <c r="D47" s="40" t="s">
        <v>250</v>
      </c>
      <c r="E47" s="40" t="s">
        <v>251</v>
      </c>
      <c r="F47" s="39" t="str">
        <f t="shared" si="1"/>
        <v>CORRECT</v>
      </c>
      <c r="G47" s="39" t="s">
        <v>36</v>
      </c>
      <c r="H47" s="54" t="s">
        <v>36</v>
      </c>
      <c r="I47" s="53" t="s">
        <v>405</v>
      </c>
      <c r="J47" s="55">
        <v>29364.0</v>
      </c>
    </row>
    <row r="48" ht="60.0" customHeight="1">
      <c r="A48" s="39">
        <v>45.0</v>
      </c>
      <c r="B48" s="40" t="s">
        <v>253</v>
      </c>
      <c r="C48" s="40" t="s">
        <v>254</v>
      </c>
      <c r="D48" s="40" t="s">
        <v>255</v>
      </c>
      <c r="E48" s="40" t="s">
        <v>256</v>
      </c>
      <c r="F48" s="39" t="str">
        <f t="shared" si="1"/>
        <v>CORRECT</v>
      </c>
      <c r="G48" s="39" t="s">
        <v>36</v>
      </c>
      <c r="H48" s="55" t="s">
        <v>36</v>
      </c>
      <c r="I48" s="53" t="s">
        <v>406</v>
      </c>
      <c r="J48" s="55">
        <v>34565.0</v>
      </c>
    </row>
    <row r="49" ht="60.0" customHeight="1">
      <c r="A49" s="39">
        <v>46.0</v>
      </c>
      <c r="B49" s="40" t="s">
        <v>258</v>
      </c>
      <c r="C49" s="40" t="s">
        <v>39</v>
      </c>
      <c r="D49" s="40" t="s">
        <v>259</v>
      </c>
      <c r="E49" s="40" t="s">
        <v>260</v>
      </c>
      <c r="F49" s="39" t="str">
        <f t="shared" si="1"/>
        <v>CORRECT</v>
      </c>
      <c r="G49" s="39" t="s">
        <v>36</v>
      </c>
      <c r="H49" s="55" t="s">
        <v>36</v>
      </c>
      <c r="I49" s="53" t="s">
        <v>261</v>
      </c>
      <c r="J49" s="55">
        <v>29579.0</v>
      </c>
    </row>
    <row r="50">
      <c r="A50" s="44" t="s">
        <v>262</v>
      </c>
      <c r="B50" s="2"/>
      <c r="C50" s="2"/>
      <c r="D50" s="2"/>
      <c r="E50" s="3"/>
      <c r="F50" s="45">
        <f>COUNTIFS(F4:F49,"CORRECT")</f>
        <v>30</v>
      </c>
      <c r="G50" s="46"/>
      <c r="H50" s="46"/>
      <c r="J50" s="47">
        <f>AVERAGE(J4:J49)</f>
        <v>33118.54348</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407</v>
      </c>
      <c r="C2" s="2"/>
      <c r="D2" s="2"/>
      <c r="E2" s="2"/>
      <c r="F2" s="2"/>
      <c r="G2" s="2"/>
      <c r="H2" s="3"/>
      <c r="I2" s="37" t="s">
        <v>408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409</v>
      </c>
      <c r="J4" s="55">
        <v>32533.0</v>
      </c>
    </row>
    <row r="5" ht="60.0" customHeight="1">
      <c r="A5" s="39">
        <v>2.0</v>
      </c>
      <c r="B5" s="40" t="s">
        <v>38</v>
      </c>
      <c r="C5" s="40" t="s">
        <v>39</v>
      </c>
      <c r="D5" s="40" t="s">
        <v>40</v>
      </c>
      <c r="E5" s="40" t="s">
        <v>41</v>
      </c>
      <c r="F5" s="39" t="str">
        <f t="shared" si="1"/>
        <v>CORRECT</v>
      </c>
      <c r="G5" s="39" t="s">
        <v>42</v>
      </c>
      <c r="H5" s="54" t="s">
        <v>42</v>
      </c>
      <c r="I5" s="53" t="s">
        <v>410</v>
      </c>
      <c r="J5" s="55">
        <v>42124.0</v>
      </c>
    </row>
    <row r="6" ht="60.0" customHeight="1">
      <c r="A6" s="39">
        <v>3.0</v>
      </c>
      <c r="B6" s="40" t="s">
        <v>44</v>
      </c>
      <c r="C6" s="40" t="s">
        <v>45</v>
      </c>
      <c r="D6" s="40" t="s">
        <v>46</v>
      </c>
      <c r="E6" s="40" t="s">
        <v>47</v>
      </c>
      <c r="F6" s="39" t="str">
        <f t="shared" si="1"/>
        <v>CORRECT</v>
      </c>
      <c r="G6" s="39" t="s">
        <v>48</v>
      </c>
      <c r="H6" s="55" t="s">
        <v>48</v>
      </c>
      <c r="I6" s="53" t="s">
        <v>411</v>
      </c>
      <c r="J6" s="55">
        <v>33930.0</v>
      </c>
    </row>
    <row r="7" ht="60.0" customHeight="1">
      <c r="A7" s="39">
        <v>4.0</v>
      </c>
      <c r="B7" s="40" t="s">
        <v>50</v>
      </c>
      <c r="C7" s="40" t="s">
        <v>51</v>
      </c>
      <c r="D7" s="40" t="s">
        <v>52</v>
      </c>
      <c r="E7" s="40" t="s">
        <v>53</v>
      </c>
      <c r="F7" s="39" t="str">
        <f t="shared" si="1"/>
        <v>CORRECT</v>
      </c>
      <c r="G7" s="39" t="s">
        <v>42</v>
      </c>
      <c r="H7" s="55" t="s">
        <v>42</v>
      </c>
      <c r="I7" s="53" t="s">
        <v>412</v>
      </c>
      <c r="J7" s="55">
        <v>24458.0</v>
      </c>
    </row>
    <row r="8" ht="60.0" customHeight="1">
      <c r="A8" s="39">
        <v>5.0</v>
      </c>
      <c r="B8" s="40" t="s">
        <v>55</v>
      </c>
      <c r="C8" s="40" t="s">
        <v>56</v>
      </c>
      <c r="D8" s="40" t="s">
        <v>57</v>
      </c>
      <c r="E8" s="40" t="s">
        <v>58</v>
      </c>
      <c r="F8" s="39" t="str">
        <f t="shared" si="1"/>
        <v>CORRECT</v>
      </c>
      <c r="G8" s="39" t="s">
        <v>48</v>
      </c>
      <c r="H8" s="54" t="s">
        <v>48</v>
      </c>
      <c r="I8" s="53" t="s">
        <v>413</v>
      </c>
      <c r="J8" s="55">
        <v>91116.0</v>
      </c>
    </row>
    <row r="9" ht="60.0" customHeight="1">
      <c r="A9" s="39">
        <v>6.0</v>
      </c>
      <c r="B9" s="40" t="s">
        <v>60</v>
      </c>
      <c r="C9" s="40" t="s">
        <v>61</v>
      </c>
      <c r="D9" s="40" t="s">
        <v>62</v>
      </c>
      <c r="E9" s="40" t="s">
        <v>63</v>
      </c>
      <c r="F9" s="39" t="str">
        <f t="shared" si="1"/>
        <v>CORRECT</v>
      </c>
      <c r="G9" s="39" t="s">
        <v>42</v>
      </c>
      <c r="H9" s="55" t="s">
        <v>42</v>
      </c>
      <c r="I9" s="53" t="s">
        <v>414</v>
      </c>
      <c r="J9" s="55">
        <v>53441.0</v>
      </c>
    </row>
    <row r="10" ht="60.0" customHeight="1">
      <c r="A10" s="39">
        <v>7.0</v>
      </c>
      <c r="B10" s="40" t="s">
        <v>65</v>
      </c>
      <c r="C10" s="40" t="s">
        <v>66</v>
      </c>
      <c r="D10" s="40" t="s">
        <v>67</v>
      </c>
      <c r="E10" s="40" t="s">
        <v>68</v>
      </c>
      <c r="F10" s="39" t="str">
        <f t="shared" si="1"/>
        <v>WRONG</v>
      </c>
      <c r="G10" s="39" t="s">
        <v>42</v>
      </c>
      <c r="H10" s="55" t="s">
        <v>36</v>
      </c>
      <c r="I10" s="53" t="s">
        <v>415</v>
      </c>
      <c r="J10" s="55">
        <v>51022.0</v>
      </c>
    </row>
    <row r="11" ht="60.0" customHeight="1">
      <c r="A11" s="39">
        <v>8.0</v>
      </c>
      <c r="B11" s="40" t="s">
        <v>70</v>
      </c>
      <c r="C11" s="40" t="s">
        <v>71</v>
      </c>
      <c r="D11" s="40" t="s">
        <v>72</v>
      </c>
      <c r="E11" s="40" t="s">
        <v>73</v>
      </c>
      <c r="F11" s="39" t="str">
        <f t="shared" si="1"/>
        <v>WRONG</v>
      </c>
      <c r="G11" s="39" t="s">
        <v>48</v>
      </c>
      <c r="H11" s="55" t="s">
        <v>42</v>
      </c>
      <c r="I11" s="53" t="s">
        <v>416</v>
      </c>
      <c r="J11" s="55">
        <v>33197.0</v>
      </c>
    </row>
    <row r="12" ht="60.0" customHeight="1">
      <c r="A12" s="39">
        <v>9.0</v>
      </c>
      <c r="B12" s="40" t="s">
        <v>75</v>
      </c>
      <c r="C12" s="40" t="s">
        <v>76</v>
      </c>
      <c r="D12" s="40" t="s">
        <v>77</v>
      </c>
      <c r="E12" s="40" t="s">
        <v>78</v>
      </c>
      <c r="F12" s="39" t="str">
        <f t="shared" si="1"/>
        <v>WRONG</v>
      </c>
      <c r="G12" s="39" t="s">
        <v>42</v>
      </c>
      <c r="H12" s="54" t="s">
        <v>48</v>
      </c>
      <c r="I12" s="53" t="s">
        <v>417</v>
      </c>
      <c r="J12" s="55">
        <v>32301.0</v>
      </c>
    </row>
    <row r="13" ht="60.0" customHeight="1">
      <c r="A13" s="39">
        <v>10.0</v>
      </c>
      <c r="B13" s="40" t="s">
        <v>80</v>
      </c>
      <c r="C13" s="40" t="s">
        <v>81</v>
      </c>
      <c r="D13" s="40" t="s">
        <v>82</v>
      </c>
      <c r="E13" s="40" t="s">
        <v>83</v>
      </c>
      <c r="F13" s="39" t="str">
        <f t="shared" si="1"/>
        <v>CORRECT</v>
      </c>
      <c r="G13" s="39" t="s">
        <v>48</v>
      </c>
      <c r="H13" s="55" t="s">
        <v>48</v>
      </c>
      <c r="I13" s="53" t="s">
        <v>418</v>
      </c>
      <c r="J13" s="55">
        <v>31254.0</v>
      </c>
    </row>
    <row r="14" ht="60.0" customHeight="1">
      <c r="A14" s="39">
        <v>11.0</v>
      </c>
      <c r="B14" s="40" t="s">
        <v>85</v>
      </c>
      <c r="C14" s="40" t="s">
        <v>86</v>
      </c>
      <c r="D14" s="40" t="s">
        <v>87</v>
      </c>
      <c r="E14" s="40" t="s">
        <v>88</v>
      </c>
      <c r="F14" s="39" t="str">
        <f t="shared" si="1"/>
        <v>CORRECT</v>
      </c>
      <c r="G14" s="39" t="s">
        <v>42</v>
      </c>
      <c r="H14" s="54" t="s">
        <v>42</v>
      </c>
      <c r="I14" s="53" t="s">
        <v>419</v>
      </c>
      <c r="J14" s="55">
        <v>48695.0</v>
      </c>
    </row>
    <row r="15" ht="60.0" customHeight="1">
      <c r="A15" s="39">
        <v>12.0</v>
      </c>
      <c r="B15" s="40" t="s">
        <v>90</v>
      </c>
      <c r="C15" s="40" t="s">
        <v>91</v>
      </c>
      <c r="D15" s="40" t="s">
        <v>92</v>
      </c>
      <c r="E15" s="40" t="s">
        <v>93</v>
      </c>
      <c r="F15" s="39" t="str">
        <f t="shared" si="1"/>
        <v>CORRECT</v>
      </c>
      <c r="G15" s="39" t="s">
        <v>48</v>
      </c>
      <c r="H15" s="54" t="s">
        <v>48</v>
      </c>
      <c r="I15" s="53" t="s">
        <v>420</v>
      </c>
      <c r="J15" s="55">
        <v>47422.0</v>
      </c>
    </row>
    <row r="16" ht="60.0" customHeight="1">
      <c r="A16" s="39">
        <v>13.0</v>
      </c>
      <c r="B16" s="40" t="s">
        <v>95</v>
      </c>
      <c r="C16" s="40" t="s">
        <v>96</v>
      </c>
      <c r="D16" s="40" t="s">
        <v>97</v>
      </c>
      <c r="E16" s="40" t="s">
        <v>98</v>
      </c>
      <c r="F16" s="39" t="str">
        <f t="shared" si="1"/>
        <v>CORRECT</v>
      </c>
      <c r="G16" s="39" t="s">
        <v>36</v>
      </c>
      <c r="H16" s="54" t="s">
        <v>36</v>
      </c>
      <c r="I16" s="53" t="s">
        <v>421</v>
      </c>
      <c r="J16" s="55">
        <v>36612.0</v>
      </c>
    </row>
    <row r="17" ht="60.0" customHeight="1">
      <c r="A17" s="39">
        <v>14.0</v>
      </c>
      <c r="B17" s="40" t="s">
        <v>100</v>
      </c>
      <c r="C17" s="40" t="s">
        <v>101</v>
      </c>
      <c r="D17" s="40" t="s">
        <v>102</v>
      </c>
      <c r="E17" s="40" t="s">
        <v>103</v>
      </c>
      <c r="F17" s="39" t="str">
        <f t="shared" si="1"/>
        <v>WRONG</v>
      </c>
      <c r="G17" s="39" t="s">
        <v>36</v>
      </c>
      <c r="H17" s="55" t="s">
        <v>48</v>
      </c>
      <c r="I17" s="53" t="s">
        <v>422</v>
      </c>
      <c r="J17" s="55">
        <v>40153.0</v>
      </c>
    </row>
    <row r="18" ht="60.0" customHeight="1">
      <c r="A18" s="39">
        <v>15.0</v>
      </c>
      <c r="B18" s="40" t="s">
        <v>105</v>
      </c>
      <c r="C18" s="40" t="s">
        <v>106</v>
      </c>
      <c r="D18" s="40" t="s">
        <v>107</v>
      </c>
      <c r="E18" s="40" t="s">
        <v>108</v>
      </c>
      <c r="F18" s="39" t="str">
        <f t="shared" si="1"/>
        <v>CORRECT</v>
      </c>
      <c r="G18" s="39" t="s">
        <v>48</v>
      </c>
      <c r="H18" s="55" t="s">
        <v>48</v>
      </c>
      <c r="I18" s="53" t="s">
        <v>423</v>
      </c>
      <c r="J18" s="55">
        <v>37062.0</v>
      </c>
    </row>
    <row r="19" ht="60.0" customHeight="1">
      <c r="A19" s="39">
        <v>16.0</v>
      </c>
      <c r="B19" s="40" t="s">
        <v>110</v>
      </c>
      <c r="C19" s="40" t="s">
        <v>111</v>
      </c>
      <c r="D19" s="40" t="s">
        <v>112</v>
      </c>
      <c r="E19" s="40" t="s">
        <v>113</v>
      </c>
      <c r="F19" s="39" t="str">
        <f t="shared" si="1"/>
        <v>CORRECT</v>
      </c>
      <c r="G19" s="39" t="s">
        <v>48</v>
      </c>
      <c r="H19" s="54" t="s">
        <v>48</v>
      </c>
      <c r="I19" s="53" t="s">
        <v>424</v>
      </c>
      <c r="J19" s="55">
        <v>35329.0</v>
      </c>
    </row>
    <row r="20" ht="60.0" customHeight="1">
      <c r="A20" s="39">
        <v>17.0</v>
      </c>
      <c r="B20" s="40" t="s">
        <v>115</v>
      </c>
      <c r="C20" s="40" t="s">
        <v>116</v>
      </c>
      <c r="D20" s="40" t="s">
        <v>117</v>
      </c>
      <c r="E20" s="40" t="s">
        <v>118</v>
      </c>
      <c r="F20" s="39" t="str">
        <f t="shared" si="1"/>
        <v>WRONG</v>
      </c>
      <c r="G20" s="39" t="s">
        <v>42</v>
      </c>
      <c r="H20" s="55" t="s">
        <v>36</v>
      </c>
      <c r="I20" s="53" t="s">
        <v>425</v>
      </c>
      <c r="J20" s="55">
        <v>31104.0</v>
      </c>
    </row>
    <row r="21" ht="60.0" customHeight="1">
      <c r="A21" s="39">
        <v>18.0</v>
      </c>
      <c r="B21" s="40" t="s">
        <v>120</v>
      </c>
      <c r="C21" s="40" t="s">
        <v>121</v>
      </c>
      <c r="D21" s="40" t="s">
        <v>122</v>
      </c>
      <c r="E21" s="40" t="s">
        <v>123</v>
      </c>
      <c r="F21" s="39" t="str">
        <f t="shared" si="1"/>
        <v>CORRECT</v>
      </c>
      <c r="G21" s="39" t="s">
        <v>42</v>
      </c>
      <c r="H21" s="55" t="s">
        <v>42</v>
      </c>
      <c r="I21" s="53" t="s">
        <v>426</v>
      </c>
      <c r="J21" s="55">
        <v>21653.0</v>
      </c>
    </row>
    <row r="22" ht="60.0" customHeight="1">
      <c r="A22" s="39">
        <v>19.0</v>
      </c>
      <c r="B22" s="40" t="s">
        <v>125</v>
      </c>
      <c r="C22" s="40" t="s">
        <v>126</v>
      </c>
      <c r="D22" s="40" t="s">
        <v>127</v>
      </c>
      <c r="E22" s="40" t="s">
        <v>128</v>
      </c>
      <c r="F22" s="39" t="str">
        <f t="shared" si="1"/>
        <v>WRONG</v>
      </c>
      <c r="G22" s="39" t="s">
        <v>36</v>
      </c>
      <c r="H22" s="54" t="s">
        <v>48</v>
      </c>
      <c r="I22" s="53" t="s">
        <v>427</v>
      </c>
      <c r="J22" s="55">
        <v>34589.0</v>
      </c>
    </row>
    <row r="23" ht="60.0" customHeight="1">
      <c r="A23" s="39">
        <v>20.0</v>
      </c>
      <c r="B23" s="40" t="s">
        <v>130</v>
      </c>
      <c r="C23" s="40" t="s">
        <v>131</v>
      </c>
      <c r="D23" s="40" t="s">
        <v>132</v>
      </c>
      <c r="E23" s="40" t="s">
        <v>133</v>
      </c>
      <c r="F23" s="39" t="str">
        <f t="shared" si="1"/>
        <v>WRONG</v>
      </c>
      <c r="G23" s="39" t="s">
        <v>42</v>
      </c>
      <c r="H23" s="55" t="s">
        <v>36</v>
      </c>
      <c r="I23" s="53" t="s">
        <v>428</v>
      </c>
      <c r="J23" s="55">
        <v>30812.0</v>
      </c>
    </row>
    <row r="24" ht="60.0" customHeight="1">
      <c r="A24" s="39">
        <v>21.0</v>
      </c>
      <c r="B24" s="40" t="s">
        <v>135</v>
      </c>
      <c r="C24" s="40" t="s">
        <v>136</v>
      </c>
      <c r="D24" s="40" t="s">
        <v>137</v>
      </c>
      <c r="E24" s="40" t="s">
        <v>138</v>
      </c>
      <c r="F24" s="39" t="str">
        <f t="shared" si="1"/>
        <v>WRONG</v>
      </c>
      <c r="G24" s="39" t="s">
        <v>42</v>
      </c>
      <c r="H24" s="55" t="s">
        <v>36</v>
      </c>
      <c r="I24" s="53" t="s">
        <v>429</v>
      </c>
      <c r="J24" s="55">
        <v>25182.0</v>
      </c>
    </row>
    <row r="25" ht="60.0" customHeight="1">
      <c r="A25" s="39">
        <v>22.0</v>
      </c>
      <c r="B25" s="40" t="s">
        <v>140</v>
      </c>
      <c r="C25" s="40" t="s">
        <v>141</v>
      </c>
      <c r="D25" s="40" t="s">
        <v>142</v>
      </c>
      <c r="E25" s="40" t="s">
        <v>143</v>
      </c>
      <c r="F25" s="39" t="str">
        <f t="shared" si="1"/>
        <v>CORRECT</v>
      </c>
      <c r="G25" s="39" t="s">
        <v>42</v>
      </c>
      <c r="H25" s="55" t="s">
        <v>42</v>
      </c>
      <c r="I25" s="53" t="s">
        <v>430</v>
      </c>
      <c r="J25" s="55">
        <v>18827.0</v>
      </c>
    </row>
    <row r="26" ht="60.0" customHeight="1">
      <c r="A26" s="39">
        <v>23.0</v>
      </c>
      <c r="B26" s="40" t="s">
        <v>145</v>
      </c>
      <c r="C26" s="40" t="s">
        <v>146</v>
      </c>
      <c r="D26" s="40" t="s">
        <v>147</v>
      </c>
      <c r="E26" s="40" t="s">
        <v>148</v>
      </c>
      <c r="F26" s="39" t="str">
        <f t="shared" si="1"/>
        <v>CORRECT</v>
      </c>
      <c r="G26" s="39" t="s">
        <v>48</v>
      </c>
      <c r="H26" s="55" t="s">
        <v>48</v>
      </c>
      <c r="I26" s="53" t="s">
        <v>431</v>
      </c>
      <c r="J26" s="55">
        <v>45463.0</v>
      </c>
    </row>
    <row r="27" ht="60.0" customHeight="1">
      <c r="A27" s="39">
        <v>24.0</v>
      </c>
      <c r="B27" s="40" t="s">
        <v>150</v>
      </c>
      <c r="C27" s="40" t="s">
        <v>151</v>
      </c>
      <c r="D27" s="40" t="s">
        <v>152</v>
      </c>
      <c r="E27" s="40" t="s">
        <v>153</v>
      </c>
      <c r="F27" s="39" t="str">
        <f t="shared" si="1"/>
        <v>CORRECT</v>
      </c>
      <c r="G27" s="39" t="s">
        <v>36</v>
      </c>
      <c r="H27" s="55" t="s">
        <v>36</v>
      </c>
      <c r="I27" s="53" t="s">
        <v>432</v>
      </c>
      <c r="J27" s="55">
        <v>32194.0</v>
      </c>
    </row>
    <row r="28" ht="60.0" customHeight="1">
      <c r="A28" s="39">
        <v>25.0</v>
      </c>
      <c r="B28" s="40" t="s">
        <v>155</v>
      </c>
      <c r="C28" s="40" t="s">
        <v>151</v>
      </c>
      <c r="D28" s="40" t="s">
        <v>156</v>
      </c>
      <c r="E28" s="40" t="s">
        <v>153</v>
      </c>
      <c r="F28" s="39" t="str">
        <f t="shared" si="1"/>
        <v>WRONG</v>
      </c>
      <c r="G28" s="39" t="s">
        <v>48</v>
      </c>
      <c r="H28" s="54" t="s">
        <v>36</v>
      </c>
      <c r="I28" s="53" t="s">
        <v>433</v>
      </c>
      <c r="J28" s="55">
        <v>32155.0</v>
      </c>
    </row>
    <row r="29" ht="60.0" customHeight="1">
      <c r="A29" s="39">
        <v>26.0</v>
      </c>
      <c r="B29" s="40" t="s">
        <v>158</v>
      </c>
      <c r="C29" s="40" t="s">
        <v>159</v>
      </c>
      <c r="D29" s="40" t="s">
        <v>160</v>
      </c>
      <c r="E29" s="40" t="s">
        <v>161</v>
      </c>
      <c r="F29" s="39" t="str">
        <f t="shared" si="1"/>
        <v>WRONG</v>
      </c>
      <c r="G29" s="39" t="s">
        <v>36</v>
      </c>
      <c r="H29" s="54" t="s">
        <v>48</v>
      </c>
      <c r="I29" s="53" t="s">
        <v>434</v>
      </c>
      <c r="J29" s="55">
        <v>38789.0</v>
      </c>
    </row>
    <row r="30" ht="60.0" customHeight="1">
      <c r="A30" s="39">
        <v>27.0</v>
      </c>
      <c r="B30" s="40" t="s">
        <v>163</v>
      </c>
      <c r="C30" s="40" t="s">
        <v>164</v>
      </c>
      <c r="D30" s="40" t="s">
        <v>165</v>
      </c>
      <c r="E30" s="40" t="s">
        <v>166</v>
      </c>
      <c r="F30" s="39" t="str">
        <f t="shared" si="1"/>
        <v>CORRECT</v>
      </c>
      <c r="G30" s="39" t="s">
        <v>42</v>
      </c>
      <c r="H30" s="54" t="s">
        <v>42</v>
      </c>
      <c r="I30" s="53" t="s">
        <v>435</v>
      </c>
      <c r="J30" s="55">
        <v>21198.0</v>
      </c>
    </row>
    <row r="31" ht="60.0" customHeight="1">
      <c r="A31" s="39">
        <v>28.0</v>
      </c>
      <c r="B31" s="40" t="s">
        <v>168</v>
      </c>
      <c r="C31" s="40" t="s">
        <v>169</v>
      </c>
      <c r="D31" s="40" t="s">
        <v>170</v>
      </c>
      <c r="E31" s="40" t="s">
        <v>171</v>
      </c>
      <c r="F31" s="39" t="str">
        <f t="shared" si="1"/>
        <v>WRONG</v>
      </c>
      <c r="G31" s="39" t="s">
        <v>36</v>
      </c>
      <c r="H31" s="55" t="s">
        <v>48</v>
      </c>
      <c r="I31" s="53" t="s">
        <v>436</v>
      </c>
      <c r="J31" s="55">
        <v>24865.0</v>
      </c>
    </row>
    <row r="32" ht="60.0" customHeight="1">
      <c r="A32" s="39">
        <v>29.0</v>
      </c>
      <c r="B32" s="40" t="s">
        <v>173</v>
      </c>
      <c r="C32" s="40" t="s">
        <v>174</v>
      </c>
      <c r="D32" s="40" t="s">
        <v>175</v>
      </c>
      <c r="E32" s="40" t="s">
        <v>176</v>
      </c>
      <c r="F32" s="39" t="str">
        <f t="shared" si="1"/>
        <v>CORRECT</v>
      </c>
      <c r="G32" s="39" t="s">
        <v>42</v>
      </c>
      <c r="H32" s="55" t="s">
        <v>42</v>
      </c>
      <c r="I32" s="53" t="s">
        <v>437</v>
      </c>
      <c r="J32" s="55">
        <v>39020.0</v>
      </c>
    </row>
    <row r="33" ht="60.0" customHeight="1">
      <c r="A33" s="39">
        <v>30.0</v>
      </c>
      <c r="B33" s="40" t="s">
        <v>178</v>
      </c>
      <c r="C33" s="40" t="s">
        <v>179</v>
      </c>
      <c r="D33" s="40" t="s">
        <v>180</v>
      </c>
      <c r="E33" s="40" t="s">
        <v>181</v>
      </c>
      <c r="F33" s="39" t="str">
        <f t="shared" si="1"/>
        <v>WRONG</v>
      </c>
      <c r="G33" s="39" t="s">
        <v>48</v>
      </c>
      <c r="H33" s="55" t="s">
        <v>36</v>
      </c>
      <c r="I33" s="53" t="s">
        <v>438</v>
      </c>
      <c r="J33" s="55">
        <v>38818.0</v>
      </c>
    </row>
    <row r="34" ht="60.0" customHeight="1">
      <c r="A34" s="39">
        <v>31.0</v>
      </c>
      <c r="B34" s="40" t="s">
        <v>183</v>
      </c>
      <c r="C34" s="40" t="s">
        <v>184</v>
      </c>
      <c r="D34" s="40" t="s">
        <v>185</v>
      </c>
      <c r="E34" s="40" t="s">
        <v>186</v>
      </c>
      <c r="F34" s="39" t="str">
        <f t="shared" si="1"/>
        <v>WRONG</v>
      </c>
      <c r="G34" s="39" t="s">
        <v>42</v>
      </c>
      <c r="H34" s="55" t="s">
        <v>36</v>
      </c>
      <c r="I34" s="53" t="s">
        <v>439</v>
      </c>
      <c r="J34" s="55">
        <v>24888.0</v>
      </c>
    </row>
    <row r="35" ht="60.0" customHeight="1">
      <c r="A35" s="39">
        <v>32.0</v>
      </c>
      <c r="B35" s="40" t="s">
        <v>188</v>
      </c>
      <c r="C35" s="40" t="s">
        <v>189</v>
      </c>
      <c r="D35" s="40" t="s">
        <v>190</v>
      </c>
      <c r="E35" s="40" t="s">
        <v>191</v>
      </c>
      <c r="F35" s="39" t="str">
        <f t="shared" si="1"/>
        <v>CORRECT</v>
      </c>
      <c r="G35" s="39" t="s">
        <v>36</v>
      </c>
      <c r="H35" s="54" t="s">
        <v>36</v>
      </c>
      <c r="I35" s="53" t="s">
        <v>440</v>
      </c>
      <c r="J35" s="55">
        <v>53929.0</v>
      </c>
    </row>
    <row r="36" ht="60.0" customHeight="1">
      <c r="A36" s="39">
        <v>33.0</v>
      </c>
      <c r="B36" s="40" t="s">
        <v>193</v>
      </c>
      <c r="C36" s="40" t="s">
        <v>194</v>
      </c>
      <c r="D36" s="40" t="s">
        <v>195</v>
      </c>
      <c r="E36" s="40" t="s">
        <v>196</v>
      </c>
      <c r="F36" s="39" t="str">
        <f t="shared" si="1"/>
        <v>CORRECT</v>
      </c>
      <c r="G36" s="39" t="s">
        <v>48</v>
      </c>
      <c r="H36" s="54" t="s">
        <v>48</v>
      </c>
      <c r="I36" s="53" t="s">
        <v>441</v>
      </c>
      <c r="J36" s="55">
        <v>57377.0</v>
      </c>
    </row>
    <row r="37" ht="60.0" customHeight="1">
      <c r="A37" s="39">
        <v>34.0</v>
      </c>
      <c r="B37" s="40" t="s">
        <v>198</v>
      </c>
      <c r="C37" s="40" t="s">
        <v>199</v>
      </c>
      <c r="D37" s="40" t="s">
        <v>200</v>
      </c>
      <c r="E37" s="40" t="s">
        <v>201</v>
      </c>
      <c r="F37" s="39" t="str">
        <f t="shared" si="1"/>
        <v>CORRECT</v>
      </c>
      <c r="G37" s="39" t="s">
        <v>36</v>
      </c>
      <c r="H37" s="55" t="s">
        <v>36</v>
      </c>
      <c r="I37" s="53" t="s">
        <v>442</v>
      </c>
      <c r="J37" s="55">
        <v>24453.0</v>
      </c>
    </row>
    <row r="38" ht="60.0" customHeight="1">
      <c r="A38" s="39">
        <v>35.0</v>
      </c>
      <c r="B38" s="40" t="s">
        <v>203</v>
      </c>
      <c r="C38" s="40" t="s">
        <v>204</v>
      </c>
      <c r="D38" s="40" t="s">
        <v>205</v>
      </c>
      <c r="E38" s="40" t="s">
        <v>206</v>
      </c>
      <c r="F38" s="39" t="str">
        <f t="shared" si="1"/>
        <v>WRONG</v>
      </c>
      <c r="G38" s="39" t="s">
        <v>48</v>
      </c>
      <c r="H38" s="55" t="s">
        <v>36</v>
      </c>
      <c r="I38" s="53" t="s">
        <v>443</v>
      </c>
      <c r="J38" s="55">
        <v>40372.0</v>
      </c>
    </row>
    <row r="39" ht="60.0" customHeight="1">
      <c r="A39" s="39">
        <v>36.0</v>
      </c>
      <c r="B39" s="40" t="s">
        <v>208</v>
      </c>
      <c r="C39" s="40" t="s">
        <v>209</v>
      </c>
      <c r="D39" s="40" t="s">
        <v>210</v>
      </c>
      <c r="E39" s="40" t="s">
        <v>211</v>
      </c>
      <c r="F39" s="39" t="str">
        <f t="shared" si="1"/>
        <v>CORRECT</v>
      </c>
      <c r="G39" s="39" t="s">
        <v>36</v>
      </c>
      <c r="H39" s="55" t="s">
        <v>36</v>
      </c>
      <c r="I39" s="53" t="s">
        <v>444</v>
      </c>
      <c r="J39" s="55">
        <v>39297.0</v>
      </c>
    </row>
    <row r="40" ht="60.0" customHeight="1">
      <c r="A40" s="39">
        <v>37.0</v>
      </c>
      <c r="B40" s="40" t="s">
        <v>213</v>
      </c>
      <c r="C40" s="40" t="s">
        <v>214</v>
      </c>
      <c r="D40" s="40" t="s">
        <v>215</v>
      </c>
      <c r="E40" s="40" t="s">
        <v>216</v>
      </c>
      <c r="F40" s="39" t="str">
        <f t="shared" si="1"/>
        <v>WRONG</v>
      </c>
      <c r="G40" s="39" t="s">
        <v>36</v>
      </c>
      <c r="H40" s="55" t="s">
        <v>42</v>
      </c>
      <c r="I40" s="53" t="s">
        <v>445</v>
      </c>
      <c r="J40" s="55">
        <v>37222.0</v>
      </c>
    </row>
    <row r="41" ht="60.0" customHeight="1">
      <c r="A41" s="39">
        <v>38.0</v>
      </c>
      <c r="B41" s="40" t="s">
        <v>218</v>
      </c>
      <c r="C41" s="40" t="s">
        <v>219</v>
      </c>
      <c r="D41" s="40" t="s">
        <v>220</v>
      </c>
      <c r="E41" s="40" t="s">
        <v>221</v>
      </c>
      <c r="F41" s="39" t="str">
        <f t="shared" si="1"/>
        <v>CORRECT</v>
      </c>
      <c r="G41" s="39" t="s">
        <v>36</v>
      </c>
      <c r="H41" s="55" t="s">
        <v>36</v>
      </c>
      <c r="I41" s="53" t="s">
        <v>446</v>
      </c>
      <c r="J41" s="55">
        <v>39350.0</v>
      </c>
    </row>
    <row r="42" ht="60.0" customHeight="1">
      <c r="A42" s="39">
        <v>39.0</v>
      </c>
      <c r="B42" s="40" t="s">
        <v>223</v>
      </c>
      <c r="C42" s="40" t="s">
        <v>224</v>
      </c>
      <c r="D42" s="40" t="s">
        <v>225</v>
      </c>
      <c r="E42" s="40" t="s">
        <v>226</v>
      </c>
      <c r="F42" s="39" t="str">
        <f t="shared" si="1"/>
        <v>WRONG</v>
      </c>
      <c r="G42" s="39" t="s">
        <v>42</v>
      </c>
      <c r="H42" s="55" t="s">
        <v>48</v>
      </c>
      <c r="I42" s="53" t="s">
        <v>447</v>
      </c>
      <c r="J42" s="55">
        <v>30367.0</v>
      </c>
    </row>
    <row r="43" ht="60.0" customHeight="1">
      <c r="A43" s="39">
        <v>40.0</v>
      </c>
      <c r="B43" s="40" t="s">
        <v>228</v>
      </c>
      <c r="C43" s="40" t="s">
        <v>229</v>
      </c>
      <c r="D43" s="40" t="s">
        <v>230</v>
      </c>
      <c r="E43" s="40" t="s">
        <v>231</v>
      </c>
      <c r="F43" s="39" t="str">
        <f t="shared" si="1"/>
        <v>WRONG</v>
      </c>
      <c r="G43" s="39" t="s">
        <v>48</v>
      </c>
      <c r="H43" s="54" t="s">
        <v>42</v>
      </c>
      <c r="I43" s="53" t="s">
        <v>448</v>
      </c>
      <c r="J43" s="55">
        <v>38722.0</v>
      </c>
    </row>
    <row r="44" ht="60.0" customHeight="1">
      <c r="A44" s="39">
        <v>41.0</v>
      </c>
      <c r="B44" s="40" t="s">
        <v>233</v>
      </c>
      <c r="C44" s="40" t="s">
        <v>234</v>
      </c>
      <c r="D44" s="40" t="s">
        <v>235</v>
      </c>
      <c r="E44" s="40" t="s">
        <v>236</v>
      </c>
      <c r="F44" s="39" t="str">
        <f t="shared" si="1"/>
        <v>CORRECT</v>
      </c>
      <c r="G44" s="39" t="s">
        <v>42</v>
      </c>
      <c r="H44" s="55" t="s">
        <v>42</v>
      </c>
      <c r="I44" s="53" t="s">
        <v>449</v>
      </c>
      <c r="J44" s="55">
        <v>19214.0</v>
      </c>
    </row>
    <row r="45" ht="60.0" customHeight="1">
      <c r="A45" s="39">
        <v>42.0</v>
      </c>
      <c r="B45" s="40" t="s">
        <v>238</v>
      </c>
      <c r="C45" s="40" t="s">
        <v>239</v>
      </c>
      <c r="D45" s="40" t="s">
        <v>240</v>
      </c>
      <c r="E45" s="40" t="s">
        <v>241</v>
      </c>
      <c r="F45" s="39" t="str">
        <f t="shared" si="1"/>
        <v>WRONG</v>
      </c>
      <c r="G45" s="39" t="s">
        <v>36</v>
      </c>
      <c r="H45" s="55" t="s">
        <v>42</v>
      </c>
      <c r="I45" s="53" t="s">
        <v>450</v>
      </c>
      <c r="J45" s="55">
        <v>24103.0</v>
      </c>
    </row>
    <row r="46" ht="60.0" customHeight="1">
      <c r="A46" s="39">
        <v>43.0</v>
      </c>
      <c r="B46" s="40" t="s">
        <v>243</v>
      </c>
      <c r="C46" s="40" t="s">
        <v>244</v>
      </c>
      <c r="D46" s="40" t="s">
        <v>245</v>
      </c>
      <c r="E46" s="40" t="s">
        <v>246</v>
      </c>
      <c r="F46" s="39" t="str">
        <f t="shared" si="1"/>
        <v>WRONG</v>
      </c>
      <c r="G46" s="39" t="s">
        <v>48</v>
      </c>
      <c r="H46" s="54" t="s">
        <v>36</v>
      </c>
      <c r="I46" s="53" t="s">
        <v>451</v>
      </c>
      <c r="J46" s="55">
        <v>25283.0</v>
      </c>
    </row>
    <row r="47" ht="60.0" customHeight="1">
      <c r="A47" s="39">
        <v>44.0</v>
      </c>
      <c r="B47" s="40" t="s">
        <v>248</v>
      </c>
      <c r="C47" s="40" t="s">
        <v>249</v>
      </c>
      <c r="D47" s="40" t="s">
        <v>250</v>
      </c>
      <c r="E47" s="40" t="s">
        <v>251</v>
      </c>
      <c r="F47" s="39" t="str">
        <f t="shared" si="1"/>
        <v>CORRECT</v>
      </c>
      <c r="G47" s="39" t="s">
        <v>36</v>
      </c>
      <c r="H47" s="54" t="s">
        <v>36</v>
      </c>
      <c r="I47" s="53" t="s">
        <v>452</v>
      </c>
      <c r="J47" s="55">
        <v>22759.0</v>
      </c>
    </row>
    <row r="48" ht="60.0" customHeight="1">
      <c r="A48" s="39">
        <v>45.0</v>
      </c>
      <c r="B48" s="40" t="s">
        <v>253</v>
      </c>
      <c r="C48" s="40" t="s">
        <v>254</v>
      </c>
      <c r="D48" s="40" t="s">
        <v>255</v>
      </c>
      <c r="E48" s="40" t="s">
        <v>256</v>
      </c>
      <c r="F48" s="39" t="str">
        <f t="shared" si="1"/>
        <v>CORRECT</v>
      </c>
      <c r="G48" s="39" t="s">
        <v>36</v>
      </c>
      <c r="H48" s="55" t="s">
        <v>36</v>
      </c>
      <c r="I48" s="53" t="s">
        <v>453</v>
      </c>
      <c r="J48" s="55">
        <v>52592.0</v>
      </c>
    </row>
    <row r="49" ht="60.0" customHeight="1">
      <c r="A49" s="39">
        <v>46.0</v>
      </c>
      <c r="B49" s="40" t="s">
        <v>258</v>
      </c>
      <c r="C49" s="40" t="s">
        <v>39</v>
      </c>
      <c r="D49" s="40" t="s">
        <v>259</v>
      </c>
      <c r="E49" s="40" t="s">
        <v>260</v>
      </c>
      <c r="F49" s="39" t="str">
        <f t="shared" si="1"/>
        <v>CORRECT</v>
      </c>
      <c r="G49" s="39" t="s">
        <v>36</v>
      </c>
      <c r="H49" s="55" t="s">
        <v>36</v>
      </c>
      <c r="I49" s="53" t="s">
        <v>454</v>
      </c>
      <c r="J49" s="55">
        <v>40426.0</v>
      </c>
    </row>
    <row r="50">
      <c r="A50" s="44" t="s">
        <v>262</v>
      </c>
      <c r="B50" s="2"/>
      <c r="C50" s="2"/>
      <c r="D50" s="2"/>
      <c r="E50" s="3"/>
      <c r="F50" s="45">
        <f>COUNTIFS(F4:F49,"CORRECT")</f>
        <v>27</v>
      </c>
      <c r="G50" s="46"/>
      <c r="H50" s="46"/>
      <c r="J50" s="47">
        <f>AVERAGE(J4:J49)</f>
        <v>36427.65217</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455</v>
      </c>
      <c r="C2" s="2"/>
      <c r="D2" s="2"/>
      <c r="E2" s="2"/>
      <c r="F2" s="2"/>
      <c r="G2" s="2"/>
      <c r="H2" s="3"/>
      <c r="I2" s="37" t="s">
        <v>456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6" t="s">
        <v>457</v>
      </c>
      <c r="J4" s="55">
        <v>20236.0</v>
      </c>
    </row>
    <row r="5" ht="60.0" customHeight="1">
      <c r="A5" s="39">
        <v>2.0</v>
      </c>
      <c r="B5" s="40" t="s">
        <v>38</v>
      </c>
      <c r="C5" s="40" t="s">
        <v>39</v>
      </c>
      <c r="D5" s="40" t="s">
        <v>40</v>
      </c>
      <c r="E5" s="40" t="s">
        <v>41</v>
      </c>
      <c r="F5" s="39" t="str">
        <f t="shared" si="1"/>
        <v>CORRECT</v>
      </c>
      <c r="G5" s="39" t="s">
        <v>42</v>
      </c>
      <c r="H5" s="54" t="s">
        <v>42</v>
      </c>
      <c r="I5" s="53" t="s">
        <v>458</v>
      </c>
      <c r="J5" s="55">
        <v>34015.0</v>
      </c>
    </row>
    <row r="6" ht="60.0" customHeight="1">
      <c r="A6" s="39">
        <v>3.0</v>
      </c>
      <c r="B6" s="40" t="s">
        <v>44</v>
      </c>
      <c r="C6" s="40" t="s">
        <v>45</v>
      </c>
      <c r="D6" s="40" t="s">
        <v>46</v>
      </c>
      <c r="E6" s="40" t="s">
        <v>47</v>
      </c>
      <c r="F6" s="39" t="str">
        <f t="shared" si="1"/>
        <v>CORRECT</v>
      </c>
      <c r="G6" s="39" t="s">
        <v>48</v>
      </c>
      <c r="H6" s="55" t="s">
        <v>48</v>
      </c>
      <c r="I6" s="53" t="s">
        <v>459</v>
      </c>
      <c r="J6" s="55">
        <v>22603.0</v>
      </c>
    </row>
    <row r="7" ht="60.0" customHeight="1">
      <c r="A7" s="39">
        <v>4.0</v>
      </c>
      <c r="B7" s="40" t="s">
        <v>50</v>
      </c>
      <c r="C7" s="40" t="s">
        <v>51</v>
      </c>
      <c r="D7" s="40" t="s">
        <v>52</v>
      </c>
      <c r="E7" s="40" t="s">
        <v>53</v>
      </c>
      <c r="F7" s="39" t="str">
        <f t="shared" si="1"/>
        <v>CORRECT</v>
      </c>
      <c r="G7" s="39" t="s">
        <v>42</v>
      </c>
      <c r="H7" s="54" t="s">
        <v>42</v>
      </c>
      <c r="I7" s="53" t="s">
        <v>460</v>
      </c>
      <c r="J7" s="55">
        <v>34307.0</v>
      </c>
    </row>
    <row r="8" ht="60.0" customHeight="1">
      <c r="A8" s="39">
        <v>5.0</v>
      </c>
      <c r="B8" s="40" t="s">
        <v>55</v>
      </c>
      <c r="C8" s="40" t="s">
        <v>56</v>
      </c>
      <c r="D8" s="40" t="s">
        <v>57</v>
      </c>
      <c r="E8" s="40" t="s">
        <v>58</v>
      </c>
      <c r="F8" s="39" t="str">
        <f t="shared" si="1"/>
        <v>WRONG</v>
      </c>
      <c r="G8" s="39" t="s">
        <v>48</v>
      </c>
      <c r="H8" s="54" t="s">
        <v>36</v>
      </c>
      <c r="I8" s="53" t="s">
        <v>461</v>
      </c>
      <c r="J8" s="55">
        <v>52401.0</v>
      </c>
    </row>
    <row r="9" ht="60.0" customHeight="1">
      <c r="A9" s="39">
        <v>6.0</v>
      </c>
      <c r="B9" s="40" t="s">
        <v>60</v>
      </c>
      <c r="C9" s="40" t="s">
        <v>61</v>
      </c>
      <c r="D9" s="40" t="s">
        <v>62</v>
      </c>
      <c r="E9" s="40" t="s">
        <v>63</v>
      </c>
      <c r="F9" s="39" t="str">
        <f t="shared" si="1"/>
        <v>CORRECT</v>
      </c>
      <c r="G9" s="39" t="s">
        <v>42</v>
      </c>
      <c r="H9" s="54" t="s">
        <v>42</v>
      </c>
      <c r="I9" s="53" t="s">
        <v>462</v>
      </c>
      <c r="J9" s="55">
        <v>38768.0</v>
      </c>
    </row>
    <row r="10" ht="60.0" customHeight="1">
      <c r="A10" s="39">
        <v>7.0</v>
      </c>
      <c r="B10" s="40" t="s">
        <v>65</v>
      </c>
      <c r="C10" s="40" t="s">
        <v>66</v>
      </c>
      <c r="D10" s="40" t="s">
        <v>67</v>
      </c>
      <c r="E10" s="40" t="s">
        <v>68</v>
      </c>
      <c r="F10" s="39" t="str">
        <f t="shared" si="1"/>
        <v>WRONG</v>
      </c>
      <c r="G10" s="39" t="s">
        <v>42</v>
      </c>
      <c r="H10" s="55" t="s">
        <v>36</v>
      </c>
      <c r="I10" s="53" t="s">
        <v>463</v>
      </c>
      <c r="J10" s="55">
        <v>28795.0</v>
      </c>
    </row>
    <row r="11" ht="60.0" customHeight="1">
      <c r="A11" s="39">
        <v>8.0</v>
      </c>
      <c r="B11" s="40" t="s">
        <v>70</v>
      </c>
      <c r="C11" s="40" t="s">
        <v>71</v>
      </c>
      <c r="D11" s="40" t="s">
        <v>72</v>
      </c>
      <c r="E11" s="40" t="s">
        <v>73</v>
      </c>
      <c r="F11" s="39" t="str">
        <f t="shared" si="1"/>
        <v>WRONG</v>
      </c>
      <c r="G11" s="39" t="s">
        <v>48</v>
      </c>
      <c r="H11" s="54" t="s">
        <v>464</v>
      </c>
      <c r="I11" s="53" t="s">
        <v>465</v>
      </c>
      <c r="J11" s="55">
        <v>4281.0</v>
      </c>
    </row>
    <row r="12" ht="60.0" customHeight="1">
      <c r="A12" s="39">
        <v>9.0</v>
      </c>
      <c r="B12" s="40" t="s">
        <v>75</v>
      </c>
      <c r="C12" s="40" t="s">
        <v>76</v>
      </c>
      <c r="D12" s="40" t="s">
        <v>77</v>
      </c>
      <c r="E12" s="40" t="s">
        <v>78</v>
      </c>
      <c r="F12" s="39" t="str">
        <f t="shared" si="1"/>
        <v>WRONG</v>
      </c>
      <c r="G12" s="39" t="s">
        <v>42</v>
      </c>
      <c r="H12" s="54" t="s">
        <v>48</v>
      </c>
      <c r="I12" s="53" t="s">
        <v>466</v>
      </c>
      <c r="J12" s="55">
        <v>40891.0</v>
      </c>
    </row>
    <row r="13" ht="60.0" customHeight="1">
      <c r="A13" s="39">
        <v>10.0</v>
      </c>
      <c r="B13" s="40" t="s">
        <v>80</v>
      </c>
      <c r="C13" s="40" t="s">
        <v>81</v>
      </c>
      <c r="D13" s="40" t="s">
        <v>82</v>
      </c>
      <c r="E13" s="40" t="s">
        <v>83</v>
      </c>
      <c r="F13" s="39" t="str">
        <f t="shared" si="1"/>
        <v>CORRECT</v>
      </c>
      <c r="G13" s="39" t="s">
        <v>48</v>
      </c>
      <c r="H13" s="54" t="s">
        <v>48</v>
      </c>
      <c r="I13" s="53" t="s">
        <v>467</v>
      </c>
      <c r="J13" s="55">
        <v>20165.0</v>
      </c>
    </row>
    <row r="14" ht="60.0" customHeight="1">
      <c r="A14" s="39">
        <v>11.0</v>
      </c>
      <c r="B14" s="40" t="s">
        <v>85</v>
      </c>
      <c r="C14" s="40" t="s">
        <v>86</v>
      </c>
      <c r="D14" s="40" t="s">
        <v>87</v>
      </c>
      <c r="E14" s="40" t="s">
        <v>88</v>
      </c>
      <c r="F14" s="39" t="str">
        <f t="shared" si="1"/>
        <v>CORRECT</v>
      </c>
      <c r="G14" s="39" t="s">
        <v>42</v>
      </c>
      <c r="H14" s="54" t="s">
        <v>42</v>
      </c>
      <c r="I14" s="53" t="s">
        <v>468</v>
      </c>
      <c r="J14" s="55">
        <v>63359.0</v>
      </c>
    </row>
    <row r="15" ht="60.0" customHeight="1">
      <c r="A15" s="39">
        <v>12.0</v>
      </c>
      <c r="B15" s="40" t="s">
        <v>90</v>
      </c>
      <c r="C15" s="40" t="s">
        <v>91</v>
      </c>
      <c r="D15" s="40" t="s">
        <v>92</v>
      </c>
      <c r="E15" s="40" t="s">
        <v>93</v>
      </c>
      <c r="F15" s="39" t="str">
        <f t="shared" si="1"/>
        <v>CORRECT</v>
      </c>
      <c r="G15" s="39" t="s">
        <v>48</v>
      </c>
      <c r="H15" s="54" t="s">
        <v>48</v>
      </c>
      <c r="I15" s="53" t="s">
        <v>469</v>
      </c>
      <c r="J15" s="55">
        <v>36705.0</v>
      </c>
    </row>
    <row r="16" ht="60.0" customHeight="1">
      <c r="A16" s="39">
        <v>13.0</v>
      </c>
      <c r="B16" s="40" t="s">
        <v>95</v>
      </c>
      <c r="C16" s="40" t="s">
        <v>96</v>
      </c>
      <c r="D16" s="40" t="s">
        <v>97</v>
      </c>
      <c r="E16" s="40" t="s">
        <v>98</v>
      </c>
      <c r="F16" s="39" t="str">
        <f t="shared" si="1"/>
        <v>CORRECT</v>
      </c>
      <c r="G16" s="39" t="s">
        <v>36</v>
      </c>
      <c r="H16" s="54" t="s">
        <v>36</v>
      </c>
      <c r="I16" s="53" t="s">
        <v>470</v>
      </c>
      <c r="J16" s="55">
        <v>23799.0</v>
      </c>
    </row>
    <row r="17" ht="60.0" customHeight="1">
      <c r="A17" s="39">
        <v>14.0</v>
      </c>
      <c r="B17" s="40" t="s">
        <v>100</v>
      </c>
      <c r="C17" s="40" t="s">
        <v>101</v>
      </c>
      <c r="D17" s="40" t="s">
        <v>102</v>
      </c>
      <c r="E17" s="40" t="s">
        <v>103</v>
      </c>
      <c r="F17" s="39" t="str">
        <f t="shared" si="1"/>
        <v>WRONG</v>
      </c>
      <c r="G17" s="39" t="s">
        <v>36</v>
      </c>
      <c r="H17" s="54" t="s">
        <v>48</v>
      </c>
      <c r="I17" s="56" t="s">
        <v>471</v>
      </c>
      <c r="J17" s="55">
        <v>32927.0</v>
      </c>
    </row>
    <row r="18" ht="60.0" customHeight="1">
      <c r="A18" s="39">
        <v>15.0</v>
      </c>
      <c r="B18" s="40" t="s">
        <v>105</v>
      </c>
      <c r="C18" s="40" t="s">
        <v>106</v>
      </c>
      <c r="D18" s="40" t="s">
        <v>107</v>
      </c>
      <c r="E18" s="40" t="s">
        <v>108</v>
      </c>
      <c r="F18" s="39" t="str">
        <f t="shared" si="1"/>
        <v>CORRECT</v>
      </c>
      <c r="G18" s="39" t="s">
        <v>48</v>
      </c>
      <c r="H18" s="55" t="s">
        <v>48</v>
      </c>
      <c r="I18" s="53" t="s">
        <v>472</v>
      </c>
      <c r="J18" s="55">
        <v>45009.0</v>
      </c>
    </row>
    <row r="19" ht="60.0" customHeight="1">
      <c r="A19" s="39">
        <v>16.0</v>
      </c>
      <c r="B19" s="40" t="s">
        <v>110</v>
      </c>
      <c r="C19" s="40" t="s">
        <v>111</v>
      </c>
      <c r="D19" s="40" t="s">
        <v>112</v>
      </c>
      <c r="E19" s="40" t="s">
        <v>113</v>
      </c>
      <c r="F19" s="39" t="str">
        <f t="shared" si="1"/>
        <v>CORRECT</v>
      </c>
      <c r="G19" s="39" t="s">
        <v>48</v>
      </c>
      <c r="H19" s="54" t="s">
        <v>48</v>
      </c>
      <c r="I19" s="53" t="s">
        <v>473</v>
      </c>
      <c r="J19" s="55">
        <v>27781.0</v>
      </c>
    </row>
    <row r="20" ht="60.0" customHeight="1">
      <c r="A20" s="39">
        <v>17.0</v>
      </c>
      <c r="B20" s="40" t="s">
        <v>115</v>
      </c>
      <c r="C20" s="40" t="s">
        <v>116</v>
      </c>
      <c r="D20" s="40" t="s">
        <v>117</v>
      </c>
      <c r="E20" s="40" t="s">
        <v>118</v>
      </c>
      <c r="F20" s="39" t="str">
        <f t="shared" si="1"/>
        <v>WRONG</v>
      </c>
      <c r="G20" s="39" t="s">
        <v>42</v>
      </c>
      <c r="H20" s="54" t="s">
        <v>464</v>
      </c>
      <c r="I20" s="53" t="s">
        <v>474</v>
      </c>
      <c r="J20" s="55">
        <v>69255.0</v>
      </c>
    </row>
    <row r="21" ht="60.0" customHeight="1">
      <c r="A21" s="39">
        <v>18.0</v>
      </c>
      <c r="B21" s="40" t="s">
        <v>120</v>
      </c>
      <c r="C21" s="40" t="s">
        <v>121</v>
      </c>
      <c r="D21" s="40" t="s">
        <v>122</v>
      </c>
      <c r="E21" s="40" t="s">
        <v>123</v>
      </c>
      <c r="F21" s="39" t="str">
        <f t="shared" si="1"/>
        <v>CORRECT</v>
      </c>
      <c r="G21" s="39" t="s">
        <v>42</v>
      </c>
      <c r="H21" s="55" t="s">
        <v>42</v>
      </c>
      <c r="I21" s="53" t="s">
        <v>475</v>
      </c>
      <c r="J21" s="55">
        <v>47169.0</v>
      </c>
    </row>
    <row r="22" ht="60.0" customHeight="1">
      <c r="A22" s="39">
        <v>19.0</v>
      </c>
      <c r="B22" s="40" t="s">
        <v>125</v>
      </c>
      <c r="C22" s="40" t="s">
        <v>126</v>
      </c>
      <c r="D22" s="40" t="s">
        <v>127</v>
      </c>
      <c r="E22" s="40" t="s">
        <v>128</v>
      </c>
      <c r="F22" s="39" t="str">
        <f t="shared" si="1"/>
        <v>CORRECT</v>
      </c>
      <c r="G22" s="39" t="s">
        <v>36</v>
      </c>
      <c r="H22" s="54" t="s">
        <v>36</v>
      </c>
      <c r="I22" s="53" t="s">
        <v>476</v>
      </c>
      <c r="J22" s="55">
        <v>30954.0</v>
      </c>
    </row>
    <row r="23" ht="60.0" customHeight="1">
      <c r="A23" s="39">
        <v>20.0</v>
      </c>
      <c r="B23" s="40" t="s">
        <v>130</v>
      </c>
      <c r="C23" s="40" t="s">
        <v>131</v>
      </c>
      <c r="D23" s="40" t="s">
        <v>132</v>
      </c>
      <c r="E23" s="40" t="s">
        <v>133</v>
      </c>
      <c r="F23" s="39" t="str">
        <f t="shared" si="1"/>
        <v>CORRECT</v>
      </c>
      <c r="G23" s="39" t="s">
        <v>42</v>
      </c>
      <c r="H23" s="54" t="s">
        <v>42</v>
      </c>
      <c r="I23" s="53" t="s">
        <v>477</v>
      </c>
      <c r="J23" s="55">
        <v>44593.0</v>
      </c>
    </row>
    <row r="24" ht="60.0" customHeight="1">
      <c r="A24" s="39">
        <v>21.0</v>
      </c>
      <c r="B24" s="40" t="s">
        <v>135</v>
      </c>
      <c r="C24" s="40" t="s">
        <v>136</v>
      </c>
      <c r="D24" s="40" t="s">
        <v>137</v>
      </c>
      <c r="E24" s="40" t="s">
        <v>138</v>
      </c>
      <c r="F24" s="39" t="str">
        <f t="shared" si="1"/>
        <v>WRONG</v>
      </c>
      <c r="G24" s="39" t="s">
        <v>42</v>
      </c>
      <c r="H24" s="54" t="s">
        <v>36</v>
      </c>
      <c r="I24" s="53" t="s">
        <v>478</v>
      </c>
      <c r="J24" s="55">
        <v>35521.0</v>
      </c>
    </row>
    <row r="25" ht="60.0" customHeight="1">
      <c r="A25" s="39">
        <v>22.0</v>
      </c>
      <c r="B25" s="40" t="s">
        <v>140</v>
      </c>
      <c r="C25" s="40" t="s">
        <v>141</v>
      </c>
      <c r="D25" s="40" t="s">
        <v>142</v>
      </c>
      <c r="E25" s="40" t="s">
        <v>143</v>
      </c>
      <c r="F25" s="39" t="str">
        <f t="shared" si="1"/>
        <v>CORRECT</v>
      </c>
      <c r="G25" s="39" t="s">
        <v>42</v>
      </c>
      <c r="H25" s="54" t="s">
        <v>42</v>
      </c>
      <c r="I25" s="53" t="s">
        <v>479</v>
      </c>
      <c r="J25" s="55">
        <v>23592.0</v>
      </c>
    </row>
    <row r="26" ht="60.0" customHeight="1">
      <c r="A26" s="39">
        <v>23.0</v>
      </c>
      <c r="B26" s="40" t="s">
        <v>145</v>
      </c>
      <c r="C26" s="40" t="s">
        <v>146</v>
      </c>
      <c r="D26" s="40" t="s">
        <v>147</v>
      </c>
      <c r="E26" s="40" t="s">
        <v>148</v>
      </c>
      <c r="F26" s="39" t="str">
        <f t="shared" si="1"/>
        <v>CORRECT</v>
      </c>
      <c r="G26" s="39" t="s">
        <v>48</v>
      </c>
      <c r="H26" s="55" t="s">
        <v>48</v>
      </c>
      <c r="I26" s="53" t="s">
        <v>480</v>
      </c>
      <c r="J26" s="55">
        <v>17757.0</v>
      </c>
    </row>
    <row r="27" ht="60.0" customHeight="1">
      <c r="A27" s="39">
        <v>24.0</v>
      </c>
      <c r="B27" s="40" t="s">
        <v>150</v>
      </c>
      <c r="C27" s="40" t="s">
        <v>151</v>
      </c>
      <c r="D27" s="40" t="s">
        <v>152</v>
      </c>
      <c r="E27" s="40" t="s">
        <v>153</v>
      </c>
      <c r="F27" s="39" t="str">
        <f t="shared" si="1"/>
        <v>CORRECT</v>
      </c>
      <c r="G27" s="39" t="s">
        <v>36</v>
      </c>
      <c r="H27" s="54" t="s">
        <v>36</v>
      </c>
      <c r="I27" s="53" t="s">
        <v>481</v>
      </c>
      <c r="J27" s="55">
        <v>55493.0</v>
      </c>
    </row>
    <row r="28" ht="60.0" customHeight="1">
      <c r="A28" s="39">
        <v>25.0</v>
      </c>
      <c r="B28" s="40" t="s">
        <v>155</v>
      </c>
      <c r="C28" s="40" t="s">
        <v>151</v>
      </c>
      <c r="D28" s="40" t="s">
        <v>156</v>
      </c>
      <c r="E28" s="40" t="s">
        <v>153</v>
      </c>
      <c r="F28" s="39" t="str">
        <f t="shared" si="1"/>
        <v>CORRECT</v>
      </c>
      <c r="G28" s="39" t="s">
        <v>48</v>
      </c>
      <c r="H28" s="54" t="s">
        <v>48</v>
      </c>
      <c r="I28" s="53" t="s">
        <v>482</v>
      </c>
      <c r="J28" s="55">
        <v>20856.0</v>
      </c>
    </row>
    <row r="29" ht="60.0" customHeight="1">
      <c r="A29" s="39">
        <v>26.0</v>
      </c>
      <c r="B29" s="40" t="s">
        <v>158</v>
      </c>
      <c r="C29" s="40" t="s">
        <v>159</v>
      </c>
      <c r="D29" s="40" t="s">
        <v>160</v>
      </c>
      <c r="E29" s="40" t="s">
        <v>161</v>
      </c>
      <c r="F29" s="39" t="str">
        <f t="shared" si="1"/>
        <v>WRONG</v>
      </c>
      <c r="G29" s="39" t="s">
        <v>36</v>
      </c>
      <c r="H29" s="54" t="s">
        <v>48</v>
      </c>
      <c r="I29" s="53" t="s">
        <v>483</v>
      </c>
      <c r="J29" s="55">
        <v>66104.0</v>
      </c>
    </row>
    <row r="30" ht="60.0" customHeight="1">
      <c r="A30" s="39">
        <v>27.0</v>
      </c>
      <c r="B30" s="40" t="s">
        <v>163</v>
      </c>
      <c r="C30" s="40" t="s">
        <v>164</v>
      </c>
      <c r="D30" s="40" t="s">
        <v>165</v>
      </c>
      <c r="E30" s="40" t="s">
        <v>166</v>
      </c>
      <c r="F30" s="39" t="str">
        <f t="shared" si="1"/>
        <v>WRONG</v>
      </c>
      <c r="G30" s="39" t="s">
        <v>42</v>
      </c>
      <c r="H30" s="54" t="s">
        <v>48</v>
      </c>
      <c r="I30" s="53" t="s">
        <v>484</v>
      </c>
      <c r="J30" s="55">
        <v>45230.0</v>
      </c>
    </row>
    <row r="31" ht="60.0" customHeight="1">
      <c r="A31" s="39">
        <v>28.0</v>
      </c>
      <c r="B31" s="40" t="s">
        <v>168</v>
      </c>
      <c r="C31" s="40" t="s">
        <v>169</v>
      </c>
      <c r="D31" s="40" t="s">
        <v>170</v>
      </c>
      <c r="E31" s="40" t="s">
        <v>171</v>
      </c>
      <c r="F31" s="39" t="str">
        <f t="shared" si="1"/>
        <v>WRONG</v>
      </c>
      <c r="G31" s="39" t="s">
        <v>36</v>
      </c>
      <c r="H31" s="54" t="s">
        <v>48</v>
      </c>
      <c r="I31" s="53" t="s">
        <v>485</v>
      </c>
      <c r="J31" s="55">
        <v>18076.0</v>
      </c>
    </row>
    <row r="32" ht="60.0" customHeight="1">
      <c r="A32" s="39">
        <v>29.0</v>
      </c>
      <c r="B32" s="40" t="s">
        <v>173</v>
      </c>
      <c r="C32" s="40" t="s">
        <v>174</v>
      </c>
      <c r="D32" s="40" t="s">
        <v>175</v>
      </c>
      <c r="E32" s="40" t="s">
        <v>176</v>
      </c>
      <c r="F32" s="39" t="str">
        <f t="shared" si="1"/>
        <v>CORRECT</v>
      </c>
      <c r="G32" s="39" t="s">
        <v>42</v>
      </c>
      <c r="H32" s="54" t="s">
        <v>42</v>
      </c>
      <c r="I32" s="53" t="s">
        <v>486</v>
      </c>
      <c r="J32" s="55">
        <v>26327.0</v>
      </c>
    </row>
    <row r="33" ht="60.0" customHeight="1">
      <c r="A33" s="39">
        <v>30.0</v>
      </c>
      <c r="B33" s="40" t="s">
        <v>178</v>
      </c>
      <c r="C33" s="40" t="s">
        <v>179</v>
      </c>
      <c r="D33" s="40" t="s">
        <v>180</v>
      </c>
      <c r="E33" s="40" t="s">
        <v>181</v>
      </c>
      <c r="F33" s="39" t="str">
        <f t="shared" si="1"/>
        <v>WRONG</v>
      </c>
      <c r="G33" s="39" t="s">
        <v>48</v>
      </c>
      <c r="H33" s="54" t="s">
        <v>36</v>
      </c>
      <c r="I33" s="53" t="s">
        <v>487</v>
      </c>
      <c r="J33" s="55">
        <v>44660.0</v>
      </c>
    </row>
    <row r="34" ht="60.0" customHeight="1">
      <c r="A34" s="39">
        <v>31.0</v>
      </c>
      <c r="B34" s="40" t="s">
        <v>183</v>
      </c>
      <c r="C34" s="40" t="s">
        <v>184</v>
      </c>
      <c r="D34" s="40" t="s">
        <v>185</v>
      </c>
      <c r="E34" s="40" t="s">
        <v>186</v>
      </c>
      <c r="F34" s="39" t="str">
        <f t="shared" si="1"/>
        <v>WRONG</v>
      </c>
      <c r="G34" s="39" t="s">
        <v>42</v>
      </c>
      <c r="H34" s="54" t="s">
        <v>36</v>
      </c>
      <c r="I34" s="53" t="s">
        <v>488</v>
      </c>
      <c r="J34" s="55">
        <v>35336.0</v>
      </c>
    </row>
    <row r="35" ht="60.0" customHeight="1">
      <c r="A35" s="39">
        <v>32.0</v>
      </c>
      <c r="B35" s="40" t="s">
        <v>188</v>
      </c>
      <c r="C35" s="40" t="s">
        <v>189</v>
      </c>
      <c r="D35" s="40" t="s">
        <v>190</v>
      </c>
      <c r="E35" s="40" t="s">
        <v>191</v>
      </c>
      <c r="F35" s="39" t="str">
        <f t="shared" si="1"/>
        <v>WRONG</v>
      </c>
      <c r="G35" s="39" t="s">
        <v>36</v>
      </c>
      <c r="H35" s="54" t="s">
        <v>48</v>
      </c>
      <c r="I35" s="53" t="s">
        <v>489</v>
      </c>
      <c r="J35" s="55">
        <v>47475.0</v>
      </c>
    </row>
    <row r="36" ht="60.0" customHeight="1">
      <c r="A36" s="39">
        <v>33.0</v>
      </c>
      <c r="B36" s="40" t="s">
        <v>193</v>
      </c>
      <c r="C36" s="40" t="s">
        <v>194</v>
      </c>
      <c r="D36" s="40" t="s">
        <v>195</v>
      </c>
      <c r="E36" s="40" t="s">
        <v>196</v>
      </c>
      <c r="F36" s="39" t="str">
        <f t="shared" si="1"/>
        <v>WRONG</v>
      </c>
      <c r="G36" s="39" t="s">
        <v>48</v>
      </c>
      <c r="H36" s="54" t="s">
        <v>36</v>
      </c>
      <c r="I36" s="53" t="s">
        <v>490</v>
      </c>
      <c r="J36" s="55">
        <v>34884.0</v>
      </c>
    </row>
    <row r="37" ht="60.0" customHeight="1">
      <c r="A37" s="39">
        <v>34.0</v>
      </c>
      <c r="B37" s="40" t="s">
        <v>198</v>
      </c>
      <c r="C37" s="40" t="s">
        <v>199</v>
      </c>
      <c r="D37" s="40" t="s">
        <v>200</v>
      </c>
      <c r="E37" s="40" t="s">
        <v>201</v>
      </c>
      <c r="F37" s="39" t="str">
        <f t="shared" si="1"/>
        <v>CORRECT</v>
      </c>
      <c r="G37" s="39" t="s">
        <v>36</v>
      </c>
      <c r="H37" s="54" t="s">
        <v>36</v>
      </c>
      <c r="I37" s="53" t="s">
        <v>491</v>
      </c>
      <c r="J37" s="55">
        <v>15342.0</v>
      </c>
    </row>
    <row r="38" ht="60.0" customHeight="1">
      <c r="A38" s="39">
        <v>35.0</v>
      </c>
      <c r="B38" s="40" t="s">
        <v>203</v>
      </c>
      <c r="C38" s="40" t="s">
        <v>204</v>
      </c>
      <c r="D38" s="40" t="s">
        <v>205</v>
      </c>
      <c r="E38" s="40" t="s">
        <v>206</v>
      </c>
      <c r="F38" s="39" t="str">
        <f t="shared" si="1"/>
        <v>WRONG</v>
      </c>
      <c r="G38" s="39" t="s">
        <v>48</v>
      </c>
      <c r="H38" s="54" t="s">
        <v>36</v>
      </c>
      <c r="I38" s="53" t="s">
        <v>492</v>
      </c>
      <c r="J38" s="55">
        <v>25801.0</v>
      </c>
    </row>
    <row r="39" ht="60.0" customHeight="1">
      <c r="A39" s="39">
        <v>36.0</v>
      </c>
      <c r="B39" s="40" t="s">
        <v>208</v>
      </c>
      <c r="C39" s="40" t="s">
        <v>209</v>
      </c>
      <c r="D39" s="40" t="s">
        <v>210</v>
      </c>
      <c r="E39" s="40" t="s">
        <v>211</v>
      </c>
      <c r="F39" s="39" t="str">
        <f t="shared" si="1"/>
        <v>CORRECT</v>
      </c>
      <c r="G39" s="39" t="s">
        <v>36</v>
      </c>
      <c r="H39" s="54" t="s">
        <v>36</v>
      </c>
      <c r="I39" s="53" t="s">
        <v>493</v>
      </c>
      <c r="J39" s="55">
        <v>42808.0</v>
      </c>
    </row>
    <row r="40" ht="60.0" customHeight="1">
      <c r="A40" s="39">
        <v>37.0</v>
      </c>
      <c r="B40" s="40" t="s">
        <v>213</v>
      </c>
      <c r="C40" s="40" t="s">
        <v>214</v>
      </c>
      <c r="D40" s="40" t="s">
        <v>215</v>
      </c>
      <c r="E40" s="40" t="s">
        <v>216</v>
      </c>
      <c r="F40" s="39" t="str">
        <f t="shared" si="1"/>
        <v>CORRECT</v>
      </c>
      <c r="G40" s="39" t="s">
        <v>36</v>
      </c>
      <c r="H40" s="54" t="s">
        <v>36</v>
      </c>
      <c r="I40" s="53" t="s">
        <v>494</v>
      </c>
      <c r="J40" s="55">
        <v>21605.0</v>
      </c>
    </row>
    <row r="41" ht="60.0" customHeight="1">
      <c r="A41" s="39">
        <v>38.0</v>
      </c>
      <c r="B41" s="40" t="s">
        <v>218</v>
      </c>
      <c r="C41" s="40" t="s">
        <v>219</v>
      </c>
      <c r="D41" s="40" t="s">
        <v>220</v>
      </c>
      <c r="E41" s="40" t="s">
        <v>221</v>
      </c>
      <c r="F41" s="39" t="str">
        <f t="shared" si="1"/>
        <v>CORRECT</v>
      </c>
      <c r="G41" s="39" t="s">
        <v>36</v>
      </c>
      <c r="H41" s="55" t="s">
        <v>36</v>
      </c>
      <c r="I41" s="53" t="s">
        <v>495</v>
      </c>
      <c r="J41" s="55">
        <v>21571.0</v>
      </c>
    </row>
    <row r="42" ht="60.0" customHeight="1">
      <c r="A42" s="39">
        <v>39.0</v>
      </c>
      <c r="B42" s="40" t="s">
        <v>223</v>
      </c>
      <c r="C42" s="40" t="s">
        <v>224</v>
      </c>
      <c r="D42" s="40" t="s">
        <v>225</v>
      </c>
      <c r="E42" s="40" t="s">
        <v>226</v>
      </c>
      <c r="F42" s="39" t="str">
        <f t="shared" si="1"/>
        <v>WRONG</v>
      </c>
      <c r="G42" s="39" t="s">
        <v>42</v>
      </c>
      <c r="H42" s="54" t="s">
        <v>464</v>
      </c>
      <c r="I42" s="53" t="s">
        <v>496</v>
      </c>
      <c r="J42" s="55">
        <v>44811.0</v>
      </c>
    </row>
    <row r="43" ht="60.0" customHeight="1">
      <c r="A43" s="39">
        <v>40.0</v>
      </c>
      <c r="B43" s="40" t="s">
        <v>228</v>
      </c>
      <c r="C43" s="40" t="s">
        <v>229</v>
      </c>
      <c r="D43" s="40" t="s">
        <v>230</v>
      </c>
      <c r="E43" s="40" t="s">
        <v>231</v>
      </c>
      <c r="F43" s="39" t="str">
        <f t="shared" si="1"/>
        <v>WRONG</v>
      </c>
      <c r="G43" s="39" t="s">
        <v>48</v>
      </c>
      <c r="H43" s="54" t="s">
        <v>42</v>
      </c>
      <c r="I43" s="53" t="s">
        <v>497</v>
      </c>
      <c r="J43" s="55">
        <v>26008.0</v>
      </c>
    </row>
    <row r="44" ht="60.0" customHeight="1">
      <c r="A44" s="39">
        <v>41.0</v>
      </c>
      <c r="B44" s="40" t="s">
        <v>233</v>
      </c>
      <c r="C44" s="40" t="s">
        <v>234</v>
      </c>
      <c r="D44" s="40" t="s">
        <v>235</v>
      </c>
      <c r="E44" s="40" t="s">
        <v>236</v>
      </c>
      <c r="F44" s="39" t="str">
        <f t="shared" si="1"/>
        <v>CORRECT</v>
      </c>
      <c r="G44" s="39" t="s">
        <v>42</v>
      </c>
      <c r="H44" s="54" t="s">
        <v>42</v>
      </c>
      <c r="I44" s="53" t="s">
        <v>498</v>
      </c>
      <c r="J44" s="55">
        <v>20660.0</v>
      </c>
    </row>
    <row r="45" ht="60.0" customHeight="1">
      <c r="A45" s="39">
        <v>42.0</v>
      </c>
      <c r="B45" s="40" t="s">
        <v>238</v>
      </c>
      <c r="C45" s="40" t="s">
        <v>239</v>
      </c>
      <c r="D45" s="40" t="s">
        <v>240</v>
      </c>
      <c r="E45" s="40" t="s">
        <v>241</v>
      </c>
      <c r="F45" s="39" t="str">
        <f t="shared" si="1"/>
        <v>WRONG</v>
      </c>
      <c r="G45" s="39" t="s">
        <v>36</v>
      </c>
      <c r="H45" s="54" t="s">
        <v>42</v>
      </c>
      <c r="I45" s="53" t="s">
        <v>499</v>
      </c>
      <c r="J45" s="55">
        <v>40709.0</v>
      </c>
    </row>
    <row r="46" ht="60.0" customHeight="1">
      <c r="A46" s="39">
        <v>43.0</v>
      </c>
      <c r="B46" s="40" t="s">
        <v>243</v>
      </c>
      <c r="C46" s="40" t="s">
        <v>244</v>
      </c>
      <c r="D46" s="40" t="s">
        <v>245</v>
      </c>
      <c r="E46" s="40" t="s">
        <v>246</v>
      </c>
      <c r="F46" s="39" t="str">
        <f t="shared" si="1"/>
        <v>WRONG</v>
      </c>
      <c r="G46" s="39" t="s">
        <v>48</v>
      </c>
      <c r="H46" s="54" t="s">
        <v>36</v>
      </c>
      <c r="I46" s="53" t="s">
        <v>500</v>
      </c>
      <c r="J46" s="55">
        <v>30808.0</v>
      </c>
    </row>
    <row r="47" ht="60.0" customHeight="1">
      <c r="A47" s="39">
        <v>44.0</v>
      </c>
      <c r="B47" s="40" t="s">
        <v>248</v>
      </c>
      <c r="C47" s="40" t="s">
        <v>249</v>
      </c>
      <c r="D47" s="40" t="s">
        <v>250</v>
      </c>
      <c r="E47" s="40" t="s">
        <v>251</v>
      </c>
      <c r="F47" s="39" t="str">
        <f t="shared" si="1"/>
        <v>CORRECT</v>
      </c>
      <c r="G47" s="39" t="s">
        <v>36</v>
      </c>
      <c r="H47" s="54" t="s">
        <v>36</v>
      </c>
      <c r="I47" s="53" t="s">
        <v>501</v>
      </c>
      <c r="J47" s="55">
        <v>28071.0</v>
      </c>
    </row>
    <row r="48" ht="60.0" customHeight="1">
      <c r="A48" s="39">
        <v>45.0</v>
      </c>
      <c r="B48" s="40" t="s">
        <v>253</v>
      </c>
      <c r="C48" s="40" t="s">
        <v>254</v>
      </c>
      <c r="D48" s="40" t="s">
        <v>255</v>
      </c>
      <c r="E48" s="40" t="s">
        <v>256</v>
      </c>
      <c r="F48" s="39" t="str">
        <f t="shared" si="1"/>
        <v>WRONG</v>
      </c>
      <c r="G48" s="39" t="s">
        <v>36</v>
      </c>
      <c r="H48" s="54" t="s">
        <v>48</v>
      </c>
      <c r="I48" s="53" t="s">
        <v>502</v>
      </c>
      <c r="J48" s="55">
        <v>26423.0</v>
      </c>
    </row>
    <row r="49" ht="60.0" customHeight="1">
      <c r="A49" s="39">
        <v>46.0</v>
      </c>
      <c r="B49" s="40" t="s">
        <v>258</v>
      </c>
      <c r="C49" s="40" t="s">
        <v>39</v>
      </c>
      <c r="D49" s="40" t="s">
        <v>259</v>
      </c>
      <c r="E49" s="40" t="s">
        <v>260</v>
      </c>
      <c r="F49" s="39" t="str">
        <f t="shared" si="1"/>
        <v>CORRECT</v>
      </c>
      <c r="G49" s="39" t="s">
        <v>36</v>
      </c>
      <c r="H49" s="54" t="s">
        <v>36</v>
      </c>
      <c r="I49" s="56" t="s">
        <v>503</v>
      </c>
      <c r="J49" s="55">
        <v>63310.0</v>
      </c>
    </row>
    <row r="50">
      <c r="A50" s="44" t="s">
        <v>262</v>
      </c>
      <c r="B50" s="2"/>
      <c r="C50" s="2"/>
      <c r="D50" s="2"/>
      <c r="E50" s="3"/>
      <c r="F50" s="45">
        <f>COUNTIFS(F4:F49,"CORRECT")</f>
        <v>26</v>
      </c>
      <c r="G50" s="46"/>
      <c r="H50" s="46"/>
      <c r="J50" s="47">
        <f>AVERAGE(J4:J49)</f>
        <v>34722.84783</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