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1_top0.5" sheetId="3" r:id="rId7"/>
    <sheet state="visible" name="seed10_temp0.1_top1.0" sheetId="4" r:id="rId8"/>
    <sheet state="visible" name="seed10_temp1.0_top0.1" sheetId="5" r:id="rId9"/>
    <sheet state="visible" name="seed10_temp1.0_top0.5" sheetId="6" r:id="rId10"/>
    <sheet state="visible" name="seed10_temp1.0_top1.0" sheetId="7" r:id="rId11"/>
    <sheet state="visible" name="seed10_temp2.0_top0.1" sheetId="8" r:id="rId12"/>
    <sheet state="visible" name="seed10_temp2.0_top0.5" sheetId="9" r:id="rId13"/>
    <sheet state="visible" name="seed10_temp2.0_top1.0" sheetId="10" r:id="rId14"/>
  </sheets>
  <definedNames/>
  <calcPr/>
</workbook>
</file>

<file path=xl/sharedStrings.xml><?xml version="1.0" encoding="utf-8"?>
<sst xmlns="http://schemas.openxmlformats.org/spreadsheetml/2006/main" count="3478" uniqueCount="542">
  <si>
    <t>SUMMARY RESULT BETWEEN TEST</t>
  </si>
  <si>
    <t>Temp</t>
  </si>
  <si>
    <t>Topp</t>
  </si>
  <si>
    <t>Parameters</t>
  </si>
  <si>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</si>
  <si>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</si>
  <si>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</si>
  <si>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</si>
  <si>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</si>
  <si>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</si>
  <si>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</si>
  <si>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</si>
  <si>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</si>
  <si>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</si>
  <si>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</si>
  <si>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</si>
  <si>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</si>
  <si>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</si>
  <si>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</si>
  <si>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</si>
  <si>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</si>
  <si>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</si>
  <si>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</si>
  <si>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</si>
  <si>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</si>
  <si>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</si>
  <si>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</si>
  <si>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</si>
  <si>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</si>
  <si>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</si>
  <si>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</si>
  <si>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</si>
  <si>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</si>
  <si>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</si>
  <si>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</si>
  <si>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</si>
  <si>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</si>
  <si>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at the adductor canal, at the level of the knee via the medial femoral condyle, below the knee with local infiltration distal to the medial condyle of the tibia, or above the medial malleolus of the foot."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</si>
  <si>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</si>
  <si>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</si>
  <si>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</si>
  <si>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</si>
  <si>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</si>
  <si>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right upper quadrant abdominal pain and nausea after receiving morphine and midazolam, which suggests that the pain may be related to spasm of the sphincter of Oddi. Naloxone is the most appropriate therapy for this patient's pain as it can reverse the effects of opioids and relieve the spasm of the sphincter of Oddi."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</si>
  <si>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</si>
  <si>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</si>
  <si>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</si>
  <si>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</si>
  <si>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</si>
  <si>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"In emergency situations, vigorous expansion of intra-vascular volume usually reduces serum calcium to a safe level (&lt;14 mg/dL). Normal saline is the most appropriate initial management to rapidly dilute the serum calcium level."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</si>
  <si>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</si>
  <si>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</si>
  <si>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</si>
  <si>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</si>
  <si>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malignant hyperthermia, making it the most reliable test to predict the likelihood of developing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</si>
  <si>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</si>
  <si>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</si>
  <si>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</si>
  <si>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</si>
  <si>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amount of sevoflurane added to the fresh gas flow. The vaporizer adds 40 mL/min of sevoflurane to the 100 mL/min of O2, making a total flow of 140 mL/min. This is then added to the fresh gas flow of 5 L/min, making the total gas flow 5.14 L/min. The delivered anesthetic concentration is then 40 mL/min / 5.14 L/min = 0.5%."
}</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</si>
  <si>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</si>
  <si>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</si>
  <si>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</si>
  <si>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</si>
  <si>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as it helps to reduce heat loss by constricting blood vessels and conserving heat in the core."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</si>
  <si>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</si>
  <si>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</si>
  <si>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</si>
  <si>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</si>
  <si>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even after flumazenil is administered to antagonize the effects of midazolam, the patient may still be at risk of experiencing prolonged sedation and respiratory depression, making it necessary to remain hospitalized for observation."
}</t>
  </si>
  <si>
    <t>Which of the following factors exerts the GREATEST effect on the extent of spread of local anesthetic following subarachnoid block with hyperbaric bupivacaine?</t>
  </si>
  <si>
    <t>A. Added epinephrine</t>
  </si>
  <si>
    <t>B. Patient position</t>
  </si>
  <si>
    <t>C. Total dose of drug</t>
  </si>
  <si>
    <t>{
 "Answer": "C",
 "Explain": "The total dose of drug is the most important factor that determines the extent of spread of local anesthetic following subarachnoid block with hyperbaric bupivacaine, as it directly affects the volume of the solution and the amount of anesthetic released into the cerebrospinal fluid."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</si>
  <si>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</si>
  <si>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</si>
  <si>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</si>
  <si>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</si>
  <si>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patient is experiencing pulmonary edema after resolution of postoperative laryngospasm, which is a type of postobstructive pulmonary edema. Furosemide is a diuretic that can help reduce pulmonary hydrostatic pressures and alleviate symptoms of pulmonary edema, making it the most appropriate management strategy in this situation."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</si>
  <si>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</si>
  <si>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</si>
  <si>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</si>
  <si>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</si>
  <si>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 is experiencing sharp pain in the left shoulder, which is an unusual symptom for inadequate spinal sensory level. The most likely cause is bladder perforation, which can lead to extravasation of irrigating solution and cause severe pain and discomfort."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</si>
  <si>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</si>
  <si>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</si>
  <si>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</si>
  <si>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</si>
  <si>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patient's SpO2 decreases from 99% to 90% and the partial pressure of ETCO2 increases from 38 to 43 mmHg, which suggests that there is a decrease in oxygenation and an increase in CO2 levels. The most likely cause of this is compression of the vena cava, which can lead to decreased lung perfusion and increased dead space ventilation, resulting in decreased oxygenation and increased CO2 levels."</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</si>
  <si>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</si>
  <si>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</si>
  <si>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</si>
  <si>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</si>
  <si>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patient's SpO2 is 90% on room air, indicating mild hypoxemia. The most likely cause of this is hypoventilation, as mentioned in the context, which is a common cause of postoperative hypoxemia in the PACU. The other options, absorption of CO2 from the abdomen and increased dead space, are not directly related to the patient's hypoxemia."</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</si>
  <si>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</si>
  <si>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</si>
  <si>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</si>
  <si>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</si>
  <si>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"Pressure support breaths in a patient receiving pressure support ventilation are triggered by a decrease in airway pressure, as the ventilator senses the patient's inspiratory effort and provides additional pressure support to help them breathe."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</si>
  <si>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</si>
  <si>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</si>
  <si>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</si>
  <si>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</si>
  <si>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increased heart rate needs to be accompanied by an increase in coronary perfusion pressure to ensure adequate oxygen delivery to the heart muscle."
}</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</si>
  <si>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</si>
  <si>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</si>
  <si>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</si>
  <si>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</si>
  <si>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value that is most likely to confirm adequate synthetic hepatic function because it measures the liver's ability to synthesize coagulation factors, which have shorter half-lives than albumin. A normal PT indicates that the liver is functioning adequately to produce these essential proteins."</t>
  </si>
  <si>
    <t>Which of the following strategies BEST prevents ventricular dysrhythmias in a patient undergoing extracorporeal shock wave lithotripsy?</t>
  </si>
  <si>
    <t>A. Beta-adrenergic blockade</t>
  </si>
  <si>
    <t>B. ECG synchronization</t>
  </si>
  <si>
    <t>C. Epidural blockade to T4</t>
  </si>
  <si>
    <t>{
 "Answer": "A",
 "Explain": "Beta-adrenergic blockade is the best strategy to prevent ventricular dysrhythmias in a patient undergoing extracorporeal shock wave lithotripsy as it can minimize the risk of sympathetic nervous system stimulation and cardiac arrest."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</si>
  <si>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</si>
  <si>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</si>
  <si>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</si>
  <si>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</si>
  <si>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has a coaxial design that allows fresh gas to enter the circuit at the patient's end, reducing the amount of rebreathing that occurs."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</si>
  <si>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</si>
  <si>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</si>
  <si>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</si>
  <si>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</si>
  <si>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a shift of the diaphragm cephalad, leading to a decrease in tidal volume and an increase in the distance between the capnograph waveform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</si>
  <si>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</si>
  <si>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</si>
  <si>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</si>
  <si>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</si>
  <si>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anesthesiologist should administer hydrocortisone, followed by cefazolin, as the patient has a history of a rash with penicillin administration, indicating a possible allergy, and cefazolin is a cephalosporin, which may cause cross-reactivity.”"</t>
  </si>
  <si>
    <t>Which of the following factors DECREASES the MAC of isoflurane?</t>
  </si>
  <si>
    <t>A. Acute cocaine intoxication</t>
  </si>
  <si>
    <t>B. Chronic ethanol abuse</t>
  </si>
  <si>
    <t>C. Symptomatic hyponatremia</t>
  </si>
  <si>
    <t>{
 "Answer": "C",
 "Explain": "Hyponatremia decreases MAC, as stated in the context."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</si>
  <si>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</si>
  <si>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</si>
  <si>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</si>
  <si>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</si>
  <si>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</si>
  <si>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</si>
  <si>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</si>
  <si>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</si>
  <si>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</si>
  <si>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in the oxyhemoglobin dissociation curve, which means that for the same partial pressure of oxygen, more oxygen is released from hemoglobin to the tissues."
}</t>
  </si>
  <si>
    <t>Which of the following findings is most likely to be DECREASED in a patient with clinical hypothyroidism?</t>
  </si>
  <si>
    <t>A. MAC</t>
  </si>
  <si>
    <t>B. Myocardial contractility</t>
  </si>
  <si>
    <t>C. Peripheral vascular tone</t>
  </si>
  <si>
    <t>{
 "Answer": "B",
 "Explain": "In clinical hypothyroidism, there is a decrease in myocardial contractility, leading to a decrease in cardiac output and peripheral resistance, which is reflected in a decrease in peripheral vascular tone."
}</t>
  </si>
  <si>
    <t>Which of the following anesthetic drugs is MOST likely to be associated with longer seizure duration when used for electroconvulsive therapy?</t>
  </si>
  <si>
    <t>A. Etomidate</t>
  </si>
  <si>
    <t>B. Methohexital</t>
  </si>
  <si>
    <t>C. Propofol</t>
  </si>
  <si>
    <t>{
 "Answer": "B",
 "Explain": "Methohexital is the drug of choice for providing anesthesia during electroconvulsive therapy, and its longer duration of action is likely to be associated with longer seizure duration."
}</t>
  </si>
  <si>
    <t>Which of the following drugs does NOT cause enhanced activity of the GABA receptor?</t>
  </si>
  <si>
    <t>B. Ketamine</t>
  </si>
  <si>
    <t>{
 "Answer": C,
 "Explain": "Propofol does not cause enhanced activity of the GABA receptor, unlike etomidate and ketamine, which both have been shown to have this effect."
}</t>
  </si>
  <si>
    <t>Which of the following components is MISPLACED in the circle system shown in the above illustration?</t>
  </si>
  <si>
    <t>A. Fresh gas inlet</t>
  </si>
  <si>
    <t>B. CO2 absorber</t>
  </si>
  <si>
    <t>C. Expiratory valve</t>
  </si>
  <si>
    <t>{
 "Answer": "B",
 "Explain": "The CO2 absorber is misplaced in the inspiratory phase, as it is supposed to be in the expiratory phase, where it absorbs the exhaled CO2 gas."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</si>
  <si>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</si>
  <si>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</si>
  <si>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</si>
  <si>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</si>
  <si>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is typically associated with a drug that has low plasma protein binding, as it is not bound to proteins in the blood and is therefore able to distribute widely throughout the body."
}</t>
  </si>
  <si>
    <t>Which of the following drugs has the LONGEST duration of action in a patient with renal failure?</t>
  </si>
  <si>
    <t>A. Neostigmine</t>
  </si>
  <si>
    <t>B. Rocuronium</t>
  </si>
  <si>
    <t>C. Succinylcholine</t>
  </si>
  <si>
    <t>{
 "Answer": "C",
 "Explain": "Succinylcholine is not contraindicated in severe renal failure when plasma K+ concentrations are within the normal range, and the duration of action of NMBDs may be prolonged in patients with renal failure. However, the text does not specify which NMBD has the longest duration of action in patients with renal failure, but it does mention that the elimination half-life of pancuronium is increased by 500% in patients with renal failure, and the elimination half-life of rocuronium is increased in renal failure because of an increase in the volume of distribution with no change in clearance. Therefore, it can be inferred that rocuronium has the longest duration of action in patients with renal failure."</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</si>
  <si>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</si>
  <si>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</si>
  <si>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</si>
  <si>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</si>
  <si>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located in the trachea and innervates the larynx."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</si>
  <si>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</si>
  <si>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</si>
  <si>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</si>
  <si>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</si>
  <si>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supplies sensory innervation to the larynx and is responsible for the gag reflex."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</si>
  <si>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</si>
  <si>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</si>
  <si>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</si>
  <si>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</si>
  <si>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because anesthesia-induced vasodilation leads to a decrease in heat conservation and an increase in heat loss, resulting in a passive decrease in body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</si>
  <si>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</si>
  <si>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</si>
  <si>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</si>
  <si>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</si>
  <si>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when FiO2 was 0.5, and then improved to 92% when FiO2 was increased to 1.0. This suggests that the patient's hypoxemia was caused by a lack of oxygen in the alveoli, which was resolved by increasing the FiO2. This is consistent with decreased functional residual capacity (FRC), which is a common cause of hypoxemia in older adults."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</si>
  <si>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</si>
  <si>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</si>
  <si>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</si>
  <si>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</si>
  <si>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block has reached the distal trunk-proximal division level of the brachial plexus. To block the remaining area, the next step would be to target the intercostobrachial nerve, which is responsible for tourniquet pain, and can be blocked with a subcutaneous injection in the axilla."</t>
  </si>
  <si>
    <t>Which of the following mechanisms is PRIMARILY responsible for emergence after a single dose of propofol?</t>
  </si>
  <si>
    <t>A. Redistribution</t>
  </si>
  <si>
    <t>B. Metabolism</t>
  </si>
  <si>
    <t>C. Excretion</t>
  </si>
  <si>
    <t>{
 "Answer": "A",
 "Explain": "Redistribution is primarily responsible for emergence after a single dose of propofol because of its rapid clearance, exceeding liver blood flow, which leads to extrahepatic metabolism, mainly in the kidneys, and rapid elimination."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</si>
  <si>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</si>
  <si>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</si>
  <si>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</si>
  <si>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</si>
  <si>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the O2 analyzer reading decreased from 50% to 30%. This is likely due to the accumulation of water on the O2 sensor membrane, which can cause a decrease in the O2 reading."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</si>
  <si>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</si>
  <si>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</si>
  <si>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</si>
  <si>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</si>
  <si>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intense analgesia and amnesia, despite appearing to be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</si>
  <si>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</si>
  <si>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</si>
  <si>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</si>
  <si>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</si>
  <si>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is the most likely explanation for its decreased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</si>
  <si>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</si>
  <si>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</si>
  <si>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</si>
  <si>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</si>
  <si>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spread of the sample means around the true population mean. It measures the amount of variation in the sample means that can be expected due to random sampling error."
}</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</si>
  <si>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</si>
  <si>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</si>
  <si>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</si>
  <si>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</si>
  <si>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the presence of carboxyhemoglobinemia because carboxyhemoglobin has an absorbance of light that is different from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</si>
  <si>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</si>
  <si>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</si>
  <si>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</si>
  <si>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</si>
  <si>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"The patient is receiving a 4-hour general anesthetic for a surgical procedure, and their fasting blood glucose level is 100 mg/dL. This suggests that their glucose level is already within a normal range. Given the duration of anesthesia and the normal starting glucose level, it is likely that the patient's glucose level will remain stable or mildly elevated, but not significantly changed, on emergence."
}</t>
  </si>
  <si>
    <t>Which of the following drugs INCREASES gastric pH while decreasing gastric volume?</t>
  </si>
  <si>
    <t>A. Glycopyrrolate</t>
  </si>
  <si>
    <t>B. Metoclopramide</t>
  </si>
  <si>
    <t>C. Ranitidine</t>
  </si>
  <si>
    <t>{
 "Answer": "C",
 "Explain": "Ranitidine increases gastric pH while decreasing gastric volume by acting as an H2 receptor antagonist, which reduces gastric acid secretion and increases the pH of gastric contents."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</si>
  <si>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</si>
  <si>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</si>
  <si>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</si>
  <si>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</si>
  <si>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more easily released from the bloodstream and into the lungs, allowing for a more rapid equilibration of alveolar and inspired concentrations."
}</t>
  </si>
  <si>
    <t>Which of the following goals is the PRIMARY purpose of denitrogenation prior to anesthetic induction?</t>
  </si>
  <si>
    <t>A. Improving matching of ventilation and perfusion</t>
  </si>
  <si>
    <t>B. Increasing O2 reserve in the FRC</t>
  </si>
  <si>
    <t>C. Maximizing arterial O2 content</t>
  </si>
  <si>
    <t>{
 "Answer": "A",
 "Explain": "The primary purpose of denitrogenation prior to anesthetic induction is to improve matching of ventilation and perfusion, which increases the duration of apnea without oxygen desaturation by filling the functional residual capacity with oxygen, thus increasing the patient's reserve of oxygen while apneic."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</si>
  <si>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</si>
  <si>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</si>
  <si>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</si>
  <si>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</si>
  <si>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which is likely to cause hoarseness (aphonia) due to the unilateral loss of vocal cord abduction, resulting in the affected vocal cord assuming a paramedian position."
}</t>
  </si>
  <si>
    <t>Which of the following values, in mmHg, is the expected mixed venous O2 tension in a normal adult after breathing 100% O2 for 10 minutes?</t>
  </si>
  <si>
    <t>A. 45</t>
  </si>
  <si>
    <t>B. 95</t>
  </si>
  <si>
    <t>C. 150</t>
  </si>
  <si>
    <t>{
 "Answer": "A",
 "Explain": "Normal mixed venous O2 tension in a normal adult is 40 mmHg, and after breathing 100% O2 for 10 minutes, the expected mixed venous O2 tension would be lower, around 45 mmHg."
}</t>
  </si>
  <si>
    <t>Which of the following drugs has the SHORTEST elimination half-life?</t>
  </si>
  <si>
    <t>B. Lorazepam</t>
  </si>
  <si>
    <t>C. Midazolam</t>
  </si>
  <si>
    <t>{
 "Answer": "A",
 "Explain": "According to the context, flumazenil has a very rapid clearance and short elimination half-life, making it the shortest-lived of all benzodiazepines used in anesthetic practice, with a plasma half-life of I."
}</t>
  </si>
  <si>
    <t>TOTAL CORRECT ANSWERS</t>
  </si>
  <si>
    <t>TOTAL QUESTIONS</t>
  </si>
  <si>
    <t>RATIO</t>
  </si>
  <si>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</si>
  <si>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</si>
  <si>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"To find the delivered anesthetic concentration, we need to calculate the amount of sevoflurane added to the fresh gas flow. The vaporizer adds 40 mL/min of sevoflurane to the 100 mL/min of O2, making a total flow of 140 mL/min. This is then mixed with the fresh gas flow of 5 L/min, resulting in a delivered anesthetic concentration of 0.5% (40 mL/min / 8 L/min total flow)."</t>
  </si>
  <si>
    <t>{
 "Answer": "C",
 "Explain": "Vasoconstriction is the most effective physiologic mechanism for maintaining body temperature in this patient with mild hypothermia, as it helps to reduce heat loss by constricting blood vessels and conserving heat in the core."
}</t>
  </si>
  <si>
    <t>{
 "Answer": "A",
 "Explain": "Flumazenil has low affinity for benzodiazepine receptors, which means it does not have a strong binding to the receptors, allowing the patient to remain hospitalized for observation to ensure they are fully awake and alert."
}</t>
  </si>
  <si>
    <t>{
 "Answer": "B",
 "Explain": "The patient is experiencing pulmonary edema after resolution of postoperative laryngospasm, which is a type of postobstructive pulmonary edema. The most appropriate management is to administer furosemide to help reduce pulmonary hydrostatic pressures and alleviate the edema."
}</t>
  </si>
  <si>
    <t>{
 "Answer": "B",
 "Explain": "The patient is experiencing sharp pain in the left shoulder, which is an unusual symptom for inadequate spinal sensory level. The most likely cause is bladder perforation, which can lead to extravasation of irrigating solution and cause severe pain in the shoulder."
}</t>
  </si>
  <si>
    <t>{
 "Answer": "B",
 "Explain": "The patient's SpO2 decreased from 99% to 90% and the partial pressure of ETCO2 increased from 38 to 43 mmHg. This suggests that there is a mismatch between oxygen delivery and consumption, which is consistent with compression of the vena cava, a common complication in the Trendelenburg position."
}</t>
  </si>
  <si>
    <t>{
 "Answer": "B",
 "Explain": "The patient is receiving IV PCA with morphine, which can cause hypoventilation. Additionally, the patient has obesity, which is a known risk factor for postoperative hypoxemia. Given that the patient's SpO2 is 90% on room air, the most likely cause of her hypoxemia is hypoventilation, which is a common cause of postoperative hypoxemia in the PACU."
}</t>
  </si>
  <si>
    <t>{
 "Answer": "B",
 "Explain": "To satisfy the increased metabolic demand of the myocardium, the increased heart rate from 60 bpm to 120 bpm requires increased coronary perfusion pressure to deliver more oxygen and nutrients to the heart muscle."
}</t>
  </si>
  <si>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</si>
  <si>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</si>
  <si>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right upper quadrant abdominal pain and nausea after receiving morphine and midazolam, which suggests that the pain may be related to spasm of the sphincter of Oddi. According to the context, intraoperative spasm of the sphincter of Oddi can be treated with naloxone, making it the most appropriate therapy for this patient's pain."
}</t>
  </si>
  <si>
    <t>{
 "Answer": "B",
 "Explain": "In emergency situations, vigorous expansion of intra-vascular volume usually reduces serum calcium to a safe level (&lt;14 mg/dL). Normal saline is the most appropriate initial management to rapidly dilute the serum calcium concentration."
}</t>
  </si>
  <si>
    <t>{
 "Answer": "B",
 "Explain": "To find the delivered anesthetic concentration, we need to calculate the amount of sevoflurane added to the fresh gas flow. The vaporizer adds 40 mL/min of sevoflurane to the 100 mL/min of O2, making a total flow of 140 mL/min. This is then mixed with the fresh gas flow of 5 L/min, resulting in a delivered anesthetic concentration of 0.5% (40 mL/min / 8 L/min)."
}</t>
  </si>
  <si>
    <t>{
 "Answer": "A",
 "Explain": "Flumazenil has low affinity for benzodiazepine receptors, which means it does not have a strong binding to the receptors, allowing the patient to remain sedated and potentially experience rebound sedation and respiratory suppression if sent home too soon."
}</t>
  </si>
  <si>
    <t>{
 "Answer": "B",
 "Explain": "The patient is experiencing pulmonary edema after resolution of postoperative laryngospasm, which is a non-cardiogenic cause. Furosemide is a diuretic that can help reduce fluid overload and alleviate symptoms of pulmonary edema, making it the most appropriate management strategy in this case."
}</t>
  </si>
  <si>
    <t>{
 "Answer": "B",
 "Explain": "The patient is experiencing sudden onset of nausea, diaphoresis, and sharp pain in the left shoulder, which are not typical symptoms of inadequate spinal sensory level. The symptoms are more consistent with bladder perforation, which can cause irritation of the peritoneum and lead to referred pain in the shoulder."
}</t>
  </si>
  <si>
    <t>{
 "Answer": "B",
 "Explain": "The patient's SpO2 decreases from 99% to 90% and the partial pressure of ETCO2 increases from 38 to 43 mmHg. This suggests that there is a decrease in oxygenation and an increase in CO2 production. Compression of the vena cava, which can occur in the Trendelenburg position, is the most likely cause of this combination of changes, as it can lead to decreased venous return and decreased oxygen delivery to the tissues."</t>
  </si>
  <si>
    <t>{
 "Answer": "B",
 "Explain": "The patient's SpO2 is 90% on room air, which suggests that she is not severely hypoxemic. The most likely cause of her hypoxemia is hypoventilation, as the text states that atelectasis and alveolar hypoventilation are the most common causes of postoperative hypoxemia in the PACU, and the patient is receiving IV PCA with morphine, which can cause respiratory depression."</t>
  </si>
  <si>
    <t>{
 "Answer": "B",
 "Explain": "Prothrombin time (PT) is a laboratory value that is most likely to confirm adequate synthetic hepatic function. This is because the liver synthesizes coagulation factors in great excess, and the PT will remain normal until significant hepatic impairment occurs, making it a sensitive indicator of liver synthetic function."
}</t>
  </si>
  <si>
    <t>{
 "Answer": "A",
 "Explain": "Compared to a semiclosed circle system, a Bain circuit exhibits less rebreathing of CO2 because it has a coaxial design that allows for the venting of exhaled gases through the pop-off valve near the reservoir bag, reducing the amount of rebreathing that occurs."
}</t>
  </si>
  <si>
    <t>{
 "Answer": "C",
 "Explain": "The patient is in the lateral position, which can cause a shift of the diaphragm cephalad, leading to a decrease in tidal volume and an increase in the distance between the capnograph waveform's points A and B."
}</t>
  </si>
  <si>
    <t>{
 "Answer": "C",
 "Explain": "Hyperthermia causes a rightward shift in the oxyhemoglobin dissociation curve, allowing for more efficient unloading of oxygen in the tissues."
}</t>
  </si>
  <si>
    <t>{
 "Answer": "B",
 "Explain": "Methohexital is the drug of choice for providing anesthesia during electroconvulsive therapy, and it is associated with a longer seizure duration compared to other anesthetics."
}</t>
  </si>
  <si>
    <t>{
 "Answer": "B",
 "Explain": "The CO2 absorber is typically placed between the inspiratory and expiratory valves in a circle system, not outside of it, as shown in the illustration."
}</t>
  </si>
  <si>
    <t>{
 "Answer": "C",
 "Explain": "According to the context, succinylcholine is not contraindicated in severe renal failure when plasma K+ concentrations are within the normal range. However, the duration of action of NMBDs may be prolonged in patients with renal failure. Among the options, rocuronium has the longest duration of action in renal failure patients, as its elimination half-life is increased due to an increase in the volume of distribution with no change in clearance."</t>
  </si>
  <si>
    <t>{
 "Answer": "A",
 "Explain": "During general anesthesia, the initial reduction in core temperature is most likely due to the ablation of thermoregulatory vasoconstriction, which is a natural response to cold stress. As a result, the body's ability to maintain its normal temperature is impaired, leading to a decrease in core temperature."
}</t>
  </si>
  <si>
    <t>{
 "Answer": "A",
 "Explain": "The patient's SpO2 decreased from 98% to 84% when FiO2 was 0.5, and then improved to 92% when FiO2 was increased to 1.0. This suggests that the patient's hypoxemia was caused by a lack of oxygen in the alveoli, which was resolved by increasing the FiO2. This is consistent with decreased FRC, which can lead to hypoxemia due to intrapulmonary right-to-left shunting of blood or alveolar overdistention with increased dead space and decreased CO2 elimination."</t>
  </si>
  <si>
    <t>{
 "Answer": "B",
 "Explain": "The patient has complete anesthesia in the median, radial, and ulnar nerve distributions after a supraclavicular block, which suggests that the block has extended distally to the level of the cords of the brachial plexus. To provide adequate anesthesia for the remaining procedure, an additional block of the intercostobrachial nerve, which is responsible for tourniquet pain, would be the most appropriate next step."</t>
  </si>
  <si>
    <t>{
 "Answer": "B",
 "Explain": "After 30 minutes of stable anesthesia, the O2 analyzer reading decreased from 50% to 30%. This could be due to the accumulation of water on the O2 sensor membrane, which would reduce the accuracy of the reading, causing a false decrease in O2 concentration."
}</t>
  </si>
  <si>
    <t>{
 "Answer": "A",
 "Explain": "After an induction dose of ketamine, patients appear to be in a cataleptic state with intense analgesia and amnesia, despite appearing awake."
}</t>
  </si>
  <si>
    <t>{
 "Answer": "B",
 "Explain": "Pulse oximetry does not accurately reflect SaO2 in situations with carboxyhemoglobinemia because carboxyhemoglobin has an absorbance of light that is different from oxyhemoglobin, leading to falsely high SpO2 readings."
}</t>
  </si>
  <si>
    <t>{
 "Answer": "B",
 "Explain": "The patient is receiving a 4-hour general anesthetic for a surgical procedure, and their fasting blood glucose level is 100 mg/dL. This suggests that the patient's glucose level is already within a normal range. Given the duration of anesthesia and the patient's normal glucose level, it is likely that their glucose level will remain stable or mildly elevated on emergence, making option B, mild hyperglycemia, the most likely outcome."</t>
  </si>
  <si>
    <t>{
 "Answer": "C",
 "Explain": "Nitrous oxide has a lower blood gas solubility compared to desflurane, which means it is more easily released from the bloodstream and into the lungs, allowing for a faster equilibration of alveolar and inspired concentrations."
}</t>
  </si>
  <si>
    <t>{
 "Answer": "B",
 "Explain": "A 32-year-old woman sustains an injury to the left recurrent laryngeal nerve during thyroidectomy, which is likely to cause unilateral nerve injury characterized by hoarseness, whereas aphonia characterizes bilateral nerve injury."
}</t>
  </si>
  <si>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</si>
  <si>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</si>
  <si>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</si>
  <si>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t>{
 "Answer": "B",
 "Explain": "The patient's SpO2 decreased from 99% to 90% and the partial pressure of ETCO2 increased from 38 to 43 mmHg. This suggests that there is a decrease in oxygenation and an increase in CO2 production. Compression of the vena cava, which can occur in the Trendelenburg position, is the most likely cause of this combination of changes, as it can lead to decreased venous return and decreased cardiac output, resulting in decreased oxygenation and increased CO2 production."</t>
  </si>
  <si>
    <t>{
 "Answer": "B",
 "Explain": "The patient is receiving IV PCA with morphine, which can cause hypoventilation. Additionally, the patient has obesity, which is a known risk factor for postoperative hypoxemia. Given that the patient's SpO2 is 90% on room air, hypoventilation is the most likely cause of her hypoxemia."
}</t>
  </si>
  <si>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</si>
  <si>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</si>
  <si>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has developed right upper quadrant abdominal pain and nausea after receiving morphine and midazolam, which may be due to sphincter of Oddi spasm. Naloxone is the most appropriate therapy to treat this condition as it can reverse the spasm and alleviate the symptoms."
}</t>
  </si>
  <si>
    <t>{
 "Answer": "B",
 "Explain": "In emergency situations, vigorous expansion of intra-vascular volume usually reduces serum calcium to a safe level (&lt;14 mg/dL). Normal saline is the most appropriate initial management to rapidly expand the patient's intravascular volume and reduce serum calcium levels."</t>
  </si>
  <si>
    <t>{
 "Answer": "C",
 "Explain": "The caffeine-halothane contracture test has the highest sensitivity and specificity for malignant hyperthermia, making it the most reliable test in predicting the likelihood of a patient developing the condition."
}</t>
  </si>
  <si>
    <t>{
 "Answer": "A",
 "Explain": "To find the delivered anesthetic concentration, we need to calculate the amount of sevoflurane added to the fresh gas flow. We know that 150 mL/min of oxygen flows through the vaporizer and that sevoflurane makes up 21% of the gas flowing out of the vaporizer. Using the proportion, we can calculate that 40 mL/min of sevoflurane is added to the fresh gas flow. The fresh gas flow is 5 L/min, so the delivered anesthetic concentration is 40 mL/min / 5 L/min = 0.25%."</t>
  </si>
  <si>
    <t>{
 "Answer": "C",
 "Explain": "Vasoconstriction is the most effective physiologic mechanism for maintaining body temperature in this patient with mild hypothermia, as it helps to reduce heat loss and conserve body heat."</t>
  </si>
  <si>
    <t>{
 "Answer": "A",
 "Explain": "Flumazenil has low affinity for benzodiazepine receptors, which means it can easily displace midazolam from its binding site, allowing the patient to awaken quickly. However, this also means that the patient may still be sedated and at risk of serious recurrent sedation within 2 hours after a 1-mg reversal dose of flumazenil, making it necessary to remain hospitalized for observation."</t>
  </si>
  <si>
    <t>{
 "Answer": "C",
 "Explain": "The total dose of drug is the most significant factor in determining the extent of spread of local anesthetic following subarachnoid block with hyperbaric bupivacaine, as it directly influences the volume of the injectate and the amount of anesthetic that spreads within the cerebrospinal fluid."
}</t>
  </si>
  <si>
    <t>{
 "Answer": "B",
 "Explain": "The patient is experiencing pulmonary edema after resolution of postoperative laryngospasm, and the most appropriate management is to administer furosemide to help reduce pulmonary hydrostatic pressures and alleviate the edema."
}</t>
  </si>
  <si>
    <t>{
 "Answer": "B",
 "Explain": "The patient is experiencing sharp pain in the left shoulder, which is an unusual symptom for inadequate spinal sensory level. The sudden onset of nausea, diaphoresis, and sharp pain in the left shoulder suggests a more severe complication, such as bladder perforation, which is a life-threatening emergency."
}</t>
  </si>
  <si>
    <t>{
 "Answer": "B",
 "Explain": "The patient's SpO2 decreased from 99% to 90% and ETCO2 increased from 38 to 43 mmHg, which suggests that there is a mismatch between ventilation and perfusion. The most likely cause is compression of the vena cava, which can lead to decreased perfusion of the lungs and subsequent hypoxemia."
}</t>
  </si>
  <si>
    <t>{
 "Answer": "B",
 "Explain": "Two hours after a laparoscopic cholecystectomy, the patient is receiving IV PCA with morphine, which can cause hypoventilation. Additionally, the patient has obesity, which is also a risk factor for hypoventilation. Therefore, the most likely cause of her hypoxemia is hypoventilation."
}</t>
  </si>
  <si>
    <t>{
 "Answer": "A",
 "Explain": "Pressure support breaths in a patient receiving pressure support ventilation are triggered by a decrease in airway pressure, as the ventilator senses the patient's inspiratory effort and provides additional pressure support to assist their breathing."
}</t>
  </si>
  <si>
    <t>{
 "Answer": "B",
 "Explain": "During an increase in heart rate from 60 bpm to 120 bpm, the increased metabolic demand of the myocardium needs to be satisfied. Increased coronary perfusion pressure is the most likely factor to satisfy this increased demand, as it ensures a greater amount of oxygen-rich blood reaches the myocardium."
}</t>
  </si>
  <si>
    <t>{
 "Answer": "A",
 "Explain": "Beta-adrenergic blockade is the best strategy to prevent ventricular dysrhythmias in a patient undergoing extracorporeal shock wave lithotripsy as it can minimize the risk of sympathetic nervous system stimulation and subsequent ventricular dysrhythmias."
}</t>
  </si>
  <si>
    <t>{
 "Answer": "A",
 "Explain": "Compared to a semiclosed circle system, a Bain circuit exhibits less rebreathing of CO2 because it allows for more efficient removal of exhaled gases and reduces the amount of rebreathed gases."
}</t>
  </si>
  <si>
    <t>{
 "Answer": "C",
 "Explain": "The patient is in the lateral position, which can cause the dependent lung to be compressed, leading to a decrease in tidal volume and a characteristic capnograph waveform between points A and B."
}</t>
  </si>
  <si>
    <t>{
 "Answer": "B",
 "Explain": "“The anesthesiologist should administer hydrocortisone, followed by cefazolin, as the patient has a history of rash with penicillin administration, indicating a possible allergy, and cefazolin is a cephalosporin, which may cause cross-reactivity.”"</t>
  </si>
  <si>
    <t>{
 "Answer": "B",
 "Explain": "Chronic ethanol abuse decreases the MAC of isoflurane."
}</t>
  </si>
  <si>
    <t>{
 "Answer": "A",
 "Explain": "Bupivacaine blocks the release of norepinephrine, leading to a decrease in blood pressure and cardiac output, which is the primary toxic effect on the cardiovascular system."
}</t>
  </si>
  <si>
    <t>{
 "Answer": "B",
 "Explain": "In hypothyroidism, there is a decrease in myocardial contractility, leading to a decrease in cardiac output and peripheral resistance, which is reflected in a decrease in peripheral vascular tone."
}</t>
  </si>
  <si>
    <t>{
 "Answer": "B",
 "Explain": "Methohexital is the drug of choice for providing anesthesia during electroconvulsive therapy, and its longer duration of action is associated with a longer seizure duration."
}</t>
  </si>
  <si>
    <t>{
 "Answer": C,
 "Explain": "Propofol does not cause enhanced activity of the GABA receptor, whereas etomidate and ketamine do."
}</t>
  </si>
  <si>
    <t>{
 "Answer": "B",
 "Explain": "The CO2 absorber is misplaced in the inspiratory phase, as it is supposed to be in the expiratory phase, where it can effectively absorb the exhaled CO2 from the patient's breath."
}</t>
  </si>
  <si>
    <t>{
 "Answer": "C",
 "Explain": "A large volume of distribution is often associated with a low plasma protein binding, as the drug is not bound to proteins in the blood and is instead distributed throughout the body."
}</t>
  </si>
  <si>
    <t>{
 "Answer": "C",
 "Explain": "According to the context, all long-acting muscle relaxants are eliminated predominantly through the kidney, and renal failure is associated with reduced plasma clearance and increased elimination half-life for these drugs. Therefore, among the given options, succinylcholine (C) has the longest duration of action in a patient with renal failure."
}</t>
  </si>
  <si>
    <t>{
 "Answer": "C",
 "Explain": "Instillation of local anesthetic into the trachea via the cricothyroid membrane is most likely to block the recurrent laryngeal nerve, which is located in the trachea and supplies sensation to the larynx and trachea."
}</t>
  </si>
  <si>
    <t>{
 "Answer": "A",
 "Explain": "Gagging that occurs during awake intubation is best prevented by local anesthetic block of the superior laryngeal nerve, which supplies sensory innervation to the epiglottis and the upper part of the larynx."
}</t>
  </si>
  <si>
    <t>{
 "Answer": "A",
 "Explain": "Anesthesia-induced vasodilation leads to a reduction in thermoregulatory vasoconstriction, allowing for heat to be lost from the core to the periphery, resulting in a decrease in core temperature."
}</t>
  </si>
  <si>
    <t>{
 "Answer": "A",
 "Explain": "The patient's SpO2 decreased from 98% to 84% and then improved to 92% when FiO2 was increased to 1.0, suggesting that the decreased FRC is the most likely cause of his hypoxemia. This is because the patient's SpO2 improved with increased FiO2, which suggests that the hypoxemia was caused by a lack of oxygen in the alveoli, which is consistent with decreased FRC."</t>
  </si>
  <si>
    <t>{
 "Answer": "B",
 "Explain": "The patient requires additional anesthesia for the intercostobrachial nerve distribution, which is responsible for tourniquet pain, and an additional block of this nerve is necessary to provide adequate anesthesia for the procedure."</t>
  </si>
  <si>
    <t>{
 "Answer": "A",
 "Explain": "Redistribution is primarily responsible for emergence after a single dose of propofol, as it rapidly redistributes from the brain and other tissues back to the bloodstream, leading to a rapid decrease in plasma concentrations and a quick recovery from anesthesia."
}</t>
  </si>
  <si>
    <t>{
 "Answer": "B",
 "Explain": "After 30 minutes of stable anesthesia, the O2 analyzer reading decreased from 50% to 30%. This is likely due to the accumulation of water on the O2 sensor membrane, which can cause a decrease in the O2 reading over time."
}</t>
  </si>
  <si>
    <t>{
 "Answer": "C",
 "Explain": "Fentanyl has a shorter elimination half-life compared to morphine, which is the most likely explanation for the decreased duration of action of an IV dose of fentanyl."
}</t>
  </si>
  <si>
    <t>{
 "Answer": "A",
 "Explain": "The standard error of the mean shows the precision of the population mean, which is the spread of the sample means around the population mean, reflecting the degree of uncertainty in estimating the population mean from a sample."
}</t>
  </si>
  <si>
    <t>{
 "Answer": "B",
 "Explain": "A patient with a fasting blood glucose of 100 mg/dL is receiving a 4-hour general anesthetic for repair of tendon lacerations. The patient is not receiving insulin infusions, and the surgical procedure itself can cause a slight increase in blood glucose levels. Therefore, it is likely that the patient's blood glucose concentration will increase slightly, but not significantly, to around 110-120 mg/dL, which is mild hyperglycemia."</t>
  </si>
  <si>
    <t>{
 "Answer": "C",
 "Explain": "Ranitidine increases gastric pH while decreasing gastric volume by acting as an H2 receptor antagonist, which blocks the production of gastric acid and increases the pH of the stomach contents."
}</t>
  </si>
  <si>
    <t>{
 "Answer": "C",
 "Explain": "The lower blood gas solubility of nitrous oxide compared to desflurane allows it to equilibrate more rapidly with alveolar and inspired concentrations, as it is not as easily absorbed into the bloodstream, resulting in a faster rate of rise and offset of anesthesia."</t>
  </si>
  <si>
    <t>{
 "Answer": "A",
 "Explain": "The primary purpose of denitrogenation prior to anesthetic induction is to increase the duration of apnea without oxygen desaturation by filling the functional residual capacity with oxygen, thus increasing the patient's reserve of oxygen while apneic."
}</t>
  </si>
  <si>
    <t>{
 "Answer": "B",
 "Explain": "A 32-year-old woman sustains an injury to the left recurrent laryngeal nerve during thyroidectomy, which will affect the function of the left vocal cord. As a result, she is likely to experience aphonia, which is characterized by the inability to speak or make any sounds due to the paralysis of the affected vocal cord."</t>
  </si>
  <si>
    <t>{
 "Answer": "A",
 "Explain": "Normal mixed venous O2 tension in a normal adult is 40 mmHg, as stated in the context. After breathing 100% O2 for 10 minutes, the mixed venous O2 tension is expected to decrease due to the increased oxygen levels in the blood. A decrease of 5-10 mmHg is expected, so the expected mixed venous O2 tension would be around 30-35 mmHg, which is close to 45 mmHg, making choice A the most likely answer."
}</t>
  </si>
  <si>
    <t>{
 "Answer": "A",
 "Explain": "According to the context, flumazenil has a very rapid clearance and short elimination half-life, making it the shortest-lived of all benzodiazepines used in anesthetic practice, with a plasma half-life of I, which is shorter than midazolam and lorazepam."
}</t>
  </si>
  <si>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</si>
  <si>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</si>
  <si>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is the most likely to be blocked as it provides cutaneous innervation of the medial aspect of the leg and can be blocked at various levels, including the adductor canal, below the knee with local infiltration, or above the medial malleolus of the foot."</t>
  </si>
  <si>
    <t>{
"Answer": "C,
"Explain": "This patient's sudden development of right upper quadrant abdominal pain and nausea after receiving morphine and midazolam suggests sphincter of Oddi spasm, which can be treated with naloxone, a mu-opioid receptor antagonist."
}</t>
  </si>
  <si>
    <t>{
 "Answer": "B",
 "Explain": "The patient's serum calcium level is 15 mg/dL, which is higher than the desired level of less than 14 mg/dL. To rapidly lower this level, initial management should focus on IV administration of normal saline to expand blood volume, rather than magnesium sulfate or hydrocortisone."
}</t>
  </si>
  <si>
    <t>{
 "Answer": C,
 "Explain": "The caffeine-halothane contracture test is listed as the most reliable test in the provided context, with the highest sensitivity and specificity for detecting malignant hyperthermia susceptibility."
}</t>
  </si>
  <si>
    <t>{
 "Answer": A,
 "Explain": "To calculate the delivered anesthetic concentration, we need to find the volume of anesthetic (sevoflurane) added to the fresh gas flow. Given that the mixture flows through the vaporizer at a rate of 150 mL/min, and the sevoflurane vapor pressure is 157 mmHg, we can assume that the sevoflurane concentration is 21%. Therefore, the volume of sevoflurane added can be calculated as 40 mL/min, which is 0.25% of the total gas flow (40 mL/min / (150 mL/min + 5 L/min))."
}</t>
  </si>
  <si>
    <t>{
 Answer: "C",
 "Explain": "Vasoconstriction is the most effective physiologic mechanism for maintaining body temperature in an anesthetized patient with mild hypothermia. This is because hypothermia decreases the MAC of anesthetic, making it necessary to maintain body temperature to prevent shivering and maintain anesthesia. Vasoconstriction is a quicker and more effective response to maintain blood pressure and body temperature compared to shivering thermogenesis."
}</t>
  </si>
  <si>
    <t>{
 "Answer": "C",
 "Explain": "A 72-year-old man has just received midazolam for an endoscopic procedure and should remain hospitalized for observation because midazolam has a longer duration of action than flumazenil, and his sedation may not be easily reversed, posing a risk of recurrent sedation and respiratory depression."</t>
  </si>
  <si>
    <t>{
 "Answer": "B",
 "Explain": "Patient position, not dosing or added epinephrine, has the greatest effect on the extent of spread of local anesthetic following subarachnoid block with hyperbaric bupivacaine."
}</t>
  </si>
  <si>
    <t>{
 "Answer": "B",
 "Explanations": "Furosemide administration is the most appropriate management strategy in this case. The patient has developed pulmonary edema after laryngospasm, likely due to increased venous return secondary to negative intrathoracic pressure. Furosemide can help to treat this condition by increasing urine output and decreasing fluid load in the pulmonary circulation."</t>
  </si>
  <si>
    <t>{
 "Answer": "C",
 "Explain": "Given the rapid onset of symptoms, 45 minutes after the start of the procedure, and the description of sharp pain in the left shoulder, the most likely cause is an incomplete or inadequate spinal sensory level, which is a known complication of spinal anesthesia. This would cause symptoms such as nausea, diaphoresis, and pain, typically in the shoulder region."
}</t>
  </si>
  <si>
    <t>{
 "Answer": "B",
 "Explain": "During a 15-minute period, the patient's SpO2 decreased from 99% to 90%, and the partial pressure of ETCO2 increased from 38 to 43 mmHg. Since all ventilator settings remain constant, the most likely cause of the decrease in SpO2 is related to a decrease in alveolar ventilation, which is likely due to compression of the vena cava caused by the Trendelenburg position."
}</t>
  </si>
  <si>
    <t>{
 "Answer": "B",
 "Explain": "As a 45-year-old woman with obesity, the most likely cause of her hypoxemia is hypoventilation due to postoperative reasons such as obesity, anesthetic effects, and possibly surgical factors. Her SpO2 is 90%, which suggest mild hypoxemia, but according to the context, the most common causes of postoperative hypoxemia are atelectasis (shunt) and alveolar hypoventilation, both of which can lead to hypoxemia. In this case, hypoventilation is a more likely cause than increased dead space."</t>
  </si>
  <si>
    <t>{
 "Answer": "A",
 "Explain": "In pressure support ventilation, pressure support breaths are triggered by a decrease in airway pressure, which signals to the ventilator that the patient needs assistance with breathing."
}</t>
  </si>
  <si>
    <t>{
 "Answer": "B",
 "Explain": "During induction of anesthesia, the patient's heart rate increases from 60 to 120 bpm, which is likely due to tachycardia. To satisfy the increased metabolic demand of the myocardium, the anesthesiologist would want to increase coronary perfusion pressure. This is because the heart requires a higher supply of oxygenated blood to meet the increased demand caused by the increased heart rate, and increasing coronary perfusion pressure can help achieve this."</t>
  </si>
  <si>
    <t>{
 "Answer": "B",
 "Explain": "A normal prothrombin time (PT) is more likely to confirm adequate synthetic hepatic function as it measures the liver's ability to synthesize coagulation factors, which have shorter half-lives than albumin and are more sensitive to liver dysfunction. A prolonged PT can reflect acute liver failure more quickly than albumin."</t>
  </si>
  <si>
    <t>{
 "Answer": "B",
 "Explain": "Avoidance of premature atrial contractions and ventricular rhythms during extracorporeal shock wave lithotripsy to prevent ventricular dysrhythmias."</t>
  </si>
  <si>
    <t>{
 "Answer": "A",
 "Explain": "Compared to a semiclosed circle system, a Bain circuit exhibits less rebreathing of CO2 because the fresh gas enters the circuit at the patient's end, allowing for a lower CO2 concentration in the inspired gases, whereas in a semiclosed circle system, rebreathing occurs, resulting in a higher CO2 concentration."
}</t>
  </si>
  <si>
    <t>{
 "Answer": "C,
 "Explain": "The capnograph waveform shows a slow rising phase of CO2 levels, which indicates that the patient is not exhaling normally. This could be due to the patient being in the lateral position, which can cause decreased lung volume and a decrease in tidal volume, leading to a delayed CO2 clearance."</t>
  </si>
  <si>
    <t>{
"Answer": "B",
"Explain": "The anesthesiologist should consider administering hydrocortisone, followed by cefazolin, because the patient has a history of developing a rash with penicillin administration. The patient is undergoing a surgical procedure and the anesthesiologist should take precautions to ensure safe and effective antibiotic management."
}</t>
  </si>
  <si>
    <t>{
 "Answer": "B",
 "Explain": "Chronic ethanol abuse decreases MAC values, which means that it increases the potency of isoflurane."
}</t>
  </si>
  <si>
    <t>{
 "Answer": "A",
 "Explain": "Bupivacaine primarily affects the cardiovascular system by blocking norepinephrine release, leading to a decrease in blood pressure and cardiac contractility."
}</t>
  </si>
  <si>
    <t>{
 "Answer": "C",
 "Explain": "A increase in temperature causes a rightward shift in the oxyhemoglobin dissociation curve, allowing for more efficient release of oxygen to tissues."
}</t>
  </si>
  <si>
    <t>{
 "Answer": A,
 "Explain": "A decreased MAC (minimal alveolar concentration) is a common feature of clinical hypothyroidism, as hypothyroidism has been shown to be associated with increased sedation and decreased anesthetic requirements."
}</t>
  </si>
  <si>
    <t>{
 "Answer": C,
 "Explain": "Propofol is more likely to be associated with longer seizure duration when used for electroconvulsive therapy due to its characteristic of being a sedative-hypnotic agent that can cause prolonged recovery from anesthesia."
}</t>
  </si>
  <si>
    <t>{
 "Answer": "B",
 "Explain": "Ketamine is an N-methyl-D-aspartate (NMDA) receptor antagonist, and it does not enhance the activity of GABA receptors. Therefore, it is the correct answer."
}</t>
  </si>
  <si>
    <t>{
 Answer: "C",
 "Explain": "The expiratory valve is misaligned in the circle system illustration because it is shown as being closed, whereas it should be open to allow for exhalation of gases."
}</t>
  </si>
  <si>
    <t>{
"Answer": "C",
"Explain": "A large volume of distribution indicates that the drug distributes itself widely throughout the body, and since the new IV anesthetic is found to have a very large volume of distribution, it is most likely that it has a low plasma protein binding, meaning it is not strongly bound to plasma proteins."
}</t>
  </si>
  <si>
    <t>{
 "Answer": "B",
 "Explain": "Rocuronium has the longest duration of action in patients with renal failure because its elimination half-life is increased due to an increase in the volume of distribution with no change in clearance, making it a longer-lasting muscle relaxant in patients with renal failure."
}</t>
  </si>
  <si>
    <t>{
 "Answer": "C",
 "Explain": "Instillation of local anesthetic into the trachea via the cricothyroid membrane is MOST likely to block the recurrent laryngeal nerve."
}</t>
  </si>
  <si>
    <t>{
 "Answer": "A",
 "Explain": "Gagging during awake intubation is best prevented by local anesthetic block of the superior laryngeal nerve, which helps to reduce unpleasant sensations and gag reflexes during the procedure."
}</t>
  </si>
  <si>
    <t>{
"Answer": "A",
"Explain": "During general anesthesia, the brain's thermoregulatory centers are suppressed, leading to the inability to maintain normal body temperature. As a result, there is a reduction in core temperature due to the loss of vasoconstriction, allowing heat to escape from the core to the outer layers of the body."
}</t>
  </si>
  <si>
    <t>{
 "Answer": "A",
 "Explain": "The 65-kg, 70-year-old man's age and decreased FRC may have contributed to his initial hypoxemia, as the decreased FRC could lead to a decrease in PaO2. When his FiO2 was increased to 1.0, his SpO2 improved, but decreased PaO2 further decreases his PaO2 and led to further hypoxemia."
}</t>
  </si>
  <si>
    <t>{
 Answer: "B",
 "Explain": "The patient required two hours of tourniquet inflation for the completion of the procedure, indicating that the axillary and musculocutaneous nerves were already blocked. The most appropriate next step is to block the intercostobrachial nerve, which provides tourniquet pain."</t>
  </si>
  <si>
    <t>{
 "Answer": "C",
 "Explain": "Excretion, after a single dose of propofol, is responsible for a rapid clearance of the drug due to its primarily renal and, to a lesser extent, pulmonary metabolism, exceeding liver blood flow."
}</t>
  </si>
  <si>
    <t>{
 "Answer": "A",
 "Explain": "A leak in the ventilator bellows can cause a decrease in the O2 analyzer reading from 50% to 30%, as it reduces the airflow of oxygen gas, leading to a decrement in the overall oxygen concentration in the breathing circuit."</t>
  </si>
  <si>
    <t>{
"Answer": "A,
"Explain": "After an induction dose of ketamine, the patient appears to be in a cataleptic state with eyes remaining open, slow nystagmic gaze, preservation of cough, swallow, and corneal reflexes, and an intense analgesia and amnesia."</t>
  </si>
  <si>
    <t>{
 "Answer": "C",
 "Explain": "Fentanyl has a shorter elimination half-life than morphine, which is the most likely explanation for its decreased duration of action."
}</t>
  </si>
  <si>
    <t>{
 "Answer": "A",
 "Explain": "The standard error of the mean (SEM) shows the precision of the population mean, specifically the range in which the sample mean is likely to lie around the true population mean."
}</t>
  </si>
  <si>
    <t>{
 "Answer": "C",
 "Explain": "Pulse oximetry accurately reflects SaO2 in situations with a 40% fetal hemoglobin concentration because the device's assumption that only O2Hb and deO2Hb absorb light at the used wavelengths is still valid."
}</t>
  </si>
  <si>
    <t>{
 "Answer": "C",
 "Explain": "On emergence from anesthesia, the patient's blood glucose level is expected to remain stable or slightly decrease due to the anesthetic effect, as the glucose level was initially at 100 mg/dL and the anesthetic was not expected to cause significant glucose elevation."</t>
  </si>
  <si>
    <t>{
 "Answer": "C",
 "Explain": "Ranitidine increases gastric pH while decreasing gastric volume, making it one of the effective treatments for acid reflux disease."</t>
  </si>
  <si>
    <t>{
 "Answer": "C",
 "Explain": "The explaination is based on the principles of pharmacokinetics of anesthetic gases. Nitrous oxide has a lower blood gas solubility compared to desflurane, which means it can diffuse out of the blood more rapidly and equilibrate with the alveolar and inspired concentrations more quickly, leading to a more rapid onset and offset of anesthesia."
}</t>
  </si>
  <si>
    <t>{
 "Answer": "A",
 "Explain": "Preoxygenation is done to increase the time period the patient can safely be apneic before induction of anesthesia, achieving an end tidal oxygen level of about 90%, filling the functional residual capacity with oxygen and increasing the patient's reserve of oxygen while apneic."</t>
  </si>
  <si>
    <t>{
 "Answer": "B",
 "Explain": "A 32-year-old woman with a left recurrent laryngeal nerve injury will likely experience aphonia, or the inability to speak, due to paralysis of the left vocal cord, which would lead to breathy or hoarse speech and potentially life-threatening respiratory complications."
}</t>
  </si>
  <si>
    <t>{
 "Answer": "A",
 "Explain": "Breathing 100% oxygen for 10 minutes would significantly increase the PaO2, making it difficult to measure a direct mixed venous PO2. The normal mixed venous PO2 is 40 mm Hg. As the PaO2 increases, the mixed venous PO2 would decrease, but not drop as low as the actual value of 45 mmHg. This is because the oxygen extracted by tissues is proportional to the O2 gradient between the capillaries and the tissue. Therefore, a mixed venous PO2 of 45 mmHg is an expected value after breathing 100% O2 for 10 minutes."
}</t>
  </si>
  <si>
    <t>{
 "Answer": "A",
 "Explain": "According to the context, flumazenil has a very rapid clearance and short elimination half-life compared to other benzodiazepines, including midazolam and lorazepam."
}</t>
  </si>
  <si>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</si>
  <si>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</si>
  <si>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should be blocked at the adductor canal, at the level of the knee via the medial femoral condyle, below the knee with local infiltration distal to the medial condyle of the tibia, or above the medial malleolus of the foot." }</t>
  </si>
  <si>
    <t>{   "Answer": "C",   "Explain": "The patient is experiencing right upper quadrant abdominal pain and nausea after receiving morphine and midazolam, which suggests that the pain may be related to spasm of the sphincter of Oddi. Naloxone is the most appropriate therapy for this patient's pain as it can reverse the effects of opioids and relieve the spasm of the sphincter of Oddi." }</t>
  </si>
  <si>
    <t>{   "Answer": "B",   "Explain": "In emergency situations, vigorous expansion of intra-vascular volume usually reduces serum calcium to a safe level (&lt;14 mg/dL). Normal saline is the most appropriate initial management to rapidly dilute the serum calcium level." }</t>
  </si>
  <si>
    <t>{   "Answer": "C",   "Explain": "The caffeine-halothane contracture test has the highest sensitivity and specificity for malignant hyperthermia, making it the most reliable test to predict the likelihood of developing the condition." }</t>
  </si>
  <si>
    <t>{   "Answer": "B",   "Explain": "To find the delivered anesthetic concentration, we need to calculate the amount of sevoflurane added to the fresh gas flow. The vaporizer adds 40 mL/min of sevoflurane to the 100 mL/min of O2, making a total flow of 140 mL/min. This is then mixed with the fresh gas flow of 5 L/min, resulting in a delivered anesthetic concentration of 0.5% (40 mL/min / 8 L/min total flow)."</t>
  </si>
  <si>
    <t>{   "Answer": "C",   "Explain": "Vasoconstriction is the most effective physiologic mechanism for maintaining body temperature in this patient with mild hypothermia, as it helps to reduce heat loss by constricting blood vessels and conserving heat in the core." }</t>
  </si>
  <si>
    <t>{   "Answer": "A",   "Explain": "Flumazenil has low affinity for benzodiazepine receptors, which means it does not have a strong binding to the receptors, allowing the patient to remain hospitalized for observation to ensure they are fully awake and alert." }</t>
  </si>
  <si>
    <t>{   "Answer": "C",   "Explain": "The total dose of drug is the most important factor that determines the extent of spread of local anesthetic following subarachnoid block with hyperbaric bupivacaine, as it directly affects the volume of the solution and the amount of anesthetic released into the cerebrospinal fluid." }</t>
  </si>
  <si>
    <t>{   "Answer": "B",   "Explain": "The patient is experiencing pulmonary edema after resolution of postoperative laryngospasm, which is a type of postobstructive pulmonary edema. The most appropriate management is to administer furosemide to help reduce pulmonary hydrostatic pressures and alleviate the edema." }</t>
  </si>
  <si>
    <t>{   "Answer": "B",   "Explain": "The patient is experiencing sharp pain in the left shoulder, which is an unusual symptom for inadequate spinal sensory level. The most likely cause is bladder perforation, which can lead to extravasation of irrigating solution and cause severe pain in the shoulder." }</t>
  </si>
  <si>
    <t>{   "Answer": "B",   "Explain": "The patient's SpO2 decreased from 99% to 90% and the partial pressure of ETCO2 increased from 38 to 43 mmHg. This suggests that there is a decrease in oxygenation and an increase in CO2 production. Compression of the vena cava, which can occur in the Trendelenburg position, is the most likely cause of this combination of changes, as it can lead to decreased venous return and decreased cardiac output, resulting in decreased oxygenation and increased CO2 production."</t>
  </si>
  <si>
    <t>{   "Answer": "B",   "Explain": "The patient is receiving IV PCA with morphine, which can cause hypoventilation. Additionally, the patient has obesity, which is a known risk factor for postoperative hypoxemia. Given that the patient's SpO2 is 90% on room air, hypoventilation is the most likely cause of her hypoxemia." }</t>
  </si>
  <si>
    <t>{   "Answer": "A",   "Explain": "Pressure support breaths in a patient receiving pressure support ventilation are triggered by a decrease in airway pressure, as the ventilator senses the patient's inspiratory effort and provides additional pressure support to help them breathe." }</t>
  </si>
  <si>
    <t>{   "Answer": "B",   "Explain": "To satisfy the increased metabolic demand of the myocardium, the increased heart rate needs to be accompanied by an increase in coronary perfusion pressure to ensure adequate oxygen delivery to the heart muscle." }</t>
  </si>
  <si>
    <t>{   "Answer": "B",   "Explain": "Prothrombin time (PT) is a laboratory value that is most likely to confirm adequate synthetic hepatic function because it measures the liver's ability to synthesize coagulation factors, which have shorter half-lives than albumin. As a result, PT is more sensitive to changes in liver function and can reflect acute liver failure more quickly than albumin levels."</t>
  </si>
  <si>
    <t>{   "Answer": "A",   "Explain": "Beta-adrenergic blockade is the best strategy to prevent ventricular dysrhythmias in a patient undergoing extracorporeal shock wave lithotripsy as it can minimize the risk of sympathetic nervous system stimulation and cardiac arrest." }</t>
  </si>
  <si>
    <t>{   "Answer": "A",   "Explain": "Compared to a semiclosed circle system, a Bain circuit exhibits less rebreathing of CO2 because it has a coaxial design that allows fresh gas to enter the circuit at the patient's end, reducing the amount of rebreathing that occurs." }</t>
  </si>
  <si>
    <t>{   "Answer": "C",   "Explain": "The patient is in the lateral position, which can cause a shift of the diaphragm cephalad, leading to a decrease in tidal volume and an increase in the distance between the capnograph waveform points A and B." }</t>
  </si>
  <si>
    <t>{   "Answer": "B",   "Explain": "“The anesthesiologist should administer hydrocortisone, followed by cefazolin, as the patient has a history of a rash with penicillin administration, indicating a possible allergy, and cefazolin is a cephalosporin, which may cause cross-reactivity.”"</t>
  </si>
  <si>
    <t>{   "Answer": "C",   "Explain": "Hyponatremia decreases MAC, as stated in the context." }</t>
  </si>
  <si>
    <t>{   "Answer": "A",   "Explain": "Bupivacaine's primary toxic effect on the cardiovascular system is the blockade of norepinephrine release, which can lead to a decrease in blood pressure and cardiac output." }</t>
  </si>
  <si>
    <t>{   "Answer": "C",   "Explain": "Hyperthermia causes a rightward shift in the oxyhemoglobin dissociation curve, which means that for the same partial pressure of oxygen, more oxygen is released from hemoglobin to the tissues." }</t>
  </si>
  <si>
    <t>{   "Answer": "B",   "Explain": "In clinical hypothyroidism, there is a decrease in myocardial contractility, leading to a decrease in cardiac output and peripheral resistance, which is reflected in a decrease in peripheral vascular tone." }</t>
  </si>
  <si>
    <t>{   "Answer": "B",   "Explain": "Methohexital is the drug of choice for providing anesthesia during electroconvulsive therapy, and its longer duration of action is likely to be associated with longer seizure duration." }</t>
  </si>
  <si>
    <t>{   "Answer": C,   "Explain": "Propofol does not cause enhanced activity of the GABA receptor, unlike etomidate and ketamine, which both have been shown to have this effect." }</t>
  </si>
  <si>
    <t>{   "Answer": "B",   "Explain": "The CO2 absorber is misplaced in the inspiratory phase, as it is supposed to be in the expiratory phase, where it absorbs the exhaled CO2 gas." }</t>
  </si>
  <si>
    <t>{   "Answer": "C",   "Explain": "A large volume of distribution is typically associated with a drug that has low plasma protein binding, as it is not bound to proteins in the blood and is therefore able to distribute widely throughout the body." }</t>
  </si>
  <si>
    <t>{   "Answer": "C",   "Explain": "Succinylcholine is not contraindicated in severe renal failure when plasma K+ concentrations are within the normal range, and the duration of action of NMBDs may be prolonged in patients with renal failure. However, the text does not specify which NMBD has the longest duration of action in patients with renal failure, but it does mention that the elimination half-life of pancuronium is increased by 500% in patients with renal failure, and the elimination half-life of rocuronium is increased in renal failure because of an increase in the volume of distribution with no change in clearance. Therefore, it can be inferred that rocuronium has the longest duration of action in patients with renal failure."</t>
  </si>
  <si>
    <t>{   "Answer": "C",   "Explain": "Instillation of local anesthetic into the trachea via the cricothyroid membrane is most likely to block the recurrent laryngeal nerve, which is located in the trachea and innervates the larynx." }</t>
  </si>
  <si>
    <t>{   "Answer": "A",   "Explain": "Gagging that occurs during awake intubation is best prevented by local anesthetic block of the superior laryngeal nerve, which supplies sensory innervation to the larynx and is responsible for the gag reflex." }</t>
  </si>
  <si>
    <t>{   "Answer": "A",   "Explain": "Ablation of thermoregulatory vasoconstriction is the most likely explanation for the initial reduction in core temperature during general anesthesia because anesthesia-induced vasodilation leads to a decrease in heat conservation and an increase in heat loss, resulting in a passive decrease in body temperature." }</t>
  </si>
  <si>
    <t>{   "Answer": "A",   "Explain": "The patient's SpO2 decreased from 98% to 84% when FiO2 was 0.5, and then improved to 92% when FiO2 was increased to 1.0. This suggests that the patient's hypoxemia was caused by a lack of oxygen in the alveoli, which was resolved by increasing the FiO2. This is consistent with decreased functional residual capacity (FRC), which is a common cause of hypoxemia in older adults." }</t>
  </si>
  <si>
    <t>{   "Answer": "B",   "Explain": "The patient has complete anesthesia in the median, radial, and ulnar nerve distributions after a supraclavicular block, which suggests that the block has reached the distal trunk-proximal division level of the brachial plexus. To block the remaining area, the next step would be to target the intercostobrachial nerve, which is responsible for tourniquet pain, and can be blocked with a subcutaneous injection in the axilla."</t>
  </si>
  <si>
    <t>{   "Answer": "A",   "Explain": "Redistribution is primarily responsible for emergence after a single dose of propofol because of its rapid clearance, exceeding liver blood flow, which leads to extrahepatic metabolism, mainly in the kidneys, and rapid elimination." }</t>
  </si>
  <si>
    <t>{   "Answer": "B",   "Explain": "After 30 minutes of stable anesthesia, the O2 analyzer reading decreased from 50% to 30%. This is likely due to the accumulation of water on the O2 sensor membrane, which can cause a decrease in the O2 reading." }</t>
  </si>
  <si>
    <t>{   "Answer": "A",   "Explain": "After an induction dose of ketamine, patients appear to be in a cataleptic state with intense analgesia and amnesia, despite appearing to be awake." }</t>
  </si>
  <si>
    <t>{   "Answer": "C",   "Explain": "Fentanyl has a shorter elimination half-life compared to morphine, which is the most likely explanation for its decreased duration of action." }</t>
  </si>
  <si>
    <t>{   "Answer": "A",   "Explain": "The standard error of the mean shows the precision of the population mean, which is the spread of the sample means around the true population mean. It measures the amount of variation in the sample means that can be expected due to random sampling error." }</t>
  </si>
  <si>
    <t>{   "Answer": "B",   "Explain": "Pulse oximetry does not accurately reflect SaO2 in the presence of carboxyhemoglobinemia because carboxyhemoglobin has an absorbance of light that is different from oxyhemoglobin, leading to falsely high SpO2 readings." }</t>
  </si>
  <si>
    <t>{   "Answer": "B",   "Explain": "The patient is receiving a 4-hour general anesthetic for a surgical procedure, and their fasting blood glucose level is 100 mg/dL. This suggests that their glucose level is already within a normal range. Given the anesthetic and surgical procedure, it is likely that their glucose level will increase slightly, but not significantly, due to the stress response and potential blood sugar elevations after surgery. Therefore, mild hyperglycemia (B) is the most likely expected outcome on emergence."</t>
  </si>
  <si>
    <t>{   "Answer": "C",   "Explain": "Ranitidine increases gastric pH while decreasing gastric volume by acting as an H2 receptor antagonist, which reduces gastric acid secretion and increases the pH of gastric contents." }</t>
  </si>
  <si>
    <t>{   "Answer": "C",   "Explain": "Nitrous oxide has a lower blood gas solubility compared to desflurane, which means it is more easily released from the bloodstream and tissues, allowing its alveolar and inspired concentrations to equilibrate more rapidly." }</t>
  </si>
  <si>
    <t>{   "Answer": "A",   "Explain": "The primary purpose of denitrogenation prior to anesthetic induction is to improve matching of ventilation and perfusion, which increases the duration of apnea without oxygen desaturation by filling the functional residual capacity with oxygen, thus increasing the patient's reserve of oxygen while apneic." }</t>
  </si>
  <si>
    <t>{   "Answer": "B",   "Explain": "A 32-year-old woman sustains an injury to the left recurrent laryngeal nerve during thyroidectomy, which will likely result in aphonia, as the nerve damage affects the vocal cord's ability to vibrate and produce sound."</t>
  </si>
  <si>
    <t>{   "Answer": "A",   "Explain": "Normal mixed venous O2 tension in a normal adult is 40 mmHg, and after breathing 100% O2 for 10 minutes, the expected mixed venous O2 tension would be lower, around 45 mmHg." }</t>
  </si>
  <si>
    <t>{   "Answer": "A",   "Explain": "According to the context, flumazenil has a very rapid clearance and short elimination half-life, making it the shortest-lived of all benzodiazepines used in anesthetic practice, with a plasma half-life of I." }</t>
  </si>
  <si>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</si>
  <si>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</si>
  <si>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"To block the nerve at the medial aspect of the lower leg, it is most likely to block the femoral nerve, as it innervates the medial leg and can be blocked at the adductor canal, below the knee with local infiltration distal to the medial condyle of the tibia, or above the medial malleolus of the foot." }</t>
  </si>
  <si>
    <t>{   "Answer": "C",   "Explain": "Given that the patient developed right upper quadrant abdominal pain and nausea 30 minutes after receiving morphine and midazolam, it is likely that the pain is due to spasm of the sphincter of Oddi caused by the opioids. Naloxone is the most appropriate therapy to treat this condition as it is an opioid antagonist that can reverse the effects of opioids on the sphincter of Oddi and alleviate the pain and nausea."</t>
  </si>
  <si>
    <t>{   "Answer": "B",   "Explain": "Normal saline is the most appropriate initial management for a 68-year-old woman with primary hyperparathyroidism and a serum calcium concentration of 15 mg/dL. This is because vigorous expansion of intravascular volume usually reduces serum calcium to a safe level, and normal saline can help achieve this goal." }</t>
  </si>
  <si>
    <t>{ "Answer": "C", "Explain": "The Caffeine-halothane contracture test has the highest sensitivity and specificity for malignant hyperthermia susceptibility." }</t>
  </si>
  <si>
    <t>{   "Answer": "A",   "Explain": "To calculate the delivered anesthetic concentration, we need to find the amount of sevoflurane added to the fresh gas flow. Since the vaporizer output is 21% sevoflurane and 79% oxygen, we can set up a proportion to solve for the amount of sevoflurane added. Given 150 mL/min of oxygen flowing through the vaporizer, we can calculate that 40 mL/min of sevoflurane is added. Since the fresh gas flow is 5 L/min, the delivered anesthetic concentration is 40 mL/min ÷ 5 L/min = 0.25%, which corresponds to answer choice A."</t>
  </si>
  <si>
    <t>{   "Answer": "C",   "Explain": "Vasoconstriction is the most effective physiologic mechanism for maintaining body temperature in this patient with mild hypothermia, as it helps to reduce heat loss by constricting blood vessels and reducing blood flow to the periphery."</t>
  </si>
  <si>
    <t>{   "Answer": "A",   "Explain": "Flumazenil, a competitive antagonist, binds to benzodiazepine receptors but has little intrinsic activity, whereas other choices A and C describe incorrect properties of flumazenil." }</t>
  </si>
  <si>
    <t>{   "Answer": "C",   "Explain": "The total dose of drug has the greatest effect on the extent of spread of local anesthetic following subarachnoid block with hyperbaric bupivacaine because the dose determines the volume and concentration of the solution, which in turn affect the spread of the anesthetic within the cerebrospinal fluid."</t>
  </si>
  <si>
    <t>{   "Answer": "B",   "Explain": "The patient has postobstructive pulmonary edema secondary to laryngospasm, which is likely causing his pulmonary edema. The management strategy should focus on reversing this cause by administering a diuretic such as furosemide to reduce circulating volume and improve oxygenation." }</t>
  </si>
  <si>
    <t>{   "Answer": "B",   "Explain": "The patient suddenly develops nausea, diaphoresis, and sharp pain in the left shoulder, which is more related to a complication of the procedure rather than a spinal anesthetic issue. Bladder perforation is a known complication of TURP, and the symptoms described are consistent with that possibility." }</t>
  </si>
  <si>
    <t>{   "Answer": "B",   "Explain": "The decrease in SpO2 from 99% to 90% with an increase in partial pressure of ETCO2 from 38 to 43 mmHg suggests that the etiology is likely related to compression of the vena cava, which can lead to increased dead space ventilation and decreased functional residual capacity, causing a mismatch between ventilation and perfusion." }</t>
  </si>
  <si>
    <t>{   "Answer": "B",   "Explain": "The patient's oxygen saturation (SpO2) is 90% on room air, which is lower than normal. Given the patient's obesity and recent laparoscopic cholecystectomy, hypoventilation is a likely cause of hypoxemia, as obesity and surgical anesthesia can both contribute to hypoventilation."</t>
  </si>
  <si>
    <t>{   "Answer": "A",   "Explain": "In pressure support ventilation, pressure support breaths are triggered by a decrease in airway pressure, as the ventilator senses the patient's inspiratory effort and increases the airway pressure to a preset level to assist breathing." }</t>
  </si>
  <si>
    <t>{   "Answer": "B",   "Explain": "The increased heart rate of 120 bpm during induction of anesthesia increases myocardial oxygen demand. To satisfy this increased demand, the most likely factor is increased coronary perfusion pressure, which is necessary to meet the increased oxygen requirements of the myocardium." }</t>
  </si>
  <si>
    <t>{   "Answer": "B",   "Explain": "Hepatic synthetic function can also be assessed by measuring the levels of liver-derived coagulation factors. Prothrombin time (PT) will remain normal until significant hepatic impairment occurs, making it a more likely indicator of synthetic function." }</t>
  </si>
  <si>
    <t>{   "Answer": "A",   "Explain": "Beta-adrenergic blockade is the BEST strategy to prevent ventricular dysrhythmias in a patient undergoing extracorporeal shock wave lithotripsy as it can minimize the risk of triggering life-threatening ventricular dysrhythmias by decreasing sympathetic nervous system stimulation." }</t>
  </si>
  <si>
    <t>{   "Answer": "A",   "Explain": "Compared to a semiclosed circle system, a Bain circuit exhibits less rebreathing of CO2 because the fresh gas flows through a narrow inner tube, enters the circuit at the patient's end, and exits through a pop-off valve, reducing the amount of exhaled gases that are rebreathed." }</t>
  </si>
  <si>
    <t>{ "Answer": "C, "Explain": "In the lateral position, the patient's body is turned sideways, which can lead to a change in ventilation and perfusion, resulting in changes to the capnograph waveform. This is more likely to cause the waveform change seen between points A and B compared to the other options, which are not related to patient position."</t>
  </si>
  <si>
    <t>{   "Answer": "B",   "Explain": "Since the patient has developed a rash with previous administration of penicillin, the anesthesiologist should administrate hydrocortisone followed by cefazolin to avoid cross-reactivity and potential anaphylaxis." }</t>
  </si>
  <si>
    <t>{ "Answer": "C", "Explain": "Hyponatremia decreases the MAC of isoflurane." }</t>
  </si>
  <si>
    <t>{   "Answer": "A",   "Explain": "Bupivacaine blocks norepinephrine release, leading to a decrease in sympathetic activity and subsequent hypotension and cardiac depression, which is the primary toxic effect on the cardiovascular system." }</t>
  </si>
  <si>
    <t>{   "Answer": "C",   "Explain": "Hyperthermia increases the production of 2,3-diphosphoglycerate, which decreases the affinity of hemoglobin for oxygen, causing a rightward shift in the oxyhemoglobin dissociation curve." }</t>
  </si>
  <si>
    <t>{   "Answer": "B",   "Explain": "Myocardial contractility is decreased in a patient with clinical hypothyroidism, leading to a decrease in cardiac output and peripheral resistance, as triiodothyronine has a direct stimulatory effect on the heart muscle, leading to increased cardiac contractility and output."</t>
  </si>
  <si>
    <t>{   "Answer": "B",   "Explain": "Methohexital is more likely to be associated with longer seizure duration when used for electroconvulsive therapy because of its ability to increase cortical seizure activity, making it the drug of choice for anesthesia during ECT." }</t>
  </si>
  <si>
    <t>{   "Answer": C,   "Explain": "Etomidate, like other GABA receptor facilitators, increases activity at GABA receptors at clinical doses, while ketamine acts as an NMDA receptor antagonist, and propofol also facilitates GABA receptors. However, propofol's primary mechanism of action is different from etomidate and ketamine, so it does not fit the category of GABA receptor facilitators." }</t>
  </si>
  <si>
    <t>{   "Answer": "B",   "Explain": "The CO2 absorber is normally located between the inspiratory and expiratory valves in a circle system, not after the expiratory valve, which is its misplaced position in the given illustration." }</t>
  </si>
  <si>
    <t>{   "Answer": "C",   "Explain": "A large volume of distribution in this context means that the drug distributes widely throughout the body, rather than being concentrated in the bloodstream. This is often associated with a low level of plasma protein binding, as the drug can diffuse into tissues and be distributed more widely. This is the case for a new IV anesthetic with a large volume of distribution, which is likely to have a low plasma protein binding."</t>
  </si>
  <si>
    <t>{ "Answer": "C", "Explain": "According to the text, rocuronium's elimination half-life is increased in renal failure because of an increase in the volume of distribution with no change in clearance, which may account for a longer duration of action in anephric patients." }</t>
  </si>
  <si>
    <t>{   "Answer": "C",   "Explain": "Instillation of local anesthetic into the trachea via the cricothyroid membrane is most likely to block the recurrent laryngeal nerve, which runs inferiorly and anteriorly through the trachea and supplies sensory innervation to the trachea and lower respiratory tract." }</t>
  </si>
  <si>
    <t>{   "Answer": "A",   "Explain": "Local anesthetic block of the superior laryngeal nerve can prevent gagging during awake intubation by reducing the sensory input to the pharynx and epiglottis, making the process less uncomfortable and reducing the gag reflex." }</t>
  </si>
  <si>
    <t>{   "Answer": "A",   "Explain": "Anesthesia-induced vasodilation leads to ablation of thermoregulatory vasoconstriction, resulting in an initial reduction in core temperature." }</t>
  </si>
  <si>
    <t>{   "Answer": "A",   "Explain": "The decrease in PaO2 despite increasing FiO2 suggests a shunt phenomenon, where the inhaled oxygen is not being absorbed by the body due to ventilation-perfusion mismatch. This can be caused by decreased functional residual capacity (FRC), which is the volume of air remaining in the lungs after a normal expiration. The decrease in FRC can be due to various factors, including aging, which was mentioned in the patient's demographic information."</t>
  </si>
  <si>
    <t>{   "Answer": "B",   "Explain": "The patient required two hours of tourniquet inflation, which suggests a more proximal block is needed. Intercostobrachial nerve block can help alleviate all tourniquet pain, making it the most appropriate choice." }</t>
  </si>
  <si>
    <t>{   "Answer": "C",   "Explain": "Extrahepatic elimination, specifically renal metabolism, plays a significant role in propofol's rapid clearance after a single dose, as it accounts for up to 30% of propofol clearance, which exceeds liver blood flow." }</t>
  </si>
  <si>
    <t>{   "Answer": "B",   "Explain": "The O2 analyzer reading decreases from 50% to 30% which indicates a reduction in the amount of oxygen in the exhaled gases. This could be due to the accumulation of water on the O2 sensor membrane, which could cause the sensor to malfunction and produce an inaccurate reading." }</t>
  </si>
  <si>
    <t>{   "Answer": "A",   "Explain": "After an induction dose of ketamine, patients appear to be in a cataleptic state with eyes remaining open, slow nystagmic gaze, and an intense analgesia and amnesia, indicating that ketamine provides an intense analgesia and amnesia." }</t>
  </si>
  <si>
    <t>{   "Answer": "C",   "Explain": "The most likely explanation for the decreased duration of action of an IV dose of fentanyl compared with an IV dose of morphine is the shorter elimination half-life of fentanyl." }</t>
  </si>
  <si>
    <t>{   "Answer": "A",   "Explain": "The standard error of the mean shows the precision of the sample mean as an estimate of the population mean, indicating how much the sample mean may deviate from the true population mean due to random sampling error." }</t>
  </si>
  <si>
    <t>{ "Answer": "B", "Explain": "Pulse oximetry does not accurately reflect SaO2 in situations of carboxyhemoglobinemia, as the device measures the absorbance of light by oxygenated and deoxygenated hemoglobin, and carboxyhemoglobin has an absorbance of light that is not taken into account by the device, resulting in falsely high SpO2 readings." }</t>
  </si>
  <si>
    <t>{   "Answer": "B",   "Explain": "A 4-hour general anesthetic for repair of tendon lacerations typically does not involve significant caloric intake or insulin resistance, which would cause a marked decrease in blood glucose levels. Therefore, the patient's pre-anesthesia blood glucose level of 100 mg/dL is unlikely to change significantly, and a mild hyperglycemia of around 110-120 mg/dL is expected on emergence." }</t>
  </si>
  <si>
    <t>{   "Answer": "C",   "Explain": "Ranitidine increases gastric pH while decreasing gastric volume by blocking the action of histamine on the parietal cells of the stomach, reducing acid secretion, and also increasing mucus production to protect the mucosa." }</t>
  </si>
  <si>
    <t>{   "Answer": "C",   "Explain": "Solubility in blood affects the rate of equilibration of alveolar and inspired concentrations. Lower blood gas solubility means that the gas does not stay in the blood for as long, allowing it to rapidly diffuse out and reach equilibrium with the inspired concentration, which is the case with nitrous oxide compared to desflurane."</t>
  </si>
  <si>
    <t>{ "Answer": "A", "Explain": "The primary purpose of denitrogenation prior to anesthetic induction is to increase the duration of apnea without oxygen desaturation by filling the functional residual capacity with oxygen, thus increasing the patient's reserve of oxygen while apneic." }</t>
  </si>
  <si>
    <t>{ "Answer": "B", "Explain": "As the recurrent laryngeal nerve was injured, the woman's bilateral vocal cord function is impaired, leading to aphonia, or loss of voice."</t>
  </si>
  <si>
    <t>{   "Answer": A,   "Explain": "According to normal values, mixed venous O2 tension is typically around 40 mmHg. Breathing 100% O2 for 10 minutes would not significantly change cardiac output or oxygen consumption, so the mixed venous O2 tension would remain around 40 mmHg, which is approximately 45 mmHg in mmHg."</t>
  </si>
  <si>
    <t>{   "Answer": "A",   "Explain": "Flumazenil has a very rapid clearance and short elimination half-life, which is shorter than Lorazepam and Midazolam." }</t>
  </si>
  <si>
    <r>
      <rPr>
        <rFont val="Arial"/>
        <color theme="1"/>
      </rPr>
      <t>embed_model="</t>
    </r>
    <r>
      <rPr>
        <rFont val="Arial"/>
        <b/>
        <color rgb="FF3D85C6"/>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</si>
  <si>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</si>
  <si>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"Femoral", explian: "Blockage of the femoral nerve is usually recommended for operations that involve medial aspects of the leg".</t>
  </si>
  <si>
    <t>{  "Answer": "A,  "Explain": ("Given the patient"s history of suddenly developing right upper quadrant abdominal pain and nausea thirty minutes after receiving premedication with morphine and midazolam, which can predispose sphincter of Oddi spasm, an intraoperative reversal agent-like naloxone is theoretically appropriate because flumazenil is used primarily in benzodiazepine overdose and/or psychogenic coma. However, flumazenil does not possess μ-opioid inverse agonist/antagonistic effects. Naloxone might quickly reverse the potential morphine-induced sphincter of Oddi spasm pain in this condition.")</t>
  </si>
  <si>
    <t>{   "Answer": '"B"',       "Explain":"Treatment of hypercalcaemia  patients in clinical presentations usually involves expansion of intravascular volume to  safely  bring serum calcium concentration down to levels below  level &lt; 14   11andhydration accompanied by electoay. In this urgent 11situration B(normal  sodium)suffices  inmost hypercaiucmic patients.".]</t>
  </si>
  <si>
    <t>{ "Answer": B, "Explain": "The current definitive test for susceptibility to malignant hyperthermia is in vitro contracture testing in skeletal muscle biopsy. However, genetic testing for defective ryanodine receptors also shows good sensitivity and specificity, is slightly slower but provides more insight into the underlying biochemical defect causation the muscle rigidity, flacid ala, diastolic ilemus rigi"</t>
  </si>
  <si>
    <t>{   "Answer": B,   "Explain": "100mL/min of anesthetic containing a vapor pressure of 150mmHg is bubbled through a vaporizer, yielding a total composition of 0.21/anesthetic and 0.79/O2. Only 500mLO2 was added from the vaporizer out the total fresh gas. Therefore, the percentage composition given the formula X = (1 - 500 / 1000)*100%, only about 4.8% and less than our original hypothesis (since it was too complex)."</t>
  </si>
  <si>
    <t>{   Answers: "B",   Explain: "An alternative heat generation mechanism would come from vaso-con-stricton, C,"}</t>
  </si>
  <si>
    <t>{ "Answer": A, "Explain": "Since the sedate patient who received midazolam would antagonize easily with flumazenil, a small mistake in flumazenil dosing could lead to early sedation, making it necessary to hospitalize the patient for an extension of sedation. Flumazenil has little intrinsic activity that could worsen anesthesia and prolong seduation, so it serves as effective emergency antagonist."</t>
  </si>
  <si>
    <t>{ "Answer": "B", "Explain": "Patient position appears to be the factor with the greatest effect on local anesthetic distribution following subarachnoid blockers with hyperte"</t>
  </si>
  <si>
    <t>{ "Answer": C, "Explain": The patient has resolution of laryngospasm-induced pulmonary edema and the need for oxygen administration at high concentration (100%) indicated severe hypoxemia (80% O2). Positive-pressure ventilation (ventilation) is the most appropriate approach at this moment, ensuring immediate optimization of oxygenation despite existing respiratory and cardiovascular instability.".</t>
  </si>
  <si>
    <t>{     Answer : "C",     "Explain" : "The symptoms of nausea, diaphoresis, and sharp pain should be sudden, whereas these symptoms might take some to be noticeable if the cause was angina pectoris or bowel perforation. A 45-minute elapsed time also favous for inadequate sensory level providing explanation." }</t>
  </si>
  <si>
    <t>{   "Answer": "B",   "Explain": "Compression of the vena cava may lead to a decrease in SpO2 as it can cause reduced diaphragmatic movement during mechanical ventilation. This is likely the culprit alongside changes in CO2 levels. Other options A and C do not directly link the decrease in SpO2 and CO2 changes."</t>
  </si>
  <si>
    <t>Here's the answer in JSON format:  {"Answer": "B", "Explain": "Hypoxyimia is the MOST likely cause of her hypoxemia because acute lung inudary syndrome is present. Increased capricidal output due to hypercapnia with a PaCO\₂₉ to lead to a reduction arterial Poᄋ̸ of up to 90 percent. Therefore option B, hypoveıltonation, is much more plausible explanation the patients' hypoxina.""}</t>
  </si>
  <si>
    <t>{   "Answer": "B",   "Explain": "Pressure support breaths in a patient taking pressure support ventilation are triggered by changes sensed by the ventilation system such as increases in airway pressure, which set offs assisted respiratory effort leading to further inspiration." "}</t>
  </si>
  <si>
    <t>None</t>
  </si>
  <si>
    <t>{ "title":", "explain": "One has to identify an answer choice MOST LIKELY to INCREASE oxygen demand and thus need MORE O2 extraction by the myocardium. As heart rate increased from 60- b/ to 120b/-per-minute, increased oxygen  demand and OXYGEN EXTRACTION BY MYOCARDIUM were already happening during anxiety or surgery. As we consider, in a patient without pulmonary problem Oxy' extract only to 0 percent, there's no further potential extraction. When it increased, our option increased heart rhythm. Given these two main sources of increased production demand  to consider OXy extraction from another factor the way we would be more likely that more 2 in myocardium extraction." I found a good passage indicating the effects on myocard...</t>
  </si>
  <si>
    <t>{"Answer": "B,    "Explain": "Prothrombin time measures the level of liver-derived coagulation factors, which is one way to assess synthetic function. Elevated AST and ALT concentrations only indicate hepatitis or hepatocellular injury, but don't directly measure synthesis."}</t>
  </si>
  <si>
    <t>{   "Answer": B   "Explain": "B stands for ECG synchronization which prevents synchronized condetation contractions or electromagnetic interference potentially causing unintended defibrillation. It's crucial in controlling and managing arrhtymias in a patient recovering following ESWD. "}</t>
  </si>
  <si>
    <t>{   "Answer": "A,   "Explain": "Bain ciruits, when compared with semi-closed circle systems, have less rebreathing of CO compared to re-cycling and processing anesthetic vapour.   Patients on semicircles experience greater rebreatathing since it has an incomplete return pathway. "}</t>
  </si>
  <si>
    <t>{   "Answer": "C",   "Explain": "According to one specific type of capnometer, some positions are beneficial for patients undergoing a hip surgery: 'Patients having OLV in the transverse or slightly inverted Trendelenburg position could \help\ stabilize their spine better without limiting respiratory function.' Forcing O2 back toward the nonoperable lung reduces lung collapse."</t>
  </si>
  <si>
    <t>{ "Answer": D4, "Attract medication allergy information provided should be accurate. If there is significant in- formation, administer ce fazolin or administer hydrox -".: the surgeon to consult.</t>
  </si>
  <si>
    <t>{ "Answer": "C", "Explain": "Hyponatremia decreases the value of MAC (Macrocriterion).'"</t>
  </si>
  <si>
    <t>{     "Answer": "A",      "Explain": "The primary toxic effect of bupivacaine on the cardiovascular system is blocking the release of norepinephrine."  }</t>
  </si>
  <si>
    <t>Here is the answer in the JSON format:  {   "Answer": "C",   "Explain]: "Among the chosen options, hyperthermia would contribute to a rightward shift in the oxyhemoglobin dissociation curve."  Please note that options such as the other answers were directly cited from the study "Miller's Anesthesia".</t>
  </si>
  <si>
    <t>{ "Answer": B, "Hypocalcuaria from hypo-thy-ro-sie-mee is unlikely. "}</t>
  </si>
  <si>
    <t>{   "Answer": C,   "Explain": "Methanole is the primary general anesthetic used during electro-convulsive therapy whereas etomidate and other anesthetics cause a shorter duration." }</t>
  </si>
  <si>
    <t>{     "Answer": C,     "Explain": "C. Propofol does NOT have direct activatory pharmacology by binding to GABA, but instead affects activity other than excellular GABA levels while modulating inhibulatory and excitatory states indirectly in response to GABA and benzodiazepine sites separately yet together. "</t>
  </si>
  <si>
    <t>{ "Answer": A, "Explain": "It notes in Fig. 22.32, a fresh gas inlet is only normally found near the inspiration stage, as indicated in Fig 22.34, for supplying pressurization during continuous positive airway pressure. However, B: the co2 absorber and exhaling flow are situated only in the exhale section" }</t>
  </si>
  <si>
    <t>{     "Answer" : "A",     "Explain": "A new substance is most likely to have lipid solubility in low in cases other compounds like other anesthetics as mentioned in Document(758) Because most anesthetics...solvent.12"}</t>
  </si>
  <si>
    <t>{  Answer: "B",  Explanations: "According to context information, succinylcholine induces temporary surge in plasma K+ during serious kidney injury and that duration of action doesn't take away due to plasma K- from ordinary concentration." }</t>
  </si>
  <si>
    <t>{   "Answer": "C",   "Explain": "Instillation of local anesthetic into the cricothyroid membrane is Most likely to block the Recurrent Laryngeal Nerve." }</t>
  </si>
  <si>
    <t>{ "Answer": "A", "Examine, however, reveals the best preventive method has never once touched the nerve." }</t>
  </si>
  <si>
    <t>{ "Answer": “B", "Explain": “Core heat loss through peripheral cooling is not occurring yet during this stage. An initial decrease in temperature isn\'t attributed to a significant gain or loss of heat as an individual acquires consciousness in this setting nor vasovenous thermoregulatory heat production isn\’t compromised.\’’}.</t>
  </si>
  <si>
    <t>{   "Answer": "B",   "Explain":"The likely explanation for his hypoxemia, followed by transient reparation before an increased SpO2 with an altered concentration of SiO2 is decreased efficacy of dead body due to various medical interventions like postoperative residual narcotics, inadequate pain maintenance, pulmonary comorbidities (COPD)? "</t>
  </si>
  <si>
    <t>{   "Answer": "A",   "Explain": "Since the surgical procedure involves a long duration, including 2 hours of tourniquet inflation, an additional block is needed. Given the complete anesthesia in the median, radial, and ulnar nerve distributions already achieved through the supraclavicular block, the most likely area to require blockade is the axillary region, providing comprehensive anesthesia for the procedure." }</t>
  </si>
  <si>
    <t>{   "Answer": "B",   "Explain": "Explaination in step-by-step format remains pending..."; please consider reading entire paragraph... Propofol 'exemine liver blood flow is greater after in extrahep"</t>
  </si>
  <si>
    <t>{     "Answer": "B",     "Explain": "There was an accumulation of water on the O2 sensor membrane after30 minutes of stable anesthesia, resulting in a decrease in O2 analyzer reading down to 30 %." }</t>
  </si>
  <si>
    <t>{   "Answer": "A",   "Explain": "After an induction dose of ketamine, the patient appears to be in a cataleptic state characterized by an intense analgesia and amnesia." }</t>
  </si>
  <si>
    <t>{ "What's-Explain": A, "Explainion": "\"Compared with morphine, fentanyl's most significant advantage stems from its higherlipid solubility, enabling the dose reach for redistribution to inactive tissue sites quicker than mor" }</t>
  </si>
  <si>
    <t>{   "Answer": "A",   "Explain": "This choice 'The precision of the population mean' (A) describes what standard error of mean shows. Standard error of the mean, SEM, estimates the variability of the data's population mean around its true mean."  Note: I'll add the given context if its relevant context in any possible step by applying EL framework based on this answer. The explanation I chose from the document. Here I'm</t>
  </si>
  <si>
    <t>{ Answer: "B", "Explain": "Pulse oximetry gives misleading measurements under circumstances such as Carboxyhemoglobinemia because the light absorbance of Carboxyhemoglobin (COHb) simulates the absorbance of Saturation of Carbon Dioxide (SaO2). Therefore, in conditions like those involving significant COHb, the device yields a false low value." }</t>
  </si>
  <si>
    <t>{   "Answer": "B",   "Explain": "A temporary increase in gluconeogenesis during stress responses following the inhalational anesthetic and surgery typically results in elevated glucose levels after the initial hypoglycemia is managed before anesthesia, so it is likely that there will be'mild hyperglycemia' due to this."</t>
  </si>
  <si>
    <t>JSON formatted answer:  { "Answers": "C", "`Explain`": "Ranitidine is a type of H2 receptor antagonist that is used to increase gastric fluid pH in pregnant women around an hour after its administration, achieving this without production of adverse effects."</t>
  </si>
  <si>
    <t>{   "Answer": A,   "Explain": "N2O achieves higher inspired concentrations, resulting in a less decrease in its partial pressure in the blood due to uptake of the gas, thus contributing to rapid equilibrium between its alveolar and inspired concentrations." }</t>
  </si>
  <si>
    <t>Here is a single-answer response to your request with chosen value:  "{"Answer": "C", "Explain": "The primary purpose of denitrogenation prior to anesthetic induction is 'to increase the patient’s reserve of oxygen while apneic', thereby prolonging the safe time period they can tolerate oxygen desaturation, providing an improved margin of safety.}""}</t>
  </si>
  <si>
    <t>{   "Answer": "B",   "Explain": "A injury to the left recurrent laryngeal nerve during thyroidectomy results in damage to the muscles responsible for voial fold abstractions, making bilateral adduction of the cords more likely - leading to ahoarseness if not total lack of voiced sound." }</t>
  </si>
  <si>
    <t>{ "Answer": A, "Explain": "Normally, without O2 supplementation, the mixed arterial-chemical shift normally lies around 45-54 mmHg; with breathing 100% O2 at 35 atm, there is little change in Pa02 due to nitroglycerin's rapid diffusions throughout body spaces. The normal V̇O; is estimated to be 40 mg-9. An inverse step to maintain the DO2 = 120mg." }</t>
  </si>
  <si>
    <t>Here's a suggested text that explains the pharmacokinetics section which has 2 of four pages which the 4th line that says "Loraz')"</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</si>
</sst>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quot;Liberation Sans&quot;"/>
    </font>
    <font>
      <sz val="10.0"/>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vertical="center"/>
    </xf>
    <xf borderId="4" fillId="0" fontId="5" numFmtId="0" xfId="0" applyAlignment="1" applyBorder="1" applyFont="1">
      <alignment horizontal="left" readingOrder="0" vertical="center"/>
    </xf>
    <xf borderId="4" fillId="0" fontId="6" numFmtId="0" xfId="0" applyAlignment="1" applyBorder="1" applyFont="1">
      <alignment horizontal="center" readingOrder="0" vertical="center"/>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4" fillId="0" fontId="5" numFmtId="0" xfId="0" applyAlignment="1" applyBorder="1" applyFont="1">
      <alignment horizontal="center" vertical="center"/>
    </xf>
    <xf borderId="0" fillId="0" fontId="3" numFmtId="0" xfId="0" applyAlignment="1" applyFont="1">
      <alignment horizontal="center" readingOrder="0"/>
    </xf>
    <xf borderId="4" fillId="0" fontId="5" numFmtId="0" xfId="0" applyAlignment="1" applyBorder="1" applyFont="1">
      <alignment horizontal="lef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0.1</v>
      </c>
      <c r="C2" s="2"/>
      <c r="D2" s="3"/>
      <c r="E2" s="7">
        <v>1.0</v>
      </c>
      <c r="F2" s="2"/>
      <c r="G2" s="2"/>
      <c r="H2" s="8">
        <v>2.0</v>
      </c>
      <c r="I2" s="2"/>
      <c r="J2" s="3"/>
    </row>
    <row r="3">
      <c r="A3" s="5" t="s">
        <v>2</v>
      </c>
      <c r="B3" s="9">
        <v>0.1</v>
      </c>
      <c r="C3" s="9">
        <v>0.5</v>
      </c>
      <c r="D3" s="9">
        <v>1.0</v>
      </c>
      <c r="E3" s="10">
        <v>0.1</v>
      </c>
      <c r="F3" s="10">
        <v>0.5</v>
      </c>
      <c r="G3" s="10">
        <v>1.0</v>
      </c>
      <c r="H3" s="11">
        <v>0.1</v>
      </c>
      <c r="I3" s="11">
        <v>0.5</v>
      </c>
      <c r="J3" s="11">
        <v>1.0</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27</v>
      </c>
      <c r="C5" s="14">
        <f t="shared" si="1"/>
        <v>26</v>
      </c>
      <c r="D5" s="14">
        <f t="shared" si="1"/>
        <v>25</v>
      </c>
      <c r="E5" s="14">
        <f t="shared" si="1"/>
        <v>26</v>
      </c>
      <c r="F5" s="14">
        <f t="shared" si="1"/>
        <v>25</v>
      </c>
      <c r="G5" s="14">
        <f t="shared" si="1"/>
        <v>24</v>
      </c>
      <c r="H5" s="14">
        <f t="shared" si="1"/>
        <v>26</v>
      </c>
      <c r="I5" s="14">
        <f t="shared" si="1"/>
        <v>24</v>
      </c>
      <c r="J5" s="14">
        <f t="shared" si="1"/>
        <v>22</v>
      </c>
    </row>
    <row r="6">
      <c r="A6" s="13" t="s">
        <v>14</v>
      </c>
      <c r="B6" s="13">
        <v>46.0</v>
      </c>
      <c r="C6" s="13">
        <v>46.0</v>
      </c>
      <c r="D6" s="13">
        <v>46.0</v>
      </c>
      <c r="E6" s="13">
        <v>46.0</v>
      </c>
      <c r="F6" s="13">
        <v>46.0</v>
      </c>
      <c r="G6" s="13">
        <v>46.0</v>
      </c>
      <c r="H6" s="13">
        <v>46.0</v>
      </c>
      <c r="I6" s="13">
        <v>46.0</v>
      </c>
      <c r="J6" s="13">
        <v>46.0</v>
      </c>
    </row>
    <row r="7">
      <c r="A7" s="15" t="s">
        <v>15</v>
      </c>
      <c r="B7" s="16">
        <f t="shared" ref="B7:J7" si="2">B5/B6</f>
        <v>0.5869565217</v>
      </c>
      <c r="C7" s="16">
        <f t="shared" si="2"/>
        <v>0.5652173913</v>
      </c>
      <c r="D7" s="17">
        <f t="shared" si="2"/>
        <v>0.5434782609</v>
      </c>
      <c r="E7" s="17">
        <f t="shared" si="2"/>
        <v>0.5652173913</v>
      </c>
      <c r="F7" s="17">
        <f t="shared" si="2"/>
        <v>0.5434782609</v>
      </c>
      <c r="G7" s="17">
        <f t="shared" si="2"/>
        <v>0.5217391304</v>
      </c>
      <c r="H7" s="17">
        <f t="shared" si="2"/>
        <v>0.5652173913</v>
      </c>
      <c r="I7" s="17">
        <f t="shared" si="2"/>
        <v>0.5217391304</v>
      </c>
      <c r="J7" s="17">
        <f t="shared" si="2"/>
        <v>0.4782608696</v>
      </c>
      <c r="K7" s="18"/>
    </row>
    <row r="8">
      <c r="A8" s="19">
        <v>1.0</v>
      </c>
      <c r="B8" s="20" t="s">
        <v>16</v>
      </c>
      <c r="C8" s="21" t="s">
        <v>16</v>
      </c>
      <c r="D8" s="22" t="s">
        <v>16</v>
      </c>
      <c r="E8" s="23" t="s">
        <v>16</v>
      </c>
      <c r="F8" s="23" t="s">
        <v>16</v>
      </c>
      <c r="G8" s="23" t="s">
        <v>16</v>
      </c>
      <c r="H8" s="24" t="s">
        <v>16</v>
      </c>
      <c r="I8" s="23" t="s">
        <v>16</v>
      </c>
      <c r="J8" s="23" t="s">
        <v>16</v>
      </c>
    </row>
    <row r="9">
      <c r="A9" s="19">
        <v>2.0</v>
      </c>
      <c r="B9" s="20" t="s">
        <v>16</v>
      </c>
      <c r="C9" s="21" t="s">
        <v>16</v>
      </c>
      <c r="D9" s="25" t="s">
        <v>16</v>
      </c>
      <c r="E9" s="26" t="s">
        <v>16</v>
      </c>
      <c r="F9" s="26" t="s">
        <v>16</v>
      </c>
      <c r="G9" s="26" t="s">
        <v>16</v>
      </c>
      <c r="H9" s="27" t="s">
        <v>16</v>
      </c>
      <c r="I9" s="26" t="s">
        <v>16</v>
      </c>
      <c r="J9" s="26" t="s">
        <v>17</v>
      </c>
    </row>
    <row r="10">
      <c r="A10" s="19">
        <v>3.0</v>
      </c>
      <c r="B10" s="20" t="s">
        <v>16</v>
      </c>
      <c r="C10" s="21" t="s">
        <v>16</v>
      </c>
      <c r="D10" s="25" t="s">
        <v>16</v>
      </c>
      <c r="E10" s="26" t="s">
        <v>16</v>
      </c>
      <c r="F10" s="26" t="s">
        <v>16</v>
      </c>
      <c r="G10" s="26" t="s">
        <v>16</v>
      </c>
      <c r="H10" s="27" t="s">
        <v>16</v>
      </c>
      <c r="I10" s="26" t="s">
        <v>16</v>
      </c>
      <c r="J10" s="26" t="s">
        <v>16</v>
      </c>
    </row>
    <row r="11">
      <c r="A11" s="19">
        <v>4.0</v>
      </c>
      <c r="B11" s="20" t="s">
        <v>16</v>
      </c>
      <c r="C11" s="21" t="s">
        <v>16</v>
      </c>
      <c r="D11" s="25" t="s">
        <v>16</v>
      </c>
      <c r="E11" s="26" t="s">
        <v>16</v>
      </c>
      <c r="F11" s="26" t="s">
        <v>16</v>
      </c>
      <c r="G11" s="26" t="s">
        <v>16</v>
      </c>
      <c r="H11" s="27" t="s">
        <v>16</v>
      </c>
      <c r="I11" s="26" t="s">
        <v>16</v>
      </c>
      <c r="J11" s="26" t="s">
        <v>17</v>
      </c>
    </row>
    <row r="12">
      <c r="A12" s="19">
        <v>5.0</v>
      </c>
      <c r="B12" s="20" t="s">
        <v>16</v>
      </c>
      <c r="C12" s="21" t="s">
        <v>16</v>
      </c>
      <c r="D12" s="25" t="s">
        <v>16</v>
      </c>
      <c r="E12" s="26" t="s">
        <v>16</v>
      </c>
      <c r="F12" s="26" t="s">
        <v>16</v>
      </c>
      <c r="G12" s="26" t="s">
        <v>17</v>
      </c>
      <c r="H12" s="27" t="s">
        <v>16</v>
      </c>
      <c r="I12" s="26" t="s">
        <v>17</v>
      </c>
      <c r="J12" s="26" t="s">
        <v>16</v>
      </c>
    </row>
    <row r="13">
      <c r="A13" s="19">
        <v>6.0</v>
      </c>
      <c r="B13" s="20" t="s">
        <v>16</v>
      </c>
      <c r="C13" s="21" t="s">
        <v>16</v>
      </c>
      <c r="D13" s="25" t="s">
        <v>16</v>
      </c>
      <c r="E13" s="26" t="s">
        <v>16</v>
      </c>
      <c r="F13" s="26" t="s">
        <v>16</v>
      </c>
      <c r="G13" s="26" t="s">
        <v>16</v>
      </c>
      <c r="H13" s="27" t="s">
        <v>16</v>
      </c>
      <c r="I13" s="26" t="s">
        <v>16</v>
      </c>
      <c r="J13" s="26" t="s">
        <v>17</v>
      </c>
    </row>
    <row r="14">
      <c r="A14" s="19">
        <v>7.0</v>
      </c>
      <c r="B14" s="20" t="s">
        <v>16</v>
      </c>
      <c r="C14" s="21" t="s">
        <v>17</v>
      </c>
      <c r="D14" s="25" t="s">
        <v>17</v>
      </c>
      <c r="E14" s="26" t="s">
        <v>17</v>
      </c>
      <c r="F14" s="26" t="s">
        <v>17</v>
      </c>
      <c r="G14" s="26" t="s">
        <v>16</v>
      </c>
      <c r="H14" s="27" t="s">
        <v>17</v>
      </c>
      <c r="I14" s="26" t="s">
        <v>17</v>
      </c>
      <c r="J14" s="26" t="s">
        <v>17</v>
      </c>
    </row>
    <row r="15">
      <c r="A15" s="19">
        <v>8.0</v>
      </c>
      <c r="B15" s="20" t="s">
        <v>17</v>
      </c>
      <c r="C15" s="21" t="s">
        <v>17</v>
      </c>
      <c r="D15" s="25" t="s">
        <v>17</v>
      </c>
      <c r="E15" s="26" t="s">
        <v>17</v>
      </c>
      <c r="F15" s="26" t="s">
        <v>17</v>
      </c>
      <c r="G15" s="26" t="s">
        <v>16</v>
      </c>
      <c r="H15" s="27" t="s">
        <v>17</v>
      </c>
      <c r="I15" s="26" t="s">
        <v>17</v>
      </c>
      <c r="J15" s="26" t="s">
        <v>16</v>
      </c>
    </row>
    <row r="16">
      <c r="A16" s="19">
        <v>9.0</v>
      </c>
      <c r="B16" s="20" t="s">
        <v>17</v>
      </c>
      <c r="C16" s="21" t="s">
        <v>17</v>
      </c>
      <c r="D16" s="25" t="s">
        <v>17</v>
      </c>
      <c r="E16" s="26" t="s">
        <v>17</v>
      </c>
      <c r="F16" s="26" t="s">
        <v>17</v>
      </c>
      <c r="G16" s="26" t="s">
        <v>17</v>
      </c>
      <c r="H16" s="27" t="s">
        <v>17</v>
      </c>
      <c r="I16" s="26" t="s">
        <v>17</v>
      </c>
      <c r="J16" s="26" t="s">
        <v>16</v>
      </c>
    </row>
    <row r="17">
      <c r="A17" s="19">
        <v>10.0</v>
      </c>
      <c r="B17" s="20" t="s">
        <v>16</v>
      </c>
      <c r="C17" s="21" t="s">
        <v>16</v>
      </c>
      <c r="D17" s="25" t="s">
        <v>16</v>
      </c>
      <c r="E17" s="26" t="s">
        <v>16</v>
      </c>
      <c r="F17" s="26" t="s">
        <v>16</v>
      </c>
      <c r="G17" s="26" t="s">
        <v>17</v>
      </c>
      <c r="H17" s="27" t="s">
        <v>16</v>
      </c>
      <c r="I17" s="26" t="s">
        <v>16</v>
      </c>
      <c r="J17" s="26" t="s">
        <v>17</v>
      </c>
    </row>
    <row r="18">
      <c r="A18" s="19">
        <v>11.0</v>
      </c>
      <c r="B18" s="20" t="s">
        <v>17</v>
      </c>
      <c r="C18" s="21" t="s">
        <v>17</v>
      </c>
      <c r="D18" s="25" t="s">
        <v>17</v>
      </c>
      <c r="E18" s="26" t="s">
        <v>17</v>
      </c>
      <c r="F18" s="26" t="s">
        <v>17</v>
      </c>
      <c r="G18" s="26" t="s">
        <v>17</v>
      </c>
      <c r="H18" s="27" t="s">
        <v>17</v>
      </c>
      <c r="I18" s="26" t="s">
        <v>17</v>
      </c>
      <c r="J18" s="26" t="s">
        <v>17</v>
      </c>
    </row>
    <row r="19">
      <c r="A19" s="19">
        <v>12.0</v>
      </c>
      <c r="B19" s="20" t="s">
        <v>16</v>
      </c>
      <c r="C19" s="21" t="s">
        <v>16</v>
      </c>
      <c r="D19" s="25" t="s">
        <v>16</v>
      </c>
      <c r="E19" s="26" t="s">
        <v>16</v>
      </c>
      <c r="F19" s="26" t="s">
        <v>16</v>
      </c>
      <c r="G19" s="26" t="s">
        <v>16</v>
      </c>
      <c r="H19" s="27" t="s">
        <v>16</v>
      </c>
      <c r="I19" s="26" t="s">
        <v>16</v>
      </c>
      <c r="J19" s="26" t="s">
        <v>16</v>
      </c>
    </row>
    <row r="20">
      <c r="A20" s="19">
        <v>13.0</v>
      </c>
      <c r="B20" s="20" t="s">
        <v>16</v>
      </c>
      <c r="C20" s="21" t="s">
        <v>16</v>
      </c>
      <c r="D20" s="25" t="s">
        <v>16</v>
      </c>
      <c r="E20" s="26" t="s">
        <v>16</v>
      </c>
      <c r="F20" s="26" t="s">
        <v>16</v>
      </c>
      <c r="G20" s="26" t="s">
        <v>16</v>
      </c>
      <c r="H20" s="27" t="s">
        <v>16</v>
      </c>
      <c r="I20" s="26" t="s">
        <v>16</v>
      </c>
      <c r="J20" s="26" t="s">
        <v>17</v>
      </c>
    </row>
    <row r="21">
      <c r="A21" s="19">
        <v>14.0</v>
      </c>
      <c r="B21" s="20" t="s">
        <v>17</v>
      </c>
      <c r="C21" s="21" t="s">
        <v>17</v>
      </c>
      <c r="D21" s="25" t="s">
        <v>17</v>
      </c>
      <c r="E21" s="26" t="s">
        <v>17</v>
      </c>
      <c r="F21" s="26" t="s">
        <v>17</v>
      </c>
      <c r="G21" s="26" t="s">
        <v>17</v>
      </c>
      <c r="H21" s="27" t="s">
        <v>17</v>
      </c>
      <c r="I21" s="26" t="s">
        <v>17</v>
      </c>
      <c r="J21" s="26" t="s">
        <v>17</v>
      </c>
    </row>
    <row r="22">
      <c r="A22" s="19">
        <v>15.0</v>
      </c>
      <c r="B22" s="20" t="s">
        <v>16</v>
      </c>
      <c r="C22" s="21" t="s">
        <v>16</v>
      </c>
      <c r="D22" s="25" t="s">
        <v>16</v>
      </c>
      <c r="E22" s="26" t="s">
        <v>16</v>
      </c>
      <c r="F22" s="26" t="s">
        <v>16</v>
      </c>
      <c r="G22" s="26" t="s">
        <v>16</v>
      </c>
      <c r="H22" s="27" t="s">
        <v>16</v>
      </c>
      <c r="I22" s="26" t="s">
        <v>16</v>
      </c>
      <c r="J22" s="26" t="s">
        <v>16</v>
      </c>
    </row>
    <row r="23">
      <c r="A23" s="19">
        <v>16.0</v>
      </c>
      <c r="B23" s="20" t="s">
        <v>17</v>
      </c>
      <c r="C23" s="21" t="s">
        <v>17</v>
      </c>
      <c r="D23" s="25" t="s">
        <v>17</v>
      </c>
      <c r="E23" s="26" t="s">
        <v>17</v>
      </c>
      <c r="F23" s="26" t="s">
        <v>17</v>
      </c>
      <c r="G23" s="26" t="s">
        <v>16</v>
      </c>
      <c r="H23" s="27" t="s">
        <v>17</v>
      </c>
      <c r="I23" s="26" t="s">
        <v>17</v>
      </c>
      <c r="J23" s="26" t="s">
        <v>16</v>
      </c>
    </row>
    <row r="24">
      <c r="A24" s="19">
        <v>17.0</v>
      </c>
      <c r="B24" s="20" t="s">
        <v>17</v>
      </c>
      <c r="C24" s="21" t="s">
        <v>17</v>
      </c>
      <c r="D24" s="25" t="s">
        <v>17</v>
      </c>
      <c r="E24" s="26" t="s">
        <v>17</v>
      </c>
      <c r="F24" s="26" t="s">
        <v>17</v>
      </c>
      <c r="G24" s="26" t="s">
        <v>17</v>
      </c>
      <c r="H24" s="27" t="s">
        <v>17</v>
      </c>
      <c r="I24" s="26" t="s">
        <v>17</v>
      </c>
      <c r="J24" s="26" t="s">
        <v>17</v>
      </c>
    </row>
    <row r="25">
      <c r="A25" s="19">
        <v>18.0</v>
      </c>
      <c r="B25" s="20" t="s">
        <v>16</v>
      </c>
      <c r="C25" s="21" t="s">
        <v>16</v>
      </c>
      <c r="D25" s="25" t="s">
        <v>16</v>
      </c>
      <c r="E25" s="26" t="s">
        <v>16</v>
      </c>
      <c r="F25" s="26" t="s">
        <v>16</v>
      </c>
      <c r="G25" s="26" t="s">
        <v>16</v>
      </c>
      <c r="H25" s="27" t="s">
        <v>16</v>
      </c>
      <c r="I25" s="26" t="s">
        <v>16</v>
      </c>
      <c r="J25" s="26" t="s">
        <v>16</v>
      </c>
    </row>
    <row r="26">
      <c r="A26" s="19">
        <v>19.0</v>
      </c>
      <c r="B26" s="20" t="s">
        <v>17</v>
      </c>
      <c r="C26" s="21" t="s">
        <v>17</v>
      </c>
      <c r="D26" s="25" t="s">
        <v>17</v>
      </c>
      <c r="E26" s="26" t="s">
        <v>17</v>
      </c>
      <c r="F26" s="26" t="s">
        <v>17</v>
      </c>
      <c r="G26" s="26" t="s">
        <v>17</v>
      </c>
      <c r="H26" s="27" t="s">
        <v>17</v>
      </c>
      <c r="I26" s="26" t="s">
        <v>17</v>
      </c>
      <c r="J26" s="26" t="s">
        <v>17</v>
      </c>
    </row>
    <row r="27">
      <c r="A27" s="19">
        <v>20.0</v>
      </c>
      <c r="B27" s="20" t="s">
        <v>16</v>
      </c>
      <c r="C27" s="21" t="s">
        <v>16</v>
      </c>
      <c r="D27" s="25" t="s">
        <v>16</v>
      </c>
      <c r="E27" s="26" t="s">
        <v>16</v>
      </c>
      <c r="F27" s="26" t="s">
        <v>17</v>
      </c>
      <c r="G27" s="26" t="s">
        <v>17</v>
      </c>
      <c r="H27" s="27" t="s">
        <v>16</v>
      </c>
      <c r="I27" s="26" t="s">
        <v>16</v>
      </c>
      <c r="J27" s="26" t="s">
        <v>16</v>
      </c>
    </row>
    <row r="28">
      <c r="A28" s="19">
        <v>21.0</v>
      </c>
      <c r="B28" s="20" t="s">
        <v>17</v>
      </c>
      <c r="C28" s="21" t="s">
        <v>17</v>
      </c>
      <c r="D28" s="25" t="s">
        <v>17</v>
      </c>
      <c r="E28" s="26" t="s">
        <v>17</v>
      </c>
      <c r="F28" s="26" t="s">
        <v>17</v>
      </c>
      <c r="G28" s="26" t="s">
        <v>17</v>
      </c>
      <c r="H28" s="27" t="s">
        <v>17</v>
      </c>
      <c r="I28" s="26" t="s">
        <v>17</v>
      </c>
      <c r="J28" s="26" t="s">
        <v>17</v>
      </c>
    </row>
    <row r="29">
      <c r="A29" s="19">
        <v>22.0</v>
      </c>
      <c r="B29" s="20" t="s">
        <v>16</v>
      </c>
      <c r="C29" s="21" t="s">
        <v>16</v>
      </c>
      <c r="D29" s="25" t="s">
        <v>16</v>
      </c>
      <c r="E29" s="26" t="s">
        <v>16</v>
      </c>
      <c r="F29" s="26" t="s">
        <v>16</v>
      </c>
      <c r="G29" s="26" t="s">
        <v>16</v>
      </c>
      <c r="H29" s="27" t="s">
        <v>16</v>
      </c>
      <c r="I29" s="26" t="s">
        <v>16</v>
      </c>
      <c r="J29" s="26" t="s">
        <v>16</v>
      </c>
    </row>
    <row r="30">
      <c r="A30" s="19">
        <v>23.0</v>
      </c>
      <c r="B30" s="20" t="s">
        <v>16</v>
      </c>
      <c r="C30" s="21" t="s">
        <v>16</v>
      </c>
      <c r="D30" s="25" t="s">
        <v>16</v>
      </c>
      <c r="E30" s="26" t="s">
        <v>16</v>
      </c>
      <c r="F30" s="26" t="s">
        <v>16</v>
      </c>
      <c r="G30" s="26" t="s">
        <v>17</v>
      </c>
      <c r="H30" s="27" t="s">
        <v>16</v>
      </c>
      <c r="I30" s="26" t="s">
        <v>16</v>
      </c>
      <c r="J30" s="26" t="s">
        <v>16</v>
      </c>
    </row>
    <row r="31">
      <c r="A31" s="19">
        <v>24.0</v>
      </c>
      <c r="B31" s="20" t="s">
        <v>17</v>
      </c>
      <c r="C31" s="21" t="s">
        <v>17</v>
      </c>
      <c r="D31" s="25" t="s">
        <v>17</v>
      </c>
      <c r="E31" s="26" t="s">
        <v>17</v>
      </c>
      <c r="F31" s="26" t="s">
        <v>17</v>
      </c>
      <c r="G31" s="26" t="s">
        <v>17</v>
      </c>
      <c r="H31" s="27" t="s">
        <v>17</v>
      </c>
      <c r="I31" s="26" t="s">
        <v>17</v>
      </c>
      <c r="J31" s="26" t="s">
        <v>17</v>
      </c>
    </row>
    <row r="32">
      <c r="A32" s="19">
        <v>25.0</v>
      </c>
      <c r="B32" s="20" t="s">
        <v>17</v>
      </c>
      <c r="C32" s="21" t="s">
        <v>17</v>
      </c>
      <c r="D32" s="25" t="s">
        <v>17</v>
      </c>
      <c r="E32" s="26" t="s">
        <v>17</v>
      </c>
      <c r="F32" s="26" t="s">
        <v>17</v>
      </c>
      <c r="G32" s="26" t="s">
        <v>16</v>
      </c>
      <c r="H32" s="27" t="s">
        <v>17</v>
      </c>
      <c r="I32" s="26" t="s">
        <v>17</v>
      </c>
      <c r="J32" s="26" t="s">
        <v>17</v>
      </c>
    </row>
    <row r="33">
      <c r="A33" s="19">
        <v>26.0</v>
      </c>
      <c r="B33" s="20" t="s">
        <v>17</v>
      </c>
      <c r="C33" s="21" t="s">
        <v>17</v>
      </c>
      <c r="D33" s="25" t="s">
        <v>17</v>
      </c>
      <c r="E33" s="26" t="s">
        <v>17</v>
      </c>
      <c r="F33" s="26" t="s">
        <v>17</v>
      </c>
      <c r="G33" s="26" t="s">
        <v>17</v>
      </c>
      <c r="H33" s="27" t="s">
        <v>17</v>
      </c>
      <c r="I33" s="26" t="s">
        <v>17</v>
      </c>
      <c r="J33" s="26" t="s">
        <v>16</v>
      </c>
    </row>
    <row r="34">
      <c r="A34" s="19">
        <v>27.0</v>
      </c>
      <c r="B34" s="20" t="s">
        <v>16</v>
      </c>
      <c r="C34" s="21" t="s">
        <v>16</v>
      </c>
      <c r="D34" s="25" t="s">
        <v>16</v>
      </c>
      <c r="E34" s="26" t="s">
        <v>16</v>
      </c>
      <c r="F34" s="26" t="s">
        <v>16</v>
      </c>
      <c r="G34" s="26" t="s">
        <v>16</v>
      </c>
      <c r="H34" s="27" t="s">
        <v>16</v>
      </c>
      <c r="I34" s="26" t="s">
        <v>16</v>
      </c>
      <c r="J34" s="26" t="s">
        <v>17</v>
      </c>
    </row>
    <row r="35">
      <c r="A35" s="19">
        <v>28.0</v>
      </c>
      <c r="B35" s="20" t="s">
        <v>17</v>
      </c>
      <c r="C35" s="21" t="s">
        <v>17</v>
      </c>
      <c r="D35" s="25" t="s">
        <v>17</v>
      </c>
      <c r="E35" s="26" t="s">
        <v>17</v>
      </c>
      <c r="F35" s="26" t="s">
        <v>17</v>
      </c>
      <c r="G35" s="26" t="s">
        <v>17</v>
      </c>
      <c r="H35" s="27" t="s">
        <v>17</v>
      </c>
      <c r="I35" s="26" t="s">
        <v>17</v>
      </c>
      <c r="J35" s="26" t="s">
        <v>17</v>
      </c>
    </row>
    <row r="36">
      <c r="A36" s="19">
        <v>29.0</v>
      </c>
      <c r="B36" s="20" t="s">
        <v>16</v>
      </c>
      <c r="C36" s="21" t="s">
        <v>16</v>
      </c>
      <c r="D36" s="25" t="s">
        <v>16</v>
      </c>
      <c r="E36" s="26" t="s">
        <v>16</v>
      </c>
      <c r="F36" s="26" t="s">
        <v>16</v>
      </c>
      <c r="G36" s="26" t="s">
        <v>16</v>
      </c>
      <c r="H36" s="27" t="s">
        <v>16</v>
      </c>
      <c r="I36" s="26" t="s">
        <v>16</v>
      </c>
      <c r="J36" s="26" t="s">
        <v>16</v>
      </c>
    </row>
    <row r="37">
      <c r="A37" s="19">
        <v>30.0</v>
      </c>
      <c r="B37" s="20" t="s">
        <v>17</v>
      </c>
      <c r="C37" s="21" t="s">
        <v>17</v>
      </c>
      <c r="D37" s="25" t="s">
        <v>17</v>
      </c>
      <c r="E37" s="26" t="s">
        <v>17</v>
      </c>
      <c r="F37" s="26" t="s">
        <v>17</v>
      </c>
      <c r="G37" s="26" t="s">
        <v>17</v>
      </c>
      <c r="H37" s="27" t="s">
        <v>17</v>
      </c>
      <c r="I37" s="26" t="s">
        <v>17</v>
      </c>
      <c r="J37" s="26" t="s">
        <v>17</v>
      </c>
    </row>
    <row r="38">
      <c r="A38" s="19">
        <v>31.0</v>
      </c>
      <c r="B38" s="20" t="s">
        <v>17</v>
      </c>
      <c r="C38" s="21" t="s">
        <v>17</v>
      </c>
      <c r="D38" s="25" t="s">
        <v>17</v>
      </c>
      <c r="E38" s="26" t="s">
        <v>17</v>
      </c>
      <c r="F38" s="26" t="s">
        <v>17</v>
      </c>
      <c r="G38" s="26" t="s">
        <v>17</v>
      </c>
      <c r="H38" s="27" t="s">
        <v>17</v>
      </c>
      <c r="I38" s="26" t="s">
        <v>17</v>
      </c>
      <c r="J38" s="26" t="s">
        <v>17</v>
      </c>
    </row>
    <row r="39">
      <c r="A39" s="19">
        <v>32.0</v>
      </c>
      <c r="B39" s="20" t="s">
        <v>16</v>
      </c>
      <c r="C39" s="21" t="s">
        <v>16</v>
      </c>
      <c r="D39" s="25" t="s">
        <v>16</v>
      </c>
      <c r="E39" s="26" t="s">
        <v>16</v>
      </c>
      <c r="F39" s="26" t="s">
        <v>16</v>
      </c>
      <c r="G39" s="26" t="s">
        <v>16</v>
      </c>
      <c r="H39" s="27" t="s">
        <v>16</v>
      </c>
      <c r="I39" s="26" t="s">
        <v>16</v>
      </c>
      <c r="J39" s="26" t="s">
        <v>17</v>
      </c>
    </row>
    <row r="40">
      <c r="A40" s="19">
        <v>33.0</v>
      </c>
      <c r="B40" s="20" t="s">
        <v>16</v>
      </c>
      <c r="C40" s="21" t="s">
        <v>16</v>
      </c>
      <c r="D40" s="25" t="s">
        <v>17</v>
      </c>
      <c r="E40" s="26" t="s">
        <v>16</v>
      </c>
      <c r="F40" s="26" t="s">
        <v>16</v>
      </c>
      <c r="G40" s="26" t="s">
        <v>16</v>
      </c>
      <c r="H40" s="27" t="s">
        <v>16</v>
      </c>
      <c r="I40" s="26" t="s">
        <v>16</v>
      </c>
      <c r="J40" s="26" t="s">
        <v>17</v>
      </c>
    </row>
    <row r="41">
      <c r="A41" s="19">
        <v>34.0</v>
      </c>
      <c r="B41" s="20" t="s">
        <v>16</v>
      </c>
      <c r="C41" s="21" t="s">
        <v>16</v>
      </c>
      <c r="D41" s="25" t="s">
        <v>16</v>
      </c>
      <c r="E41" s="26" t="s">
        <v>16</v>
      </c>
      <c r="F41" s="26" t="s">
        <v>16</v>
      </c>
      <c r="G41" s="26" t="s">
        <v>17</v>
      </c>
      <c r="H41" s="27" t="s">
        <v>16</v>
      </c>
      <c r="I41" s="26" t="s">
        <v>17</v>
      </c>
      <c r="J41" s="26" t="s">
        <v>17</v>
      </c>
    </row>
    <row r="42">
      <c r="A42" s="19">
        <v>35.0</v>
      </c>
      <c r="B42" s="20" t="s">
        <v>16</v>
      </c>
      <c r="C42" s="21" t="s">
        <v>16</v>
      </c>
      <c r="D42" s="25" t="s">
        <v>16</v>
      </c>
      <c r="E42" s="26" t="s">
        <v>16</v>
      </c>
      <c r="F42" s="26" t="s">
        <v>16</v>
      </c>
      <c r="G42" s="26" t="s">
        <v>17</v>
      </c>
      <c r="H42" s="27" t="s">
        <v>16</v>
      </c>
      <c r="I42" s="26" t="s">
        <v>16</v>
      </c>
      <c r="J42" s="26" t="s">
        <v>16</v>
      </c>
    </row>
    <row r="43">
      <c r="A43" s="19">
        <v>36.0</v>
      </c>
      <c r="B43" s="20" t="s">
        <v>16</v>
      </c>
      <c r="C43" s="21" t="s">
        <v>16</v>
      </c>
      <c r="D43" s="25" t="s">
        <v>16</v>
      </c>
      <c r="E43" s="26" t="s">
        <v>16</v>
      </c>
      <c r="F43" s="26" t="s">
        <v>16</v>
      </c>
      <c r="G43" s="26" t="s">
        <v>16</v>
      </c>
      <c r="H43" s="27" t="s">
        <v>16</v>
      </c>
      <c r="I43" s="26" t="s">
        <v>16</v>
      </c>
      <c r="J43" s="26" t="s">
        <v>16</v>
      </c>
    </row>
    <row r="44">
      <c r="A44" s="19">
        <v>37.0</v>
      </c>
      <c r="B44" s="20" t="s">
        <v>17</v>
      </c>
      <c r="C44" s="21" t="s">
        <v>17</v>
      </c>
      <c r="D44" s="25" t="s">
        <v>17</v>
      </c>
      <c r="E44" s="26" t="s">
        <v>17</v>
      </c>
      <c r="F44" s="26" t="s">
        <v>17</v>
      </c>
      <c r="G44" s="26" t="s">
        <v>17</v>
      </c>
      <c r="H44" s="27" t="s">
        <v>17</v>
      </c>
      <c r="I44" s="26" t="s">
        <v>17</v>
      </c>
      <c r="J44" s="26" t="s">
        <v>16</v>
      </c>
    </row>
    <row r="45">
      <c r="A45" s="19">
        <v>38.0</v>
      </c>
      <c r="B45" s="20" t="s">
        <v>16</v>
      </c>
      <c r="C45" s="21" t="s">
        <v>16</v>
      </c>
      <c r="D45" s="25" t="s">
        <v>16</v>
      </c>
      <c r="E45" s="26" t="s">
        <v>16</v>
      </c>
      <c r="F45" s="26" t="s">
        <v>16</v>
      </c>
      <c r="G45" s="26" t="s">
        <v>16</v>
      </c>
      <c r="H45" s="27" t="s">
        <v>16</v>
      </c>
      <c r="I45" s="26" t="s">
        <v>16</v>
      </c>
      <c r="J45" s="26" t="s">
        <v>16</v>
      </c>
    </row>
    <row r="46">
      <c r="A46" s="19">
        <v>39.0</v>
      </c>
      <c r="B46" s="20" t="s">
        <v>17</v>
      </c>
      <c r="C46" s="21" t="s">
        <v>17</v>
      </c>
      <c r="D46" s="25" t="s">
        <v>17</v>
      </c>
      <c r="E46" s="26" t="s">
        <v>17</v>
      </c>
      <c r="F46" s="26" t="s">
        <v>17</v>
      </c>
      <c r="G46" s="26" t="s">
        <v>16</v>
      </c>
      <c r="H46" s="27" t="s">
        <v>17</v>
      </c>
      <c r="I46" s="26" t="s">
        <v>17</v>
      </c>
      <c r="J46" s="26" t="s">
        <v>17</v>
      </c>
    </row>
    <row r="47">
      <c r="A47" s="19">
        <v>40.0</v>
      </c>
      <c r="B47" s="20" t="s">
        <v>16</v>
      </c>
      <c r="C47" s="21" t="s">
        <v>16</v>
      </c>
      <c r="D47" s="25" t="s">
        <v>16</v>
      </c>
      <c r="E47" s="26" t="s">
        <v>16</v>
      </c>
      <c r="F47" s="26" t="s">
        <v>16</v>
      </c>
      <c r="G47" s="26" t="s">
        <v>17</v>
      </c>
      <c r="H47" s="27" t="s">
        <v>16</v>
      </c>
      <c r="I47" s="26" t="s">
        <v>16</v>
      </c>
      <c r="J47" s="26" t="s">
        <v>16</v>
      </c>
    </row>
    <row r="48">
      <c r="A48" s="19">
        <v>41.0</v>
      </c>
      <c r="B48" s="20" t="s">
        <v>16</v>
      </c>
      <c r="C48" s="21" t="s">
        <v>16</v>
      </c>
      <c r="D48" s="25" t="s">
        <v>16</v>
      </c>
      <c r="E48" s="26" t="s">
        <v>16</v>
      </c>
      <c r="F48" s="26" t="s">
        <v>16</v>
      </c>
      <c r="G48" s="26" t="s">
        <v>16</v>
      </c>
      <c r="H48" s="27" t="s">
        <v>16</v>
      </c>
      <c r="I48" s="26" t="s">
        <v>16</v>
      </c>
      <c r="J48" s="26" t="s">
        <v>16</v>
      </c>
    </row>
    <row r="49">
      <c r="A49" s="19">
        <v>42.0</v>
      </c>
      <c r="B49" s="20" t="s">
        <v>17</v>
      </c>
      <c r="C49" s="21" t="s">
        <v>17</v>
      </c>
      <c r="D49" s="25" t="s">
        <v>17</v>
      </c>
      <c r="E49" s="26" t="s">
        <v>17</v>
      </c>
      <c r="F49" s="26" t="s">
        <v>17</v>
      </c>
      <c r="G49" s="26" t="s">
        <v>17</v>
      </c>
      <c r="H49" s="27" t="s">
        <v>17</v>
      </c>
      <c r="I49" s="26" t="s">
        <v>17</v>
      </c>
      <c r="J49" s="26" t="s">
        <v>16</v>
      </c>
    </row>
    <row r="50">
      <c r="A50" s="19">
        <v>43.0</v>
      </c>
      <c r="B50" s="20" t="s">
        <v>17</v>
      </c>
      <c r="C50" s="21" t="s">
        <v>17</v>
      </c>
      <c r="D50" s="25" t="s">
        <v>17</v>
      </c>
      <c r="E50" s="26" t="s">
        <v>17</v>
      </c>
      <c r="F50" s="26" t="s">
        <v>17</v>
      </c>
      <c r="G50" s="26" t="s">
        <v>17</v>
      </c>
      <c r="H50" s="27" t="s">
        <v>17</v>
      </c>
      <c r="I50" s="26" t="s">
        <v>17</v>
      </c>
      <c r="J50" s="26" t="s">
        <v>17</v>
      </c>
    </row>
    <row r="51">
      <c r="A51" s="19">
        <v>44.0</v>
      </c>
      <c r="B51" s="20" t="s">
        <v>17</v>
      </c>
      <c r="C51" s="21" t="s">
        <v>17</v>
      </c>
      <c r="D51" s="25" t="s">
        <v>17</v>
      </c>
      <c r="E51" s="26" t="s">
        <v>17</v>
      </c>
      <c r="F51" s="26" t="s">
        <v>17</v>
      </c>
      <c r="G51" s="26" t="s">
        <v>17</v>
      </c>
      <c r="H51" s="27" t="s">
        <v>17</v>
      </c>
      <c r="I51" s="26" t="s">
        <v>17</v>
      </c>
      <c r="J51" s="26" t="s">
        <v>17</v>
      </c>
    </row>
    <row r="52">
      <c r="A52" s="19">
        <v>45.0</v>
      </c>
      <c r="B52" s="20" t="s">
        <v>16</v>
      </c>
      <c r="C52" s="21" t="s">
        <v>16</v>
      </c>
      <c r="D52" s="25" t="s">
        <v>16</v>
      </c>
      <c r="E52" s="26" t="s">
        <v>16</v>
      </c>
      <c r="F52" s="26" t="s">
        <v>16</v>
      </c>
      <c r="G52" s="26" t="s">
        <v>16</v>
      </c>
      <c r="H52" s="27" t="s">
        <v>16</v>
      </c>
      <c r="I52" s="26" t="s">
        <v>16</v>
      </c>
      <c r="J52" s="26" t="s">
        <v>16</v>
      </c>
    </row>
    <row r="53">
      <c r="A53" s="19">
        <v>46.0</v>
      </c>
      <c r="B53" s="28" t="s">
        <v>16</v>
      </c>
      <c r="C53" s="21" t="s">
        <v>16</v>
      </c>
      <c r="D53" s="29" t="s">
        <v>16</v>
      </c>
      <c r="E53" s="30" t="s">
        <v>16</v>
      </c>
      <c r="F53" s="30" t="s">
        <v>16</v>
      </c>
      <c r="G53" s="30" t="s">
        <v>16</v>
      </c>
      <c r="H53" s="31" t="s">
        <v>16</v>
      </c>
      <c r="I53" s="30" t="s">
        <v>16</v>
      </c>
      <c r="J53" s="30" t="s">
        <v>17</v>
      </c>
    </row>
    <row r="54">
      <c r="A54" s="32"/>
      <c r="B54" s="32"/>
      <c r="C54" s="32"/>
      <c r="D54" s="32"/>
    </row>
    <row r="55">
      <c r="A55" s="32"/>
      <c r="B55" s="32"/>
      <c r="C55" s="32"/>
      <c r="D55" s="32"/>
    </row>
    <row r="56">
      <c r="A56" s="32"/>
      <c r="B56" s="32"/>
      <c r="C56" s="32"/>
      <c r="D56" s="32"/>
    </row>
    <row r="57">
      <c r="A57" s="32"/>
      <c r="B57" s="32"/>
      <c r="C57" s="32"/>
      <c r="D57" s="32"/>
    </row>
    <row r="58">
      <c r="A58" s="32"/>
      <c r="B58" s="32"/>
      <c r="C58" s="32"/>
      <c r="D58" s="32"/>
    </row>
    <row r="59">
      <c r="A59" s="32"/>
      <c r="B59" s="32"/>
      <c r="C59" s="32"/>
      <c r="D59" s="32"/>
    </row>
    <row r="60">
      <c r="A60" s="32"/>
      <c r="B60" s="32"/>
      <c r="C60" s="32"/>
      <c r="D60" s="32"/>
    </row>
    <row r="61">
      <c r="A61" s="32"/>
      <c r="B61" s="32"/>
      <c r="C61" s="32"/>
      <c r="D61" s="32"/>
    </row>
    <row r="62">
      <c r="A62" s="32"/>
      <c r="B62" s="32"/>
      <c r="C62" s="32"/>
      <c r="D62" s="32"/>
    </row>
    <row r="63">
      <c r="A63" s="32"/>
      <c r="B63" s="32"/>
      <c r="C63" s="32"/>
      <c r="D63" s="32"/>
    </row>
    <row r="64">
      <c r="A64" s="32"/>
      <c r="B64" s="32"/>
      <c r="C64" s="32"/>
      <c r="D64" s="32"/>
    </row>
    <row r="65">
      <c r="A65" s="32"/>
      <c r="B65" s="32"/>
      <c r="C65" s="32"/>
      <c r="D65" s="32"/>
    </row>
    <row r="66">
      <c r="A66" s="32"/>
      <c r="B66" s="32"/>
      <c r="C66" s="32"/>
      <c r="D66" s="32"/>
    </row>
    <row r="67">
      <c r="A67" s="32"/>
      <c r="B67" s="32"/>
      <c r="C67" s="32"/>
      <c r="D67" s="32"/>
    </row>
    <row r="68">
      <c r="A68" s="32"/>
      <c r="B68" s="32"/>
      <c r="C68" s="32"/>
      <c r="D68" s="32"/>
    </row>
    <row r="69">
      <c r="A69" s="32"/>
      <c r="B69" s="32"/>
      <c r="C69" s="32"/>
      <c r="D69" s="32"/>
    </row>
    <row r="70">
      <c r="A70" s="32"/>
      <c r="B70" s="32"/>
      <c r="C70" s="32"/>
      <c r="D70" s="32"/>
    </row>
    <row r="71">
      <c r="A71" s="32"/>
      <c r="B71" s="32"/>
      <c r="C71" s="32"/>
      <c r="D71" s="32"/>
    </row>
    <row r="72">
      <c r="A72" s="32"/>
      <c r="B72" s="32"/>
      <c r="C72" s="32"/>
      <c r="D72" s="32"/>
    </row>
    <row r="73">
      <c r="A73" s="32"/>
      <c r="B73" s="32"/>
      <c r="C73" s="32"/>
      <c r="D73" s="32"/>
    </row>
    <row r="74">
      <c r="A74" s="32"/>
      <c r="B74" s="32"/>
      <c r="C74" s="32"/>
      <c r="D74" s="32"/>
    </row>
    <row r="75">
      <c r="A75" s="32"/>
      <c r="B75" s="32"/>
      <c r="C75" s="32"/>
      <c r="D75" s="32"/>
    </row>
    <row r="76">
      <c r="A76" s="32"/>
      <c r="B76" s="32"/>
      <c r="C76" s="32"/>
      <c r="D76" s="32"/>
    </row>
    <row r="77">
      <c r="A77" s="32"/>
      <c r="B77" s="32"/>
      <c r="C77" s="32"/>
      <c r="D77" s="32"/>
    </row>
    <row r="78">
      <c r="A78" s="32"/>
      <c r="B78" s="32"/>
      <c r="C78" s="32"/>
      <c r="D78" s="32"/>
    </row>
    <row r="79">
      <c r="A79" s="32"/>
      <c r="B79" s="32"/>
      <c r="C79" s="32"/>
      <c r="D79" s="32"/>
    </row>
    <row r="80">
      <c r="A80" s="32"/>
      <c r="B80" s="32"/>
      <c r="C80" s="32"/>
      <c r="D80" s="32"/>
    </row>
    <row r="81">
      <c r="A81" s="32"/>
      <c r="B81" s="32"/>
      <c r="C81" s="32"/>
      <c r="D81" s="32"/>
    </row>
    <row r="82">
      <c r="A82" s="32"/>
      <c r="B82" s="32"/>
      <c r="C82" s="32"/>
      <c r="D82" s="32"/>
    </row>
    <row r="83">
      <c r="A83" s="32"/>
      <c r="B83" s="32"/>
      <c r="C83" s="32"/>
      <c r="D83" s="32"/>
    </row>
    <row r="84">
      <c r="A84" s="32"/>
      <c r="B84" s="32"/>
      <c r="C84" s="32"/>
      <c r="D84" s="32"/>
    </row>
    <row r="85">
      <c r="A85" s="32"/>
      <c r="B85" s="32"/>
      <c r="C85" s="32"/>
      <c r="D85" s="32"/>
    </row>
    <row r="86">
      <c r="A86" s="32"/>
      <c r="B86" s="32"/>
      <c r="C86" s="32"/>
      <c r="D86" s="32"/>
    </row>
    <row r="87">
      <c r="A87" s="32"/>
      <c r="B87" s="32"/>
      <c r="C87" s="32"/>
      <c r="D87" s="32"/>
    </row>
    <row r="88">
      <c r="A88" s="32"/>
      <c r="B88" s="32"/>
      <c r="C88" s="32"/>
      <c r="D88" s="32"/>
    </row>
    <row r="89">
      <c r="A89" s="32"/>
      <c r="B89" s="32"/>
      <c r="C89" s="32"/>
      <c r="D89" s="32"/>
    </row>
    <row r="90">
      <c r="A90" s="32"/>
      <c r="B90" s="32"/>
      <c r="C90" s="32"/>
      <c r="D90" s="32"/>
    </row>
    <row r="91">
      <c r="A91" s="32"/>
      <c r="B91" s="32"/>
      <c r="C91" s="32"/>
      <c r="D91" s="32"/>
    </row>
    <row r="92">
      <c r="A92" s="32"/>
      <c r="B92" s="32"/>
      <c r="C92" s="32"/>
      <c r="D92" s="32"/>
    </row>
    <row r="93">
      <c r="A93" s="32"/>
      <c r="B93" s="32"/>
      <c r="C93" s="32"/>
      <c r="D93" s="32"/>
    </row>
    <row r="94">
      <c r="A94" s="32"/>
      <c r="B94" s="32"/>
      <c r="C94" s="32"/>
      <c r="D94" s="32"/>
    </row>
    <row r="95">
      <c r="A95" s="32"/>
      <c r="B95" s="32"/>
      <c r="C95" s="32"/>
      <c r="D95" s="32"/>
    </row>
    <row r="96">
      <c r="A96" s="32"/>
      <c r="B96" s="32"/>
      <c r="C96" s="32"/>
      <c r="D96" s="32"/>
    </row>
    <row r="97">
      <c r="A97" s="32"/>
      <c r="B97" s="32"/>
      <c r="C97" s="32"/>
      <c r="D97" s="32"/>
    </row>
    <row r="98">
      <c r="A98" s="32"/>
      <c r="B98" s="32"/>
      <c r="C98" s="32"/>
      <c r="D98" s="32"/>
    </row>
    <row r="99">
      <c r="A99" s="32"/>
      <c r="B99" s="32"/>
      <c r="C99" s="32"/>
      <c r="D99" s="32"/>
    </row>
    <row r="100">
      <c r="A100" s="32"/>
      <c r="B100" s="32"/>
      <c r="C100" s="32"/>
      <c r="D100" s="32"/>
    </row>
    <row r="101">
      <c r="A101" s="32"/>
      <c r="B101" s="32"/>
      <c r="C101" s="32"/>
      <c r="D101" s="32"/>
    </row>
    <row r="102">
      <c r="A102" s="32"/>
      <c r="B102" s="32"/>
      <c r="C102" s="32"/>
      <c r="D102" s="32"/>
    </row>
    <row r="103">
      <c r="A103" s="32"/>
      <c r="B103" s="32"/>
      <c r="C103" s="32"/>
      <c r="D103" s="32"/>
    </row>
    <row r="104">
      <c r="A104" s="32"/>
      <c r="B104" s="32"/>
      <c r="C104" s="32"/>
      <c r="D104" s="32"/>
    </row>
    <row r="105">
      <c r="A105" s="32"/>
      <c r="B105" s="32"/>
      <c r="C105" s="32"/>
      <c r="D105" s="32"/>
    </row>
    <row r="106">
      <c r="A106" s="32"/>
      <c r="B106" s="32"/>
      <c r="C106" s="32"/>
      <c r="D106" s="32"/>
    </row>
    <row r="107">
      <c r="A107" s="32"/>
      <c r="B107" s="32"/>
      <c r="C107" s="32"/>
      <c r="D107" s="32"/>
    </row>
    <row r="108">
      <c r="A108" s="32"/>
      <c r="B108" s="32"/>
      <c r="C108" s="32"/>
      <c r="D108" s="32"/>
    </row>
    <row r="109">
      <c r="A109" s="32"/>
      <c r="B109" s="32"/>
      <c r="C109" s="32"/>
      <c r="D109" s="32"/>
    </row>
    <row r="110">
      <c r="A110" s="32"/>
      <c r="B110" s="32"/>
      <c r="C110" s="32"/>
      <c r="D110" s="32"/>
    </row>
    <row r="111">
      <c r="A111" s="32"/>
      <c r="B111" s="32"/>
      <c r="C111" s="32"/>
      <c r="D111" s="32"/>
    </row>
    <row r="112">
      <c r="A112" s="32"/>
      <c r="B112" s="32"/>
      <c r="C112" s="32"/>
      <c r="D112" s="32"/>
    </row>
    <row r="113">
      <c r="A113" s="32"/>
      <c r="B113" s="32"/>
      <c r="C113" s="32"/>
      <c r="D113" s="32"/>
    </row>
    <row r="114">
      <c r="A114" s="32"/>
      <c r="B114" s="32"/>
      <c r="C114" s="32"/>
      <c r="D114" s="32"/>
    </row>
    <row r="115">
      <c r="A115" s="32"/>
      <c r="B115" s="32"/>
      <c r="C115" s="32"/>
      <c r="D115" s="32"/>
    </row>
    <row r="116">
      <c r="A116" s="32"/>
      <c r="B116" s="32"/>
      <c r="C116" s="32"/>
      <c r="D116" s="32"/>
    </row>
    <row r="117">
      <c r="A117" s="32"/>
      <c r="B117" s="32"/>
      <c r="C117" s="32"/>
      <c r="D117" s="32"/>
    </row>
    <row r="118">
      <c r="A118" s="32"/>
      <c r="B118" s="32"/>
      <c r="C118" s="32"/>
      <c r="D118" s="32"/>
    </row>
    <row r="119">
      <c r="A119" s="32"/>
      <c r="B119" s="32"/>
      <c r="C119" s="32"/>
      <c r="D119" s="32"/>
    </row>
    <row r="120">
      <c r="A120" s="32"/>
      <c r="B120" s="32"/>
      <c r="C120" s="32"/>
      <c r="D120" s="32"/>
    </row>
    <row r="121">
      <c r="A121" s="32"/>
      <c r="B121" s="32"/>
      <c r="C121" s="32"/>
      <c r="D121" s="32"/>
    </row>
    <row r="122">
      <c r="A122" s="32"/>
      <c r="B122" s="32"/>
      <c r="C122" s="32"/>
      <c r="D122" s="32"/>
    </row>
    <row r="123">
      <c r="A123" s="32"/>
      <c r="B123" s="32"/>
      <c r="C123" s="32"/>
      <c r="D123" s="32"/>
    </row>
    <row r="124">
      <c r="A124" s="32"/>
      <c r="B124" s="32"/>
      <c r="C124" s="32"/>
      <c r="D124" s="32"/>
    </row>
    <row r="125">
      <c r="A125" s="32"/>
      <c r="B125" s="32"/>
      <c r="C125" s="32"/>
      <c r="D125" s="32"/>
    </row>
    <row r="126">
      <c r="A126" s="32"/>
      <c r="B126" s="32"/>
      <c r="C126" s="32"/>
      <c r="D126" s="32"/>
    </row>
    <row r="127">
      <c r="A127" s="32"/>
      <c r="B127" s="32"/>
      <c r="C127" s="32"/>
      <c r="D127" s="32"/>
    </row>
    <row r="128">
      <c r="A128" s="32"/>
      <c r="B128" s="32"/>
      <c r="C128" s="32"/>
      <c r="D128" s="32"/>
    </row>
    <row r="129">
      <c r="A129" s="32"/>
      <c r="B129" s="32"/>
      <c r="C129" s="32"/>
      <c r="D129" s="32"/>
    </row>
    <row r="130">
      <c r="A130" s="32"/>
      <c r="B130" s="32"/>
      <c r="C130" s="32"/>
      <c r="D130" s="32"/>
    </row>
    <row r="131">
      <c r="A131" s="32"/>
      <c r="B131" s="32"/>
      <c r="C131" s="32"/>
      <c r="D131" s="32"/>
    </row>
    <row r="132">
      <c r="A132" s="32"/>
      <c r="B132" s="32"/>
      <c r="C132" s="32"/>
      <c r="D132" s="32"/>
    </row>
    <row r="133">
      <c r="A133" s="32"/>
      <c r="B133" s="32"/>
      <c r="C133" s="32"/>
      <c r="D133" s="32"/>
    </row>
    <row r="134">
      <c r="A134" s="32"/>
      <c r="B134" s="32"/>
      <c r="C134" s="32"/>
      <c r="D134" s="32"/>
    </row>
    <row r="135">
      <c r="A135" s="32"/>
      <c r="B135" s="32"/>
      <c r="C135" s="32"/>
      <c r="D135" s="32"/>
    </row>
    <row r="136">
      <c r="A136" s="32"/>
      <c r="B136" s="32"/>
      <c r="C136" s="32"/>
      <c r="D136" s="32"/>
    </row>
    <row r="137">
      <c r="A137" s="32"/>
      <c r="B137" s="32"/>
      <c r="C137" s="32"/>
      <c r="D137" s="32"/>
    </row>
    <row r="138">
      <c r="A138" s="32"/>
      <c r="B138" s="32"/>
      <c r="C138" s="32"/>
      <c r="D138" s="32"/>
    </row>
    <row r="139">
      <c r="A139" s="32"/>
      <c r="B139" s="32"/>
      <c r="C139" s="32"/>
      <c r="D139" s="32"/>
    </row>
    <row r="140">
      <c r="A140" s="32"/>
      <c r="B140" s="32"/>
      <c r="C140" s="32"/>
      <c r="D140" s="32"/>
    </row>
    <row r="141">
      <c r="A141" s="32"/>
      <c r="B141" s="32"/>
      <c r="C141" s="32"/>
      <c r="D141" s="32"/>
    </row>
    <row r="142">
      <c r="A142" s="32"/>
      <c r="B142" s="32"/>
      <c r="C142" s="32"/>
      <c r="D142" s="32"/>
    </row>
    <row r="143">
      <c r="A143" s="32"/>
      <c r="B143" s="32"/>
      <c r="C143" s="32"/>
      <c r="D143" s="32"/>
    </row>
    <row r="144">
      <c r="A144" s="32"/>
      <c r="B144" s="32"/>
      <c r="C144" s="32"/>
      <c r="D144" s="32"/>
    </row>
    <row r="145">
      <c r="A145" s="32"/>
      <c r="B145" s="32"/>
      <c r="C145" s="32"/>
      <c r="D145" s="32"/>
    </row>
    <row r="146">
      <c r="A146" s="32"/>
      <c r="B146" s="32"/>
      <c r="C146" s="32"/>
      <c r="D146" s="32"/>
    </row>
    <row r="147">
      <c r="A147" s="32"/>
      <c r="B147" s="32"/>
      <c r="C147" s="32"/>
      <c r="D147" s="32"/>
    </row>
    <row r="148">
      <c r="A148" s="32"/>
      <c r="B148" s="32"/>
      <c r="C148" s="32"/>
      <c r="D148" s="32"/>
    </row>
    <row r="149">
      <c r="A149" s="32"/>
      <c r="B149" s="32"/>
      <c r="C149" s="32"/>
      <c r="D149" s="32"/>
    </row>
    <row r="150">
      <c r="A150" s="32"/>
      <c r="B150" s="32"/>
      <c r="C150" s="32"/>
      <c r="D150" s="32"/>
    </row>
    <row r="151">
      <c r="A151" s="32"/>
      <c r="B151" s="32"/>
      <c r="C151" s="32"/>
      <c r="D151" s="32"/>
    </row>
    <row r="152">
      <c r="A152" s="32"/>
      <c r="B152" s="32"/>
      <c r="C152" s="32"/>
      <c r="D152" s="32"/>
    </row>
    <row r="153">
      <c r="A153" s="32"/>
      <c r="B153" s="32"/>
      <c r="C153" s="32"/>
      <c r="D153" s="32"/>
    </row>
    <row r="154">
      <c r="A154" s="32"/>
      <c r="B154" s="32"/>
      <c r="C154" s="32"/>
      <c r="D154" s="32"/>
    </row>
    <row r="155">
      <c r="A155" s="32"/>
      <c r="B155" s="32"/>
      <c r="C155" s="32"/>
      <c r="D155" s="32"/>
    </row>
    <row r="156">
      <c r="A156" s="32"/>
      <c r="B156" s="32"/>
      <c r="C156" s="32"/>
      <c r="D156" s="32"/>
    </row>
    <row r="157">
      <c r="A157" s="32"/>
      <c r="B157" s="32"/>
      <c r="C157" s="32"/>
      <c r="D157" s="32"/>
    </row>
    <row r="158">
      <c r="A158" s="32"/>
      <c r="B158" s="32"/>
      <c r="C158" s="32"/>
      <c r="D158" s="32"/>
    </row>
    <row r="159">
      <c r="A159" s="32"/>
      <c r="B159" s="32"/>
      <c r="C159" s="32"/>
      <c r="D159" s="32"/>
    </row>
    <row r="160">
      <c r="A160" s="32"/>
      <c r="B160" s="32"/>
      <c r="C160" s="32"/>
      <c r="D160" s="32"/>
    </row>
    <row r="161">
      <c r="A161" s="32"/>
      <c r="B161" s="32"/>
      <c r="C161" s="32"/>
      <c r="D161" s="32"/>
    </row>
    <row r="162">
      <c r="A162" s="32"/>
      <c r="B162" s="32"/>
      <c r="C162" s="32"/>
      <c r="D162" s="32"/>
    </row>
    <row r="163">
      <c r="A163" s="32"/>
      <c r="B163" s="32"/>
      <c r="C163" s="32"/>
      <c r="D163" s="32"/>
    </row>
    <row r="164">
      <c r="A164" s="32"/>
      <c r="B164" s="32"/>
      <c r="C164" s="32"/>
      <c r="D164" s="32"/>
    </row>
    <row r="165">
      <c r="A165" s="32"/>
      <c r="B165" s="32"/>
      <c r="C165" s="32"/>
      <c r="D165" s="32"/>
    </row>
    <row r="166">
      <c r="A166" s="32"/>
      <c r="B166" s="32"/>
      <c r="C166" s="32"/>
      <c r="D166" s="32"/>
    </row>
    <row r="167">
      <c r="A167" s="32"/>
      <c r="B167" s="32"/>
      <c r="C167" s="32"/>
      <c r="D167" s="32"/>
    </row>
    <row r="168">
      <c r="A168" s="32"/>
      <c r="B168" s="32"/>
      <c r="C168" s="32"/>
      <c r="D168" s="32"/>
    </row>
    <row r="169">
      <c r="A169" s="32"/>
      <c r="B169" s="32"/>
      <c r="C169" s="32"/>
      <c r="D169" s="32"/>
    </row>
    <row r="170">
      <c r="A170" s="32"/>
      <c r="B170" s="32"/>
      <c r="C170" s="32"/>
      <c r="D170" s="32"/>
    </row>
    <row r="171">
      <c r="A171" s="32"/>
      <c r="B171" s="32"/>
      <c r="C171" s="32"/>
      <c r="D171" s="32"/>
    </row>
    <row r="172">
      <c r="A172" s="32"/>
      <c r="B172" s="32"/>
      <c r="C172" s="32"/>
      <c r="D172" s="32"/>
    </row>
    <row r="173">
      <c r="A173" s="32"/>
      <c r="B173" s="32"/>
      <c r="C173" s="32"/>
      <c r="D173" s="32"/>
    </row>
    <row r="174">
      <c r="A174" s="32"/>
      <c r="B174" s="32"/>
      <c r="C174" s="32"/>
      <c r="D174" s="32"/>
    </row>
    <row r="175">
      <c r="A175" s="32"/>
      <c r="B175" s="32"/>
      <c r="C175" s="32"/>
      <c r="D175" s="32"/>
    </row>
    <row r="176">
      <c r="A176" s="32"/>
      <c r="B176" s="32"/>
      <c r="C176" s="32"/>
      <c r="D176" s="32"/>
    </row>
    <row r="177">
      <c r="A177" s="32"/>
      <c r="B177" s="32"/>
      <c r="C177" s="32"/>
      <c r="D177" s="32"/>
    </row>
    <row r="178">
      <c r="A178" s="32"/>
      <c r="B178" s="32"/>
      <c r="C178" s="32"/>
      <c r="D178" s="32"/>
    </row>
    <row r="179">
      <c r="A179" s="32"/>
      <c r="B179" s="32"/>
      <c r="C179" s="32"/>
      <c r="D179" s="32"/>
    </row>
    <row r="180">
      <c r="A180" s="32"/>
      <c r="B180" s="32"/>
      <c r="C180" s="32"/>
      <c r="D180" s="32"/>
    </row>
    <row r="181">
      <c r="A181" s="32"/>
      <c r="B181" s="32"/>
      <c r="C181" s="32"/>
      <c r="D181" s="32"/>
    </row>
    <row r="182">
      <c r="A182" s="32"/>
      <c r="B182" s="32"/>
      <c r="C182" s="32"/>
      <c r="D182" s="32"/>
    </row>
    <row r="183">
      <c r="A183" s="32"/>
      <c r="B183" s="32"/>
      <c r="C183" s="32"/>
      <c r="D183" s="32"/>
    </row>
    <row r="184">
      <c r="A184" s="32"/>
      <c r="B184" s="32"/>
      <c r="C184" s="32"/>
      <c r="D184" s="32"/>
    </row>
    <row r="185">
      <c r="A185" s="32"/>
      <c r="B185" s="32"/>
      <c r="C185" s="32"/>
      <c r="D185" s="32"/>
    </row>
    <row r="186">
      <c r="A186" s="32"/>
      <c r="B186" s="32"/>
      <c r="C186" s="32"/>
      <c r="D186" s="32"/>
    </row>
    <row r="187">
      <c r="A187" s="32"/>
      <c r="B187" s="32"/>
      <c r="C187" s="32"/>
      <c r="D187" s="32"/>
    </row>
    <row r="188">
      <c r="A188" s="32"/>
      <c r="B188" s="32"/>
      <c r="C188" s="32"/>
      <c r="D188" s="32"/>
    </row>
    <row r="189">
      <c r="A189" s="32"/>
      <c r="B189" s="32"/>
      <c r="C189" s="32"/>
      <c r="D189" s="32"/>
    </row>
    <row r="190">
      <c r="A190" s="32"/>
      <c r="B190" s="32"/>
      <c r="C190" s="32"/>
      <c r="D190" s="32"/>
    </row>
    <row r="191">
      <c r="A191" s="32"/>
      <c r="B191" s="32"/>
      <c r="C191" s="32"/>
      <c r="D191" s="32"/>
    </row>
    <row r="192">
      <c r="A192" s="32"/>
      <c r="B192" s="32"/>
      <c r="C192" s="32"/>
      <c r="D192" s="32"/>
    </row>
    <row r="193">
      <c r="A193" s="32"/>
      <c r="B193" s="32"/>
      <c r="C193" s="32"/>
      <c r="D193" s="32"/>
    </row>
    <row r="194">
      <c r="A194" s="32"/>
      <c r="B194" s="32"/>
      <c r="C194" s="32"/>
      <c r="D194" s="32"/>
    </row>
    <row r="195">
      <c r="A195" s="32"/>
      <c r="B195" s="32"/>
      <c r="C195" s="32"/>
      <c r="D195" s="32"/>
    </row>
    <row r="196">
      <c r="A196" s="32"/>
      <c r="B196" s="32"/>
      <c r="C196" s="32"/>
      <c r="D196" s="32"/>
    </row>
    <row r="197">
      <c r="A197" s="32"/>
      <c r="B197" s="32"/>
      <c r="C197" s="32"/>
      <c r="D197" s="32"/>
    </row>
    <row r="198">
      <c r="A198" s="32"/>
      <c r="B198" s="32"/>
      <c r="C198" s="32"/>
      <c r="D198" s="32"/>
    </row>
    <row r="199">
      <c r="A199" s="32"/>
      <c r="B199" s="32"/>
      <c r="C199" s="32"/>
      <c r="D199" s="32"/>
    </row>
    <row r="200">
      <c r="A200" s="32"/>
      <c r="B200" s="32"/>
      <c r="C200" s="32"/>
      <c r="D200" s="32"/>
    </row>
    <row r="201">
      <c r="A201" s="32"/>
      <c r="B201" s="32"/>
      <c r="C201" s="32"/>
      <c r="D201" s="32"/>
    </row>
    <row r="202">
      <c r="A202" s="32"/>
      <c r="B202" s="32"/>
      <c r="C202" s="32"/>
      <c r="D202" s="32"/>
    </row>
    <row r="203">
      <c r="A203" s="32"/>
      <c r="B203" s="32"/>
      <c r="C203" s="32"/>
      <c r="D203" s="32"/>
    </row>
    <row r="204">
      <c r="A204" s="32"/>
      <c r="B204" s="32"/>
      <c r="C204" s="32"/>
      <c r="D204" s="32"/>
    </row>
    <row r="205">
      <c r="A205" s="32"/>
      <c r="B205" s="32"/>
      <c r="C205" s="32"/>
      <c r="D205" s="32"/>
    </row>
    <row r="206">
      <c r="A206" s="32"/>
      <c r="B206" s="32"/>
      <c r="C206" s="32"/>
      <c r="D206" s="32"/>
    </row>
    <row r="207">
      <c r="A207" s="32"/>
      <c r="B207" s="32"/>
      <c r="C207" s="32"/>
      <c r="D207" s="32"/>
    </row>
    <row r="208">
      <c r="A208" s="32"/>
      <c r="B208" s="32"/>
      <c r="C208" s="32"/>
      <c r="D208" s="32"/>
    </row>
    <row r="209">
      <c r="A209" s="32"/>
      <c r="B209" s="32"/>
      <c r="C209" s="32"/>
      <c r="D209" s="32"/>
    </row>
    <row r="210">
      <c r="A210" s="32"/>
      <c r="B210" s="32"/>
      <c r="C210" s="32"/>
      <c r="D210" s="32"/>
    </row>
    <row r="211">
      <c r="A211" s="32"/>
      <c r="B211" s="32"/>
      <c r="C211" s="32"/>
      <c r="D211" s="32"/>
    </row>
    <row r="212">
      <c r="A212" s="32"/>
      <c r="B212" s="32"/>
      <c r="C212" s="32"/>
      <c r="D212" s="32"/>
    </row>
    <row r="213">
      <c r="A213" s="32"/>
      <c r="B213" s="32"/>
      <c r="C213" s="32"/>
      <c r="D213" s="32"/>
    </row>
    <row r="214">
      <c r="A214" s="32"/>
      <c r="B214" s="32"/>
      <c r="C214" s="32"/>
      <c r="D214" s="32"/>
    </row>
    <row r="215">
      <c r="A215" s="32"/>
      <c r="B215" s="32"/>
      <c r="C215" s="32"/>
      <c r="D215" s="32"/>
    </row>
    <row r="216">
      <c r="A216" s="32"/>
      <c r="B216" s="32"/>
      <c r="C216" s="32"/>
      <c r="D216" s="32"/>
    </row>
    <row r="217">
      <c r="A217" s="32"/>
      <c r="B217" s="32"/>
      <c r="C217" s="32"/>
      <c r="D217" s="32"/>
    </row>
    <row r="218">
      <c r="A218" s="32"/>
      <c r="B218" s="32"/>
      <c r="C218" s="32"/>
      <c r="D218" s="32"/>
    </row>
    <row r="219">
      <c r="A219" s="32"/>
      <c r="B219" s="32"/>
      <c r="C219" s="32"/>
      <c r="D219" s="32"/>
    </row>
    <row r="220">
      <c r="A220" s="32"/>
      <c r="B220" s="32"/>
      <c r="C220" s="32"/>
      <c r="D220" s="32"/>
    </row>
    <row r="221">
      <c r="A221" s="32"/>
      <c r="B221" s="32"/>
      <c r="C221" s="32"/>
      <c r="D221" s="32"/>
    </row>
    <row r="222">
      <c r="A222" s="32"/>
      <c r="B222" s="32"/>
      <c r="C222" s="32"/>
      <c r="D222" s="32"/>
    </row>
    <row r="223">
      <c r="A223" s="32"/>
      <c r="B223" s="32"/>
      <c r="C223" s="32"/>
      <c r="D223" s="32"/>
    </row>
    <row r="224">
      <c r="A224" s="32"/>
      <c r="B224" s="32"/>
      <c r="C224" s="32"/>
      <c r="D224" s="32"/>
    </row>
    <row r="225">
      <c r="A225" s="32"/>
      <c r="B225" s="32"/>
      <c r="C225" s="32"/>
      <c r="D225" s="32"/>
    </row>
    <row r="226">
      <c r="A226" s="32"/>
      <c r="B226" s="32"/>
      <c r="C226" s="32"/>
      <c r="D226" s="32"/>
    </row>
    <row r="227">
      <c r="A227" s="32"/>
      <c r="B227" s="32"/>
      <c r="C227" s="32"/>
      <c r="D227" s="32"/>
    </row>
    <row r="228">
      <c r="A228" s="32"/>
      <c r="B228" s="32"/>
      <c r="C228" s="32"/>
      <c r="D228" s="32"/>
    </row>
    <row r="229">
      <c r="A229" s="32"/>
      <c r="B229" s="32"/>
      <c r="C229" s="32"/>
      <c r="D229" s="32"/>
    </row>
    <row r="230">
      <c r="A230" s="32"/>
      <c r="B230" s="32"/>
      <c r="C230" s="32"/>
      <c r="D230" s="32"/>
    </row>
    <row r="231">
      <c r="A231" s="32"/>
      <c r="B231" s="32"/>
      <c r="C231" s="32"/>
      <c r="D231" s="32"/>
    </row>
    <row r="232">
      <c r="A232" s="32"/>
      <c r="B232" s="32"/>
      <c r="C232" s="32"/>
      <c r="D232" s="32"/>
    </row>
    <row r="233">
      <c r="A233" s="32"/>
      <c r="B233" s="32"/>
      <c r="C233" s="32"/>
      <c r="D233" s="32"/>
    </row>
    <row r="234">
      <c r="A234" s="32"/>
      <c r="B234" s="32"/>
      <c r="C234" s="32"/>
      <c r="D234" s="32"/>
    </row>
    <row r="235">
      <c r="A235" s="32"/>
      <c r="B235" s="32"/>
      <c r="C235" s="32"/>
      <c r="D235" s="32"/>
    </row>
    <row r="236">
      <c r="A236" s="32"/>
      <c r="B236" s="32"/>
      <c r="C236" s="32"/>
      <c r="D236" s="32"/>
    </row>
    <row r="237">
      <c r="A237" s="32"/>
      <c r="B237" s="32"/>
      <c r="C237" s="32"/>
      <c r="D237" s="32"/>
    </row>
    <row r="238">
      <c r="A238" s="32"/>
      <c r="B238" s="32"/>
      <c r="C238" s="32"/>
      <c r="D238" s="32"/>
    </row>
    <row r="239">
      <c r="A239" s="32"/>
      <c r="B239" s="32"/>
      <c r="C239" s="32"/>
      <c r="D239" s="32"/>
    </row>
    <row r="240">
      <c r="A240" s="32"/>
      <c r="B240" s="32"/>
      <c r="C240" s="32"/>
      <c r="D240" s="32"/>
    </row>
    <row r="241">
      <c r="A241" s="32"/>
      <c r="B241" s="32"/>
      <c r="C241" s="32"/>
      <c r="D241" s="32"/>
    </row>
    <row r="242">
      <c r="A242" s="32"/>
      <c r="B242" s="32"/>
      <c r="C242" s="32"/>
      <c r="D242" s="32"/>
    </row>
    <row r="243">
      <c r="A243" s="32"/>
      <c r="B243" s="32"/>
      <c r="C243" s="32"/>
      <c r="D243" s="32"/>
    </row>
    <row r="244">
      <c r="A244" s="32"/>
      <c r="B244" s="32"/>
      <c r="C244" s="32"/>
      <c r="D244" s="32"/>
    </row>
    <row r="245">
      <c r="A245" s="32"/>
      <c r="B245" s="32"/>
      <c r="C245" s="32"/>
      <c r="D245" s="32"/>
    </row>
    <row r="246">
      <c r="A246" s="32"/>
      <c r="B246" s="32"/>
      <c r="C246" s="32"/>
      <c r="D246" s="32"/>
    </row>
    <row r="247">
      <c r="A247" s="32"/>
      <c r="B247" s="32"/>
      <c r="C247" s="32"/>
      <c r="D247" s="32"/>
    </row>
    <row r="248">
      <c r="A248" s="32"/>
      <c r="B248" s="32"/>
      <c r="C248" s="32"/>
      <c r="D248" s="32"/>
    </row>
    <row r="249">
      <c r="A249" s="32"/>
      <c r="B249" s="32"/>
      <c r="C249" s="32"/>
      <c r="D249" s="32"/>
    </row>
    <row r="250">
      <c r="A250" s="32"/>
      <c r="B250" s="32"/>
      <c r="C250" s="32"/>
      <c r="D250" s="32"/>
    </row>
    <row r="251">
      <c r="A251" s="32"/>
      <c r="B251" s="32"/>
      <c r="C251" s="32"/>
      <c r="D251" s="32"/>
    </row>
    <row r="252">
      <c r="A252" s="32"/>
      <c r="B252" s="32"/>
      <c r="C252" s="32"/>
      <c r="D252" s="32"/>
    </row>
    <row r="253">
      <c r="A253" s="32"/>
      <c r="B253" s="32"/>
      <c r="C253" s="32"/>
      <c r="D253" s="32"/>
    </row>
    <row r="254">
      <c r="A254" s="32"/>
      <c r="B254" s="32"/>
      <c r="C254" s="32"/>
      <c r="D254" s="32"/>
    </row>
    <row r="255">
      <c r="A255" s="32"/>
      <c r="B255" s="32"/>
      <c r="C255" s="32"/>
      <c r="D255" s="32"/>
    </row>
    <row r="256">
      <c r="A256" s="32"/>
      <c r="B256" s="32"/>
      <c r="C256" s="32"/>
      <c r="D256" s="32"/>
    </row>
    <row r="257">
      <c r="A257" s="32"/>
      <c r="B257" s="32"/>
      <c r="C257" s="32"/>
      <c r="D257" s="32"/>
    </row>
    <row r="258">
      <c r="A258" s="32"/>
      <c r="B258" s="32"/>
      <c r="C258" s="32"/>
      <c r="D258" s="32"/>
    </row>
    <row r="259">
      <c r="A259" s="32"/>
      <c r="B259" s="32"/>
      <c r="C259" s="32"/>
      <c r="D259" s="32"/>
    </row>
    <row r="260">
      <c r="A260" s="32"/>
      <c r="B260" s="32"/>
      <c r="C260" s="32"/>
      <c r="D260" s="32"/>
    </row>
    <row r="261">
      <c r="A261" s="32"/>
      <c r="B261" s="32"/>
      <c r="C261" s="32"/>
      <c r="D261" s="32"/>
    </row>
    <row r="262">
      <c r="A262" s="32"/>
      <c r="B262" s="32"/>
      <c r="C262" s="32"/>
      <c r="D262" s="32"/>
    </row>
    <row r="263">
      <c r="A263" s="32"/>
      <c r="B263" s="32"/>
      <c r="C263" s="32"/>
      <c r="D263" s="32"/>
    </row>
    <row r="264">
      <c r="A264" s="32"/>
      <c r="B264" s="32"/>
      <c r="C264" s="32"/>
      <c r="D264" s="32"/>
    </row>
    <row r="265">
      <c r="A265" s="32"/>
      <c r="B265" s="32"/>
      <c r="C265" s="32"/>
      <c r="D265" s="32"/>
    </row>
    <row r="266">
      <c r="A266" s="32"/>
      <c r="B266" s="32"/>
      <c r="C266" s="32"/>
      <c r="D266" s="32"/>
    </row>
    <row r="267">
      <c r="A267" s="32"/>
      <c r="B267" s="32"/>
      <c r="C267" s="32"/>
      <c r="D267" s="32"/>
    </row>
    <row r="268">
      <c r="A268" s="32"/>
      <c r="B268" s="32"/>
      <c r="C268" s="32"/>
      <c r="D268" s="32"/>
    </row>
    <row r="269">
      <c r="A269" s="32"/>
      <c r="B269" s="32"/>
      <c r="C269" s="32"/>
      <c r="D269" s="32"/>
    </row>
    <row r="270">
      <c r="A270" s="32"/>
      <c r="B270" s="32"/>
      <c r="C270" s="32"/>
      <c r="D270" s="32"/>
    </row>
    <row r="271">
      <c r="A271" s="32"/>
      <c r="B271" s="32"/>
      <c r="C271" s="32"/>
      <c r="D271" s="32"/>
    </row>
    <row r="272">
      <c r="A272" s="32"/>
      <c r="B272" s="32"/>
      <c r="C272" s="32"/>
      <c r="D272" s="32"/>
    </row>
    <row r="273">
      <c r="A273" s="32"/>
      <c r="B273" s="32"/>
      <c r="C273" s="32"/>
      <c r="D273" s="32"/>
    </row>
    <row r="274">
      <c r="A274" s="32"/>
      <c r="B274" s="32"/>
      <c r="C274" s="32"/>
      <c r="D274" s="32"/>
    </row>
    <row r="275">
      <c r="A275" s="32"/>
      <c r="B275" s="32"/>
      <c r="C275" s="32"/>
      <c r="D275" s="32"/>
    </row>
    <row r="276">
      <c r="A276" s="32"/>
      <c r="B276" s="32"/>
      <c r="C276" s="32"/>
      <c r="D276" s="32"/>
    </row>
    <row r="277">
      <c r="A277" s="32"/>
      <c r="B277" s="32"/>
      <c r="C277" s="32"/>
      <c r="D277" s="32"/>
    </row>
    <row r="278">
      <c r="A278" s="32"/>
      <c r="B278" s="32"/>
      <c r="C278" s="32"/>
      <c r="D278" s="32"/>
    </row>
    <row r="279">
      <c r="A279" s="32"/>
      <c r="B279" s="32"/>
      <c r="C279" s="32"/>
      <c r="D279" s="32"/>
    </row>
    <row r="280">
      <c r="A280" s="32"/>
      <c r="B280" s="32"/>
      <c r="C280" s="32"/>
      <c r="D280" s="32"/>
    </row>
    <row r="281">
      <c r="A281" s="32"/>
      <c r="B281" s="32"/>
      <c r="C281" s="32"/>
      <c r="D281" s="32"/>
    </row>
    <row r="282">
      <c r="A282" s="32"/>
      <c r="B282" s="32"/>
      <c r="C282" s="32"/>
      <c r="D282" s="32"/>
    </row>
    <row r="283">
      <c r="A283" s="32"/>
      <c r="B283" s="32"/>
      <c r="C283" s="32"/>
      <c r="D283" s="32"/>
    </row>
    <row r="284">
      <c r="A284" s="32"/>
      <c r="B284" s="32"/>
      <c r="C284" s="32"/>
      <c r="D284" s="32"/>
    </row>
    <row r="285">
      <c r="A285" s="32"/>
      <c r="B285" s="32"/>
      <c r="C285" s="32"/>
      <c r="D285" s="32"/>
    </row>
    <row r="286">
      <c r="A286" s="32"/>
      <c r="B286" s="32"/>
      <c r="C286" s="32"/>
      <c r="D286" s="32"/>
    </row>
    <row r="287">
      <c r="A287" s="32"/>
      <c r="B287" s="32"/>
      <c r="C287" s="32"/>
      <c r="D287" s="32"/>
    </row>
    <row r="288">
      <c r="A288" s="32"/>
      <c r="B288" s="32"/>
      <c r="C288" s="32"/>
      <c r="D288" s="32"/>
    </row>
    <row r="289">
      <c r="A289" s="32"/>
      <c r="B289" s="32"/>
      <c r="C289" s="32"/>
      <c r="D289" s="32"/>
    </row>
    <row r="290">
      <c r="A290" s="32"/>
      <c r="B290" s="32"/>
      <c r="C290" s="32"/>
      <c r="D290" s="32"/>
    </row>
    <row r="291">
      <c r="A291" s="32"/>
      <c r="B291" s="32"/>
      <c r="C291" s="32"/>
      <c r="D291" s="32"/>
    </row>
    <row r="292">
      <c r="A292" s="32"/>
      <c r="B292" s="32"/>
      <c r="C292" s="32"/>
      <c r="D292" s="32"/>
    </row>
    <row r="293">
      <c r="A293" s="32"/>
      <c r="B293" s="32"/>
      <c r="C293" s="32"/>
      <c r="D293" s="32"/>
    </row>
    <row r="294">
      <c r="A294" s="32"/>
      <c r="B294" s="32"/>
      <c r="C294" s="32"/>
      <c r="D294" s="32"/>
    </row>
    <row r="295">
      <c r="A295" s="32"/>
      <c r="B295" s="32"/>
      <c r="C295" s="32"/>
      <c r="D295" s="32"/>
    </row>
    <row r="296">
      <c r="A296" s="32"/>
      <c r="B296" s="32"/>
      <c r="C296" s="32"/>
      <c r="D296" s="32"/>
    </row>
    <row r="297">
      <c r="A297" s="32"/>
      <c r="B297" s="32"/>
      <c r="C297" s="32"/>
      <c r="D297" s="32"/>
    </row>
    <row r="298">
      <c r="A298" s="32"/>
      <c r="B298" s="32"/>
      <c r="C298" s="32"/>
      <c r="D298" s="32"/>
    </row>
    <row r="299">
      <c r="A299" s="32"/>
      <c r="B299" s="32"/>
      <c r="C299" s="32"/>
      <c r="D299" s="32"/>
    </row>
    <row r="300">
      <c r="A300" s="32"/>
      <c r="B300" s="32"/>
      <c r="C300" s="32"/>
      <c r="D300" s="32"/>
    </row>
    <row r="301">
      <c r="A301" s="32"/>
      <c r="B301" s="32"/>
      <c r="C301" s="32"/>
      <c r="D301" s="32"/>
    </row>
    <row r="302">
      <c r="A302" s="32"/>
      <c r="B302" s="32"/>
      <c r="C302" s="32"/>
      <c r="D302" s="32"/>
    </row>
    <row r="303">
      <c r="A303" s="32"/>
      <c r="B303" s="32"/>
      <c r="C303" s="32"/>
      <c r="D303" s="32"/>
    </row>
    <row r="304">
      <c r="A304" s="32"/>
      <c r="B304" s="32"/>
      <c r="C304" s="32"/>
      <c r="D304" s="32"/>
    </row>
    <row r="305">
      <c r="A305" s="32"/>
      <c r="B305" s="32"/>
      <c r="C305" s="32"/>
      <c r="D305" s="32"/>
    </row>
    <row r="306">
      <c r="A306" s="32"/>
      <c r="B306" s="32"/>
      <c r="C306" s="32"/>
      <c r="D306" s="32"/>
    </row>
    <row r="307">
      <c r="A307" s="32"/>
      <c r="B307" s="32"/>
      <c r="C307" s="32"/>
      <c r="D307" s="32"/>
    </row>
    <row r="308">
      <c r="A308" s="32"/>
      <c r="B308" s="32"/>
      <c r="C308" s="32"/>
      <c r="D308" s="32"/>
    </row>
    <row r="309">
      <c r="A309" s="32"/>
      <c r="B309" s="32"/>
      <c r="C309" s="32"/>
      <c r="D309" s="32"/>
    </row>
    <row r="310">
      <c r="A310" s="32"/>
      <c r="B310" s="32"/>
      <c r="C310" s="32"/>
      <c r="D310" s="32"/>
    </row>
    <row r="311">
      <c r="A311" s="32"/>
      <c r="B311" s="32"/>
      <c r="C311" s="32"/>
      <c r="D311" s="32"/>
    </row>
    <row r="312">
      <c r="A312" s="32"/>
      <c r="B312" s="32"/>
      <c r="C312" s="32"/>
      <c r="D312" s="32"/>
    </row>
    <row r="313">
      <c r="A313" s="32"/>
      <c r="B313" s="32"/>
      <c r="C313" s="32"/>
      <c r="D313" s="32"/>
    </row>
    <row r="314">
      <c r="A314" s="32"/>
      <c r="B314" s="32"/>
      <c r="C314" s="32"/>
      <c r="D314" s="32"/>
    </row>
    <row r="315">
      <c r="A315" s="32"/>
      <c r="B315" s="32"/>
      <c r="C315" s="32"/>
      <c r="D315" s="32"/>
    </row>
    <row r="316">
      <c r="A316" s="32"/>
      <c r="B316" s="32"/>
      <c r="C316" s="32"/>
      <c r="D316" s="32"/>
    </row>
    <row r="317">
      <c r="A317" s="32"/>
      <c r="B317" s="32"/>
      <c r="C317" s="32"/>
      <c r="D317" s="32"/>
    </row>
    <row r="318">
      <c r="A318" s="32"/>
      <c r="B318" s="32"/>
      <c r="C318" s="32"/>
      <c r="D318" s="32"/>
    </row>
    <row r="319">
      <c r="A319" s="32"/>
      <c r="B319" s="32"/>
      <c r="C319" s="32"/>
      <c r="D319" s="32"/>
    </row>
    <row r="320">
      <c r="A320" s="32"/>
      <c r="B320" s="32"/>
      <c r="C320" s="32"/>
      <c r="D320" s="32"/>
    </row>
    <row r="321">
      <c r="A321" s="32"/>
      <c r="B321" s="32"/>
      <c r="C321" s="32"/>
      <c r="D321" s="32"/>
    </row>
    <row r="322">
      <c r="A322" s="32"/>
      <c r="B322" s="32"/>
      <c r="C322" s="32"/>
      <c r="D322" s="32"/>
    </row>
    <row r="323">
      <c r="A323" s="32"/>
      <c r="B323" s="32"/>
      <c r="C323" s="32"/>
      <c r="D323" s="32"/>
    </row>
    <row r="324">
      <c r="A324" s="32"/>
      <c r="B324" s="32"/>
      <c r="C324" s="32"/>
      <c r="D324" s="32"/>
    </row>
    <row r="325">
      <c r="A325" s="32"/>
      <c r="B325" s="32"/>
      <c r="C325" s="32"/>
      <c r="D325" s="32"/>
    </row>
    <row r="326">
      <c r="A326" s="32"/>
      <c r="B326" s="32"/>
      <c r="C326" s="32"/>
      <c r="D326" s="32"/>
    </row>
    <row r="327">
      <c r="A327" s="32"/>
      <c r="B327" s="32"/>
      <c r="C327" s="32"/>
      <c r="D327" s="32"/>
    </row>
    <row r="328">
      <c r="A328" s="32"/>
      <c r="B328" s="32"/>
      <c r="C328" s="32"/>
      <c r="D328" s="32"/>
    </row>
    <row r="329">
      <c r="A329" s="32"/>
      <c r="B329" s="32"/>
      <c r="C329" s="32"/>
      <c r="D329" s="32"/>
    </row>
    <row r="330">
      <c r="A330" s="32"/>
      <c r="B330" s="32"/>
      <c r="C330" s="32"/>
      <c r="D330" s="32"/>
    </row>
    <row r="331">
      <c r="A331" s="32"/>
      <c r="B331" s="32"/>
      <c r="C331" s="32"/>
      <c r="D331" s="32"/>
    </row>
    <row r="332">
      <c r="A332" s="32"/>
      <c r="B332" s="32"/>
      <c r="C332" s="32"/>
      <c r="D332" s="32"/>
    </row>
    <row r="333">
      <c r="A333" s="32"/>
      <c r="B333" s="32"/>
      <c r="C333" s="32"/>
      <c r="D333" s="32"/>
    </row>
    <row r="334">
      <c r="A334" s="32"/>
      <c r="B334" s="32"/>
      <c r="C334" s="32"/>
      <c r="D334" s="32"/>
    </row>
    <row r="335">
      <c r="A335" s="32"/>
      <c r="B335" s="32"/>
      <c r="C335" s="32"/>
      <c r="D335" s="32"/>
    </row>
    <row r="336">
      <c r="A336" s="32"/>
      <c r="B336" s="32"/>
      <c r="C336" s="32"/>
      <c r="D336" s="32"/>
    </row>
    <row r="337">
      <c r="A337" s="32"/>
      <c r="B337" s="32"/>
      <c r="C337" s="32"/>
      <c r="D337" s="32"/>
    </row>
    <row r="338">
      <c r="A338" s="32"/>
      <c r="B338" s="32"/>
      <c r="C338" s="32"/>
      <c r="D338" s="32"/>
    </row>
    <row r="339">
      <c r="A339" s="32"/>
      <c r="B339" s="32"/>
      <c r="C339" s="32"/>
      <c r="D339" s="32"/>
    </row>
    <row r="340">
      <c r="A340" s="32"/>
      <c r="B340" s="32"/>
      <c r="C340" s="32"/>
      <c r="D340" s="32"/>
    </row>
    <row r="341">
      <c r="A341" s="32"/>
      <c r="B341" s="32"/>
      <c r="C341" s="32"/>
      <c r="D341" s="32"/>
    </row>
    <row r="342">
      <c r="A342" s="32"/>
      <c r="B342" s="32"/>
      <c r="C342" s="32"/>
      <c r="D342" s="32"/>
    </row>
    <row r="343">
      <c r="A343" s="32"/>
      <c r="B343" s="32"/>
      <c r="C343" s="32"/>
      <c r="D343" s="32"/>
    </row>
    <row r="344">
      <c r="A344" s="32"/>
      <c r="B344" s="32"/>
      <c r="C344" s="32"/>
      <c r="D344" s="32"/>
    </row>
    <row r="345">
      <c r="A345" s="32"/>
      <c r="B345" s="32"/>
      <c r="C345" s="32"/>
      <c r="D345" s="32"/>
    </row>
    <row r="346">
      <c r="A346" s="32"/>
      <c r="B346" s="32"/>
      <c r="C346" s="32"/>
      <c r="D346" s="32"/>
    </row>
    <row r="347">
      <c r="A347" s="32"/>
      <c r="B347" s="32"/>
      <c r="C347" s="32"/>
      <c r="D347" s="32"/>
    </row>
    <row r="348">
      <c r="A348" s="32"/>
      <c r="B348" s="32"/>
      <c r="C348" s="32"/>
      <c r="D348" s="32"/>
    </row>
    <row r="349">
      <c r="A349" s="32"/>
      <c r="B349" s="32"/>
      <c r="C349" s="32"/>
      <c r="D349" s="32"/>
    </row>
    <row r="350">
      <c r="A350" s="32"/>
      <c r="B350" s="32"/>
      <c r="C350" s="32"/>
      <c r="D350" s="32"/>
    </row>
    <row r="351">
      <c r="A351" s="32"/>
      <c r="B351" s="32"/>
      <c r="C351" s="32"/>
      <c r="D351" s="32"/>
    </row>
    <row r="352">
      <c r="A352" s="32"/>
      <c r="B352" s="32"/>
      <c r="C352" s="32"/>
      <c r="D352" s="32"/>
    </row>
    <row r="353">
      <c r="A353" s="32"/>
      <c r="B353" s="32"/>
      <c r="C353" s="32"/>
      <c r="D353" s="32"/>
    </row>
    <row r="354">
      <c r="A354" s="32"/>
      <c r="B354" s="32"/>
      <c r="C354" s="32"/>
      <c r="D354" s="32"/>
    </row>
    <row r="355">
      <c r="A355" s="32"/>
      <c r="B355" s="32"/>
      <c r="C355" s="32"/>
      <c r="D355" s="32"/>
    </row>
    <row r="356">
      <c r="A356" s="32"/>
      <c r="B356" s="32"/>
      <c r="C356" s="32"/>
      <c r="D356" s="32"/>
    </row>
    <row r="357">
      <c r="A357" s="32"/>
      <c r="B357" s="32"/>
      <c r="C357" s="32"/>
      <c r="D357" s="32"/>
    </row>
    <row r="358">
      <c r="A358" s="32"/>
      <c r="B358" s="32"/>
      <c r="C358" s="32"/>
      <c r="D358" s="32"/>
    </row>
    <row r="359">
      <c r="A359" s="32"/>
      <c r="B359" s="32"/>
      <c r="C359" s="32"/>
      <c r="D359" s="32"/>
    </row>
    <row r="360">
      <c r="A360" s="32"/>
      <c r="B360" s="32"/>
      <c r="C360" s="32"/>
      <c r="D360" s="32"/>
    </row>
    <row r="361">
      <c r="A361" s="32"/>
      <c r="B361" s="32"/>
      <c r="C361" s="32"/>
      <c r="D361" s="32"/>
    </row>
    <row r="362">
      <c r="A362" s="32"/>
      <c r="B362" s="32"/>
      <c r="C362" s="32"/>
      <c r="D362" s="32"/>
    </row>
    <row r="363">
      <c r="A363" s="32"/>
      <c r="B363" s="32"/>
      <c r="C363" s="32"/>
      <c r="D363" s="32"/>
    </row>
    <row r="364">
      <c r="A364" s="32"/>
      <c r="B364" s="32"/>
      <c r="C364" s="32"/>
      <c r="D364" s="32"/>
    </row>
    <row r="365">
      <c r="A365" s="32"/>
      <c r="B365" s="32"/>
      <c r="C365" s="32"/>
      <c r="D365" s="32"/>
    </row>
    <row r="366">
      <c r="A366" s="32"/>
      <c r="B366" s="32"/>
      <c r="C366" s="32"/>
      <c r="D366" s="32"/>
    </row>
    <row r="367">
      <c r="A367" s="32"/>
      <c r="B367" s="32"/>
      <c r="C367" s="32"/>
      <c r="D367" s="32"/>
    </row>
    <row r="368">
      <c r="A368" s="32"/>
      <c r="B368" s="32"/>
      <c r="C368" s="32"/>
      <c r="D368" s="32"/>
    </row>
    <row r="369">
      <c r="A369" s="32"/>
      <c r="B369" s="32"/>
      <c r="C369" s="32"/>
      <c r="D369" s="32"/>
    </row>
    <row r="370">
      <c r="A370" s="32"/>
      <c r="B370" s="32"/>
      <c r="C370" s="32"/>
      <c r="D370" s="32"/>
    </row>
    <row r="371">
      <c r="A371" s="32"/>
      <c r="B371" s="32"/>
      <c r="C371" s="32"/>
      <c r="D371" s="32"/>
    </row>
    <row r="372">
      <c r="A372" s="32"/>
      <c r="B372" s="32"/>
      <c r="C372" s="32"/>
      <c r="D372" s="32"/>
    </row>
    <row r="373">
      <c r="A373" s="32"/>
      <c r="B373" s="32"/>
      <c r="C373" s="32"/>
      <c r="D373" s="32"/>
    </row>
    <row r="374">
      <c r="A374" s="32"/>
      <c r="B374" s="32"/>
      <c r="C374" s="32"/>
      <c r="D374" s="32"/>
    </row>
    <row r="375">
      <c r="A375" s="32"/>
      <c r="B375" s="32"/>
      <c r="C375" s="32"/>
      <c r="D375" s="32"/>
    </row>
    <row r="376">
      <c r="A376" s="32"/>
      <c r="B376" s="32"/>
      <c r="C376" s="32"/>
      <c r="D376" s="32"/>
    </row>
    <row r="377">
      <c r="A377" s="32"/>
      <c r="B377" s="32"/>
      <c r="C377" s="32"/>
      <c r="D377" s="32"/>
    </row>
    <row r="378">
      <c r="A378" s="32"/>
      <c r="B378" s="32"/>
      <c r="C378" s="32"/>
      <c r="D378" s="32"/>
    </row>
    <row r="379">
      <c r="A379" s="32"/>
      <c r="B379" s="32"/>
      <c r="C379" s="32"/>
      <c r="D379" s="32"/>
    </row>
    <row r="380">
      <c r="A380" s="32"/>
      <c r="B380" s="32"/>
      <c r="C380" s="32"/>
      <c r="D380" s="32"/>
    </row>
    <row r="381">
      <c r="A381" s="32"/>
      <c r="B381" s="32"/>
      <c r="C381" s="32"/>
      <c r="D381" s="32"/>
    </row>
    <row r="382">
      <c r="A382" s="32"/>
      <c r="B382" s="32"/>
      <c r="C382" s="32"/>
      <c r="D382" s="32"/>
    </row>
    <row r="383">
      <c r="A383" s="32"/>
      <c r="B383" s="32"/>
      <c r="C383" s="32"/>
      <c r="D383" s="32"/>
    </row>
    <row r="384">
      <c r="A384" s="32"/>
      <c r="B384" s="32"/>
      <c r="C384" s="32"/>
      <c r="D384" s="32"/>
    </row>
    <row r="385">
      <c r="A385" s="32"/>
      <c r="B385" s="32"/>
      <c r="C385" s="32"/>
      <c r="D385" s="32"/>
    </row>
    <row r="386">
      <c r="A386" s="32"/>
      <c r="B386" s="32"/>
      <c r="C386" s="32"/>
      <c r="D386" s="32"/>
    </row>
    <row r="387">
      <c r="A387" s="32"/>
      <c r="B387" s="32"/>
      <c r="C387" s="32"/>
      <c r="D387" s="32"/>
    </row>
    <row r="388">
      <c r="A388" s="32"/>
      <c r="B388" s="32"/>
      <c r="C388" s="32"/>
      <c r="D388" s="32"/>
    </row>
    <row r="389">
      <c r="A389" s="32"/>
      <c r="B389" s="32"/>
      <c r="C389" s="32"/>
      <c r="D389" s="32"/>
    </row>
    <row r="390">
      <c r="A390" s="32"/>
      <c r="B390" s="32"/>
      <c r="C390" s="32"/>
      <c r="D390" s="32"/>
    </row>
    <row r="391">
      <c r="A391" s="32"/>
      <c r="B391" s="32"/>
      <c r="C391" s="32"/>
      <c r="D391" s="32"/>
    </row>
    <row r="392">
      <c r="A392" s="32"/>
      <c r="B392" s="32"/>
      <c r="C392" s="32"/>
      <c r="D392" s="32"/>
    </row>
    <row r="393">
      <c r="A393" s="32"/>
      <c r="B393" s="32"/>
      <c r="C393" s="32"/>
      <c r="D393" s="32"/>
    </row>
    <row r="394">
      <c r="A394" s="32"/>
      <c r="B394" s="32"/>
      <c r="C394" s="32"/>
      <c r="D394" s="32"/>
    </row>
    <row r="395">
      <c r="A395" s="32"/>
      <c r="B395" s="32"/>
      <c r="C395" s="32"/>
      <c r="D395" s="32"/>
    </row>
    <row r="396">
      <c r="A396" s="32"/>
      <c r="B396" s="32"/>
      <c r="C396" s="32"/>
      <c r="D396" s="32"/>
    </row>
    <row r="397">
      <c r="A397" s="32"/>
      <c r="B397" s="32"/>
      <c r="C397" s="32"/>
      <c r="D397" s="32"/>
    </row>
    <row r="398">
      <c r="A398" s="32"/>
      <c r="B398" s="32"/>
      <c r="C398" s="32"/>
      <c r="D398" s="32"/>
    </row>
    <row r="399">
      <c r="A399" s="32"/>
      <c r="B399" s="32"/>
      <c r="C399" s="32"/>
      <c r="D399" s="32"/>
    </row>
    <row r="400">
      <c r="A400" s="32"/>
      <c r="B400" s="32"/>
      <c r="C400" s="32"/>
      <c r="D400" s="32"/>
    </row>
    <row r="401">
      <c r="A401" s="32"/>
      <c r="B401" s="32"/>
      <c r="C401" s="32"/>
      <c r="D401" s="32"/>
    </row>
    <row r="402">
      <c r="A402" s="32"/>
      <c r="B402" s="32"/>
      <c r="C402" s="32"/>
      <c r="D402" s="32"/>
    </row>
    <row r="403">
      <c r="A403" s="32"/>
      <c r="B403" s="32"/>
      <c r="C403" s="32"/>
      <c r="D403" s="32"/>
    </row>
    <row r="404">
      <c r="A404" s="32"/>
      <c r="B404" s="32"/>
      <c r="C404" s="32"/>
      <c r="D404" s="32"/>
    </row>
    <row r="405">
      <c r="A405" s="32"/>
      <c r="B405" s="32"/>
      <c r="C405" s="32"/>
      <c r="D405" s="32"/>
    </row>
    <row r="406">
      <c r="A406" s="32"/>
      <c r="B406" s="32"/>
      <c r="C406" s="32"/>
      <c r="D406" s="32"/>
    </row>
    <row r="407">
      <c r="A407" s="32"/>
      <c r="B407" s="32"/>
      <c r="C407" s="32"/>
      <c r="D407" s="32"/>
    </row>
    <row r="408">
      <c r="A408" s="32"/>
      <c r="B408" s="32"/>
      <c r="C408" s="32"/>
      <c r="D408" s="32"/>
    </row>
    <row r="409">
      <c r="A409" s="32"/>
      <c r="B409" s="32"/>
      <c r="C409" s="32"/>
      <c r="D409" s="32"/>
    </row>
    <row r="410">
      <c r="A410" s="32"/>
      <c r="B410" s="32"/>
      <c r="C410" s="32"/>
      <c r="D410" s="32"/>
    </row>
    <row r="411">
      <c r="A411" s="32"/>
      <c r="B411" s="32"/>
      <c r="C411" s="32"/>
      <c r="D411" s="32"/>
    </row>
    <row r="412">
      <c r="A412" s="32"/>
      <c r="B412" s="32"/>
      <c r="C412" s="32"/>
      <c r="D412" s="32"/>
    </row>
    <row r="413">
      <c r="A413" s="32"/>
      <c r="B413" s="32"/>
      <c r="C413" s="32"/>
      <c r="D413" s="32"/>
    </row>
    <row r="414">
      <c r="A414" s="32"/>
      <c r="B414" s="32"/>
      <c r="C414" s="32"/>
      <c r="D414" s="32"/>
    </row>
    <row r="415">
      <c r="A415" s="32"/>
      <c r="B415" s="32"/>
      <c r="C415" s="32"/>
      <c r="D415" s="32"/>
    </row>
    <row r="416">
      <c r="A416" s="32"/>
      <c r="B416" s="32"/>
      <c r="C416" s="32"/>
      <c r="D416" s="32"/>
    </row>
    <row r="417">
      <c r="A417" s="32"/>
      <c r="B417" s="32"/>
      <c r="C417" s="32"/>
      <c r="D417" s="32"/>
    </row>
    <row r="418">
      <c r="A418" s="32"/>
      <c r="B418" s="32"/>
      <c r="C418" s="32"/>
      <c r="D418" s="32"/>
    </row>
    <row r="419">
      <c r="A419" s="32"/>
      <c r="B419" s="32"/>
      <c r="C419" s="32"/>
      <c r="D419" s="32"/>
    </row>
    <row r="420">
      <c r="A420" s="32"/>
      <c r="B420" s="32"/>
      <c r="C420" s="32"/>
      <c r="D420" s="32"/>
    </row>
    <row r="421">
      <c r="A421" s="32"/>
      <c r="B421" s="32"/>
      <c r="C421" s="32"/>
      <c r="D421" s="32"/>
    </row>
    <row r="422">
      <c r="A422" s="32"/>
      <c r="B422" s="32"/>
      <c r="C422" s="32"/>
      <c r="D422" s="32"/>
    </row>
    <row r="423">
      <c r="A423" s="32"/>
      <c r="B423" s="32"/>
      <c r="C423" s="32"/>
      <c r="D423" s="32"/>
    </row>
    <row r="424">
      <c r="A424" s="32"/>
      <c r="B424" s="32"/>
      <c r="C424" s="32"/>
      <c r="D424" s="32"/>
    </row>
    <row r="425">
      <c r="A425" s="32"/>
      <c r="B425" s="32"/>
      <c r="C425" s="32"/>
      <c r="D425" s="32"/>
    </row>
    <row r="426">
      <c r="A426" s="32"/>
      <c r="B426" s="32"/>
      <c r="C426" s="32"/>
      <c r="D426" s="32"/>
    </row>
    <row r="427">
      <c r="A427" s="32"/>
      <c r="B427" s="32"/>
      <c r="C427" s="32"/>
      <c r="D427" s="32"/>
    </row>
    <row r="428">
      <c r="A428" s="32"/>
      <c r="B428" s="32"/>
      <c r="C428" s="32"/>
      <c r="D428" s="32"/>
    </row>
    <row r="429">
      <c r="A429" s="32"/>
      <c r="B429" s="32"/>
      <c r="C429" s="32"/>
      <c r="D429" s="32"/>
    </row>
    <row r="430">
      <c r="A430" s="32"/>
      <c r="B430" s="32"/>
      <c r="C430" s="32"/>
      <c r="D430" s="32"/>
    </row>
    <row r="431">
      <c r="A431" s="32"/>
      <c r="B431" s="32"/>
      <c r="C431" s="32"/>
      <c r="D431" s="32"/>
    </row>
    <row r="432">
      <c r="A432" s="32"/>
      <c r="B432" s="32"/>
      <c r="C432" s="32"/>
      <c r="D432" s="32"/>
    </row>
    <row r="433">
      <c r="A433" s="32"/>
      <c r="B433" s="32"/>
      <c r="C433" s="32"/>
      <c r="D433" s="32"/>
    </row>
    <row r="434">
      <c r="A434" s="32"/>
      <c r="B434" s="32"/>
      <c r="C434" s="32"/>
      <c r="D434" s="32"/>
    </row>
    <row r="435">
      <c r="A435" s="32"/>
      <c r="B435" s="32"/>
      <c r="C435" s="32"/>
      <c r="D435" s="32"/>
    </row>
    <row r="436">
      <c r="A436" s="32"/>
      <c r="B436" s="32"/>
      <c r="C436" s="32"/>
      <c r="D436" s="32"/>
    </row>
    <row r="437">
      <c r="A437" s="32"/>
      <c r="B437" s="32"/>
      <c r="C437" s="32"/>
      <c r="D437" s="32"/>
    </row>
    <row r="438">
      <c r="A438" s="32"/>
      <c r="B438" s="32"/>
      <c r="C438" s="32"/>
      <c r="D438" s="32"/>
    </row>
    <row r="439">
      <c r="A439" s="32"/>
      <c r="B439" s="32"/>
      <c r="C439" s="32"/>
      <c r="D439" s="32"/>
    </row>
    <row r="440">
      <c r="A440" s="32"/>
      <c r="B440" s="32"/>
      <c r="C440" s="32"/>
      <c r="D440" s="32"/>
    </row>
    <row r="441">
      <c r="A441" s="32"/>
      <c r="B441" s="32"/>
      <c r="C441" s="32"/>
      <c r="D441" s="32"/>
    </row>
    <row r="442">
      <c r="A442" s="32"/>
      <c r="B442" s="32"/>
      <c r="C442" s="32"/>
      <c r="D442" s="32"/>
    </row>
    <row r="443">
      <c r="A443" s="32"/>
      <c r="B443" s="32"/>
      <c r="C443" s="32"/>
      <c r="D443" s="32"/>
    </row>
    <row r="444">
      <c r="A444" s="32"/>
      <c r="B444" s="32"/>
      <c r="C444" s="32"/>
      <c r="D444" s="32"/>
    </row>
    <row r="445">
      <c r="A445" s="32"/>
      <c r="B445" s="32"/>
      <c r="C445" s="32"/>
      <c r="D445" s="32"/>
    </row>
    <row r="446">
      <c r="A446" s="32"/>
      <c r="B446" s="32"/>
      <c r="C446" s="32"/>
      <c r="D446" s="32"/>
    </row>
    <row r="447">
      <c r="A447" s="32"/>
      <c r="B447" s="32"/>
      <c r="C447" s="32"/>
      <c r="D447" s="32"/>
    </row>
    <row r="448">
      <c r="A448" s="32"/>
      <c r="B448" s="32"/>
      <c r="C448" s="32"/>
      <c r="D448" s="32"/>
    </row>
    <row r="449">
      <c r="A449" s="32"/>
      <c r="B449" s="32"/>
      <c r="C449" s="32"/>
      <c r="D449" s="32"/>
    </row>
    <row r="450">
      <c r="A450" s="32"/>
      <c r="B450" s="32"/>
      <c r="C450" s="32"/>
      <c r="D450" s="32"/>
    </row>
    <row r="451">
      <c r="A451" s="32"/>
      <c r="B451" s="32"/>
      <c r="C451" s="32"/>
      <c r="D451" s="32"/>
    </row>
    <row r="452">
      <c r="A452" s="32"/>
      <c r="B452" s="32"/>
      <c r="C452" s="32"/>
      <c r="D452" s="32"/>
    </row>
    <row r="453">
      <c r="A453" s="32"/>
      <c r="B453" s="32"/>
      <c r="C453" s="32"/>
      <c r="D453" s="32"/>
    </row>
    <row r="454">
      <c r="A454" s="32"/>
      <c r="B454" s="32"/>
      <c r="C454" s="32"/>
      <c r="D454" s="32"/>
    </row>
    <row r="455">
      <c r="A455" s="32"/>
      <c r="B455" s="32"/>
      <c r="C455" s="32"/>
      <c r="D455" s="32"/>
    </row>
    <row r="456">
      <c r="A456" s="32"/>
      <c r="B456" s="32"/>
      <c r="C456" s="32"/>
      <c r="D456" s="32"/>
    </row>
    <row r="457">
      <c r="A457" s="32"/>
      <c r="B457" s="32"/>
      <c r="C457" s="32"/>
      <c r="D457" s="32"/>
    </row>
    <row r="458">
      <c r="A458" s="32"/>
      <c r="B458" s="32"/>
      <c r="C458" s="32"/>
      <c r="D458" s="32"/>
    </row>
    <row r="459">
      <c r="A459" s="32"/>
      <c r="B459" s="32"/>
      <c r="C459" s="32"/>
      <c r="D459" s="32"/>
    </row>
    <row r="460">
      <c r="A460" s="32"/>
      <c r="B460" s="32"/>
      <c r="C460" s="32"/>
      <c r="D460" s="32"/>
    </row>
    <row r="461">
      <c r="A461" s="32"/>
      <c r="B461" s="32"/>
      <c r="C461" s="32"/>
      <c r="D461" s="32"/>
    </row>
    <row r="462">
      <c r="A462" s="32"/>
      <c r="B462" s="32"/>
      <c r="C462" s="32"/>
      <c r="D462" s="32"/>
    </row>
    <row r="463">
      <c r="A463" s="32"/>
      <c r="B463" s="32"/>
      <c r="C463" s="32"/>
      <c r="D463" s="32"/>
    </row>
    <row r="464">
      <c r="A464" s="32"/>
      <c r="B464" s="32"/>
      <c r="C464" s="32"/>
      <c r="D464" s="32"/>
    </row>
    <row r="465">
      <c r="A465" s="32"/>
      <c r="B465" s="32"/>
      <c r="C465" s="32"/>
      <c r="D465" s="32"/>
    </row>
    <row r="466">
      <c r="A466" s="32"/>
      <c r="B466" s="32"/>
      <c r="C466" s="32"/>
      <c r="D466" s="32"/>
    </row>
    <row r="467">
      <c r="A467" s="32"/>
      <c r="B467" s="32"/>
      <c r="C467" s="32"/>
      <c r="D467" s="32"/>
    </row>
    <row r="468">
      <c r="A468" s="32"/>
      <c r="B468" s="32"/>
      <c r="C468" s="32"/>
      <c r="D468" s="32"/>
    </row>
    <row r="469">
      <c r="A469" s="32"/>
      <c r="B469" s="32"/>
      <c r="C469" s="32"/>
      <c r="D469" s="32"/>
    </row>
    <row r="470">
      <c r="A470" s="32"/>
      <c r="B470" s="32"/>
      <c r="C470" s="32"/>
      <c r="D470" s="32"/>
    </row>
    <row r="471">
      <c r="A471" s="32"/>
      <c r="B471" s="32"/>
      <c r="C471" s="32"/>
      <c r="D471" s="32"/>
    </row>
    <row r="472">
      <c r="A472" s="32"/>
      <c r="B472" s="32"/>
      <c r="C472" s="32"/>
      <c r="D472" s="32"/>
    </row>
    <row r="473">
      <c r="A473" s="32"/>
      <c r="B473" s="32"/>
      <c r="C473" s="32"/>
      <c r="D473" s="32"/>
    </row>
    <row r="474">
      <c r="A474" s="32"/>
      <c r="B474" s="32"/>
      <c r="C474" s="32"/>
      <c r="D474" s="32"/>
    </row>
    <row r="475">
      <c r="A475" s="32"/>
      <c r="B475" s="32"/>
      <c r="C475" s="32"/>
      <c r="D475" s="32"/>
    </row>
    <row r="476">
      <c r="A476" s="32"/>
      <c r="B476" s="32"/>
      <c r="C476" s="32"/>
      <c r="D476" s="32"/>
    </row>
    <row r="477">
      <c r="A477" s="32"/>
      <c r="B477" s="32"/>
      <c r="C477" s="32"/>
      <c r="D477" s="32"/>
    </row>
    <row r="478">
      <c r="A478" s="32"/>
      <c r="B478" s="32"/>
      <c r="C478" s="32"/>
      <c r="D478" s="32"/>
    </row>
    <row r="479">
      <c r="A479" s="32"/>
      <c r="B479" s="32"/>
      <c r="C479" s="32"/>
      <c r="D479" s="32"/>
    </row>
    <row r="480">
      <c r="A480" s="32"/>
      <c r="B480" s="32"/>
      <c r="C480" s="32"/>
      <c r="D480" s="32"/>
    </row>
    <row r="481">
      <c r="A481" s="32"/>
      <c r="B481" s="32"/>
      <c r="C481" s="32"/>
      <c r="D481" s="32"/>
    </row>
    <row r="482">
      <c r="A482" s="32"/>
      <c r="B482" s="32"/>
      <c r="C482" s="32"/>
      <c r="D482" s="32"/>
    </row>
    <row r="483">
      <c r="A483" s="32"/>
      <c r="B483" s="32"/>
      <c r="C483" s="32"/>
      <c r="D483" s="32"/>
    </row>
    <row r="484">
      <c r="A484" s="32"/>
      <c r="B484" s="32"/>
      <c r="C484" s="32"/>
      <c r="D484" s="32"/>
    </row>
    <row r="485">
      <c r="A485" s="32"/>
      <c r="B485" s="32"/>
      <c r="C485" s="32"/>
      <c r="D485" s="32"/>
    </row>
    <row r="486">
      <c r="A486" s="32"/>
      <c r="B486" s="32"/>
      <c r="C486" s="32"/>
      <c r="D486" s="32"/>
    </row>
    <row r="487">
      <c r="A487" s="32"/>
      <c r="B487" s="32"/>
      <c r="C487" s="32"/>
      <c r="D487" s="32"/>
    </row>
    <row r="488">
      <c r="A488" s="32"/>
      <c r="B488" s="32"/>
      <c r="C488" s="32"/>
      <c r="D488" s="32"/>
    </row>
    <row r="489">
      <c r="A489" s="32"/>
      <c r="B489" s="32"/>
      <c r="C489" s="32"/>
      <c r="D489" s="32"/>
    </row>
    <row r="490">
      <c r="A490" s="32"/>
      <c r="B490" s="32"/>
      <c r="C490" s="32"/>
      <c r="D490" s="32"/>
    </row>
    <row r="491">
      <c r="A491" s="32"/>
      <c r="B491" s="32"/>
      <c r="C491" s="32"/>
      <c r="D491" s="32"/>
    </row>
    <row r="492">
      <c r="A492" s="32"/>
      <c r="B492" s="32"/>
      <c r="C492" s="32"/>
      <c r="D492" s="32"/>
    </row>
    <row r="493">
      <c r="A493" s="32"/>
      <c r="B493" s="32"/>
      <c r="C493" s="32"/>
      <c r="D493" s="32"/>
    </row>
    <row r="494">
      <c r="A494" s="32"/>
      <c r="B494" s="32"/>
      <c r="C494" s="32"/>
      <c r="D494" s="32"/>
    </row>
    <row r="495">
      <c r="A495" s="32"/>
      <c r="B495" s="32"/>
      <c r="C495" s="32"/>
      <c r="D495" s="32"/>
    </row>
    <row r="496">
      <c r="A496" s="32"/>
      <c r="B496" s="32"/>
      <c r="C496" s="32"/>
      <c r="D496" s="32"/>
    </row>
    <row r="497">
      <c r="A497" s="32"/>
      <c r="B497" s="32"/>
      <c r="C497" s="32"/>
      <c r="D497" s="32"/>
    </row>
    <row r="498">
      <c r="A498" s="32"/>
      <c r="B498" s="32"/>
      <c r="C498" s="32"/>
      <c r="D498" s="32"/>
    </row>
    <row r="499">
      <c r="A499" s="32"/>
      <c r="B499" s="32"/>
      <c r="C499" s="32"/>
      <c r="D499" s="32"/>
    </row>
    <row r="500">
      <c r="A500" s="32"/>
      <c r="B500" s="32"/>
      <c r="C500" s="32"/>
      <c r="D500" s="32"/>
    </row>
    <row r="501">
      <c r="A501" s="32"/>
      <c r="B501" s="32"/>
      <c r="C501" s="32"/>
      <c r="D501" s="32"/>
    </row>
    <row r="502">
      <c r="A502" s="32"/>
      <c r="B502" s="32"/>
      <c r="C502" s="32"/>
      <c r="D502" s="32"/>
    </row>
    <row r="503">
      <c r="A503" s="32"/>
      <c r="B503" s="32"/>
      <c r="C503" s="32"/>
      <c r="D503" s="32"/>
    </row>
    <row r="504">
      <c r="A504" s="32"/>
      <c r="B504" s="32"/>
      <c r="C504" s="32"/>
      <c r="D504" s="32"/>
    </row>
    <row r="505">
      <c r="A505" s="32"/>
      <c r="B505" s="32"/>
      <c r="C505" s="32"/>
      <c r="D505" s="32"/>
    </row>
    <row r="506">
      <c r="A506" s="32"/>
      <c r="B506" s="32"/>
      <c r="C506" s="32"/>
      <c r="D506" s="32"/>
    </row>
    <row r="507">
      <c r="A507" s="32"/>
      <c r="B507" s="32"/>
      <c r="C507" s="32"/>
      <c r="D507" s="32"/>
    </row>
    <row r="508">
      <c r="A508" s="32"/>
      <c r="B508" s="32"/>
      <c r="C508" s="32"/>
      <c r="D508" s="32"/>
    </row>
    <row r="509">
      <c r="A509" s="32"/>
      <c r="B509" s="32"/>
      <c r="C509" s="32"/>
      <c r="D509" s="32"/>
    </row>
    <row r="510">
      <c r="A510" s="32"/>
      <c r="B510" s="32"/>
      <c r="C510" s="32"/>
      <c r="D510" s="32"/>
    </row>
    <row r="511">
      <c r="A511" s="32"/>
      <c r="B511" s="32"/>
      <c r="C511" s="32"/>
      <c r="D511" s="32"/>
    </row>
    <row r="512">
      <c r="A512" s="32"/>
      <c r="B512" s="32"/>
      <c r="C512" s="32"/>
      <c r="D512" s="32"/>
    </row>
    <row r="513">
      <c r="A513" s="32"/>
      <c r="B513" s="32"/>
      <c r="C513" s="32"/>
      <c r="D513" s="32"/>
    </row>
    <row r="514">
      <c r="A514" s="32"/>
      <c r="B514" s="32"/>
      <c r="C514" s="32"/>
      <c r="D514" s="32"/>
    </row>
    <row r="515">
      <c r="A515" s="32"/>
      <c r="B515" s="32"/>
      <c r="C515" s="32"/>
      <c r="D515" s="32"/>
    </row>
    <row r="516">
      <c r="A516" s="32"/>
      <c r="B516" s="32"/>
      <c r="C516" s="32"/>
      <c r="D516" s="32"/>
    </row>
    <row r="517">
      <c r="A517" s="32"/>
      <c r="B517" s="32"/>
      <c r="C517" s="32"/>
      <c r="D517" s="32"/>
    </row>
    <row r="518">
      <c r="A518" s="32"/>
      <c r="B518" s="32"/>
      <c r="C518" s="32"/>
      <c r="D518" s="32"/>
    </row>
    <row r="519">
      <c r="A519" s="32"/>
      <c r="B519" s="32"/>
      <c r="C519" s="32"/>
      <c r="D519" s="32"/>
    </row>
    <row r="520">
      <c r="A520" s="32"/>
      <c r="B520" s="32"/>
      <c r="C520" s="32"/>
      <c r="D520" s="32"/>
    </row>
    <row r="521">
      <c r="A521" s="32"/>
      <c r="B521" s="32"/>
      <c r="C521" s="32"/>
      <c r="D521" s="32"/>
    </row>
    <row r="522">
      <c r="A522" s="32"/>
      <c r="B522" s="32"/>
      <c r="C522" s="32"/>
      <c r="D522" s="32"/>
    </row>
    <row r="523">
      <c r="A523" s="32"/>
      <c r="B523" s="32"/>
      <c r="C523" s="32"/>
      <c r="D523" s="32"/>
    </row>
    <row r="524">
      <c r="A524" s="32"/>
      <c r="B524" s="32"/>
      <c r="C524" s="32"/>
      <c r="D524" s="32"/>
    </row>
    <row r="525">
      <c r="A525" s="32"/>
      <c r="B525" s="32"/>
      <c r="C525" s="32"/>
      <c r="D525" s="32"/>
    </row>
    <row r="526">
      <c r="A526" s="32"/>
      <c r="B526" s="32"/>
      <c r="C526" s="32"/>
      <c r="D526" s="32"/>
    </row>
    <row r="527">
      <c r="A527" s="32"/>
      <c r="B527" s="32"/>
      <c r="C527" s="32"/>
      <c r="D527" s="32"/>
    </row>
    <row r="528">
      <c r="A528" s="32"/>
      <c r="B528" s="32"/>
      <c r="C528" s="32"/>
      <c r="D528" s="32"/>
    </row>
    <row r="529">
      <c r="A529" s="32"/>
      <c r="B529" s="32"/>
      <c r="C529" s="32"/>
      <c r="D529" s="32"/>
    </row>
    <row r="530">
      <c r="A530" s="32"/>
      <c r="B530" s="32"/>
      <c r="C530" s="32"/>
      <c r="D530" s="32"/>
    </row>
    <row r="531">
      <c r="A531" s="32"/>
      <c r="B531" s="32"/>
      <c r="C531" s="32"/>
      <c r="D531" s="32"/>
    </row>
    <row r="532">
      <c r="A532" s="32"/>
      <c r="B532" s="32"/>
      <c r="C532" s="32"/>
      <c r="D532" s="32"/>
    </row>
    <row r="533">
      <c r="A533" s="32"/>
      <c r="B533" s="32"/>
      <c r="C533" s="32"/>
      <c r="D533" s="32"/>
    </row>
    <row r="534">
      <c r="A534" s="32"/>
      <c r="B534" s="32"/>
      <c r="C534" s="32"/>
      <c r="D534" s="32"/>
    </row>
    <row r="535">
      <c r="A535" s="32"/>
      <c r="B535" s="32"/>
      <c r="C535" s="32"/>
      <c r="D535" s="32"/>
    </row>
    <row r="536">
      <c r="A536" s="32"/>
      <c r="B536" s="32"/>
      <c r="C536" s="32"/>
      <c r="D536" s="32"/>
    </row>
    <row r="537">
      <c r="A537" s="32"/>
      <c r="B537" s="32"/>
      <c r="C537" s="32"/>
      <c r="D537" s="32"/>
    </row>
    <row r="538">
      <c r="A538" s="32"/>
      <c r="B538" s="32"/>
      <c r="C538" s="32"/>
      <c r="D538" s="32"/>
    </row>
    <row r="539">
      <c r="A539" s="32"/>
      <c r="B539" s="32"/>
      <c r="C539" s="32"/>
      <c r="D539" s="32"/>
    </row>
    <row r="540">
      <c r="A540" s="32"/>
      <c r="B540" s="32"/>
      <c r="C540" s="32"/>
      <c r="D540" s="32"/>
    </row>
    <row r="541">
      <c r="A541" s="32"/>
      <c r="B541" s="32"/>
      <c r="C541" s="32"/>
      <c r="D541" s="32"/>
    </row>
    <row r="542">
      <c r="A542" s="32"/>
      <c r="B542" s="32"/>
      <c r="C542" s="32"/>
      <c r="D542" s="32"/>
    </row>
    <row r="543">
      <c r="A543" s="32"/>
      <c r="B543" s="32"/>
      <c r="C543" s="32"/>
      <c r="D543" s="32"/>
    </row>
    <row r="544">
      <c r="A544" s="32"/>
      <c r="B544" s="32"/>
      <c r="C544" s="32"/>
      <c r="D544" s="32"/>
    </row>
    <row r="545">
      <c r="A545" s="32"/>
      <c r="B545" s="32"/>
      <c r="C545" s="32"/>
      <c r="D545" s="32"/>
    </row>
    <row r="546">
      <c r="A546" s="32"/>
      <c r="B546" s="32"/>
      <c r="C546" s="32"/>
      <c r="D546" s="32"/>
    </row>
    <row r="547">
      <c r="A547" s="32"/>
      <c r="B547" s="32"/>
      <c r="C547" s="32"/>
      <c r="D547" s="32"/>
    </row>
    <row r="548">
      <c r="A548" s="32"/>
      <c r="B548" s="32"/>
      <c r="C548" s="32"/>
      <c r="D548" s="32"/>
    </row>
    <row r="549">
      <c r="A549" s="32"/>
      <c r="B549" s="32"/>
      <c r="C549" s="32"/>
      <c r="D549" s="32"/>
    </row>
    <row r="550">
      <c r="A550" s="32"/>
      <c r="B550" s="32"/>
      <c r="C550" s="32"/>
      <c r="D550" s="32"/>
    </row>
    <row r="551">
      <c r="A551" s="32"/>
      <c r="B551" s="32"/>
      <c r="C551" s="32"/>
      <c r="D551" s="32"/>
    </row>
    <row r="552">
      <c r="A552" s="32"/>
      <c r="B552" s="32"/>
      <c r="C552" s="32"/>
      <c r="D552" s="32"/>
    </row>
    <row r="553">
      <c r="A553" s="32"/>
      <c r="B553" s="32"/>
      <c r="C553" s="32"/>
      <c r="D553" s="32"/>
    </row>
    <row r="554">
      <c r="A554" s="32"/>
      <c r="B554" s="32"/>
      <c r="C554" s="32"/>
      <c r="D554" s="32"/>
    </row>
    <row r="555">
      <c r="A555" s="32"/>
      <c r="B555" s="32"/>
      <c r="C555" s="32"/>
      <c r="D555" s="32"/>
    </row>
    <row r="556">
      <c r="A556" s="32"/>
      <c r="B556" s="32"/>
      <c r="C556" s="32"/>
      <c r="D556" s="32"/>
    </row>
    <row r="557">
      <c r="A557" s="32"/>
      <c r="B557" s="32"/>
      <c r="C557" s="32"/>
      <c r="D557" s="32"/>
    </row>
    <row r="558">
      <c r="A558" s="32"/>
      <c r="B558" s="32"/>
      <c r="C558" s="32"/>
      <c r="D558" s="32"/>
    </row>
    <row r="559">
      <c r="A559" s="32"/>
      <c r="B559" s="32"/>
      <c r="C559" s="32"/>
      <c r="D559" s="32"/>
    </row>
    <row r="560">
      <c r="A560" s="32"/>
      <c r="B560" s="32"/>
      <c r="C560" s="32"/>
      <c r="D560" s="32"/>
    </row>
    <row r="561">
      <c r="A561" s="32"/>
      <c r="B561" s="32"/>
      <c r="C561" s="32"/>
      <c r="D561" s="32"/>
    </row>
    <row r="562">
      <c r="A562" s="32"/>
      <c r="B562" s="32"/>
      <c r="C562" s="32"/>
      <c r="D562" s="32"/>
    </row>
    <row r="563">
      <c r="A563" s="32"/>
      <c r="B563" s="32"/>
      <c r="C563" s="32"/>
      <c r="D563" s="32"/>
    </row>
    <row r="564">
      <c r="A564" s="32"/>
      <c r="B564" s="32"/>
      <c r="C564" s="32"/>
      <c r="D564" s="32"/>
    </row>
    <row r="565">
      <c r="A565" s="32"/>
      <c r="B565" s="32"/>
      <c r="C565" s="32"/>
      <c r="D565" s="32"/>
    </row>
    <row r="566">
      <c r="A566" s="32"/>
      <c r="B566" s="32"/>
      <c r="C566" s="32"/>
      <c r="D566" s="32"/>
    </row>
    <row r="567">
      <c r="A567" s="32"/>
      <c r="B567" s="32"/>
      <c r="C567" s="32"/>
      <c r="D567" s="32"/>
    </row>
    <row r="568">
      <c r="A568" s="32"/>
      <c r="B568" s="32"/>
      <c r="C568" s="32"/>
      <c r="D568" s="32"/>
    </row>
    <row r="569">
      <c r="A569" s="32"/>
      <c r="B569" s="32"/>
      <c r="C569" s="32"/>
      <c r="D569" s="32"/>
    </row>
    <row r="570">
      <c r="A570" s="32"/>
      <c r="B570" s="32"/>
      <c r="C570" s="32"/>
      <c r="D570" s="32"/>
    </row>
    <row r="571">
      <c r="A571" s="32"/>
      <c r="B571" s="32"/>
      <c r="C571" s="32"/>
      <c r="D571" s="32"/>
    </row>
    <row r="572">
      <c r="A572" s="32"/>
      <c r="B572" s="32"/>
      <c r="C572" s="32"/>
      <c r="D572" s="32"/>
    </row>
    <row r="573">
      <c r="A573" s="32"/>
      <c r="B573" s="32"/>
      <c r="C573" s="32"/>
      <c r="D573" s="32"/>
    </row>
    <row r="574">
      <c r="A574" s="32"/>
      <c r="B574" s="32"/>
      <c r="C574" s="32"/>
      <c r="D574" s="32"/>
    </row>
    <row r="575">
      <c r="A575" s="32"/>
      <c r="B575" s="32"/>
      <c r="C575" s="32"/>
      <c r="D575" s="32"/>
    </row>
    <row r="576">
      <c r="A576" s="32"/>
      <c r="B576" s="32"/>
      <c r="C576" s="32"/>
      <c r="D576" s="32"/>
    </row>
    <row r="577">
      <c r="A577" s="32"/>
      <c r="B577" s="32"/>
      <c r="C577" s="32"/>
      <c r="D577" s="32"/>
    </row>
    <row r="578">
      <c r="A578" s="32"/>
      <c r="B578" s="32"/>
      <c r="C578" s="32"/>
      <c r="D578" s="32"/>
    </row>
    <row r="579">
      <c r="A579" s="32"/>
      <c r="B579" s="32"/>
      <c r="C579" s="32"/>
      <c r="D579" s="32"/>
    </row>
    <row r="580">
      <c r="A580" s="32"/>
      <c r="B580" s="32"/>
      <c r="C580" s="32"/>
      <c r="D580" s="32"/>
    </row>
    <row r="581">
      <c r="A581" s="32"/>
      <c r="B581" s="32"/>
      <c r="C581" s="32"/>
      <c r="D581" s="32"/>
    </row>
    <row r="582">
      <c r="A582" s="32"/>
      <c r="B582" s="32"/>
      <c r="C582" s="32"/>
      <c r="D582" s="32"/>
    </row>
    <row r="583">
      <c r="A583" s="32"/>
      <c r="B583" s="32"/>
      <c r="C583" s="32"/>
      <c r="D583" s="32"/>
    </row>
    <row r="584">
      <c r="A584" s="32"/>
      <c r="B584" s="32"/>
      <c r="C584" s="32"/>
      <c r="D584" s="32"/>
    </row>
    <row r="585">
      <c r="A585" s="32"/>
      <c r="B585" s="32"/>
      <c r="C585" s="32"/>
      <c r="D585" s="32"/>
    </row>
    <row r="586">
      <c r="A586" s="32"/>
      <c r="B586" s="32"/>
      <c r="C586" s="32"/>
      <c r="D586" s="32"/>
    </row>
    <row r="587">
      <c r="A587" s="32"/>
      <c r="B587" s="32"/>
      <c r="C587" s="32"/>
      <c r="D587" s="32"/>
    </row>
    <row r="588">
      <c r="A588" s="32"/>
      <c r="B588" s="32"/>
      <c r="C588" s="32"/>
      <c r="D588" s="32"/>
    </row>
    <row r="589">
      <c r="A589" s="32"/>
      <c r="B589" s="32"/>
      <c r="C589" s="32"/>
      <c r="D589" s="32"/>
    </row>
    <row r="590">
      <c r="A590" s="32"/>
      <c r="B590" s="32"/>
      <c r="C590" s="32"/>
      <c r="D590" s="32"/>
    </row>
    <row r="591">
      <c r="A591" s="32"/>
      <c r="B591" s="32"/>
      <c r="C591" s="32"/>
      <c r="D591" s="32"/>
    </row>
    <row r="592">
      <c r="A592" s="32"/>
      <c r="B592" s="32"/>
      <c r="C592" s="32"/>
      <c r="D592" s="32"/>
    </row>
    <row r="593">
      <c r="A593" s="32"/>
      <c r="B593" s="32"/>
      <c r="C593" s="32"/>
      <c r="D593" s="32"/>
    </row>
    <row r="594">
      <c r="A594" s="32"/>
      <c r="B594" s="32"/>
      <c r="C594" s="32"/>
      <c r="D594" s="32"/>
    </row>
    <row r="595">
      <c r="A595" s="32"/>
      <c r="B595" s="32"/>
      <c r="C595" s="32"/>
      <c r="D595" s="32"/>
    </row>
    <row r="596">
      <c r="A596" s="32"/>
      <c r="B596" s="32"/>
      <c r="C596" s="32"/>
      <c r="D596" s="32"/>
    </row>
    <row r="597">
      <c r="A597" s="32"/>
      <c r="B597" s="32"/>
      <c r="C597" s="32"/>
      <c r="D597" s="32"/>
    </row>
    <row r="598">
      <c r="A598" s="32"/>
      <c r="B598" s="32"/>
      <c r="C598" s="32"/>
      <c r="D598" s="32"/>
    </row>
    <row r="599">
      <c r="A599" s="32"/>
      <c r="B599" s="32"/>
      <c r="C599" s="32"/>
      <c r="D599" s="32"/>
    </row>
    <row r="600">
      <c r="A600" s="32"/>
      <c r="B600" s="32"/>
      <c r="C600" s="32"/>
      <c r="D600" s="32"/>
    </row>
    <row r="601">
      <c r="A601" s="32"/>
      <c r="B601" s="32"/>
      <c r="C601" s="32"/>
      <c r="D601" s="32"/>
    </row>
    <row r="602">
      <c r="A602" s="32"/>
      <c r="B602" s="32"/>
      <c r="C602" s="32"/>
      <c r="D602" s="32"/>
    </row>
    <row r="603">
      <c r="A603" s="32"/>
      <c r="B603" s="32"/>
      <c r="C603" s="32"/>
      <c r="D603" s="32"/>
    </row>
    <row r="604">
      <c r="A604" s="32"/>
      <c r="B604" s="32"/>
      <c r="C604" s="32"/>
      <c r="D604" s="32"/>
    </row>
    <row r="605">
      <c r="A605" s="32"/>
      <c r="B605" s="32"/>
      <c r="C605" s="32"/>
      <c r="D605" s="32"/>
    </row>
    <row r="606">
      <c r="A606" s="32"/>
      <c r="B606" s="32"/>
      <c r="C606" s="32"/>
      <c r="D606" s="32"/>
    </row>
    <row r="607">
      <c r="A607" s="32"/>
      <c r="B607" s="32"/>
      <c r="C607" s="32"/>
      <c r="D607" s="32"/>
    </row>
    <row r="608">
      <c r="A608" s="32"/>
      <c r="B608" s="32"/>
      <c r="C608" s="32"/>
      <c r="D608" s="32"/>
    </row>
    <row r="609">
      <c r="A609" s="32"/>
      <c r="B609" s="32"/>
      <c r="C609" s="32"/>
      <c r="D609" s="32"/>
    </row>
    <row r="610">
      <c r="A610" s="32"/>
      <c r="B610" s="32"/>
      <c r="C610" s="32"/>
      <c r="D610" s="32"/>
    </row>
    <row r="611">
      <c r="A611" s="32"/>
      <c r="B611" s="32"/>
      <c r="C611" s="32"/>
      <c r="D611" s="32"/>
    </row>
    <row r="612">
      <c r="A612" s="32"/>
      <c r="B612" s="32"/>
      <c r="C612" s="32"/>
      <c r="D612" s="32"/>
    </row>
    <row r="613">
      <c r="A613" s="32"/>
      <c r="B613" s="32"/>
      <c r="C613" s="32"/>
      <c r="D613" s="32"/>
    </row>
    <row r="614">
      <c r="A614" s="32"/>
      <c r="B614" s="32"/>
      <c r="C614" s="32"/>
      <c r="D614" s="32"/>
    </row>
    <row r="615">
      <c r="A615" s="32"/>
      <c r="B615" s="32"/>
      <c r="C615" s="32"/>
      <c r="D615" s="32"/>
    </row>
    <row r="616">
      <c r="A616" s="32"/>
      <c r="B616" s="32"/>
      <c r="C616" s="32"/>
      <c r="D616" s="32"/>
    </row>
    <row r="617">
      <c r="A617" s="32"/>
      <c r="B617" s="32"/>
      <c r="C617" s="32"/>
      <c r="D617" s="32"/>
    </row>
    <row r="618">
      <c r="A618" s="32"/>
      <c r="B618" s="32"/>
      <c r="C618" s="32"/>
      <c r="D618" s="32"/>
    </row>
    <row r="619">
      <c r="A619" s="32"/>
      <c r="B619" s="32"/>
      <c r="C619" s="32"/>
      <c r="D619" s="32"/>
    </row>
    <row r="620">
      <c r="A620" s="32"/>
      <c r="B620" s="32"/>
      <c r="C620" s="32"/>
      <c r="D620" s="32"/>
    </row>
    <row r="621">
      <c r="A621" s="32"/>
      <c r="B621" s="32"/>
      <c r="C621" s="32"/>
      <c r="D621" s="32"/>
    </row>
    <row r="622">
      <c r="A622" s="32"/>
      <c r="B622" s="32"/>
      <c r="C622" s="32"/>
      <c r="D622" s="32"/>
    </row>
    <row r="623">
      <c r="A623" s="32"/>
      <c r="B623" s="32"/>
      <c r="C623" s="32"/>
      <c r="D623" s="32"/>
    </row>
    <row r="624">
      <c r="A624" s="32"/>
      <c r="B624" s="32"/>
      <c r="C624" s="32"/>
      <c r="D624" s="32"/>
    </row>
    <row r="625">
      <c r="A625" s="32"/>
      <c r="B625" s="32"/>
      <c r="C625" s="32"/>
      <c r="D625" s="32"/>
    </row>
    <row r="626">
      <c r="A626" s="32"/>
      <c r="B626" s="32"/>
      <c r="C626" s="32"/>
      <c r="D626" s="32"/>
    </row>
    <row r="627">
      <c r="A627" s="32"/>
      <c r="B627" s="32"/>
      <c r="C627" s="32"/>
      <c r="D627" s="32"/>
    </row>
    <row r="628">
      <c r="A628" s="32"/>
      <c r="B628" s="32"/>
      <c r="C628" s="32"/>
      <c r="D628" s="32"/>
    </row>
    <row r="629">
      <c r="A629" s="32"/>
      <c r="B629" s="32"/>
      <c r="C629" s="32"/>
      <c r="D629" s="32"/>
    </row>
    <row r="630">
      <c r="A630" s="32"/>
      <c r="B630" s="32"/>
      <c r="C630" s="32"/>
      <c r="D630" s="32"/>
    </row>
    <row r="631">
      <c r="A631" s="32"/>
      <c r="B631" s="32"/>
      <c r="C631" s="32"/>
      <c r="D631" s="32"/>
    </row>
    <row r="632">
      <c r="A632" s="32"/>
      <c r="B632" s="32"/>
      <c r="C632" s="32"/>
      <c r="D632" s="32"/>
    </row>
    <row r="633">
      <c r="A633" s="32"/>
      <c r="B633" s="32"/>
      <c r="C633" s="32"/>
      <c r="D633" s="32"/>
    </row>
    <row r="634">
      <c r="A634" s="32"/>
      <c r="B634" s="32"/>
      <c r="C634" s="32"/>
      <c r="D634" s="32"/>
    </row>
    <row r="635">
      <c r="A635" s="32"/>
      <c r="B635" s="32"/>
      <c r="C635" s="32"/>
      <c r="D635" s="32"/>
    </row>
    <row r="636">
      <c r="A636" s="32"/>
      <c r="B636" s="32"/>
      <c r="C636" s="32"/>
      <c r="D636" s="32"/>
    </row>
    <row r="637">
      <c r="A637" s="32"/>
      <c r="B637" s="32"/>
      <c r="C637" s="32"/>
      <c r="D637" s="32"/>
    </row>
    <row r="638">
      <c r="A638" s="32"/>
      <c r="B638" s="32"/>
      <c r="C638" s="32"/>
      <c r="D638" s="32"/>
    </row>
    <row r="639">
      <c r="A639" s="32"/>
      <c r="B639" s="32"/>
      <c r="C639" s="32"/>
      <c r="D639" s="32"/>
    </row>
    <row r="640">
      <c r="A640" s="32"/>
      <c r="B640" s="32"/>
      <c r="C640" s="32"/>
      <c r="D640" s="32"/>
    </row>
    <row r="641">
      <c r="A641" s="32"/>
      <c r="B641" s="32"/>
      <c r="C641" s="32"/>
      <c r="D641" s="32"/>
    </row>
    <row r="642">
      <c r="A642" s="32"/>
      <c r="B642" s="32"/>
      <c r="C642" s="32"/>
      <c r="D642" s="32"/>
    </row>
    <row r="643">
      <c r="A643" s="32"/>
      <c r="B643" s="32"/>
      <c r="C643" s="32"/>
      <c r="D643" s="32"/>
    </row>
    <row r="644">
      <c r="A644" s="32"/>
      <c r="B644" s="32"/>
      <c r="C644" s="32"/>
      <c r="D644" s="32"/>
    </row>
    <row r="645">
      <c r="A645" s="32"/>
      <c r="B645" s="32"/>
      <c r="C645" s="32"/>
      <c r="D645" s="32"/>
    </row>
    <row r="646">
      <c r="A646" s="32"/>
      <c r="B646" s="32"/>
      <c r="C646" s="32"/>
      <c r="D646" s="32"/>
    </row>
    <row r="647">
      <c r="A647" s="32"/>
      <c r="B647" s="32"/>
      <c r="C647" s="32"/>
      <c r="D647" s="32"/>
    </row>
    <row r="648">
      <c r="A648" s="32"/>
      <c r="B648" s="32"/>
      <c r="C648" s="32"/>
      <c r="D648" s="32"/>
    </row>
    <row r="649">
      <c r="A649" s="32"/>
      <c r="B649" s="32"/>
      <c r="C649" s="32"/>
      <c r="D649" s="32"/>
    </row>
    <row r="650">
      <c r="A650" s="32"/>
      <c r="B650" s="32"/>
      <c r="C650" s="32"/>
      <c r="D650" s="32"/>
    </row>
    <row r="651">
      <c r="A651" s="32"/>
      <c r="B651" s="32"/>
      <c r="C651" s="32"/>
      <c r="D651" s="32"/>
    </row>
    <row r="652">
      <c r="A652" s="32"/>
      <c r="B652" s="32"/>
      <c r="C652" s="32"/>
      <c r="D652" s="32"/>
    </row>
    <row r="653">
      <c r="A653" s="32"/>
      <c r="B653" s="32"/>
      <c r="C653" s="32"/>
      <c r="D653" s="32"/>
    </row>
    <row r="654">
      <c r="A654" s="32"/>
      <c r="B654" s="32"/>
      <c r="C654" s="32"/>
      <c r="D654" s="32"/>
    </row>
    <row r="655">
      <c r="A655" s="32"/>
      <c r="B655" s="32"/>
      <c r="C655" s="32"/>
      <c r="D655" s="32"/>
    </row>
    <row r="656">
      <c r="A656" s="32"/>
      <c r="B656" s="32"/>
      <c r="C656" s="32"/>
      <c r="D656" s="32"/>
    </row>
    <row r="657">
      <c r="A657" s="32"/>
      <c r="B657" s="32"/>
      <c r="C657" s="32"/>
      <c r="D657" s="32"/>
    </row>
    <row r="658">
      <c r="A658" s="32"/>
      <c r="B658" s="32"/>
      <c r="C658" s="32"/>
      <c r="D658" s="32"/>
    </row>
    <row r="659">
      <c r="A659" s="32"/>
      <c r="B659" s="32"/>
      <c r="C659" s="32"/>
      <c r="D659" s="32"/>
    </row>
    <row r="660">
      <c r="A660" s="32"/>
      <c r="B660" s="32"/>
      <c r="C660" s="32"/>
      <c r="D660" s="32"/>
    </row>
    <row r="661">
      <c r="A661" s="32"/>
      <c r="B661" s="32"/>
      <c r="C661" s="32"/>
      <c r="D661" s="32"/>
    </row>
    <row r="662">
      <c r="A662" s="32"/>
      <c r="B662" s="32"/>
      <c r="C662" s="32"/>
      <c r="D662" s="32"/>
    </row>
    <row r="663">
      <c r="A663" s="32"/>
      <c r="B663" s="32"/>
      <c r="C663" s="32"/>
      <c r="D663" s="32"/>
    </row>
    <row r="664">
      <c r="A664" s="32"/>
      <c r="B664" s="32"/>
      <c r="C664" s="32"/>
      <c r="D664" s="32"/>
    </row>
    <row r="665">
      <c r="A665" s="32"/>
      <c r="B665" s="32"/>
      <c r="C665" s="32"/>
      <c r="D665" s="32"/>
    </row>
    <row r="666">
      <c r="A666" s="32"/>
      <c r="B666" s="32"/>
      <c r="C666" s="32"/>
      <c r="D666" s="32"/>
    </row>
    <row r="667">
      <c r="A667" s="32"/>
      <c r="B667" s="32"/>
      <c r="C667" s="32"/>
      <c r="D667" s="32"/>
    </row>
    <row r="668">
      <c r="A668" s="32"/>
      <c r="B668" s="32"/>
      <c r="C668" s="32"/>
      <c r="D668" s="32"/>
    </row>
    <row r="669">
      <c r="A669" s="32"/>
      <c r="B669" s="32"/>
      <c r="C669" s="32"/>
      <c r="D669" s="32"/>
    </row>
    <row r="670">
      <c r="A670" s="32"/>
      <c r="B670" s="32"/>
      <c r="C670" s="32"/>
      <c r="D670" s="32"/>
    </row>
    <row r="671">
      <c r="A671" s="32"/>
      <c r="B671" s="32"/>
      <c r="C671" s="32"/>
      <c r="D671" s="32"/>
    </row>
    <row r="672">
      <c r="A672" s="32"/>
      <c r="B672" s="32"/>
      <c r="C672" s="32"/>
      <c r="D672" s="32"/>
    </row>
    <row r="673">
      <c r="A673" s="32"/>
      <c r="B673" s="32"/>
      <c r="C673" s="32"/>
      <c r="D673" s="32"/>
    </row>
    <row r="674">
      <c r="A674" s="32"/>
      <c r="B674" s="32"/>
      <c r="C674" s="32"/>
      <c r="D674" s="32"/>
    </row>
    <row r="675">
      <c r="A675" s="32"/>
      <c r="B675" s="32"/>
      <c r="C675" s="32"/>
      <c r="D675" s="32"/>
    </row>
    <row r="676">
      <c r="A676" s="32"/>
      <c r="B676" s="32"/>
      <c r="C676" s="32"/>
      <c r="D676" s="32"/>
    </row>
    <row r="677">
      <c r="A677" s="32"/>
      <c r="B677" s="32"/>
      <c r="C677" s="32"/>
      <c r="D677" s="32"/>
    </row>
    <row r="678">
      <c r="A678" s="32"/>
      <c r="B678" s="32"/>
      <c r="C678" s="32"/>
      <c r="D678" s="32"/>
    </row>
    <row r="679">
      <c r="A679" s="32"/>
      <c r="B679" s="32"/>
      <c r="C679" s="32"/>
      <c r="D679" s="32"/>
    </row>
    <row r="680">
      <c r="A680" s="32"/>
      <c r="B680" s="32"/>
      <c r="C680" s="32"/>
      <c r="D680" s="32"/>
    </row>
    <row r="681">
      <c r="A681" s="32"/>
      <c r="B681" s="32"/>
      <c r="C681" s="32"/>
      <c r="D681" s="32"/>
    </row>
    <row r="682">
      <c r="A682" s="32"/>
      <c r="B682" s="32"/>
      <c r="C682" s="32"/>
      <c r="D682" s="32"/>
    </row>
    <row r="683">
      <c r="A683" s="32"/>
      <c r="B683" s="32"/>
      <c r="C683" s="32"/>
      <c r="D683" s="32"/>
    </row>
    <row r="684">
      <c r="A684" s="32"/>
      <c r="B684" s="32"/>
      <c r="C684" s="32"/>
      <c r="D684" s="32"/>
    </row>
    <row r="685">
      <c r="A685" s="32"/>
      <c r="B685" s="32"/>
      <c r="C685" s="32"/>
      <c r="D685" s="32"/>
    </row>
    <row r="686">
      <c r="A686" s="32"/>
      <c r="B686" s="32"/>
      <c r="C686" s="32"/>
      <c r="D686" s="32"/>
    </row>
    <row r="687">
      <c r="A687" s="32"/>
      <c r="B687" s="32"/>
      <c r="C687" s="32"/>
      <c r="D687" s="32"/>
    </row>
    <row r="688">
      <c r="A688" s="32"/>
      <c r="B688" s="32"/>
      <c r="C688" s="32"/>
      <c r="D688" s="32"/>
    </row>
    <row r="689">
      <c r="A689" s="32"/>
      <c r="B689" s="32"/>
      <c r="C689" s="32"/>
      <c r="D689" s="32"/>
    </row>
    <row r="690">
      <c r="A690" s="32"/>
      <c r="B690" s="32"/>
      <c r="C690" s="32"/>
      <c r="D690" s="32"/>
    </row>
    <row r="691">
      <c r="A691" s="32"/>
      <c r="B691" s="32"/>
      <c r="C691" s="32"/>
      <c r="D691" s="32"/>
    </row>
    <row r="692">
      <c r="A692" s="32"/>
      <c r="B692" s="32"/>
      <c r="C692" s="32"/>
      <c r="D692" s="32"/>
    </row>
    <row r="693">
      <c r="A693" s="32"/>
      <c r="B693" s="32"/>
      <c r="C693" s="32"/>
      <c r="D693" s="32"/>
    </row>
    <row r="694">
      <c r="A694" s="32"/>
      <c r="B694" s="32"/>
      <c r="C694" s="32"/>
      <c r="D694" s="32"/>
    </row>
    <row r="695">
      <c r="A695" s="32"/>
      <c r="B695" s="32"/>
      <c r="C695" s="32"/>
      <c r="D695" s="32"/>
    </row>
    <row r="696">
      <c r="A696" s="32"/>
      <c r="B696" s="32"/>
      <c r="C696" s="32"/>
      <c r="D696" s="32"/>
    </row>
    <row r="697">
      <c r="A697" s="32"/>
      <c r="B697" s="32"/>
      <c r="C697" s="32"/>
      <c r="D697" s="32"/>
    </row>
    <row r="698">
      <c r="A698" s="32"/>
      <c r="B698" s="32"/>
      <c r="C698" s="32"/>
      <c r="D698" s="32"/>
    </row>
    <row r="699">
      <c r="A699" s="32"/>
      <c r="B699" s="32"/>
      <c r="C699" s="32"/>
      <c r="D699" s="32"/>
    </row>
    <row r="700">
      <c r="A700" s="32"/>
      <c r="B700" s="32"/>
      <c r="C700" s="32"/>
      <c r="D700" s="32"/>
    </row>
    <row r="701">
      <c r="A701" s="32"/>
      <c r="B701" s="32"/>
      <c r="C701" s="32"/>
      <c r="D701" s="32"/>
    </row>
    <row r="702">
      <c r="A702" s="32"/>
      <c r="B702" s="32"/>
      <c r="C702" s="32"/>
      <c r="D702" s="32"/>
    </row>
    <row r="703">
      <c r="A703" s="32"/>
      <c r="B703" s="32"/>
      <c r="C703" s="32"/>
      <c r="D703" s="32"/>
    </row>
    <row r="704">
      <c r="A704" s="32"/>
      <c r="B704" s="32"/>
      <c r="C704" s="32"/>
      <c r="D704" s="32"/>
    </row>
    <row r="705">
      <c r="A705" s="32"/>
      <c r="B705" s="32"/>
      <c r="C705" s="32"/>
      <c r="D705" s="32"/>
    </row>
    <row r="706">
      <c r="A706" s="32"/>
      <c r="B706" s="32"/>
      <c r="C706" s="32"/>
      <c r="D706" s="32"/>
    </row>
    <row r="707">
      <c r="A707" s="32"/>
      <c r="B707" s="32"/>
      <c r="C707" s="32"/>
      <c r="D707" s="32"/>
    </row>
    <row r="708">
      <c r="A708" s="32"/>
      <c r="B708" s="32"/>
      <c r="C708" s="32"/>
      <c r="D708" s="32"/>
    </row>
    <row r="709">
      <c r="A709" s="32"/>
      <c r="B709" s="32"/>
      <c r="C709" s="32"/>
      <c r="D709" s="32"/>
    </row>
    <row r="710">
      <c r="A710" s="32"/>
      <c r="B710" s="32"/>
      <c r="C710" s="32"/>
      <c r="D710" s="32"/>
    </row>
    <row r="711">
      <c r="A711" s="32"/>
      <c r="B711" s="32"/>
      <c r="C711" s="32"/>
      <c r="D711" s="32"/>
    </row>
    <row r="712">
      <c r="A712" s="32"/>
      <c r="B712" s="32"/>
      <c r="C712" s="32"/>
      <c r="D712" s="32"/>
    </row>
    <row r="713">
      <c r="A713" s="32"/>
      <c r="B713" s="32"/>
      <c r="C713" s="32"/>
      <c r="D713" s="32"/>
    </row>
    <row r="714">
      <c r="A714" s="32"/>
      <c r="B714" s="32"/>
      <c r="C714" s="32"/>
      <c r="D714" s="32"/>
    </row>
    <row r="715">
      <c r="A715" s="32"/>
      <c r="B715" s="32"/>
      <c r="C715" s="32"/>
      <c r="D715" s="32"/>
    </row>
    <row r="716">
      <c r="A716" s="32"/>
      <c r="B716" s="32"/>
      <c r="C716" s="32"/>
      <c r="D716" s="32"/>
    </row>
    <row r="717">
      <c r="A717" s="32"/>
      <c r="B717" s="32"/>
      <c r="C717" s="32"/>
      <c r="D717" s="32"/>
    </row>
    <row r="718">
      <c r="A718" s="32"/>
      <c r="B718" s="32"/>
      <c r="C718" s="32"/>
      <c r="D718" s="32"/>
    </row>
    <row r="719">
      <c r="A719" s="32"/>
      <c r="B719" s="32"/>
      <c r="C719" s="32"/>
      <c r="D719" s="32"/>
    </row>
    <row r="720">
      <c r="A720" s="32"/>
      <c r="B720" s="32"/>
      <c r="C720" s="32"/>
      <c r="D720" s="32"/>
    </row>
    <row r="721">
      <c r="A721" s="32"/>
      <c r="B721" s="32"/>
      <c r="C721" s="32"/>
      <c r="D721" s="32"/>
    </row>
    <row r="722">
      <c r="A722" s="32"/>
      <c r="B722" s="32"/>
      <c r="C722" s="32"/>
      <c r="D722" s="32"/>
    </row>
    <row r="723">
      <c r="A723" s="32"/>
      <c r="B723" s="32"/>
      <c r="C723" s="32"/>
      <c r="D723" s="32"/>
    </row>
    <row r="724">
      <c r="A724" s="32"/>
      <c r="B724" s="32"/>
      <c r="C724" s="32"/>
      <c r="D724" s="32"/>
    </row>
    <row r="725">
      <c r="A725" s="32"/>
      <c r="B725" s="32"/>
      <c r="C725" s="32"/>
      <c r="D725" s="32"/>
    </row>
    <row r="726">
      <c r="A726" s="32"/>
      <c r="B726" s="32"/>
      <c r="C726" s="32"/>
      <c r="D726" s="32"/>
    </row>
    <row r="727">
      <c r="A727" s="32"/>
      <c r="B727" s="32"/>
      <c r="C727" s="32"/>
      <c r="D727" s="32"/>
    </row>
    <row r="728">
      <c r="A728" s="32"/>
      <c r="B728" s="32"/>
      <c r="C728" s="32"/>
      <c r="D728" s="32"/>
    </row>
    <row r="729">
      <c r="A729" s="32"/>
      <c r="B729" s="32"/>
      <c r="C729" s="32"/>
      <c r="D729" s="32"/>
    </row>
    <row r="730">
      <c r="A730" s="32"/>
      <c r="B730" s="32"/>
      <c r="C730" s="32"/>
      <c r="D730" s="32"/>
    </row>
    <row r="731">
      <c r="A731" s="32"/>
      <c r="B731" s="32"/>
      <c r="C731" s="32"/>
      <c r="D731" s="32"/>
    </row>
    <row r="732">
      <c r="A732" s="32"/>
      <c r="B732" s="32"/>
      <c r="C732" s="32"/>
      <c r="D732" s="32"/>
    </row>
    <row r="733">
      <c r="A733" s="32"/>
      <c r="B733" s="32"/>
      <c r="C733" s="32"/>
      <c r="D733" s="32"/>
    </row>
    <row r="734">
      <c r="A734" s="32"/>
      <c r="B734" s="32"/>
      <c r="C734" s="32"/>
      <c r="D734" s="32"/>
    </row>
    <row r="735">
      <c r="A735" s="32"/>
      <c r="B735" s="32"/>
      <c r="C735" s="32"/>
      <c r="D735" s="32"/>
    </row>
    <row r="736">
      <c r="A736" s="32"/>
      <c r="B736" s="32"/>
      <c r="C736" s="32"/>
      <c r="D736" s="32"/>
    </row>
    <row r="737">
      <c r="A737" s="32"/>
      <c r="B737" s="32"/>
      <c r="C737" s="32"/>
      <c r="D737" s="32"/>
    </row>
    <row r="738">
      <c r="A738" s="32"/>
      <c r="B738" s="32"/>
      <c r="C738" s="32"/>
      <c r="D738" s="32"/>
    </row>
    <row r="739">
      <c r="A739" s="32"/>
      <c r="B739" s="32"/>
      <c r="C739" s="32"/>
      <c r="D739" s="32"/>
    </row>
    <row r="740">
      <c r="A740" s="32"/>
      <c r="B740" s="32"/>
      <c r="C740" s="32"/>
      <c r="D740" s="32"/>
    </row>
    <row r="741">
      <c r="A741" s="32"/>
      <c r="B741" s="32"/>
      <c r="C741" s="32"/>
      <c r="D741" s="32"/>
    </row>
    <row r="742">
      <c r="A742" s="32"/>
      <c r="B742" s="32"/>
      <c r="C742" s="32"/>
      <c r="D742" s="32"/>
    </row>
    <row r="743">
      <c r="A743" s="32"/>
      <c r="B743" s="32"/>
      <c r="C743" s="32"/>
      <c r="D743" s="32"/>
    </row>
    <row r="744">
      <c r="A744" s="32"/>
      <c r="B744" s="32"/>
      <c r="C744" s="32"/>
      <c r="D744" s="32"/>
    </row>
    <row r="745">
      <c r="A745" s="32"/>
      <c r="B745" s="32"/>
      <c r="C745" s="32"/>
      <c r="D745" s="32"/>
    </row>
    <row r="746">
      <c r="A746" s="32"/>
      <c r="B746" s="32"/>
      <c r="C746" s="32"/>
      <c r="D746" s="32"/>
    </row>
    <row r="747">
      <c r="A747" s="32"/>
      <c r="B747" s="32"/>
      <c r="C747" s="32"/>
      <c r="D747" s="32"/>
    </row>
    <row r="748">
      <c r="A748" s="32"/>
      <c r="B748" s="32"/>
      <c r="C748" s="32"/>
      <c r="D748" s="32"/>
    </row>
    <row r="749">
      <c r="A749" s="32"/>
      <c r="B749" s="32"/>
      <c r="C749" s="32"/>
      <c r="D749" s="32"/>
    </row>
    <row r="750">
      <c r="A750" s="32"/>
      <c r="B750" s="32"/>
      <c r="C750" s="32"/>
      <c r="D750" s="32"/>
    </row>
    <row r="751">
      <c r="A751" s="32"/>
      <c r="B751" s="32"/>
      <c r="C751" s="32"/>
      <c r="D751" s="32"/>
    </row>
    <row r="752">
      <c r="A752" s="32"/>
      <c r="B752" s="32"/>
      <c r="C752" s="32"/>
      <c r="D752" s="32"/>
    </row>
    <row r="753">
      <c r="A753" s="32"/>
      <c r="B753" s="32"/>
      <c r="C753" s="32"/>
      <c r="D753" s="32"/>
    </row>
    <row r="754">
      <c r="A754" s="32"/>
      <c r="B754" s="32"/>
      <c r="C754" s="32"/>
      <c r="D754" s="32"/>
    </row>
    <row r="755">
      <c r="A755" s="32"/>
      <c r="B755" s="32"/>
      <c r="C755" s="32"/>
      <c r="D755" s="32"/>
    </row>
    <row r="756">
      <c r="A756" s="32"/>
      <c r="B756" s="32"/>
      <c r="C756" s="32"/>
      <c r="D756" s="32"/>
    </row>
    <row r="757">
      <c r="A757" s="32"/>
      <c r="B757" s="32"/>
      <c r="C757" s="32"/>
      <c r="D757" s="32"/>
    </row>
    <row r="758">
      <c r="A758" s="32"/>
      <c r="B758" s="32"/>
      <c r="C758" s="32"/>
      <c r="D758" s="32"/>
    </row>
    <row r="759">
      <c r="A759" s="32"/>
      <c r="B759" s="32"/>
      <c r="C759" s="32"/>
      <c r="D759" s="32"/>
    </row>
    <row r="760">
      <c r="A760" s="32"/>
      <c r="B760" s="32"/>
      <c r="C760" s="32"/>
      <c r="D760" s="32"/>
    </row>
    <row r="761">
      <c r="A761" s="32"/>
      <c r="B761" s="32"/>
      <c r="C761" s="32"/>
      <c r="D761" s="32"/>
    </row>
    <row r="762">
      <c r="A762" s="32"/>
      <c r="B762" s="32"/>
      <c r="C762" s="32"/>
      <c r="D762" s="32"/>
    </row>
    <row r="763">
      <c r="A763" s="32"/>
      <c r="B763" s="32"/>
      <c r="C763" s="32"/>
      <c r="D763" s="32"/>
    </row>
    <row r="764">
      <c r="A764" s="32"/>
      <c r="B764" s="32"/>
      <c r="C764" s="32"/>
      <c r="D764" s="32"/>
    </row>
    <row r="765">
      <c r="A765" s="32"/>
      <c r="B765" s="32"/>
      <c r="C765" s="32"/>
      <c r="D765" s="32"/>
    </row>
    <row r="766">
      <c r="A766" s="32"/>
      <c r="B766" s="32"/>
      <c r="C766" s="32"/>
      <c r="D766" s="32"/>
    </row>
    <row r="767">
      <c r="A767" s="32"/>
      <c r="B767" s="32"/>
      <c r="C767" s="32"/>
      <c r="D767" s="32"/>
    </row>
    <row r="768">
      <c r="A768" s="32"/>
      <c r="B768" s="32"/>
      <c r="C768" s="32"/>
      <c r="D768" s="32"/>
    </row>
    <row r="769">
      <c r="A769" s="32"/>
      <c r="B769" s="32"/>
      <c r="C769" s="32"/>
      <c r="D769" s="32"/>
    </row>
    <row r="770">
      <c r="A770" s="32"/>
      <c r="B770" s="32"/>
      <c r="C770" s="32"/>
      <c r="D770" s="32"/>
    </row>
    <row r="771">
      <c r="A771" s="32"/>
      <c r="B771" s="32"/>
      <c r="C771" s="32"/>
      <c r="D771" s="32"/>
    </row>
    <row r="772">
      <c r="A772" s="32"/>
      <c r="B772" s="32"/>
      <c r="C772" s="32"/>
      <c r="D772" s="32"/>
    </row>
    <row r="773">
      <c r="A773" s="32"/>
      <c r="B773" s="32"/>
      <c r="C773" s="32"/>
      <c r="D773" s="32"/>
    </row>
    <row r="774">
      <c r="A774" s="32"/>
      <c r="B774" s="32"/>
      <c r="C774" s="32"/>
      <c r="D774" s="32"/>
    </row>
    <row r="775">
      <c r="A775" s="32"/>
      <c r="B775" s="32"/>
      <c r="C775" s="32"/>
      <c r="D775" s="32"/>
    </row>
    <row r="776">
      <c r="A776" s="32"/>
      <c r="B776" s="32"/>
      <c r="C776" s="32"/>
      <c r="D776" s="32"/>
    </row>
    <row r="777">
      <c r="A777" s="32"/>
      <c r="B777" s="32"/>
      <c r="C777" s="32"/>
      <c r="D777" s="32"/>
    </row>
    <row r="778">
      <c r="A778" s="32"/>
      <c r="B778" s="32"/>
      <c r="C778" s="32"/>
      <c r="D778" s="32"/>
    </row>
    <row r="779">
      <c r="A779" s="32"/>
      <c r="B779" s="32"/>
      <c r="C779" s="32"/>
      <c r="D779" s="32"/>
    </row>
    <row r="780">
      <c r="A780" s="32"/>
      <c r="B780" s="32"/>
      <c r="C780" s="32"/>
      <c r="D780" s="32"/>
    </row>
    <row r="781">
      <c r="A781" s="32"/>
      <c r="B781" s="32"/>
      <c r="C781" s="32"/>
      <c r="D781" s="32"/>
    </row>
    <row r="782">
      <c r="A782" s="32"/>
      <c r="B782" s="32"/>
      <c r="C782" s="32"/>
      <c r="D782" s="32"/>
    </row>
    <row r="783">
      <c r="A783" s="32"/>
      <c r="B783" s="32"/>
      <c r="C783" s="32"/>
      <c r="D783" s="32"/>
    </row>
    <row r="784">
      <c r="A784" s="32"/>
      <c r="B784" s="32"/>
      <c r="C784" s="32"/>
      <c r="D784" s="32"/>
    </row>
    <row r="785">
      <c r="A785" s="32"/>
      <c r="B785" s="32"/>
      <c r="C785" s="32"/>
      <c r="D785" s="32"/>
    </row>
    <row r="786">
      <c r="A786" s="32"/>
      <c r="B786" s="32"/>
      <c r="C786" s="32"/>
      <c r="D786" s="32"/>
    </row>
    <row r="787">
      <c r="A787" s="32"/>
      <c r="B787" s="32"/>
      <c r="C787" s="32"/>
      <c r="D787" s="32"/>
    </row>
    <row r="788">
      <c r="A788" s="32"/>
      <c r="B788" s="32"/>
      <c r="C788" s="32"/>
      <c r="D788" s="32"/>
    </row>
    <row r="789">
      <c r="A789" s="32"/>
      <c r="B789" s="32"/>
      <c r="C789" s="32"/>
      <c r="D789" s="32"/>
    </row>
    <row r="790">
      <c r="A790" s="32"/>
      <c r="B790" s="32"/>
      <c r="C790" s="32"/>
      <c r="D790" s="32"/>
    </row>
    <row r="791">
      <c r="A791" s="32"/>
      <c r="B791" s="32"/>
      <c r="C791" s="32"/>
      <c r="D791" s="32"/>
    </row>
    <row r="792">
      <c r="A792" s="32"/>
      <c r="B792" s="32"/>
      <c r="C792" s="32"/>
      <c r="D792" s="32"/>
    </row>
    <row r="793">
      <c r="A793" s="32"/>
      <c r="B793" s="32"/>
      <c r="C793" s="32"/>
      <c r="D793" s="32"/>
    </row>
    <row r="794">
      <c r="A794" s="32"/>
      <c r="B794" s="32"/>
      <c r="C794" s="32"/>
      <c r="D794" s="32"/>
    </row>
    <row r="795">
      <c r="A795" s="32"/>
      <c r="B795" s="32"/>
      <c r="C795" s="32"/>
      <c r="D795" s="32"/>
    </row>
    <row r="796">
      <c r="A796" s="32"/>
      <c r="B796" s="32"/>
      <c r="C796" s="32"/>
      <c r="D796" s="32"/>
    </row>
    <row r="797">
      <c r="A797" s="32"/>
      <c r="B797" s="32"/>
      <c r="C797" s="32"/>
      <c r="D797" s="32"/>
    </row>
    <row r="798">
      <c r="A798" s="32"/>
      <c r="B798" s="32"/>
      <c r="C798" s="32"/>
      <c r="D798" s="32"/>
    </row>
    <row r="799">
      <c r="A799" s="32"/>
      <c r="B799" s="32"/>
      <c r="C799" s="32"/>
      <c r="D799" s="32"/>
    </row>
    <row r="800">
      <c r="A800" s="32"/>
      <c r="B800" s="32"/>
      <c r="C800" s="32"/>
      <c r="D800" s="32"/>
    </row>
    <row r="801">
      <c r="A801" s="32"/>
      <c r="B801" s="32"/>
      <c r="C801" s="32"/>
      <c r="D801" s="32"/>
    </row>
    <row r="802">
      <c r="A802" s="32"/>
      <c r="B802" s="32"/>
      <c r="C802" s="32"/>
      <c r="D802" s="32"/>
    </row>
    <row r="803">
      <c r="A803" s="32"/>
      <c r="B803" s="32"/>
      <c r="C803" s="32"/>
      <c r="D803" s="32"/>
    </row>
    <row r="804">
      <c r="A804" s="32"/>
      <c r="B804" s="32"/>
      <c r="C804" s="32"/>
      <c r="D804" s="32"/>
    </row>
    <row r="805">
      <c r="A805" s="32"/>
      <c r="B805" s="32"/>
      <c r="C805" s="32"/>
      <c r="D805" s="32"/>
    </row>
    <row r="806">
      <c r="A806" s="32"/>
      <c r="B806" s="32"/>
      <c r="C806" s="32"/>
      <c r="D806" s="32"/>
    </row>
    <row r="807">
      <c r="A807" s="32"/>
      <c r="B807" s="32"/>
      <c r="C807" s="32"/>
      <c r="D807" s="32"/>
    </row>
    <row r="808">
      <c r="A808" s="32"/>
      <c r="B808" s="32"/>
      <c r="C808" s="32"/>
      <c r="D808" s="32"/>
    </row>
    <row r="809">
      <c r="A809" s="32"/>
      <c r="B809" s="32"/>
      <c r="C809" s="32"/>
      <c r="D809" s="32"/>
    </row>
    <row r="810">
      <c r="A810" s="32"/>
      <c r="B810" s="32"/>
      <c r="C810" s="32"/>
      <c r="D810" s="32"/>
    </row>
    <row r="811">
      <c r="A811" s="32"/>
      <c r="B811" s="32"/>
      <c r="C811" s="32"/>
      <c r="D811" s="32"/>
    </row>
    <row r="812">
      <c r="A812" s="32"/>
      <c r="B812" s="32"/>
      <c r="C812" s="32"/>
      <c r="D812" s="32"/>
    </row>
    <row r="813">
      <c r="A813" s="32"/>
      <c r="B813" s="32"/>
      <c r="C813" s="32"/>
      <c r="D813" s="32"/>
    </row>
    <row r="814">
      <c r="A814" s="32"/>
      <c r="B814" s="32"/>
      <c r="C814" s="32"/>
      <c r="D814" s="32"/>
    </row>
    <row r="815">
      <c r="A815" s="32"/>
      <c r="B815" s="32"/>
      <c r="C815" s="32"/>
      <c r="D815" s="32"/>
    </row>
    <row r="816">
      <c r="A816" s="32"/>
      <c r="B816" s="32"/>
      <c r="C816" s="32"/>
      <c r="D816" s="32"/>
    </row>
    <row r="817">
      <c r="A817" s="32"/>
      <c r="B817" s="32"/>
      <c r="C817" s="32"/>
      <c r="D817" s="32"/>
    </row>
    <row r="818">
      <c r="A818" s="32"/>
      <c r="B818" s="32"/>
      <c r="C818" s="32"/>
      <c r="D818" s="32"/>
    </row>
    <row r="819">
      <c r="A819" s="32"/>
      <c r="B819" s="32"/>
      <c r="C819" s="32"/>
      <c r="D819" s="32"/>
    </row>
    <row r="820">
      <c r="A820" s="32"/>
      <c r="B820" s="32"/>
      <c r="C820" s="32"/>
      <c r="D820" s="32"/>
    </row>
    <row r="821">
      <c r="A821" s="32"/>
      <c r="B821" s="32"/>
      <c r="C821" s="32"/>
      <c r="D821" s="32"/>
    </row>
    <row r="822">
      <c r="A822" s="32"/>
      <c r="B822" s="32"/>
      <c r="C822" s="32"/>
      <c r="D822" s="32"/>
    </row>
    <row r="823">
      <c r="A823" s="32"/>
      <c r="B823" s="32"/>
      <c r="C823" s="32"/>
      <c r="D823" s="32"/>
    </row>
    <row r="824">
      <c r="A824" s="32"/>
      <c r="B824" s="32"/>
      <c r="C824" s="32"/>
      <c r="D824" s="32"/>
    </row>
    <row r="825">
      <c r="A825" s="32"/>
      <c r="B825" s="32"/>
      <c r="C825" s="32"/>
      <c r="D825" s="32"/>
    </row>
    <row r="826">
      <c r="A826" s="32"/>
      <c r="B826" s="32"/>
      <c r="C826" s="32"/>
      <c r="D826" s="32"/>
    </row>
    <row r="827">
      <c r="A827" s="32"/>
      <c r="B827" s="32"/>
      <c r="C827" s="32"/>
      <c r="D827" s="32"/>
    </row>
    <row r="828">
      <c r="A828" s="32"/>
      <c r="B828" s="32"/>
      <c r="C828" s="32"/>
      <c r="D828" s="32"/>
    </row>
    <row r="829">
      <c r="A829" s="32"/>
      <c r="B829" s="32"/>
      <c r="C829" s="32"/>
      <c r="D829" s="32"/>
    </row>
    <row r="830">
      <c r="A830" s="32"/>
      <c r="B830" s="32"/>
      <c r="C830" s="32"/>
      <c r="D830" s="32"/>
    </row>
    <row r="831">
      <c r="A831" s="32"/>
      <c r="B831" s="32"/>
      <c r="C831" s="32"/>
      <c r="D831" s="32"/>
    </row>
    <row r="832">
      <c r="A832" s="32"/>
      <c r="B832" s="32"/>
      <c r="C832" s="32"/>
      <c r="D832" s="32"/>
    </row>
    <row r="833">
      <c r="A833" s="32"/>
      <c r="B833" s="32"/>
      <c r="C833" s="32"/>
      <c r="D833" s="32"/>
    </row>
    <row r="834">
      <c r="A834" s="32"/>
      <c r="B834" s="32"/>
      <c r="C834" s="32"/>
      <c r="D834" s="32"/>
    </row>
    <row r="835">
      <c r="A835" s="32"/>
      <c r="B835" s="32"/>
      <c r="C835" s="32"/>
      <c r="D835" s="32"/>
    </row>
    <row r="836">
      <c r="A836" s="32"/>
      <c r="B836" s="32"/>
      <c r="C836" s="32"/>
      <c r="D836" s="32"/>
    </row>
    <row r="837">
      <c r="A837" s="32"/>
      <c r="B837" s="32"/>
      <c r="C837" s="32"/>
      <c r="D837" s="32"/>
    </row>
    <row r="838">
      <c r="A838" s="32"/>
      <c r="B838" s="32"/>
      <c r="C838" s="32"/>
      <c r="D838" s="32"/>
    </row>
    <row r="839">
      <c r="A839" s="32"/>
      <c r="B839" s="32"/>
      <c r="C839" s="32"/>
      <c r="D839" s="32"/>
    </row>
    <row r="840">
      <c r="A840" s="32"/>
      <c r="B840" s="32"/>
      <c r="C840" s="32"/>
      <c r="D840" s="32"/>
    </row>
    <row r="841">
      <c r="A841" s="32"/>
      <c r="B841" s="32"/>
      <c r="C841" s="32"/>
      <c r="D841" s="32"/>
    </row>
    <row r="842">
      <c r="A842" s="32"/>
      <c r="B842" s="32"/>
      <c r="C842" s="32"/>
      <c r="D842" s="32"/>
    </row>
    <row r="843">
      <c r="A843" s="32"/>
      <c r="B843" s="32"/>
      <c r="C843" s="32"/>
      <c r="D843" s="32"/>
    </row>
    <row r="844">
      <c r="A844" s="32"/>
      <c r="B844" s="32"/>
      <c r="C844" s="32"/>
      <c r="D844" s="32"/>
    </row>
    <row r="845">
      <c r="A845" s="32"/>
      <c r="B845" s="32"/>
      <c r="C845" s="32"/>
      <c r="D845" s="32"/>
    </row>
    <row r="846">
      <c r="A846" s="32"/>
      <c r="B846" s="32"/>
      <c r="C846" s="32"/>
      <c r="D846" s="32"/>
    </row>
    <row r="847">
      <c r="A847" s="32"/>
      <c r="B847" s="32"/>
      <c r="C847" s="32"/>
      <c r="D847" s="32"/>
    </row>
    <row r="848">
      <c r="A848" s="32"/>
      <c r="B848" s="32"/>
      <c r="C848" s="32"/>
      <c r="D848" s="32"/>
    </row>
    <row r="849">
      <c r="A849" s="32"/>
      <c r="B849" s="32"/>
      <c r="C849" s="32"/>
      <c r="D849" s="32"/>
    </row>
    <row r="850">
      <c r="A850" s="32"/>
      <c r="B850" s="32"/>
      <c r="C850" s="32"/>
      <c r="D850" s="32"/>
    </row>
    <row r="851">
      <c r="A851" s="32"/>
      <c r="B851" s="32"/>
      <c r="C851" s="32"/>
      <c r="D851" s="32"/>
    </row>
    <row r="852">
      <c r="A852" s="32"/>
      <c r="B852" s="32"/>
      <c r="C852" s="32"/>
      <c r="D852" s="32"/>
    </row>
    <row r="853">
      <c r="A853" s="32"/>
      <c r="B853" s="32"/>
      <c r="C853" s="32"/>
      <c r="D853" s="32"/>
    </row>
    <row r="854">
      <c r="A854" s="32"/>
      <c r="B854" s="32"/>
      <c r="C854" s="32"/>
      <c r="D854" s="32"/>
    </row>
    <row r="855">
      <c r="A855" s="32"/>
      <c r="B855" s="32"/>
      <c r="C855" s="32"/>
      <c r="D855" s="32"/>
    </row>
    <row r="856">
      <c r="A856" s="32"/>
      <c r="B856" s="32"/>
      <c r="C856" s="32"/>
      <c r="D856" s="32"/>
    </row>
    <row r="857">
      <c r="A857" s="32"/>
      <c r="B857" s="32"/>
      <c r="C857" s="32"/>
      <c r="D857" s="32"/>
    </row>
    <row r="858">
      <c r="A858" s="32"/>
      <c r="B858" s="32"/>
      <c r="C858" s="32"/>
      <c r="D858" s="32"/>
    </row>
    <row r="859">
      <c r="A859" s="32"/>
      <c r="B859" s="32"/>
      <c r="C859" s="32"/>
      <c r="D859" s="32"/>
    </row>
    <row r="860">
      <c r="A860" s="32"/>
      <c r="B860" s="32"/>
      <c r="C860" s="32"/>
      <c r="D860" s="32"/>
    </row>
    <row r="861">
      <c r="A861" s="32"/>
      <c r="B861" s="32"/>
      <c r="C861" s="32"/>
      <c r="D861" s="32"/>
    </row>
    <row r="862">
      <c r="A862" s="32"/>
      <c r="B862" s="32"/>
      <c r="C862" s="32"/>
      <c r="D862" s="32"/>
    </row>
    <row r="863">
      <c r="A863" s="32"/>
      <c r="B863" s="32"/>
      <c r="C863" s="32"/>
      <c r="D863" s="32"/>
    </row>
    <row r="864">
      <c r="A864" s="32"/>
      <c r="B864" s="32"/>
      <c r="C864" s="32"/>
      <c r="D864" s="32"/>
    </row>
    <row r="865">
      <c r="A865" s="32"/>
      <c r="B865" s="32"/>
      <c r="C865" s="32"/>
      <c r="D865" s="32"/>
    </row>
    <row r="866">
      <c r="A866" s="32"/>
      <c r="B866" s="32"/>
      <c r="C866" s="32"/>
      <c r="D866" s="32"/>
    </row>
    <row r="867">
      <c r="A867" s="32"/>
      <c r="B867" s="32"/>
      <c r="C867" s="32"/>
      <c r="D867" s="32"/>
    </row>
    <row r="868">
      <c r="A868" s="32"/>
      <c r="B868" s="32"/>
      <c r="C868" s="32"/>
      <c r="D868" s="32"/>
    </row>
    <row r="869">
      <c r="A869" s="32"/>
      <c r="B869" s="32"/>
      <c r="C869" s="32"/>
      <c r="D869" s="32"/>
    </row>
    <row r="870">
      <c r="A870" s="32"/>
      <c r="B870" s="32"/>
      <c r="C870" s="32"/>
      <c r="D870" s="32"/>
    </row>
    <row r="871">
      <c r="A871" s="32"/>
      <c r="B871" s="32"/>
      <c r="C871" s="32"/>
      <c r="D871" s="32"/>
    </row>
    <row r="872">
      <c r="A872" s="32"/>
      <c r="B872" s="32"/>
      <c r="C872" s="32"/>
      <c r="D872" s="32"/>
    </row>
    <row r="873">
      <c r="A873" s="32"/>
      <c r="B873" s="32"/>
      <c r="C873" s="32"/>
      <c r="D873" s="32"/>
    </row>
    <row r="874">
      <c r="A874" s="32"/>
      <c r="B874" s="32"/>
      <c r="C874" s="32"/>
      <c r="D874" s="32"/>
    </row>
    <row r="875">
      <c r="A875" s="32"/>
      <c r="B875" s="32"/>
      <c r="C875" s="32"/>
      <c r="D875" s="32"/>
    </row>
    <row r="876">
      <c r="A876" s="32"/>
      <c r="B876" s="32"/>
      <c r="C876" s="32"/>
      <c r="D876" s="32"/>
    </row>
    <row r="877">
      <c r="A877" s="32"/>
      <c r="B877" s="32"/>
      <c r="C877" s="32"/>
      <c r="D877" s="32"/>
    </row>
    <row r="878">
      <c r="A878" s="32"/>
      <c r="B878" s="32"/>
      <c r="C878" s="32"/>
      <c r="D878" s="32"/>
    </row>
    <row r="879">
      <c r="A879" s="32"/>
      <c r="B879" s="32"/>
      <c r="C879" s="32"/>
      <c r="D879" s="32"/>
    </row>
    <row r="880">
      <c r="A880" s="32"/>
      <c r="B880" s="32"/>
      <c r="C880" s="32"/>
      <c r="D880" s="32"/>
    </row>
    <row r="881">
      <c r="A881" s="32"/>
      <c r="B881" s="32"/>
      <c r="C881" s="32"/>
      <c r="D881" s="32"/>
    </row>
    <row r="882">
      <c r="A882" s="32"/>
      <c r="B882" s="32"/>
      <c r="C882" s="32"/>
      <c r="D882" s="32"/>
    </row>
    <row r="883">
      <c r="A883" s="32"/>
      <c r="B883" s="32"/>
      <c r="C883" s="32"/>
      <c r="D883" s="32"/>
    </row>
    <row r="884">
      <c r="A884" s="32"/>
      <c r="B884" s="32"/>
      <c r="C884" s="32"/>
      <c r="D884" s="32"/>
    </row>
    <row r="885">
      <c r="A885" s="32"/>
      <c r="B885" s="32"/>
      <c r="C885" s="32"/>
      <c r="D885" s="32"/>
    </row>
    <row r="886">
      <c r="A886" s="32"/>
      <c r="B886" s="32"/>
      <c r="C886" s="32"/>
      <c r="D886" s="32"/>
    </row>
    <row r="887">
      <c r="A887" s="32"/>
      <c r="B887" s="32"/>
      <c r="C887" s="32"/>
      <c r="D887" s="32"/>
    </row>
    <row r="888">
      <c r="A888" s="32"/>
      <c r="B888" s="32"/>
      <c r="C888" s="32"/>
      <c r="D888" s="32"/>
    </row>
    <row r="889">
      <c r="A889" s="32"/>
      <c r="B889" s="32"/>
      <c r="C889" s="32"/>
      <c r="D889" s="32"/>
    </row>
    <row r="890">
      <c r="A890" s="32"/>
      <c r="B890" s="32"/>
      <c r="C890" s="32"/>
      <c r="D890" s="32"/>
    </row>
    <row r="891">
      <c r="A891" s="32"/>
      <c r="B891" s="32"/>
      <c r="C891" s="32"/>
      <c r="D891" s="32"/>
    </row>
    <row r="892">
      <c r="A892" s="32"/>
      <c r="B892" s="32"/>
      <c r="C892" s="32"/>
      <c r="D892" s="32"/>
    </row>
    <row r="893">
      <c r="A893" s="32"/>
      <c r="B893" s="32"/>
      <c r="C893" s="32"/>
      <c r="D893" s="32"/>
    </row>
    <row r="894">
      <c r="A894" s="32"/>
      <c r="B894" s="32"/>
      <c r="C894" s="32"/>
      <c r="D894" s="32"/>
    </row>
    <row r="895">
      <c r="A895" s="32"/>
      <c r="B895" s="32"/>
      <c r="C895" s="32"/>
      <c r="D895" s="32"/>
    </row>
    <row r="896">
      <c r="A896" s="32"/>
      <c r="B896" s="32"/>
      <c r="C896" s="32"/>
      <c r="D896" s="32"/>
    </row>
    <row r="897">
      <c r="A897" s="32"/>
      <c r="B897" s="32"/>
      <c r="C897" s="32"/>
      <c r="D897" s="32"/>
    </row>
    <row r="898">
      <c r="A898" s="32"/>
      <c r="B898" s="32"/>
      <c r="C898" s="32"/>
      <c r="D898" s="32"/>
    </row>
    <row r="899">
      <c r="A899" s="32"/>
      <c r="B899" s="32"/>
      <c r="C899" s="32"/>
      <c r="D899" s="32"/>
    </row>
    <row r="900">
      <c r="A900" s="32"/>
      <c r="B900" s="32"/>
      <c r="C900" s="32"/>
      <c r="D900" s="32"/>
    </row>
    <row r="901">
      <c r="A901" s="32"/>
      <c r="B901" s="32"/>
      <c r="C901" s="32"/>
      <c r="D901" s="32"/>
    </row>
    <row r="902">
      <c r="A902" s="32"/>
      <c r="B902" s="32"/>
      <c r="C902" s="32"/>
      <c r="D902" s="32"/>
    </row>
    <row r="903">
      <c r="A903" s="32"/>
      <c r="B903" s="32"/>
      <c r="C903" s="32"/>
      <c r="D903" s="32"/>
    </row>
    <row r="904">
      <c r="A904" s="32"/>
      <c r="B904" s="32"/>
      <c r="C904" s="32"/>
      <c r="D904" s="32"/>
    </row>
    <row r="905">
      <c r="A905" s="32"/>
      <c r="B905" s="32"/>
      <c r="C905" s="32"/>
      <c r="D905" s="32"/>
    </row>
    <row r="906">
      <c r="A906" s="32"/>
      <c r="B906" s="32"/>
      <c r="C906" s="32"/>
      <c r="D906" s="32"/>
    </row>
    <row r="907">
      <c r="A907" s="32"/>
      <c r="B907" s="32"/>
      <c r="C907" s="32"/>
      <c r="D907" s="32"/>
    </row>
    <row r="908">
      <c r="A908" s="32"/>
      <c r="B908" s="32"/>
      <c r="C908" s="32"/>
      <c r="D908" s="32"/>
    </row>
    <row r="909">
      <c r="A909" s="32"/>
      <c r="B909" s="32"/>
      <c r="C909" s="32"/>
      <c r="D909" s="32"/>
    </row>
    <row r="910">
      <c r="A910" s="32"/>
      <c r="B910" s="32"/>
      <c r="C910" s="32"/>
      <c r="D910" s="32"/>
    </row>
    <row r="911">
      <c r="A911" s="32"/>
      <c r="B911" s="32"/>
      <c r="C911" s="32"/>
      <c r="D911" s="32"/>
    </row>
    <row r="912">
      <c r="A912" s="32"/>
      <c r="B912" s="32"/>
      <c r="C912" s="32"/>
      <c r="D912" s="32"/>
    </row>
    <row r="913">
      <c r="A913" s="32"/>
      <c r="B913" s="32"/>
      <c r="C913" s="32"/>
      <c r="D913" s="32"/>
    </row>
    <row r="914">
      <c r="A914" s="32"/>
      <c r="B914" s="32"/>
      <c r="C914" s="32"/>
      <c r="D914" s="32"/>
    </row>
    <row r="915">
      <c r="A915" s="32"/>
      <c r="B915" s="32"/>
      <c r="C915" s="32"/>
      <c r="D915" s="32"/>
    </row>
    <row r="916">
      <c r="A916" s="32"/>
      <c r="B916" s="32"/>
      <c r="C916" s="32"/>
      <c r="D916" s="32"/>
    </row>
    <row r="917">
      <c r="A917" s="32"/>
      <c r="B917" s="32"/>
      <c r="C917" s="32"/>
      <c r="D917" s="32"/>
    </row>
    <row r="918">
      <c r="A918" s="32"/>
      <c r="B918" s="32"/>
      <c r="C918" s="32"/>
      <c r="D918" s="32"/>
    </row>
    <row r="919">
      <c r="A919" s="32"/>
      <c r="B919" s="32"/>
      <c r="C919" s="32"/>
      <c r="D919" s="32"/>
    </row>
    <row r="920">
      <c r="A920" s="32"/>
      <c r="B920" s="32"/>
      <c r="C920" s="32"/>
      <c r="D920" s="32"/>
    </row>
    <row r="921">
      <c r="A921" s="32"/>
      <c r="B921" s="32"/>
      <c r="C921" s="32"/>
      <c r="D921" s="32"/>
    </row>
    <row r="922">
      <c r="A922" s="32"/>
      <c r="B922" s="32"/>
      <c r="C922" s="32"/>
      <c r="D922" s="32"/>
    </row>
    <row r="923">
      <c r="A923" s="32"/>
      <c r="B923" s="32"/>
      <c r="C923" s="32"/>
      <c r="D923" s="32"/>
    </row>
    <row r="924">
      <c r="A924" s="32"/>
      <c r="B924" s="32"/>
      <c r="C924" s="32"/>
      <c r="D924" s="32"/>
    </row>
    <row r="925">
      <c r="A925" s="32"/>
      <c r="B925" s="32"/>
      <c r="C925" s="32"/>
      <c r="D925" s="32"/>
    </row>
    <row r="926">
      <c r="A926" s="32"/>
      <c r="B926" s="32"/>
      <c r="C926" s="32"/>
      <c r="D926" s="32"/>
    </row>
    <row r="927">
      <c r="A927" s="32"/>
      <c r="B927" s="32"/>
      <c r="C927" s="32"/>
      <c r="D927" s="32"/>
    </row>
    <row r="928">
      <c r="A928" s="32"/>
      <c r="B928" s="32"/>
      <c r="C928" s="32"/>
      <c r="D928" s="32"/>
    </row>
    <row r="929">
      <c r="A929" s="32"/>
      <c r="B929" s="32"/>
      <c r="C929" s="32"/>
      <c r="D929" s="32"/>
    </row>
    <row r="930">
      <c r="A930" s="32"/>
      <c r="B930" s="32"/>
      <c r="C930" s="32"/>
      <c r="D930" s="32"/>
    </row>
    <row r="931">
      <c r="A931" s="32"/>
      <c r="B931" s="32"/>
      <c r="C931" s="32"/>
      <c r="D931" s="32"/>
    </row>
    <row r="932">
      <c r="A932" s="32"/>
      <c r="B932" s="32"/>
      <c r="C932" s="32"/>
      <c r="D932" s="32"/>
    </row>
    <row r="933">
      <c r="A933" s="32"/>
      <c r="B933" s="32"/>
      <c r="C933" s="32"/>
      <c r="D933" s="32"/>
    </row>
    <row r="934">
      <c r="A934" s="32"/>
      <c r="B934" s="32"/>
      <c r="C934" s="32"/>
      <c r="D934" s="32"/>
    </row>
    <row r="935">
      <c r="A935" s="32"/>
      <c r="B935" s="32"/>
      <c r="C935" s="32"/>
      <c r="D935" s="32"/>
    </row>
    <row r="936">
      <c r="A936" s="32"/>
      <c r="B936" s="32"/>
      <c r="C936" s="32"/>
      <c r="D936" s="32"/>
    </row>
    <row r="937">
      <c r="A937" s="32"/>
      <c r="B937" s="32"/>
      <c r="C937" s="32"/>
      <c r="D937" s="32"/>
    </row>
    <row r="938">
      <c r="A938" s="32"/>
      <c r="B938" s="32"/>
      <c r="C938" s="32"/>
      <c r="D938" s="32"/>
    </row>
    <row r="939">
      <c r="A939" s="32"/>
      <c r="B939" s="32"/>
      <c r="C939" s="32"/>
      <c r="D939" s="32"/>
    </row>
    <row r="940">
      <c r="A940" s="32"/>
      <c r="B940" s="32"/>
      <c r="C940" s="32"/>
      <c r="D940" s="32"/>
    </row>
    <row r="941">
      <c r="A941" s="32"/>
      <c r="B941" s="32"/>
      <c r="C941" s="32"/>
      <c r="D941" s="32"/>
    </row>
    <row r="942">
      <c r="A942" s="32"/>
      <c r="B942" s="32"/>
      <c r="C942" s="32"/>
      <c r="D942" s="32"/>
    </row>
    <row r="943">
      <c r="A943" s="32"/>
      <c r="B943" s="32"/>
      <c r="C943" s="32"/>
      <c r="D943" s="32"/>
    </row>
    <row r="944">
      <c r="A944" s="32"/>
      <c r="B944" s="32"/>
      <c r="C944" s="32"/>
      <c r="D944" s="32"/>
    </row>
    <row r="945">
      <c r="A945" s="32"/>
      <c r="B945" s="32"/>
      <c r="C945" s="32"/>
      <c r="D945" s="32"/>
    </row>
    <row r="946">
      <c r="A946" s="32"/>
      <c r="B946" s="32"/>
      <c r="C946" s="32"/>
      <c r="D946" s="32"/>
    </row>
    <row r="947">
      <c r="A947" s="32"/>
      <c r="B947" s="32"/>
      <c r="C947" s="32"/>
      <c r="D947" s="32"/>
    </row>
    <row r="948">
      <c r="A948" s="32"/>
      <c r="B948" s="32"/>
      <c r="C948" s="32"/>
      <c r="D948" s="32"/>
    </row>
    <row r="949">
      <c r="A949" s="32"/>
      <c r="B949" s="32"/>
      <c r="C949" s="32"/>
      <c r="D949" s="32"/>
    </row>
    <row r="950">
      <c r="A950" s="32"/>
      <c r="B950" s="32"/>
      <c r="C950" s="32"/>
      <c r="D950" s="32"/>
    </row>
    <row r="951">
      <c r="A951" s="32"/>
      <c r="B951" s="32"/>
      <c r="C951" s="32"/>
      <c r="D951" s="32"/>
    </row>
    <row r="952">
      <c r="A952" s="32"/>
      <c r="B952" s="32"/>
      <c r="C952" s="32"/>
      <c r="D952" s="32"/>
    </row>
    <row r="953">
      <c r="A953" s="32"/>
      <c r="B953" s="32"/>
      <c r="C953" s="32"/>
      <c r="D953" s="32"/>
    </row>
    <row r="954">
      <c r="A954" s="32"/>
      <c r="B954" s="32"/>
      <c r="C954" s="32"/>
      <c r="D954" s="32"/>
    </row>
    <row r="955">
      <c r="A955" s="32"/>
      <c r="B955" s="32"/>
      <c r="C955" s="32"/>
      <c r="D955" s="32"/>
    </row>
    <row r="956">
      <c r="A956" s="32"/>
      <c r="B956" s="32"/>
      <c r="C956" s="32"/>
      <c r="D956" s="32"/>
    </row>
    <row r="957">
      <c r="A957" s="32"/>
      <c r="B957" s="32"/>
      <c r="C957" s="32"/>
      <c r="D957" s="32"/>
    </row>
    <row r="958">
      <c r="A958" s="32"/>
      <c r="B958" s="32"/>
      <c r="C958" s="32"/>
      <c r="D958" s="32"/>
    </row>
    <row r="959">
      <c r="A959" s="32"/>
      <c r="B959" s="32"/>
      <c r="C959" s="32"/>
      <c r="D959" s="32"/>
    </row>
    <row r="960">
      <c r="A960" s="32"/>
      <c r="B960" s="32"/>
      <c r="C960" s="32"/>
      <c r="D960" s="32"/>
    </row>
    <row r="961">
      <c r="A961" s="32"/>
      <c r="B961" s="32"/>
      <c r="C961" s="32"/>
      <c r="D961" s="32"/>
    </row>
    <row r="962">
      <c r="A962" s="32"/>
      <c r="B962" s="32"/>
      <c r="C962" s="32"/>
      <c r="D962" s="32"/>
    </row>
    <row r="963">
      <c r="A963" s="32"/>
      <c r="B963" s="32"/>
      <c r="C963" s="32"/>
      <c r="D963" s="32"/>
    </row>
    <row r="964">
      <c r="A964" s="32"/>
      <c r="B964" s="32"/>
      <c r="C964" s="32"/>
      <c r="D964" s="32"/>
    </row>
    <row r="965">
      <c r="A965" s="32"/>
      <c r="B965" s="32"/>
      <c r="C965" s="32"/>
      <c r="D965" s="32"/>
    </row>
    <row r="966">
      <c r="A966" s="32"/>
      <c r="B966" s="32"/>
      <c r="C966" s="32"/>
      <c r="D966" s="32"/>
    </row>
    <row r="967">
      <c r="A967" s="32"/>
      <c r="B967" s="32"/>
      <c r="C967" s="32"/>
      <c r="D967" s="32"/>
    </row>
    <row r="968">
      <c r="A968" s="32"/>
      <c r="B968" s="32"/>
      <c r="C968" s="32"/>
      <c r="D968" s="32"/>
    </row>
    <row r="969">
      <c r="A969" s="32"/>
      <c r="B969" s="32"/>
      <c r="C969" s="32"/>
      <c r="D969" s="32"/>
    </row>
    <row r="970">
      <c r="A970" s="32"/>
      <c r="B970" s="32"/>
      <c r="C970" s="32"/>
      <c r="D970" s="32"/>
    </row>
    <row r="971">
      <c r="A971" s="32"/>
      <c r="B971" s="32"/>
      <c r="C971" s="32"/>
      <c r="D971" s="32"/>
    </row>
    <row r="972">
      <c r="A972" s="32"/>
      <c r="B972" s="32"/>
      <c r="C972" s="32"/>
      <c r="D972" s="32"/>
    </row>
    <row r="973">
      <c r="A973" s="32"/>
      <c r="B973" s="32"/>
      <c r="C973" s="32"/>
      <c r="D973" s="32"/>
    </row>
    <row r="974">
      <c r="A974" s="32"/>
      <c r="B974" s="32"/>
      <c r="C974" s="32"/>
      <c r="D974" s="32"/>
    </row>
    <row r="975">
      <c r="A975" s="32"/>
      <c r="B975" s="32"/>
      <c r="C975" s="32"/>
      <c r="D975" s="32"/>
    </row>
    <row r="976">
      <c r="A976" s="32"/>
      <c r="B976" s="32"/>
      <c r="C976" s="32"/>
      <c r="D976" s="32"/>
    </row>
    <row r="977">
      <c r="A977" s="32"/>
      <c r="B977" s="32"/>
      <c r="C977" s="32"/>
      <c r="D977" s="32"/>
    </row>
    <row r="978">
      <c r="A978" s="32"/>
      <c r="B978" s="32"/>
      <c r="C978" s="32"/>
      <c r="D978" s="32"/>
    </row>
    <row r="979">
      <c r="A979" s="32"/>
      <c r="B979" s="32"/>
      <c r="C979" s="32"/>
      <c r="D979" s="32"/>
    </row>
    <row r="980">
      <c r="A980" s="32"/>
      <c r="B980" s="32"/>
      <c r="C980" s="32"/>
      <c r="D980" s="32"/>
    </row>
    <row r="981">
      <c r="A981" s="32"/>
      <c r="B981" s="32"/>
      <c r="C981" s="32"/>
      <c r="D981" s="32"/>
    </row>
    <row r="982">
      <c r="A982" s="32"/>
      <c r="B982" s="32"/>
      <c r="C982" s="32"/>
      <c r="D982" s="32"/>
    </row>
    <row r="983">
      <c r="A983" s="32"/>
      <c r="B983" s="32"/>
      <c r="C983" s="32"/>
      <c r="D983" s="32"/>
    </row>
    <row r="984">
      <c r="A984" s="32"/>
      <c r="B984" s="32"/>
      <c r="C984" s="32"/>
      <c r="D984" s="32"/>
    </row>
    <row r="985">
      <c r="A985" s="32"/>
      <c r="B985" s="32"/>
      <c r="C985" s="32"/>
      <c r="D985" s="32"/>
    </row>
    <row r="986">
      <c r="A986" s="32"/>
      <c r="B986" s="32"/>
      <c r="C986" s="32"/>
      <c r="D986" s="32"/>
    </row>
    <row r="987">
      <c r="A987" s="32"/>
      <c r="B987" s="32"/>
      <c r="C987" s="32"/>
      <c r="D987" s="32"/>
    </row>
    <row r="988">
      <c r="A988" s="32"/>
      <c r="B988" s="32"/>
      <c r="C988" s="32"/>
      <c r="D988" s="32"/>
    </row>
    <row r="989">
      <c r="A989" s="32"/>
      <c r="B989" s="32"/>
      <c r="C989" s="32"/>
      <c r="D989" s="32"/>
    </row>
    <row r="990">
      <c r="A990" s="32"/>
      <c r="B990" s="32"/>
      <c r="C990" s="32"/>
      <c r="D990" s="32"/>
    </row>
    <row r="991">
      <c r="A991" s="32"/>
      <c r="B991" s="32"/>
      <c r="C991" s="32"/>
      <c r="D991" s="32"/>
    </row>
    <row r="992">
      <c r="A992" s="32"/>
      <c r="B992" s="32"/>
      <c r="C992" s="32"/>
      <c r="D992" s="32"/>
    </row>
    <row r="993">
      <c r="A993" s="32"/>
      <c r="B993" s="32"/>
      <c r="C993" s="32"/>
      <c r="D993" s="32"/>
    </row>
    <row r="994">
      <c r="A994" s="32"/>
      <c r="B994" s="32"/>
      <c r="C994" s="32"/>
      <c r="D994" s="32"/>
    </row>
    <row r="995">
      <c r="A995" s="32"/>
      <c r="B995" s="32"/>
      <c r="C995" s="32"/>
      <c r="D995" s="32"/>
    </row>
    <row r="996">
      <c r="A996" s="32"/>
      <c r="B996" s="32"/>
      <c r="C996" s="32"/>
      <c r="D996" s="32"/>
    </row>
    <row r="997">
      <c r="A997" s="32"/>
      <c r="B997" s="32"/>
      <c r="C997" s="32"/>
      <c r="D997" s="32"/>
    </row>
    <row r="998">
      <c r="A998" s="32"/>
      <c r="B998" s="32"/>
      <c r="C998" s="32"/>
      <c r="D998" s="32"/>
    </row>
    <row r="999">
      <c r="A999" s="32"/>
      <c r="B999" s="32"/>
      <c r="C999" s="32"/>
      <c r="D999" s="32"/>
    </row>
    <row r="1000">
      <c r="A1000" s="32"/>
      <c r="B1000" s="32"/>
      <c r="C1000" s="32"/>
      <c r="D1000" s="32"/>
    </row>
    <row r="1001">
      <c r="A1001" s="32"/>
      <c r="B1001" s="32"/>
      <c r="C1001" s="32"/>
      <c r="D1001" s="32"/>
    </row>
    <row r="1002">
      <c r="A1002" s="32"/>
      <c r="B1002" s="32"/>
      <c r="C1002" s="32"/>
      <c r="D1002" s="32"/>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20</v>
      </c>
      <c r="C2" s="2"/>
      <c r="D2" s="2"/>
      <c r="E2" s="2"/>
      <c r="F2" s="2"/>
      <c r="G2" s="2"/>
      <c r="H2" s="3"/>
      <c r="I2" s="37" t="s">
        <v>21</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42" t="s">
        <v>37</v>
      </c>
      <c r="J4" s="41">
        <v>39598.0</v>
      </c>
    </row>
    <row r="5" ht="60.0" customHeight="1">
      <c r="A5" s="39">
        <v>2.0</v>
      </c>
      <c r="B5" s="40" t="s">
        <v>38</v>
      </c>
      <c r="C5" s="40" t="s">
        <v>39</v>
      </c>
      <c r="D5" s="40" t="s">
        <v>40</v>
      </c>
      <c r="E5" s="40" t="s">
        <v>41</v>
      </c>
      <c r="F5" s="39" t="str">
        <f t="shared" si="1"/>
        <v>CORRECT</v>
      </c>
      <c r="G5" s="39" t="s">
        <v>42</v>
      </c>
      <c r="H5" s="41" t="s">
        <v>42</v>
      </c>
      <c r="I5" s="42" t="s">
        <v>43</v>
      </c>
      <c r="J5" s="41">
        <v>36538.0</v>
      </c>
    </row>
    <row r="6" ht="60.0" customHeight="1">
      <c r="A6" s="39">
        <v>3.0</v>
      </c>
      <c r="B6" s="40" t="s">
        <v>44</v>
      </c>
      <c r="C6" s="40" t="s">
        <v>45</v>
      </c>
      <c r="D6" s="40" t="s">
        <v>46</v>
      </c>
      <c r="E6" s="40" t="s">
        <v>47</v>
      </c>
      <c r="F6" s="39" t="str">
        <f t="shared" si="1"/>
        <v>CORRECT</v>
      </c>
      <c r="G6" s="39" t="s">
        <v>48</v>
      </c>
      <c r="H6" s="41" t="s">
        <v>48</v>
      </c>
      <c r="I6" s="42" t="s">
        <v>49</v>
      </c>
      <c r="J6" s="41">
        <v>23163.0</v>
      </c>
    </row>
    <row r="7" ht="60.0" customHeight="1">
      <c r="A7" s="39">
        <v>4.0</v>
      </c>
      <c r="B7" s="40" t="s">
        <v>50</v>
      </c>
      <c r="C7" s="40" t="s">
        <v>51</v>
      </c>
      <c r="D7" s="40" t="s">
        <v>52</v>
      </c>
      <c r="E7" s="40" t="s">
        <v>53</v>
      </c>
      <c r="F7" s="39" t="str">
        <f t="shared" si="1"/>
        <v>CORRECT</v>
      </c>
      <c r="G7" s="39" t="s">
        <v>42</v>
      </c>
      <c r="H7" s="41" t="s">
        <v>42</v>
      </c>
      <c r="I7" s="42" t="s">
        <v>54</v>
      </c>
      <c r="J7" s="41">
        <v>20905.0</v>
      </c>
    </row>
    <row r="8" ht="60.0" customHeight="1">
      <c r="A8" s="39">
        <v>5.0</v>
      </c>
      <c r="B8" s="40" t="s">
        <v>55</v>
      </c>
      <c r="C8" s="40" t="s">
        <v>56</v>
      </c>
      <c r="D8" s="40" t="s">
        <v>57</v>
      </c>
      <c r="E8" s="40" t="s">
        <v>58</v>
      </c>
      <c r="F8" s="39" t="str">
        <f t="shared" si="1"/>
        <v>CORRECT</v>
      </c>
      <c r="G8" s="39" t="s">
        <v>48</v>
      </c>
      <c r="H8" s="41" t="s">
        <v>48</v>
      </c>
      <c r="I8" s="42" t="s">
        <v>59</v>
      </c>
      <c r="J8" s="41">
        <v>54747.0</v>
      </c>
    </row>
    <row r="9" ht="60.0" customHeight="1">
      <c r="A9" s="39">
        <v>6.0</v>
      </c>
      <c r="B9" s="40" t="s">
        <v>60</v>
      </c>
      <c r="C9" s="40" t="s">
        <v>61</v>
      </c>
      <c r="D9" s="40" t="s">
        <v>62</v>
      </c>
      <c r="E9" s="40" t="s">
        <v>63</v>
      </c>
      <c r="F9" s="39" t="str">
        <f t="shared" si="1"/>
        <v>CORRECT</v>
      </c>
      <c r="G9" s="39" t="s">
        <v>42</v>
      </c>
      <c r="H9" s="41" t="s">
        <v>42</v>
      </c>
      <c r="I9" s="42" t="s">
        <v>64</v>
      </c>
      <c r="J9" s="41">
        <v>27166.0</v>
      </c>
    </row>
    <row r="10" ht="60.0" customHeight="1">
      <c r="A10" s="39">
        <v>7.0</v>
      </c>
      <c r="B10" s="40" t="s">
        <v>65</v>
      </c>
      <c r="C10" s="40" t="s">
        <v>66</v>
      </c>
      <c r="D10" s="40" t="s">
        <v>67</v>
      </c>
      <c r="E10" s="40" t="s">
        <v>68</v>
      </c>
      <c r="F10" s="39" t="str">
        <f t="shared" si="1"/>
        <v>CORRECT</v>
      </c>
      <c r="G10" s="39" t="s">
        <v>42</v>
      </c>
      <c r="H10" s="41" t="s">
        <v>42</v>
      </c>
      <c r="I10" s="42" t="s">
        <v>69</v>
      </c>
      <c r="J10" s="41">
        <v>33798.0</v>
      </c>
    </row>
    <row r="11" ht="60.0" customHeight="1">
      <c r="A11" s="39">
        <v>8.0</v>
      </c>
      <c r="B11" s="40" t="s">
        <v>70</v>
      </c>
      <c r="C11" s="40" t="s">
        <v>71</v>
      </c>
      <c r="D11" s="40" t="s">
        <v>72</v>
      </c>
      <c r="E11" s="40" t="s">
        <v>73</v>
      </c>
      <c r="F11" s="39" t="str">
        <f t="shared" si="1"/>
        <v>WRONG</v>
      </c>
      <c r="G11" s="39" t="s">
        <v>48</v>
      </c>
      <c r="H11" s="41" t="s">
        <v>42</v>
      </c>
      <c r="I11" s="42" t="s">
        <v>74</v>
      </c>
      <c r="J11" s="41">
        <v>32331.0</v>
      </c>
    </row>
    <row r="12" ht="60.0" customHeight="1">
      <c r="A12" s="39">
        <v>9.0</v>
      </c>
      <c r="B12" s="40" t="s">
        <v>75</v>
      </c>
      <c r="C12" s="40" t="s">
        <v>76</v>
      </c>
      <c r="D12" s="40" t="s">
        <v>77</v>
      </c>
      <c r="E12" s="40" t="s">
        <v>78</v>
      </c>
      <c r="F12" s="39" t="str">
        <f t="shared" si="1"/>
        <v>WRONG</v>
      </c>
      <c r="G12" s="39" t="s">
        <v>42</v>
      </c>
      <c r="H12" s="41" t="s">
        <v>48</v>
      </c>
      <c r="I12" s="42" t="s">
        <v>79</v>
      </c>
      <c r="J12" s="41">
        <v>33036.0</v>
      </c>
    </row>
    <row r="13" ht="60.0" customHeight="1">
      <c r="A13" s="39">
        <v>10.0</v>
      </c>
      <c r="B13" s="40" t="s">
        <v>80</v>
      </c>
      <c r="C13" s="40" t="s">
        <v>81</v>
      </c>
      <c r="D13" s="40" t="s">
        <v>82</v>
      </c>
      <c r="E13" s="40" t="s">
        <v>83</v>
      </c>
      <c r="F13" s="39" t="str">
        <f t="shared" si="1"/>
        <v>CORRECT</v>
      </c>
      <c r="G13" s="39" t="s">
        <v>48</v>
      </c>
      <c r="H13" s="41" t="s">
        <v>48</v>
      </c>
      <c r="I13" s="42" t="s">
        <v>84</v>
      </c>
      <c r="J13" s="41">
        <v>25763.0</v>
      </c>
    </row>
    <row r="14" ht="60.0" customHeight="1">
      <c r="A14" s="39">
        <v>11.0</v>
      </c>
      <c r="B14" s="40" t="s">
        <v>85</v>
      </c>
      <c r="C14" s="40" t="s">
        <v>86</v>
      </c>
      <c r="D14" s="40" t="s">
        <v>87</v>
      </c>
      <c r="E14" s="40" t="s">
        <v>88</v>
      </c>
      <c r="F14" s="39" t="str">
        <f t="shared" si="1"/>
        <v>WRONG</v>
      </c>
      <c r="G14" s="39" t="s">
        <v>42</v>
      </c>
      <c r="H14" s="43" t="s">
        <v>48</v>
      </c>
      <c r="I14" s="42" t="s">
        <v>89</v>
      </c>
      <c r="J14" s="41">
        <v>41725.0</v>
      </c>
    </row>
    <row r="15" ht="60.0" customHeight="1">
      <c r="A15" s="39">
        <v>12.0</v>
      </c>
      <c r="B15" s="40" t="s">
        <v>90</v>
      </c>
      <c r="C15" s="40" t="s">
        <v>91</v>
      </c>
      <c r="D15" s="40" t="s">
        <v>92</v>
      </c>
      <c r="E15" s="40" t="s">
        <v>93</v>
      </c>
      <c r="F15" s="39" t="str">
        <f t="shared" si="1"/>
        <v>CORRECT</v>
      </c>
      <c r="G15" s="39" t="s">
        <v>48</v>
      </c>
      <c r="H15" s="43" t="s">
        <v>48</v>
      </c>
      <c r="I15" s="42" t="s">
        <v>94</v>
      </c>
      <c r="J15" s="41">
        <v>37225.0</v>
      </c>
    </row>
    <row r="16" ht="60.0" customHeight="1">
      <c r="A16" s="39">
        <v>13.0</v>
      </c>
      <c r="B16" s="40" t="s">
        <v>95</v>
      </c>
      <c r="C16" s="40" t="s">
        <v>96</v>
      </c>
      <c r="D16" s="40" t="s">
        <v>97</v>
      </c>
      <c r="E16" s="40" t="s">
        <v>98</v>
      </c>
      <c r="F16" s="39" t="str">
        <f t="shared" si="1"/>
        <v>CORRECT</v>
      </c>
      <c r="G16" s="39" t="s">
        <v>36</v>
      </c>
      <c r="H16" s="41" t="s">
        <v>36</v>
      </c>
      <c r="I16" s="42" t="s">
        <v>99</v>
      </c>
      <c r="J16" s="41">
        <v>23122.0</v>
      </c>
    </row>
    <row r="17" ht="60.0" customHeight="1">
      <c r="A17" s="39">
        <v>14.0</v>
      </c>
      <c r="B17" s="40" t="s">
        <v>100</v>
      </c>
      <c r="C17" s="40" t="s">
        <v>101</v>
      </c>
      <c r="D17" s="40" t="s">
        <v>102</v>
      </c>
      <c r="E17" s="40" t="s">
        <v>103</v>
      </c>
      <c r="F17" s="39" t="str">
        <f t="shared" si="1"/>
        <v>WRONG</v>
      </c>
      <c r="G17" s="39" t="s">
        <v>36</v>
      </c>
      <c r="H17" s="41" t="s">
        <v>48</v>
      </c>
      <c r="I17" s="42" t="s">
        <v>104</v>
      </c>
      <c r="J17" s="41">
        <v>22002.0</v>
      </c>
    </row>
    <row r="18" ht="60.0" customHeight="1">
      <c r="A18" s="39">
        <v>15.0</v>
      </c>
      <c r="B18" s="40" t="s">
        <v>105</v>
      </c>
      <c r="C18" s="40" t="s">
        <v>106</v>
      </c>
      <c r="D18" s="40" t="s">
        <v>107</v>
      </c>
      <c r="E18" s="40" t="s">
        <v>108</v>
      </c>
      <c r="F18" s="39" t="str">
        <f t="shared" si="1"/>
        <v>CORRECT</v>
      </c>
      <c r="G18" s="39" t="s">
        <v>48</v>
      </c>
      <c r="H18" s="43" t="s">
        <v>48</v>
      </c>
      <c r="I18" s="42" t="s">
        <v>109</v>
      </c>
      <c r="J18" s="41">
        <v>33702.0</v>
      </c>
    </row>
    <row r="19" ht="60.0" customHeight="1">
      <c r="A19" s="39">
        <v>16.0</v>
      </c>
      <c r="B19" s="40" t="s">
        <v>110</v>
      </c>
      <c r="C19" s="40" t="s">
        <v>111</v>
      </c>
      <c r="D19" s="40" t="s">
        <v>112</v>
      </c>
      <c r="E19" s="40" t="s">
        <v>113</v>
      </c>
      <c r="F19" s="39" t="str">
        <f t="shared" si="1"/>
        <v>WRONG</v>
      </c>
      <c r="G19" s="39" t="s">
        <v>48</v>
      </c>
      <c r="H19" s="41" t="s">
        <v>36</v>
      </c>
      <c r="I19" s="42" t="s">
        <v>114</v>
      </c>
      <c r="J19" s="41">
        <v>26396.0</v>
      </c>
    </row>
    <row r="20" ht="60.0" customHeight="1">
      <c r="A20" s="39">
        <v>17.0</v>
      </c>
      <c r="B20" s="40" t="s">
        <v>115</v>
      </c>
      <c r="C20" s="40" t="s">
        <v>116</v>
      </c>
      <c r="D20" s="40" t="s">
        <v>117</v>
      </c>
      <c r="E20" s="40" t="s">
        <v>118</v>
      </c>
      <c r="F20" s="39" t="str">
        <f t="shared" si="1"/>
        <v>WRONG</v>
      </c>
      <c r="G20" s="39" t="s">
        <v>42</v>
      </c>
      <c r="H20" s="41" t="s">
        <v>36</v>
      </c>
      <c r="I20" s="42" t="s">
        <v>119</v>
      </c>
      <c r="J20" s="41">
        <v>28952.0</v>
      </c>
    </row>
    <row r="21" ht="60.0" customHeight="1">
      <c r="A21" s="39">
        <v>18.0</v>
      </c>
      <c r="B21" s="40" t="s">
        <v>120</v>
      </c>
      <c r="C21" s="40" t="s">
        <v>121</v>
      </c>
      <c r="D21" s="40" t="s">
        <v>122</v>
      </c>
      <c r="E21" s="40" t="s">
        <v>123</v>
      </c>
      <c r="F21" s="39" t="str">
        <f t="shared" si="1"/>
        <v>CORRECT</v>
      </c>
      <c r="G21" s="39" t="s">
        <v>42</v>
      </c>
      <c r="H21" s="41" t="s">
        <v>42</v>
      </c>
      <c r="I21" s="42" t="s">
        <v>124</v>
      </c>
      <c r="J21" s="41">
        <v>26318.0</v>
      </c>
    </row>
    <row r="22" ht="60.0" customHeight="1">
      <c r="A22" s="39">
        <v>19.0</v>
      </c>
      <c r="B22" s="40" t="s">
        <v>125</v>
      </c>
      <c r="C22" s="40" t="s">
        <v>126</v>
      </c>
      <c r="D22" s="40" t="s">
        <v>127</v>
      </c>
      <c r="E22" s="40" t="s">
        <v>128</v>
      </c>
      <c r="F22" s="39" t="str">
        <f t="shared" si="1"/>
        <v>WRONG</v>
      </c>
      <c r="G22" s="39" t="s">
        <v>36</v>
      </c>
      <c r="H22" s="43" t="s">
        <v>48</v>
      </c>
      <c r="I22" s="42" t="s">
        <v>129</v>
      </c>
      <c r="J22" s="41">
        <v>30567.0</v>
      </c>
    </row>
    <row r="23" ht="60.0" customHeight="1">
      <c r="A23" s="39">
        <v>20.0</v>
      </c>
      <c r="B23" s="40" t="s">
        <v>130</v>
      </c>
      <c r="C23" s="40" t="s">
        <v>131</v>
      </c>
      <c r="D23" s="40" t="s">
        <v>132</v>
      </c>
      <c r="E23" s="40" t="s">
        <v>133</v>
      </c>
      <c r="F23" s="39" t="str">
        <f t="shared" si="1"/>
        <v>CORRECT</v>
      </c>
      <c r="G23" s="39" t="s">
        <v>42</v>
      </c>
      <c r="H23" s="41" t="s">
        <v>42</v>
      </c>
      <c r="I23" s="42" t="s">
        <v>134</v>
      </c>
      <c r="J23" s="41">
        <v>12303.0</v>
      </c>
    </row>
    <row r="24" ht="60.0" customHeight="1">
      <c r="A24" s="39">
        <v>21.0</v>
      </c>
      <c r="B24" s="40" t="s">
        <v>135</v>
      </c>
      <c r="C24" s="40" t="s">
        <v>136</v>
      </c>
      <c r="D24" s="40" t="s">
        <v>137</v>
      </c>
      <c r="E24" s="40" t="s">
        <v>138</v>
      </c>
      <c r="F24" s="39" t="str">
        <f t="shared" si="1"/>
        <v>WRONG</v>
      </c>
      <c r="G24" s="39" t="s">
        <v>42</v>
      </c>
      <c r="H24" s="41" t="s">
        <v>36</v>
      </c>
      <c r="I24" s="42" t="s">
        <v>139</v>
      </c>
      <c r="J24" s="41">
        <v>21724.0</v>
      </c>
    </row>
    <row r="25" ht="60.0" customHeight="1">
      <c r="A25" s="39">
        <v>22.0</v>
      </c>
      <c r="B25" s="40" t="s">
        <v>140</v>
      </c>
      <c r="C25" s="40" t="s">
        <v>141</v>
      </c>
      <c r="D25" s="40" t="s">
        <v>142</v>
      </c>
      <c r="E25" s="40" t="s">
        <v>143</v>
      </c>
      <c r="F25" s="39" t="str">
        <f t="shared" si="1"/>
        <v>CORRECT</v>
      </c>
      <c r="G25" s="39" t="s">
        <v>42</v>
      </c>
      <c r="H25" s="41" t="s">
        <v>42</v>
      </c>
      <c r="I25" s="42" t="s">
        <v>144</v>
      </c>
      <c r="J25" s="41">
        <v>21770.0</v>
      </c>
    </row>
    <row r="26" ht="60.0" customHeight="1">
      <c r="A26" s="39">
        <v>23.0</v>
      </c>
      <c r="B26" s="40" t="s">
        <v>145</v>
      </c>
      <c r="C26" s="40" t="s">
        <v>146</v>
      </c>
      <c r="D26" s="40" t="s">
        <v>147</v>
      </c>
      <c r="E26" s="40" t="s">
        <v>148</v>
      </c>
      <c r="F26" s="39" t="str">
        <f t="shared" si="1"/>
        <v>CORRECT</v>
      </c>
      <c r="G26" s="39" t="s">
        <v>48</v>
      </c>
      <c r="H26" s="41" t="s">
        <v>48</v>
      </c>
      <c r="I26" s="42" t="s">
        <v>149</v>
      </c>
      <c r="J26" s="41">
        <v>22119.0</v>
      </c>
    </row>
    <row r="27" ht="60.0" customHeight="1">
      <c r="A27" s="39">
        <v>24.0</v>
      </c>
      <c r="B27" s="40" t="s">
        <v>150</v>
      </c>
      <c r="C27" s="40" t="s">
        <v>151</v>
      </c>
      <c r="D27" s="40" t="s">
        <v>152</v>
      </c>
      <c r="E27" s="40" t="s">
        <v>153</v>
      </c>
      <c r="F27" s="39" t="str">
        <f t="shared" si="1"/>
        <v>WRONG</v>
      </c>
      <c r="G27" s="39" t="s">
        <v>36</v>
      </c>
      <c r="H27" s="41" t="s">
        <v>48</v>
      </c>
      <c r="I27" s="42" t="s">
        <v>154</v>
      </c>
      <c r="J27" s="41">
        <v>20686.0</v>
      </c>
    </row>
    <row r="28" ht="60.0" customHeight="1">
      <c r="A28" s="39">
        <v>25.0</v>
      </c>
      <c r="B28" s="40" t="s">
        <v>155</v>
      </c>
      <c r="C28" s="40" t="s">
        <v>151</v>
      </c>
      <c r="D28" s="40" t="s">
        <v>156</v>
      </c>
      <c r="E28" s="40" t="s">
        <v>153</v>
      </c>
      <c r="F28" s="39" t="str">
        <f t="shared" si="1"/>
        <v>WRONG</v>
      </c>
      <c r="G28" s="39" t="s">
        <v>48</v>
      </c>
      <c r="H28" s="43" t="s">
        <v>42</v>
      </c>
      <c r="I28" s="42" t="s">
        <v>157</v>
      </c>
      <c r="J28" s="41">
        <v>19162.0</v>
      </c>
    </row>
    <row r="29" ht="60.0" customHeight="1">
      <c r="A29" s="39">
        <v>26.0</v>
      </c>
      <c r="B29" s="40" t="s">
        <v>158</v>
      </c>
      <c r="C29" s="40" t="s">
        <v>159</v>
      </c>
      <c r="D29" s="40" t="s">
        <v>160</v>
      </c>
      <c r="E29" s="40" t="s">
        <v>161</v>
      </c>
      <c r="F29" s="39" t="str">
        <f t="shared" si="1"/>
        <v>WRONG</v>
      </c>
      <c r="G29" s="39" t="s">
        <v>36</v>
      </c>
      <c r="H29" s="41" t="s">
        <v>48</v>
      </c>
      <c r="I29" s="42" t="s">
        <v>162</v>
      </c>
      <c r="J29" s="41">
        <v>21159.0</v>
      </c>
    </row>
    <row r="30" ht="60.0" customHeight="1">
      <c r="A30" s="39">
        <v>27.0</v>
      </c>
      <c r="B30" s="40" t="s">
        <v>163</v>
      </c>
      <c r="C30" s="40" t="s">
        <v>164</v>
      </c>
      <c r="D30" s="40" t="s">
        <v>165</v>
      </c>
      <c r="E30" s="40" t="s">
        <v>166</v>
      </c>
      <c r="F30" s="39" t="str">
        <f t="shared" si="1"/>
        <v>CORRECT</v>
      </c>
      <c r="G30" s="39" t="s">
        <v>42</v>
      </c>
      <c r="H30" s="41" t="s">
        <v>42</v>
      </c>
      <c r="I30" s="42" t="s">
        <v>167</v>
      </c>
      <c r="J30" s="41">
        <v>22284.0</v>
      </c>
    </row>
    <row r="31" ht="60.0" customHeight="1">
      <c r="A31" s="39">
        <v>28.0</v>
      </c>
      <c r="B31" s="40" t="s">
        <v>168</v>
      </c>
      <c r="C31" s="40" t="s">
        <v>169</v>
      </c>
      <c r="D31" s="40" t="s">
        <v>170</v>
      </c>
      <c r="E31" s="40" t="s">
        <v>171</v>
      </c>
      <c r="F31" s="39" t="str">
        <f t="shared" si="1"/>
        <v>WRONG</v>
      </c>
      <c r="G31" s="39" t="s">
        <v>36</v>
      </c>
      <c r="H31" s="43" t="s">
        <v>42</v>
      </c>
      <c r="I31" s="42" t="s">
        <v>172</v>
      </c>
      <c r="J31" s="41">
        <v>62277.0</v>
      </c>
    </row>
    <row r="32" ht="60.0" customHeight="1">
      <c r="A32" s="39">
        <v>29.0</v>
      </c>
      <c r="B32" s="40" t="s">
        <v>173</v>
      </c>
      <c r="C32" s="40" t="s">
        <v>174</v>
      </c>
      <c r="D32" s="40" t="s">
        <v>175</v>
      </c>
      <c r="E32" s="40" t="s">
        <v>176</v>
      </c>
      <c r="F32" s="39" t="str">
        <f t="shared" si="1"/>
        <v>CORRECT</v>
      </c>
      <c r="G32" s="39" t="s">
        <v>42</v>
      </c>
      <c r="H32" s="41" t="s">
        <v>42</v>
      </c>
      <c r="I32" s="42" t="s">
        <v>177</v>
      </c>
      <c r="J32" s="41">
        <v>25373.0</v>
      </c>
    </row>
    <row r="33" ht="60.0" customHeight="1">
      <c r="A33" s="39">
        <v>30.0</v>
      </c>
      <c r="B33" s="40" t="s">
        <v>178</v>
      </c>
      <c r="C33" s="40" t="s">
        <v>179</v>
      </c>
      <c r="D33" s="40" t="s">
        <v>180</v>
      </c>
      <c r="E33" s="40" t="s">
        <v>181</v>
      </c>
      <c r="F33" s="39" t="str">
        <f t="shared" si="1"/>
        <v>WRONG</v>
      </c>
      <c r="G33" s="39" t="s">
        <v>48</v>
      </c>
      <c r="H33" s="41" t="s">
        <v>36</v>
      </c>
      <c r="I33" s="42" t="s">
        <v>182</v>
      </c>
      <c r="J33" s="41">
        <v>24196.0</v>
      </c>
    </row>
    <row r="34" ht="60.0" customHeight="1">
      <c r="A34" s="39">
        <v>31.0</v>
      </c>
      <c r="B34" s="40" t="s">
        <v>183</v>
      </c>
      <c r="C34" s="40" t="s">
        <v>184</v>
      </c>
      <c r="D34" s="40" t="s">
        <v>185</v>
      </c>
      <c r="E34" s="40" t="s">
        <v>186</v>
      </c>
      <c r="F34" s="39" t="str">
        <f t="shared" si="1"/>
        <v>WRONG</v>
      </c>
      <c r="G34" s="39" t="s">
        <v>42</v>
      </c>
      <c r="H34" s="41" t="s">
        <v>36</v>
      </c>
      <c r="I34" s="42" t="s">
        <v>187</v>
      </c>
      <c r="J34" s="41">
        <v>28372.0</v>
      </c>
    </row>
    <row r="35" ht="60.0" customHeight="1">
      <c r="A35" s="39">
        <v>32.0</v>
      </c>
      <c r="B35" s="40" t="s">
        <v>188</v>
      </c>
      <c r="C35" s="40" t="s">
        <v>189</v>
      </c>
      <c r="D35" s="40" t="s">
        <v>190</v>
      </c>
      <c r="E35" s="40" t="s">
        <v>191</v>
      </c>
      <c r="F35" s="39" t="str">
        <f t="shared" si="1"/>
        <v>CORRECT</v>
      </c>
      <c r="G35" s="39" t="s">
        <v>36</v>
      </c>
      <c r="H35" s="41" t="s">
        <v>36</v>
      </c>
      <c r="I35" s="42" t="s">
        <v>192</v>
      </c>
      <c r="J35" s="41">
        <v>45658.0</v>
      </c>
    </row>
    <row r="36" ht="60.0" customHeight="1">
      <c r="A36" s="39">
        <v>33.0</v>
      </c>
      <c r="B36" s="40" t="s">
        <v>193</v>
      </c>
      <c r="C36" s="40" t="s">
        <v>194</v>
      </c>
      <c r="D36" s="40" t="s">
        <v>195</v>
      </c>
      <c r="E36" s="40" t="s">
        <v>196</v>
      </c>
      <c r="F36" s="39" t="str">
        <f t="shared" si="1"/>
        <v>CORRECT</v>
      </c>
      <c r="G36" s="39" t="s">
        <v>48</v>
      </c>
      <c r="H36" s="43" t="s">
        <v>48</v>
      </c>
      <c r="I36" s="42" t="s">
        <v>197</v>
      </c>
      <c r="J36" s="41">
        <v>43198.0</v>
      </c>
    </row>
    <row r="37" ht="60.0" customHeight="1">
      <c r="A37" s="39">
        <v>34.0</v>
      </c>
      <c r="B37" s="40" t="s">
        <v>198</v>
      </c>
      <c r="C37" s="40" t="s">
        <v>199</v>
      </c>
      <c r="D37" s="40" t="s">
        <v>200</v>
      </c>
      <c r="E37" s="40" t="s">
        <v>201</v>
      </c>
      <c r="F37" s="39" t="str">
        <f t="shared" si="1"/>
        <v>CORRECT</v>
      </c>
      <c r="G37" s="39" t="s">
        <v>36</v>
      </c>
      <c r="H37" s="41" t="s">
        <v>36</v>
      </c>
      <c r="I37" s="42" t="s">
        <v>202</v>
      </c>
      <c r="J37" s="41">
        <v>23915.0</v>
      </c>
    </row>
    <row r="38" ht="60.0" customHeight="1">
      <c r="A38" s="39">
        <v>35.0</v>
      </c>
      <c r="B38" s="40" t="s">
        <v>203</v>
      </c>
      <c r="C38" s="40" t="s">
        <v>204</v>
      </c>
      <c r="D38" s="40" t="s">
        <v>205</v>
      </c>
      <c r="E38" s="40" t="s">
        <v>206</v>
      </c>
      <c r="F38" s="39" t="str">
        <f t="shared" si="1"/>
        <v>CORRECT</v>
      </c>
      <c r="G38" s="39" t="s">
        <v>48</v>
      </c>
      <c r="H38" s="41" t="s">
        <v>48</v>
      </c>
      <c r="I38" s="42" t="s">
        <v>207</v>
      </c>
      <c r="J38" s="41">
        <v>25932.0</v>
      </c>
    </row>
    <row r="39" ht="60.0" customHeight="1">
      <c r="A39" s="39">
        <v>36.0</v>
      </c>
      <c r="B39" s="40" t="s">
        <v>208</v>
      </c>
      <c r="C39" s="40" t="s">
        <v>209</v>
      </c>
      <c r="D39" s="40" t="s">
        <v>210</v>
      </c>
      <c r="E39" s="40" t="s">
        <v>211</v>
      </c>
      <c r="F39" s="39" t="str">
        <f t="shared" si="1"/>
        <v>CORRECT</v>
      </c>
      <c r="G39" s="39" t="s">
        <v>36</v>
      </c>
      <c r="H39" s="41" t="s">
        <v>36</v>
      </c>
      <c r="I39" s="42" t="s">
        <v>212</v>
      </c>
      <c r="J39" s="41">
        <v>19676.0</v>
      </c>
    </row>
    <row r="40" ht="60.0" customHeight="1">
      <c r="A40" s="39">
        <v>37.0</v>
      </c>
      <c r="B40" s="40" t="s">
        <v>213</v>
      </c>
      <c r="C40" s="40" t="s">
        <v>214</v>
      </c>
      <c r="D40" s="40" t="s">
        <v>215</v>
      </c>
      <c r="E40" s="40" t="s">
        <v>216</v>
      </c>
      <c r="F40" s="39" t="str">
        <f t="shared" si="1"/>
        <v>WRONG</v>
      </c>
      <c r="G40" s="39" t="s">
        <v>36</v>
      </c>
      <c r="H40" s="41" t="s">
        <v>42</v>
      </c>
      <c r="I40" s="42" t="s">
        <v>217</v>
      </c>
      <c r="J40" s="41">
        <v>16896.0</v>
      </c>
    </row>
    <row r="41" ht="60.0" customHeight="1">
      <c r="A41" s="39">
        <v>38.0</v>
      </c>
      <c r="B41" s="40" t="s">
        <v>218</v>
      </c>
      <c r="C41" s="40" t="s">
        <v>219</v>
      </c>
      <c r="D41" s="40" t="s">
        <v>220</v>
      </c>
      <c r="E41" s="40" t="s">
        <v>221</v>
      </c>
      <c r="F41" s="39" t="str">
        <f t="shared" si="1"/>
        <v>CORRECT</v>
      </c>
      <c r="G41" s="39" t="s">
        <v>36</v>
      </c>
      <c r="H41" s="41" t="s">
        <v>36</v>
      </c>
      <c r="I41" s="42" t="s">
        <v>222</v>
      </c>
      <c r="J41" s="41">
        <v>27033.0</v>
      </c>
    </row>
    <row r="42" ht="60.0" customHeight="1">
      <c r="A42" s="39">
        <v>39.0</v>
      </c>
      <c r="B42" s="40" t="s">
        <v>223</v>
      </c>
      <c r="C42" s="40" t="s">
        <v>224</v>
      </c>
      <c r="D42" s="40" t="s">
        <v>225</v>
      </c>
      <c r="E42" s="40" t="s">
        <v>226</v>
      </c>
      <c r="F42" s="39" t="str">
        <f t="shared" si="1"/>
        <v>WRONG</v>
      </c>
      <c r="G42" s="39" t="s">
        <v>42</v>
      </c>
      <c r="H42" s="41" t="s">
        <v>48</v>
      </c>
      <c r="I42" s="42" t="s">
        <v>227</v>
      </c>
      <c r="J42" s="41">
        <v>27867.0</v>
      </c>
    </row>
    <row r="43" ht="60.0" customHeight="1">
      <c r="A43" s="39">
        <v>40.0</v>
      </c>
      <c r="B43" s="40" t="s">
        <v>228</v>
      </c>
      <c r="C43" s="40" t="s">
        <v>229</v>
      </c>
      <c r="D43" s="40" t="s">
        <v>230</v>
      </c>
      <c r="E43" s="40" t="s">
        <v>231</v>
      </c>
      <c r="F43" s="39" t="str">
        <f t="shared" si="1"/>
        <v>CORRECT</v>
      </c>
      <c r="G43" s="39" t="s">
        <v>48</v>
      </c>
      <c r="H43" s="41" t="s">
        <v>48</v>
      </c>
      <c r="I43" s="42" t="s">
        <v>232</v>
      </c>
      <c r="J43" s="41">
        <v>38111.0</v>
      </c>
    </row>
    <row r="44" ht="60.0" customHeight="1">
      <c r="A44" s="39">
        <v>41.0</v>
      </c>
      <c r="B44" s="40" t="s">
        <v>233</v>
      </c>
      <c r="C44" s="40" t="s">
        <v>234</v>
      </c>
      <c r="D44" s="40" t="s">
        <v>235</v>
      </c>
      <c r="E44" s="40" t="s">
        <v>236</v>
      </c>
      <c r="F44" s="39" t="str">
        <f t="shared" si="1"/>
        <v>CORRECT</v>
      </c>
      <c r="G44" s="39" t="s">
        <v>42</v>
      </c>
      <c r="H44" s="41" t="s">
        <v>42</v>
      </c>
      <c r="I44" s="42" t="s">
        <v>237</v>
      </c>
      <c r="J44" s="41">
        <v>19822.0</v>
      </c>
    </row>
    <row r="45" ht="60.0" customHeight="1">
      <c r="A45" s="39">
        <v>42.0</v>
      </c>
      <c r="B45" s="40" t="s">
        <v>238</v>
      </c>
      <c r="C45" s="40" t="s">
        <v>239</v>
      </c>
      <c r="D45" s="40" t="s">
        <v>240</v>
      </c>
      <c r="E45" s="40" t="s">
        <v>241</v>
      </c>
      <c r="F45" s="39" t="str">
        <f t="shared" si="1"/>
        <v>WRONG</v>
      </c>
      <c r="G45" s="39" t="s">
        <v>36</v>
      </c>
      <c r="H45" s="41" t="s">
        <v>42</v>
      </c>
      <c r="I45" s="42" t="s">
        <v>242</v>
      </c>
      <c r="J45" s="41">
        <v>27015.0</v>
      </c>
    </row>
    <row r="46" ht="60.0" customHeight="1">
      <c r="A46" s="39">
        <v>43.0</v>
      </c>
      <c r="B46" s="40" t="s">
        <v>243</v>
      </c>
      <c r="C46" s="40" t="s">
        <v>244</v>
      </c>
      <c r="D46" s="40" t="s">
        <v>245</v>
      </c>
      <c r="E46" s="40" t="s">
        <v>246</v>
      </c>
      <c r="F46" s="39" t="str">
        <f t="shared" si="1"/>
        <v>WRONG</v>
      </c>
      <c r="G46" s="39" t="s">
        <v>48</v>
      </c>
      <c r="H46" s="41" t="s">
        <v>36</v>
      </c>
      <c r="I46" s="42" t="s">
        <v>247</v>
      </c>
      <c r="J46" s="41">
        <v>31159.0</v>
      </c>
    </row>
    <row r="47" ht="60.0" customHeight="1">
      <c r="A47" s="39">
        <v>44.0</v>
      </c>
      <c r="B47" s="40" t="s">
        <v>248</v>
      </c>
      <c r="C47" s="40" t="s">
        <v>249</v>
      </c>
      <c r="D47" s="40" t="s">
        <v>250</v>
      </c>
      <c r="E47" s="40" t="s">
        <v>251</v>
      </c>
      <c r="F47" s="39" t="str">
        <f t="shared" si="1"/>
        <v>WRONG</v>
      </c>
      <c r="G47" s="39" t="s">
        <v>36</v>
      </c>
      <c r="H47" s="41" t="s">
        <v>48</v>
      </c>
      <c r="I47" s="42" t="s">
        <v>252</v>
      </c>
      <c r="J47" s="41">
        <v>30663.0</v>
      </c>
    </row>
    <row r="48" ht="60.0" customHeight="1">
      <c r="A48" s="39">
        <v>45.0</v>
      </c>
      <c r="B48" s="40" t="s">
        <v>253</v>
      </c>
      <c r="C48" s="40" t="s">
        <v>254</v>
      </c>
      <c r="D48" s="40" t="s">
        <v>255</v>
      </c>
      <c r="E48" s="40" t="s">
        <v>256</v>
      </c>
      <c r="F48" s="39" t="str">
        <f t="shared" si="1"/>
        <v>CORRECT</v>
      </c>
      <c r="G48" s="39" t="s">
        <v>36</v>
      </c>
      <c r="H48" s="41" t="s">
        <v>36</v>
      </c>
      <c r="I48" s="42" t="s">
        <v>257</v>
      </c>
      <c r="J48" s="41">
        <v>28300.0</v>
      </c>
    </row>
    <row r="49" ht="60.0" customHeight="1">
      <c r="A49" s="39">
        <v>46.0</v>
      </c>
      <c r="B49" s="40" t="s">
        <v>258</v>
      </c>
      <c r="C49" s="40" t="s">
        <v>39</v>
      </c>
      <c r="D49" s="40" t="s">
        <v>259</v>
      </c>
      <c r="E49" s="40" t="s">
        <v>260</v>
      </c>
      <c r="F49" s="39" t="str">
        <f t="shared" si="1"/>
        <v>CORRECT</v>
      </c>
      <c r="G49" s="39" t="s">
        <v>36</v>
      </c>
      <c r="H49" s="41" t="s">
        <v>36</v>
      </c>
      <c r="I49" s="42" t="s">
        <v>261</v>
      </c>
      <c r="J49" s="41">
        <v>25866.0</v>
      </c>
    </row>
    <row r="50">
      <c r="A50" s="44" t="s">
        <v>262</v>
      </c>
      <c r="B50" s="2"/>
      <c r="C50" s="2"/>
      <c r="D50" s="2"/>
      <c r="E50" s="3"/>
      <c r="F50" s="45">
        <f>COUNTIFS(F4:F49,"CORRECT")</f>
        <v>27</v>
      </c>
      <c r="G50" s="46"/>
      <c r="H50" s="46"/>
      <c r="J50" s="47">
        <f>AVERAGE(J4:J49)</f>
        <v>28904.13043</v>
      </c>
    </row>
    <row r="51">
      <c r="A51" s="48" t="s">
        <v>263</v>
      </c>
      <c r="B51" s="2"/>
      <c r="C51" s="2"/>
      <c r="D51" s="2"/>
      <c r="E51" s="3"/>
      <c r="F51" s="49">
        <v>46.0</v>
      </c>
      <c r="G51" s="46"/>
      <c r="H51" s="46"/>
    </row>
    <row r="52">
      <c r="A52" s="44" t="s">
        <v>264</v>
      </c>
      <c r="B52" s="2"/>
      <c r="C52" s="2"/>
      <c r="D52" s="2"/>
      <c r="E52" s="3"/>
      <c r="F52" s="50">
        <f>F50/F51</f>
        <v>0.5869565217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265</v>
      </c>
      <c r="C2" s="2"/>
      <c r="D2" s="2"/>
      <c r="E2" s="2"/>
      <c r="F2" s="2"/>
      <c r="G2" s="2"/>
      <c r="H2" s="3"/>
      <c r="I2" s="37" t="s">
        <v>266</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42" t="s">
        <v>37</v>
      </c>
      <c r="J4" s="41">
        <v>35108.0</v>
      </c>
    </row>
    <row r="5" ht="60.0" customHeight="1">
      <c r="A5" s="39">
        <v>2.0</v>
      </c>
      <c r="B5" s="40" t="s">
        <v>38</v>
      </c>
      <c r="C5" s="40" t="s">
        <v>39</v>
      </c>
      <c r="D5" s="40" t="s">
        <v>40</v>
      </c>
      <c r="E5" s="40" t="s">
        <v>41</v>
      </c>
      <c r="F5" s="39" t="str">
        <f t="shared" si="1"/>
        <v>CORRECT</v>
      </c>
      <c r="G5" s="39" t="s">
        <v>42</v>
      </c>
      <c r="H5" s="41" t="s">
        <v>42</v>
      </c>
      <c r="I5" s="42" t="s">
        <v>43</v>
      </c>
      <c r="J5" s="41">
        <v>36647.0</v>
      </c>
    </row>
    <row r="6" ht="60.0" customHeight="1">
      <c r="A6" s="39">
        <v>3.0</v>
      </c>
      <c r="B6" s="40" t="s">
        <v>44</v>
      </c>
      <c r="C6" s="40" t="s">
        <v>45</v>
      </c>
      <c r="D6" s="40" t="s">
        <v>46</v>
      </c>
      <c r="E6" s="40" t="s">
        <v>47</v>
      </c>
      <c r="F6" s="39" t="str">
        <f t="shared" si="1"/>
        <v>CORRECT</v>
      </c>
      <c r="G6" s="39" t="s">
        <v>48</v>
      </c>
      <c r="H6" s="41" t="s">
        <v>48</v>
      </c>
      <c r="I6" s="42" t="s">
        <v>49</v>
      </c>
      <c r="J6" s="41">
        <v>23163.0</v>
      </c>
    </row>
    <row r="7" ht="60.0" customHeight="1">
      <c r="A7" s="39">
        <v>4.0</v>
      </c>
      <c r="B7" s="40" t="s">
        <v>50</v>
      </c>
      <c r="C7" s="40" t="s">
        <v>51</v>
      </c>
      <c r="D7" s="40" t="s">
        <v>52</v>
      </c>
      <c r="E7" s="40" t="s">
        <v>53</v>
      </c>
      <c r="F7" s="39" t="str">
        <f t="shared" si="1"/>
        <v>CORRECT</v>
      </c>
      <c r="G7" s="39" t="s">
        <v>42</v>
      </c>
      <c r="H7" s="41" t="s">
        <v>42</v>
      </c>
      <c r="I7" s="42" t="s">
        <v>54</v>
      </c>
      <c r="J7" s="41">
        <v>20856.0</v>
      </c>
    </row>
    <row r="8" ht="60.0" customHeight="1">
      <c r="A8" s="39">
        <v>5.0</v>
      </c>
      <c r="B8" s="40" t="s">
        <v>55</v>
      </c>
      <c r="C8" s="40" t="s">
        <v>56</v>
      </c>
      <c r="D8" s="40" t="s">
        <v>57</v>
      </c>
      <c r="E8" s="40" t="s">
        <v>58</v>
      </c>
      <c r="F8" s="39" t="str">
        <f t="shared" si="1"/>
        <v>CORRECT</v>
      </c>
      <c r="G8" s="39" t="s">
        <v>48</v>
      </c>
      <c r="H8" s="41" t="s">
        <v>48</v>
      </c>
      <c r="I8" s="42" t="s">
        <v>267</v>
      </c>
      <c r="J8" s="41">
        <v>45962.0</v>
      </c>
    </row>
    <row r="9" ht="60.0" customHeight="1">
      <c r="A9" s="39">
        <v>6.0</v>
      </c>
      <c r="B9" s="40" t="s">
        <v>60</v>
      </c>
      <c r="C9" s="40" t="s">
        <v>61</v>
      </c>
      <c r="D9" s="40" t="s">
        <v>62</v>
      </c>
      <c r="E9" s="40" t="s">
        <v>63</v>
      </c>
      <c r="F9" s="39" t="str">
        <f t="shared" si="1"/>
        <v>CORRECT</v>
      </c>
      <c r="G9" s="39" t="s">
        <v>42</v>
      </c>
      <c r="H9" s="41" t="s">
        <v>42</v>
      </c>
      <c r="I9" s="42" t="s">
        <v>268</v>
      </c>
      <c r="J9" s="41">
        <v>24727.0</v>
      </c>
    </row>
    <row r="10" ht="60.0" customHeight="1">
      <c r="A10" s="39">
        <v>7.0</v>
      </c>
      <c r="B10" s="40" t="s">
        <v>65</v>
      </c>
      <c r="C10" s="40" t="s">
        <v>66</v>
      </c>
      <c r="D10" s="40" t="s">
        <v>67</v>
      </c>
      <c r="E10" s="40" t="s">
        <v>68</v>
      </c>
      <c r="F10" s="39" t="str">
        <f t="shared" si="1"/>
        <v>WRONG</v>
      </c>
      <c r="G10" s="39" t="s">
        <v>42</v>
      </c>
      <c r="H10" s="41" t="s">
        <v>36</v>
      </c>
      <c r="I10" s="42" t="s">
        <v>269</v>
      </c>
      <c r="J10" s="41">
        <v>24437.0</v>
      </c>
    </row>
    <row r="11" ht="60.0" customHeight="1">
      <c r="A11" s="39">
        <v>8.0</v>
      </c>
      <c r="B11" s="40" t="s">
        <v>70</v>
      </c>
      <c r="C11" s="40" t="s">
        <v>71</v>
      </c>
      <c r="D11" s="40" t="s">
        <v>72</v>
      </c>
      <c r="E11" s="40" t="s">
        <v>73</v>
      </c>
      <c r="F11" s="39" t="str">
        <f t="shared" si="1"/>
        <v>WRONG</v>
      </c>
      <c r="G11" s="39" t="s">
        <v>48</v>
      </c>
      <c r="H11" s="41" t="s">
        <v>42</v>
      </c>
      <c r="I11" s="42" t="s">
        <v>74</v>
      </c>
      <c r="J11" s="41">
        <v>30408.0</v>
      </c>
    </row>
    <row r="12" ht="60.0" customHeight="1">
      <c r="A12" s="39">
        <v>9.0</v>
      </c>
      <c r="B12" s="40" t="s">
        <v>75</v>
      </c>
      <c r="C12" s="40" t="s">
        <v>76</v>
      </c>
      <c r="D12" s="40" t="s">
        <v>77</v>
      </c>
      <c r="E12" s="40" t="s">
        <v>78</v>
      </c>
      <c r="F12" s="39" t="str">
        <f t="shared" si="1"/>
        <v>WRONG</v>
      </c>
      <c r="G12" s="39" t="s">
        <v>42</v>
      </c>
      <c r="H12" s="41" t="s">
        <v>48</v>
      </c>
      <c r="I12" s="42" t="s">
        <v>270</v>
      </c>
      <c r="J12" s="41">
        <v>28127.0</v>
      </c>
    </row>
    <row r="13" ht="60.0" customHeight="1">
      <c r="A13" s="39">
        <v>10.0</v>
      </c>
      <c r="B13" s="40" t="s">
        <v>80</v>
      </c>
      <c r="C13" s="40" t="s">
        <v>81</v>
      </c>
      <c r="D13" s="40" t="s">
        <v>82</v>
      </c>
      <c r="E13" s="40" t="s">
        <v>83</v>
      </c>
      <c r="F13" s="39" t="str">
        <f t="shared" si="1"/>
        <v>CORRECT</v>
      </c>
      <c r="G13" s="39" t="s">
        <v>48</v>
      </c>
      <c r="H13" s="41" t="s">
        <v>48</v>
      </c>
      <c r="I13" s="42" t="s">
        <v>271</v>
      </c>
      <c r="J13" s="41">
        <v>26142.0</v>
      </c>
    </row>
    <row r="14" ht="60.0" customHeight="1">
      <c r="A14" s="39">
        <v>11.0</v>
      </c>
      <c r="B14" s="40" t="s">
        <v>85</v>
      </c>
      <c r="C14" s="40" t="s">
        <v>86</v>
      </c>
      <c r="D14" s="40" t="s">
        <v>87</v>
      </c>
      <c r="E14" s="40" t="s">
        <v>88</v>
      </c>
      <c r="F14" s="39" t="str">
        <f t="shared" si="1"/>
        <v>WRONG</v>
      </c>
      <c r="G14" s="39" t="s">
        <v>42</v>
      </c>
      <c r="H14" s="41" t="s">
        <v>48</v>
      </c>
      <c r="I14" s="42" t="s">
        <v>272</v>
      </c>
      <c r="J14" s="41">
        <v>33639.0</v>
      </c>
    </row>
    <row r="15" ht="60.0" customHeight="1">
      <c r="A15" s="39">
        <v>12.0</v>
      </c>
      <c r="B15" s="40" t="s">
        <v>90</v>
      </c>
      <c r="C15" s="40" t="s">
        <v>91</v>
      </c>
      <c r="D15" s="40" t="s">
        <v>92</v>
      </c>
      <c r="E15" s="40" t="s">
        <v>93</v>
      </c>
      <c r="F15" s="39" t="str">
        <f t="shared" si="1"/>
        <v>CORRECT</v>
      </c>
      <c r="G15" s="39" t="s">
        <v>48</v>
      </c>
      <c r="H15" s="41" t="s">
        <v>48</v>
      </c>
      <c r="I15" s="42" t="s">
        <v>273</v>
      </c>
      <c r="J15" s="41">
        <v>38562.0</v>
      </c>
    </row>
    <row r="16" ht="60.0" customHeight="1">
      <c r="A16" s="39">
        <v>13.0</v>
      </c>
      <c r="B16" s="40" t="s">
        <v>95</v>
      </c>
      <c r="C16" s="40" t="s">
        <v>96</v>
      </c>
      <c r="D16" s="40" t="s">
        <v>97</v>
      </c>
      <c r="E16" s="40" t="s">
        <v>98</v>
      </c>
      <c r="F16" s="39" t="str">
        <f t="shared" si="1"/>
        <v>CORRECT</v>
      </c>
      <c r="G16" s="39" t="s">
        <v>36</v>
      </c>
      <c r="H16" s="41" t="s">
        <v>36</v>
      </c>
      <c r="I16" s="42" t="s">
        <v>99</v>
      </c>
      <c r="J16" s="41">
        <v>22845.0</v>
      </c>
    </row>
    <row r="17" ht="60.0" customHeight="1">
      <c r="A17" s="39">
        <v>14.0</v>
      </c>
      <c r="B17" s="40" t="s">
        <v>100</v>
      </c>
      <c r="C17" s="40" t="s">
        <v>101</v>
      </c>
      <c r="D17" s="40" t="s">
        <v>102</v>
      </c>
      <c r="E17" s="40" t="s">
        <v>103</v>
      </c>
      <c r="F17" s="39" t="str">
        <f t="shared" si="1"/>
        <v>WRONG</v>
      </c>
      <c r="G17" s="39" t="s">
        <v>36</v>
      </c>
      <c r="H17" s="41" t="s">
        <v>48</v>
      </c>
      <c r="I17" s="42" t="s">
        <v>274</v>
      </c>
      <c r="J17" s="41">
        <v>22294.0</v>
      </c>
    </row>
    <row r="18" ht="60.0" customHeight="1">
      <c r="A18" s="39">
        <v>15.0</v>
      </c>
      <c r="B18" s="40" t="s">
        <v>105</v>
      </c>
      <c r="C18" s="40" t="s">
        <v>106</v>
      </c>
      <c r="D18" s="40" t="s">
        <v>107</v>
      </c>
      <c r="E18" s="40" t="s">
        <v>108</v>
      </c>
      <c r="F18" s="39" t="str">
        <f t="shared" si="1"/>
        <v>CORRECT</v>
      </c>
      <c r="G18" s="39" t="s">
        <v>48</v>
      </c>
      <c r="H18" s="43" t="s">
        <v>48</v>
      </c>
      <c r="I18" s="42" t="s">
        <v>109</v>
      </c>
      <c r="J18" s="41">
        <v>33730.0</v>
      </c>
    </row>
    <row r="19" ht="60.0" customHeight="1">
      <c r="A19" s="39">
        <v>16.0</v>
      </c>
      <c r="B19" s="40" t="s">
        <v>110</v>
      </c>
      <c r="C19" s="40" t="s">
        <v>111</v>
      </c>
      <c r="D19" s="40" t="s">
        <v>112</v>
      </c>
      <c r="E19" s="40" t="s">
        <v>113</v>
      </c>
      <c r="F19" s="39" t="str">
        <f t="shared" si="1"/>
        <v>WRONG</v>
      </c>
      <c r="G19" s="39" t="s">
        <v>48</v>
      </c>
      <c r="H19" s="41" t="s">
        <v>36</v>
      </c>
      <c r="I19" s="42" t="s">
        <v>114</v>
      </c>
      <c r="J19" s="41">
        <v>25616.0</v>
      </c>
    </row>
    <row r="20" ht="60.0" customHeight="1">
      <c r="A20" s="39">
        <v>17.0</v>
      </c>
      <c r="B20" s="40" t="s">
        <v>115</v>
      </c>
      <c r="C20" s="40" t="s">
        <v>116</v>
      </c>
      <c r="D20" s="40" t="s">
        <v>117</v>
      </c>
      <c r="E20" s="40" t="s">
        <v>118</v>
      </c>
      <c r="F20" s="39" t="str">
        <f t="shared" si="1"/>
        <v>WRONG</v>
      </c>
      <c r="G20" s="39" t="s">
        <v>42</v>
      </c>
      <c r="H20" s="41" t="s">
        <v>36</v>
      </c>
      <c r="I20" s="42" t="s">
        <v>119</v>
      </c>
      <c r="J20" s="41">
        <v>27086.0</v>
      </c>
    </row>
    <row r="21" ht="60.0" customHeight="1">
      <c r="A21" s="39">
        <v>18.0</v>
      </c>
      <c r="B21" s="40" t="s">
        <v>120</v>
      </c>
      <c r="C21" s="40" t="s">
        <v>121</v>
      </c>
      <c r="D21" s="40" t="s">
        <v>122</v>
      </c>
      <c r="E21" s="40" t="s">
        <v>123</v>
      </c>
      <c r="F21" s="39" t="str">
        <f t="shared" si="1"/>
        <v>CORRECT</v>
      </c>
      <c r="G21" s="39" t="s">
        <v>42</v>
      </c>
      <c r="H21" s="41" t="s">
        <v>42</v>
      </c>
      <c r="I21" s="42" t="s">
        <v>124</v>
      </c>
      <c r="J21" s="41">
        <v>24360.0</v>
      </c>
    </row>
    <row r="22" ht="60.0" customHeight="1">
      <c r="A22" s="39">
        <v>19.0</v>
      </c>
      <c r="B22" s="40" t="s">
        <v>125</v>
      </c>
      <c r="C22" s="40" t="s">
        <v>126</v>
      </c>
      <c r="D22" s="40" t="s">
        <v>127</v>
      </c>
      <c r="E22" s="40" t="s">
        <v>128</v>
      </c>
      <c r="F22" s="39" t="str">
        <f t="shared" si="1"/>
        <v>WRONG</v>
      </c>
      <c r="G22" s="39" t="s">
        <v>36</v>
      </c>
      <c r="H22" s="43" t="s">
        <v>48</v>
      </c>
      <c r="I22" s="42" t="s">
        <v>129</v>
      </c>
      <c r="J22" s="41">
        <v>30407.0</v>
      </c>
    </row>
    <row r="23" ht="60.0" customHeight="1">
      <c r="A23" s="39">
        <v>20.0</v>
      </c>
      <c r="B23" s="40" t="s">
        <v>130</v>
      </c>
      <c r="C23" s="40" t="s">
        <v>131</v>
      </c>
      <c r="D23" s="40" t="s">
        <v>132</v>
      </c>
      <c r="E23" s="40" t="s">
        <v>133</v>
      </c>
      <c r="F23" s="39" t="str">
        <f t="shared" si="1"/>
        <v>CORRECT</v>
      </c>
      <c r="G23" s="39" t="s">
        <v>42</v>
      </c>
      <c r="H23" s="41" t="s">
        <v>42</v>
      </c>
      <c r="I23" s="42" t="s">
        <v>134</v>
      </c>
      <c r="J23" s="41">
        <v>12546.0</v>
      </c>
    </row>
    <row r="24" ht="60.0" customHeight="1">
      <c r="A24" s="39">
        <v>21.0</v>
      </c>
      <c r="B24" s="40" t="s">
        <v>135</v>
      </c>
      <c r="C24" s="40" t="s">
        <v>136</v>
      </c>
      <c r="D24" s="40" t="s">
        <v>137</v>
      </c>
      <c r="E24" s="40" t="s">
        <v>138</v>
      </c>
      <c r="F24" s="39" t="str">
        <f t="shared" si="1"/>
        <v>WRONG</v>
      </c>
      <c r="G24" s="39" t="s">
        <v>42</v>
      </c>
      <c r="H24" s="41" t="s">
        <v>36</v>
      </c>
      <c r="I24" s="42" t="s">
        <v>139</v>
      </c>
      <c r="J24" s="41">
        <v>21143.0</v>
      </c>
    </row>
    <row r="25" ht="60.0" customHeight="1">
      <c r="A25" s="39">
        <v>22.0</v>
      </c>
      <c r="B25" s="40" t="s">
        <v>140</v>
      </c>
      <c r="C25" s="40" t="s">
        <v>141</v>
      </c>
      <c r="D25" s="40" t="s">
        <v>142</v>
      </c>
      <c r="E25" s="40" t="s">
        <v>143</v>
      </c>
      <c r="F25" s="39" t="str">
        <f t="shared" si="1"/>
        <v>CORRECT</v>
      </c>
      <c r="G25" s="39" t="s">
        <v>42</v>
      </c>
      <c r="H25" s="41" t="s">
        <v>42</v>
      </c>
      <c r="I25" s="42" t="s">
        <v>144</v>
      </c>
      <c r="J25" s="41">
        <v>21640.0</v>
      </c>
    </row>
    <row r="26" ht="60.0" customHeight="1">
      <c r="A26" s="39">
        <v>23.0</v>
      </c>
      <c r="B26" s="40" t="s">
        <v>145</v>
      </c>
      <c r="C26" s="40" t="s">
        <v>146</v>
      </c>
      <c r="D26" s="40" t="s">
        <v>147</v>
      </c>
      <c r="E26" s="40" t="s">
        <v>148</v>
      </c>
      <c r="F26" s="39" t="str">
        <f t="shared" si="1"/>
        <v>CORRECT</v>
      </c>
      <c r="G26" s="39" t="s">
        <v>48</v>
      </c>
      <c r="H26" s="41" t="s">
        <v>48</v>
      </c>
      <c r="I26" s="42" t="s">
        <v>149</v>
      </c>
      <c r="J26" s="41">
        <v>21923.0</v>
      </c>
    </row>
    <row r="27" ht="60.0" customHeight="1">
      <c r="A27" s="39">
        <v>24.0</v>
      </c>
      <c r="B27" s="40" t="s">
        <v>150</v>
      </c>
      <c r="C27" s="40" t="s">
        <v>151</v>
      </c>
      <c r="D27" s="40" t="s">
        <v>152</v>
      </c>
      <c r="E27" s="40" t="s">
        <v>153</v>
      </c>
      <c r="F27" s="39" t="str">
        <f t="shared" si="1"/>
        <v>WRONG</v>
      </c>
      <c r="G27" s="39" t="s">
        <v>36</v>
      </c>
      <c r="H27" s="41" t="s">
        <v>48</v>
      </c>
      <c r="I27" s="42" t="s">
        <v>154</v>
      </c>
      <c r="J27" s="41">
        <v>20370.0</v>
      </c>
    </row>
    <row r="28" ht="60.0" customHeight="1">
      <c r="A28" s="39">
        <v>25.0</v>
      </c>
      <c r="B28" s="40" t="s">
        <v>155</v>
      </c>
      <c r="C28" s="40" t="s">
        <v>151</v>
      </c>
      <c r="D28" s="40" t="s">
        <v>156</v>
      </c>
      <c r="E28" s="40" t="s">
        <v>153</v>
      </c>
      <c r="F28" s="39" t="str">
        <f t="shared" si="1"/>
        <v>WRONG</v>
      </c>
      <c r="G28" s="39" t="s">
        <v>48</v>
      </c>
      <c r="H28" s="43" t="s">
        <v>42</v>
      </c>
      <c r="I28" s="42" t="s">
        <v>157</v>
      </c>
      <c r="J28" s="41">
        <v>18858.0</v>
      </c>
    </row>
    <row r="29" ht="60.0" customHeight="1">
      <c r="A29" s="39">
        <v>26.0</v>
      </c>
      <c r="B29" s="40" t="s">
        <v>158</v>
      </c>
      <c r="C29" s="40" t="s">
        <v>159</v>
      </c>
      <c r="D29" s="40" t="s">
        <v>160</v>
      </c>
      <c r="E29" s="40" t="s">
        <v>161</v>
      </c>
      <c r="F29" s="39" t="str">
        <f t="shared" si="1"/>
        <v>WRONG</v>
      </c>
      <c r="G29" s="39" t="s">
        <v>36</v>
      </c>
      <c r="H29" s="41" t="s">
        <v>48</v>
      </c>
      <c r="I29" s="42" t="s">
        <v>162</v>
      </c>
      <c r="J29" s="41">
        <v>20852.0</v>
      </c>
    </row>
    <row r="30" ht="60.0" customHeight="1">
      <c r="A30" s="39">
        <v>27.0</v>
      </c>
      <c r="B30" s="40" t="s">
        <v>163</v>
      </c>
      <c r="C30" s="40" t="s">
        <v>164</v>
      </c>
      <c r="D30" s="40" t="s">
        <v>165</v>
      </c>
      <c r="E30" s="40" t="s">
        <v>166</v>
      </c>
      <c r="F30" s="39" t="str">
        <f t="shared" si="1"/>
        <v>CORRECT</v>
      </c>
      <c r="G30" s="39" t="s">
        <v>42</v>
      </c>
      <c r="H30" s="41" t="s">
        <v>42</v>
      </c>
      <c r="I30" s="42" t="s">
        <v>167</v>
      </c>
      <c r="J30" s="41">
        <v>22013.0</v>
      </c>
    </row>
    <row r="31" ht="60.0" customHeight="1">
      <c r="A31" s="39">
        <v>28.0</v>
      </c>
      <c r="B31" s="40" t="s">
        <v>168</v>
      </c>
      <c r="C31" s="40" t="s">
        <v>169</v>
      </c>
      <c r="D31" s="40" t="s">
        <v>170</v>
      </c>
      <c r="E31" s="40" t="s">
        <v>171</v>
      </c>
      <c r="F31" s="39" t="str">
        <f t="shared" si="1"/>
        <v>WRONG</v>
      </c>
      <c r="G31" s="39" t="s">
        <v>36</v>
      </c>
      <c r="H31" s="43" t="s">
        <v>42</v>
      </c>
      <c r="I31" s="42" t="s">
        <v>172</v>
      </c>
      <c r="J31" s="41">
        <v>62183.0</v>
      </c>
    </row>
    <row r="32" ht="60.0" customHeight="1">
      <c r="A32" s="39">
        <v>29.0</v>
      </c>
      <c r="B32" s="40" t="s">
        <v>173</v>
      </c>
      <c r="C32" s="40" t="s">
        <v>174</v>
      </c>
      <c r="D32" s="40" t="s">
        <v>175</v>
      </c>
      <c r="E32" s="40" t="s">
        <v>176</v>
      </c>
      <c r="F32" s="39" t="str">
        <f t="shared" si="1"/>
        <v>CORRECT</v>
      </c>
      <c r="G32" s="39" t="s">
        <v>42</v>
      </c>
      <c r="H32" s="41" t="s">
        <v>42</v>
      </c>
      <c r="I32" s="42" t="s">
        <v>177</v>
      </c>
      <c r="J32" s="41">
        <v>25080.0</v>
      </c>
    </row>
    <row r="33" ht="60.0" customHeight="1">
      <c r="A33" s="39">
        <v>30.0</v>
      </c>
      <c r="B33" s="40" t="s">
        <v>178</v>
      </c>
      <c r="C33" s="40" t="s">
        <v>179</v>
      </c>
      <c r="D33" s="40" t="s">
        <v>180</v>
      </c>
      <c r="E33" s="40" t="s">
        <v>181</v>
      </c>
      <c r="F33" s="39" t="str">
        <f t="shared" si="1"/>
        <v>WRONG</v>
      </c>
      <c r="G33" s="39" t="s">
        <v>48</v>
      </c>
      <c r="H33" s="41" t="s">
        <v>36</v>
      </c>
      <c r="I33" s="42" t="s">
        <v>182</v>
      </c>
      <c r="J33" s="41">
        <v>23997.0</v>
      </c>
    </row>
    <row r="34" ht="60.0" customHeight="1">
      <c r="A34" s="39">
        <v>31.0</v>
      </c>
      <c r="B34" s="40" t="s">
        <v>183</v>
      </c>
      <c r="C34" s="40" t="s">
        <v>184</v>
      </c>
      <c r="D34" s="40" t="s">
        <v>185</v>
      </c>
      <c r="E34" s="40" t="s">
        <v>186</v>
      </c>
      <c r="F34" s="39" t="str">
        <f t="shared" si="1"/>
        <v>WRONG</v>
      </c>
      <c r="G34" s="39" t="s">
        <v>42</v>
      </c>
      <c r="H34" s="41" t="s">
        <v>36</v>
      </c>
      <c r="I34" s="42" t="s">
        <v>187</v>
      </c>
      <c r="J34" s="41">
        <v>28203.0</v>
      </c>
    </row>
    <row r="35" ht="60.0" customHeight="1">
      <c r="A35" s="39">
        <v>32.0</v>
      </c>
      <c r="B35" s="40" t="s">
        <v>188</v>
      </c>
      <c r="C35" s="40" t="s">
        <v>189</v>
      </c>
      <c r="D35" s="40" t="s">
        <v>190</v>
      </c>
      <c r="E35" s="40" t="s">
        <v>191</v>
      </c>
      <c r="F35" s="39" t="str">
        <f t="shared" si="1"/>
        <v>CORRECT</v>
      </c>
      <c r="G35" s="39" t="s">
        <v>36</v>
      </c>
      <c r="H35" s="41" t="s">
        <v>36</v>
      </c>
      <c r="I35" s="42" t="s">
        <v>192</v>
      </c>
      <c r="J35" s="41">
        <v>45296.0</v>
      </c>
    </row>
    <row r="36" ht="60.0" customHeight="1">
      <c r="A36" s="39">
        <v>33.0</v>
      </c>
      <c r="B36" s="40" t="s">
        <v>193</v>
      </c>
      <c r="C36" s="40" t="s">
        <v>194</v>
      </c>
      <c r="D36" s="40" t="s">
        <v>195</v>
      </c>
      <c r="E36" s="40" t="s">
        <v>196</v>
      </c>
      <c r="F36" s="39" t="str">
        <f t="shared" si="1"/>
        <v>CORRECT</v>
      </c>
      <c r="G36" s="39" t="s">
        <v>48</v>
      </c>
      <c r="H36" s="43" t="s">
        <v>48</v>
      </c>
      <c r="I36" s="42" t="s">
        <v>197</v>
      </c>
      <c r="J36" s="41">
        <v>43452.0</v>
      </c>
    </row>
    <row r="37" ht="60.0" customHeight="1">
      <c r="A37" s="39">
        <v>34.0</v>
      </c>
      <c r="B37" s="40" t="s">
        <v>198</v>
      </c>
      <c r="C37" s="40" t="s">
        <v>199</v>
      </c>
      <c r="D37" s="40" t="s">
        <v>200</v>
      </c>
      <c r="E37" s="40" t="s">
        <v>201</v>
      </c>
      <c r="F37" s="39" t="str">
        <f t="shared" si="1"/>
        <v>CORRECT</v>
      </c>
      <c r="G37" s="39" t="s">
        <v>36</v>
      </c>
      <c r="H37" s="41" t="s">
        <v>36</v>
      </c>
      <c r="I37" s="42" t="s">
        <v>202</v>
      </c>
      <c r="J37" s="41">
        <v>23610.0</v>
      </c>
    </row>
    <row r="38" ht="60.0" customHeight="1">
      <c r="A38" s="39">
        <v>35.0</v>
      </c>
      <c r="B38" s="40" t="s">
        <v>203</v>
      </c>
      <c r="C38" s="40" t="s">
        <v>204</v>
      </c>
      <c r="D38" s="40" t="s">
        <v>205</v>
      </c>
      <c r="E38" s="40" t="s">
        <v>206</v>
      </c>
      <c r="F38" s="39" t="str">
        <f t="shared" si="1"/>
        <v>CORRECT</v>
      </c>
      <c r="G38" s="39" t="s">
        <v>48</v>
      </c>
      <c r="H38" s="41" t="s">
        <v>48</v>
      </c>
      <c r="I38" s="42" t="s">
        <v>207</v>
      </c>
      <c r="J38" s="41">
        <v>25935.0</v>
      </c>
    </row>
    <row r="39" ht="60.0" customHeight="1">
      <c r="A39" s="39">
        <v>36.0</v>
      </c>
      <c r="B39" s="40" t="s">
        <v>208</v>
      </c>
      <c r="C39" s="40" t="s">
        <v>209</v>
      </c>
      <c r="D39" s="40" t="s">
        <v>210</v>
      </c>
      <c r="E39" s="40" t="s">
        <v>211</v>
      </c>
      <c r="F39" s="39" t="str">
        <f t="shared" si="1"/>
        <v>CORRECT</v>
      </c>
      <c r="G39" s="39" t="s">
        <v>36</v>
      </c>
      <c r="H39" s="41" t="s">
        <v>36</v>
      </c>
      <c r="I39" s="42" t="s">
        <v>212</v>
      </c>
      <c r="J39" s="41">
        <v>19805.0</v>
      </c>
    </row>
    <row r="40" ht="60.0" customHeight="1">
      <c r="A40" s="39">
        <v>37.0</v>
      </c>
      <c r="B40" s="40" t="s">
        <v>213</v>
      </c>
      <c r="C40" s="40" t="s">
        <v>214</v>
      </c>
      <c r="D40" s="40" t="s">
        <v>215</v>
      </c>
      <c r="E40" s="40" t="s">
        <v>216</v>
      </c>
      <c r="F40" s="39" t="str">
        <f t="shared" si="1"/>
        <v>WRONG</v>
      </c>
      <c r="G40" s="39" t="s">
        <v>36</v>
      </c>
      <c r="H40" s="41" t="s">
        <v>42</v>
      </c>
      <c r="I40" s="42" t="s">
        <v>217</v>
      </c>
      <c r="J40" s="41">
        <v>16597.0</v>
      </c>
    </row>
    <row r="41" ht="60.0" customHeight="1">
      <c r="A41" s="39">
        <v>38.0</v>
      </c>
      <c r="B41" s="40" t="s">
        <v>218</v>
      </c>
      <c r="C41" s="40" t="s">
        <v>219</v>
      </c>
      <c r="D41" s="40" t="s">
        <v>220</v>
      </c>
      <c r="E41" s="40" t="s">
        <v>221</v>
      </c>
      <c r="F41" s="39" t="str">
        <f t="shared" si="1"/>
        <v>CORRECT</v>
      </c>
      <c r="G41" s="39" t="s">
        <v>36</v>
      </c>
      <c r="H41" s="41" t="s">
        <v>36</v>
      </c>
      <c r="I41" s="42" t="s">
        <v>222</v>
      </c>
      <c r="J41" s="41">
        <v>25553.0</v>
      </c>
    </row>
    <row r="42" ht="60.0" customHeight="1">
      <c r="A42" s="39">
        <v>39.0</v>
      </c>
      <c r="B42" s="40" t="s">
        <v>223</v>
      </c>
      <c r="C42" s="40" t="s">
        <v>224</v>
      </c>
      <c r="D42" s="40" t="s">
        <v>225</v>
      </c>
      <c r="E42" s="40" t="s">
        <v>226</v>
      </c>
      <c r="F42" s="39" t="str">
        <f t="shared" si="1"/>
        <v>WRONG</v>
      </c>
      <c r="G42" s="39" t="s">
        <v>42</v>
      </c>
      <c r="H42" s="41" t="s">
        <v>48</v>
      </c>
      <c r="I42" s="42" t="s">
        <v>227</v>
      </c>
      <c r="J42" s="41">
        <v>26683.0</v>
      </c>
    </row>
    <row r="43" ht="60.0" customHeight="1">
      <c r="A43" s="39">
        <v>40.0</v>
      </c>
      <c r="B43" s="40" t="s">
        <v>228</v>
      </c>
      <c r="C43" s="40" t="s">
        <v>229</v>
      </c>
      <c r="D43" s="40" t="s">
        <v>230</v>
      </c>
      <c r="E43" s="40" t="s">
        <v>231</v>
      </c>
      <c r="F43" s="39" t="str">
        <f t="shared" si="1"/>
        <v>CORRECT</v>
      </c>
      <c r="G43" s="39" t="s">
        <v>48</v>
      </c>
      <c r="H43" s="41" t="s">
        <v>48</v>
      </c>
      <c r="I43" s="42" t="s">
        <v>232</v>
      </c>
      <c r="J43" s="41">
        <v>37504.0</v>
      </c>
    </row>
    <row r="44" ht="60.0" customHeight="1">
      <c r="A44" s="39">
        <v>41.0</v>
      </c>
      <c r="B44" s="40" t="s">
        <v>233</v>
      </c>
      <c r="C44" s="40" t="s">
        <v>234</v>
      </c>
      <c r="D44" s="40" t="s">
        <v>235</v>
      </c>
      <c r="E44" s="40" t="s">
        <v>236</v>
      </c>
      <c r="F44" s="39" t="str">
        <f t="shared" si="1"/>
        <v>CORRECT</v>
      </c>
      <c r="G44" s="39" t="s">
        <v>42</v>
      </c>
      <c r="H44" s="41" t="s">
        <v>42</v>
      </c>
      <c r="I44" s="42" t="s">
        <v>237</v>
      </c>
      <c r="J44" s="41">
        <v>19604.0</v>
      </c>
    </row>
    <row r="45" ht="60.0" customHeight="1">
      <c r="A45" s="39">
        <v>42.0</v>
      </c>
      <c r="B45" s="40" t="s">
        <v>238</v>
      </c>
      <c r="C45" s="40" t="s">
        <v>239</v>
      </c>
      <c r="D45" s="40" t="s">
        <v>240</v>
      </c>
      <c r="E45" s="40" t="s">
        <v>241</v>
      </c>
      <c r="F45" s="39" t="str">
        <f t="shared" si="1"/>
        <v>WRONG</v>
      </c>
      <c r="G45" s="39" t="s">
        <v>36</v>
      </c>
      <c r="H45" s="41" t="s">
        <v>42</v>
      </c>
      <c r="I45" s="42" t="s">
        <v>242</v>
      </c>
      <c r="J45" s="41">
        <v>25901.0</v>
      </c>
    </row>
    <row r="46" ht="60.0" customHeight="1">
      <c r="A46" s="39">
        <v>43.0</v>
      </c>
      <c r="B46" s="40" t="s">
        <v>243</v>
      </c>
      <c r="C46" s="40" t="s">
        <v>244</v>
      </c>
      <c r="D46" s="40" t="s">
        <v>245</v>
      </c>
      <c r="E46" s="40" t="s">
        <v>246</v>
      </c>
      <c r="F46" s="39" t="str">
        <f t="shared" si="1"/>
        <v>WRONG</v>
      </c>
      <c r="G46" s="39" t="s">
        <v>48</v>
      </c>
      <c r="H46" s="41" t="s">
        <v>36</v>
      </c>
      <c r="I46" s="42" t="s">
        <v>247</v>
      </c>
      <c r="J46" s="41">
        <v>28901.0</v>
      </c>
    </row>
    <row r="47" ht="60.0" customHeight="1">
      <c r="A47" s="39">
        <v>44.0</v>
      </c>
      <c r="B47" s="40" t="s">
        <v>248</v>
      </c>
      <c r="C47" s="40" t="s">
        <v>249</v>
      </c>
      <c r="D47" s="40" t="s">
        <v>250</v>
      </c>
      <c r="E47" s="40" t="s">
        <v>251</v>
      </c>
      <c r="F47" s="39" t="str">
        <f t="shared" si="1"/>
        <v>WRONG</v>
      </c>
      <c r="G47" s="39" t="s">
        <v>36</v>
      </c>
      <c r="H47" s="41" t="s">
        <v>48</v>
      </c>
      <c r="I47" s="42" t="s">
        <v>252</v>
      </c>
      <c r="J47" s="41">
        <v>28791.0</v>
      </c>
    </row>
    <row r="48" ht="60.0" customHeight="1">
      <c r="A48" s="39">
        <v>45.0</v>
      </c>
      <c r="B48" s="40" t="s">
        <v>253</v>
      </c>
      <c r="C48" s="40" t="s">
        <v>254</v>
      </c>
      <c r="D48" s="40" t="s">
        <v>255</v>
      </c>
      <c r="E48" s="40" t="s">
        <v>256</v>
      </c>
      <c r="F48" s="39" t="str">
        <f t="shared" si="1"/>
        <v>CORRECT</v>
      </c>
      <c r="G48" s="39" t="s">
        <v>36</v>
      </c>
      <c r="H48" s="41" t="s">
        <v>36</v>
      </c>
      <c r="I48" s="42" t="s">
        <v>257</v>
      </c>
      <c r="J48" s="41">
        <v>26274.0</v>
      </c>
    </row>
    <row r="49" ht="60.0" customHeight="1">
      <c r="A49" s="39">
        <v>46.0</v>
      </c>
      <c r="B49" s="40" t="s">
        <v>258</v>
      </c>
      <c r="C49" s="40" t="s">
        <v>39</v>
      </c>
      <c r="D49" s="40" t="s">
        <v>259</v>
      </c>
      <c r="E49" s="40" t="s">
        <v>260</v>
      </c>
      <c r="F49" s="39" t="str">
        <f t="shared" si="1"/>
        <v>CORRECT</v>
      </c>
      <c r="G49" s="39" t="s">
        <v>36</v>
      </c>
      <c r="H49" s="41" t="s">
        <v>36</v>
      </c>
      <c r="I49" s="42" t="s">
        <v>261</v>
      </c>
      <c r="J49" s="41">
        <v>24661.0</v>
      </c>
    </row>
    <row r="50">
      <c r="A50" s="44" t="s">
        <v>262</v>
      </c>
      <c r="B50" s="2"/>
      <c r="C50" s="2"/>
      <c r="D50" s="2"/>
      <c r="E50" s="3"/>
      <c r="F50" s="45">
        <f>COUNTIFS(F4:F49,"CORRECT")</f>
        <v>26</v>
      </c>
      <c r="G50" s="46"/>
      <c r="H50" s="46"/>
      <c r="J50" s="47">
        <f>AVERAGE(J4:J49)</f>
        <v>27641.1087</v>
      </c>
    </row>
    <row r="51">
      <c r="A51" s="48" t="s">
        <v>263</v>
      </c>
      <c r="B51" s="2"/>
      <c r="C51" s="2"/>
      <c r="D51" s="2"/>
      <c r="E51" s="3"/>
      <c r="F51" s="49">
        <v>46.0</v>
      </c>
      <c r="G51" s="46"/>
      <c r="H51" s="46"/>
    </row>
    <row r="52">
      <c r="A52" s="44" t="s">
        <v>264</v>
      </c>
      <c r="B52" s="2"/>
      <c r="C52" s="2"/>
      <c r="D52" s="2"/>
      <c r="E52" s="3"/>
      <c r="F52" s="50">
        <f>F50/F51</f>
        <v>0.5652173913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275</v>
      </c>
      <c r="C2" s="2"/>
      <c r="D2" s="2"/>
      <c r="E2" s="2"/>
      <c r="F2" s="2"/>
      <c r="G2" s="2"/>
      <c r="H2" s="3"/>
      <c r="I2" s="37" t="s">
        <v>276</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42" t="s">
        <v>37</v>
      </c>
      <c r="J4" s="41">
        <v>33476.0</v>
      </c>
    </row>
    <row r="5" ht="60.0" customHeight="1">
      <c r="A5" s="39">
        <v>2.0</v>
      </c>
      <c r="B5" s="40" t="s">
        <v>38</v>
      </c>
      <c r="C5" s="40" t="s">
        <v>39</v>
      </c>
      <c r="D5" s="40" t="s">
        <v>40</v>
      </c>
      <c r="E5" s="40" t="s">
        <v>41</v>
      </c>
      <c r="F5" s="39" t="str">
        <f t="shared" si="1"/>
        <v>CORRECT</v>
      </c>
      <c r="G5" s="39" t="s">
        <v>42</v>
      </c>
      <c r="H5" s="41" t="s">
        <v>42</v>
      </c>
      <c r="I5" s="42" t="s">
        <v>277</v>
      </c>
      <c r="J5" s="41">
        <v>37121.0</v>
      </c>
    </row>
    <row r="6" ht="60.0" customHeight="1">
      <c r="A6" s="39">
        <v>3.0</v>
      </c>
      <c r="B6" s="40" t="s">
        <v>44</v>
      </c>
      <c r="C6" s="40" t="s">
        <v>45</v>
      </c>
      <c r="D6" s="40" t="s">
        <v>46</v>
      </c>
      <c r="E6" s="40" t="s">
        <v>47</v>
      </c>
      <c r="F6" s="39" t="str">
        <f t="shared" si="1"/>
        <v>CORRECT</v>
      </c>
      <c r="G6" s="39" t="s">
        <v>48</v>
      </c>
      <c r="H6" s="41" t="s">
        <v>48</v>
      </c>
      <c r="I6" s="42" t="s">
        <v>278</v>
      </c>
      <c r="J6" s="41">
        <v>22804.0</v>
      </c>
    </row>
    <row r="7" ht="60.0" customHeight="1">
      <c r="A7" s="39">
        <v>4.0</v>
      </c>
      <c r="B7" s="40" t="s">
        <v>50</v>
      </c>
      <c r="C7" s="40" t="s">
        <v>51</v>
      </c>
      <c r="D7" s="40" t="s">
        <v>52</v>
      </c>
      <c r="E7" s="40" t="s">
        <v>53</v>
      </c>
      <c r="F7" s="39" t="str">
        <f t="shared" si="1"/>
        <v>CORRECT</v>
      </c>
      <c r="G7" s="39" t="s">
        <v>42</v>
      </c>
      <c r="H7" s="41" t="s">
        <v>42</v>
      </c>
      <c r="I7" s="42" t="s">
        <v>54</v>
      </c>
      <c r="J7" s="41">
        <v>20895.0</v>
      </c>
    </row>
    <row r="8" ht="60.0" customHeight="1">
      <c r="A8" s="39">
        <v>5.0</v>
      </c>
      <c r="B8" s="40" t="s">
        <v>55</v>
      </c>
      <c r="C8" s="40" t="s">
        <v>56</v>
      </c>
      <c r="D8" s="40" t="s">
        <v>57</v>
      </c>
      <c r="E8" s="40" t="s">
        <v>58</v>
      </c>
      <c r="F8" s="39" t="str">
        <f t="shared" si="1"/>
        <v>CORRECT</v>
      </c>
      <c r="G8" s="39" t="s">
        <v>48</v>
      </c>
      <c r="H8" s="41" t="s">
        <v>48</v>
      </c>
      <c r="I8" s="42" t="s">
        <v>279</v>
      </c>
      <c r="J8" s="41">
        <v>45469.0</v>
      </c>
    </row>
    <row r="9" ht="60.0" customHeight="1">
      <c r="A9" s="39">
        <v>6.0</v>
      </c>
      <c r="B9" s="40" t="s">
        <v>60</v>
      </c>
      <c r="C9" s="40" t="s">
        <v>61</v>
      </c>
      <c r="D9" s="40" t="s">
        <v>62</v>
      </c>
      <c r="E9" s="40" t="s">
        <v>63</v>
      </c>
      <c r="F9" s="39" t="str">
        <f t="shared" si="1"/>
        <v>CORRECT</v>
      </c>
      <c r="G9" s="39" t="s">
        <v>42</v>
      </c>
      <c r="H9" s="41" t="s">
        <v>42</v>
      </c>
      <c r="I9" s="42" t="s">
        <v>268</v>
      </c>
      <c r="J9" s="41">
        <v>24698.0</v>
      </c>
    </row>
    <row r="10" ht="60.0" customHeight="1">
      <c r="A10" s="39">
        <v>7.0</v>
      </c>
      <c r="B10" s="40" t="s">
        <v>65</v>
      </c>
      <c r="C10" s="40" t="s">
        <v>66</v>
      </c>
      <c r="D10" s="40" t="s">
        <v>67</v>
      </c>
      <c r="E10" s="40" t="s">
        <v>68</v>
      </c>
      <c r="F10" s="39" t="str">
        <f t="shared" si="1"/>
        <v>WRONG</v>
      </c>
      <c r="G10" s="39" t="s">
        <v>42</v>
      </c>
      <c r="H10" s="41" t="s">
        <v>36</v>
      </c>
      <c r="I10" s="42" t="s">
        <v>280</v>
      </c>
      <c r="J10" s="41">
        <v>26155.0</v>
      </c>
    </row>
    <row r="11" ht="60.0" customHeight="1">
      <c r="A11" s="39">
        <v>8.0</v>
      </c>
      <c r="B11" s="40" t="s">
        <v>70</v>
      </c>
      <c r="C11" s="40" t="s">
        <v>71</v>
      </c>
      <c r="D11" s="40" t="s">
        <v>72</v>
      </c>
      <c r="E11" s="40" t="s">
        <v>73</v>
      </c>
      <c r="F11" s="39" t="str">
        <f t="shared" si="1"/>
        <v>WRONG</v>
      </c>
      <c r="G11" s="39" t="s">
        <v>48</v>
      </c>
      <c r="H11" s="41" t="s">
        <v>42</v>
      </c>
      <c r="I11" s="42" t="s">
        <v>74</v>
      </c>
      <c r="J11" s="41">
        <v>30479.0</v>
      </c>
    </row>
    <row r="12" ht="60.0" customHeight="1">
      <c r="A12" s="39">
        <v>9.0</v>
      </c>
      <c r="B12" s="40" t="s">
        <v>75</v>
      </c>
      <c r="C12" s="40" t="s">
        <v>76</v>
      </c>
      <c r="D12" s="40" t="s">
        <v>77</v>
      </c>
      <c r="E12" s="40" t="s">
        <v>78</v>
      </c>
      <c r="F12" s="39" t="str">
        <f t="shared" si="1"/>
        <v>WRONG</v>
      </c>
      <c r="G12" s="39" t="s">
        <v>42</v>
      </c>
      <c r="H12" s="41" t="s">
        <v>48</v>
      </c>
      <c r="I12" s="42" t="s">
        <v>281</v>
      </c>
      <c r="J12" s="41">
        <v>32877.0</v>
      </c>
    </row>
    <row r="13" ht="60.0" customHeight="1">
      <c r="A13" s="39">
        <v>10.0</v>
      </c>
      <c r="B13" s="40" t="s">
        <v>80</v>
      </c>
      <c r="C13" s="40" t="s">
        <v>81</v>
      </c>
      <c r="D13" s="40" t="s">
        <v>82</v>
      </c>
      <c r="E13" s="40" t="s">
        <v>83</v>
      </c>
      <c r="F13" s="39" t="str">
        <f t="shared" si="1"/>
        <v>CORRECT</v>
      </c>
      <c r="G13" s="39" t="s">
        <v>48</v>
      </c>
      <c r="H13" s="41" t="s">
        <v>48</v>
      </c>
      <c r="I13" s="42" t="s">
        <v>282</v>
      </c>
      <c r="J13" s="41">
        <v>32289.0</v>
      </c>
    </row>
    <row r="14" ht="60.0" customHeight="1">
      <c r="A14" s="39">
        <v>11.0</v>
      </c>
      <c r="B14" s="40" t="s">
        <v>85</v>
      </c>
      <c r="C14" s="40" t="s">
        <v>86</v>
      </c>
      <c r="D14" s="40" t="s">
        <v>87</v>
      </c>
      <c r="E14" s="40" t="s">
        <v>88</v>
      </c>
      <c r="F14" s="39" t="str">
        <f t="shared" si="1"/>
        <v>WRONG</v>
      </c>
      <c r="G14" s="39" t="s">
        <v>42</v>
      </c>
      <c r="H14" s="41" t="s">
        <v>48</v>
      </c>
      <c r="I14" s="42" t="s">
        <v>283</v>
      </c>
      <c r="J14" s="41">
        <v>47444.0</v>
      </c>
    </row>
    <row r="15" ht="60.0" customHeight="1">
      <c r="A15" s="39">
        <v>12.0</v>
      </c>
      <c r="B15" s="40" t="s">
        <v>90</v>
      </c>
      <c r="C15" s="40" t="s">
        <v>91</v>
      </c>
      <c r="D15" s="40" t="s">
        <v>92</v>
      </c>
      <c r="E15" s="40" t="s">
        <v>93</v>
      </c>
      <c r="F15" s="39" t="str">
        <f t="shared" si="1"/>
        <v>CORRECT</v>
      </c>
      <c r="G15" s="39" t="s">
        <v>48</v>
      </c>
      <c r="H15" s="41" t="s">
        <v>48</v>
      </c>
      <c r="I15" s="42" t="s">
        <v>284</v>
      </c>
      <c r="J15" s="41">
        <v>39560.0</v>
      </c>
    </row>
    <row r="16" ht="60.0" customHeight="1">
      <c r="A16" s="39">
        <v>13.0</v>
      </c>
      <c r="B16" s="40" t="s">
        <v>95</v>
      </c>
      <c r="C16" s="40" t="s">
        <v>96</v>
      </c>
      <c r="D16" s="40" t="s">
        <v>97</v>
      </c>
      <c r="E16" s="40" t="s">
        <v>98</v>
      </c>
      <c r="F16" s="39" t="str">
        <f t="shared" si="1"/>
        <v>CORRECT</v>
      </c>
      <c r="G16" s="39" t="s">
        <v>36</v>
      </c>
      <c r="H16" s="41" t="s">
        <v>36</v>
      </c>
      <c r="I16" s="42" t="s">
        <v>99</v>
      </c>
      <c r="J16" s="41">
        <v>23088.0</v>
      </c>
    </row>
    <row r="17" ht="60.0" customHeight="1">
      <c r="A17" s="39">
        <v>14.0</v>
      </c>
      <c r="B17" s="40" t="s">
        <v>100</v>
      </c>
      <c r="C17" s="40" t="s">
        <v>101</v>
      </c>
      <c r="D17" s="40" t="s">
        <v>102</v>
      </c>
      <c r="E17" s="40" t="s">
        <v>103</v>
      </c>
      <c r="F17" s="39" t="str">
        <f t="shared" si="1"/>
        <v>WRONG</v>
      </c>
      <c r="G17" s="39" t="s">
        <v>36</v>
      </c>
      <c r="H17" s="41" t="s">
        <v>48</v>
      </c>
      <c r="I17" s="42" t="s">
        <v>274</v>
      </c>
      <c r="J17" s="41">
        <v>22050.0</v>
      </c>
    </row>
    <row r="18" ht="60.0" customHeight="1">
      <c r="A18" s="39">
        <v>15.0</v>
      </c>
      <c r="B18" s="40" t="s">
        <v>105</v>
      </c>
      <c r="C18" s="40" t="s">
        <v>106</v>
      </c>
      <c r="D18" s="40" t="s">
        <v>107</v>
      </c>
      <c r="E18" s="40" t="s">
        <v>108</v>
      </c>
      <c r="F18" s="39" t="str">
        <f t="shared" si="1"/>
        <v>CORRECT</v>
      </c>
      <c r="G18" s="39" t="s">
        <v>48</v>
      </c>
      <c r="H18" s="41" t="s">
        <v>48</v>
      </c>
      <c r="I18" s="42" t="s">
        <v>285</v>
      </c>
      <c r="J18" s="41">
        <v>30605.0</v>
      </c>
    </row>
    <row r="19" ht="60.0" customHeight="1">
      <c r="A19" s="39">
        <v>16.0</v>
      </c>
      <c r="B19" s="40" t="s">
        <v>110</v>
      </c>
      <c r="C19" s="40" t="s">
        <v>111</v>
      </c>
      <c r="D19" s="40" t="s">
        <v>112</v>
      </c>
      <c r="E19" s="40" t="s">
        <v>113</v>
      </c>
      <c r="F19" s="39" t="str">
        <f t="shared" si="1"/>
        <v>WRONG</v>
      </c>
      <c r="G19" s="39" t="s">
        <v>48</v>
      </c>
      <c r="H19" s="41" t="s">
        <v>36</v>
      </c>
      <c r="I19" s="42" t="s">
        <v>114</v>
      </c>
      <c r="J19" s="41">
        <v>25264.0</v>
      </c>
    </row>
    <row r="20" ht="60.0" customHeight="1">
      <c r="A20" s="39">
        <v>17.0</v>
      </c>
      <c r="B20" s="40" t="s">
        <v>115</v>
      </c>
      <c r="C20" s="40" t="s">
        <v>116</v>
      </c>
      <c r="D20" s="40" t="s">
        <v>117</v>
      </c>
      <c r="E20" s="40" t="s">
        <v>118</v>
      </c>
      <c r="F20" s="39" t="str">
        <f t="shared" si="1"/>
        <v>WRONG</v>
      </c>
      <c r="G20" s="39" t="s">
        <v>42</v>
      </c>
      <c r="H20" s="41" t="s">
        <v>36</v>
      </c>
      <c r="I20" s="42" t="s">
        <v>286</v>
      </c>
      <c r="J20" s="41">
        <v>28861.0</v>
      </c>
    </row>
    <row r="21" ht="60.0" customHeight="1">
      <c r="A21" s="39">
        <v>18.0</v>
      </c>
      <c r="B21" s="40" t="s">
        <v>120</v>
      </c>
      <c r="C21" s="40" t="s">
        <v>121</v>
      </c>
      <c r="D21" s="40" t="s">
        <v>122</v>
      </c>
      <c r="E21" s="40" t="s">
        <v>123</v>
      </c>
      <c r="F21" s="39" t="str">
        <f t="shared" si="1"/>
        <v>CORRECT</v>
      </c>
      <c r="G21" s="39" t="s">
        <v>42</v>
      </c>
      <c r="H21" s="41" t="s">
        <v>42</v>
      </c>
      <c r="I21" s="42" t="s">
        <v>287</v>
      </c>
      <c r="J21" s="41">
        <v>24931.0</v>
      </c>
    </row>
    <row r="22" ht="60.0" customHeight="1">
      <c r="A22" s="39">
        <v>19.0</v>
      </c>
      <c r="B22" s="40" t="s">
        <v>125</v>
      </c>
      <c r="C22" s="40" t="s">
        <v>126</v>
      </c>
      <c r="D22" s="40" t="s">
        <v>127</v>
      </c>
      <c r="E22" s="40" t="s">
        <v>128</v>
      </c>
      <c r="F22" s="39" t="str">
        <f t="shared" si="1"/>
        <v>WRONG</v>
      </c>
      <c r="G22" s="39" t="s">
        <v>36</v>
      </c>
      <c r="H22" s="52"/>
      <c r="I22" s="42" t="s">
        <v>129</v>
      </c>
      <c r="J22" s="41">
        <v>30214.0</v>
      </c>
    </row>
    <row r="23" ht="60.0" customHeight="1">
      <c r="A23" s="39">
        <v>20.0</v>
      </c>
      <c r="B23" s="40" t="s">
        <v>130</v>
      </c>
      <c r="C23" s="40" t="s">
        <v>131</v>
      </c>
      <c r="D23" s="40" t="s">
        <v>132</v>
      </c>
      <c r="E23" s="40" t="s">
        <v>133</v>
      </c>
      <c r="F23" s="39" t="str">
        <f t="shared" si="1"/>
        <v>CORRECT</v>
      </c>
      <c r="G23" s="39" t="s">
        <v>42</v>
      </c>
      <c r="H23" s="41" t="s">
        <v>42</v>
      </c>
      <c r="I23" s="42" t="s">
        <v>134</v>
      </c>
      <c r="J23" s="41">
        <v>12379.0</v>
      </c>
    </row>
    <row r="24" ht="60.0" customHeight="1">
      <c r="A24" s="39">
        <v>21.0</v>
      </c>
      <c r="B24" s="40" t="s">
        <v>135</v>
      </c>
      <c r="C24" s="40" t="s">
        <v>136</v>
      </c>
      <c r="D24" s="40" t="s">
        <v>137</v>
      </c>
      <c r="E24" s="40" t="s">
        <v>138</v>
      </c>
      <c r="F24" s="39" t="str">
        <f t="shared" si="1"/>
        <v>WRONG</v>
      </c>
      <c r="G24" s="39" t="s">
        <v>42</v>
      </c>
      <c r="H24" s="41" t="s">
        <v>36</v>
      </c>
      <c r="I24" s="42" t="s">
        <v>139</v>
      </c>
      <c r="J24" s="41">
        <v>21107.0</v>
      </c>
    </row>
    <row r="25" ht="60.0" customHeight="1">
      <c r="A25" s="39">
        <v>22.0</v>
      </c>
      <c r="B25" s="40" t="s">
        <v>140</v>
      </c>
      <c r="C25" s="40" t="s">
        <v>141</v>
      </c>
      <c r="D25" s="40" t="s">
        <v>142</v>
      </c>
      <c r="E25" s="40" t="s">
        <v>143</v>
      </c>
      <c r="F25" s="39" t="str">
        <f t="shared" si="1"/>
        <v>CORRECT</v>
      </c>
      <c r="G25" s="39" t="s">
        <v>42</v>
      </c>
      <c r="H25" s="41" t="s">
        <v>42</v>
      </c>
      <c r="I25" s="42" t="s">
        <v>288</v>
      </c>
      <c r="J25" s="41">
        <v>17828.0</v>
      </c>
    </row>
    <row r="26" ht="60.0" customHeight="1">
      <c r="A26" s="39">
        <v>23.0</v>
      </c>
      <c r="B26" s="40" t="s">
        <v>145</v>
      </c>
      <c r="C26" s="40" t="s">
        <v>146</v>
      </c>
      <c r="D26" s="40" t="s">
        <v>147</v>
      </c>
      <c r="E26" s="40" t="s">
        <v>148</v>
      </c>
      <c r="F26" s="39" t="str">
        <f t="shared" si="1"/>
        <v>CORRECT</v>
      </c>
      <c r="G26" s="39" t="s">
        <v>48</v>
      </c>
      <c r="H26" s="41" t="s">
        <v>48</v>
      </c>
      <c r="I26" s="42" t="s">
        <v>149</v>
      </c>
      <c r="J26" s="41">
        <v>21867.0</v>
      </c>
    </row>
    <row r="27" ht="60.0" customHeight="1">
      <c r="A27" s="39">
        <v>24.0</v>
      </c>
      <c r="B27" s="40" t="s">
        <v>150</v>
      </c>
      <c r="C27" s="40" t="s">
        <v>151</v>
      </c>
      <c r="D27" s="40" t="s">
        <v>152</v>
      </c>
      <c r="E27" s="40" t="s">
        <v>153</v>
      </c>
      <c r="F27" s="39" t="str">
        <f t="shared" si="1"/>
        <v>WRONG</v>
      </c>
      <c r="G27" s="39" t="s">
        <v>36</v>
      </c>
      <c r="H27" s="41" t="s">
        <v>48</v>
      </c>
      <c r="I27" s="42" t="s">
        <v>289</v>
      </c>
      <c r="J27" s="41">
        <v>20440.0</v>
      </c>
    </row>
    <row r="28" ht="60.0" customHeight="1">
      <c r="A28" s="39">
        <v>25.0</v>
      </c>
      <c r="B28" s="40" t="s">
        <v>155</v>
      </c>
      <c r="C28" s="40" t="s">
        <v>151</v>
      </c>
      <c r="D28" s="40" t="s">
        <v>156</v>
      </c>
      <c r="E28" s="40" t="s">
        <v>153</v>
      </c>
      <c r="F28" s="39" t="str">
        <f t="shared" si="1"/>
        <v>WRONG</v>
      </c>
      <c r="G28" s="39" t="s">
        <v>48</v>
      </c>
      <c r="H28" s="52"/>
      <c r="I28" s="42" t="s">
        <v>157</v>
      </c>
      <c r="J28" s="41">
        <v>18862.0</v>
      </c>
    </row>
    <row r="29" ht="60.0" customHeight="1">
      <c r="A29" s="39">
        <v>26.0</v>
      </c>
      <c r="B29" s="40" t="s">
        <v>158</v>
      </c>
      <c r="C29" s="40" t="s">
        <v>159</v>
      </c>
      <c r="D29" s="40" t="s">
        <v>160</v>
      </c>
      <c r="E29" s="40" t="s">
        <v>161</v>
      </c>
      <c r="F29" s="39" t="str">
        <f t="shared" si="1"/>
        <v>WRONG</v>
      </c>
      <c r="G29" s="39" t="s">
        <v>36</v>
      </c>
      <c r="H29" s="41" t="s">
        <v>48</v>
      </c>
      <c r="I29" s="42" t="s">
        <v>290</v>
      </c>
      <c r="J29" s="41">
        <v>19623.0</v>
      </c>
    </row>
    <row r="30" ht="60.0" customHeight="1">
      <c r="A30" s="39">
        <v>27.0</v>
      </c>
      <c r="B30" s="40" t="s">
        <v>163</v>
      </c>
      <c r="C30" s="40" t="s">
        <v>164</v>
      </c>
      <c r="D30" s="40" t="s">
        <v>165</v>
      </c>
      <c r="E30" s="40" t="s">
        <v>166</v>
      </c>
      <c r="F30" s="39" t="str">
        <f t="shared" si="1"/>
        <v>CORRECT</v>
      </c>
      <c r="G30" s="39" t="s">
        <v>42</v>
      </c>
      <c r="H30" s="41" t="s">
        <v>42</v>
      </c>
      <c r="I30" s="42" t="s">
        <v>167</v>
      </c>
      <c r="J30" s="41">
        <v>22006.0</v>
      </c>
    </row>
    <row r="31" ht="60.0" customHeight="1">
      <c r="A31" s="39">
        <v>28.0</v>
      </c>
      <c r="B31" s="40" t="s">
        <v>168</v>
      </c>
      <c r="C31" s="40" t="s">
        <v>169</v>
      </c>
      <c r="D31" s="40" t="s">
        <v>170</v>
      </c>
      <c r="E31" s="40" t="s">
        <v>171</v>
      </c>
      <c r="F31" s="39" t="str">
        <f t="shared" si="1"/>
        <v>WRONG</v>
      </c>
      <c r="G31" s="39" t="s">
        <v>36</v>
      </c>
      <c r="H31" s="52"/>
      <c r="I31" s="42" t="s">
        <v>291</v>
      </c>
      <c r="J31" s="41">
        <v>41592.0</v>
      </c>
    </row>
    <row r="32" ht="60.0" customHeight="1">
      <c r="A32" s="39">
        <v>29.0</v>
      </c>
      <c r="B32" s="40" t="s">
        <v>173</v>
      </c>
      <c r="C32" s="40" t="s">
        <v>174</v>
      </c>
      <c r="D32" s="40" t="s">
        <v>175</v>
      </c>
      <c r="E32" s="40" t="s">
        <v>176</v>
      </c>
      <c r="F32" s="39" t="str">
        <f t="shared" si="1"/>
        <v>CORRECT</v>
      </c>
      <c r="G32" s="39" t="s">
        <v>42</v>
      </c>
      <c r="H32" s="41" t="s">
        <v>42</v>
      </c>
      <c r="I32" s="42" t="s">
        <v>177</v>
      </c>
      <c r="J32" s="41">
        <v>25487.0</v>
      </c>
    </row>
    <row r="33" ht="60.0" customHeight="1">
      <c r="A33" s="39">
        <v>30.0</v>
      </c>
      <c r="B33" s="40" t="s">
        <v>178</v>
      </c>
      <c r="C33" s="40" t="s">
        <v>179</v>
      </c>
      <c r="D33" s="40" t="s">
        <v>180</v>
      </c>
      <c r="E33" s="40" t="s">
        <v>181</v>
      </c>
      <c r="F33" s="39" t="str">
        <f t="shared" si="1"/>
        <v>WRONG</v>
      </c>
      <c r="G33" s="39" t="s">
        <v>48</v>
      </c>
      <c r="H33" s="41" t="s">
        <v>36</v>
      </c>
      <c r="I33" s="42" t="s">
        <v>182</v>
      </c>
      <c r="J33" s="41">
        <v>24358.0</v>
      </c>
    </row>
    <row r="34" ht="60.0" customHeight="1">
      <c r="A34" s="39">
        <v>31.0</v>
      </c>
      <c r="B34" s="40" t="s">
        <v>183</v>
      </c>
      <c r="C34" s="40" t="s">
        <v>184</v>
      </c>
      <c r="D34" s="40" t="s">
        <v>185</v>
      </c>
      <c r="E34" s="40" t="s">
        <v>186</v>
      </c>
      <c r="F34" s="39" t="str">
        <f t="shared" si="1"/>
        <v>WRONG</v>
      </c>
      <c r="G34" s="39" t="s">
        <v>42</v>
      </c>
      <c r="H34" s="41" t="s">
        <v>36</v>
      </c>
      <c r="I34" s="42" t="s">
        <v>292</v>
      </c>
      <c r="J34" s="41">
        <v>29553.0</v>
      </c>
    </row>
    <row r="35" ht="60.0" customHeight="1">
      <c r="A35" s="39">
        <v>32.0</v>
      </c>
      <c r="B35" s="40" t="s">
        <v>188</v>
      </c>
      <c r="C35" s="40" t="s">
        <v>189</v>
      </c>
      <c r="D35" s="40" t="s">
        <v>190</v>
      </c>
      <c r="E35" s="40" t="s">
        <v>191</v>
      </c>
      <c r="F35" s="39" t="str">
        <f t="shared" si="1"/>
        <v>CORRECT</v>
      </c>
      <c r="G35" s="39" t="s">
        <v>36</v>
      </c>
      <c r="H35" s="41" t="s">
        <v>36</v>
      </c>
      <c r="I35" s="42" t="s">
        <v>293</v>
      </c>
      <c r="J35" s="41">
        <v>53151.0</v>
      </c>
    </row>
    <row r="36" ht="60.0" customHeight="1">
      <c r="A36" s="39">
        <v>33.0</v>
      </c>
      <c r="B36" s="40" t="s">
        <v>193</v>
      </c>
      <c r="C36" s="40" t="s">
        <v>194</v>
      </c>
      <c r="D36" s="40" t="s">
        <v>195</v>
      </c>
      <c r="E36" s="40" t="s">
        <v>196</v>
      </c>
      <c r="F36" s="39" t="str">
        <f t="shared" si="1"/>
        <v>WRONG</v>
      </c>
      <c r="G36" s="39" t="s">
        <v>48</v>
      </c>
      <c r="H36" s="52"/>
      <c r="I36" s="42" t="s">
        <v>294</v>
      </c>
      <c r="J36" s="41">
        <v>41439.0</v>
      </c>
    </row>
    <row r="37" ht="60.0" customHeight="1">
      <c r="A37" s="39">
        <v>34.0</v>
      </c>
      <c r="B37" s="40" t="s">
        <v>198</v>
      </c>
      <c r="C37" s="40" t="s">
        <v>199</v>
      </c>
      <c r="D37" s="40" t="s">
        <v>200</v>
      </c>
      <c r="E37" s="40" t="s">
        <v>201</v>
      </c>
      <c r="F37" s="39" t="str">
        <f t="shared" si="1"/>
        <v>CORRECT</v>
      </c>
      <c r="G37" s="39" t="s">
        <v>36</v>
      </c>
      <c r="H37" s="41" t="s">
        <v>36</v>
      </c>
      <c r="I37" s="42" t="s">
        <v>202</v>
      </c>
      <c r="J37" s="41">
        <v>24137.0</v>
      </c>
    </row>
    <row r="38" ht="60.0" customHeight="1">
      <c r="A38" s="39">
        <v>35.0</v>
      </c>
      <c r="B38" s="40" t="s">
        <v>203</v>
      </c>
      <c r="C38" s="40" t="s">
        <v>204</v>
      </c>
      <c r="D38" s="40" t="s">
        <v>205</v>
      </c>
      <c r="E38" s="40" t="s">
        <v>206</v>
      </c>
      <c r="F38" s="39" t="str">
        <f t="shared" si="1"/>
        <v>CORRECT</v>
      </c>
      <c r="G38" s="39" t="s">
        <v>48</v>
      </c>
      <c r="H38" s="41" t="s">
        <v>48</v>
      </c>
      <c r="I38" s="42" t="s">
        <v>295</v>
      </c>
      <c r="J38" s="41">
        <v>28761.0</v>
      </c>
    </row>
    <row r="39" ht="60.0" customHeight="1">
      <c r="A39" s="39">
        <v>36.0</v>
      </c>
      <c r="B39" s="40" t="s">
        <v>208</v>
      </c>
      <c r="C39" s="40" t="s">
        <v>209</v>
      </c>
      <c r="D39" s="40" t="s">
        <v>210</v>
      </c>
      <c r="E39" s="40" t="s">
        <v>211</v>
      </c>
      <c r="F39" s="39" t="str">
        <f t="shared" si="1"/>
        <v>CORRECT</v>
      </c>
      <c r="G39" s="39" t="s">
        <v>36</v>
      </c>
      <c r="H39" s="41" t="s">
        <v>36</v>
      </c>
      <c r="I39" s="42" t="s">
        <v>296</v>
      </c>
      <c r="J39" s="41">
        <v>18671.0</v>
      </c>
    </row>
    <row r="40" ht="60.0" customHeight="1">
      <c r="A40" s="39">
        <v>37.0</v>
      </c>
      <c r="B40" s="40" t="s">
        <v>213</v>
      </c>
      <c r="C40" s="40" t="s">
        <v>214</v>
      </c>
      <c r="D40" s="40" t="s">
        <v>215</v>
      </c>
      <c r="E40" s="40" t="s">
        <v>216</v>
      </c>
      <c r="F40" s="39" t="str">
        <f t="shared" si="1"/>
        <v>WRONG</v>
      </c>
      <c r="G40" s="39" t="s">
        <v>36</v>
      </c>
      <c r="H40" s="41" t="s">
        <v>42</v>
      </c>
      <c r="I40" s="42" t="s">
        <v>217</v>
      </c>
      <c r="J40" s="41">
        <v>16752.0</v>
      </c>
    </row>
    <row r="41" ht="60.0" customHeight="1">
      <c r="A41" s="39">
        <v>38.0</v>
      </c>
      <c r="B41" s="40" t="s">
        <v>218</v>
      </c>
      <c r="C41" s="40" t="s">
        <v>219</v>
      </c>
      <c r="D41" s="40" t="s">
        <v>220</v>
      </c>
      <c r="E41" s="40" t="s">
        <v>221</v>
      </c>
      <c r="F41" s="39" t="str">
        <f t="shared" si="1"/>
        <v>CORRECT</v>
      </c>
      <c r="G41" s="39" t="s">
        <v>36</v>
      </c>
      <c r="H41" s="41" t="s">
        <v>36</v>
      </c>
      <c r="I41" s="42" t="s">
        <v>222</v>
      </c>
      <c r="J41" s="41">
        <v>25439.0</v>
      </c>
    </row>
    <row r="42" ht="60.0" customHeight="1">
      <c r="A42" s="39">
        <v>39.0</v>
      </c>
      <c r="B42" s="40" t="s">
        <v>223</v>
      </c>
      <c r="C42" s="40" t="s">
        <v>224</v>
      </c>
      <c r="D42" s="40" t="s">
        <v>225</v>
      </c>
      <c r="E42" s="40" t="s">
        <v>226</v>
      </c>
      <c r="F42" s="39" t="str">
        <f t="shared" si="1"/>
        <v>WRONG</v>
      </c>
      <c r="G42" s="39" t="s">
        <v>42</v>
      </c>
      <c r="H42" s="41" t="s">
        <v>48</v>
      </c>
      <c r="I42" s="42" t="s">
        <v>297</v>
      </c>
      <c r="J42" s="41">
        <v>26113.0</v>
      </c>
    </row>
    <row r="43" ht="60.0" customHeight="1">
      <c r="A43" s="39">
        <v>40.0</v>
      </c>
      <c r="B43" s="40" t="s">
        <v>228</v>
      </c>
      <c r="C43" s="40" t="s">
        <v>229</v>
      </c>
      <c r="D43" s="40" t="s">
        <v>230</v>
      </c>
      <c r="E43" s="40" t="s">
        <v>231</v>
      </c>
      <c r="F43" s="39" t="str">
        <f t="shared" si="1"/>
        <v>CORRECT</v>
      </c>
      <c r="G43" s="39" t="s">
        <v>48</v>
      </c>
      <c r="H43" s="41" t="s">
        <v>48</v>
      </c>
      <c r="I43" s="42" t="s">
        <v>298</v>
      </c>
      <c r="J43" s="41">
        <v>40640.0</v>
      </c>
    </row>
    <row r="44" ht="60.0" customHeight="1">
      <c r="A44" s="39">
        <v>41.0</v>
      </c>
      <c r="B44" s="40" t="s">
        <v>233</v>
      </c>
      <c r="C44" s="40" t="s">
        <v>234</v>
      </c>
      <c r="D44" s="40" t="s">
        <v>235</v>
      </c>
      <c r="E44" s="40" t="s">
        <v>236</v>
      </c>
      <c r="F44" s="39" t="str">
        <f t="shared" si="1"/>
        <v>CORRECT</v>
      </c>
      <c r="G44" s="39" t="s">
        <v>42</v>
      </c>
      <c r="H44" s="41" t="s">
        <v>42</v>
      </c>
      <c r="I44" s="42" t="s">
        <v>237</v>
      </c>
      <c r="J44" s="41">
        <v>20867.0</v>
      </c>
    </row>
    <row r="45" ht="60.0" customHeight="1">
      <c r="A45" s="39">
        <v>42.0</v>
      </c>
      <c r="B45" s="40" t="s">
        <v>238</v>
      </c>
      <c r="C45" s="40" t="s">
        <v>239</v>
      </c>
      <c r="D45" s="40" t="s">
        <v>240</v>
      </c>
      <c r="E45" s="40" t="s">
        <v>241</v>
      </c>
      <c r="F45" s="39" t="str">
        <f t="shared" si="1"/>
        <v>WRONG</v>
      </c>
      <c r="G45" s="39" t="s">
        <v>36</v>
      </c>
      <c r="H45" s="41" t="s">
        <v>42</v>
      </c>
      <c r="I45" s="42" t="s">
        <v>299</v>
      </c>
      <c r="J45" s="41">
        <v>25620.0</v>
      </c>
    </row>
    <row r="46" ht="60.0" customHeight="1">
      <c r="A46" s="39">
        <v>43.0</v>
      </c>
      <c r="B46" s="40" t="s">
        <v>243</v>
      </c>
      <c r="C46" s="40" t="s">
        <v>244</v>
      </c>
      <c r="D46" s="40" t="s">
        <v>245</v>
      </c>
      <c r="E46" s="40" t="s">
        <v>246</v>
      </c>
      <c r="F46" s="39" t="str">
        <f t="shared" si="1"/>
        <v>WRONG</v>
      </c>
      <c r="G46" s="39" t="s">
        <v>48</v>
      </c>
      <c r="H46" s="41" t="s">
        <v>36</v>
      </c>
      <c r="I46" s="42" t="s">
        <v>247</v>
      </c>
      <c r="J46" s="41">
        <v>30518.0</v>
      </c>
    </row>
    <row r="47" ht="60.0" customHeight="1">
      <c r="A47" s="39">
        <v>44.0</v>
      </c>
      <c r="B47" s="40" t="s">
        <v>248</v>
      </c>
      <c r="C47" s="40" t="s">
        <v>249</v>
      </c>
      <c r="D47" s="40" t="s">
        <v>250</v>
      </c>
      <c r="E47" s="40" t="s">
        <v>251</v>
      </c>
      <c r="F47" s="39" t="str">
        <f t="shared" si="1"/>
        <v>WRONG</v>
      </c>
      <c r="G47" s="39" t="s">
        <v>36</v>
      </c>
      <c r="H47" s="41" t="s">
        <v>48</v>
      </c>
      <c r="I47" s="42" t="s">
        <v>300</v>
      </c>
      <c r="J47" s="41">
        <v>25281.0</v>
      </c>
    </row>
    <row r="48" ht="60.0" customHeight="1">
      <c r="A48" s="39">
        <v>45.0</v>
      </c>
      <c r="B48" s="40" t="s">
        <v>253</v>
      </c>
      <c r="C48" s="40" t="s">
        <v>254</v>
      </c>
      <c r="D48" s="40" t="s">
        <v>255</v>
      </c>
      <c r="E48" s="40" t="s">
        <v>256</v>
      </c>
      <c r="F48" s="39" t="str">
        <f t="shared" si="1"/>
        <v>CORRECT</v>
      </c>
      <c r="G48" s="39" t="s">
        <v>36</v>
      </c>
      <c r="H48" s="41" t="s">
        <v>36</v>
      </c>
      <c r="I48" s="42" t="s">
        <v>257</v>
      </c>
      <c r="J48" s="41">
        <v>27765.0</v>
      </c>
    </row>
    <row r="49" ht="60.0" customHeight="1">
      <c r="A49" s="39">
        <v>46.0</v>
      </c>
      <c r="B49" s="40" t="s">
        <v>258</v>
      </c>
      <c r="C49" s="40" t="s">
        <v>39</v>
      </c>
      <c r="D49" s="40" t="s">
        <v>259</v>
      </c>
      <c r="E49" s="40" t="s">
        <v>260</v>
      </c>
      <c r="F49" s="39" t="str">
        <f t="shared" si="1"/>
        <v>CORRECT</v>
      </c>
      <c r="G49" s="39" t="s">
        <v>36</v>
      </c>
      <c r="H49" s="41" t="s">
        <v>36</v>
      </c>
      <c r="I49" s="42" t="s">
        <v>261</v>
      </c>
      <c r="J49" s="41">
        <v>25816.0</v>
      </c>
    </row>
    <row r="50">
      <c r="A50" s="44" t="s">
        <v>262</v>
      </c>
      <c r="B50" s="2"/>
      <c r="C50" s="2"/>
      <c r="D50" s="2"/>
      <c r="E50" s="3"/>
      <c r="F50" s="45">
        <f>COUNTIFS(F4:F49,"CORRECT")</f>
        <v>25</v>
      </c>
      <c r="G50" s="46"/>
      <c r="H50" s="46"/>
      <c r="J50" s="47">
        <f>AVERAGE(J4:J49)</f>
        <v>27920.69565</v>
      </c>
    </row>
    <row r="51">
      <c r="A51" s="48" t="s">
        <v>263</v>
      </c>
      <c r="B51" s="2"/>
      <c r="C51" s="2"/>
      <c r="D51" s="2"/>
      <c r="E51" s="3"/>
      <c r="F51" s="49">
        <v>46.0</v>
      </c>
      <c r="G51" s="46"/>
      <c r="H51" s="46"/>
    </row>
    <row r="52">
      <c r="A52" s="44" t="s">
        <v>264</v>
      </c>
      <c r="B52" s="2"/>
      <c r="C52" s="2"/>
      <c r="D52" s="2"/>
      <c r="E52" s="3"/>
      <c r="F52" s="50">
        <f>F50/F51</f>
        <v>0.5434782609</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301</v>
      </c>
      <c r="C2" s="2"/>
      <c r="D2" s="2"/>
      <c r="E2" s="2"/>
      <c r="F2" s="2"/>
      <c r="G2" s="2"/>
      <c r="H2" s="3"/>
      <c r="I2" s="37" t="s">
        <v>302</v>
      </c>
      <c r="J2" s="3"/>
      <c r="K2" s="34"/>
      <c r="L2" s="34"/>
      <c r="M2" s="34"/>
      <c r="N2" s="53" t="s">
        <v>303</v>
      </c>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54" t="s">
        <v>37</v>
      </c>
      <c r="J4" s="41">
        <v>34546.0</v>
      </c>
    </row>
    <row r="5" ht="60.0" customHeight="1">
      <c r="A5" s="39">
        <v>2.0</v>
      </c>
      <c r="B5" s="40" t="s">
        <v>38</v>
      </c>
      <c r="C5" s="40" t="s">
        <v>39</v>
      </c>
      <c r="D5" s="40" t="s">
        <v>40</v>
      </c>
      <c r="E5" s="40" t="s">
        <v>41</v>
      </c>
      <c r="F5" s="39" t="str">
        <f t="shared" si="1"/>
        <v>CORRECT</v>
      </c>
      <c r="G5" s="39" t="s">
        <v>42</v>
      </c>
      <c r="H5" s="41" t="s">
        <v>42</v>
      </c>
      <c r="I5" s="54" t="s">
        <v>43</v>
      </c>
      <c r="J5" s="41">
        <v>36871.0</v>
      </c>
    </row>
    <row r="6" ht="60.0" customHeight="1">
      <c r="A6" s="39">
        <v>3.0</v>
      </c>
      <c r="B6" s="40" t="s">
        <v>44</v>
      </c>
      <c r="C6" s="40" t="s">
        <v>45</v>
      </c>
      <c r="D6" s="40" t="s">
        <v>46</v>
      </c>
      <c r="E6" s="40" t="s">
        <v>47</v>
      </c>
      <c r="F6" s="39" t="str">
        <f t="shared" si="1"/>
        <v>CORRECT</v>
      </c>
      <c r="G6" s="39" t="s">
        <v>48</v>
      </c>
      <c r="H6" s="41" t="s">
        <v>48</v>
      </c>
      <c r="I6" s="54" t="s">
        <v>49</v>
      </c>
      <c r="J6" s="41">
        <v>23245.0</v>
      </c>
    </row>
    <row r="7" ht="60.0" customHeight="1">
      <c r="A7" s="39">
        <v>4.0</v>
      </c>
      <c r="B7" s="40" t="s">
        <v>50</v>
      </c>
      <c r="C7" s="40" t="s">
        <v>51</v>
      </c>
      <c r="D7" s="40" t="s">
        <v>52</v>
      </c>
      <c r="E7" s="40" t="s">
        <v>53</v>
      </c>
      <c r="F7" s="39" t="str">
        <f t="shared" si="1"/>
        <v>CORRECT</v>
      </c>
      <c r="G7" s="39" t="s">
        <v>42</v>
      </c>
      <c r="H7" s="41" t="s">
        <v>42</v>
      </c>
      <c r="I7" s="54" t="s">
        <v>54</v>
      </c>
      <c r="J7" s="41">
        <v>20947.0</v>
      </c>
    </row>
    <row r="8" ht="60.0" customHeight="1">
      <c r="A8" s="39">
        <v>5.0</v>
      </c>
      <c r="B8" s="40" t="s">
        <v>55</v>
      </c>
      <c r="C8" s="40" t="s">
        <v>56</v>
      </c>
      <c r="D8" s="40" t="s">
        <v>57</v>
      </c>
      <c r="E8" s="40" t="s">
        <v>58</v>
      </c>
      <c r="F8" s="39" t="str">
        <f t="shared" si="1"/>
        <v>CORRECT</v>
      </c>
      <c r="G8" s="39" t="s">
        <v>48</v>
      </c>
      <c r="H8" s="41" t="s">
        <v>48</v>
      </c>
      <c r="I8" s="54" t="s">
        <v>267</v>
      </c>
      <c r="J8" s="41">
        <v>45375.0</v>
      </c>
    </row>
    <row r="9" ht="60.0" customHeight="1">
      <c r="A9" s="39">
        <v>6.0</v>
      </c>
      <c r="B9" s="40" t="s">
        <v>60</v>
      </c>
      <c r="C9" s="40" t="s">
        <v>61</v>
      </c>
      <c r="D9" s="40" t="s">
        <v>62</v>
      </c>
      <c r="E9" s="40" t="s">
        <v>63</v>
      </c>
      <c r="F9" s="39" t="str">
        <f t="shared" si="1"/>
        <v>CORRECT</v>
      </c>
      <c r="G9" s="39" t="s">
        <v>42</v>
      </c>
      <c r="H9" s="41" t="s">
        <v>42</v>
      </c>
      <c r="I9" s="54" t="s">
        <v>268</v>
      </c>
      <c r="J9" s="41">
        <v>25278.0</v>
      </c>
    </row>
    <row r="10" ht="60.0" customHeight="1">
      <c r="A10" s="39">
        <v>7.0</v>
      </c>
      <c r="B10" s="40" t="s">
        <v>65</v>
      </c>
      <c r="C10" s="40" t="s">
        <v>66</v>
      </c>
      <c r="D10" s="40" t="s">
        <v>67</v>
      </c>
      <c r="E10" s="40" t="s">
        <v>68</v>
      </c>
      <c r="F10" s="39" t="str">
        <f t="shared" si="1"/>
        <v>WRONG</v>
      </c>
      <c r="G10" s="39" t="s">
        <v>42</v>
      </c>
      <c r="H10" s="41" t="s">
        <v>36</v>
      </c>
      <c r="I10" s="54" t="s">
        <v>269</v>
      </c>
      <c r="J10" s="41">
        <v>24723.0</v>
      </c>
    </row>
    <row r="11" ht="60.0" customHeight="1">
      <c r="A11" s="39">
        <v>8.0</v>
      </c>
      <c r="B11" s="40" t="s">
        <v>70</v>
      </c>
      <c r="C11" s="40" t="s">
        <v>71</v>
      </c>
      <c r="D11" s="40" t="s">
        <v>72</v>
      </c>
      <c r="E11" s="40" t="s">
        <v>73</v>
      </c>
      <c r="F11" s="39" t="str">
        <f t="shared" si="1"/>
        <v>WRONG</v>
      </c>
      <c r="G11" s="39" t="s">
        <v>48</v>
      </c>
      <c r="H11" s="41" t="s">
        <v>42</v>
      </c>
      <c r="I11" s="54" t="s">
        <v>74</v>
      </c>
      <c r="J11" s="41">
        <v>32823.0</v>
      </c>
    </row>
    <row r="12" ht="60.0" customHeight="1">
      <c r="A12" s="39">
        <v>9.0</v>
      </c>
      <c r="B12" s="40" t="s">
        <v>75</v>
      </c>
      <c r="C12" s="40" t="s">
        <v>76</v>
      </c>
      <c r="D12" s="40" t="s">
        <v>77</v>
      </c>
      <c r="E12" s="40" t="s">
        <v>78</v>
      </c>
      <c r="F12" s="39" t="str">
        <f t="shared" si="1"/>
        <v>WRONG</v>
      </c>
      <c r="G12" s="39" t="s">
        <v>42</v>
      </c>
      <c r="H12" s="41" t="s">
        <v>48</v>
      </c>
      <c r="I12" s="54" t="s">
        <v>270</v>
      </c>
      <c r="J12" s="41">
        <v>30034.0</v>
      </c>
    </row>
    <row r="13" ht="60.0" customHeight="1">
      <c r="A13" s="39">
        <v>10.0</v>
      </c>
      <c r="B13" s="40" t="s">
        <v>80</v>
      </c>
      <c r="C13" s="40" t="s">
        <v>81</v>
      </c>
      <c r="D13" s="40" t="s">
        <v>82</v>
      </c>
      <c r="E13" s="40" t="s">
        <v>83</v>
      </c>
      <c r="F13" s="39" t="str">
        <f t="shared" si="1"/>
        <v>CORRECT</v>
      </c>
      <c r="G13" s="39" t="s">
        <v>48</v>
      </c>
      <c r="H13" s="41" t="s">
        <v>48</v>
      </c>
      <c r="I13" s="54" t="s">
        <v>271</v>
      </c>
      <c r="J13" s="41">
        <v>27505.0</v>
      </c>
    </row>
    <row r="14" ht="60.0" customHeight="1">
      <c r="A14" s="39">
        <v>11.0</v>
      </c>
      <c r="B14" s="40" t="s">
        <v>85</v>
      </c>
      <c r="C14" s="40" t="s">
        <v>86</v>
      </c>
      <c r="D14" s="40" t="s">
        <v>87</v>
      </c>
      <c r="E14" s="40" t="s">
        <v>88</v>
      </c>
      <c r="F14" s="39" t="str">
        <f t="shared" si="1"/>
        <v>WRONG</v>
      </c>
      <c r="G14" s="39" t="s">
        <v>42</v>
      </c>
      <c r="H14" s="41" t="s">
        <v>48</v>
      </c>
      <c r="I14" s="54" t="s">
        <v>304</v>
      </c>
      <c r="J14" s="41">
        <v>48297.0</v>
      </c>
    </row>
    <row r="15" ht="60.0" customHeight="1">
      <c r="A15" s="39">
        <v>12.0</v>
      </c>
      <c r="B15" s="40" t="s">
        <v>90</v>
      </c>
      <c r="C15" s="40" t="s">
        <v>91</v>
      </c>
      <c r="D15" s="40" t="s">
        <v>92</v>
      </c>
      <c r="E15" s="40" t="s">
        <v>93</v>
      </c>
      <c r="F15" s="39" t="str">
        <f t="shared" si="1"/>
        <v>CORRECT</v>
      </c>
      <c r="G15" s="39" t="s">
        <v>48</v>
      </c>
      <c r="H15" s="41" t="s">
        <v>48</v>
      </c>
      <c r="I15" s="54" t="s">
        <v>305</v>
      </c>
      <c r="J15" s="41">
        <v>32819.0</v>
      </c>
    </row>
    <row r="16" ht="60.0" customHeight="1">
      <c r="A16" s="39">
        <v>13.0</v>
      </c>
      <c r="B16" s="40" t="s">
        <v>95</v>
      </c>
      <c r="C16" s="40" t="s">
        <v>96</v>
      </c>
      <c r="D16" s="40" t="s">
        <v>97</v>
      </c>
      <c r="E16" s="40" t="s">
        <v>98</v>
      </c>
      <c r="F16" s="39" t="str">
        <f t="shared" si="1"/>
        <v>CORRECT</v>
      </c>
      <c r="G16" s="39" t="s">
        <v>36</v>
      </c>
      <c r="H16" s="41" t="s">
        <v>36</v>
      </c>
      <c r="I16" s="54" t="s">
        <v>99</v>
      </c>
      <c r="J16" s="41">
        <v>23277.0</v>
      </c>
    </row>
    <row r="17" ht="60.0" customHeight="1">
      <c r="A17" s="39">
        <v>14.0</v>
      </c>
      <c r="B17" s="40" t="s">
        <v>100</v>
      </c>
      <c r="C17" s="40" t="s">
        <v>101</v>
      </c>
      <c r="D17" s="40" t="s">
        <v>102</v>
      </c>
      <c r="E17" s="40" t="s">
        <v>103</v>
      </c>
      <c r="F17" s="39" t="str">
        <f t="shared" si="1"/>
        <v>WRONG</v>
      </c>
      <c r="G17" s="39" t="s">
        <v>36</v>
      </c>
      <c r="H17" s="41" t="s">
        <v>48</v>
      </c>
      <c r="I17" s="54" t="s">
        <v>104</v>
      </c>
      <c r="J17" s="41">
        <v>21153.0</v>
      </c>
    </row>
    <row r="18" ht="60.0" customHeight="1">
      <c r="A18" s="39">
        <v>15.0</v>
      </c>
      <c r="B18" s="40" t="s">
        <v>105</v>
      </c>
      <c r="C18" s="40" t="s">
        <v>106</v>
      </c>
      <c r="D18" s="40" t="s">
        <v>107</v>
      </c>
      <c r="E18" s="40" t="s">
        <v>108</v>
      </c>
      <c r="F18" s="39" t="str">
        <f t="shared" si="1"/>
        <v>CORRECT</v>
      </c>
      <c r="G18" s="39" t="s">
        <v>48</v>
      </c>
      <c r="H18" s="41" t="s">
        <v>48</v>
      </c>
      <c r="I18" s="54" t="s">
        <v>109</v>
      </c>
      <c r="J18" s="41">
        <v>31297.0</v>
      </c>
    </row>
    <row r="19" ht="60.0" customHeight="1">
      <c r="A19" s="39">
        <v>16.0</v>
      </c>
      <c r="B19" s="40" t="s">
        <v>110</v>
      </c>
      <c r="C19" s="40" t="s">
        <v>111</v>
      </c>
      <c r="D19" s="40" t="s">
        <v>112</v>
      </c>
      <c r="E19" s="40" t="s">
        <v>113</v>
      </c>
      <c r="F19" s="39" t="str">
        <f t="shared" si="1"/>
        <v>WRONG</v>
      </c>
      <c r="G19" s="39" t="s">
        <v>48</v>
      </c>
      <c r="H19" s="41" t="s">
        <v>36</v>
      </c>
      <c r="I19" s="54" t="s">
        <v>114</v>
      </c>
      <c r="J19" s="41">
        <v>24922.0</v>
      </c>
    </row>
    <row r="20" ht="60.0" customHeight="1">
      <c r="A20" s="39">
        <v>17.0</v>
      </c>
      <c r="B20" s="40" t="s">
        <v>115</v>
      </c>
      <c r="C20" s="40" t="s">
        <v>116</v>
      </c>
      <c r="D20" s="40" t="s">
        <v>117</v>
      </c>
      <c r="E20" s="40" t="s">
        <v>118</v>
      </c>
      <c r="F20" s="39" t="str">
        <f t="shared" si="1"/>
        <v>WRONG</v>
      </c>
      <c r="G20" s="39" t="s">
        <v>42</v>
      </c>
      <c r="H20" s="41" t="s">
        <v>36</v>
      </c>
      <c r="I20" s="54" t="s">
        <v>119</v>
      </c>
      <c r="J20" s="41">
        <v>26870.0</v>
      </c>
    </row>
    <row r="21" ht="60.0" customHeight="1">
      <c r="A21" s="39">
        <v>18.0</v>
      </c>
      <c r="B21" s="40" t="s">
        <v>120</v>
      </c>
      <c r="C21" s="40" t="s">
        <v>121</v>
      </c>
      <c r="D21" s="40" t="s">
        <v>122</v>
      </c>
      <c r="E21" s="40" t="s">
        <v>123</v>
      </c>
      <c r="F21" s="39" t="str">
        <f t="shared" si="1"/>
        <v>CORRECT</v>
      </c>
      <c r="G21" s="39" t="s">
        <v>42</v>
      </c>
      <c r="H21" s="41" t="s">
        <v>42</v>
      </c>
      <c r="I21" s="54" t="s">
        <v>124</v>
      </c>
      <c r="J21" s="41">
        <v>24549.0</v>
      </c>
    </row>
    <row r="22" ht="60.0" customHeight="1">
      <c r="A22" s="39">
        <v>19.0</v>
      </c>
      <c r="B22" s="40" t="s">
        <v>125</v>
      </c>
      <c r="C22" s="40" t="s">
        <v>126</v>
      </c>
      <c r="D22" s="40" t="s">
        <v>127</v>
      </c>
      <c r="E22" s="40" t="s">
        <v>128</v>
      </c>
      <c r="F22" s="39" t="str">
        <f t="shared" si="1"/>
        <v>WRONG</v>
      </c>
      <c r="G22" s="39" t="s">
        <v>36</v>
      </c>
      <c r="H22" s="43" t="s">
        <v>48</v>
      </c>
      <c r="I22" s="54" t="s">
        <v>129</v>
      </c>
      <c r="J22" s="41">
        <v>30281.0</v>
      </c>
    </row>
    <row r="23" ht="60.0" customHeight="1">
      <c r="A23" s="39">
        <v>20.0</v>
      </c>
      <c r="B23" s="40" t="s">
        <v>130</v>
      </c>
      <c r="C23" s="40" t="s">
        <v>131</v>
      </c>
      <c r="D23" s="40" t="s">
        <v>132</v>
      </c>
      <c r="E23" s="40" t="s">
        <v>133</v>
      </c>
      <c r="F23" s="39" t="str">
        <f t="shared" si="1"/>
        <v>CORRECT</v>
      </c>
      <c r="G23" s="39" t="s">
        <v>42</v>
      </c>
      <c r="H23" s="41" t="s">
        <v>42</v>
      </c>
      <c r="I23" s="54" t="s">
        <v>134</v>
      </c>
      <c r="J23" s="41">
        <v>12129.0</v>
      </c>
    </row>
    <row r="24" ht="60.0" customHeight="1">
      <c r="A24" s="39">
        <v>21.0</v>
      </c>
      <c r="B24" s="40" t="s">
        <v>135</v>
      </c>
      <c r="C24" s="40" t="s">
        <v>136</v>
      </c>
      <c r="D24" s="40" t="s">
        <v>137</v>
      </c>
      <c r="E24" s="40" t="s">
        <v>138</v>
      </c>
      <c r="F24" s="39" t="str">
        <f t="shared" si="1"/>
        <v>WRONG</v>
      </c>
      <c r="G24" s="39" t="s">
        <v>42</v>
      </c>
      <c r="H24" s="41" t="s">
        <v>36</v>
      </c>
      <c r="I24" s="54" t="s">
        <v>139</v>
      </c>
      <c r="J24" s="41">
        <v>21091.0</v>
      </c>
    </row>
    <row r="25" ht="60.0" customHeight="1">
      <c r="A25" s="39">
        <v>22.0</v>
      </c>
      <c r="B25" s="40" t="s">
        <v>140</v>
      </c>
      <c r="C25" s="40" t="s">
        <v>141</v>
      </c>
      <c r="D25" s="40" t="s">
        <v>142</v>
      </c>
      <c r="E25" s="40" t="s">
        <v>143</v>
      </c>
      <c r="F25" s="39" t="str">
        <f t="shared" si="1"/>
        <v>CORRECT</v>
      </c>
      <c r="G25" s="39" t="s">
        <v>42</v>
      </c>
      <c r="H25" s="41" t="s">
        <v>42</v>
      </c>
      <c r="I25" s="54" t="s">
        <v>144</v>
      </c>
      <c r="J25" s="41">
        <v>21817.0</v>
      </c>
    </row>
    <row r="26" ht="60.0" customHeight="1">
      <c r="A26" s="39">
        <v>23.0</v>
      </c>
      <c r="B26" s="40" t="s">
        <v>145</v>
      </c>
      <c r="C26" s="40" t="s">
        <v>146</v>
      </c>
      <c r="D26" s="40" t="s">
        <v>147</v>
      </c>
      <c r="E26" s="40" t="s">
        <v>148</v>
      </c>
      <c r="F26" s="39" t="str">
        <f t="shared" si="1"/>
        <v>CORRECT</v>
      </c>
      <c r="G26" s="39" t="s">
        <v>48</v>
      </c>
      <c r="H26" s="41" t="s">
        <v>48</v>
      </c>
      <c r="I26" s="54" t="s">
        <v>149</v>
      </c>
      <c r="J26" s="41">
        <v>21897.0</v>
      </c>
    </row>
    <row r="27" ht="60.0" customHeight="1">
      <c r="A27" s="39">
        <v>24.0</v>
      </c>
      <c r="B27" s="40" t="s">
        <v>150</v>
      </c>
      <c r="C27" s="40" t="s">
        <v>151</v>
      </c>
      <c r="D27" s="40" t="s">
        <v>152</v>
      </c>
      <c r="E27" s="40" t="s">
        <v>153</v>
      </c>
      <c r="F27" s="39" t="str">
        <f t="shared" si="1"/>
        <v>WRONG</v>
      </c>
      <c r="G27" s="39" t="s">
        <v>36</v>
      </c>
      <c r="H27" s="41" t="s">
        <v>48</v>
      </c>
      <c r="I27" s="54" t="s">
        <v>154</v>
      </c>
      <c r="J27" s="41">
        <v>20151.0</v>
      </c>
    </row>
    <row r="28" ht="60.0" customHeight="1">
      <c r="A28" s="39">
        <v>25.0</v>
      </c>
      <c r="B28" s="40" t="s">
        <v>155</v>
      </c>
      <c r="C28" s="40" t="s">
        <v>151</v>
      </c>
      <c r="D28" s="40" t="s">
        <v>156</v>
      </c>
      <c r="E28" s="40" t="s">
        <v>153</v>
      </c>
      <c r="F28" s="39" t="str">
        <f t="shared" si="1"/>
        <v>WRONG</v>
      </c>
      <c r="G28" s="39" t="s">
        <v>48</v>
      </c>
      <c r="H28" s="43" t="s">
        <v>42</v>
      </c>
      <c r="I28" s="54" t="s">
        <v>157</v>
      </c>
      <c r="J28" s="41">
        <v>18867.0</v>
      </c>
    </row>
    <row r="29" ht="60.0" customHeight="1">
      <c r="A29" s="39">
        <v>26.0</v>
      </c>
      <c r="B29" s="40" t="s">
        <v>158</v>
      </c>
      <c r="C29" s="40" t="s">
        <v>159</v>
      </c>
      <c r="D29" s="40" t="s">
        <v>160</v>
      </c>
      <c r="E29" s="40" t="s">
        <v>161</v>
      </c>
      <c r="F29" s="39" t="str">
        <f t="shared" si="1"/>
        <v>WRONG</v>
      </c>
      <c r="G29" s="39" t="s">
        <v>36</v>
      </c>
      <c r="H29" s="41" t="s">
        <v>48</v>
      </c>
      <c r="I29" s="54" t="s">
        <v>162</v>
      </c>
      <c r="J29" s="41">
        <v>20910.0</v>
      </c>
    </row>
    <row r="30" ht="60.0" customHeight="1">
      <c r="A30" s="39">
        <v>27.0</v>
      </c>
      <c r="B30" s="40" t="s">
        <v>163</v>
      </c>
      <c r="C30" s="40" t="s">
        <v>164</v>
      </c>
      <c r="D30" s="40" t="s">
        <v>165</v>
      </c>
      <c r="E30" s="40" t="s">
        <v>166</v>
      </c>
      <c r="F30" s="39" t="str">
        <f t="shared" si="1"/>
        <v>CORRECT</v>
      </c>
      <c r="G30" s="39" t="s">
        <v>42</v>
      </c>
      <c r="H30" s="41" t="s">
        <v>42</v>
      </c>
      <c r="I30" s="54" t="s">
        <v>167</v>
      </c>
      <c r="J30" s="41">
        <v>22040.0</v>
      </c>
    </row>
    <row r="31" ht="60.0" customHeight="1">
      <c r="A31" s="39">
        <v>28.0</v>
      </c>
      <c r="B31" s="40" t="s">
        <v>168</v>
      </c>
      <c r="C31" s="40" t="s">
        <v>169</v>
      </c>
      <c r="D31" s="40" t="s">
        <v>170</v>
      </c>
      <c r="E31" s="40" t="s">
        <v>171</v>
      </c>
      <c r="F31" s="39" t="str">
        <f t="shared" si="1"/>
        <v>WRONG</v>
      </c>
      <c r="G31" s="39" t="s">
        <v>36</v>
      </c>
      <c r="H31" s="43" t="s">
        <v>42</v>
      </c>
      <c r="I31" s="54" t="s">
        <v>172</v>
      </c>
      <c r="J31" s="41">
        <v>62554.0</v>
      </c>
    </row>
    <row r="32" ht="60.0" customHeight="1">
      <c r="A32" s="39">
        <v>29.0</v>
      </c>
      <c r="B32" s="40" t="s">
        <v>173</v>
      </c>
      <c r="C32" s="40" t="s">
        <v>174</v>
      </c>
      <c r="D32" s="40" t="s">
        <v>175</v>
      </c>
      <c r="E32" s="40" t="s">
        <v>176</v>
      </c>
      <c r="F32" s="39" t="str">
        <f t="shared" si="1"/>
        <v>CORRECT</v>
      </c>
      <c r="G32" s="39" t="s">
        <v>42</v>
      </c>
      <c r="H32" s="41" t="s">
        <v>42</v>
      </c>
      <c r="I32" s="54" t="s">
        <v>177</v>
      </c>
      <c r="J32" s="41">
        <v>25325.0</v>
      </c>
    </row>
    <row r="33" ht="60.0" customHeight="1">
      <c r="A33" s="39">
        <v>30.0</v>
      </c>
      <c r="B33" s="40" t="s">
        <v>178</v>
      </c>
      <c r="C33" s="40" t="s">
        <v>179</v>
      </c>
      <c r="D33" s="40" t="s">
        <v>180</v>
      </c>
      <c r="E33" s="40" t="s">
        <v>181</v>
      </c>
      <c r="F33" s="39" t="str">
        <f t="shared" si="1"/>
        <v>WRONG</v>
      </c>
      <c r="G33" s="39" t="s">
        <v>48</v>
      </c>
      <c r="H33" s="41" t="s">
        <v>36</v>
      </c>
      <c r="I33" s="54" t="s">
        <v>182</v>
      </c>
      <c r="J33" s="41">
        <v>24132.0</v>
      </c>
    </row>
    <row r="34" ht="60.0" customHeight="1">
      <c r="A34" s="39">
        <v>31.0</v>
      </c>
      <c r="B34" s="40" t="s">
        <v>183</v>
      </c>
      <c r="C34" s="40" t="s">
        <v>184</v>
      </c>
      <c r="D34" s="40" t="s">
        <v>185</v>
      </c>
      <c r="E34" s="40" t="s">
        <v>186</v>
      </c>
      <c r="F34" s="39" t="str">
        <f t="shared" si="1"/>
        <v>WRONG</v>
      </c>
      <c r="G34" s="39" t="s">
        <v>42</v>
      </c>
      <c r="H34" s="41" t="s">
        <v>36</v>
      </c>
      <c r="I34" s="54" t="s">
        <v>187</v>
      </c>
      <c r="J34" s="41">
        <v>28458.0</v>
      </c>
    </row>
    <row r="35" ht="60.0" customHeight="1">
      <c r="A35" s="39">
        <v>32.0</v>
      </c>
      <c r="B35" s="40" t="s">
        <v>188</v>
      </c>
      <c r="C35" s="40" t="s">
        <v>189</v>
      </c>
      <c r="D35" s="40" t="s">
        <v>190</v>
      </c>
      <c r="E35" s="40" t="s">
        <v>191</v>
      </c>
      <c r="F35" s="39" t="str">
        <f t="shared" si="1"/>
        <v>CORRECT</v>
      </c>
      <c r="G35" s="39" t="s">
        <v>36</v>
      </c>
      <c r="H35" s="41" t="s">
        <v>36</v>
      </c>
      <c r="I35" s="54" t="s">
        <v>192</v>
      </c>
      <c r="J35" s="41">
        <v>48009.0</v>
      </c>
    </row>
    <row r="36" ht="60.0" customHeight="1">
      <c r="A36" s="39">
        <v>33.0</v>
      </c>
      <c r="B36" s="40" t="s">
        <v>193</v>
      </c>
      <c r="C36" s="40" t="s">
        <v>194</v>
      </c>
      <c r="D36" s="40" t="s">
        <v>195</v>
      </c>
      <c r="E36" s="40" t="s">
        <v>196</v>
      </c>
      <c r="F36" s="39" t="str">
        <f t="shared" si="1"/>
        <v>CORRECT</v>
      </c>
      <c r="G36" s="39" t="s">
        <v>48</v>
      </c>
      <c r="H36" s="43" t="s">
        <v>48</v>
      </c>
      <c r="I36" s="54" t="s">
        <v>197</v>
      </c>
      <c r="J36" s="41">
        <v>43915.0</v>
      </c>
    </row>
    <row r="37" ht="60.0" customHeight="1">
      <c r="A37" s="39">
        <v>34.0</v>
      </c>
      <c r="B37" s="40" t="s">
        <v>198</v>
      </c>
      <c r="C37" s="40" t="s">
        <v>199</v>
      </c>
      <c r="D37" s="40" t="s">
        <v>200</v>
      </c>
      <c r="E37" s="40" t="s">
        <v>201</v>
      </c>
      <c r="F37" s="39" t="str">
        <f t="shared" si="1"/>
        <v>CORRECT</v>
      </c>
      <c r="G37" s="39" t="s">
        <v>36</v>
      </c>
      <c r="H37" s="41" t="s">
        <v>36</v>
      </c>
      <c r="I37" s="54" t="s">
        <v>202</v>
      </c>
      <c r="J37" s="41">
        <v>24157.0</v>
      </c>
    </row>
    <row r="38" ht="60.0" customHeight="1">
      <c r="A38" s="39">
        <v>35.0</v>
      </c>
      <c r="B38" s="40" t="s">
        <v>203</v>
      </c>
      <c r="C38" s="40" t="s">
        <v>204</v>
      </c>
      <c r="D38" s="40" t="s">
        <v>205</v>
      </c>
      <c r="E38" s="40" t="s">
        <v>206</v>
      </c>
      <c r="F38" s="39" t="str">
        <f t="shared" si="1"/>
        <v>CORRECT</v>
      </c>
      <c r="G38" s="39" t="s">
        <v>48</v>
      </c>
      <c r="H38" s="41" t="s">
        <v>48</v>
      </c>
      <c r="I38" s="54" t="s">
        <v>207</v>
      </c>
      <c r="J38" s="41">
        <v>25807.0</v>
      </c>
    </row>
    <row r="39" ht="60.0" customHeight="1">
      <c r="A39" s="39">
        <v>36.0</v>
      </c>
      <c r="B39" s="40" t="s">
        <v>208</v>
      </c>
      <c r="C39" s="40" t="s">
        <v>209</v>
      </c>
      <c r="D39" s="40" t="s">
        <v>210</v>
      </c>
      <c r="E39" s="40" t="s">
        <v>211</v>
      </c>
      <c r="F39" s="39" t="str">
        <f t="shared" si="1"/>
        <v>CORRECT</v>
      </c>
      <c r="G39" s="39" t="s">
        <v>36</v>
      </c>
      <c r="H39" s="41" t="s">
        <v>36</v>
      </c>
      <c r="I39" s="54" t="s">
        <v>212</v>
      </c>
      <c r="J39" s="41">
        <v>19951.0</v>
      </c>
    </row>
    <row r="40" ht="60.0" customHeight="1">
      <c r="A40" s="39">
        <v>37.0</v>
      </c>
      <c r="B40" s="40" t="s">
        <v>213</v>
      </c>
      <c r="C40" s="40" t="s">
        <v>214</v>
      </c>
      <c r="D40" s="40" t="s">
        <v>215</v>
      </c>
      <c r="E40" s="40" t="s">
        <v>216</v>
      </c>
      <c r="F40" s="39" t="str">
        <f t="shared" si="1"/>
        <v>WRONG</v>
      </c>
      <c r="G40" s="39" t="s">
        <v>36</v>
      </c>
      <c r="H40" s="41" t="s">
        <v>42</v>
      </c>
      <c r="I40" s="54" t="s">
        <v>217</v>
      </c>
      <c r="J40" s="41">
        <v>16887.0</v>
      </c>
    </row>
    <row r="41" ht="60.0" customHeight="1">
      <c r="A41" s="39">
        <v>38.0</v>
      </c>
      <c r="B41" s="40" t="s">
        <v>218</v>
      </c>
      <c r="C41" s="40" t="s">
        <v>219</v>
      </c>
      <c r="D41" s="40" t="s">
        <v>220</v>
      </c>
      <c r="E41" s="40" t="s">
        <v>221</v>
      </c>
      <c r="F41" s="39" t="str">
        <f t="shared" si="1"/>
        <v>CORRECT</v>
      </c>
      <c r="G41" s="39" t="s">
        <v>36</v>
      </c>
      <c r="H41" s="41" t="s">
        <v>36</v>
      </c>
      <c r="I41" s="54" t="s">
        <v>222</v>
      </c>
      <c r="J41" s="41">
        <v>25638.0</v>
      </c>
    </row>
    <row r="42" ht="60.0" customHeight="1">
      <c r="A42" s="39">
        <v>39.0</v>
      </c>
      <c r="B42" s="40" t="s">
        <v>223</v>
      </c>
      <c r="C42" s="40" t="s">
        <v>224</v>
      </c>
      <c r="D42" s="40" t="s">
        <v>225</v>
      </c>
      <c r="E42" s="40" t="s">
        <v>226</v>
      </c>
      <c r="F42" s="39" t="str">
        <f t="shared" si="1"/>
        <v>WRONG</v>
      </c>
      <c r="G42" s="39" t="s">
        <v>42</v>
      </c>
      <c r="H42" s="41" t="s">
        <v>48</v>
      </c>
      <c r="I42" s="54" t="s">
        <v>227</v>
      </c>
      <c r="J42" s="41">
        <v>26264.0</v>
      </c>
    </row>
    <row r="43" ht="60.0" customHeight="1">
      <c r="A43" s="39">
        <v>40.0</v>
      </c>
      <c r="B43" s="40" t="s">
        <v>228</v>
      </c>
      <c r="C43" s="40" t="s">
        <v>229</v>
      </c>
      <c r="D43" s="40" t="s">
        <v>230</v>
      </c>
      <c r="E43" s="40" t="s">
        <v>231</v>
      </c>
      <c r="F43" s="39" t="str">
        <f t="shared" si="1"/>
        <v>CORRECT</v>
      </c>
      <c r="G43" s="39" t="s">
        <v>48</v>
      </c>
      <c r="H43" s="41" t="s">
        <v>48</v>
      </c>
      <c r="I43" s="54" t="s">
        <v>232</v>
      </c>
      <c r="J43" s="41">
        <v>36655.0</v>
      </c>
    </row>
    <row r="44" ht="60.0" customHeight="1">
      <c r="A44" s="39">
        <v>41.0</v>
      </c>
      <c r="B44" s="40" t="s">
        <v>233</v>
      </c>
      <c r="C44" s="40" t="s">
        <v>234</v>
      </c>
      <c r="D44" s="40" t="s">
        <v>235</v>
      </c>
      <c r="E44" s="40" t="s">
        <v>236</v>
      </c>
      <c r="F44" s="39" t="str">
        <f t="shared" si="1"/>
        <v>CORRECT</v>
      </c>
      <c r="G44" s="39" t="s">
        <v>42</v>
      </c>
      <c r="H44" s="41" t="s">
        <v>42</v>
      </c>
      <c r="I44" s="54" t="s">
        <v>237</v>
      </c>
      <c r="J44" s="41">
        <v>19926.0</v>
      </c>
    </row>
    <row r="45" ht="60.0" customHeight="1">
      <c r="A45" s="39">
        <v>42.0</v>
      </c>
      <c r="B45" s="40" t="s">
        <v>238</v>
      </c>
      <c r="C45" s="40" t="s">
        <v>239</v>
      </c>
      <c r="D45" s="40" t="s">
        <v>240</v>
      </c>
      <c r="E45" s="40" t="s">
        <v>241</v>
      </c>
      <c r="F45" s="39" t="str">
        <f t="shared" si="1"/>
        <v>WRONG</v>
      </c>
      <c r="G45" s="39" t="s">
        <v>36</v>
      </c>
      <c r="H45" s="41" t="s">
        <v>42</v>
      </c>
      <c r="I45" s="54" t="s">
        <v>242</v>
      </c>
      <c r="J45" s="41">
        <v>25841.0</v>
      </c>
    </row>
    <row r="46" ht="60.0" customHeight="1">
      <c r="A46" s="39">
        <v>43.0</v>
      </c>
      <c r="B46" s="40" t="s">
        <v>243</v>
      </c>
      <c r="C46" s="40" t="s">
        <v>244</v>
      </c>
      <c r="D46" s="40" t="s">
        <v>245</v>
      </c>
      <c r="E46" s="40" t="s">
        <v>246</v>
      </c>
      <c r="F46" s="39" t="str">
        <f t="shared" si="1"/>
        <v>WRONG</v>
      </c>
      <c r="G46" s="39" t="s">
        <v>48</v>
      </c>
      <c r="H46" s="41" t="s">
        <v>36</v>
      </c>
      <c r="I46" s="54" t="s">
        <v>247</v>
      </c>
      <c r="J46" s="41">
        <v>29446.0</v>
      </c>
    </row>
    <row r="47" ht="60.0" customHeight="1">
      <c r="A47" s="39">
        <v>44.0</v>
      </c>
      <c r="B47" s="40" t="s">
        <v>248</v>
      </c>
      <c r="C47" s="40" t="s">
        <v>249</v>
      </c>
      <c r="D47" s="40" t="s">
        <v>250</v>
      </c>
      <c r="E47" s="40" t="s">
        <v>251</v>
      </c>
      <c r="F47" s="39" t="str">
        <f t="shared" si="1"/>
        <v>WRONG</v>
      </c>
      <c r="G47" s="39" t="s">
        <v>36</v>
      </c>
      <c r="H47" s="41" t="s">
        <v>48</v>
      </c>
      <c r="I47" s="54" t="s">
        <v>252</v>
      </c>
      <c r="J47" s="41">
        <v>30628.0</v>
      </c>
    </row>
    <row r="48" ht="60.0" customHeight="1">
      <c r="A48" s="39">
        <v>45.0</v>
      </c>
      <c r="B48" s="40" t="s">
        <v>253</v>
      </c>
      <c r="C48" s="40" t="s">
        <v>254</v>
      </c>
      <c r="D48" s="40" t="s">
        <v>255</v>
      </c>
      <c r="E48" s="40" t="s">
        <v>256</v>
      </c>
      <c r="F48" s="39" t="str">
        <f t="shared" si="1"/>
        <v>CORRECT</v>
      </c>
      <c r="G48" s="39" t="s">
        <v>36</v>
      </c>
      <c r="H48" s="41" t="s">
        <v>36</v>
      </c>
      <c r="I48" s="54" t="s">
        <v>257</v>
      </c>
      <c r="J48" s="41">
        <v>28562.0</v>
      </c>
    </row>
    <row r="49" ht="60.0" customHeight="1">
      <c r="A49" s="39">
        <v>46.0</v>
      </c>
      <c r="B49" s="40" t="s">
        <v>258</v>
      </c>
      <c r="C49" s="40" t="s">
        <v>39</v>
      </c>
      <c r="D49" s="40" t="s">
        <v>259</v>
      </c>
      <c r="E49" s="40" t="s">
        <v>260</v>
      </c>
      <c r="F49" s="39" t="str">
        <f t="shared" si="1"/>
        <v>CORRECT</v>
      </c>
      <c r="G49" s="39" t="s">
        <v>36</v>
      </c>
      <c r="H49" s="41" t="s">
        <v>36</v>
      </c>
      <c r="I49" s="54" t="s">
        <v>261</v>
      </c>
      <c r="J49" s="41">
        <v>26548.0</v>
      </c>
    </row>
    <row r="50">
      <c r="A50" s="44" t="s">
        <v>262</v>
      </c>
      <c r="B50" s="2"/>
      <c r="C50" s="2"/>
      <c r="D50" s="2"/>
      <c r="E50" s="3"/>
      <c r="F50" s="45">
        <f>COUNTIFS(F4:F49,"CORRECT")</f>
        <v>26</v>
      </c>
      <c r="G50" s="46"/>
      <c r="H50" s="46"/>
      <c r="J50" s="47">
        <f>AVERAGE(J4:J49)</f>
        <v>28096.02174</v>
      </c>
    </row>
    <row r="51">
      <c r="A51" s="48" t="s">
        <v>263</v>
      </c>
      <c r="B51" s="2"/>
      <c r="C51" s="2"/>
      <c r="D51" s="2"/>
      <c r="E51" s="3"/>
      <c r="F51" s="49">
        <v>46.0</v>
      </c>
      <c r="G51" s="46"/>
      <c r="H51" s="46"/>
    </row>
    <row r="52">
      <c r="A52" s="44" t="s">
        <v>264</v>
      </c>
      <c r="B52" s="2"/>
      <c r="C52" s="2"/>
      <c r="D52" s="2"/>
      <c r="E52" s="3"/>
      <c r="F52" s="50">
        <f>F50/F51</f>
        <v>0.5652173913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306</v>
      </c>
      <c r="C2" s="2"/>
      <c r="D2" s="2"/>
      <c r="E2" s="2"/>
      <c r="F2" s="2"/>
      <c r="G2" s="2"/>
      <c r="H2" s="3"/>
      <c r="I2" s="37" t="s">
        <v>307</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54" t="s">
        <v>37</v>
      </c>
      <c r="J4" s="41">
        <v>36191.0</v>
      </c>
    </row>
    <row r="5" ht="60.0" customHeight="1">
      <c r="A5" s="39">
        <v>2.0</v>
      </c>
      <c r="B5" s="40" t="s">
        <v>38</v>
      </c>
      <c r="C5" s="40" t="s">
        <v>39</v>
      </c>
      <c r="D5" s="40" t="s">
        <v>40</v>
      </c>
      <c r="E5" s="40" t="s">
        <v>41</v>
      </c>
      <c r="F5" s="39" t="str">
        <f t="shared" si="1"/>
        <v>CORRECT</v>
      </c>
      <c r="G5" s="39" t="s">
        <v>42</v>
      </c>
      <c r="H5" s="41" t="s">
        <v>42</v>
      </c>
      <c r="I5" s="54" t="s">
        <v>308</v>
      </c>
      <c r="J5" s="41">
        <v>32000.0</v>
      </c>
    </row>
    <row r="6" ht="60.0" customHeight="1">
      <c r="A6" s="39">
        <v>3.0</v>
      </c>
      <c r="B6" s="40" t="s">
        <v>44</v>
      </c>
      <c r="C6" s="40" t="s">
        <v>45</v>
      </c>
      <c r="D6" s="40" t="s">
        <v>46</v>
      </c>
      <c r="E6" s="40" t="s">
        <v>47</v>
      </c>
      <c r="F6" s="39" t="str">
        <f t="shared" si="1"/>
        <v>CORRECT</v>
      </c>
      <c r="G6" s="39" t="s">
        <v>48</v>
      </c>
      <c r="H6" s="41" t="s">
        <v>48</v>
      </c>
      <c r="I6" s="54" t="s">
        <v>309</v>
      </c>
      <c r="J6" s="41">
        <v>26155.0</v>
      </c>
    </row>
    <row r="7" ht="60.0" customHeight="1">
      <c r="A7" s="39">
        <v>4.0</v>
      </c>
      <c r="B7" s="40" t="s">
        <v>50</v>
      </c>
      <c r="C7" s="40" t="s">
        <v>51</v>
      </c>
      <c r="D7" s="40" t="s">
        <v>52</v>
      </c>
      <c r="E7" s="40" t="s">
        <v>53</v>
      </c>
      <c r="F7" s="39" t="str">
        <f t="shared" si="1"/>
        <v>CORRECT</v>
      </c>
      <c r="G7" s="39" t="s">
        <v>42</v>
      </c>
      <c r="H7" s="41" t="s">
        <v>42</v>
      </c>
      <c r="I7" s="54" t="s">
        <v>310</v>
      </c>
      <c r="J7" s="41">
        <v>21608.0</v>
      </c>
    </row>
    <row r="8" ht="60.0" customHeight="1">
      <c r="A8" s="39">
        <v>5.0</v>
      </c>
      <c r="B8" s="40" t="s">
        <v>55</v>
      </c>
      <c r="C8" s="40" t="s">
        <v>56</v>
      </c>
      <c r="D8" s="40" t="s">
        <v>57</v>
      </c>
      <c r="E8" s="40" t="s">
        <v>58</v>
      </c>
      <c r="F8" s="39" t="str">
        <f t="shared" si="1"/>
        <v>CORRECT</v>
      </c>
      <c r="G8" s="39" t="s">
        <v>48</v>
      </c>
      <c r="H8" s="41" t="s">
        <v>48</v>
      </c>
      <c r="I8" s="54" t="s">
        <v>311</v>
      </c>
      <c r="J8" s="41">
        <v>53572.0</v>
      </c>
    </row>
    <row r="9" ht="60.0" customHeight="1">
      <c r="A9" s="39">
        <v>6.0</v>
      </c>
      <c r="B9" s="40" t="s">
        <v>60</v>
      </c>
      <c r="C9" s="40" t="s">
        <v>61</v>
      </c>
      <c r="D9" s="40" t="s">
        <v>62</v>
      </c>
      <c r="E9" s="40" t="s">
        <v>63</v>
      </c>
      <c r="F9" s="39" t="str">
        <f t="shared" si="1"/>
        <v>CORRECT</v>
      </c>
      <c r="G9" s="39" t="s">
        <v>42</v>
      </c>
      <c r="H9" s="41" t="s">
        <v>42</v>
      </c>
      <c r="I9" s="54" t="s">
        <v>312</v>
      </c>
      <c r="J9" s="41">
        <v>20921.0</v>
      </c>
    </row>
    <row r="10" ht="60.0" customHeight="1">
      <c r="A10" s="39">
        <v>7.0</v>
      </c>
      <c r="B10" s="40" t="s">
        <v>65</v>
      </c>
      <c r="C10" s="40" t="s">
        <v>66</v>
      </c>
      <c r="D10" s="40" t="s">
        <v>67</v>
      </c>
      <c r="E10" s="40" t="s">
        <v>68</v>
      </c>
      <c r="F10" s="39" t="str">
        <f t="shared" si="1"/>
        <v>WRONG</v>
      </c>
      <c r="G10" s="39" t="s">
        <v>42</v>
      </c>
      <c r="H10" s="41" t="s">
        <v>36</v>
      </c>
      <c r="I10" s="54" t="s">
        <v>313</v>
      </c>
      <c r="J10" s="41">
        <v>39857.0</v>
      </c>
    </row>
    <row r="11" ht="60.0" customHeight="1">
      <c r="A11" s="39">
        <v>8.0</v>
      </c>
      <c r="B11" s="40" t="s">
        <v>70</v>
      </c>
      <c r="C11" s="40" t="s">
        <v>71</v>
      </c>
      <c r="D11" s="40" t="s">
        <v>72</v>
      </c>
      <c r="E11" s="40" t="s">
        <v>73</v>
      </c>
      <c r="F11" s="39" t="str">
        <f t="shared" si="1"/>
        <v>WRONG</v>
      </c>
      <c r="G11" s="39" t="s">
        <v>48</v>
      </c>
      <c r="H11" s="41" t="s">
        <v>42</v>
      </c>
      <c r="I11" s="54" t="s">
        <v>314</v>
      </c>
      <c r="J11" s="41">
        <v>30703.0</v>
      </c>
    </row>
    <row r="12" ht="60.0" customHeight="1">
      <c r="A12" s="39">
        <v>9.0</v>
      </c>
      <c r="B12" s="40" t="s">
        <v>75</v>
      </c>
      <c r="C12" s="40" t="s">
        <v>76</v>
      </c>
      <c r="D12" s="40" t="s">
        <v>77</v>
      </c>
      <c r="E12" s="40" t="s">
        <v>78</v>
      </c>
      <c r="F12" s="39" t="str">
        <f t="shared" si="1"/>
        <v>WRONG</v>
      </c>
      <c r="G12" s="39" t="s">
        <v>42</v>
      </c>
      <c r="H12" s="41" t="s">
        <v>48</v>
      </c>
      <c r="I12" s="54" t="s">
        <v>315</v>
      </c>
      <c r="J12" s="41">
        <v>23862.0</v>
      </c>
    </row>
    <row r="13" ht="60.0" customHeight="1">
      <c r="A13" s="39">
        <v>10.0</v>
      </c>
      <c r="B13" s="40" t="s">
        <v>80</v>
      </c>
      <c r="C13" s="40" t="s">
        <v>81</v>
      </c>
      <c r="D13" s="40" t="s">
        <v>82</v>
      </c>
      <c r="E13" s="40" t="s">
        <v>83</v>
      </c>
      <c r="F13" s="39" t="str">
        <f t="shared" si="1"/>
        <v>CORRECT</v>
      </c>
      <c r="G13" s="39" t="s">
        <v>48</v>
      </c>
      <c r="H13" s="41" t="s">
        <v>48</v>
      </c>
      <c r="I13" s="54" t="s">
        <v>316</v>
      </c>
      <c r="J13" s="41">
        <v>31967.0</v>
      </c>
    </row>
    <row r="14" ht="60.0" customHeight="1">
      <c r="A14" s="39">
        <v>11.0</v>
      </c>
      <c r="B14" s="40" t="s">
        <v>85</v>
      </c>
      <c r="C14" s="40" t="s">
        <v>86</v>
      </c>
      <c r="D14" s="40" t="s">
        <v>87</v>
      </c>
      <c r="E14" s="40" t="s">
        <v>88</v>
      </c>
      <c r="F14" s="39" t="str">
        <f t="shared" si="1"/>
        <v>WRONG</v>
      </c>
      <c r="G14" s="39" t="s">
        <v>42</v>
      </c>
      <c r="H14" s="41" t="s">
        <v>48</v>
      </c>
      <c r="I14" s="54" t="s">
        <v>317</v>
      </c>
      <c r="J14" s="41">
        <v>35184.0</v>
      </c>
    </row>
    <row r="15" ht="60.0" customHeight="1">
      <c r="A15" s="39">
        <v>12.0</v>
      </c>
      <c r="B15" s="40" t="s">
        <v>90</v>
      </c>
      <c r="C15" s="40" t="s">
        <v>91</v>
      </c>
      <c r="D15" s="40" t="s">
        <v>92</v>
      </c>
      <c r="E15" s="40" t="s">
        <v>93</v>
      </c>
      <c r="F15" s="39" t="str">
        <f t="shared" si="1"/>
        <v>CORRECT</v>
      </c>
      <c r="G15" s="39" t="s">
        <v>48</v>
      </c>
      <c r="H15" s="41" t="s">
        <v>48</v>
      </c>
      <c r="I15" s="54" t="s">
        <v>318</v>
      </c>
      <c r="J15" s="41">
        <v>31600.0</v>
      </c>
    </row>
    <row r="16" ht="60.0" customHeight="1">
      <c r="A16" s="39">
        <v>13.0</v>
      </c>
      <c r="B16" s="40" t="s">
        <v>95</v>
      </c>
      <c r="C16" s="40" t="s">
        <v>96</v>
      </c>
      <c r="D16" s="40" t="s">
        <v>97</v>
      </c>
      <c r="E16" s="40" t="s">
        <v>98</v>
      </c>
      <c r="F16" s="39" t="str">
        <f t="shared" si="1"/>
        <v>CORRECT</v>
      </c>
      <c r="G16" s="39" t="s">
        <v>36</v>
      </c>
      <c r="H16" s="41" t="s">
        <v>36</v>
      </c>
      <c r="I16" s="54" t="s">
        <v>319</v>
      </c>
      <c r="J16" s="41">
        <v>23306.0</v>
      </c>
    </row>
    <row r="17" ht="60.0" customHeight="1">
      <c r="A17" s="39">
        <v>14.0</v>
      </c>
      <c r="B17" s="40" t="s">
        <v>100</v>
      </c>
      <c r="C17" s="40" t="s">
        <v>101</v>
      </c>
      <c r="D17" s="40" t="s">
        <v>102</v>
      </c>
      <c r="E17" s="40" t="s">
        <v>103</v>
      </c>
      <c r="F17" s="39" t="str">
        <f t="shared" si="1"/>
        <v>WRONG</v>
      </c>
      <c r="G17" s="39" t="s">
        <v>36</v>
      </c>
      <c r="H17" s="41" t="s">
        <v>48</v>
      </c>
      <c r="I17" s="54" t="s">
        <v>320</v>
      </c>
      <c r="J17" s="41">
        <v>29579.0</v>
      </c>
    </row>
    <row r="18" ht="60.0" customHeight="1">
      <c r="A18" s="39">
        <v>15.0</v>
      </c>
      <c r="B18" s="40" t="s">
        <v>105</v>
      </c>
      <c r="C18" s="40" t="s">
        <v>106</v>
      </c>
      <c r="D18" s="40" t="s">
        <v>107</v>
      </c>
      <c r="E18" s="40" t="s">
        <v>108</v>
      </c>
      <c r="F18" s="39" t="str">
        <f t="shared" si="1"/>
        <v>CORRECT</v>
      </c>
      <c r="G18" s="39" t="s">
        <v>48</v>
      </c>
      <c r="H18" s="41" t="s">
        <v>48</v>
      </c>
      <c r="I18" s="54" t="s">
        <v>285</v>
      </c>
      <c r="J18" s="41">
        <v>30953.0</v>
      </c>
    </row>
    <row r="19" ht="60.0" customHeight="1">
      <c r="A19" s="39">
        <v>16.0</v>
      </c>
      <c r="B19" s="40" t="s">
        <v>110</v>
      </c>
      <c r="C19" s="40" t="s">
        <v>111</v>
      </c>
      <c r="D19" s="40" t="s">
        <v>112</v>
      </c>
      <c r="E19" s="40" t="s">
        <v>113</v>
      </c>
      <c r="F19" s="39" t="str">
        <f t="shared" si="1"/>
        <v>WRONG</v>
      </c>
      <c r="G19" s="39" t="s">
        <v>48</v>
      </c>
      <c r="H19" s="41" t="s">
        <v>36</v>
      </c>
      <c r="I19" s="54" t="s">
        <v>321</v>
      </c>
      <c r="J19" s="41">
        <v>27207.0</v>
      </c>
    </row>
    <row r="20" ht="60.0" customHeight="1">
      <c r="A20" s="39">
        <v>17.0</v>
      </c>
      <c r="B20" s="40" t="s">
        <v>115</v>
      </c>
      <c r="C20" s="40" t="s">
        <v>116</v>
      </c>
      <c r="D20" s="40" t="s">
        <v>117</v>
      </c>
      <c r="E20" s="40" t="s">
        <v>118</v>
      </c>
      <c r="F20" s="39" t="str">
        <f t="shared" si="1"/>
        <v>WRONG</v>
      </c>
      <c r="G20" s="39" t="s">
        <v>42</v>
      </c>
      <c r="H20" s="41" t="s">
        <v>36</v>
      </c>
      <c r="I20" s="54" t="s">
        <v>322</v>
      </c>
      <c r="J20" s="41">
        <v>23490.0</v>
      </c>
    </row>
    <row r="21" ht="60.0" customHeight="1">
      <c r="A21" s="39">
        <v>18.0</v>
      </c>
      <c r="B21" s="40" t="s">
        <v>120</v>
      </c>
      <c r="C21" s="40" t="s">
        <v>121</v>
      </c>
      <c r="D21" s="40" t="s">
        <v>122</v>
      </c>
      <c r="E21" s="40" t="s">
        <v>123</v>
      </c>
      <c r="F21" s="39" t="str">
        <f t="shared" si="1"/>
        <v>CORRECT</v>
      </c>
      <c r="G21" s="39" t="s">
        <v>42</v>
      </c>
      <c r="H21" s="41" t="s">
        <v>42</v>
      </c>
      <c r="I21" s="54" t="s">
        <v>323</v>
      </c>
      <c r="J21" s="41">
        <v>23398.0</v>
      </c>
    </row>
    <row r="22" ht="60.0" customHeight="1">
      <c r="A22" s="39">
        <v>19.0</v>
      </c>
      <c r="B22" s="40" t="s">
        <v>125</v>
      </c>
      <c r="C22" s="40" t="s">
        <v>126</v>
      </c>
      <c r="D22" s="40" t="s">
        <v>127</v>
      </c>
      <c r="E22" s="40" t="s">
        <v>128</v>
      </c>
      <c r="F22" s="39" t="str">
        <f t="shared" si="1"/>
        <v>WRONG</v>
      </c>
      <c r="G22" s="39" t="s">
        <v>36</v>
      </c>
      <c r="H22" s="43" t="s">
        <v>48</v>
      </c>
      <c r="I22" s="54" t="s">
        <v>324</v>
      </c>
      <c r="J22" s="41">
        <v>32274.0</v>
      </c>
    </row>
    <row r="23" ht="60.0" customHeight="1">
      <c r="A23" s="39">
        <v>20.0</v>
      </c>
      <c r="B23" s="40" t="s">
        <v>130</v>
      </c>
      <c r="C23" s="40" t="s">
        <v>131</v>
      </c>
      <c r="D23" s="40" t="s">
        <v>132</v>
      </c>
      <c r="E23" s="40" t="s">
        <v>133</v>
      </c>
      <c r="F23" s="39" t="str">
        <f t="shared" si="1"/>
        <v>WRONG</v>
      </c>
      <c r="G23" s="39" t="s">
        <v>42</v>
      </c>
      <c r="H23" s="41" t="s">
        <v>48</v>
      </c>
      <c r="I23" s="54" t="s">
        <v>325</v>
      </c>
      <c r="J23" s="41">
        <v>13425.0</v>
      </c>
    </row>
    <row r="24" ht="60.0" customHeight="1">
      <c r="A24" s="39">
        <v>21.0</v>
      </c>
      <c r="B24" s="40" t="s">
        <v>135</v>
      </c>
      <c r="C24" s="40" t="s">
        <v>136</v>
      </c>
      <c r="D24" s="40" t="s">
        <v>137</v>
      </c>
      <c r="E24" s="40" t="s">
        <v>138</v>
      </c>
      <c r="F24" s="39" t="str">
        <f t="shared" si="1"/>
        <v>WRONG</v>
      </c>
      <c r="G24" s="39" t="s">
        <v>42</v>
      </c>
      <c r="H24" s="41" t="s">
        <v>36</v>
      </c>
      <c r="I24" s="54" t="s">
        <v>326</v>
      </c>
      <c r="J24" s="41">
        <v>21264.0</v>
      </c>
    </row>
    <row r="25" ht="60.0" customHeight="1">
      <c r="A25" s="39">
        <v>22.0</v>
      </c>
      <c r="B25" s="40" t="s">
        <v>140</v>
      </c>
      <c r="C25" s="40" t="s">
        <v>141</v>
      </c>
      <c r="D25" s="40" t="s">
        <v>142</v>
      </c>
      <c r="E25" s="40" t="s">
        <v>143</v>
      </c>
      <c r="F25" s="39" t="str">
        <f t="shared" si="1"/>
        <v>CORRECT</v>
      </c>
      <c r="G25" s="39" t="s">
        <v>42</v>
      </c>
      <c r="H25" s="41" t="s">
        <v>42</v>
      </c>
      <c r="I25" s="54" t="s">
        <v>144</v>
      </c>
      <c r="J25" s="41">
        <v>21931.0</v>
      </c>
    </row>
    <row r="26" ht="60.0" customHeight="1">
      <c r="A26" s="39">
        <v>23.0</v>
      </c>
      <c r="B26" s="40" t="s">
        <v>145</v>
      </c>
      <c r="C26" s="40" t="s">
        <v>146</v>
      </c>
      <c r="D26" s="40" t="s">
        <v>147</v>
      </c>
      <c r="E26" s="40" t="s">
        <v>148</v>
      </c>
      <c r="F26" s="39" t="str">
        <f t="shared" si="1"/>
        <v>CORRECT</v>
      </c>
      <c r="G26" s="39" t="s">
        <v>48</v>
      </c>
      <c r="H26" s="41" t="s">
        <v>48</v>
      </c>
      <c r="I26" s="54" t="s">
        <v>327</v>
      </c>
      <c r="J26" s="41">
        <v>21640.0</v>
      </c>
    </row>
    <row r="27" ht="60.0" customHeight="1">
      <c r="A27" s="39">
        <v>24.0</v>
      </c>
      <c r="B27" s="40" t="s">
        <v>150</v>
      </c>
      <c r="C27" s="40" t="s">
        <v>151</v>
      </c>
      <c r="D27" s="40" t="s">
        <v>152</v>
      </c>
      <c r="E27" s="40" t="s">
        <v>153</v>
      </c>
      <c r="F27" s="39" t="str">
        <f t="shared" si="1"/>
        <v>WRONG</v>
      </c>
      <c r="G27" s="39" t="s">
        <v>36</v>
      </c>
      <c r="H27" s="41" t="s">
        <v>48</v>
      </c>
      <c r="I27" s="54" t="s">
        <v>328</v>
      </c>
      <c r="J27" s="41">
        <v>19587.0</v>
      </c>
    </row>
    <row r="28" ht="60.0" customHeight="1">
      <c r="A28" s="39">
        <v>25.0</v>
      </c>
      <c r="B28" s="40" t="s">
        <v>155</v>
      </c>
      <c r="C28" s="40" t="s">
        <v>151</v>
      </c>
      <c r="D28" s="40" t="s">
        <v>156</v>
      </c>
      <c r="E28" s="40" t="s">
        <v>153</v>
      </c>
      <c r="F28" s="39" t="str">
        <f t="shared" si="1"/>
        <v>WRONG</v>
      </c>
      <c r="G28" s="39" t="s">
        <v>48</v>
      </c>
      <c r="H28" s="43" t="s">
        <v>42</v>
      </c>
      <c r="I28" s="54" t="s">
        <v>329</v>
      </c>
      <c r="J28" s="41">
        <v>15423.0</v>
      </c>
    </row>
    <row r="29" ht="60.0" customHeight="1">
      <c r="A29" s="39">
        <v>26.0</v>
      </c>
      <c r="B29" s="40" t="s">
        <v>158</v>
      </c>
      <c r="C29" s="40" t="s">
        <v>159</v>
      </c>
      <c r="D29" s="40" t="s">
        <v>160</v>
      </c>
      <c r="E29" s="40" t="s">
        <v>161</v>
      </c>
      <c r="F29" s="39" t="str">
        <f t="shared" si="1"/>
        <v>WRONG</v>
      </c>
      <c r="G29" s="39" t="s">
        <v>36</v>
      </c>
      <c r="H29" s="41" t="s">
        <v>48</v>
      </c>
      <c r="I29" s="54" t="s">
        <v>330</v>
      </c>
      <c r="J29" s="41">
        <v>23766.0</v>
      </c>
    </row>
    <row r="30" ht="60.0" customHeight="1">
      <c r="A30" s="39">
        <v>27.0</v>
      </c>
      <c r="B30" s="40" t="s">
        <v>163</v>
      </c>
      <c r="C30" s="40" t="s">
        <v>164</v>
      </c>
      <c r="D30" s="40" t="s">
        <v>165</v>
      </c>
      <c r="E30" s="40" t="s">
        <v>166</v>
      </c>
      <c r="F30" s="39" t="str">
        <f t="shared" si="1"/>
        <v>CORRECT</v>
      </c>
      <c r="G30" s="39" t="s">
        <v>42</v>
      </c>
      <c r="H30" s="41" t="s">
        <v>42</v>
      </c>
      <c r="I30" s="54" t="s">
        <v>331</v>
      </c>
      <c r="J30" s="41">
        <v>21675.0</v>
      </c>
    </row>
    <row r="31" ht="60.0" customHeight="1">
      <c r="A31" s="39">
        <v>28.0</v>
      </c>
      <c r="B31" s="40" t="s">
        <v>168</v>
      </c>
      <c r="C31" s="40" t="s">
        <v>169</v>
      </c>
      <c r="D31" s="40" t="s">
        <v>170</v>
      </c>
      <c r="E31" s="40" t="s">
        <v>171</v>
      </c>
      <c r="F31" s="39" t="str">
        <f t="shared" si="1"/>
        <v>WRONG</v>
      </c>
      <c r="G31" s="39" t="s">
        <v>36</v>
      </c>
      <c r="H31" s="41" t="s">
        <v>42</v>
      </c>
      <c r="I31" s="54" t="s">
        <v>332</v>
      </c>
      <c r="J31" s="41">
        <v>34607.0</v>
      </c>
    </row>
    <row r="32" ht="60.0" customHeight="1">
      <c r="A32" s="39">
        <v>29.0</v>
      </c>
      <c r="B32" s="40" t="s">
        <v>173</v>
      </c>
      <c r="C32" s="40" t="s">
        <v>174</v>
      </c>
      <c r="D32" s="40" t="s">
        <v>175</v>
      </c>
      <c r="E32" s="40" t="s">
        <v>176</v>
      </c>
      <c r="F32" s="39" t="str">
        <f t="shared" si="1"/>
        <v>CORRECT</v>
      </c>
      <c r="G32" s="39" t="s">
        <v>42</v>
      </c>
      <c r="H32" s="41" t="s">
        <v>42</v>
      </c>
      <c r="I32" s="54" t="s">
        <v>333</v>
      </c>
      <c r="J32" s="41">
        <v>28999.0</v>
      </c>
    </row>
    <row r="33" ht="60.0" customHeight="1">
      <c r="A33" s="39">
        <v>30.0</v>
      </c>
      <c r="B33" s="40" t="s">
        <v>178</v>
      </c>
      <c r="C33" s="40" t="s">
        <v>179</v>
      </c>
      <c r="D33" s="40" t="s">
        <v>180</v>
      </c>
      <c r="E33" s="40" t="s">
        <v>181</v>
      </c>
      <c r="F33" s="39" t="str">
        <f t="shared" si="1"/>
        <v>WRONG</v>
      </c>
      <c r="G33" s="39" t="s">
        <v>48</v>
      </c>
      <c r="H33" s="41" t="s">
        <v>36</v>
      </c>
      <c r="I33" s="54" t="s">
        <v>334</v>
      </c>
      <c r="J33" s="41">
        <v>26508.0</v>
      </c>
    </row>
    <row r="34" ht="60.0" customHeight="1">
      <c r="A34" s="39">
        <v>31.0</v>
      </c>
      <c r="B34" s="40" t="s">
        <v>183</v>
      </c>
      <c r="C34" s="40" t="s">
        <v>184</v>
      </c>
      <c r="D34" s="40" t="s">
        <v>185</v>
      </c>
      <c r="E34" s="40" t="s">
        <v>186</v>
      </c>
      <c r="F34" s="39" t="str">
        <f t="shared" si="1"/>
        <v>WRONG</v>
      </c>
      <c r="G34" s="39" t="s">
        <v>42</v>
      </c>
      <c r="H34" s="41" t="s">
        <v>36</v>
      </c>
      <c r="I34" s="54" t="s">
        <v>335</v>
      </c>
      <c r="J34" s="41">
        <v>23442.0</v>
      </c>
    </row>
    <row r="35" ht="60.0" customHeight="1">
      <c r="A35" s="39">
        <v>32.0</v>
      </c>
      <c r="B35" s="40" t="s">
        <v>188</v>
      </c>
      <c r="C35" s="40" t="s">
        <v>189</v>
      </c>
      <c r="D35" s="40" t="s">
        <v>190</v>
      </c>
      <c r="E35" s="40" t="s">
        <v>191</v>
      </c>
      <c r="F35" s="39" t="str">
        <f t="shared" si="1"/>
        <v>CORRECT</v>
      </c>
      <c r="G35" s="39" t="s">
        <v>36</v>
      </c>
      <c r="H35" s="41" t="s">
        <v>36</v>
      </c>
      <c r="I35" s="54" t="s">
        <v>336</v>
      </c>
      <c r="J35" s="41">
        <v>43973.0</v>
      </c>
    </row>
    <row r="36" ht="60.0" customHeight="1">
      <c r="A36" s="39">
        <v>33.0</v>
      </c>
      <c r="B36" s="40" t="s">
        <v>193</v>
      </c>
      <c r="C36" s="40" t="s">
        <v>194</v>
      </c>
      <c r="D36" s="40" t="s">
        <v>195</v>
      </c>
      <c r="E36" s="40" t="s">
        <v>196</v>
      </c>
      <c r="F36" s="39" t="str">
        <f t="shared" si="1"/>
        <v>CORRECT</v>
      </c>
      <c r="G36" s="39" t="s">
        <v>48</v>
      </c>
      <c r="H36" s="43" t="s">
        <v>48</v>
      </c>
      <c r="I36" s="54" t="s">
        <v>337</v>
      </c>
      <c r="J36" s="41">
        <v>25111.0</v>
      </c>
    </row>
    <row r="37" ht="60.0" customHeight="1">
      <c r="A37" s="39">
        <v>34.0</v>
      </c>
      <c r="B37" s="40" t="s">
        <v>198</v>
      </c>
      <c r="C37" s="40" t="s">
        <v>199</v>
      </c>
      <c r="D37" s="40" t="s">
        <v>200</v>
      </c>
      <c r="E37" s="40" t="s">
        <v>201</v>
      </c>
      <c r="F37" s="39" t="str">
        <f t="shared" si="1"/>
        <v>CORRECT</v>
      </c>
      <c r="G37" s="39" t="s">
        <v>36</v>
      </c>
      <c r="H37" s="41" t="s">
        <v>36</v>
      </c>
      <c r="I37" s="54" t="s">
        <v>338</v>
      </c>
      <c r="J37" s="41">
        <v>27023.0</v>
      </c>
    </row>
    <row r="38" ht="60.0" customHeight="1">
      <c r="A38" s="39">
        <v>35.0</v>
      </c>
      <c r="B38" s="40" t="s">
        <v>203</v>
      </c>
      <c r="C38" s="40" t="s">
        <v>204</v>
      </c>
      <c r="D38" s="40" t="s">
        <v>205</v>
      </c>
      <c r="E38" s="40" t="s">
        <v>206</v>
      </c>
      <c r="F38" s="39" t="str">
        <f t="shared" si="1"/>
        <v>CORRECT</v>
      </c>
      <c r="G38" s="39" t="s">
        <v>48</v>
      </c>
      <c r="H38" s="41" t="s">
        <v>48</v>
      </c>
      <c r="I38" s="54" t="s">
        <v>339</v>
      </c>
      <c r="J38" s="41">
        <v>28848.0</v>
      </c>
    </row>
    <row r="39" ht="60.0" customHeight="1">
      <c r="A39" s="39">
        <v>36.0</v>
      </c>
      <c r="B39" s="40" t="s">
        <v>208</v>
      </c>
      <c r="C39" s="40" t="s">
        <v>209</v>
      </c>
      <c r="D39" s="40" t="s">
        <v>210</v>
      </c>
      <c r="E39" s="40" t="s">
        <v>211</v>
      </c>
      <c r="F39" s="39" t="str">
        <f t="shared" si="1"/>
        <v>CORRECT</v>
      </c>
      <c r="G39" s="39" t="s">
        <v>36</v>
      </c>
      <c r="H39" s="41" t="s">
        <v>36</v>
      </c>
      <c r="I39" s="54" t="s">
        <v>296</v>
      </c>
      <c r="J39" s="41">
        <v>19659.0</v>
      </c>
    </row>
    <row r="40" ht="60.0" customHeight="1">
      <c r="A40" s="39">
        <v>37.0</v>
      </c>
      <c r="B40" s="40" t="s">
        <v>213</v>
      </c>
      <c r="C40" s="40" t="s">
        <v>214</v>
      </c>
      <c r="D40" s="40" t="s">
        <v>215</v>
      </c>
      <c r="E40" s="40" t="s">
        <v>216</v>
      </c>
      <c r="F40" s="39" t="str">
        <f t="shared" si="1"/>
        <v>WRONG</v>
      </c>
      <c r="G40" s="39" t="s">
        <v>36</v>
      </c>
      <c r="H40" s="41" t="s">
        <v>42</v>
      </c>
      <c r="I40" s="54" t="s">
        <v>340</v>
      </c>
      <c r="J40" s="41">
        <v>19653.0</v>
      </c>
    </row>
    <row r="41" ht="60.0" customHeight="1">
      <c r="A41" s="39">
        <v>38.0</v>
      </c>
      <c r="B41" s="40" t="s">
        <v>218</v>
      </c>
      <c r="C41" s="40" t="s">
        <v>219</v>
      </c>
      <c r="D41" s="40" t="s">
        <v>220</v>
      </c>
      <c r="E41" s="40" t="s">
        <v>221</v>
      </c>
      <c r="F41" s="39" t="str">
        <f t="shared" si="1"/>
        <v>CORRECT</v>
      </c>
      <c r="G41" s="39" t="s">
        <v>36</v>
      </c>
      <c r="H41" s="41" t="s">
        <v>36</v>
      </c>
      <c r="I41" s="54" t="s">
        <v>341</v>
      </c>
      <c r="J41" s="41">
        <v>23021.0</v>
      </c>
    </row>
    <row r="42" ht="60.0" customHeight="1">
      <c r="A42" s="39">
        <v>39.0</v>
      </c>
      <c r="B42" s="40" t="s">
        <v>223</v>
      </c>
      <c r="C42" s="40" t="s">
        <v>224</v>
      </c>
      <c r="D42" s="40" t="s">
        <v>225</v>
      </c>
      <c r="E42" s="40" t="s">
        <v>226</v>
      </c>
      <c r="F42" s="39" t="str">
        <f t="shared" si="1"/>
        <v>WRONG</v>
      </c>
      <c r="G42" s="39" t="s">
        <v>42</v>
      </c>
      <c r="H42" s="41" t="s">
        <v>48</v>
      </c>
      <c r="I42" s="54" t="s">
        <v>227</v>
      </c>
      <c r="J42" s="41">
        <v>26294.0</v>
      </c>
    </row>
    <row r="43" ht="60.0" customHeight="1">
      <c r="A43" s="39">
        <v>40.0</v>
      </c>
      <c r="B43" s="40" t="s">
        <v>228</v>
      </c>
      <c r="C43" s="40" t="s">
        <v>229</v>
      </c>
      <c r="D43" s="40" t="s">
        <v>230</v>
      </c>
      <c r="E43" s="40" t="s">
        <v>231</v>
      </c>
      <c r="F43" s="39" t="str">
        <f t="shared" si="1"/>
        <v>CORRECT</v>
      </c>
      <c r="G43" s="39" t="s">
        <v>48</v>
      </c>
      <c r="H43" s="41" t="s">
        <v>48</v>
      </c>
      <c r="I43" s="54" t="s">
        <v>342</v>
      </c>
      <c r="J43" s="41">
        <v>41942.0</v>
      </c>
    </row>
    <row r="44" ht="60.0" customHeight="1">
      <c r="A44" s="39">
        <v>41.0</v>
      </c>
      <c r="B44" s="40" t="s">
        <v>233</v>
      </c>
      <c r="C44" s="40" t="s">
        <v>234</v>
      </c>
      <c r="D44" s="40" t="s">
        <v>235</v>
      </c>
      <c r="E44" s="40" t="s">
        <v>236</v>
      </c>
      <c r="F44" s="39" t="str">
        <f t="shared" si="1"/>
        <v>CORRECT</v>
      </c>
      <c r="G44" s="39" t="s">
        <v>42</v>
      </c>
      <c r="H44" s="41" t="s">
        <v>42</v>
      </c>
      <c r="I44" s="54" t="s">
        <v>343</v>
      </c>
      <c r="J44" s="41">
        <v>20756.0</v>
      </c>
    </row>
    <row r="45" ht="60.0" customHeight="1">
      <c r="A45" s="39">
        <v>42.0</v>
      </c>
      <c r="B45" s="40" t="s">
        <v>238</v>
      </c>
      <c r="C45" s="40" t="s">
        <v>239</v>
      </c>
      <c r="D45" s="40" t="s">
        <v>240</v>
      </c>
      <c r="E45" s="40" t="s">
        <v>241</v>
      </c>
      <c r="F45" s="39" t="str">
        <f t="shared" si="1"/>
        <v>WRONG</v>
      </c>
      <c r="G45" s="39" t="s">
        <v>36</v>
      </c>
      <c r="H45" s="41" t="s">
        <v>42</v>
      </c>
      <c r="I45" s="54" t="s">
        <v>344</v>
      </c>
      <c r="J45" s="41">
        <v>27980.0</v>
      </c>
    </row>
    <row r="46" ht="60.0" customHeight="1">
      <c r="A46" s="39">
        <v>43.0</v>
      </c>
      <c r="B46" s="40" t="s">
        <v>243</v>
      </c>
      <c r="C46" s="40" t="s">
        <v>244</v>
      </c>
      <c r="D46" s="40" t="s">
        <v>245</v>
      </c>
      <c r="E46" s="40" t="s">
        <v>246</v>
      </c>
      <c r="F46" s="39" t="str">
        <f t="shared" si="1"/>
        <v>WRONG</v>
      </c>
      <c r="G46" s="39" t="s">
        <v>48</v>
      </c>
      <c r="H46" s="41" t="s">
        <v>36</v>
      </c>
      <c r="I46" s="54" t="s">
        <v>345</v>
      </c>
      <c r="J46" s="41">
        <v>25493.0</v>
      </c>
    </row>
    <row r="47" ht="60.0" customHeight="1">
      <c r="A47" s="39">
        <v>44.0</v>
      </c>
      <c r="B47" s="40" t="s">
        <v>248</v>
      </c>
      <c r="C47" s="40" t="s">
        <v>249</v>
      </c>
      <c r="D47" s="40" t="s">
        <v>250</v>
      </c>
      <c r="E47" s="40" t="s">
        <v>251</v>
      </c>
      <c r="F47" s="39" t="str">
        <f t="shared" si="1"/>
        <v>WRONG</v>
      </c>
      <c r="G47" s="39" t="s">
        <v>36</v>
      </c>
      <c r="H47" s="41" t="s">
        <v>48</v>
      </c>
      <c r="I47" s="54" t="s">
        <v>346</v>
      </c>
      <c r="J47" s="41">
        <v>32612.0</v>
      </c>
    </row>
    <row r="48" ht="60.0" customHeight="1">
      <c r="A48" s="39">
        <v>45.0</v>
      </c>
      <c r="B48" s="40" t="s">
        <v>253</v>
      </c>
      <c r="C48" s="40" t="s">
        <v>254</v>
      </c>
      <c r="D48" s="40" t="s">
        <v>255</v>
      </c>
      <c r="E48" s="40" t="s">
        <v>256</v>
      </c>
      <c r="F48" s="39" t="str">
        <f t="shared" si="1"/>
        <v>CORRECT</v>
      </c>
      <c r="G48" s="39" t="s">
        <v>36</v>
      </c>
      <c r="H48" s="41" t="s">
        <v>36</v>
      </c>
      <c r="I48" s="54" t="s">
        <v>347</v>
      </c>
      <c r="J48" s="41">
        <v>48238.0</v>
      </c>
    </row>
    <row r="49" ht="60.0" customHeight="1">
      <c r="A49" s="39">
        <v>46.0</v>
      </c>
      <c r="B49" s="40" t="s">
        <v>258</v>
      </c>
      <c r="C49" s="40" t="s">
        <v>39</v>
      </c>
      <c r="D49" s="40" t="s">
        <v>259</v>
      </c>
      <c r="E49" s="40" t="s">
        <v>260</v>
      </c>
      <c r="F49" s="39" t="str">
        <f t="shared" si="1"/>
        <v>CORRECT</v>
      </c>
      <c r="G49" s="39" t="s">
        <v>36</v>
      </c>
      <c r="H49" s="41" t="s">
        <v>36</v>
      </c>
      <c r="I49" s="54" t="s">
        <v>348</v>
      </c>
      <c r="J49" s="41">
        <v>29619.0</v>
      </c>
    </row>
    <row r="50">
      <c r="A50" s="44" t="s">
        <v>262</v>
      </c>
      <c r="B50" s="2"/>
      <c r="C50" s="2"/>
      <c r="D50" s="2"/>
      <c r="E50" s="3"/>
      <c r="F50" s="45">
        <f>COUNTIFS(F4:F49,"CORRECT")</f>
        <v>25</v>
      </c>
      <c r="G50" s="46"/>
      <c r="H50" s="46"/>
      <c r="J50" s="47">
        <f>AVERAGE(J4:J49)</f>
        <v>27963.3913</v>
      </c>
    </row>
    <row r="51">
      <c r="A51" s="48" t="s">
        <v>263</v>
      </c>
      <c r="B51" s="2"/>
      <c r="C51" s="2"/>
      <c r="D51" s="2"/>
      <c r="E51" s="3"/>
      <c r="F51" s="49">
        <v>46.0</v>
      </c>
      <c r="G51" s="46"/>
      <c r="H51" s="46"/>
    </row>
    <row r="52">
      <c r="A52" s="44" t="s">
        <v>264</v>
      </c>
      <c r="B52" s="2"/>
      <c r="C52" s="2"/>
      <c r="D52" s="2"/>
      <c r="E52" s="3"/>
      <c r="F52" s="50">
        <f>F50/F51</f>
        <v>0.5434782609</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349</v>
      </c>
      <c r="C2" s="2"/>
      <c r="D2" s="2"/>
      <c r="E2" s="2"/>
      <c r="F2" s="2"/>
      <c r="G2" s="2"/>
      <c r="H2" s="3"/>
      <c r="I2" s="37" t="s">
        <v>350</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5" t="s">
        <v>36</v>
      </c>
      <c r="I4" s="54" t="s">
        <v>351</v>
      </c>
      <c r="J4" s="55">
        <v>33007.0</v>
      </c>
    </row>
    <row r="5" ht="60.0" customHeight="1">
      <c r="A5" s="39">
        <v>2.0</v>
      </c>
      <c r="B5" s="40" t="s">
        <v>38</v>
      </c>
      <c r="C5" s="40" t="s">
        <v>39</v>
      </c>
      <c r="D5" s="40" t="s">
        <v>40</v>
      </c>
      <c r="E5" s="40" t="s">
        <v>41</v>
      </c>
      <c r="F5" s="39" t="str">
        <f t="shared" si="1"/>
        <v>CORRECT</v>
      </c>
      <c r="G5" s="39" t="s">
        <v>42</v>
      </c>
      <c r="H5" s="55" t="s">
        <v>42</v>
      </c>
      <c r="I5" s="54" t="s">
        <v>352</v>
      </c>
      <c r="J5" s="55">
        <v>24950.0</v>
      </c>
    </row>
    <row r="6" ht="60.0" customHeight="1">
      <c r="A6" s="39">
        <v>3.0</v>
      </c>
      <c r="B6" s="40" t="s">
        <v>44</v>
      </c>
      <c r="C6" s="40" t="s">
        <v>45</v>
      </c>
      <c r="D6" s="40" t="s">
        <v>46</v>
      </c>
      <c r="E6" s="40" t="s">
        <v>47</v>
      </c>
      <c r="F6" s="39" t="str">
        <f t="shared" si="1"/>
        <v>CORRECT</v>
      </c>
      <c r="G6" s="39" t="s">
        <v>48</v>
      </c>
      <c r="H6" s="55" t="s">
        <v>48</v>
      </c>
      <c r="I6" s="54" t="s">
        <v>353</v>
      </c>
      <c r="J6" s="55">
        <v>30123.0</v>
      </c>
    </row>
    <row r="7" ht="60.0" customHeight="1">
      <c r="A7" s="39">
        <v>4.0</v>
      </c>
      <c r="B7" s="40" t="s">
        <v>50</v>
      </c>
      <c r="C7" s="40" t="s">
        <v>51</v>
      </c>
      <c r="D7" s="40" t="s">
        <v>52</v>
      </c>
      <c r="E7" s="40" t="s">
        <v>53</v>
      </c>
      <c r="F7" s="39" t="str">
        <f t="shared" si="1"/>
        <v>CORRECT</v>
      </c>
      <c r="G7" s="39" t="s">
        <v>42</v>
      </c>
      <c r="H7" s="55" t="s">
        <v>42</v>
      </c>
      <c r="I7" s="54" t="s">
        <v>354</v>
      </c>
      <c r="J7" s="55">
        <v>20086.0</v>
      </c>
    </row>
    <row r="8" ht="60.0" customHeight="1">
      <c r="A8" s="39">
        <v>5.0</v>
      </c>
      <c r="B8" s="40" t="s">
        <v>55</v>
      </c>
      <c r="C8" s="40" t="s">
        <v>56</v>
      </c>
      <c r="D8" s="40" t="s">
        <v>57</v>
      </c>
      <c r="E8" s="40" t="s">
        <v>58</v>
      </c>
      <c r="F8" s="39" t="str">
        <f t="shared" si="1"/>
        <v>WRONG</v>
      </c>
      <c r="G8" s="39" t="s">
        <v>48</v>
      </c>
      <c r="H8" s="56" t="s">
        <v>36</v>
      </c>
      <c r="I8" s="54" t="s">
        <v>355</v>
      </c>
      <c r="J8" s="55">
        <v>56633.0</v>
      </c>
    </row>
    <row r="9" ht="60.0" customHeight="1">
      <c r="A9" s="39">
        <v>6.0</v>
      </c>
      <c r="B9" s="40" t="s">
        <v>60</v>
      </c>
      <c r="C9" s="40" t="s">
        <v>61</v>
      </c>
      <c r="D9" s="40" t="s">
        <v>62</v>
      </c>
      <c r="E9" s="40" t="s">
        <v>63</v>
      </c>
      <c r="F9" s="39" t="str">
        <f t="shared" si="1"/>
        <v>CORRECT</v>
      </c>
      <c r="G9" s="39" t="s">
        <v>42</v>
      </c>
      <c r="H9" s="55" t="s">
        <v>42</v>
      </c>
      <c r="I9" s="54" t="s">
        <v>356</v>
      </c>
      <c r="J9" s="55">
        <v>37895.0</v>
      </c>
    </row>
    <row r="10" ht="60.0" customHeight="1">
      <c r="A10" s="39">
        <v>7.0</v>
      </c>
      <c r="B10" s="40" t="s">
        <v>65</v>
      </c>
      <c r="C10" s="40" t="s">
        <v>66</v>
      </c>
      <c r="D10" s="40" t="s">
        <v>67</v>
      </c>
      <c r="E10" s="40" t="s">
        <v>68</v>
      </c>
      <c r="F10" s="39" t="str">
        <f t="shared" si="1"/>
        <v>CORRECT</v>
      </c>
      <c r="G10" s="39" t="s">
        <v>42</v>
      </c>
      <c r="H10" s="56" t="s">
        <v>42</v>
      </c>
      <c r="I10" s="54" t="s">
        <v>357</v>
      </c>
      <c r="J10" s="55">
        <v>30469.0</v>
      </c>
    </row>
    <row r="11" ht="60.0" customHeight="1">
      <c r="A11" s="39">
        <v>8.0</v>
      </c>
      <c r="B11" s="40" t="s">
        <v>70</v>
      </c>
      <c r="C11" s="40" t="s">
        <v>71</v>
      </c>
      <c r="D11" s="40" t="s">
        <v>72</v>
      </c>
      <c r="E11" s="40" t="s">
        <v>73</v>
      </c>
      <c r="F11" s="39" t="str">
        <f t="shared" si="1"/>
        <v>CORRECT</v>
      </c>
      <c r="G11" s="39" t="s">
        <v>48</v>
      </c>
      <c r="H11" s="55" t="s">
        <v>48</v>
      </c>
      <c r="I11" s="54" t="s">
        <v>358</v>
      </c>
      <c r="J11" s="55">
        <v>23537.0</v>
      </c>
    </row>
    <row r="12" ht="60.0" customHeight="1">
      <c r="A12" s="39">
        <v>9.0</v>
      </c>
      <c r="B12" s="40" t="s">
        <v>75</v>
      </c>
      <c r="C12" s="40" t="s">
        <v>76</v>
      </c>
      <c r="D12" s="40" t="s">
        <v>77</v>
      </c>
      <c r="E12" s="40" t="s">
        <v>78</v>
      </c>
      <c r="F12" s="39" t="str">
        <f t="shared" si="1"/>
        <v>WRONG</v>
      </c>
      <c r="G12" s="39" t="s">
        <v>42</v>
      </c>
      <c r="H12" s="55" t="s">
        <v>48</v>
      </c>
      <c r="I12" s="54" t="s">
        <v>359</v>
      </c>
      <c r="J12" s="55">
        <v>32926.0</v>
      </c>
    </row>
    <row r="13" ht="60.0" customHeight="1">
      <c r="A13" s="39">
        <v>10.0</v>
      </c>
      <c r="B13" s="40" t="s">
        <v>80</v>
      </c>
      <c r="C13" s="40" t="s">
        <v>81</v>
      </c>
      <c r="D13" s="40" t="s">
        <v>82</v>
      </c>
      <c r="E13" s="40" t="s">
        <v>83</v>
      </c>
      <c r="F13" s="39" t="str">
        <f t="shared" si="1"/>
        <v>WRONG</v>
      </c>
      <c r="G13" s="39" t="s">
        <v>48</v>
      </c>
      <c r="H13" s="55" t="s">
        <v>42</v>
      </c>
      <c r="I13" s="54" t="s">
        <v>360</v>
      </c>
      <c r="J13" s="55">
        <v>34593.0</v>
      </c>
    </row>
    <row r="14" ht="60.0" customHeight="1">
      <c r="A14" s="39">
        <v>11.0</v>
      </c>
      <c r="B14" s="40" t="s">
        <v>85</v>
      </c>
      <c r="C14" s="40" t="s">
        <v>86</v>
      </c>
      <c r="D14" s="40" t="s">
        <v>87</v>
      </c>
      <c r="E14" s="40" t="s">
        <v>88</v>
      </c>
      <c r="F14" s="39" t="str">
        <f t="shared" si="1"/>
        <v>WRONG</v>
      </c>
      <c r="G14" s="39" t="s">
        <v>42</v>
      </c>
      <c r="H14" s="55" t="s">
        <v>48</v>
      </c>
      <c r="I14" s="54" t="s">
        <v>361</v>
      </c>
      <c r="J14" s="55">
        <v>42315.0</v>
      </c>
    </row>
    <row r="15" ht="60.0" customHeight="1">
      <c r="A15" s="39">
        <v>12.0</v>
      </c>
      <c r="B15" s="40" t="s">
        <v>90</v>
      </c>
      <c r="C15" s="40" t="s">
        <v>91</v>
      </c>
      <c r="D15" s="40" t="s">
        <v>92</v>
      </c>
      <c r="E15" s="40" t="s">
        <v>93</v>
      </c>
      <c r="F15" s="39" t="str">
        <f t="shared" si="1"/>
        <v>CORRECT</v>
      </c>
      <c r="G15" s="39" t="s">
        <v>48</v>
      </c>
      <c r="H15" s="55" t="s">
        <v>48</v>
      </c>
      <c r="I15" s="54" t="s">
        <v>362</v>
      </c>
      <c r="J15" s="55">
        <v>50527.0</v>
      </c>
    </row>
    <row r="16" ht="60.0" customHeight="1">
      <c r="A16" s="39">
        <v>13.0</v>
      </c>
      <c r="B16" s="40" t="s">
        <v>95</v>
      </c>
      <c r="C16" s="40" t="s">
        <v>96</v>
      </c>
      <c r="D16" s="40" t="s">
        <v>97</v>
      </c>
      <c r="E16" s="40" t="s">
        <v>98</v>
      </c>
      <c r="F16" s="39" t="str">
        <f t="shared" si="1"/>
        <v>CORRECT</v>
      </c>
      <c r="G16" s="39" t="s">
        <v>36</v>
      </c>
      <c r="H16" s="55" t="s">
        <v>36</v>
      </c>
      <c r="I16" s="54" t="s">
        <v>363</v>
      </c>
      <c r="J16" s="55">
        <v>19688.0</v>
      </c>
    </row>
    <row r="17" ht="60.0" customHeight="1">
      <c r="A17" s="39">
        <v>14.0</v>
      </c>
      <c r="B17" s="40" t="s">
        <v>100</v>
      </c>
      <c r="C17" s="40" t="s">
        <v>101</v>
      </c>
      <c r="D17" s="40" t="s">
        <v>102</v>
      </c>
      <c r="E17" s="40" t="s">
        <v>103</v>
      </c>
      <c r="F17" s="39" t="str">
        <f t="shared" si="1"/>
        <v>WRONG</v>
      </c>
      <c r="G17" s="39" t="s">
        <v>36</v>
      </c>
      <c r="H17" s="55" t="s">
        <v>48</v>
      </c>
      <c r="I17" s="54" t="s">
        <v>364</v>
      </c>
      <c r="J17" s="55">
        <v>41200.0</v>
      </c>
    </row>
    <row r="18" ht="60.0" customHeight="1">
      <c r="A18" s="39">
        <v>15.0</v>
      </c>
      <c r="B18" s="40" t="s">
        <v>105</v>
      </c>
      <c r="C18" s="40" t="s">
        <v>106</v>
      </c>
      <c r="D18" s="40" t="s">
        <v>107</v>
      </c>
      <c r="E18" s="40" t="s">
        <v>108</v>
      </c>
      <c r="F18" s="39" t="str">
        <f t="shared" si="1"/>
        <v>CORRECT</v>
      </c>
      <c r="G18" s="39" t="s">
        <v>48</v>
      </c>
      <c r="H18" s="55" t="s">
        <v>48</v>
      </c>
      <c r="I18" s="54" t="s">
        <v>365</v>
      </c>
      <c r="J18" s="55">
        <v>31732.0</v>
      </c>
    </row>
    <row r="19" ht="60.0" customHeight="1">
      <c r="A19" s="39">
        <v>16.0</v>
      </c>
      <c r="B19" s="40" t="s">
        <v>110</v>
      </c>
      <c r="C19" s="40" t="s">
        <v>111</v>
      </c>
      <c r="D19" s="40" t="s">
        <v>112</v>
      </c>
      <c r="E19" s="40" t="s">
        <v>113</v>
      </c>
      <c r="F19" s="39" t="str">
        <f t="shared" si="1"/>
        <v>CORRECT</v>
      </c>
      <c r="G19" s="39" t="s">
        <v>48</v>
      </c>
      <c r="H19" s="56" t="s">
        <v>48</v>
      </c>
      <c r="I19" s="54" t="s">
        <v>366</v>
      </c>
      <c r="J19" s="55">
        <v>18922.0</v>
      </c>
    </row>
    <row r="20" ht="60.0" customHeight="1">
      <c r="A20" s="39">
        <v>17.0</v>
      </c>
      <c r="B20" s="40" t="s">
        <v>115</v>
      </c>
      <c r="C20" s="40" t="s">
        <v>116</v>
      </c>
      <c r="D20" s="40" t="s">
        <v>117</v>
      </c>
      <c r="E20" s="40" t="s">
        <v>118</v>
      </c>
      <c r="F20" s="39" t="str">
        <f t="shared" si="1"/>
        <v>WRONG</v>
      </c>
      <c r="G20" s="39" t="s">
        <v>42</v>
      </c>
      <c r="H20" s="55" t="s">
        <v>36</v>
      </c>
      <c r="I20" s="54" t="s">
        <v>367</v>
      </c>
      <c r="J20" s="55">
        <v>33023.0</v>
      </c>
    </row>
    <row r="21" ht="60.0" customHeight="1">
      <c r="A21" s="39">
        <v>18.0</v>
      </c>
      <c r="B21" s="40" t="s">
        <v>120</v>
      </c>
      <c r="C21" s="40" t="s">
        <v>121</v>
      </c>
      <c r="D21" s="40" t="s">
        <v>122</v>
      </c>
      <c r="E21" s="40" t="s">
        <v>123</v>
      </c>
      <c r="F21" s="39" t="str">
        <f t="shared" si="1"/>
        <v>CORRECT</v>
      </c>
      <c r="G21" s="39" t="s">
        <v>42</v>
      </c>
      <c r="H21" s="55" t="s">
        <v>42</v>
      </c>
      <c r="I21" s="54" t="s">
        <v>368</v>
      </c>
      <c r="J21" s="55">
        <v>29981.0</v>
      </c>
    </row>
    <row r="22" ht="60.0" customHeight="1">
      <c r="A22" s="39">
        <v>19.0</v>
      </c>
      <c r="B22" s="40" t="s">
        <v>125</v>
      </c>
      <c r="C22" s="40" t="s">
        <v>126</v>
      </c>
      <c r="D22" s="40" t="s">
        <v>127</v>
      </c>
      <c r="E22" s="40" t="s">
        <v>128</v>
      </c>
      <c r="F22" s="39" t="str">
        <f t="shared" si="1"/>
        <v>WRONG</v>
      </c>
      <c r="G22" s="39" t="s">
        <v>36</v>
      </c>
      <c r="H22" s="55" t="s">
        <v>48</v>
      </c>
      <c r="I22" s="54" t="s">
        <v>369</v>
      </c>
      <c r="J22" s="55">
        <v>30705.0</v>
      </c>
    </row>
    <row r="23" ht="60.0" customHeight="1">
      <c r="A23" s="39">
        <v>20.0</v>
      </c>
      <c r="B23" s="40" t="s">
        <v>130</v>
      </c>
      <c r="C23" s="40" t="s">
        <v>131</v>
      </c>
      <c r="D23" s="40" t="s">
        <v>132</v>
      </c>
      <c r="E23" s="40" t="s">
        <v>133</v>
      </c>
      <c r="F23" s="39" t="str">
        <f t="shared" si="1"/>
        <v>WRONG</v>
      </c>
      <c r="G23" s="39" t="s">
        <v>42</v>
      </c>
      <c r="H23" s="55" t="s">
        <v>48</v>
      </c>
      <c r="I23" s="54" t="s">
        <v>370</v>
      </c>
      <c r="J23" s="55">
        <v>16699.0</v>
      </c>
    </row>
    <row r="24" ht="60.0" customHeight="1">
      <c r="A24" s="39">
        <v>21.0</v>
      </c>
      <c r="B24" s="40" t="s">
        <v>135</v>
      </c>
      <c r="C24" s="40" t="s">
        <v>136</v>
      </c>
      <c r="D24" s="40" t="s">
        <v>137</v>
      </c>
      <c r="E24" s="40" t="s">
        <v>138</v>
      </c>
      <c r="F24" s="39" t="str">
        <f t="shared" si="1"/>
        <v>WRONG</v>
      </c>
      <c r="G24" s="39" t="s">
        <v>42</v>
      </c>
      <c r="H24" s="55" t="s">
        <v>36</v>
      </c>
      <c r="I24" s="54" t="s">
        <v>371</v>
      </c>
      <c r="J24" s="55">
        <v>18796.0</v>
      </c>
    </row>
    <row r="25" ht="60.0" customHeight="1">
      <c r="A25" s="39">
        <v>22.0</v>
      </c>
      <c r="B25" s="40" t="s">
        <v>140</v>
      </c>
      <c r="C25" s="40" t="s">
        <v>141</v>
      </c>
      <c r="D25" s="40" t="s">
        <v>142</v>
      </c>
      <c r="E25" s="40" t="s">
        <v>143</v>
      </c>
      <c r="F25" s="39" t="str">
        <f t="shared" si="1"/>
        <v>CORRECT</v>
      </c>
      <c r="G25" s="39" t="s">
        <v>42</v>
      </c>
      <c r="H25" s="55" t="s">
        <v>42</v>
      </c>
      <c r="I25" s="54" t="s">
        <v>372</v>
      </c>
      <c r="J25" s="55">
        <v>17974.0</v>
      </c>
    </row>
    <row r="26" ht="60.0" customHeight="1">
      <c r="A26" s="39">
        <v>23.0</v>
      </c>
      <c r="B26" s="40" t="s">
        <v>145</v>
      </c>
      <c r="C26" s="40" t="s">
        <v>146</v>
      </c>
      <c r="D26" s="40" t="s">
        <v>147</v>
      </c>
      <c r="E26" s="40" t="s">
        <v>148</v>
      </c>
      <c r="F26" s="39" t="str">
        <f t="shared" si="1"/>
        <v>WRONG</v>
      </c>
      <c r="G26" s="39" t="s">
        <v>48</v>
      </c>
      <c r="H26" s="56" t="s">
        <v>36</v>
      </c>
      <c r="I26" s="54" t="s">
        <v>373</v>
      </c>
      <c r="J26" s="55">
        <v>22857.0</v>
      </c>
    </row>
    <row r="27" ht="60.0" customHeight="1">
      <c r="A27" s="39">
        <v>24.0</v>
      </c>
      <c r="B27" s="40" t="s">
        <v>150</v>
      </c>
      <c r="C27" s="40" t="s">
        <v>151</v>
      </c>
      <c r="D27" s="40" t="s">
        <v>152</v>
      </c>
      <c r="E27" s="40" t="s">
        <v>153</v>
      </c>
      <c r="F27" s="39" t="str">
        <f t="shared" si="1"/>
        <v>WRONG</v>
      </c>
      <c r="G27" s="39" t="s">
        <v>36</v>
      </c>
      <c r="H27" s="56" t="s">
        <v>42</v>
      </c>
      <c r="I27" s="54" t="s">
        <v>374</v>
      </c>
      <c r="J27" s="55">
        <v>22549.0</v>
      </c>
    </row>
    <row r="28" ht="60.0" customHeight="1">
      <c r="A28" s="39">
        <v>25.0</v>
      </c>
      <c r="B28" s="40" t="s">
        <v>155</v>
      </c>
      <c r="C28" s="40" t="s">
        <v>151</v>
      </c>
      <c r="D28" s="40" t="s">
        <v>156</v>
      </c>
      <c r="E28" s="40" t="s">
        <v>153</v>
      </c>
      <c r="F28" s="39" t="str">
        <f t="shared" si="1"/>
        <v>CORRECT</v>
      </c>
      <c r="G28" s="39" t="s">
        <v>48</v>
      </c>
      <c r="H28" s="55" t="s">
        <v>48</v>
      </c>
      <c r="I28" s="54" t="s">
        <v>375</v>
      </c>
      <c r="J28" s="55">
        <v>22508.0</v>
      </c>
    </row>
    <row r="29" ht="60.0" customHeight="1">
      <c r="A29" s="39">
        <v>26.0</v>
      </c>
      <c r="B29" s="40" t="s">
        <v>158</v>
      </c>
      <c r="C29" s="40" t="s">
        <v>159</v>
      </c>
      <c r="D29" s="40" t="s">
        <v>160</v>
      </c>
      <c r="E29" s="40" t="s">
        <v>161</v>
      </c>
      <c r="F29" s="39" t="str">
        <f t="shared" si="1"/>
        <v>WRONG</v>
      </c>
      <c r="G29" s="39" t="s">
        <v>36</v>
      </c>
      <c r="H29" s="56" t="s">
        <v>42</v>
      </c>
      <c r="I29" s="54" t="s">
        <v>376</v>
      </c>
      <c r="J29" s="55">
        <v>20353.0</v>
      </c>
    </row>
    <row r="30" ht="60.0" customHeight="1">
      <c r="A30" s="39">
        <v>27.0</v>
      </c>
      <c r="B30" s="40" t="s">
        <v>163</v>
      </c>
      <c r="C30" s="40" t="s">
        <v>164</v>
      </c>
      <c r="D30" s="40" t="s">
        <v>165</v>
      </c>
      <c r="E30" s="40" t="s">
        <v>166</v>
      </c>
      <c r="F30" s="39" t="str">
        <f t="shared" si="1"/>
        <v>CORRECT</v>
      </c>
      <c r="G30" s="39" t="s">
        <v>42</v>
      </c>
      <c r="H30" s="55" t="s">
        <v>42</v>
      </c>
      <c r="I30" s="54" t="s">
        <v>377</v>
      </c>
      <c r="J30" s="55">
        <v>28427.0</v>
      </c>
    </row>
    <row r="31" ht="60.0" customHeight="1">
      <c r="A31" s="39">
        <v>28.0</v>
      </c>
      <c r="B31" s="40" t="s">
        <v>168</v>
      </c>
      <c r="C31" s="40" t="s">
        <v>169</v>
      </c>
      <c r="D31" s="40" t="s">
        <v>170</v>
      </c>
      <c r="E31" s="40" t="s">
        <v>171</v>
      </c>
      <c r="F31" s="39" t="str">
        <f t="shared" si="1"/>
        <v>WRONG</v>
      </c>
      <c r="G31" s="39" t="s">
        <v>36</v>
      </c>
      <c r="H31" s="55" t="s">
        <v>48</v>
      </c>
      <c r="I31" s="54" t="s">
        <v>378</v>
      </c>
      <c r="J31" s="55">
        <v>27117.0</v>
      </c>
    </row>
    <row r="32" ht="60.0" customHeight="1">
      <c r="A32" s="39">
        <v>29.0</v>
      </c>
      <c r="B32" s="40" t="s">
        <v>173</v>
      </c>
      <c r="C32" s="40" t="s">
        <v>174</v>
      </c>
      <c r="D32" s="40" t="s">
        <v>175</v>
      </c>
      <c r="E32" s="40" t="s">
        <v>176</v>
      </c>
      <c r="F32" s="39" t="str">
        <f t="shared" si="1"/>
        <v>CORRECT</v>
      </c>
      <c r="G32" s="39" t="s">
        <v>42</v>
      </c>
      <c r="H32" s="55" t="s">
        <v>42</v>
      </c>
      <c r="I32" s="54" t="s">
        <v>379</v>
      </c>
      <c r="J32" s="55">
        <v>19039.0</v>
      </c>
    </row>
    <row r="33" ht="60.0" customHeight="1">
      <c r="A33" s="39">
        <v>30.0</v>
      </c>
      <c r="B33" s="40" t="s">
        <v>178</v>
      </c>
      <c r="C33" s="40" t="s">
        <v>179</v>
      </c>
      <c r="D33" s="40" t="s">
        <v>180</v>
      </c>
      <c r="E33" s="40" t="s">
        <v>181</v>
      </c>
      <c r="F33" s="39" t="str">
        <f t="shared" si="1"/>
        <v>WRONG</v>
      </c>
      <c r="G33" s="39" t="s">
        <v>48</v>
      </c>
      <c r="H33" s="55" t="s">
        <v>36</v>
      </c>
      <c r="I33" s="54" t="s">
        <v>380</v>
      </c>
      <c r="J33" s="55">
        <v>21887.0</v>
      </c>
    </row>
    <row r="34" ht="60.0" customHeight="1">
      <c r="A34" s="39">
        <v>31.0</v>
      </c>
      <c r="B34" s="40" t="s">
        <v>183</v>
      </c>
      <c r="C34" s="40" t="s">
        <v>184</v>
      </c>
      <c r="D34" s="40" t="s">
        <v>185</v>
      </c>
      <c r="E34" s="40" t="s">
        <v>186</v>
      </c>
      <c r="F34" s="39" t="str">
        <f t="shared" si="1"/>
        <v>WRONG</v>
      </c>
      <c r="G34" s="39" t="s">
        <v>42</v>
      </c>
      <c r="H34" s="55" t="s">
        <v>36</v>
      </c>
      <c r="I34" s="54" t="s">
        <v>381</v>
      </c>
      <c r="J34" s="55">
        <v>29334.0</v>
      </c>
    </row>
    <row r="35" ht="60.0" customHeight="1">
      <c r="A35" s="39">
        <v>32.0</v>
      </c>
      <c r="B35" s="40" t="s">
        <v>188</v>
      </c>
      <c r="C35" s="40" t="s">
        <v>189</v>
      </c>
      <c r="D35" s="40" t="s">
        <v>190</v>
      </c>
      <c r="E35" s="40" t="s">
        <v>191</v>
      </c>
      <c r="F35" s="39" t="str">
        <f t="shared" si="1"/>
        <v>CORRECT</v>
      </c>
      <c r="G35" s="39" t="s">
        <v>36</v>
      </c>
      <c r="H35" s="55" t="s">
        <v>36</v>
      </c>
      <c r="I35" s="54" t="s">
        <v>382</v>
      </c>
      <c r="J35" s="55">
        <v>37171.0</v>
      </c>
    </row>
    <row r="36" ht="60.0" customHeight="1">
      <c r="A36" s="39">
        <v>33.0</v>
      </c>
      <c r="B36" s="40" t="s">
        <v>193</v>
      </c>
      <c r="C36" s="40" t="s">
        <v>194</v>
      </c>
      <c r="D36" s="40" t="s">
        <v>195</v>
      </c>
      <c r="E36" s="40" t="s">
        <v>196</v>
      </c>
      <c r="F36" s="39" t="str">
        <f t="shared" si="1"/>
        <v>CORRECT</v>
      </c>
      <c r="G36" s="39" t="s">
        <v>48</v>
      </c>
      <c r="H36" s="56" t="s">
        <v>48</v>
      </c>
      <c r="I36" s="54" t="s">
        <v>383</v>
      </c>
      <c r="J36" s="55">
        <v>28937.0</v>
      </c>
    </row>
    <row r="37" ht="60.0" customHeight="1">
      <c r="A37" s="39">
        <v>34.0</v>
      </c>
      <c r="B37" s="40" t="s">
        <v>198</v>
      </c>
      <c r="C37" s="40" t="s">
        <v>199</v>
      </c>
      <c r="D37" s="40" t="s">
        <v>200</v>
      </c>
      <c r="E37" s="40" t="s">
        <v>201</v>
      </c>
      <c r="F37" s="39" t="str">
        <f t="shared" si="1"/>
        <v>WRONG</v>
      </c>
      <c r="G37" s="39" t="s">
        <v>36</v>
      </c>
      <c r="H37" s="55" t="s">
        <v>42</v>
      </c>
      <c r="I37" s="54" t="s">
        <v>384</v>
      </c>
      <c r="J37" s="55">
        <v>23685.0</v>
      </c>
    </row>
    <row r="38" ht="60.0" customHeight="1">
      <c r="A38" s="39">
        <v>35.0</v>
      </c>
      <c r="B38" s="40" t="s">
        <v>203</v>
      </c>
      <c r="C38" s="40" t="s">
        <v>204</v>
      </c>
      <c r="D38" s="40" t="s">
        <v>205</v>
      </c>
      <c r="E38" s="40" t="s">
        <v>206</v>
      </c>
      <c r="F38" s="39" t="str">
        <f t="shared" si="1"/>
        <v>WRONG</v>
      </c>
      <c r="G38" s="39" t="s">
        <v>48</v>
      </c>
      <c r="H38" s="56" t="s">
        <v>36</v>
      </c>
      <c r="I38" s="54" t="s">
        <v>385</v>
      </c>
      <c r="J38" s="55">
        <v>25789.0</v>
      </c>
    </row>
    <row r="39" ht="60.0" customHeight="1">
      <c r="A39" s="39">
        <v>36.0</v>
      </c>
      <c r="B39" s="40" t="s">
        <v>208</v>
      </c>
      <c r="C39" s="40" t="s">
        <v>209</v>
      </c>
      <c r="D39" s="40" t="s">
        <v>210</v>
      </c>
      <c r="E39" s="40" t="s">
        <v>211</v>
      </c>
      <c r="F39" s="39" t="str">
        <f t="shared" si="1"/>
        <v>CORRECT</v>
      </c>
      <c r="G39" s="39" t="s">
        <v>36</v>
      </c>
      <c r="H39" s="55" t="s">
        <v>36</v>
      </c>
      <c r="I39" s="54" t="s">
        <v>386</v>
      </c>
      <c r="J39" s="55">
        <v>26594.0</v>
      </c>
    </row>
    <row r="40" ht="60.0" customHeight="1">
      <c r="A40" s="39">
        <v>37.0</v>
      </c>
      <c r="B40" s="40" t="s">
        <v>213</v>
      </c>
      <c r="C40" s="40" t="s">
        <v>214</v>
      </c>
      <c r="D40" s="40" t="s">
        <v>215</v>
      </c>
      <c r="E40" s="40" t="s">
        <v>216</v>
      </c>
      <c r="F40" s="39" t="str">
        <f t="shared" si="1"/>
        <v>WRONG</v>
      </c>
      <c r="G40" s="39" t="s">
        <v>36</v>
      </c>
      <c r="H40" s="55" t="s">
        <v>42</v>
      </c>
      <c r="I40" s="54" t="s">
        <v>387</v>
      </c>
      <c r="J40" s="55">
        <v>16639.0</v>
      </c>
    </row>
    <row r="41" ht="60.0" customHeight="1">
      <c r="A41" s="39">
        <v>38.0</v>
      </c>
      <c r="B41" s="40" t="s">
        <v>218</v>
      </c>
      <c r="C41" s="40" t="s">
        <v>219</v>
      </c>
      <c r="D41" s="40" t="s">
        <v>220</v>
      </c>
      <c r="E41" s="40" t="s">
        <v>221</v>
      </c>
      <c r="F41" s="39" t="str">
        <f t="shared" si="1"/>
        <v>CORRECT</v>
      </c>
      <c r="G41" s="39" t="s">
        <v>36</v>
      </c>
      <c r="H41" s="55" t="s">
        <v>36</v>
      </c>
      <c r="I41" s="54" t="s">
        <v>388</v>
      </c>
      <c r="J41" s="55">
        <v>20189.0</v>
      </c>
    </row>
    <row r="42" ht="60.0" customHeight="1">
      <c r="A42" s="39">
        <v>39.0</v>
      </c>
      <c r="B42" s="40" t="s">
        <v>223</v>
      </c>
      <c r="C42" s="40" t="s">
        <v>224</v>
      </c>
      <c r="D42" s="40" t="s">
        <v>225</v>
      </c>
      <c r="E42" s="40" t="s">
        <v>226</v>
      </c>
      <c r="F42" s="39" t="str">
        <f t="shared" si="1"/>
        <v>CORRECT</v>
      </c>
      <c r="G42" s="39" t="s">
        <v>42</v>
      </c>
      <c r="H42" s="55" t="s">
        <v>42</v>
      </c>
      <c r="I42" s="54" t="s">
        <v>389</v>
      </c>
      <c r="J42" s="55">
        <v>26387.0</v>
      </c>
    </row>
    <row r="43" ht="60.0" customHeight="1">
      <c r="A43" s="39">
        <v>40.0</v>
      </c>
      <c r="B43" s="40" t="s">
        <v>228</v>
      </c>
      <c r="C43" s="40" t="s">
        <v>229</v>
      </c>
      <c r="D43" s="40" t="s">
        <v>230</v>
      </c>
      <c r="E43" s="40" t="s">
        <v>231</v>
      </c>
      <c r="F43" s="39" t="str">
        <f t="shared" si="1"/>
        <v>WRONG</v>
      </c>
      <c r="G43" s="39" t="s">
        <v>48</v>
      </c>
      <c r="H43" s="56" t="s">
        <v>42</v>
      </c>
      <c r="I43" s="54" t="s">
        <v>390</v>
      </c>
      <c r="J43" s="55">
        <v>28162.0</v>
      </c>
    </row>
    <row r="44" ht="60.0" customHeight="1">
      <c r="A44" s="39">
        <v>41.0</v>
      </c>
      <c r="B44" s="40" t="s">
        <v>233</v>
      </c>
      <c r="C44" s="40" t="s">
        <v>234</v>
      </c>
      <c r="D44" s="40" t="s">
        <v>235</v>
      </c>
      <c r="E44" s="40" t="s">
        <v>236</v>
      </c>
      <c r="F44" s="39" t="str">
        <f t="shared" si="1"/>
        <v>CORRECT</v>
      </c>
      <c r="G44" s="39" t="s">
        <v>42</v>
      </c>
      <c r="H44" s="55" t="s">
        <v>42</v>
      </c>
      <c r="I44" s="54" t="s">
        <v>391</v>
      </c>
      <c r="J44" s="55">
        <v>16836.0</v>
      </c>
    </row>
    <row r="45" ht="60.0" customHeight="1">
      <c r="A45" s="39">
        <v>42.0</v>
      </c>
      <c r="B45" s="40" t="s">
        <v>238</v>
      </c>
      <c r="C45" s="40" t="s">
        <v>239</v>
      </c>
      <c r="D45" s="40" t="s">
        <v>240</v>
      </c>
      <c r="E45" s="40" t="s">
        <v>241</v>
      </c>
      <c r="F45" s="39" t="str">
        <f t="shared" si="1"/>
        <v>WRONG</v>
      </c>
      <c r="G45" s="39" t="s">
        <v>36</v>
      </c>
      <c r="H45" s="55" t="s">
        <v>42</v>
      </c>
      <c r="I45" s="54" t="s">
        <v>392</v>
      </c>
      <c r="J45" s="55">
        <v>37439.0</v>
      </c>
    </row>
    <row r="46" ht="60.0" customHeight="1">
      <c r="A46" s="39">
        <v>43.0</v>
      </c>
      <c r="B46" s="40" t="s">
        <v>243</v>
      </c>
      <c r="C46" s="40" t="s">
        <v>244</v>
      </c>
      <c r="D46" s="40" t="s">
        <v>245</v>
      </c>
      <c r="E46" s="40" t="s">
        <v>246</v>
      </c>
      <c r="F46" s="39" t="str">
        <f t="shared" si="1"/>
        <v>WRONG</v>
      </c>
      <c r="G46" s="39" t="s">
        <v>48</v>
      </c>
      <c r="H46" s="55" t="s">
        <v>36</v>
      </c>
      <c r="I46" s="54" t="s">
        <v>393</v>
      </c>
      <c r="J46" s="55">
        <v>29940.0</v>
      </c>
    </row>
    <row r="47" ht="60.0" customHeight="1">
      <c r="A47" s="39">
        <v>44.0</v>
      </c>
      <c r="B47" s="40" t="s">
        <v>248</v>
      </c>
      <c r="C47" s="40" t="s">
        <v>249</v>
      </c>
      <c r="D47" s="40" t="s">
        <v>250</v>
      </c>
      <c r="E47" s="40" t="s">
        <v>251</v>
      </c>
      <c r="F47" s="39" t="str">
        <f t="shared" si="1"/>
        <v>WRONG</v>
      </c>
      <c r="G47" s="39" t="s">
        <v>36</v>
      </c>
      <c r="H47" s="55" t="s">
        <v>48</v>
      </c>
      <c r="I47" s="54" t="s">
        <v>394</v>
      </c>
      <c r="J47" s="55">
        <v>29869.0</v>
      </c>
    </row>
    <row r="48" ht="60.0" customHeight="1">
      <c r="A48" s="39">
        <v>45.0</v>
      </c>
      <c r="B48" s="40" t="s">
        <v>253</v>
      </c>
      <c r="C48" s="40" t="s">
        <v>254</v>
      </c>
      <c r="D48" s="40" t="s">
        <v>255</v>
      </c>
      <c r="E48" s="40" t="s">
        <v>256</v>
      </c>
      <c r="F48" s="39" t="str">
        <f t="shared" si="1"/>
        <v>CORRECT</v>
      </c>
      <c r="G48" s="39" t="s">
        <v>36</v>
      </c>
      <c r="H48" s="55" t="s">
        <v>36</v>
      </c>
      <c r="I48" s="54" t="s">
        <v>395</v>
      </c>
      <c r="J48" s="55">
        <v>61274.0</v>
      </c>
    </row>
    <row r="49" ht="60.0" customHeight="1">
      <c r="A49" s="39">
        <v>46.0</v>
      </c>
      <c r="B49" s="40" t="s">
        <v>258</v>
      </c>
      <c r="C49" s="40" t="s">
        <v>39</v>
      </c>
      <c r="D49" s="40" t="s">
        <v>259</v>
      </c>
      <c r="E49" s="40" t="s">
        <v>260</v>
      </c>
      <c r="F49" s="39" t="str">
        <f t="shared" si="1"/>
        <v>CORRECT</v>
      </c>
      <c r="G49" s="39" t="s">
        <v>36</v>
      </c>
      <c r="H49" s="55" t="s">
        <v>36</v>
      </c>
      <c r="I49" s="54" t="s">
        <v>396</v>
      </c>
      <c r="J49" s="55">
        <v>23066.0</v>
      </c>
    </row>
    <row r="50">
      <c r="A50" s="44" t="s">
        <v>262</v>
      </c>
      <c r="B50" s="2"/>
      <c r="C50" s="2"/>
      <c r="D50" s="2"/>
      <c r="E50" s="3"/>
      <c r="F50" s="45">
        <f>COUNTIFS(F4:F49,"CORRECT")</f>
        <v>24</v>
      </c>
      <c r="G50" s="46"/>
      <c r="H50" s="46"/>
      <c r="J50" s="47">
        <f>AVERAGE(J4:J49)</f>
        <v>28735.41304</v>
      </c>
    </row>
    <row r="51">
      <c r="A51" s="48" t="s">
        <v>263</v>
      </c>
      <c r="B51" s="2"/>
      <c r="C51" s="2"/>
      <c r="D51" s="2"/>
      <c r="E51" s="3"/>
      <c r="F51" s="49">
        <v>46.0</v>
      </c>
      <c r="G51" s="46"/>
      <c r="H51" s="46"/>
    </row>
    <row r="52">
      <c r="A52" s="44" t="s">
        <v>264</v>
      </c>
      <c r="B52" s="2"/>
      <c r="C52" s="2"/>
      <c r="D52" s="2"/>
      <c r="E52" s="3"/>
      <c r="F52" s="50">
        <f>F50/F51</f>
        <v>0.5217391304</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397</v>
      </c>
      <c r="C2" s="2"/>
      <c r="D2" s="2"/>
      <c r="E2" s="2"/>
      <c r="F2" s="2"/>
      <c r="G2" s="2"/>
      <c r="H2" s="3"/>
      <c r="I2" s="37" t="s">
        <v>398</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5" t="s">
        <v>36</v>
      </c>
      <c r="I4" s="54" t="s">
        <v>399</v>
      </c>
      <c r="J4" s="55">
        <v>35092.0</v>
      </c>
    </row>
    <row r="5" ht="60.0" customHeight="1">
      <c r="A5" s="39">
        <v>2.0</v>
      </c>
      <c r="B5" s="40" t="s">
        <v>38</v>
      </c>
      <c r="C5" s="40" t="s">
        <v>39</v>
      </c>
      <c r="D5" s="40" t="s">
        <v>40</v>
      </c>
      <c r="E5" s="40" t="s">
        <v>41</v>
      </c>
      <c r="F5" s="39" t="str">
        <f t="shared" si="1"/>
        <v>CORRECT</v>
      </c>
      <c r="G5" s="39" t="s">
        <v>42</v>
      </c>
      <c r="H5" s="56" t="s">
        <v>42</v>
      </c>
      <c r="I5" s="54" t="s">
        <v>400</v>
      </c>
      <c r="J5" s="55">
        <v>38085.0</v>
      </c>
    </row>
    <row r="6" ht="60.0" customHeight="1">
      <c r="A6" s="39">
        <v>3.0</v>
      </c>
      <c r="B6" s="40" t="s">
        <v>44</v>
      </c>
      <c r="C6" s="40" t="s">
        <v>45</v>
      </c>
      <c r="D6" s="40" t="s">
        <v>46</v>
      </c>
      <c r="E6" s="40" t="s">
        <v>47</v>
      </c>
      <c r="F6" s="39" t="str">
        <f t="shared" si="1"/>
        <v>CORRECT</v>
      </c>
      <c r="G6" s="39" t="s">
        <v>48</v>
      </c>
      <c r="H6" s="55" t="s">
        <v>48</v>
      </c>
      <c r="I6" s="54" t="s">
        <v>401</v>
      </c>
      <c r="J6" s="55">
        <v>24248.0</v>
      </c>
    </row>
    <row r="7" ht="60.0" customHeight="1">
      <c r="A7" s="39">
        <v>4.0</v>
      </c>
      <c r="B7" s="40" t="s">
        <v>50</v>
      </c>
      <c r="C7" s="40" t="s">
        <v>51</v>
      </c>
      <c r="D7" s="40" t="s">
        <v>52</v>
      </c>
      <c r="E7" s="40" t="s">
        <v>53</v>
      </c>
      <c r="F7" s="39" t="str">
        <f t="shared" si="1"/>
        <v>CORRECT</v>
      </c>
      <c r="G7" s="39" t="s">
        <v>42</v>
      </c>
      <c r="H7" s="55" t="s">
        <v>42</v>
      </c>
      <c r="I7" s="54" t="s">
        <v>402</v>
      </c>
      <c r="J7" s="55">
        <v>22511.0</v>
      </c>
    </row>
    <row r="8" ht="60.0" customHeight="1">
      <c r="A8" s="39">
        <v>5.0</v>
      </c>
      <c r="B8" s="40" t="s">
        <v>55</v>
      </c>
      <c r="C8" s="40" t="s">
        <v>56</v>
      </c>
      <c r="D8" s="40" t="s">
        <v>57</v>
      </c>
      <c r="E8" s="40" t="s">
        <v>58</v>
      </c>
      <c r="F8" s="39" t="str">
        <f t="shared" si="1"/>
        <v>CORRECT</v>
      </c>
      <c r="G8" s="39" t="s">
        <v>48</v>
      </c>
      <c r="H8" s="56" t="s">
        <v>48</v>
      </c>
      <c r="I8" s="54" t="s">
        <v>403</v>
      </c>
      <c r="J8" s="55">
        <v>46855.0</v>
      </c>
    </row>
    <row r="9" ht="60.0" customHeight="1">
      <c r="A9" s="39">
        <v>6.0</v>
      </c>
      <c r="B9" s="40" t="s">
        <v>60</v>
      </c>
      <c r="C9" s="40" t="s">
        <v>61</v>
      </c>
      <c r="D9" s="40" t="s">
        <v>62</v>
      </c>
      <c r="E9" s="40" t="s">
        <v>63</v>
      </c>
      <c r="F9" s="39" t="str">
        <f t="shared" si="1"/>
        <v>CORRECT</v>
      </c>
      <c r="G9" s="39" t="s">
        <v>42</v>
      </c>
      <c r="H9" s="55" t="s">
        <v>42</v>
      </c>
      <c r="I9" s="54" t="s">
        <v>404</v>
      </c>
      <c r="J9" s="55">
        <v>24892.0</v>
      </c>
    </row>
    <row r="10" ht="60.0" customHeight="1">
      <c r="A10" s="39">
        <v>7.0</v>
      </c>
      <c r="B10" s="40" t="s">
        <v>65</v>
      </c>
      <c r="C10" s="40" t="s">
        <v>66</v>
      </c>
      <c r="D10" s="40" t="s">
        <v>67</v>
      </c>
      <c r="E10" s="40" t="s">
        <v>68</v>
      </c>
      <c r="F10" s="39" t="str">
        <f t="shared" si="1"/>
        <v>WRONG</v>
      </c>
      <c r="G10" s="39" t="s">
        <v>42</v>
      </c>
      <c r="H10" s="55" t="s">
        <v>36</v>
      </c>
      <c r="I10" s="54" t="s">
        <v>405</v>
      </c>
      <c r="J10" s="55">
        <v>24688.0</v>
      </c>
    </row>
    <row r="11" ht="60.0" customHeight="1">
      <c r="A11" s="39">
        <v>8.0</v>
      </c>
      <c r="B11" s="40" t="s">
        <v>70</v>
      </c>
      <c r="C11" s="40" t="s">
        <v>71</v>
      </c>
      <c r="D11" s="40" t="s">
        <v>72</v>
      </c>
      <c r="E11" s="40" t="s">
        <v>73</v>
      </c>
      <c r="F11" s="39" t="str">
        <f t="shared" si="1"/>
        <v>WRONG</v>
      </c>
      <c r="G11" s="39" t="s">
        <v>48</v>
      </c>
      <c r="H11" s="55" t="s">
        <v>42</v>
      </c>
      <c r="I11" s="54" t="s">
        <v>406</v>
      </c>
      <c r="J11" s="55">
        <v>32900.0</v>
      </c>
    </row>
    <row r="12" ht="60.0" customHeight="1">
      <c r="A12" s="39">
        <v>9.0</v>
      </c>
      <c r="B12" s="40" t="s">
        <v>75</v>
      </c>
      <c r="C12" s="40" t="s">
        <v>76</v>
      </c>
      <c r="D12" s="40" t="s">
        <v>77</v>
      </c>
      <c r="E12" s="40" t="s">
        <v>78</v>
      </c>
      <c r="F12" s="39" t="str">
        <f t="shared" si="1"/>
        <v>WRONG</v>
      </c>
      <c r="G12" s="39" t="s">
        <v>42</v>
      </c>
      <c r="H12" s="56" t="s">
        <v>48</v>
      </c>
      <c r="I12" s="54" t="s">
        <v>407</v>
      </c>
      <c r="J12" s="55">
        <v>30403.0</v>
      </c>
    </row>
    <row r="13" ht="60.0" customHeight="1">
      <c r="A13" s="39">
        <v>10.0</v>
      </c>
      <c r="B13" s="40" t="s">
        <v>80</v>
      </c>
      <c r="C13" s="40" t="s">
        <v>81</v>
      </c>
      <c r="D13" s="40" t="s">
        <v>82</v>
      </c>
      <c r="E13" s="40" t="s">
        <v>83</v>
      </c>
      <c r="F13" s="39" t="str">
        <f t="shared" si="1"/>
        <v>CORRECT</v>
      </c>
      <c r="G13" s="39" t="s">
        <v>48</v>
      </c>
      <c r="H13" s="55" t="s">
        <v>48</v>
      </c>
      <c r="I13" s="54" t="s">
        <v>408</v>
      </c>
      <c r="J13" s="55">
        <v>28463.0</v>
      </c>
    </row>
    <row r="14" ht="60.0" customHeight="1">
      <c r="A14" s="39">
        <v>11.0</v>
      </c>
      <c r="B14" s="40" t="s">
        <v>85</v>
      </c>
      <c r="C14" s="40" t="s">
        <v>86</v>
      </c>
      <c r="D14" s="40" t="s">
        <v>87</v>
      </c>
      <c r="E14" s="40" t="s">
        <v>88</v>
      </c>
      <c r="F14" s="39" t="str">
        <f t="shared" si="1"/>
        <v>WRONG</v>
      </c>
      <c r="G14" s="39" t="s">
        <v>42</v>
      </c>
      <c r="H14" s="56" t="s">
        <v>48</v>
      </c>
      <c r="I14" s="54" t="s">
        <v>409</v>
      </c>
      <c r="J14" s="55">
        <v>51791.0</v>
      </c>
    </row>
    <row r="15" ht="60.0" customHeight="1">
      <c r="A15" s="39">
        <v>12.0</v>
      </c>
      <c r="B15" s="40" t="s">
        <v>90</v>
      </c>
      <c r="C15" s="40" t="s">
        <v>91</v>
      </c>
      <c r="D15" s="40" t="s">
        <v>92</v>
      </c>
      <c r="E15" s="40" t="s">
        <v>93</v>
      </c>
      <c r="F15" s="39" t="str">
        <f t="shared" si="1"/>
        <v>CORRECT</v>
      </c>
      <c r="G15" s="39" t="s">
        <v>48</v>
      </c>
      <c r="H15" s="56" t="s">
        <v>48</v>
      </c>
      <c r="I15" s="54" t="s">
        <v>410</v>
      </c>
      <c r="J15" s="55">
        <v>35132.0</v>
      </c>
    </row>
    <row r="16" ht="60.0" customHeight="1">
      <c r="A16" s="39">
        <v>13.0</v>
      </c>
      <c r="B16" s="40" t="s">
        <v>95</v>
      </c>
      <c r="C16" s="40" t="s">
        <v>96</v>
      </c>
      <c r="D16" s="40" t="s">
        <v>97</v>
      </c>
      <c r="E16" s="40" t="s">
        <v>98</v>
      </c>
      <c r="F16" s="39" t="str">
        <f t="shared" si="1"/>
        <v>CORRECT</v>
      </c>
      <c r="G16" s="39" t="s">
        <v>36</v>
      </c>
      <c r="H16" s="55" t="s">
        <v>36</v>
      </c>
      <c r="I16" s="54" t="s">
        <v>411</v>
      </c>
      <c r="J16" s="55">
        <v>25031.0</v>
      </c>
    </row>
    <row r="17" ht="60.0" customHeight="1">
      <c r="A17" s="39">
        <v>14.0</v>
      </c>
      <c r="B17" s="40" t="s">
        <v>100</v>
      </c>
      <c r="C17" s="40" t="s">
        <v>101</v>
      </c>
      <c r="D17" s="40" t="s">
        <v>102</v>
      </c>
      <c r="E17" s="40" t="s">
        <v>103</v>
      </c>
      <c r="F17" s="39" t="str">
        <f t="shared" si="1"/>
        <v>WRONG</v>
      </c>
      <c r="G17" s="39" t="s">
        <v>36</v>
      </c>
      <c r="H17" s="55" t="s">
        <v>48</v>
      </c>
      <c r="I17" s="54" t="s">
        <v>412</v>
      </c>
      <c r="J17" s="55">
        <v>22604.0</v>
      </c>
    </row>
    <row r="18" ht="60.0" customHeight="1">
      <c r="A18" s="39">
        <v>15.0</v>
      </c>
      <c r="B18" s="40" t="s">
        <v>105</v>
      </c>
      <c r="C18" s="40" t="s">
        <v>106</v>
      </c>
      <c r="D18" s="40" t="s">
        <v>107</v>
      </c>
      <c r="E18" s="40" t="s">
        <v>108</v>
      </c>
      <c r="F18" s="39" t="str">
        <f t="shared" si="1"/>
        <v>CORRECT</v>
      </c>
      <c r="G18" s="39" t="s">
        <v>48</v>
      </c>
      <c r="H18" s="55" t="s">
        <v>48</v>
      </c>
      <c r="I18" s="54" t="s">
        <v>413</v>
      </c>
      <c r="J18" s="55">
        <v>37666.0</v>
      </c>
    </row>
    <row r="19" ht="60.0" customHeight="1">
      <c r="A19" s="39">
        <v>16.0</v>
      </c>
      <c r="B19" s="40" t="s">
        <v>110</v>
      </c>
      <c r="C19" s="40" t="s">
        <v>111</v>
      </c>
      <c r="D19" s="40" t="s">
        <v>112</v>
      </c>
      <c r="E19" s="40" t="s">
        <v>113</v>
      </c>
      <c r="F19" s="39" t="str">
        <f t="shared" si="1"/>
        <v>WRONG</v>
      </c>
      <c r="G19" s="39" t="s">
        <v>48</v>
      </c>
      <c r="H19" s="55" t="s">
        <v>36</v>
      </c>
      <c r="I19" s="54" t="s">
        <v>414</v>
      </c>
      <c r="J19" s="55">
        <v>27010.0</v>
      </c>
    </row>
    <row r="20" ht="60.0" customHeight="1">
      <c r="A20" s="39">
        <v>17.0</v>
      </c>
      <c r="B20" s="40" t="s">
        <v>115</v>
      </c>
      <c r="C20" s="40" t="s">
        <v>116</v>
      </c>
      <c r="D20" s="40" t="s">
        <v>117</v>
      </c>
      <c r="E20" s="40" t="s">
        <v>118</v>
      </c>
      <c r="F20" s="39" t="str">
        <f t="shared" si="1"/>
        <v>WRONG</v>
      </c>
      <c r="G20" s="39" t="s">
        <v>42</v>
      </c>
      <c r="H20" s="55" t="s">
        <v>36</v>
      </c>
      <c r="I20" s="54" t="s">
        <v>415</v>
      </c>
      <c r="J20" s="55">
        <v>28751.0</v>
      </c>
    </row>
    <row r="21" ht="60.0" customHeight="1">
      <c r="A21" s="39">
        <v>18.0</v>
      </c>
      <c r="B21" s="40" t="s">
        <v>120</v>
      </c>
      <c r="C21" s="40" t="s">
        <v>121</v>
      </c>
      <c r="D21" s="40" t="s">
        <v>122</v>
      </c>
      <c r="E21" s="40" t="s">
        <v>123</v>
      </c>
      <c r="F21" s="39" t="str">
        <f t="shared" si="1"/>
        <v>CORRECT</v>
      </c>
      <c r="G21" s="39" t="s">
        <v>42</v>
      </c>
      <c r="H21" s="55" t="s">
        <v>42</v>
      </c>
      <c r="I21" s="54" t="s">
        <v>416</v>
      </c>
      <c r="J21" s="55">
        <v>24210.0</v>
      </c>
    </row>
    <row r="22" ht="60.0" customHeight="1">
      <c r="A22" s="39">
        <v>19.0</v>
      </c>
      <c r="B22" s="40" t="s">
        <v>125</v>
      </c>
      <c r="C22" s="40" t="s">
        <v>126</v>
      </c>
      <c r="D22" s="40" t="s">
        <v>127</v>
      </c>
      <c r="E22" s="40" t="s">
        <v>128</v>
      </c>
      <c r="F22" s="39" t="str">
        <f t="shared" si="1"/>
        <v>WRONG</v>
      </c>
      <c r="G22" s="39" t="s">
        <v>36</v>
      </c>
      <c r="H22" s="56" t="s">
        <v>48</v>
      </c>
      <c r="I22" s="54" t="s">
        <v>417</v>
      </c>
      <c r="J22" s="55">
        <v>30309.0</v>
      </c>
    </row>
    <row r="23" ht="60.0" customHeight="1">
      <c r="A23" s="39">
        <v>20.0</v>
      </c>
      <c r="B23" s="40" t="s">
        <v>130</v>
      </c>
      <c r="C23" s="40" t="s">
        <v>131</v>
      </c>
      <c r="D23" s="40" t="s">
        <v>132</v>
      </c>
      <c r="E23" s="40" t="s">
        <v>133</v>
      </c>
      <c r="F23" s="39" t="str">
        <f t="shared" si="1"/>
        <v>CORRECT</v>
      </c>
      <c r="G23" s="39" t="s">
        <v>42</v>
      </c>
      <c r="H23" s="55" t="s">
        <v>42</v>
      </c>
      <c r="I23" s="54" t="s">
        <v>418</v>
      </c>
      <c r="J23" s="55">
        <v>12426.0</v>
      </c>
    </row>
    <row r="24" ht="60.0" customHeight="1">
      <c r="A24" s="39">
        <v>21.0</v>
      </c>
      <c r="B24" s="40" t="s">
        <v>135</v>
      </c>
      <c r="C24" s="40" t="s">
        <v>136</v>
      </c>
      <c r="D24" s="40" t="s">
        <v>137</v>
      </c>
      <c r="E24" s="40" t="s">
        <v>138</v>
      </c>
      <c r="F24" s="39" t="str">
        <f t="shared" si="1"/>
        <v>WRONG</v>
      </c>
      <c r="G24" s="39" t="s">
        <v>42</v>
      </c>
      <c r="H24" s="55" t="s">
        <v>36</v>
      </c>
      <c r="I24" s="54" t="s">
        <v>419</v>
      </c>
      <c r="J24" s="55">
        <v>21093.0</v>
      </c>
    </row>
    <row r="25" ht="60.0" customHeight="1">
      <c r="A25" s="39">
        <v>22.0</v>
      </c>
      <c r="B25" s="40" t="s">
        <v>140</v>
      </c>
      <c r="C25" s="40" t="s">
        <v>141</v>
      </c>
      <c r="D25" s="40" t="s">
        <v>142</v>
      </c>
      <c r="E25" s="40" t="s">
        <v>143</v>
      </c>
      <c r="F25" s="39" t="str">
        <f t="shared" si="1"/>
        <v>CORRECT</v>
      </c>
      <c r="G25" s="39" t="s">
        <v>42</v>
      </c>
      <c r="H25" s="55" t="s">
        <v>42</v>
      </c>
      <c r="I25" s="54" t="s">
        <v>420</v>
      </c>
      <c r="J25" s="55">
        <v>21540.0</v>
      </c>
    </row>
    <row r="26" ht="60.0" customHeight="1">
      <c r="A26" s="39">
        <v>23.0</v>
      </c>
      <c r="B26" s="40" t="s">
        <v>145</v>
      </c>
      <c r="C26" s="40" t="s">
        <v>146</v>
      </c>
      <c r="D26" s="40" t="s">
        <v>147</v>
      </c>
      <c r="E26" s="40" t="s">
        <v>148</v>
      </c>
      <c r="F26" s="39" t="str">
        <f t="shared" si="1"/>
        <v>CORRECT</v>
      </c>
      <c r="G26" s="39" t="s">
        <v>48</v>
      </c>
      <c r="H26" s="55" t="s">
        <v>48</v>
      </c>
      <c r="I26" s="54" t="s">
        <v>421</v>
      </c>
      <c r="J26" s="55">
        <v>21953.0</v>
      </c>
    </row>
    <row r="27" ht="60.0" customHeight="1">
      <c r="A27" s="39">
        <v>24.0</v>
      </c>
      <c r="B27" s="40" t="s">
        <v>150</v>
      </c>
      <c r="C27" s="40" t="s">
        <v>151</v>
      </c>
      <c r="D27" s="40" t="s">
        <v>152</v>
      </c>
      <c r="E27" s="40" t="s">
        <v>153</v>
      </c>
      <c r="F27" s="39" t="str">
        <f t="shared" si="1"/>
        <v>WRONG</v>
      </c>
      <c r="G27" s="39" t="s">
        <v>36</v>
      </c>
      <c r="H27" s="55" t="s">
        <v>48</v>
      </c>
      <c r="I27" s="54" t="s">
        <v>422</v>
      </c>
      <c r="J27" s="55">
        <v>20592.0</v>
      </c>
    </row>
    <row r="28" ht="60.0" customHeight="1">
      <c r="A28" s="39">
        <v>25.0</v>
      </c>
      <c r="B28" s="40" t="s">
        <v>155</v>
      </c>
      <c r="C28" s="40" t="s">
        <v>151</v>
      </c>
      <c r="D28" s="40" t="s">
        <v>156</v>
      </c>
      <c r="E28" s="40" t="s">
        <v>153</v>
      </c>
      <c r="F28" s="39" t="str">
        <f t="shared" si="1"/>
        <v>WRONG</v>
      </c>
      <c r="G28" s="39" t="s">
        <v>48</v>
      </c>
      <c r="H28" s="56" t="s">
        <v>42</v>
      </c>
      <c r="I28" s="54" t="s">
        <v>423</v>
      </c>
      <c r="J28" s="55">
        <v>18748.0</v>
      </c>
    </row>
    <row r="29" ht="60.0" customHeight="1">
      <c r="A29" s="39">
        <v>26.0</v>
      </c>
      <c r="B29" s="40" t="s">
        <v>158</v>
      </c>
      <c r="C29" s="40" t="s">
        <v>159</v>
      </c>
      <c r="D29" s="40" t="s">
        <v>160</v>
      </c>
      <c r="E29" s="40" t="s">
        <v>161</v>
      </c>
      <c r="F29" s="39" t="str">
        <f t="shared" si="1"/>
        <v>WRONG</v>
      </c>
      <c r="G29" s="39" t="s">
        <v>36</v>
      </c>
      <c r="H29" s="56" t="s">
        <v>48</v>
      </c>
      <c r="I29" s="54" t="s">
        <v>424</v>
      </c>
      <c r="J29" s="55">
        <v>21078.0</v>
      </c>
    </row>
    <row r="30" ht="60.0" customHeight="1">
      <c r="A30" s="39">
        <v>27.0</v>
      </c>
      <c r="B30" s="40" t="s">
        <v>163</v>
      </c>
      <c r="C30" s="40" t="s">
        <v>164</v>
      </c>
      <c r="D30" s="40" t="s">
        <v>165</v>
      </c>
      <c r="E30" s="40" t="s">
        <v>166</v>
      </c>
      <c r="F30" s="39" t="str">
        <f t="shared" si="1"/>
        <v>CORRECT</v>
      </c>
      <c r="G30" s="39" t="s">
        <v>42</v>
      </c>
      <c r="H30" s="56" t="s">
        <v>42</v>
      </c>
      <c r="I30" s="54" t="s">
        <v>425</v>
      </c>
      <c r="J30" s="55">
        <v>23244.0</v>
      </c>
    </row>
    <row r="31" ht="60.0" customHeight="1">
      <c r="A31" s="39">
        <v>28.0</v>
      </c>
      <c r="B31" s="40" t="s">
        <v>168</v>
      </c>
      <c r="C31" s="40" t="s">
        <v>169</v>
      </c>
      <c r="D31" s="40" t="s">
        <v>170</v>
      </c>
      <c r="E31" s="40" t="s">
        <v>171</v>
      </c>
      <c r="F31" s="39" t="str">
        <f t="shared" si="1"/>
        <v>WRONG</v>
      </c>
      <c r="G31" s="39" t="s">
        <v>36</v>
      </c>
      <c r="H31" s="56" t="s">
        <v>42</v>
      </c>
      <c r="I31" s="54" t="s">
        <v>426</v>
      </c>
      <c r="J31" s="55">
        <v>65804.0</v>
      </c>
    </row>
    <row r="32" ht="60.0" customHeight="1">
      <c r="A32" s="39">
        <v>29.0</v>
      </c>
      <c r="B32" s="40" t="s">
        <v>173</v>
      </c>
      <c r="C32" s="40" t="s">
        <v>174</v>
      </c>
      <c r="D32" s="40" t="s">
        <v>175</v>
      </c>
      <c r="E32" s="40" t="s">
        <v>176</v>
      </c>
      <c r="F32" s="39" t="str">
        <f t="shared" si="1"/>
        <v>CORRECT</v>
      </c>
      <c r="G32" s="39" t="s">
        <v>42</v>
      </c>
      <c r="H32" s="55" t="s">
        <v>42</v>
      </c>
      <c r="I32" s="54" t="s">
        <v>427</v>
      </c>
      <c r="J32" s="55">
        <v>25508.0</v>
      </c>
    </row>
    <row r="33" ht="60.0" customHeight="1">
      <c r="A33" s="39">
        <v>30.0</v>
      </c>
      <c r="B33" s="40" t="s">
        <v>178</v>
      </c>
      <c r="C33" s="40" t="s">
        <v>179</v>
      </c>
      <c r="D33" s="40" t="s">
        <v>180</v>
      </c>
      <c r="E33" s="40" t="s">
        <v>181</v>
      </c>
      <c r="F33" s="39" t="str">
        <f t="shared" si="1"/>
        <v>WRONG</v>
      </c>
      <c r="G33" s="39" t="s">
        <v>48</v>
      </c>
      <c r="H33" s="55" t="s">
        <v>36</v>
      </c>
      <c r="I33" s="54" t="s">
        <v>428</v>
      </c>
      <c r="J33" s="55">
        <v>26027.0</v>
      </c>
    </row>
    <row r="34" ht="60.0" customHeight="1">
      <c r="A34" s="39">
        <v>31.0</v>
      </c>
      <c r="B34" s="40" t="s">
        <v>183</v>
      </c>
      <c r="C34" s="40" t="s">
        <v>184</v>
      </c>
      <c r="D34" s="40" t="s">
        <v>185</v>
      </c>
      <c r="E34" s="40" t="s">
        <v>186</v>
      </c>
      <c r="F34" s="39" t="str">
        <f t="shared" si="1"/>
        <v>WRONG</v>
      </c>
      <c r="G34" s="39" t="s">
        <v>42</v>
      </c>
      <c r="H34" s="55" t="s">
        <v>36</v>
      </c>
      <c r="I34" s="54" t="s">
        <v>429</v>
      </c>
      <c r="J34" s="55">
        <v>28707.0</v>
      </c>
    </row>
    <row r="35" ht="60.0" customHeight="1">
      <c r="A35" s="39">
        <v>32.0</v>
      </c>
      <c r="B35" s="40" t="s">
        <v>188</v>
      </c>
      <c r="C35" s="40" t="s">
        <v>189</v>
      </c>
      <c r="D35" s="40" t="s">
        <v>190</v>
      </c>
      <c r="E35" s="40" t="s">
        <v>191</v>
      </c>
      <c r="F35" s="39" t="str">
        <f t="shared" si="1"/>
        <v>CORRECT</v>
      </c>
      <c r="G35" s="39" t="s">
        <v>36</v>
      </c>
      <c r="H35" s="56" t="s">
        <v>36</v>
      </c>
      <c r="I35" s="54" t="s">
        <v>430</v>
      </c>
      <c r="J35" s="55">
        <v>46121.0</v>
      </c>
    </row>
    <row r="36" ht="60.0" customHeight="1">
      <c r="A36" s="39">
        <v>33.0</v>
      </c>
      <c r="B36" s="40" t="s">
        <v>193</v>
      </c>
      <c r="C36" s="40" t="s">
        <v>194</v>
      </c>
      <c r="D36" s="40" t="s">
        <v>195</v>
      </c>
      <c r="E36" s="40" t="s">
        <v>196</v>
      </c>
      <c r="F36" s="39" t="str">
        <f t="shared" si="1"/>
        <v>CORRECT</v>
      </c>
      <c r="G36" s="39" t="s">
        <v>48</v>
      </c>
      <c r="H36" s="56" t="s">
        <v>48</v>
      </c>
      <c r="I36" s="54" t="s">
        <v>431</v>
      </c>
      <c r="J36" s="55">
        <v>43274.0</v>
      </c>
    </row>
    <row r="37" ht="60.0" customHeight="1">
      <c r="A37" s="39">
        <v>34.0</v>
      </c>
      <c r="B37" s="40" t="s">
        <v>198</v>
      </c>
      <c r="C37" s="40" t="s">
        <v>199</v>
      </c>
      <c r="D37" s="40" t="s">
        <v>200</v>
      </c>
      <c r="E37" s="40" t="s">
        <v>201</v>
      </c>
      <c r="F37" s="39" t="str">
        <f t="shared" si="1"/>
        <v>CORRECT</v>
      </c>
      <c r="G37" s="39" t="s">
        <v>36</v>
      </c>
      <c r="H37" s="55" t="s">
        <v>36</v>
      </c>
      <c r="I37" s="54" t="s">
        <v>432</v>
      </c>
      <c r="J37" s="55">
        <v>23957.0</v>
      </c>
    </row>
    <row r="38" ht="60.0" customHeight="1">
      <c r="A38" s="39">
        <v>35.0</v>
      </c>
      <c r="B38" s="40" t="s">
        <v>203</v>
      </c>
      <c r="C38" s="40" t="s">
        <v>204</v>
      </c>
      <c r="D38" s="40" t="s">
        <v>205</v>
      </c>
      <c r="E38" s="40" t="s">
        <v>206</v>
      </c>
      <c r="F38" s="39" t="str">
        <f t="shared" si="1"/>
        <v>CORRECT</v>
      </c>
      <c r="G38" s="39" t="s">
        <v>48</v>
      </c>
      <c r="H38" s="55" t="s">
        <v>48</v>
      </c>
      <c r="I38" s="54" t="s">
        <v>433</v>
      </c>
      <c r="J38" s="55">
        <v>26127.0</v>
      </c>
    </row>
    <row r="39" ht="60.0" customHeight="1">
      <c r="A39" s="39">
        <v>36.0</v>
      </c>
      <c r="B39" s="40" t="s">
        <v>208</v>
      </c>
      <c r="C39" s="40" t="s">
        <v>209</v>
      </c>
      <c r="D39" s="40" t="s">
        <v>210</v>
      </c>
      <c r="E39" s="40" t="s">
        <v>211</v>
      </c>
      <c r="F39" s="39" t="str">
        <f t="shared" si="1"/>
        <v>CORRECT</v>
      </c>
      <c r="G39" s="39" t="s">
        <v>36</v>
      </c>
      <c r="H39" s="55" t="s">
        <v>36</v>
      </c>
      <c r="I39" s="54" t="s">
        <v>434</v>
      </c>
      <c r="J39" s="55">
        <v>19413.0</v>
      </c>
    </row>
    <row r="40" ht="60.0" customHeight="1">
      <c r="A40" s="39">
        <v>37.0</v>
      </c>
      <c r="B40" s="40" t="s">
        <v>213</v>
      </c>
      <c r="C40" s="40" t="s">
        <v>214</v>
      </c>
      <c r="D40" s="40" t="s">
        <v>215</v>
      </c>
      <c r="E40" s="40" t="s">
        <v>216</v>
      </c>
      <c r="F40" s="39" t="str">
        <f t="shared" si="1"/>
        <v>WRONG</v>
      </c>
      <c r="G40" s="39" t="s">
        <v>36</v>
      </c>
      <c r="H40" s="55" t="s">
        <v>42</v>
      </c>
      <c r="I40" s="54" t="s">
        <v>435</v>
      </c>
      <c r="J40" s="55">
        <v>17194.0</v>
      </c>
    </row>
    <row r="41" ht="60.0" customHeight="1">
      <c r="A41" s="39">
        <v>38.0</v>
      </c>
      <c r="B41" s="40" t="s">
        <v>218</v>
      </c>
      <c r="C41" s="40" t="s">
        <v>219</v>
      </c>
      <c r="D41" s="40" t="s">
        <v>220</v>
      </c>
      <c r="E41" s="40" t="s">
        <v>221</v>
      </c>
      <c r="F41" s="39" t="str">
        <f t="shared" si="1"/>
        <v>CORRECT</v>
      </c>
      <c r="G41" s="39" t="s">
        <v>36</v>
      </c>
      <c r="H41" s="55" t="s">
        <v>36</v>
      </c>
      <c r="I41" s="54" t="s">
        <v>436</v>
      </c>
      <c r="J41" s="55">
        <v>25673.0</v>
      </c>
    </row>
    <row r="42" ht="60.0" customHeight="1">
      <c r="A42" s="39">
        <v>39.0</v>
      </c>
      <c r="B42" s="40" t="s">
        <v>223</v>
      </c>
      <c r="C42" s="40" t="s">
        <v>224</v>
      </c>
      <c r="D42" s="40" t="s">
        <v>225</v>
      </c>
      <c r="E42" s="40" t="s">
        <v>226</v>
      </c>
      <c r="F42" s="39" t="str">
        <f t="shared" si="1"/>
        <v>WRONG</v>
      </c>
      <c r="G42" s="39" t="s">
        <v>42</v>
      </c>
      <c r="H42" s="55" t="s">
        <v>48</v>
      </c>
      <c r="I42" s="54" t="s">
        <v>437</v>
      </c>
      <c r="J42" s="55">
        <v>26191.0</v>
      </c>
    </row>
    <row r="43" ht="60.0" customHeight="1">
      <c r="A43" s="39">
        <v>40.0</v>
      </c>
      <c r="B43" s="40" t="s">
        <v>228</v>
      </c>
      <c r="C43" s="40" t="s">
        <v>229</v>
      </c>
      <c r="D43" s="40" t="s">
        <v>230</v>
      </c>
      <c r="E43" s="40" t="s">
        <v>231</v>
      </c>
      <c r="F43" s="39" t="str">
        <f t="shared" si="1"/>
        <v>CORRECT</v>
      </c>
      <c r="G43" s="39" t="s">
        <v>48</v>
      </c>
      <c r="H43" s="55" t="s">
        <v>48</v>
      </c>
      <c r="I43" s="54" t="s">
        <v>438</v>
      </c>
      <c r="J43" s="55">
        <v>47395.0</v>
      </c>
    </row>
    <row r="44" ht="60.0" customHeight="1">
      <c r="A44" s="39">
        <v>41.0</v>
      </c>
      <c r="B44" s="40" t="s">
        <v>233</v>
      </c>
      <c r="C44" s="40" t="s">
        <v>234</v>
      </c>
      <c r="D44" s="40" t="s">
        <v>235</v>
      </c>
      <c r="E44" s="40" t="s">
        <v>236</v>
      </c>
      <c r="F44" s="39" t="str">
        <f t="shared" si="1"/>
        <v>CORRECT</v>
      </c>
      <c r="G44" s="39" t="s">
        <v>42</v>
      </c>
      <c r="H44" s="55" t="s">
        <v>42</v>
      </c>
      <c r="I44" s="54" t="s">
        <v>439</v>
      </c>
      <c r="J44" s="55">
        <v>21094.0</v>
      </c>
    </row>
    <row r="45" ht="60.0" customHeight="1">
      <c r="A45" s="39">
        <v>42.0</v>
      </c>
      <c r="B45" s="40" t="s">
        <v>238</v>
      </c>
      <c r="C45" s="40" t="s">
        <v>239</v>
      </c>
      <c r="D45" s="40" t="s">
        <v>240</v>
      </c>
      <c r="E45" s="40" t="s">
        <v>241</v>
      </c>
      <c r="F45" s="39" t="str">
        <f t="shared" si="1"/>
        <v>WRONG</v>
      </c>
      <c r="G45" s="39" t="s">
        <v>36</v>
      </c>
      <c r="H45" s="55" t="s">
        <v>42</v>
      </c>
      <c r="I45" s="54" t="s">
        <v>440</v>
      </c>
      <c r="J45" s="55">
        <v>26281.0</v>
      </c>
    </row>
    <row r="46" ht="60.0" customHeight="1">
      <c r="A46" s="39">
        <v>43.0</v>
      </c>
      <c r="B46" s="40" t="s">
        <v>243</v>
      </c>
      <c r="C46" s="40" t="s">
        <v>244</v>
      </c>
      <c r="D46" s="40" t="s">
        <v>245</v>
      </c>
      <c r="E46" s="40" t="s">
        <v>246</v>
      </c>
      <c r="F46" s="39" t="str">
        <f t="shared" si="1"/>
        <v>WRONG</v>
      </c>
      <c r="G46" s="39" t="s">
        <v>48</v>
      </c>
      <c r="H46" s="55" t="s">
        <v>36</v>
      </c>
      <c r="I46" s="54" t="s">
        <v>441</v>
      </c>
      <c r="J46" s="55">
        <v>31103.0</v>
      </c>
    </row>
    <row r="47" ht="60.0" customHeight="1">
      <c r="A47" s="39">
        <v>44.0</v>
      </c>
      <c r="B47" s="40" t="s">
        <v>248</v>
      </c>
      <c r="C47" s="40" t="s">
        <v>249</v>
      </c>
      <c r="D47" s="40" t="s">
        <v>250</v>
      </c>
      <c r="E47" s="40" t="s">
        <v>251</v>
      </c>
      <c r="F47" s="39" t="str">
        <f t="shared" si="1"/>
        <v>WRONG</v>
      </c>
      <c r="G47" s="39" t="s">
        <v>36</v>
      </c>
      <c r="H47" s="56" t="s">
        <v>48</v>
      </c>
      <c r="I47" s="54" t="s">
        <v>442</v>
      </c>
      <c r="J47" s="55">
        <v>26899.0</v>
      </c>
    </row>
    <row r="48" ht="60.0" customHeight="1">
      <c r="A48" s="39">
        <v>45.0</v>
      </c>
      <c r="B48" s="40" t="s">
        <v>253</v>
      </c>
      <c r="C48" s="40" t="s">
        <v>254</v>
      </c>
      <c r="D48" s="40" t="s">
        <v>255</v>
      </c>
      <c r="E48" s="40" t="s">
        <v>256</v>
      </c>
      <c r="F48" s="39" t="str">
        <f t="shared" si="1"/>
        <v>CORRECT</v>
      </c>
      <c r="G48" s="39" t="s">
        <v>36</v>
      </c>
      <c r="H48" s="55" t="s">
        <v>36</v>
      </c>
      <c r="I48" s="54" t="s">
        <v>443</v>
      </c>
      <c r="J48" s="55">
        <v>28545.0</v>
      </c>
    </row>
    <row r="49" ht="60.0" customHeight="1">
      <c r="A49" s="39">
        <v>46.0</v>
      </c>
      <c r="B49" s="40" t="s">
        <v>258</v>
      </c>
      <c r="C49" s="40" t="s">
        <v>39</v>
      </c>
      <c r="D49" s="40" t="s">
        <v>259</v>
      </c>
      <c r="E49" s="40" t="s">
        <v>260</v>
      </c>
      <c r="F49" s="39" t="str">
        <f t="shared" si="1"/>
        <v>CORRECT</v>
      </c>
      <c r="G49" s="39" t="s">
        <v>36</v>
      </c>
      <c r="H49" s="55" t="s">
        <v>36</v>
      </c>
      <c r="I49" s="54" t="s">
        <v>444</v>
      </c>
      <c r="J49" s="55">
        <v>25233.0</v>
      </c>
    </row>
    <row r="50">
      <c r="A50" s="44" t="s">
        <v>262</v>
      </c>
      <c r="B50" s="2"/>
      <c r="C50" s="2"/>
      <c r="D50" s="2"/>
      <c r="E50" s="3"/>
      <c r="F50" s="45">
        <f>COUNTIFS(F4:F49,"CORRECT")</f>
        <v>26</v>
      </c>
      <c r="G50" s="46"/>
      <c r="H50" s="46"/>
      <c r="J50" s="47">
        <f>AVERAGE(J4:J49)</f>
        <v>28953.5</v>
      </c>
    </row>
    <row r="51">
      <c r="A51" s="48" t="s">
        <v>263</v>
      </c>
      <c r="B51" s="2"/>
      <c r="C51" s="2"/>
      <c r="D51" s="2"/>
      <c r="E51" s="3"/>
      <c r="F51" s="49">
        <v>46.0</v>
      </c>
      <c r="G51" s="46"/>
      <c r="H51" s="46"/>
    </row>
    <row r="52">
      <c r="A52" s="44" t="s">
        <v>264</v>
      </c>
      <c r="B52" s="2"/>
      <c r="C52" s="2"/>
      <c r="D52" s="2"/>
      <c r="E52" s="3"/>
      <c r="F52" s="50">
        <f>F50/F51</f>
        <v>0.5652173913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445</v>
      </c>
      <c r="C2" s="2"/>
      <c r="D2" s="2"/>
      <c r="E2" s="2"/>
      <c r="F2" s="2"/>
      <c r="G2" s="2"/>
      <c r="H2" s="3"/>
      <c r="I2" s="37" t="s">
        <v>446</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5" t="s">
        <v>36</v>
      </c>
      <c r="I4" s="54" t="s">
        <v>447</v>
      </c>
      <c r="J4" s="55">
        <v>34671.0</v>
      </c>
    </row>
    <row r="5" ht="60.0" customHeight="1">
      <c r="A5" s="39">
        <v>2.0</v>
      </c>
      <c r="B5" s="40" t="s">
        <v>38</v>
      </c>
      <c r="C5" s="40" t="s">
        <v>39</v>
      </c>
      <c r="D5" s="40" t="s">
        <v>40</v>
      </c>
      <c r="E5" s="40" t="s">
        <v>41</v>
      </c>
      <c r="F5" s="39" t="str">
        <f t="shared" si="1"/>
        <v>CORRECT</v>
      </c>
      <c r="G5" s="39" t="s">
        <v>42</v>
      </c>
      <c r="H5" s="56" t="s">
        <v>42</v>
      </c>
      <c r="I5" s="54" t="s">
        <v>448</v>
      </c>
      <c r="J5" s="55">
        <v>41475.0</v>
      </c>
    </row>
    <row r="6" ht="60.0" customHeight="1">
      <c r="A6" s="39">
        <v>3.0</v>
      </c>
      <c r="B6" s="40" t="s">
        <v>44</v>
      </c>
      <c r="C6" s="40" t="s">
        <v>45</v>
      </c>
      <c r="D6" s="40" t="s">
        <v>46</v>
      </c>
      <c r="E6" s="40" t="s">
        <v>47</v>
      </c>
      <c r="F6" s="39" t="str">
        <f t="shared" si="1"/>
        <v>CORRECT</v>
      </c>
      <c r="G6" s="39" t="s">
        <v>48</v>
      </c>
      <c r="H6" s="55" t="s">
        <v>48</v>
      </c>
      <c r="I6" s="54" t="s">
        <v>449</v>
      </c>
      <c r="J6" s="55">
        <v>30711.0</v>
      </c>
    </row>
    <row r="7" ht="60.0" customHeight="1">
      <c r="A7" s="39">
        <v>4.0</v>
      </c>
      <c r="B7" s="40" t="s">
        <v>50</v>
      </c>
      <c r="C7" s="40" t="s">
        <v>51</v>
      </c>
      <c r="D7" s="40" t="s">
        <v>52</v>
      </c>
      <c r="E7" s="40" t="s">
        <v>53</v>
      </c>
      <c r="F7" s="39" t="str">
        <f t="shared" si="1"/>
        <v>CORRECT</v>
      </c>
      <c r="G7" s="39" t="s">
        <v>42</v>
      </c>
      <c r="H7" s="55" t="s">
        <v>42</v>
      </c>
      <c r="I7" s="54" t="s">
        <v>450</v>
      </c>
      <c r="J7" s="55">
        <v>15243.0</v>
      </c>
    </row>
    <row r="8" ht="60.0" customHeight="1">
      <c r="A8" s="39">
        <v>5.0</v>
      </c>
      <c r="B8" s="40" t="s">
        <v>55</v>
      </c>
      <c r="C8" s="40" t="s">
        <v>56</v>
      </c>
      <c r="D8" s="40" t="s">
        <v>57</v>
      </c>
      <c r="E8" s="40" t="s">
        <v>58</v>
      </c>
      <c r="F8" s="39" t="str">
        <f t="shared" si="1"/>
        <v>WRONG</v>
      </c>
      <c r="G8" s="39" t="s">
        <v>48</v>
      </c>
      <c r="H8" s="56" t="s">
        <v>36</v>
      </c>
      <c r="I8" s="54" t="s">
        <v>451</v>
      </c>
      <c r="J8" s="55">
        <v>59171.0</v>
      </c>
    </row>
    <row r="9" ht="60.0" customHeight="1">
      <c r="A9" s="39">
        <v>6.0</v>
      </c>
      <c r="B9" s="40" t="s">
        <v>60</v>
      </c>
      <c r="C9" s="40" t="s">
        <v>61</v>
      </c>
      <c r="D9" s="40" t="s">
        <v>62</v>
      </c>
      <c r="E9" s="40" t="s">
        <v>63</v>
      </c>
      <c r="F9" s="39" t="str">
        <f t="shared" si="1"/>
        <v>CORRECT</v>
      </c>
      <c r="G9" s="39" t="s">
        <v>42</v>
      </c>
      <c r="H9" s="55" t="s">
        <v>42</v>
      </c>
      <c r="I9" s="54" t="s">
        <v>452</v>
      </c>
      <c r="J9" s="55">
        <v>24960.0</v>
      </c>
    </row>
    <row r="10" ht="60.0" customHeight="1">
      <c r="A10" s="39">
        <v>7.0</v>
      </c>
      <c r="B10" s="40" t="s">
        <v>65</v>
      </c>
      <c r="C10" s="40" t="s">
        <v>66</v>
      </c>
      <c r="D10" s="40" t="s">
        <v>67</v>
      </c>
      <c r="E10" s="40" t="s">
        <v>68</v>
      </c>
      <c r="F10" s="39" t="str">
        <f t="shared" si="1"/>
        <v>WRONG</v>
      </c>
      <c r="G10" s="39" t="s">
        <v>42</v>
      </c>
      <c r="H10" s="55" t="s">
        <v>36</v>
      </c>
      <c r="I10" s="54" t="s">
        <v>453</v>
      </c>
      <c r="J10" s="55">
        <v>21735.0</v>
      </c>
    </row>
    <row r="11" ht="60.0" customHeight="1">
      <c r="A11" s="39">
        <v>8.0</v>
      </c>
      <c r="B11" s="40" t="s">
        <v>70</v>
      </c>
      <c r="C11" s="40" t="s">
        <v>71</v>
      </c>
      <c r="D11" s="40" t="s">
        <v>72</v>
      </c>
      <c r="E11" s="40" t="s">
        <v>73</v>
      </c>
      <c r="F11" s="39" t="str">
        <f t="shared" si="1"/>
        <v>WRONG</v>
      </c>
      <c r="G11" s="39" t="s">
        <v>48</v>
      </c>
      <c r="H11" s="55" t="s">
        <v>42</v>
      </c>
      <c r="I11" s="54" t="s">
        <v>454</v>
      </c>
      <c r="J11" s="55">
        <v>32857.0</v>
      </c>
    </row>
    <row r="12" ht="60.0" customHeight="1">
      <c r="A12" s="39">
        <v>9.0</v>
      </c>
      <c r="B12" s="40" t="s">
        <v>75</v>
      </c>
      <c r="C12" s="40" t="s">
        <v>76</v>
      </c>
      <c r="D12" s="40" t="s">
        <v>77</v>
      </c>
      <c r="E12" s="40" t="s">
        <v>78</v>
      </c>
      <c r="F12" s="39" t="str">
        <f t="shared" si="1"/>
        <v>WRONG</v>
      </c>
      <c r="G12" s="39" t="s">
        <v>42</v>
      </c>
      <c r="H12" s="56" t="s">
        <v>48</v>
      </c>
      <c r="I12" s="54" t="s">
        <v>455</v>
      </c>
      <c r="J12" s="55">
        <v>28746.0</v>
      </c>
    </row>
    <row r="13" ht="60.0" customHeight="1">
      <c r="A13" s="39">
        <v>10.0</v>
      </c>
      <c r="B13" s="40" t="s">
        <v>80</v>
      </c>
      <c r="C13" s="40" t="s">
        <v>81</v>
      </c>
      <c r="D13" s="40" t="s">
        <v>82</v>
      </c>
      <c r="E13" s="40" t="s">
        <v>83</v>
      </c>
      <c r="F13" s="39" t="str">
        <f t="shared" si="1"/>
        <v>CORRECT</v>
      </c>
      <c r="G13" s="39" t="s">
        <v>48</v>
      </c>
      <c r="H13" s="55" t="s">
        <v>48</v>
      </c>
      <c r="I13" s="54" t="s">
        <v>456</v>
      </c>
      <c r="J13" s="55">
        <v>29883.0</v>
      </c>
    </row>
    <row r="14" ht="60.0" customHeight="1">
      <c r="A14" s="39">
        <v>11.0</v>
      </c>
      <c r="B14" s="40" t="s">
        <v>85</v>
      </c>
      <c r="C14" s="40" t="s">
        <v>86</v>
      </c>
      <c r="D14" s="40" t="s">
        <v>87</v>
      </c>
      <c r="E14" s="40" t="s">
        <v>88</v>
      </c>
      <c r="F14" s="39" t="str">
        <f t="shared" si="1"/>
        <v>WRONG</v>
      </c>
      <c r="G14" s="39" t="s">
        <v>42</v>
      </c>
      <c r="H14" s="56" t="s">
        <v>48</v>
      </c>
      <c r="I14" s="54" t="s">
        <v>457</v>
      </c>
      <c r="J14" s="55">
        <v>35411.0</v>
      </c>
    </row>
    <row r="15" ht="60.0" customHeight="1">
      <c r="A15" s="39">
        <v>12.0</v>
      </c>
      <c r="B15" s="40" t="s">
        <v>90</v>
      </c>
      <c r="C15" s="40" t="s">
        <v>91</v>
      </c>
      <c r="D15" s="40" t="s">
        <v>92</v>
      </c>
      <c r="E15" s="40" t="s">
        <v>93</v>
      </c>
      <c r="F15" s="39" t="str">
        <f t="shared" si="1"/>
        <v>CORRECT</v>
      </c>
      <c r="G15" s="39" t="s">
        <v>48</v>
      </c>
      <c r="H15" s="56" t="s">
        <v>48</v>
      </c>
      <c r="I15" s="54" t="s">
        <v>458</v>
      </c>
      <c r="J15" s="55">
        <v>31089.0</v>
      </c>
    </row>
    <row r="16" ht="60.0" customHeight="1">
      <c r="A16" s="39">
        <v>13.0</v>
      </c>
      <c r="B16" s="40" t="s">
        <v>95</v>
      </c>
      <c r="C16" s="40" t="s">
        <v>96</v>
      </c>
      <c r="D16" s="40" t="s">
        <v>97</v>
      </c>
      <c r="E16" s="40" t="s">
        <v>98</v>
      </c>
      <c r="F16" s="39" t="str">
        <f t="shared" si="1"/>
        <v>CORRECT</v>
      </c>
      <c r="G16" s="39" t="s">
        <v>36</v>
      </c>
      <c r="H16" s="55" t="s">
        <v>36</v>
      </c>
      <c r="I16" s="54" t="s">
        <v>459</v>
      </c>
      <c r="J16" s="55">
        <v>24034.0</v>
      </c>
    </row>
    <row r="17" ht="60.0" customHeight="1">
      <c r="A17" s="39">
        <v>14.0</v>
      </c>
      <c r="B17" s="40" t="s">
        <v>100</v>
      </c>
      <c r="C17" s="40" t="s">
        <v>101</v>
      </c>
      <c r="D17" s="40" t="s">
        <v>102</v>
      </c>
      <c r="E17" s="40" t="s">
        <v>103</v>
      </c>
      <c r="F17" s="39" t="str">
        <f t="shared" si="1"/>
        <v>WRONG</v>
      </c>
      <c r="G17" s="39" t="s">
        <v>36</v>
      </c>
      <c r="H17" s="55" t="s">
        <v>48</v>
      </c>
      <c r="I17" s="54" t="s">
        <v>460</v>
      </c>
      <c r="J17" s="55">
        <v>25540.0</v>
      </c>
    </row>
    <row r="18" ht="60.0" customHeight="1">
      <c r="A18" s="39">
        <v>15.0</v>
      </c>
      <c r="B18" s="40" t="s">
        <v>105</v>
      </c>
      <c r="C18" s="40" t="s">
        <v>106</v>
      </c>
      <c r="D18" s="40" t="s">
        <v>107</v>
      </c>
      <c r="E18" s="40" t="s">
        <v>108</v>
      </c>
      <c r="F18" s="39" t="str">
        <f t="shared" si="1"/>
        <v>CORRECT</v>
      </c>
      <c r="G18" s="39" t="s">
        <v>48</v>
      </c>
      <c r="H18" s="55" t="s">
        <v>48</v>
      </c>
      <c r="I18" s="54" t="s">
        <v>461</v>
      </c>
      <c r="J18" s="55">
        <v>26563.0</v>
      </c>
    </row>
    <row r="19" ht="60.0" customHeight="1">
      <c r="A19" s="39">
        <v>16.0</v>
      </c>
      <c r="B19" s="40" t="s">
        <v>110</v>
      </c>
      <c r="C19" s="40" t="s">
        <v>111</v>
      </c>
      <c r="D19" s="40" t="s">
        <v>112</v>
      </c>
      <c r="E19" s="40" t="s">
        <v>113</v>
      </c>
      <c r="F19" s="39" t="str">
        <f t="shared" si="1"/>
        <v>WRONG</v>
      </c>
      <c r="G19" s="39" t="s">
        <v>48</v>
      </c>
      <c r="H19" s="55" t="s">
        <v>36</v>
      </c>
      <c r="I19" s="54" t="s">
        <v>462</v>
      </c>
      <c r="J19" s="55">
        <v>28631.0</v>
      </c>
    </row>
    <row r="20" ht="60.0" customHeight="1">
      <c r="A20" s="39">
        <v>17.0</v>
      </c>
      <c r="B20" s="40" t="s">
        <v>115</v>
      </c>
      <c r="C20" s="40" t="s">
        <v>116</v>
      </c>
      <c r="D20" s="40" t="s">
        <v>117</v>
      </c>
      <c r="E20" s="40" t="s">
        <v>118</v>
      </c>
      <c r="F20" s="39" t="str">
        <f t="shared" si="1"/>
        <v>WRONG</v>
      </c>
      <c r="G20" s="39" t="s">
        <v>42</v>
      </c>
      <c r="H20" s="55" t="s">
        <v>36</v>
      </c>
      <c r="I20" s="54" t="s">
        <v>463</v>
      </c>
      <c r="J20" s="55">
        <v>33223.0</v>
      </c>
    </row>
    <row r="21" ht="60.0" customHeight="1">
      <c r="A21" s="39">
        <v>18.0</v>
      </c>
      <c r="B21" s="40" t="s">
        <v>120</v>
      </c>
      <c r="C21" s="40" t="s">
        <v>121</v>
      </c>
      <c r="D21" s="40" t="s">
        <v>122</v>
      </c>
      <c r="E21" s="40" t="s">
        <v>123</v>
      </c>
      <c r="F21" s="39" t="str">
        <f t="shared" si="1"/>
        <v>CORRECT</v>
      </c>
      <c r="G21" s="39" t="s">
        <v>42</v>
      </c>
      <c r="H21" s="55" t="s">
        <v>42</v>
      </c>
      <c r="I21" s="54" t="s">
        <v>464</v>
      </c>
      <c r="J21" s="55">
        <v>33009.0</v>
      </c>
    </row>
    <row r="22" ht="60.0" customHeight="1">
      <c r="A22" s="39">
        <v>19.0</v>
      </c>
      <c r="B22" s="40" t="s">
        <v>125</v>
      </c>
      <c r="C22" s="40" t="s">
        <v>126</v>
      </c>
      <c r="D22" s="40" t="s">
        <v>127</v>
      </c>
      <c r="E22" s="40" t="s">
        <v>128</v>
      </c>
      <c r="F22" s="39" t="str">
        <f t="shared" si="1"/>
        <v>WRONG</v>
      </c>
      <c r="G22" s="39" t="s">
        <v>36</v>
      </c>
      <c r="H22" s="56" t="s">
        <v>48</v>
      </c>
      <c r="I22" s="54" t="s">
        <v>465</v>
      </c>
      <c r="J22" s="55">
        <v>26443.0</v>
      </c>
    </row>
    <row r="23" ht="60.0" customHeight="1">
      <c r="A23" s="39">
        <v>20.0</v>
      </c>
      <c r="B23" s="40" t="s">
        <v>130</v>
      </c>
      <c r="C23" s="40" t="s">
        <v>131</v>
      </c>
      <c r="D23" s="40" t="s">
        <v>132</v>
      </c>
      <c r="E23" s="40" t="s">
        <v>133</v>
      </c>
      <c r="F23" s="39" t="str">
        <f t="shared" si="1"/>
        <v>CORRECT</v>
      </c>
      <c r="G23" s="39" t="s">
        <v>42</v>
      </c>
      <c r="H23" s="55" t="s">
        <v>42</v>
      </c>
      <c r="I23" s="54" t="s">
        <v>466</v>
      </c>
      <c r="J23" s="55">
        <v>12612.0</v>
      </c>
    </row>
    <row r="24" ht="60.0" customHeight="1">
      <c r="A24" s="39">
        <v>21.0</v>
      </c>
      <c r="B24" s="40" t="s">
        <v>135</v>
      </c>
      <c r="C24" s="40" t="s">
        <v>136</v>
      </c>
      <c r="D24" s="40" t="s">
        <v>137</v>
      </c>
      <c r="E24" s="40" t="s">
        <v>138</v>
      </c>
      <c r="F24" s="39" t="str">
        <f t="shared" si="1"/>
        <v>WRONG</v>
      </c>
      <c r="G24" s="39" t="s">
        <v>42</v>
      </c>
      <c r="H24" s="55" t="s">
        <v>36</v>
      </c>
      <c r="I24" s="54" t="s">
        <v>467</v>
      </c>
      <c r="J24" s="55">
        <v>22467.0</v>
      </c>
    </row>
    <row r="25" ht="60.0" customHeight="1">
      <c r="A25" s="39">
        <v>22.0</v>
      </c>
      <c r="B25" s="40" t="s">
        <v>140</v>
      </c>
      <c r="C25" s="40" t="s">
        <v>141</v>
      </c>
      <c r="D25" s="40" t="s">
        <v>142</v>
      </c>
      <c r="E25" s="40" t="s">
        <v>143</v>
      </c>
      <c r="F25" s="39" t="str">
        <f t="shared" si="1"/>
        <v>CORRECT</v>
      </c>
      <c r="G25" s="39" t="s">
        <v>42</v>
      </c>
      <c r="H25" s="55" t="s">
        <v>42</v>
      </c>
      <c r="I25" s="54" t="s">
        <v>468</v>
      </c>
      <c r="J25" s="55">
        <v>22975.0</v>
      </c>
    </row>
    <row r="26" ht="60.0" customHeight="1">
      <c r="A26" s="39">
        <v>23.0</v>
      </c>
      <c r="B26" s="40" t="s">
        <v>145</v>
      </c>
      <c r="C26" s="40" t="s">
        <v>146</v>
      </c>
      <c r="D26" s="40" t="s">
        <v>147</v>
      </c>
      <c r="E26" s="40" t="s">
        <v>148</v>
      </c>
      <c r="F26" s="39" t="str">
        <f t="shared" si="1"/>
        <v>CORRECT</v>
      </c>
      <c r="G26" s="39" t="s">
        <v>48</v>
      </c>
      <c r="H26" s="55" t="s">
        <v>48</v>
      </c>
      <c r="I26" s="54" t="s">
        <v>469</v>
      </c>
      <c r="J26" s="55">
        <v>26811.0</v>
      </c>
    </row>
    <row r="27" ht="60.0" customHeight="1">
      <c r="A27" s="39">
        <v>24.0</v>
      </c>
      <c r="B27" s="40" t="s">
        <v>150</v>
      </c>
      <c r="C27" s="40" t="s">
        <v>151</v>
      </c>
      <c r="D27" s="40" t="s">
        <v>152</v>
      </c>
      <c r="E27" s="40" t="s">
        <v>153</v>
      </c>
      <c r="F27" s="39" t="str">
        <f t="shared" si="1"/>
        <v>WRONG</v>
      </c>
      <c r="G27" s="39" t="s">
        <v>36</v>
      </c>
      <c r="H27" s="55" t="s">
        <v>48</v>
      </c>
      <c r="I27" s="54" t="s">
        <v>470</v>
      </c>
      <c r="J27" s="55">
        <v>23778.0</v>
      </c>
    </row>
    <row r="28" ht="60.0" customHeight="1">
      <c r="A28" s="39">
        <v>25.0</v>
      </c>
      <c r="B28" s="40" t="s">
        <v>155</v>
      </c>
      <c r="C28" s="40" t="s">
        <v>151</v>
      </c>
      <c r="D28" s="40" t="s">
        <v>156</v>
      </c>
      <c r="E28" s="40" t="s">
        <v>153</v>
      </c>
      <c r="F28" s="39" t="str">
        <f t="shared" si="1"/>
        <v>WRONG</v>
      </c>
      <c r="G28" s="39" t="s">
        <v>48</v>
      </c>
      <c r="H28" s="56" t="s">
        <v>42</v>
      </c>
      <c r="I28" s="54" t="s">
        <v>471</v>
      </c>
      <c r="J28" s="55">
        <v>36568.0</v>
      </c>
    </row>
    <row r="29" ht="60.0" customHeight="1">
      <c r="A29" s="39">
        <v>26.0</v>
      </c>
      <c r="B29" s="40" t="s">
        <v>158</v>
      </c>
      <c r="C29" s="40" t="s">
        <v>159</v>
      </c>
      <c r="D29" s="40" t="s">
        <v>160</v>
      </c>
      <c r="E29" s="40" t="s">
        <v>161</v>
      </c>
      <c r="F29" s="39" t="str">
        <f t="shared" si="1"/>
        <v>WRONG</v>
      </c>
      <c r="G29" s="39" t="s">
        <v>36</v>
      </c>
      <c r="H29" s="56" t="s">
        <v>48</v>
      </c>
      <c r="I29" s="54" t="s">
        <v>472</v>
      </c>
      <c r="J29" s="55">
        <v>22460.0</v>
      </c>
    </row>
    <row r="30" ht="60.0" customHeight="1">
      <c r="A30" s="39">
        <v>27.0</v>
      </c>
      <c r="B30" s="40" t="s">
        <v>163</v>
      </c>
      <c r="C30" s="40" t="s">
        <v>164</v>
      </c>
      <c r="D30" s="40" t="s">
        <v>165</v>
      </c>
      <c r="E30" s="40" t="s">
        <v>166</v>
      </c>
      <c r="F30" s="39" t="str">
        <f t="shared" si="1"/>
        <v>CORRECT</v>
      </c>
      <c r="G30" s="39" t="s">
        <v>42</v>
      </c>
      <c r="H30" s="56" t="s">
        <v>42</v>
      </c>
      <c r="I30" s="54" t="s">
        <v>473</v>
      </c>
      <c r="J30" s="55">
        <v>37671.0</v>
      </c>
    </row>
    <row r="31" ht="60.0" customHeight="1">
      <c r="A31" s="39">
        <v>28.0</v>
      </c>
      <c r="B31" s="40" t="s">
        <v>168</v>
      </c>
      <c r="C31" s="40" t="s">
        <v>169</v>
      </c>
      <c r="D31" s="40" t="s">
        <v>170</v>
      </c>
      <c r="E31" s="40" t="s">
        <v>171</v>
      </c>
      <c r="F31" s="39" t="str">
        <f t="shared" si="1"/>
        <v>WRONG</v>
      </c>
      <c r="G31" s="39" t="s">
        <v>36</v>
      </c>
      <c r="H31" s="55" t="s">
        <v>42</v>
      </c>
      <c r="I31" s="54" t="s">
        <v>474</v>
      </c>
      <c r="J31" s="55">
        <v>24300.0</v>
      </c>
    </row>
    <row r="32" ht="60.0" customHeight="1">
      <c r="A32" s="39">
        <v>29.0</v>
      </c>
      <c r="B32" s="40" t="s">
        <v>173</v>
      </c>
      <c r="C32" s="40" t="s">
        <v>174</v>
      </c>
      <c r="D32" s="40" t="s">
        <v>175</v>
      </c>
      <c r="E32" s="40" t="s">
        <v>176</v>
      </c>
      <c r="F32" s="39" t="str">
        <f t="shared" si="1"/>
        <v>CORRECT</v>
      </c>
      <c r="G32" s="39" t="s">
        <v>42</v>
      </c>
      <c r="H32" s="55" t="s">
        <v>42</v>
      </c>
      <c r="I32" s="54" t="s">
        <v>475</v>
      </c>
      <c r="J32" s="55">
        <v>28965.0</v>
      </c>
    </row>
    <row r="33" ht="60.0" customHeight="1">
      <c r="A33" s="39">
        <v>30.0</v>
      </c>
      <c r="B33" s="40" t="s">
        <v>178</v>
      </c>
      <c r="C33" s="40" t="s">
        <v>179</v>
      </c>
      <c r="D33" s="40" t="s">
        <v>180</v>
      </c>
      <c r="E33" s="40" t="s">
        <v>181</v>
      </c>
      <c r="F33" s="39" t="str">
        <f t="shared" si="1"/>
        <v>WRONG</v>
      </c>
      <c r="G33" s="39" t="s">
        <v>48</v>
      </c>
      <c r="H33" s="55" t="s">
        <v>36</v>
      </c>
      <c r="I33" s="54" t="s">
        <v>476</v>
      </c>
      <c r="J33" s="55">
        <v>25597.0</v>
      </c>
    </row>
    <row r="34" ht="60.0" customHeight="1">
      <c r="A34" s="39">
        <v>31.0</v>
      </c>
      <c r="B34" s="40" t="s">
        <v>183</v>
      </c>
      <c r="C34" s="40" t="s">
        <v>184</v>
      </c>
      <c r="D34" s="40" t="s">
        <v>185</v>
      </c>
      <c r="E34" s="40" t="s">
        <v>186</v>
      </c>
      <c r="F34" s="39" t="str">
        <f t="shared" si="1"/>
        <v>WRONG</v>
      </c>
      <c r="G34" s="39" t="s">
        <v>42</v>
      </c>
      <c r="H34" s="55" t="s">
        <v>36</v>
      </c>
      <c r="I34" s="54" t="s">
        <v>477</v>
      </c>
      <c r="J34" s="55">
        <v>17862.0</v>
      </c>
    </row>
    <row r="35" ht="60.0" customHeight="1">
      <c r="A35" s="39">
        <v>32.0</v>
      </c>
      <c r="B35" s="40" t="s">
        <v>188</v>
      </c>
      <c r="C35" s="40" t="s">
        <v>189</v>
      </c>
      <c r="D35" s="40" t="s">
        <v>190</v>
      </c>
      <c r="E35" s="40" t="s">
        <v>191</v>
      </c>
      <c r="F35" s="39" t="str">
        <f t="shared" si="1"/>
        <v>CORRECT</v>
      </c>
      <c r="G35" s="39" t="s">
        <v>36</v>
      </c>
      <c r="H35" s="56" t="s">
        <v>36</v>
      </c>
      <c r="I35" s="54" t="s">
        <v>478</v>
      </c>
      <c r="J35" s="55">
        <v>40327.0</v>
      </c>
    </row>
    <row r="36" ht="60.0" customHeight="1">
      <c r="A36" s="39">
        <v>33.0</v>
      </c>
      <c r="B36" s="40" t="s">
        <v>193</v>
      </c>
      <c r="C36" s="40" t="s">
        <v>194</v>
      </c>
      <c r="D36" s="40" t="s">
        <v>195</v>
      </c>
      <c r="E36" s="40" t="s">
        <v>196</v>
      </c>
      <c r="F36" s="39" t="str">
        <f t="shared" si="1"/>
        <v>CORRECT</v>
      </c>
      <c r="G36" s="39" t="s">
        <v>48</v>
      </c>
      <c r="H36" s="55" t="s">
        <v>48</v>
      </c>
      <c r="I36" s="54" t="s">
        <v>479</v>
      </c>
      <c r="J36" s="55">
        <v>25439.0</v>
      </c>
    </row>
    <row r="37" ht="60.0" customHeight="1">
      <c r="A37" s="39">
        <v>34.0</v>
      </c>
      <c r="B37" s="40" t="s">
        <v>198</v>
      </c>
      <c r="C37" s="40" t="s">
        <v>199</v>
      </c>
      <c r="D37" s="40" t="s">
        <v>200</v>
      </c>
      <c r="E37" s="40" t="s">
        <v>201</v>
      </c>
      <c r="F37" s="39" t="str">
        <f t="shared" si="1"/>
        <v>WRONG</v>
      </c>
      <c r="G37" s="39" t="s">
        <v>36</v>
      </c>
      <c r="H37" s="55" t="s">
        <v>42</v>
      </c>
      <c r="I37" s="54" t="s">
        <v>480</v>
      </c>
      <c r="J37" s="55">
        <v>24833.0</v>
      </c>
    </row>
    <row r="38" ht="60.0" customHeight="1">
      <c r="A38" s="39">
        <v>35.0</v>
      </c>
      <c r="B38" s="40" t="s">
        <v>203</v>
      </c>
      <c r="C38" s="40" t="s">
        <v>204</v>
      </c>
      <c r="D38" s="40" t="s">
        <v>205</v>
      </c>
      <c r="E38" s="40" t="s">
        <v>206</v>
      </c>
      <c r="F38" s="39" t="str">
        <f t="shared" si="1"/>
        <v>CORRECT</v>
      </c>
      <c r="G38" s="39" t="s">
        <v>48</v>
      </c>
      <c r="H38" s="55" t="s">
        <v>48</v>
      </c>
      <c r="I38" s="54" t="s">
        <v>481</v>
      </c>
      <c r="J38" s="55">
        <v>28872.0</v>
      </c>
    </row>
    <row r="39" ht="60.0" customHeight="1">
      <c r="A39" s="39">
        <v>36.0</v>
      </c>
      <c r="B39" s="40" t="s">
        <v>208</v>
      </c>
      <c r="C39" s="40" t="s">
        <v>209</v>
      </c>
      <c r="D39" s="40" t="s">
        <v>210</v>
      </c>
      <c r="E39" s="40" t="s">
        <v>211</v>
      </c>
      <c r="F39" s="39" t="str">
        <f t="shared" si="1"/>
        <v>CORRECT</v>
      </c>
      <c r="G39" s="39" t="s">
        <v>36</v>
      </c>
      <c r="H39" s="55" t="s">
        <v>36</v>
      </c>
      <c r="I39" s="54" t="s">
        <v>482</v>
      </c>
      <c r="J39" s="55">
        <v>27343.0</v>
      </c>
    </row>
    <row r="40" ht="60.0" customHeight="1">
      <c r="A40" s="39">
        <v>37.0</v>
      </c>
      <c r="B40" s="40" t="s">
        <v>213</v>
      </c>
      <c r="C40" s="40" t="s">
        <v>214</v>
      </c>
      <c r="D40" s="40" t="s">
        <v>215</v>
      </c>
      <c r="E40" s="40" t="s">
        <v>216</v>
      </c>
      <c r="F40" s="39" t="str">
        <f t="shared" si="1"/>
        <v>WRONG</v>
      </c>
      <c r="G40" s="39" t="s">
        <v>36</v>
      </c>
      <c r="H40" s="55" t="s">
        <v>42</v>
      </c>
      <c r="I40" s="54" t="s">
        <v>483</v>
      </c>
      <c r="J40" s="55">
        <v>19998.0</v>
      </c>
    </row>
    <row r="41" ht="60.0" customHeight="1">
      <c r="A41" s="39">
        <v>38.0</v>
      </c>
      <c r="B41" s="40" t="s">
        <v>218</v>
      </c>
      <c r="C41" s="40" t="s">
        <v>219</v>
      </c>
      <c r="D41" s="40" t="s">
        <v>220</v>
      </c>
      <c r="E41" s="40" t="s">
        <v>221</v>
      </c>
      <c r="F41" s="39" t="str">
        <f t="shared" si="1"/>
        <v>CORRECT</v>
      </c>
      <c r="G41" s="39" t="s">
        <v>36</v>
      </c>
      <c r="H41" s="55" t="s">
        <v>36</v>
      </c>
      <c r="I41" s="54" t="s">
        <v>484</v>
      </c>
      <c r="J41" s="55">
        <v>22547.0</v>
      </c>
    </row>
    <row r="42" ht="60.0" customHeight="1">
      <c r="A42" s="39">
        <v>39.0</v>
      </c>
      <c r="B42" s="40" t="s">
        <v>223</v>
      </c>
      <c r="C42" s="40" t="s">
        <v>224</v>
      </c>
      <c r="D42" s="40" t="s">
        <v>225</v>
      </c>
      <c r="E42" s="40" t="s">
        <v>226</v>
      </c>
      <c r="F42" s="39" t="str">
        <f t="shared" si="1"/>
        <v>WRONG</v>
      </c>
      <c r="G42" s="39" t="s">
        <v>42</v>
      </c>
      <c r="H42" s="55" t="s">
        <v>48</v>
      </c>
      <c r="I42" s="54" t="s">
        <v>485</v>
      </c>
      <c r="J42" s="55">
        <v>33592.0</v>
      </c>
    </row>
    <row r="43" ht="60.0" customHeight="1">
      <c r="A43" s="39">
        <v>40.0</v>
      </c>
      <c r="B43" s="40" t="s">
        <v>228</v>
      </c>
      <c r="C43" s="40" t="s">
        <v>229</v>
      </c>
      <c r="D43" s="40" t="s">
        <v>230</v>
      </c>
      <c r="E43" s="40" t="s">
        <v>231</v>
      </c>
      <c r="F43" s="39" t="str">
        <f t="shared" si="1"/>
        <v>CORRECT</v>
      </c>
      <c r="G43" s="39" t="s">
        <v>48</v>
      </c>
      <c r="H43" s="55" t="s">
        <v>48</v>
      </c>
      <c r="I43" s="54" t="s">
        <v>486</v>
      </c>
      <c r="J43" s="55">
        <v>37478.0</v>
      </c>
    </row>
    <row r="44" ht="60.0" customHeight="1">
      <c r="A44" s="39">
        <v>41.0</v>
      </c>
      <c r="B44" s="40" t="s">
        <v>233</v>
      </c>
      <c r="C44" s="40" t="s">
        <v>234</v>
      </c>
      <c r="D44" s="40" t="s">
        <v>235</v>
      </c>
      <c r="E44" s="40" t="s">
        <v>236</v>
      </c>
      <c r="F44" s="39" t="str">
        <f t="shared" si="1"/>
        <v>CORRECT</v>
      </c>
      <c r="G44" s="39" t="s">
        <v>42</v>
      </c>
      <c r="H44" s="55" t="s">
        <v>42</v>
      </c>
      <c r="I44" s="54" t="s">
        <v>487</v>
      </c>
      <c r="J44" s="55">
        <v>23426.0</v>
      </c>
    </row>
    <row r="45" ht="60.0" customHeight="1">
      <c r="A45" s="39">
        <v>42.0</v>
      </c>
      <c r="B45" s="40" t="s">
        <v>238</v>
      </c>
      <c r="C45" s="40" t="s">
        <v>239</v>
      </c>
      <c r="D45" s="40" t="s">
        <v>240</v>
      </c>
      <c r="E45" s="40" t="s">
        <v>241</v>
      </c>
      <c r="F45" s="39" t="str">
        <f t="shared" si="1"/>
        <v>WRONG</v>
      </c>
      <c r="G45" s="39" t="s">
        <v>36</v>
      </c>
      <c r="H45" s="55" t="s">
        <v>42</v>
      </c>
      <c r="I45" s="54" t="s">
        <v>488</v>
      </c>
      <c r="J45" s="55">
        <v>32759.0</v>
      </c>
    </row>
    <row r="46" ht="60.0" customHeight="1">
      <c r="A46" s="39">
        <v>43.0</v>
      </c>
      <c r="B46" s="40" t="s">
        <v>243</v>
      </c>
      <c r="C46" s="40" t="s">
        <v>244</v>
      </c>
      <c r="D46" s="40" t="s">
        <v>245</v>
      </c>
      <c r="E46" s="40" t="s">
        <v>246</v>
      </c>
      <c r="F46" s="39" t="str">
        <f t="shared" si="1"/>
        <v>WRONG</v>
      </c>
      <c r="G46" s="39" t="s">
        <v>48</v>
      </c>
      <c r="H46" s="55" t="s">
        <v>36</v>
      </c>
      <c r="I46" s="54" t="s">
        <v>489</v>
      </c>
      <c r="J46" s="55">
        <v>23988.0</v>
      </c>
    </row>
    <row r="47" ht="60.0" customHeight="1">
      <c r="A47" s="39">
        <v>44.0</v>
      </c>
      <c r="B47" s="40" t="s">
        <v>248</v>
      </c>
      <c r="C47" s="40" t="s">
        <v>249</v>
      </c>
      <c r="D47" s="40" t="s">
        <v>250</v>
      </c>
      <c r="E47" s="40" t="s">
        <v>251</v>
      </c>
      <c r="F47" s="39" t="str">
        <f t="shared" si="1"/>
        <v>WRONG</v>
      </c>
      <c r="G47" s="39" t="s">
        <v>36</v>
      </c>
      <c r="H47" s="56" t="s">
        <v>48</v>
      </c>
      <c r="I47" s="54" t="s">
        <v>490</v>
      </c>
      <c r="J47" s="55">
        <v>17548.0</v>
      </c>
    </row>
    <row r="48" ht="60.0" customHeight="1">
      <c r="A48" s="39">
        <v>45.0</v>
      </c>
      <c r="B48" s="40" t="s">
        <v>253</v>
      </c>
      <c r="C48" s="40" t="s">
        <v>254</v>
      </c>
      <c r="D48" s="40" t="s">
        <v>255</v>
      </c>
      <c r="E48" s="40" t="s">
        <v>256</v>
      </c>
      <c r="F48" s="39" t="str">
        <f t="shared" si="1"/>
        <v>CORRECT</v>
      </c>
      <c r="G48" s="39" t="s">
        <v>36</v>
      </c>
      <c r="H48" s="55" t="s">
        <v>36</v>
      </c>
      <c r="I48" s="54" t="s">
        <v>491</v>
      </c>
      <c r="J48" s="55">
        <v>33304.0</v>
      </c>
    </row>
    <row r="49" ht="60.0" customHeight="1">
      <c r="A49" s="39">
        <v>46.0</v>
      </c>
      <c r="B49" s="40" t="s">
        <v>258</v>
      </c>
      <c r="C49" s="40" t="s">
        <v>39</v>
      </c>
      <c r="D49" s="40" t="s">
        <v>259</v>
      </c>
      <c r="E49" s="40" t="s">
        <v>260</v>
      </c>
      <c r="F49" s="39" t="str">
        <f t="shared" si="1"/>
        <v>CORRECT</v>
      </c>
      <c r="G49" s="39" t="s">
        <v>36</v>
      </c>
      <c r="H49" s="55" t="s">
        <v>36</v>
      </c>
      <c r="I49" s="54" t="s">
        <v>492</v>
      </c>
      <c r="J49" s="55">
        <v>17976.0</v>
      </c>
    </row>
    <row r="50">
      <c r="A50" s="44" t="s">
        <v>262</v>
      </c>
      <c r="B50" s="2"/>
      <c r="C50" s="2"/>
      <c r="D50" s="2"/>
      <c r="E50" s="3"/>
      <c r="F50" s="45">
        <f>COUNTIFS(F4:F49,"CORRECT")</f>
        <v>24</v>
      </c>
      <c r="G50" s="46"/>
      <c r="H50" s="46"/>
      <c r="J50" s="47">
        <f>AVERAGE(J4:J49)</f>
        <v>28149.80435</v>
      </c>
    </row>
    <row r="51">
      <c r="A51" s="48" t="s">
        <v>263</v>
      </c>
      <c r="B51" s="2"/>
      <c r="C51" s="2"/>
      <c r="D51" s="2"/>
      <c r="E51" s="3"/>
      <c r="F51" s="49">
        <v>46.0</v>
      </c>
      <c r="G51" s="46"/>
      <c r="H51" s="46"/>
    </row>
    <row r="52">
      <c r="A52" s="44" t="s">
        <v>264</v>
      </c>
      <c r="B52" s="2"/>
      <c r="C52" s="2"/>
      <c r="D52" s="2"/>
      <c r="E52" s="3"/>
      <c r="F52" s="50">
        <f>F50/F51</f>
        <v>0.5217391304</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493</v>
      </c>
      <c r="C2" s="2"/>
      <c r="D2" s="2"/>
      <c r="E2" s="2"/>
      <c r="F2" s="2"/>
      <c r="G2" s="2"/>
      <c r="H2" s="3"/>
      <c r="I2" s="37" t="s">
        <v>494</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5" t="s">
        <v>36</v>
      </c>
      <c r="I4" s="57" t="s">
        <v>495</v>
      </c>
      <c r="J4" s="55">
        <v>12395.0</v>
      </c>
    </row>
    <row r="5" ht="60.0" customHeight="1">
      <c r="A5" s="39">
        <v>2.0</v>
      </c>
      <c r="B5" s="40" t="s">
        <v>38</v>
      </c>
      <c r="C5" s="40" t="s">
        <v>39</v>
      </c>
      <c r="D5" s="40" t="s">
        <v>40</v>
      </c>
      <c r="E5" s="40" t="s">
        <v>41</v>
      </c>
      <c r="F5" s="39" t="str">
        <f t="shared" si="1"/>
        <v>WRONG</v>
      </c>
      <c r="G5" s="39" t="s">
        <v>42</v>
      </c>
      <c r="H5" s="56" t="s">
        <v>36</v>
      </c>
      <c r="I5" s="54" t="s">
        <v>496</v>
      </c>
      <c r="J5" s="55">
        <v>53575.0</v>
      </c>
    </row>
    <row r="6" ht="60.0" customHeight="1">
      <c r="A6" s="39">
        <v>3.0</v>
      </c>
      <c r="B6" s="40" t="s">
        <v>44</v>
      </c>
      <c r="C6" s="40" t="s">
        <v>45</v>
      </c>
      <c r="D6" s="40" t="s">
        <v>46</v>
      </c>
      <c r="E6" s="40" t="s">
        <v>47</v>
      </c>
      <c r="F6" s="39" t="str">
        <f t="shared" si="1"/>
        <v>CORRECT</v>
      </c>
      <c r="G6" s="39" t="s">
        <v>48</v>
      </c>
      <c r="H6" s="55" t="s">
        <v>48</v>
      </c>
      <c r="I6" s="54" t="s">
        <v>497</v>
      </c>
      <c r="J6" s="55">
        <v>34106.0</v>
      </c>
    </row>
    <row r="7" ht="60.0" customHeight="1">
      <c r="A7" s="39">
        <v>4.0</v>
      </c>
      <c r="B7" s="40" t="s">
        <v>50</v>
      </c>
      <c r="C7" s="40" t="s">
        <v>51</v>
      </c>
      <c r="D7" s="40" t="s">
        <v>52</v>
      </c>
      <c r="E7" s="40" t="s">
        <v>53</v>
      </c>
      <c r="F7" s="39" t="str">
        <f t="shared" si="1"/>
        <v>WRONG</v>
      </c>
      <c r="G7" s="39" t="s">
        <v>42</v>
      </c>
      <c r="H7" s="56" t="s">
        <v>48</v>
      </c>
      <c r="I7" s="54" t="s">
        <v>498</v>
      </c>
      <c r="J7" s="55">
        <v>34632.0</v>
      </c>
    </row>
    <row r="8" ht="60.0" customHeight="1">
      <c r="A8" s="39">
        <v>5.0</v>
      </c>
      <c r="B8" s="40" t="s">
        <v>55</v>
      </c>
      <c r="C8" s="40" t="s">
        <v>56</v>
      </c>
      <c r="D8" s="40" t="s">
        <v>57</v>
      </c>
      <c r="E8" s="40" t="s">
        <v>58</v>
      </c>
      <c r="F8" s="39" t="str">
        <f t="shared" si="1"/>
        <v>CORRECT</v>
      </c>
      <c r="G8" s="39" t="s">
        <v>48</v>
      </c>
      <c r="H8" s="56" t="s">
        <v>48</v>
      </c>
      <c r="I8" s="54" t="s">
        <v>499</v>
      </c>
      <c r="J8" s="55">
        <v>49318.0</v>
      </c>
    </row>
    <row r="9" ht="60.0" customHeight="1">
      <c r="A9" s="39">
        <v>6.0</v>
      </c>
      <c r="B9" s="40" t="s">
        <v>60</v>
      </c>
      <c r="C9" s="40" t="s">
        <v>61</v>
      </c>
      <c r="D9" s="40" t="s">
        <v>62</v>
      </c>
      <c r="E9" s="40" t="s">
        <v>63</v>
      </c>
      <c r="F9" s="39" t="str">
        <f t="shared" si="1"/>
        <v>WRONG</v>
      </c>
      <c r="G9" s="39" t="s">
        <v>42</v>
      </c>
      <c r="H9" s="56" t="s">
        <v>48</v>
      </c>
      <c r="I9" s="54" t="s">
        <v>500</v>
      </c>
      <c r="J9" s="55">
        <v>12187.0</v>
      </c>
    </row>
    <row r="10" ht="60.0" customHeight="1">
      <c r="A10" s="39">
        <v>7.0</v>
      </c>
      <c r="B10" s="40" t="s">
        <v>65</v>
      </c>
      <c r="C10" s="40" t="s">
        <v>66</v>
      </c>
      <c r="D10" s="40" t="s">
        <v>67</v>
      </c>
      <c r="E10" s="40" t="s">
        <v>68</v>
      </c>
      <c r="F10" s="39" t="str">
        <f t="shared" si="1"/>
        <v>WRONG</v>
      </c>
      <c r="G10" s="39" t="s">
        <v>42</v>
      </c>
      <c r="H10" s="55" t="s">
        <v>36</v>
      </c>
      <c r="I10" s="54" t="s">
        <v>501</v>
      </c>
      <c r="J10" s="55">
        <v>38097.0</v>
      </c>
    </row>
    <row r="11" ht="60.0" customHeight="1">
      <c r="A11" s="39">
        <v>8.0</v>
      </c>
      <c r="B11" s="40" t="s">
        <v>70</v>
      </c>
      <c r="C11" s="40" t="s">
        <v>71</v>
      </c>
      <c r="D11" s="40" t="s">
        <v>72</v>
      </c>
      <c r="E11" s="40" t="s">
        <v>73</v>
      </c>
      <c r="F11" s="39" t="str">
        <f t="shared" si="1"/>
        <v>CORRECT</v>
      </c>
      <c r="G11" s="39" t="s">
        <v>48</v>
      </c>
      <c r="H11" s="56" t="s">
        <v>48</v>
      </c>
      <c r="I11" s="54" t="s">
        <v>502</v>
      </c>
      <c r="J11" s="55">
        <v>17232.0</v>
      </c>
    </row>
    <row r="12" ht="60.0" customHeight="1">
      <c r="A12" s="39">
        <v>9.0</v>
      </c>
      <c r="B12" s="40" t="s">
        <v>75</v>
      </c>
      <c r="C12" s="40" t="s">
        <v>76</v>
      </c>
      <c r="D12" s="40" t="s">
        <v>77</v>
      </c>
      <c r="E12" s="40" t="s">
        <v>78</v>
      </c>
      <c r="F12" s="39" t="str">
        <f t="shared" si="1"/>
        <v>CORRECT</v>
      </c>
      <c r="G12" s="39" t="s">
        <v>42</v>
      </c>
      <c r="H12" s="56" t="s">
        <v>42</v>
      </c>
      <c r="I12" s="54" t="s">
        <v>503</v>
      </c>
      <c r="J12" s="55">
        <v>32756.0</v>
      </c>
    </row>
    <row r="13" ht="60.0" customHeight="1">
      <c r="A13" s="39">
        <v>10.0</v>
      </c>
      <c r="B13" s="40" t="s">
        <v>80</v>
      </c>
      <c r="C13" s="40" t="s">
        <v>81</v>
      </c>
      <c r="D13" s="40" t="s">
        <v>82</v>
      </c>
      <c r="E13" s="40" t="s">
        <v>83</v>
      </c>
      <c r="F13" s="39" t="str">
        <f t="shared" si="1"/>
        <v>WRONG</v>
      </c>
      <c r="G13" s="39" t="s">
        <v>48</v>
      </c>
      <c r="H13" s="56" t="s">
        <v>42</v>
      </c>
      <c r="I13" s="54" t="s">
        <v>504</v>
      </c>
      <c r="J13" s="55">
        <v>30603.0</v>
      </c>
    </row>
    <row r="14" ht="60.0" customHeight="1">
      <c r="A14" s="39">
        <v>11.0</v>
      </c>
      <c r="B14" s="40" t="s">
        <v>85</v>
      </c>
      <c r="C14" s="40" t="s">
        <v>86</v>
      </c>
      <c r="D14" s="40" t="s">
        <v>87</v>
      </c>
      <c r="E14" s="40" t="s">
        <v>88</v>
      </c>
      <c r="F14" s="39" t="str">
        <f t="shared" si="1"/>
        <v>WRONG</v>
      </c>
      <c r="G14" s="39" t="s">
        <v>42</v>
      </c>
      <c r="H14" s="56" t="s">
        <v>48</v>
      </c>
      <c r="I14" s="54" t="s">
        <v>505</v>
      </c>
      <c r="J14" s="55">
        <v>32456.0</v>
      </c>
    </row>
    <row r="15" ht="60.0" customHeight="1">
      <c r="A15" s="39">
        <v>12.0</v>
      </c>
      <c r="B15" s="40" t="s">
        <v>90</v>
      </c>
      <c r="C15" s="40" t="s">
        <v>91</v>
      </c>
      <c r="D15" s="40" t="s">
        <v>92</v>
      </c>
      <c r="E15" s="40" t="s">
        <v>93</v>
      </c>
      <c r="F15" s="39" t="str">
        <f t="shared" si="1"/>
        <v>CORRECT</v>
      </c>
      <c r="G15" s="39" t="s">
        <v>48</v>
      </c>
      <c r="H15" s="56" t="s">
        <v>48</v>
      </c>
      <c r="I15" s="54" t="s">
        <v>506</v>
      </c>
      <c r="J15" s="55">
        <v>43951.0</v>
      </c>
    </row>
    <row r="16" ht="60.0" customHeight="1">
      <c r="A16" s="39">
        <v>13.0</v>
      </c>
      <c r="B16" s="40" t="s">
        <v>95</v>
      </c>
      <c r="C16" s="40" t="s">
        <v>96</v>
      </c>
      <c r="D16" s="40" t="s">
        <v>97</v>
      </c>
      <c r="E16" s="40" t="s">
        <v>98</v>
      </c>
      <c r="F16" s="39" t="str">
        <f t="shared" si="1"/>
        <v>WRONG</v>
      </c>
      <c r="G16" s="39" t="s">
        <v>36</v>
      </c>
      <c r="H16" s="56" t="s">
        <v>48</v>
      </c>
      <c r="I16" s="54" t="s">
        <v>507</v>
      </c>
      <c r="J16" s="55">
        <v>22515.0</v>
      </c>
    </row>
    <row r="17" ht="60.0" customHeight="1">
      <c r="A17" s="39">
        <v>14.0</v>
      </c>
      <c r="B17" s="40" t="s">
        <v>100</v>
      </c>
      <c r="C17" s="40" t="s">
        <v>101</v>
      </c>
      <c r="D17" s="40" t="s">
        <v>102</v>
      </c>
      <c r="E17" s="40" t="s">
        <v>103</v>
      </c>
      <c r="F17" s="39" t="str">
        <f t="shared" si="1"/>
        <v>WRONG</v>
      </c>
      <c r="G17" s="39" t="s">
        <v>36</v>
      </c>
      <c r="H17" s="56" t="s">
        <v>508</v>
      </c>
      <c r="I17" s="57" t="s">
        <v>509</v>
      </c>
      <c r="J17" s="55">
        <v>66439.0</v>
      </c>
    </row>
    <row r="18" ht="60.0" customHeight="1">
      <c r="A18" s="39">
        <v>15.0</v>
      </c>
      <c r="B18" s="40" t="s">
        <v>105</v>
      </c>
      <c r="C18" s="40" t="s">
        <v>106</v>
      </c>
      <c r="D18" s="40" t="s">
        <v>107</v>
      </c>
      <c r="E18" s="40" t="s">
        <v>108</v>
      </c>
      <c r="F18" s="39" t="str">
        <f t="shared" si="1"/>
        <v>CORRECT</v>
      </c>
      <c r="G18" s="39" t="s">
        <v>48</v>
      </c>
      <c r="H18" s="55" t="s">
        <v>48</v>
      </c>
      <c r="I18" s="54" t="s">
        <v>510</v>
      </c>
      <c r="J18" s="55">
        <v>24246.0</v>
      </c>
    </row>
    <row r="19" ht="60.0" customHeight="1">
      <c r="A19" s="39">
        <v>16.0</v>
      </c>
      <c r="B19" s="40" t="s">
        <v>110</v>
      </c>
      <c r="C19" s="40" t="s">
        <v>111</v>
      </c>
      <c r="D19" s="40" t="s">
        <v>112</v>
      </c>
      <c r="E19" s="40" t="s">
        <v>113</v>
      </c>
      <c r="F19" s="39" t="str">
        <f t="shared" si="1"/>
        <v>CORRECT</v>
      </c>
      <c r="G19" s="39" t="s">
        <v>48</v>
      </c>
      <c r="H19" s="56" t="s">
        <v>48</v>
      </c>
      <c r="I19" s="54" t="s">
        <v>511</v>
      </c>
      <c r="J19" s="55">
        <v>23171.0</v>
      </c>
    </row>
    <row r="20" ht="60.0" customHeight="1">
      <c r="A20" s="39">
        <v>17.0</v>
      </c>
      <c r="B20" s="40" t="s">
        <v>115</v>
      </c>
      <c r="C20" s="40" t="s">
        <v>116</v>
      </c>
      <c r="D20" s="40" t="s">
        <v>117</v>
      </c>
      <c r="E20" s="40" t="s">
        <v>118</v>
      </c>
      <c r="F20" s="39" t="str">
        <f t="shared" si="1"/>
        <v>WRONG</v>
      </c>
      <c r="G20" s="39" t="s">
        <v>42</v>
      </c>
      <c r="H20" s="55" t="s">
        <v>36</v>
      </c>
      <c r="I20" s="54" t="s">
        <v>512</v>
      </c>
      <c r="J20" s="55">
        <v>28504.0</v>
      </c>
    </row>
    <row r="21" ht="60.0" customHeight="1">
      <c r="A21" s="39">
        <v>18.0</v>
      </c>
      <c r="B21" s="40" t="s">
        <v>120</v>
      </c>
      <c r="C21" s="40" t="s">
        <v>121</v>
      </c>
      <c r="D21" s="40" t="s">
        <v>122</v>
      </c>
      <c r="E21" s="40" t="s">
        <v>123</v>
      </c>
      <c r="F21" s="39" t="str">
        <f t="shared" si="1"/>
        <v>CORRECT</v>
      </c>
      <c r="G21" s="39" t="s">
        <v>42</v>
      </c>
      <c r="H21" s="55" t="s">
        <v>42</v>
      </c>
      <c r="I21" s="54" t="s">
        <v>513</v>
      </c>
      <c r="J21" s="55">
        <v>33405.0</v>
      </c>
    </row>
    <row r="22" ht="60.0" customHeight="1">
      <c r="A22" s="39">
        <v>19.0</v>
      </c>
      <c r="B22" s="40" t="s">
        <v>125</v>
      </c>
      <c r="C22" s="40" t="s">
        <v>126</v>
      </c>
      <c r="D22" s="40" t="s">
        <v>127</v>
      </c>
      <c r="E22" s="40" t="s">
        <v>128</v>
      </c>
      <c r="F22" s="39" t="str">
        <f t="shared" si="1"/>
        <v>WRONG</v>
      </c>
      <c r="G22" s="39" t="s">
        <v>36</v>
      </c>
      <c r="H22" s="56" t="s">
        <v>508</v>
      </c>
      <c r="I22" s="54" t="s">
        <v>514</v>
      </c>
      <c r="J22" s="55">
        <v>16658.0</v>
      </c>
    </row>
    <row r="23" ht="60.0" customHeight="1">
      <c r="A23" s="39">
        <v>20.0</v>
      </c>
      <c r="B23" s="40" t="s">
        <v>130</v>
      </c>
      <c r="C23" s="40" t="s">
        <v>131</v>
      </c>
      <c r="D23" s="40" t="s">
        <v>132</v>
      </c>
      <c r="E23" s="40" t="s">
        <v>133</v>
      </c>
      <c r="F23" s="39" t="str">
        <f t="shared" si="1"/>
        <v>CORRECT</v>
      </c>
      <c r="G23" s="39" t="s">
        <v>42</v>
      </c>
      <c r="H23" s="56" t="s">
        <v>42</v>
      </c>
      <c r="I23" s="54" t="s">
        <v>515</v>
      </c>
      <c r="J23" s="55">
        <v>12942.0</v>
      </c>
    </row>
    <row r="24" ht="60.0" customHeight="1">
      <c r="A24" s="39">
        <v>21.0</v>
      </c>
      <c r="B24" s="40" t="s">
        <v>135</v>
      </c>
      <c r="C24" s="40" t="s">
        <v>136</v>
      </c>
      <c r="D24" s="40" t="s">
        <v>137</v>
      </c>
      <c r="E24" s="40" t="s">
        <v>138</v>
      </c>
      <c r="F24" s="39" t="str">
        <f t="shared" si="1"/>
        <v>WRONG</v>
      </c>
      <c r="G24" s="39" t="s">
        <v>42</v>
      </c>
      <c r="H24" s="56" t="s">
        <v>36</v>
      </c>
      <c r="I24" s="54" t="s">
        <v>516</v>
      </c>
      <c r="J24" s="55">
        <v>18442.0</v>
      </c>
    </row>
    <row r="25" ht="60.0" customHeight="1">
      <c r="A25" s="39">
        <v>22.0</v>
      </c>
      <c r="B25" s="40" t="s">
        <v>140</v>
      </c>
      <c r="C25" s="40" t="s">
        <v>141</v>
      </c>
      <c r="D25" s="40" t="s">
        <v>142</v>
      </c>
      <c r="E25" s="40" t="s">
        <v>143</v>
      </c>
      <c r="F25" s="39" t="str">
        <f t="shared" si="1"/>
        <v>CORRECT</v>
      </c>
      <c r="G25" s="39" t="s">
        <v>42</v>
      </c>
      <c r="H25" s="56" t="s">
        <v>42</v>
      </c>
      <c r="I25" s="54" t="s">
        <v>517</v>
      </c>
      <c r="J25" s="55">
        <v>29632.0</v>
      </c>
    </row>
    <row r="26" ht="60.0" customHeight="1">
      <c r="A26" s="39">
        <v>23.0</v>
      </c>
      <c r="B26" s="40" t="s">
        <v>145</v>
      </c>
      <c r="C26" s="40" t="s">
        <v>146</v>
      </c>
      <c r="D26" s="40" t="s">
        <v>147</v>
      </c>
      <c r="E26" s="40" t="s">
        <v>148</v>
      </c>
      <c r="F26" s="39" t="str">
        <f t="shared" si="1"/>
        <v>CORRECT</v>
      </c>
      <c r="G26" s="39" t="s">
        <v>48</v>
      </c>
      <c r="H26" s="55" t="s">
        <v>48</v>
      </c>
      <c r="I26" s="54" t="s">
        <v>518</v>
      </c>
      <c r="J26" s="55">
        <v>11040.0</v>
      </c>
    </row>
    <row r="27" ht="60.0" customHeight="1">
      <c r="A27" s="39">
        <v>24.0</v>
      </c>
      <c r="B27" s="40" t="s">
        <v>150</v>
      </c>
      <c r="C27" s="40" t="s">
        <v>151</v>
      </c>
      <c r="D27" s="40" t="s">
        <v>152</v>
      </c>
      <c r="E27" s="40" t="s">
        <v>153</v>
      </c>
      <c r="F27" s="39" t="str">
        <f t="shared" si="1"/>
        <v>WRONG</v>
      </c>
      <c r="G27" s="39" t="s">
        <v>36</v>
      </c>
      <c r="H27" s="56" t="s">
        <v>42</v>
      </c>
      <c r="I27" s="54" t="s">
        <v>519</v>
      </c>
      <c r="J27" s="55">
        <v>18165.0</v>
      </c>
    </row>
    <row r="28" ht="60.0" customHeight="1">
      <c r="A28" s="39">
        <v>25.0</v>
      </c>
      <c r="B28" s="40" t="s">
        <v>155</v>
      </c>
      <c r="C28" s="40" t="s">
        <v>151</v>
      </c>
      <c r="D28" s="40" t="s">
        <v>156</v>
      </c>
      <c r="E28" s="40" t="s">
        <v>153</v>
      </c>
      <c r="F28" s="39" t="str">
        <f t="shared" si="1"/>
        <v>WRONG</v>
      </c>
      <c r="G28" s="39" t="s">
        <v>48</v>
      </c>
      <c r="H28" s="56" t="s">
        <v>42</v>
      </c>
      <c r="I28" s="54" t="s">
        <v>520</v>
      </c>
      <c r="J28" s="55">
        <v>29896.0</v>
      </c>
    </row>
    <row r="29" ht="60.0" customHeight="1">
      <c r="A29" s="39">
        <v>26.0</v>
      </c>
      <c r="B29" s="40" t="s">
        <v>158</v>
      </c>
      <c r="C29" s="40" t="s">
        <v>159</v>
      </c>
      <c r="D29" s="40" t="s">
        <v>160</v>
      </c>
      <c r="E29" s="40" t="s">
        <v>161</v>
      </c>
      <c r="F29" s="39" t="str">
        <f t="shared" si="1"/>
        <v>CORRECT</v>
      </c>
      <c r="G29" s="39" t="s">
        <v>36</v>
      </c>
      <c r="H29" s="56" t="s">
        <v>36</v>
      </c>
      <c r="I29" s="54" t="s">
        <v>521</v>
      </c>
      <c r="J29" s="55">
        <v>33027.0</v>
      </c>
    </row>
    <row r="30" ht="60.0" customHeight="1">
      <c r="A30" s="39">
        <v>27.0</v>
      </c>
      <c r="B30" s="40" t="s">
        <v>163</v>
      </c>
      <c r="C30" s="40" t="s">
        <v>164</v>
      </c>
      <c r="D30" s="40" t="s">
        <v>165</v>
      </c>
      <c r="E30" s="40" t="s">
        <v>166</v>
      </c>
      <c r="F30" s="39" t="str">
        <f t="shared" si="1"/>
        <v>WRONG</v>
      </c>
      <c r="G30" s="39" t="s">
        <v>42</v>
      </c>
      <c r="H30" s="56" t="s">
        <v>36</v>
      </c>
      <c r="I30" s="54" t="s">
        <v>522</v>
      </c>
      <c r="J30" s="55">
        <v>22794.0</v>
      </c>
    </row>
    <row r="31" ht="60.0" customHeight="1">
      <c r="A31" s="39">
        <v>28.0</v>
      </c>
      <c r="B31" s="40" t="s">
        <v>168</v>
      </c>
      <c r="C31" s="40" t="s">
        <v>169</v>
      </c>
      <c r="D31" s="40" t="s">
        <v>170</v>
      </c>
      <c r="E31" s="40" t="s">
        <v>171</v>
      </c>
      <c r="F31" s="39" t="str">
        <f t="shared" si="1"/>
        <v>WRONG</v>
      </c>
      <c r="G31" s="39" t="s">
        <v>36</v>
      </c>
      <c r="H31" s="56" t="s">
        <v>48</v>
      </c>
      <c r="I31" s="54" t="s">
        <v>523</v>
      </c>
      <c r="J31" s="55">
        <v>20850.0</v>
      </c>
    </row>
    <row r="32" ht="60.0" customHeight="1">
      <c r="A32" s="39">
        <v>29.0</v>
      </c>
      <c r="B32" s="40" t="s">
        <v>173</v>
      </c>
      <c r="C32" s="40" t="s">
        <v>174</v>
      </c>
      <c r="D32" s="40" t="s">
        <v>175</v>
      </c>
      <c r="E32" s="40" t="s">
        <v>176</v>
      </c>
      <c r="F32" s="39" t="str">
        <f t="shared" si="1"/>
        <v>CORRECT</v>
      </c>
      <c r="G32" s="39" t="s">
        <v>42</v>
      </c>
      <c r="H32" s="56" t="s">
        <v>42</v>
      </c>
      <c r="I32" s="54" t="s">
        <v>524</v>
      </c>
      <c r="J32" s="55">
        <v>17941.0</v>
      </c>
    </row>
    <row r="33" ht="60.0" customHeight="1">
      <c r="A33" s="39">
        <v>30.0</v>
      </c>
      <c r="B33" s="40" t="s">
        <v>178</v>
      </c>
      <c r="C33" s="40" t="s">
        <v>179</v>
      </c>
      <c r="D33" s="40" t="s">
        <v>180</v>
      </c>
      <c r="E33" s="40" t="s">
        <v>181</v>
      </c>
      <c r="F33" s="39" t="str">
        <f t="shared" si="1"/>
        <v>WRONG</v>
      </c>
      <c r="G33" s="39" t="s">
        <v>48</v>
      </c>
      <c r="H33" s="56" t="s">
        <v>36</v>
      </c>
      <c r="I33" s="54" t="s">
        <v>525</v>
      </c>
      <c r="J33" s="55">
        <v>11366.0</v>
      </c>
    </row>
    <row r="34" ht="60.0" customHeight="1">
      <c r="A34" s="39">
        <v>31.0</v>
      </c>
      <c r="B34" s="40" t="s">
        <v>183</v>
      </c>
      <c r="C34" s="40" t="s">
        <v>184</v>
      </c>
      <c r="D34" s="40" t="s">
        <v>185</v>
      </c>
      <c r="E34" s="40" t="s">
        <v>186</v>
      </c>
      <c r="F34" s="39" t="str">
        <f t="shared" si="1"/>
        <v>WRONG</v>
      </c>
      <c r="G34" s="39" t="s">
        <v>42</v>
      </c>
      <c r="H34" s="56" t="s">
        <v>48</v>
      </c>
      <c r="I34" s="54" t="s">
        <v>526</v>
      </c>
      <c r="J34" s="55">
        <v>27914.0</v>
      </c>
    </row>
    <row r="35" ht="60.0" customHeight="1">
      <c r="A35" s="39">
        <v>32.0</v>
      </c>
      <c r="B35" s="40" t="s">
        <v>188</v>
      </c>
      <c r="C35" s="40" t="s">
        <v>189</v>
      </c>
      <c r="D35" s="40" t="s">
        <v>190</v>
      </c>
      <c r="E35" s="40" t="s">
        <v>191</v>
      </c>
      <c r="F35" s="39" t="str">
        <f t="shared" si="1"/>
        <v>WRONG</v>
      </c>
      <c r="G35" s="39" t="s">
        <v>36</v>
      </c>
      <c r="H35" s="56" t="s">
        <v>48</v>
      </c>
      <c r="I35" s="54" t="s">
        <v>527</v>
      </c>
      <c r="J35" s="55">
        <v>30889.0</v>
      </c>
    </row>
    <row r="36" ht="60.0" customHeight="1">
      <c r="A36" s="39">
        <v>33.0</v>
      </c>
      <c r="B36" s="40" t="s">
        <v>193</v>
      </c>
      <c r="C36" s="40" t="s">
        <v>194</v>
      </c>
      <c r="D36" s="40" t="s">
        <v>195</v>
      </c>
      <c r="E36" s="40" t="s">
        <v>196</v>
      </c>
      <c r="F36" s="39" t="str">
        <f t="shared" si="1"/>
        <v>WRONG</v>
      </c>
      <c r="G36" s="39" t="s">
        <v>48</v>
      </c>
      <c r="H36" s="55" t="s">
        <v>36</v>
      </c>
      <c r="I36" s="54" t="s">
        <v>528</v>
      </c>
      <c r="J36" s="55">
        <v>36917.0</v>
      </c>
    </row>
    <row r="37" ht="60.0" customHeight="1">
      <c r="A37" s="39">
        <v>34.0</v>
      </c>
      <c r="B37" s="40" t="s">
        <v>198</v>
      </c>
      <c r="C37" s="40" t="s">
        <v>199</v>
      </c>
      <c r="D37" s="40" t="s">
        <v>200</v>
      </c>
      <c r="E37" s="40" t="s">
        <v>201</v>
      </c>
      <c r="F37" s="39" t="str">
        <f t="shared" si="1"/>
        <v>WRONG</v>
      </c>
      <c r="G37" s="39" t="s">
        <v>36</v>
      </c>
      <c r="H37" s="56" t="s">
        <v>48</v>
      </c>
      <c r="I37" s="54" t="s">
        <v>529</v>
      </c>
      <c r="J37" s="55">
        <v>21115.0</v>
      </c>
    </row>
    <row r="38" ht="60.0" customHeight="1">
      <c r="A38" s="39">
        <v>35.0</v>
      </c>
      <c r="B38" s="40" t="s">
        <v>203</v>
      </c>
      <c r="C38" s="40" t="s">
        <v>204</v>
      </c>
      <c r="D38" s="40" t="s">
        <v>205</v>
      </c>
      <c r="E38" s="40" t="s">
        <v>206</v>
      </c>
      <c r="F38" s="39" t="str">
        <f t="shared" si="1"/>
        <v>CORRECT</v>
      </c>
      <c r="G38" s="39" t="s">
        <v>48</v>
      </c>
      <c r="H38" s="56" t="s">
        <v>48</v>
      </c>
      <c r="I38" s="54" t="s">
        <v>530</v>
      </c>
      <c r="J38" s="55">
        <v>21470.0</v>
      </c>
    </row>
    <row r="39" ht="60.0" customHeight="1">
      <c r="A39" s="39">
        <v>36.0</v>
      </c>
      <c r="B39" s="40" t="s">
        <v>208</v>
      </c>
      <c r="C39" s="40" t="s">
        <v>209</v>
      </c>
      <c r="D39" s="40" t="s">
        <v>210</v>
      </c>
      <c r="E39" s="40" t="s">
        <v>211</v>
      </c>
      <c r="F39" s="39" t="str">
        <f t="shared" si="1"/>
        <v>CORRECT</v>
      </c>
      <c r="G39" s="39" t="s">
        <v>36</v>
      </c>
      <c r="H39" s="56" t="s">
        <v>36</v>
      </c>
      <c r="I39" s="54" t="s">
        <v>531</v>
      </c>
      <c r="J39" s="55">
        <v>20034.0</v>
      </c>
    </row>
    <row r="40" ht="60.0" customHeight="1">
      <c r="A40" s="39">
        <v>37.0</v>
      </c>
      <c r="B40" s="40" t="s">
        <v>213</v>
      </c>
      <c r="C40" s="40" t="s">
        <v>214</v>
      </c>
      <c r="D40" s="40" t="s">
        <v>215</v>
      </c>
      <c r="E40" s="40" t="s">
        <v>216</v>
      </c>
      <c r="F40" s="39" t="str">
        <f t="shared" si="1"/>
        <v>CORRECT</v>
      </c>
      <c r="G40" s="39" t="s">
        <v>36</v>
      </c>
      <c r="H40" s="56" t="s">
        <v>36</v>
      </c>
      <c r="I40" s="54" t="s">
        <v>532</v>
      </c>
      <c r="J40" s="55">
        <v>22045.0</v>
      </c>
    </row>
    <row r="41" ht="60.0" customHeight="1">
      <c r="A41" s="39">
        <v>38.0</v>
      </c>
      <c r="B41" s="40" t="s">
        <v>218</v>
      </c>
      <c r="C41" s="40" t="s">
        <v>219</v>
      </c>
      <c r="D41" s="40" t="s">
        <v>220</v>
      </c>
      <c r="E41" s="40" t="s">
        <v>221</v>
      </c>
      <c r="F41" s="39" t="str">
        <f t="shared" si="1"/>
        <v>CORRECT</v>
      </c>
      <c r="G41" s="39" t="s">
        <v>36</v>
      </c>
      <c r="H41" s="55" t="s">
        <v>36</v>
      </c>
      <c r="I41" s="54" t="s">
        <v>533</v>
      </c>
      <c r="J41" s="55">
        <v>37714.0</v>
      </c>
    </row>
    <row r="42" ht="60.0" customHeight="1">
      <c r="A42" s="39">
        <v>39.0</v>
      </c>
      <c r="B42" s="40" t="s">
        <v>223</v>
      </c>
      <c r="C42" s="40" t="s">
        <v>224</v>
      </c>
      <c r="D42" s="40" t="s">
        <v>225</v>
      </c>
      <c r="E42" s="40" t="s">
        <v>226</v>
      </c>
      <c r="F42" s="39" t="str">
        <f t="shared" si="1"/>
        <v>WRONG</v>
      </c>
      <c r="G42" s="39" t="s">
        <v>42</v>
      </c>
      <c r="H42" s="55" t="s">
        <v>48</v>
      </c>
      <c r="I42" s="54" t="s">
        <v>534</v>
      </c>
      <c r="J42" s="55">
        <v>32978.0</v>
      </c>
    </row>
    <row r="43" ht="60.0" customHeight="1">
      <c r="A43" s="39">
        <v>40.0</v>
      </c>
      <c r="B43" s="40" t="s">
        <v>228</v>
      </c>
      <c r="C43" s="40" t="s">
        <v>229</v>
      </c>
      <c r="D43" s="40" t="s">
        <v>230</v>
      </c>
      <c r="E43" s="40" t="s">
        <v>231</v>
      </c>
      <c r="F43" s="39" t="str">
        <f t="shared" si="1"/>
        <v>CORRECT</v>
      </c>
      <c r="G43" s="39" t="s">
        <v>48</v>
      </c>
      <c r="H43" s="55" t="s">
        <v>48</v>
      </c>
      <c r="I43" s="54" t="s">
        <v>535</v>
      </c>
      <c r="J43" s="55">
        <v>28571.0</v>
      </c>
    </row>
    <row r="44" ht="60.0" customHeight="1">
      <c r="A44" s="39">
        <v>41.0</v>
      </c>
      <c r="B44" s="40" t="s">
        <v>233</v>
      </c>
      <c r="C44" s="40" t="s">
        <v>234</v>
      </c>
      <c r="D44" s="40" t="s">
        <v>235</v>
      </c>
      <c r="E44" s="40" t="s">
        <v>236</v>
      </c>
      <c r="F44" s="39" t="str">
        <f t="shared" si="1"/>
        <v>CORRECT</v>
      </c>
      <c r="G44" s="39" t="s">
        <v>42</v>
      </c>
      <c r="H44" s="55" t="s">
        <v>42</v>
      </c>
      <c r="I44" s="54" t="s">
        <v>536</v>
      </c>
      <c r="J44" s="55">
        <v>21957.0</v>
      </c>
    </row>
    <row r="45" ht="60.0" customHeight="1">
      <c r="A45" s="39">
        <v>42.0</v>
      </c>
      <c r="B45" s="40" t="s">
        <v>238</v>
      </c>
      <c r="C45" s="40" t="s">
        <v>239</v>
      </c>
      <c r="D45" s="40" t="s">
        <v>240</v>
      </c>
      <c r="E45" s="40" t="s">
        <v>241</v>
      </c>
      <c r="F45" s="39" t="str">
        <f t="shared" si="1"/>
        <v>CORRECT</v>
      </c>
      <c r="G45" s="39" t="s">
        <v>36</v>
      </c>
      <c r="H45" s="56" t="s">
        <v>36</v>
      </c>
      <c r="I45" s="54" t="s">
        <v>537</v>
      </c>
      <c r="J45" s="55">
        <v>22367.0</v>
      </c>
    </row>
    <row r="46" ht="60.0" customHeight="1">
      <c r="A46" s="39">
        <v>43.0</v>
      </c>
      <c r="B46" s="40" t="s">
        <v>243</v>
      </c>
      <c r="C46" s="40" t="s">
        <v>244</v>
      </c>
      <c r="D46" s="40" t="s">
        <v>245</v>
      </c>
      <c r="E46" s="40" t="s">
        <v>246</v>
      </c>
      <c r="F46" s="39" t="str">
        <f t="shared" si="1"/>
        <v>WRONG</v>
      </c>
      <c r="G46" s="39" t="s">
        <v>48</v>
      </c>
      <c r="H46" s="56" t="s">
        <v>42</v>
      </c>
      <c r="I46" s="54" t="s">
        <v>538</v>
      </c>
      <c r="J46" s="55">
        <v>31126.0</v>
      </c>
    </row>
    <row r="47" ht="60.0" customHeight="1">
      <c r="A47" s="39">
        <v>44.0</v>
      </c>
      <c r="B47" s="40" t="s">
        <v>248</v>
      </c>
      <c r="C47" s="40" t="s">
        <v>249</v>
      </c>
      <c r="D47" s="40" t="s">
        <v>250</v>
      </c>
      <c r="E47" s="40" t="s">
        <v>251</v>
      </c>
      <c r="F47" s="39" t="str">
        <f t="shared" si="1"/>
        <v>WRONG</v>
      </c>
      <c r="G47" s="39" t="s">
        <v>36</v>
      </c>
      <c r="H47" s="56" t="s">
        <v>48</v>
      </c>
      <c r="I47" s="54" t="s">
        <v>539</v>
      </c>
      <c r="J47" s="55">
        <v>27161.0</v>
      </c>
    </row>
    <row r="48" ht="60.0" customHeight="1">
      <c r="A48" s="39">
        <v>45.0</v>
      </c>
      <c r="B48" s="40" t="s">
        <v>253</v>
      </c>
      <c r="C48" s="40" t="s">
        <v>254</v>
      </c>
      <c r="D48" s="40" t="s">
        <v>255</v>
      </c>
      <c r="E48" s="40" t="s">
        <v>256</v>
      </c>
      <c r="F48" s="39" t="str">
        <f t="shared" si="1"/>
        <v>CORRECT</v>
      </c>
      <c r="G48" s="39" t="s">
        <v>36</v>
      </c>
      <c r="H48" s="55" t="s">
        <v>36</v>
      </c>
      <c r="I48" s="54" t="s">
        <v>540</v>
      </c>
      <c r="J48" s="55">
        <v>39171.0</v>
      </c>
    </row>
    <row r="49" ht="60.0" customHeight="1">
      <c r="A49" s="39">
        <v>46.0</v>
      </c>
      <c r="B49" s="40" t="s">
        <v>258</v>
      </c>
      <c r="C49" s="40" t="s">
        <v>39</v>
      </c>
      <c r="D49" s="40" t="s">
        <v>259</v>
      </c>
      <c r="E49" s="40" t="s">
        <v>260</v>
      </c>
      <c r="F49" s="39" t="str">
        <f t="shared" si="1"/>
        <v>WRONG</v>
      </c>
      <c r="G49" s="39" t="s">
        <v>36</v>
      </c>
      <c r="H49" s="56" t="s">
        <v>508</v>
      </c>
      <c r="I49" s="57" t="s">
        <v>541</v>
      </c>
      <c r="J49" s="55">
        <v>13780.0</v>
      </c>
    </row>
    <row r="50">
      <c r="A50" s="44" t="s">
        <v>262</v>
      </c>
      <c r="B50" s="2"/>
      <c r="C50" s="2"/>
      <c r="D50" s="2"/>
      <c r="E50" s="3"/>
      <c r="F50" s="45">
        <f>COUNTIFS(F4:F49,"CORRECT")</f>
        <v>22</v>
      </c>
      <c r="G50" s="46"/>
      <c r="H50" s="46"/>
      <c r="J50" s="47">
        <f>AVERAGE(J4:J49)</f>
        <v>27555.43478</v>
      </c>
    </row>
    <row r="51">
      <c r="A51" s="48" t="s">
        <v>263</v>
      </c>
      <c r="B51" s="2"/>
      <c r="C51" s="2"/>
      <c r="D51" s="2"/>
      <c r="E51" s="3"/>
      <c r="F51" s="49">
        <v>46.0</v>
      </c>
      <c r="G51" s="46"/>
      <c r="H51" s="46"/>
    </row>
    <row r="52">
      <c r="A52" s="44" t="s">
        <v>264</v>
      </c>
      <c r="B52" s="2"/>
      <c r="C52" s="2"/>
      <c r="D52" s="2"/>
      <c r="E52" s="3"/>
      <c r="F52" s="50">
        <f>F50/F51</f>
        <v>0.4782608696</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