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<sst xmlns="http://schemas.openxmlformats.org/spreadsheetml/2006/main" count="3482" uniqueCount="551">
  <si>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</si>
  <si>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</si>
  <si>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</si>
  <si>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</si>
  <si>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</si>
  <si>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</si>
  <si>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</si>
  <si>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</si>
  <si>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</si>
  <si>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</si>
  <si>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</si>
  <si>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</si>
  <si>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</si>
  <si>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</si>
  <si>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</si>
  <si>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</si>
  <si>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</si>
  <si>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</si>
  <si>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</si>
  <si>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</si>
  <si>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</si>
  <si>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</si>
  <si>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</si>
  <si>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</si>
  <si>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</si>
  <si>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</si>
  <si>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</si>
  <si>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</si>
  <si>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</si>
  <si>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</si>
  <si>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</si>
  <si>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</si>
  <si>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</si>
  <si>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</si>
  <si>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</si>
  <si>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</si>
  <si>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</si>
  <si>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</si>
  <si>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on the medial aspect of the lower leg, making it the most likely nerve to be blocked for an operation in this area. The tibial nerve provides sensation to the heel, plantar portion of the toes, and the sole of the foot, as well as some motor branches in the same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</si>
  <si>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</si>
  <si>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</si>
  <si>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</si>
  <si>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</si>
  <si>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right upper quadrant abdominal pain and nausea 30 minutes after receiving premedication with morphine and midazolam. Morphine is an opioid, and the patient is experiencing adverse effects of the medication. Naloxone is an opioid antagonist that can reverse the effects of opioids, making it the most appropriate therapy for this patient\'s pain.'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</si>
  <si>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</si>
  <si>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</si>
  <si>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</si>
  <si>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</si>
  <si>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</si>
  <si>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rehydrate the patient and restore electrolyte balance.'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</si>
  <si>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</si>
  <si>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</si>
  <si>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</si>
  <si>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</si>
  <si>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the most reliable test to predict the likelihood of developing malignant hyperthermia. This is because genetic mutations in the ryanodine receptor gene are the primary cause of malignant hyperthermia susceptibility. The genetic test can detect the presence of these mutations, allowing for accurate identification of individuals at risk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</si>
  <si>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</si>
  <si>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</si>
  <si>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</si>
  <si>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</si>
  <si>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150 mL/min of oxygen, which is 100 mL/min of oxygen and 50 mL/min of anesthetic. The fresh gas flow is 5 L/min, so the percentage of anesthetic in the gas stream is 50 mL/min / 5 L/min = 1%. Therefore, the delivered anesthetic concentration is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</si>
  <si>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</si>
  <si>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</si>
  <si>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</si>
  <si>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</si>
  <si>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who is anesthetized with 1 MAC of isoflurane. This is because vasoconstriction helps to reduce heat loss by decreasing blood flow to the skin and extremities,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</si>
  <si>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</si>
  <si>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</si>
  <si>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</si>
  <si>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</si>
  <si>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and at risk of respiratory depression even after the procedure is completed. Therefore, it is necessary to keep the patient in the hospital for observation to ensure that the sedation wears off and the patient is able to breathe normally and respond to stimuli.'
}</t>
  </si>
  <si>
    <t>Which of the following factors exerts the GREATEST effect on the extent of spread of local anesthetic following subarachnoid block with hyperbaric bupivacaine?</t>
  </si>
  <si>
    <t>A. Added epinephrine</t>
  </si>
  <si>
    <t>B. Patient position</t>
  </si>
  <si>
    <t>C. Total dose of drug</t>
  </si>
  <si>
    <t>{
  ""Answer"": ""A"",
  ""Explain"": ""The addition of epinephrine to hyperbaric bupivacaine increases the extent of spread of local anesthetic by increasing the density of the solution, which allows it to spread more easily and evenly throughout the spinal canal.""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</si>
  <si>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</si>
  <si>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</si>
  <si>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</si>
  <si>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</si>
  <si>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</si>
  <si>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</si>
  <si>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</si>
  <si>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</si>
  <si>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</si>
  <si>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developed nausea, diaphoresis, and sharp pain in the left shoulder 45 minutes after the start of the procedure, which is an unusual presentation. The most likely cause is bladder perforation, as the patient received a spinal anesthetic for TURP. The symptoms are consistent with a sudden and severe increase in intracranial pressure, which can occur if the spinal anesthetic spreads to the epidural space and causes a sudden increase in pressure on the bladder, leading to perforation.</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</si>
  <si>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</si>
  <si>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</si>
  <si>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</si>
  <si>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</si>
  <si>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 patient is experiencing respiratory acidosis, which is likely caused by hypoventilation. The patient is in the Trendelenburg position with CO2 insufflation, which can cause compression of the vena cava and decreased venous return, leading to decreased cardiac output and hypoxia. This is the most likely cause of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</si>
  <si>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</si>
  <si>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</si>
  <si>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</si>
  <si>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</si>
  <si>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is an opioid that can cause hypoventilation. The patient's SpO2 is 90% on room air, which is slightly low. The most likely cause of her hypoxemia is hypoventilation due to the effects of morphine, rather than absorption of CO2 from the abdomen or increased dead space.'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</si>
  <si>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</si>
  <si>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</si>
  <si>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</si>
  <si>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</si>
  <si>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This means that the ventilator will provide a breath when the patient's airway pressure decreases, such as when they inhale or when the ventilator's pressure support level is set too low.'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</si>
  <si>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</si>
  <si>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</si>
  <si>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</si>
  <si>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</si>
  <si>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anesthesia induction, the increased metabolic demand of the myocardium requires increased coronary perfusion pressure to meet the increased oxygen demand. Increased coronary perfusion pressure is achieved by increasing the blood pressure, which is more effectively done by increasing the coronary perfusion pressure rather than decreasing coronary artery resistance or increasing oxygen extraction by the myocardium.'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</si>
  <si>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</si>
  <si>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</si>
  <si>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</si>
  <si>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</si>
  <si>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assesses the integrity of the extrinsic and common pathways of plasma-mediated hemostasis. It measures the time required for clot formation to occur after mixing a sample of patient plasma with tissue factor (thromboplastin) and calcium. It is sensitive to deficiencies in fibrinogen, and factors II, V, VII, or X. As three of these factors have vitamin K-dependent synthesis (factors II, VII, and X), patients with chronic liver disease may have a prolonged PT due to decreased production of these factors, making it a useful test to confirm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</si>
  <si>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</si>
  <si>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</si>
  <si>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</si>
  <si>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</si>
  <si>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specifically esmolol, is the best strategy to prevent ventricular dysrhythmias in a patient undergoing extracorporeal shock wave lithotripsy. This is because esmolol is a short-acting β-blocker that can be used to chemically cardiovert the postoperative patient whose arrhythmia may be catecholamine driven.'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</si>
  <si>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</si>
  <si>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</si>
  <si>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</si>
  <si>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</si>
  <si>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This is because the Bain circuit has a pressure-limiting valve located away from the patient, which prevents the rebreathing of exhaled gases. In contrast, semiclosed circle systems have a CO2 absorber that can allow rebreathing of CO2 to occur.'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</si>
  <si>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</si>
  <si>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</si>
  <si>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</si>
  <si>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</si>
  <si>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endotracheal tube to be displaced, leading to a decrease in tidal volume and an increase in the inspiratory pressure, resulting in the capnograph waveform shown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</si>
  <si>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</si>
  <si>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</si>
  <si>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</si>
  <si>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</si>
  <si>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is not a suitable option. Administering hydrocortisone followed by cefazolin is a reasonable approach, as it will provide temporary coverage for the patient\'s allergy and allow for further evaluation and treatment of the infection.'
}</t>
  </si>
  <si>
    <t>Which of the following factors DECREASES the MAC of isoflurane?</t>
  </si>
  <si>
    <t>A. Acute cocaine intoxication</t>
  </si>
  <si>
    <t>B. Chronic ethanol abuse</t>
  </si>
  <si>
    <t>C. Symptomatic hyponatremia</t>
  </si>
  <si>
    <t>{
  'Answer': 'A',
  'Explain': 'Acute cocaine intoxication decreases the minimum alveolar concentration (MAC) of isoflurane by increasing the cerebral blood flow and oxygen delivery, which can lead to a decrease in the anesthetic requirement.'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</si>
  <si>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</si>
  <si>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</si>
  <si>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</si>
  <si>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</si>
  <si>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'The primary toxic effect of bupivacaine on the cardiovascular system is the blockade of norepinephrine release, which can lead to hypotension and bradycardia.'
}</t>
  </si>
  <si>
    <t>Which of the following conditions MOST likely causes a rightward shift in the oxyhemoglobin dissociation curve?</t>
  </si>
  <si>
    <t>A. Carboxyhemoglobinemia</t>
  </si>
  <si>
    <t>B. Decreased 2,3-diphosphoglycerate concentration</t>
  </si>
  <si>
    <t>C. Hyperthermia</t>
  </si>
  <si>
    <t>{
  ""Answer"": C,
  ""Explain"": ""A rightward shift in the oxyhemoglobin dissociation curve occurs when the partial pressure of oxygen (PO2) is decreased, which is the case in hypothermia. This is because the affinity of hemoglobin for oxygen is increased at lower temperatures, causing the curve to shift to the right. This means that more oxygen is required to saturate the hemoglobin at a given PO2, which can lead to tissue hypoxia.""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</si>
  <si>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</si>
  <si>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</si>
  <si>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</si>
  <si>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</si>
  <si>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This is because hypothyroidism can cause decreased levels of triiodothyronine (T3), which is essential for normal cardiac function. As a result, the heart becomes less efficient at pumping blood, leading to decreased cardiac output.'
}</t>
  </si>
  <si>
    <t>Which of the following anesthetic drugs is MOST likely to be associated with longer seizure duration when used for electroconvulsive therapy?</t>
  </si>
  <si>
    <t>A. Etomidate</t>
  </si>
  <si>
    <t>B. Methohexital</t>
  </si>
  <si>
    <t>C. Propofol</t>
  </si>
  <si>
    <t>{
  'Answer': B,
  'Explain': 'Methohexital is the most likely to be associated with longer seizure duration when used for electroconvulsive therapy. This is because methohexital has a longer context-sensitive half-time compared to etomidate and propofol, which means it takes longer for the drug to be eliminated from the body. This can lead to a longer duration of seizure activity.'
}</t>
  </si>
  <si>
    <t>Which of the following drugs does NOT cause enhanced activity of the GABA receptor?</t>
  </si>
  <si>
    <t>B. Ketamine</t>
  </si>
  <si>
    <t>{
  'Answer': 'A',
  'Explain': 'Etomidate is the only drug among the options that does not enhance the activity of the GABA receptor. Etomidate is a benzodiazepine anesthetic agent that acts as a GABA receptor antagonist, whereas ketamine and propofol are GABA receptor agonists.'
}</t>
  </si>
  <si>
    <t>Which of the following components is MISPLACED in the circle system shown in the above illustration?</t>
  </si>
  <si>
    <t>A. Fresh gas inlet</t>
  </si>
  <si>
    <t>B. CO2 absorber</t>
  </si>
  <si>
    <t>C. Expiratory valve</t>
  </si>
  <si>
    <t>{
  'Answer': 'B',
  'Explain': 'The CO2 absorber is misplaced in the circle system. According to the text, the CO2 absorber is a component of the circle breathing system, and it is located between the patient and the reservoir bag. However, in the illustration, the CO2 absorber is not shown in this location, which suggests that it is misplaced.'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</si>
  <si>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</si>
  <si>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</si>
  <si>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</si>
  <si>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</si>
  <si>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</si>
  <si>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</si>
  <si>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</si>
  <si>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</si>
  <si>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</si>
  <si>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not significantly affected by renal excretion. Its elimination half-life is prolonged in anephric patients, and total plasma clearance is decreased. This means that neostigmine remains in the body for a longer period, providing a longer duration of action.'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</si>
  <si>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</si>
  <si>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</si>
  <si>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</si>
  <si>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</si>
  <si>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The recurrent laryngeal nerve provides sensory innervation to the larynx down to the vocal cords and is responsible for motor innervation of the intrinsic muscles of the larynx, except for the cricothyroid and inferior pharyngeal constrictor muscles.'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</si>
  <si>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</si>
  <si>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</si>
  <si>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</si>
  <si>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</si>
  <si>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The superior laryngeal nerve is responsible for transmitting the afferent component of the gag reflex, and blocking it can help prevent gagging during awake intubation.'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</si>
  <si>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</si>
  <si>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</si>
  <si>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</si>
  <si>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</si>
  <si>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reduces the body's ability to conserve heat and leads to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</si>
  <si>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</si>
  <si>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</si>
  <si>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</si>
  <si>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</si>
  <si>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patient's hypoxemia is due to a low inspired oxygen concentration, which is consistent with a decreased FRC. A decreased FRC can occur due to various factors, including age, general anesthesia, and changes in body position. Therefore, the most likely cause of the patient's hypoxemia is a decreased FRC.'</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</si>
  <si>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</si>
  <si>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</si>
  <si>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</si>
  <si>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</si>
  <si>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is effective for the upper limb. However, the procedure requires 2 hours of tourniquet inflation, which may cause discomfort and pain. To address this, an additional block of the intercostobrachial nerve, which provides cutaneous innervation of the medial upper arm at the T2 dermatome, would help to spare this area and provide better postoperative analgesia.'
}</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</si>
  <si>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</si>
  <si>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</si>
  <si>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</si>
  <si>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</si>
  <si>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Propofol is rapidly distributed into the peripheral tissues and then slowly redistributed back into the central compartment, leading to a decrease in its concentration and a return to consciousness.""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</si>
  <si>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</si>
  <si>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</si>
  <si>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</si>
  <si>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</si>
  <si>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a decrease in O2 analyzer reading from 50% to 30% is likely caused by the accumulation of water on the O2 sensor membrane. This is because the O2 sensor is prone to water accumulation, which can lead to a decrease in the accuracy of the O2 reading. The other options, A and C, are less likely to cause a sudden and significant decrease in O2 analyzer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</si>
  <si>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</si>
  <si>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</si>
  <si>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</si>
  <si>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</si>
  <si>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Ketamine is a dissociative anesthetic that produces analgesia, amnesia, and a sense of detachment from the environment. It is often used as an induction agent in anesthesia, particularly in patients with severe pain or those who are at risk of developing respiratory depression. The analgesic effects of ketamine are due to its ability to activate N-methyl-D-aspartate (NMDA) receptors in the brain, which reduces the transmission of pain signals to the brain.'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</si>
  <si>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</si>
  <si>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</si>
  <si>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</si>
  <si>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</si>
  <si>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'The context-sensitive half-time of fentanyl is shorter than that of morphine, which means that the duration of action of fentanyl is shorter. This is because fentanyl has a shorter elimination half-life, which is a factor that contributes to the decreased duration of action of IV doses of fentanyl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</si>
  <si>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</si>
  <si>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</si>
  <si>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</si>
  <si>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</si>
  <si>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It is a measure of the amount of random error or sampling error in the sample mean. It is calculated as the standard deviation of the sampling distribution of the sample means. A small SEM indicates that the sample mean is a reliable estimate of the population mean, while a large SEM indicates that the sample mean may not be a reliable estimate of the population mean.""
}</t>
  </si>
  <si>
    <t>Pulse oximetry accurately reflects SaO2 in which of the following situations?</t>
  </si>
  <si>
    <t>A. Administration of indocyanine green</t>
  </si>
  <si>
    <t>B. Carboxyhemoglobinemia</t>
  </si>
  <si>
    <t>C. 40% fetal hemoglobin concentration</t>
  </si>
  <si>
    <t>{
  'Answer': 'C',
  'Explain': 'Pulse oximetry accurately reflects SaO2 when the concentration of fetal hemoglobin is 40%. This is because fetal hemoglobin has a higher affinity for oxygen than adult hemoglobin, which means it binds to oxygen more easily. As a result, the pulse oximeter can accurately measure the oxygen saturation of the blood, even in the presence of fetal hemoglobin.'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</si>
  <si>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</si>
  <si>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</si>
  <si>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</si>
  <si>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</si>
  <si>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 is receiving a 4-hour general anesthetic for repair of tendon lacerations, which is a relatively short procedure. The fasting blood glucose level is 100 mg/dL, which is within the normal range. Given the short duration of anesthesia and the normal blood glucose level, it is likely that the blood glucose level will remain stable or decrease slightly during the procedure, making mild hypoglycemia (C) the most likely expected outcome on emergence.'</t>
  </si>
  <si>
    <t>Which of the following drugs INCREASES gastric pH while decreasing gastric volume?</t>
  </si>
  <si>
    <t>A. Glycopyrrolate</t>
  </si>
  <si>
    <t>B. Metoclopramide</t>
  </si>
  <si>
    <t>C. Ranitidine</t>
  </si>
  <si>
    <t>{
  'Answer': 'C',
  'Explain': 'Ranitidine is a histamine-2 (H2) receptor antagonist that decreases gastric acid secretion, which increases gastric pH. It is commonly used to treat gastroesophageal reflux disease (GERD) and peptic ulcer disease. It does not affect gastric volume, but rather reduces the amount of acid produced in the stomach, which increases the pH.'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</si>
  <si>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</si>
  <si>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</si>
  <si>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</si>
  <si>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</si>
  <si>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eliminated from the body. This results in a faster equilibration of alveolar and inspired concentrations of nitrous oxide, making it more likely to achieve a rapid return to consciousness.'
}</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</si>
  <si>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</si>
  <si>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</si>
  <si>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</si>
  <si>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</si>
  <si>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O2 reserve in the functional residual capacity (FRC). This is because denitrogenation helps to remove nitrogen from the lungs, allowing for a higher concentration of oxygen to be present in the lungs and increasing the time available for the patient to tolerate apnea before desaturation occurs.'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</si>
  <si>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</si>
  <si>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</si>
  <si>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</si>
  <si>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</si>
  <si>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'Unilateral recurrent laryngeal nerve injury may result in ipsilateral true vocal cord paralysis in the paramedian position. The vocal cord will be adducted at rest, which is the opposite of what is expected in a normal situation. This is because the adductor fibers of the recurrent laryngeal nerve are paralyzed, causing the vocal cord to move medially towards the midline.'
}</t>
  </si>
  <si>
    <t>Which of the following values, in mmHg, is the expected mixed venous O2 tension in a normal adult after breathing 100% O2 for 10 minutes?</t>
  </si>
  <si>
    <t>A. 45</t>
  </si>
  <si>
    <t>B. 95</t>
  </si>
  <si>
    <t>C. 150</t>
  </si>
  <si>
    <t>{
  'Answer': 'A',
  'Explain': 'After breathing 100% O2 for 10 minutes, the expected mixed venous O2 tension in a normal adult is 45 mmHg. This is because the increased oxygen supply from the 100% O2 has increased the oxygen content of the blood, which is then reflected in the mixed venous O2 tension.'
}</t>
  </si>
  <si>
    <t>Which of the following drugs has the SHORTEST elimination half-life?</t>
  </si>
  <si>
    <t>B. Lorazepam</t>
  </si>
  <si>
    <t>C. Midazolam</t>
  </si>
  <si>
    <t>{
  'Answer': 'A',
  'Explain': 'Flumazenil has the shortest elimination half-life among the options, with a rapid blood clearance that approaches hepatic blood flow. Its elimination half-life is approximately 1 hour, making it the shortest-lived benzodiazepine used in anesthetic practice.'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</si>
  <si>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</si>
  <si>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</si>
  <si>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</si>
  <si>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</si>
  <si>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</si>
  <si>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'Normal saline is the most appropriate initial management for a 68-year-old woman with primary hyperparathyroidism and a serum calcium concentration of 15 mg/dL. This is because hypercalcemia is a common complication of primary hyperparathyroidism, and normal saline can help to rehydrate the patient and reduce the serum calcium level. Magnesium sulfate and methylprednisolone are not indicated in this situation.'
}</t>
  </si>
  <si>
    <t>{
  'Answer': 'C',
  'Explain': 'Midazolam has a longer duration of action than flumazenil, which means that the sedative effects of midazolam may still be present after the procedure, potentially leading to prolonged sedation and respiratory depression. Therefore, it is necessary to observe the patient for a longer period to ensure that the sedative effects have worn off before discharging the patient.'
}</t>
  </si>
  <si>
    <t>{
  ""Answer"": ""C"",
  ""Explain"": ""The total dose of drug is the most important factor that exerts the greatest effect on the extent of spread of local anesthetic following subarachnoid block with hyperbaric bupivacaine. This is because the volume and total mass of injectate are the most important drug-related factors that affect block height after the administration of local anesthetic in the epidural space.""
}</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</si>
  <si>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edema.'";18975
}</t>
  </si>
  <si>
    <t>{
  'Answer': 'A',
  'Explain': 'The patient's symptoms of nausea, diaphoresis, and sharp pain in the left shoulder are consistent with angina pectoris, which is a common complication of spinal anesthesia. The patient's sudden onset of symptoms suggests that the block may have reached the T4-T5 level, which is close to the sympathetic ganglia that supply the heart, leading to a vasospastic response and angina pectoris.'
}</t>
  </si>
  <si>
    <t>{
  'Answer': 'B',
  'Explain': 'When the heart rate increases from 60 to 120 bpm during induction of anesthesia, the increased metabolic demand of the myocardium needs to be satisfied. Increased coronary perfusion pressure (B) is the most likely factor to meet this demand. This is because increased perfusion pressure ensures that the heart receives sufficient oxygen and nutrients to meet its increased metabolic needs. Increased coronary artery resistance (A) would actually decrease perfusion pressure and worsen the situation, while increased O2 extraction by the myocardium (C) would not directly address the issue of increased metabolic demand.'
}</t>
  </si>
  <si>
    <t>{
  'Answer': 'B',
  'Explain': 'The patient has a history of penicillin allergy, so cefazolin is not a suitable option. Hydrocortisone is administered before cefazolin to prevent an allergic reaction. Therefore, the anesthesiologist should administer hydrocortisone followed by cefazolin.'
}</t>
  </si>
  <si>
    <t>{
  'Answer': 'B',
  'Explain': 'Chronic ethanol abuse decreases the minimum alveolar concentration (MAC) of isoflurane, which is a measure of the potency of an anesthetic. This means that patients with chronic ethanol abuse may require a higher concentration of isoflurane to achieve the same level of anesthesia as patients without ethanol abuse.'
}</t>
  </si>
  <si>
    <t>{
  'Answer': C,
  'Explain': 'Hyperthermia causes a rightward shift in the oxyhemoglobin dissociation curve by increasing the concentration of 2,3-diphosphoglycerate (2,3-DPG) in the blood. This is because the increased body temperature stimulates the production of 2,3-DPG, which binds to hemoglobin and reduces its affinity for oxygen, leading to a rightward shift in the oxygen dissociation curve.'
}</t>
  </si>
  <si>
    <t>{
  'Answer': 'B',
  'Explain': 'In clinical hypothyroidism, the decreased production of thyroid hormones can lead to decreased myocardial contractility, which is a characteristic feature of hypothyroid heart disease. This is because thyroid hormones play a crucial role in regulating cardiac function, and decreased levels can lead to decreased cardiac output and decreased peripheral vascular resistance.'
}</t>
  </si>
  <si>
    <t>{
  ""Answer"": ""A"",
  ""Explain"": ""Etomidate is a GABA receptor antagonist, whereas the other options, ketamine and propofol, are GABA receptor agonists. Etomidate is a benzodiazepine derivative that acts as a GABA receptor antagonist, whereas ketamine and propofol are NMDA receptor antagonists that also have GABA receptor agonist properties.""
}</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</si>
  <si>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binding.'";17572
}</t>
  </si>
  <si>
    <t>{
  ""Answer"": ""A"",
  ""Explain"": ""Neostigmine has the longest duration of action in a patient with renal failure because it is not significantly affected by renal excretion. Its elimination half-life is prolonged in anephric patients, and total plasma clearance is decreased. This means that neostigmine remains in the body for a longer period, making it the longest-acting drug among the options.""
}</t>
  </si>
  <si>
    <t>{
  'Answer': 'A',
  'Explain': 'Gagging that occurs during awake intubation is BEST prevented by local anesthetic block of the superior laryngeal nerve, which is responsible for transmitting the afferent component of the gag reflex.'
}</t>
  </si>
  <si>
    <t>{
  'Answer': 'A',
  'Explain': 'The patient's SpO2 decreased from 98% to 84% and then improved to 92% when FiO2 was increased to 1.0. This suggests that the patient was not getting enough oxygen, which is consistent with a decreased FRC (functional residual capacity). A decreased FRC can occur due to various reasons such as age, obesity, or respiratory disease, which is common in a 65-year-old patient. The increased FiO2 improved the patient's SpO2, further supporting the diagnosis of decreased FRC as the cause of hypoxemia.'";21383
}</t>
  </si>
  <si>
    <t>{
  ""Answer"": ""A"",
  ""Explain"": ""After a single dose of propofol, the primary mechanism responsible for emergence is redistribution. Propofol is highly lipophilic and rapidly distributes to peripheral tissues, leading to a rapid decrease in its concentration in the central compartment, resulting in emergence from anesthesia.""
}</t>
  </si>
  <si>
    <t>{
  ""Answer"": ""A"",
  ""Explain"": ""The standard error of the mean (SEM) shows the precision of the population mean. It is a measure of the amount of variation or dispersion of a sampling distribution. It is calculated as the standard deviation of the sampling distribution of the sample means. The SEM is used to construct confidence intervals and to determine the margin of error in statistical estimates.""
}</t>
  </si>
  <si>
    <t>{
  'Answer': 'C',
  'Explain': 'Pulse oximetry accurately reflects SaO2 in situations where there is no significant amount of fetal hemoglobin (HbF) present in the blood. Fetal hemoglobin has a different oxygen dissociation curve than adult hemoglobin, which can affect the accuracy of pulse oximetry readings. In situations where there is a high concentration of fetal hemoglobin, such as in newborns or individuals with sickle cell disease, pulse oximetry may not accurately reflect the true oxygen saturation of the blood.'
}</t>
  </si>
  <si>
    <t>{
  'Answer': C,
  'Explain': 'The patient is receiving a 4-hour general anesthetic for repair of tendon lacerations, which is a relatively short procedure. The fasting blood glucose level is 100 mg/dL, which is within the normal range. Given the short duration of anesthesia and the normal blood glucose level, it is likely that the blood glucose level will remain stable or decrease slightly during the procedure, making mild hypoglycemia (C) the most likely expected outcome on emergence.'";17623
}</t>
  </si>
  <si>
    <t>{
  'Answer': 'C',
  'Explain': 'Ranitidine decreases gastric volume by reducing gastric acid secretion, but it does not increase gastric pH. Glycopyrrolate increases gastric pH by reducing gastric acid secretion, but it does not decrease gastric volume. Metoclopramide increases gastric motility and reduces gastric volume, but it does not increase gastric pH.'
}</t>
  </si>
  <si>
    <t>{
  'Answer': 'C',
  'Explain': 'Nitrous oxide has a lower blood gas solubility compared to desflurane, which means it is more easily eliminated from the body and equilibrates with alveolar and inspired concentrations more rapidly. This is because nitrous oxide has a higher solubility coefficient in blood, which allows it to diffuse out of the blood and into the alveoli more quickly, resulting in a faster equilibration of alveolar and inspired concentrations.'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</si>
  <si>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</si>
  <si>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</si>
  <si>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is located on the medial aspect of the lower leg, making it the most likely nerve to be blocked for an operation at this location. The tibial nerve provides sensation to the heel, plantar portion of the toes, and the sole of the foot, as well as some motor branches in the same area.""
}</t>
  </si>
  <si>
    <t>{
  'Answer': 'A',
  'Explain': 'The patient is experiencing opioid-induced nausea and vomiting, and the most appropriate therapy is to reverse the effects of the opioid with flumazenil, an antagonist of benzodiazepines. Flumazenil can help to alleviate the symptoms of opioid-induced nausea and vomiting, whereas ketorolac and naloxone are not effective in treating this condition.'
}</t>
  </si>
  <si>
    <t>{
  'Answer': 'C',
  'Explain': 'Midazolam has a longer duration of action than flumazenil, which means that the sedative effects of midazolam may still be present after 1 hour, increasing the risk of prolonged sedation and respiratory depression. Flumazenil, on the other hand, is a benzodiazepine antagonist that can reverse the effects of midazolam, but its duration of action is shorter than that of midazolam. Therefore, the patient should remain hospitalized for observation to ensure that the sedative effects of midazolam have worn off before being discharged.'";25116
}</t>
  </si>
  <si>
    <t>{
  ""Answer"": ""C"",
  ""Explain"": ""The total dose of drug is the most significant factor that affects the extent of spread of local anesthetic following subarachnoid block with hyperbaric bupivacaine. The volume and total mass of injectate are the most important drug-related factors that affect block height after the administration of local anesthetic in the epidural space. As a general principle, 1 to 2 mL of solution should be injected per segment to be blocked.""
}</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</si>
  <si>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typically used to treat bronchospasm, or positive-pressure ventilation, which may exacerbate the situation.'";21125
}</t>
  </si>
  <si>
    <t>{
  'Answer': 'A',
  'Explain': 'The patient's symptoms of nausea, diaphoresis, and sharp pain in the left shoulder are consistent with angina pectoris, which is a common complication of spinal anesthesia. The sudden onset of symptoms suggests that the patient may have developed coronary insufficiency due to the spinal anesthesia, leading to angina pectoris.'
}</t>
  </si>
  <si>
    <t>{
  'Answer': 'B',
  'Explain': 'The decrease in SpO2 from 99% to 90% and the increase in ETCO2 from 38 to 43 mmHg suggest that the patient is experiencing hyperventilation, which is likely caused by the Trendelenburg position and CO2 insufflation. Compression of the vena cava, which is more likely to occur in the Trendelenburg position, can also contribute to decreased venous return and decreased oxygenation. However, the most likely cause of the decrease in SpO2 is the hyperventilation, which is more likely to occur in the Trendelenburg position. Therefore, the answer is B, Compression of the vena cava.'";28536
}</t>
  </si>
  <si>
    <t>{
  'Answer': B,
  'Explain': 'Increased coronary perfusion pressure is the most likely factor to satisfy the increased metabolic demand of the myocardium. This is because increased heart rate and contractility require increased blood flow and oxygen delivery to the myocardium, which is provided by increased coronary perfusion pressure. Increased coronary perfusion pressure ensures that the myocardium receives the necessary oxygen and nutrients to meet its increased metabolic demands.'
}</t>
  </si>
  <si>
    <t>{
  'Answer': 'B',
  'Explain': 'Prothrombin time (PT) is a laboratory test that assesses the integrity of the extrinsic and common pathways of plasma-mediated hemostasis. It measures the time required for clot formation to occur after mixing a sample of patient plasma with tissue factor (thromboplastin) and calcium. PT is sensitive to deficiencies in fibrinogen, and factors II, V, VII, or X. As three of these factors have vitamin K-dependent synthesis (factors II, VII, and X), patients with chronic liver disease may have a prolonged PT due to decreased production of these factors. Therefore, a prolonged PT is a more likely indicator of adequate synthetic hepatic function.'
}</t>
  </si>
  <si>
    <t>{
  'Answer': 'A',
  'Explain': 'Compared to a semiclosed circle system, a Bain circuit exhibits less rebreathing of CO2. This is because the Bain circuit has a pressure-limiting valve located away from the patient, which prevents the rebreathing of exhaled gases. In contrast, the semiclosed circle system allows for rebreathing of CO2, which can lead to a buildup of CO2 in the breathing circuit.'
}</t>
  </si>
  <si>
    <t>{
    ""Answer"": ""B"",
    ""Explain"": ""The patient has a history of penicillin allergy, so cefazolin is not a suitable option. Hydrocortisone is a corticosteroid that can be used to treat allergic reactions, so administering it followed by cefazolin is the most appropriate course of action.""
}</t>
  </si>
  <si>
    <t>{
  ""Answer"": ""B"",
  ""Explain"": ""Chronic ethanol abuse decreases the minimum alveolar concentration (MAC) of isoflurane, which is a measure of the amount of anesthetic required to prevent movement in response to a painful stimulus. This is because chronic ethanol consumption can lead to changes in the brain's response to anesthesia, making it more resistant to the effects of isoflurane.""
}</t>
  </si>
  <si>
    <t>{
  'Answer': 'A',
  'Explain': 'Bupivacaine, a local anesthetic, primarily affects the cardiovascular system by blocking the release of norepinephrine, a neurotransmitter that plays a crucial role in regulating blood pressure and heart rate. This blockade can lead to a decrease in blood pressure and cardiac output, which can be life-threatening if not treated promptly.'
}</t>
  </si>
  <si>
    <t>{
  'Answer': C,
  'Explain': 'Hyperthermia causes a rightward shift in the oxyhemoglobin dissociation curve by increasing the affinity of hemoglobin for oxygen, making it more difficult for oxygen to be released from hemoglobin to the tissues. This is because the increased temperature increases the rate of oxygen binding to hemoglobin, making it more difficult for oxygen to be released.'
}</t>
  </si>
  <si>
    <t>{
  'Answer': 'B',
  'Explain': 'In clinical hypothyroidism, the decreased production of thyroid hormones can lead to decreased cardiac contractility, which is reflected in decreased myocardial contractility. This is because thyroid hormones play a crucial role in regulating cardiac function, and decreased levels can lead to decreased cardiac output and reduced cardiac contractility.'
}</t>
  </si>
  <si>
    <t>{
  'Answer': B,
  'Explain': 'Methohexital is the most likely to be associated with longer seizure duration when used for electroconvulsive therapy. This is because methohexital has a longer context-sensitive half-time compared to etomidate and propofol, which means that its effects can last longer after infusion is stopped. This can increase the risk of prolonged seizures.'
}</t>
  </si>
  <si>
    <t>{
  'Answer': 'A',
  'Explain': 'Etomidate is a GABA receptor antagonist, which means it does not enhance the activity of GABA receptors. The other options, ketamine and propofol, are both GABA receptor agonists, which means they enhance the activity of GABA receptors.'
}</t>
  </si>
  <si>
    <t>{
  'Answer': 'C',
  'Explain': 'The expiratory valve is misplaced in the circle system. According to the text, the expiratory valve is more vulnerable to moisture exposure and can occasionally fail, causing inappropriate rebreathing of CO2. This is a specific peril associated with the component of the circle system.'
}</t>
  </si>
  <si>
    <t>{
  'Answer': 'C',
  'Explain': 'A new IV anesthetic with a very large volume of distribution is likely to have low plasma protein binding. This is because a large volume of distribution indicates that the drug is distributed throughout the body, including tissues and organs, rather than being confined to the blood. Since the drug is not bound to plasma proteins, it is more likely to be free to distribute throughout the body, resulting in a larger volume of distribution.'
}</t>
  </si>
  <si>
    <t>{
  'Answer': 'A',
  'Explain': 'Neostigmine has the longest duration of action in a patient with renal failure because it is not significantly affected by impaired renal function. The elimination half-life of neostigmine is prolonged in anephric patients, and total plasma clearance is decreased. This is because renal excretion accounts for 50% to 75% of plasma clearance of neostigmine, and in anephric patients, elimination half-life is prolonged and total plasma clearance is decreased.'
}</t>
  </si>
  <si>
    <t>{
  'Answer': 'C',
  'Explain': 'Instillation of local anesthetic into the trachea via the cricothyroid membrane is most likely to block the recurrent laryngeal nerve. The recurrent laryngeal nerve provides sensory innervation to the larynx down to the vocal cords and is responsible for motor innervation of the intrinsic muscles of the larynx, except for the cricothyroid and inferior pharyngeal constrictor muscles. The cricothyroid membrane is a common site for percutaneous cricothyrotomy, and local anesthetic instillation at this site would likely block the recurrent laryngeal nerve, which supplies the larynx and trachea.'
}</t>
  </si>
  <si>
    <t>{
  'Answer': 'A',
  'Explain': 'The patient's SpO2 decreased from 98% to 84% and then improved to 92% when FiO2 was increased to 1.0. This suggests that the patient's hypoxemia is due to a low inspired oxygen concentration, which is consistent with a decreased FRC. A decreased FRC can occur due to various reasons such as induction of anesthesia, muscle paralysis, or changes in body position. Therefore, option A, ""Decreased FRC"", is the most likely cause of the patient's hypoxemia.'";23412
}</t>
  </si>
  <si>
    <t>{
  'Answer': 'B',
  'Explain': 'The patient has complete anesthesia in the median, radial, and ulnar nerve distributions after a supraclavicular block, which suggests that the block is effective for the upper limb. However, the procedure requires 2 hours of tourniquet inflation, which may cause discomfort and pain. To address this, an additional block of the intercostobrachial nerve, which provides cutaneous innervation of the medial upper arm at the T2 dermatome, can be performed to help decrease tourniquet pain.'
}</t>
  </si>
  <si>
    <t>{
  ""Answer"": ""A"",
  ""Explain"": ""After a single dose of propofol, emergence is primarily due to redistribution from the effect compartment to the central compartment, rather than metabolism or excretion. This is because propofol has a high volume of distribution and a rapid redistribution half-life, which allows it to quickly move out of the effect compartment and into the central compartment, leading to a rapid decrease in its effect.""
}</t>
  </si>
  <si>
    <t>{
  'Answer': 'A',
  'Explain': 'An induction dose of ketamine is most likely to have analgesic effects. Ketamine is an N-methyl-D-aspartate (NMDA) receptor antagonist that produces analgesia and anesthesia by blocking the NMDA receptor, which is involved in the transmission of pain signals to the brain. The analgesic effects of ketamine are thought to be mediated by its ability to block the release of glutamate, a neurotransmitter involved in pain transmission.'
}</t>
  </si>
  <si>
    <t>{
  'Answer': 'C',
  'Explain': 'The duration of action of an IV dose of fentanyl is decreased compared to an IV dose of morphine due to the shorter elimination half-life of fentanyl. Fentanyl has a shorter elimination half-life because it is metabolized more quickly by the liver and excreted by the kidneys, whereas morphine has a longer elimination half-life due to its slower metabolism and excretion.'
}</t>
  </si>
  <si>
    <t>{
  ""Answer"": ""A"",
  ""Explain"": ""The standard error of the mean (SEM) shows the precision of the population mean. It is a measure of the amount of random error or sampling error in the sample mean. It is calculated as the standard deviation of the sampling distribution of the sample means. The SEM is used to construct confidence intervals for the population mean and to determine the margin of error in the sample mean.""
}</t>
  </si>
  <si>
    <t>{
  'Answer': 'C',
  'Explain': 'Pulse oximetry accurately reflects SaO2 in a situation where there is 40% fetal hemoglobin concentration. This is because pulse oximetry measures the absorption of light by hemoglobin in the blood, and fetal hemoglobin has a different absorption spectrum than adult hemoglobin. Therefore, in a situation where there is a significant amount of fetal hemoglobin present, pulse oximetry may not accurately reflect the true oxygen saturation of the blood.'
}</t>
  </si>
  <si>
    <t>{
  'Answer': C,
  'Explain': 'The patient is receiving a 4-hour general anesthetic for repair of tendon lacerations, which is a relatively short procedure. The fasting blood glucose level is 100 mg/dL, which is within the normal range. Given the short duration of anesthesia and the normal blood glucose level, it is likely that the blood glucose level will remain stable or decrease slightly during the procedure due to the anesthetic effect. Therefore, the most likely expected blood glucose concentration on emergence is mild hypoglycemia (C).'
}</t>
  </si>
  <si>
    <t>{
  'Answer': 'C',
  'Explain': 'Nitrous oxide has a lower blood gas solubility compared to desflurane, which allows it to equilibrate more rapidly with alveolar and inspired concentrations. This is because nitrous oxide has a higher solubility coefficient in blood, which means it is more easily absorbed and eliminated from the bloodstream, resulting in a faster equilibration between the alveoli and the bloodstream.'
}</t>
  </si>
  <si>
    <t>{
  'Answer': 'A',
  'Explain': 'Unilateral recurrent laryngeal nerve injury may result in ipsilateral true vocal cord paralysis in the paramedian position. The vocal cord will be adducted at rest, which is the opposite of what would be expected in a normal situation. This is because the adductor fibers of the recurrent laryngeal nerve are paralyzed, causing the vocal cord to move medially towards the midline.'
}</t>
  </si>
  <si>
    <t>{
  'Answer': A,
  'Explain': 'After breathing 100% O2 for 10 minutes, the expected mixed venous O2 tension in a normal adult is 45 mmHg. This is because the increased oxygen supply from the 100% O2 has increased the oxygen content of the blood, which is then reflected in the mixed venous O2 tension.'
}</t>
  </si>
  <si>
    <t>{
  'Answer': 'A',
  'Explain': 'Flumazenil has the shortest elimination half-life among the given options, with a rapid blood clearance that approaches hepatic blood flow. Its elimination half-life is approximately 1 hour, making it the shortest-lived benzodiazepine used in anesthetic practice.'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</si>
  <si>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</si>
  <si>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</si>
  <si>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</si>
  <si>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""Patient position is the factor that exerts the greatest effect on the extent of spread of local anesthetic following subarachnoid block with hyperbaric bupivacaine. This is because the position of the patient can affect the distribution of the local anesthetic in the spinal canal, with changes in position causing changes in the pressure and flow of the cerebrospinal fluid, which in turn affect the spread of the anesthetic.""
}</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</si>
  <si>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edema.'";18957
}</t>
  </si>
  <si>
    <t>{
  'Answer': 'A',
  'Explain': 'The patient's symptoms of nausea, diaphoresis, and sharp pain in the left shoulder are consistent with angina pectoris, which is a common complication of spinal anesthesia. The patient's age and the fact that the symptoms occurred 45 minutes after the start of the procedure also support this diagnosis. The other options, bladder perforation and inadequate spinal sensory level, are less likely given the patient's symptoms and the timing of the onset of symptoms.'";17511
}</t>
  </si>
  <si>
    <t>{
  'Answer': B,
  'Explain': 'Increased coronary perfusion pressure is the most likely factor to satisfy the increased metabolic demand of the myocardium. When the heart rate increases, the myocardium requires more oxygen and nutrients to meet the increased metabolic demand. Increased coronary perfusion pressure ensures that the coronary arteries are able to deliver more oxygenated blood to the myocardium, thereby meeting the increased demand.'
}</t>
  </si>
  <si>
    <t>{
  'Answer': 'B',
  'Explain': 'The patient has a history of penicillin allergy, so cefazolin is not a suitable option. Administering hydrocortisone followed by cefazolin is a reasonable approach, as it will provide temporary coverage for the patient\'s allergy and allow for further evaluation and treatment of the infection.'
}</t>
  </si>
  <si>
    <t>{
  'Answer': 'B',
  'Explain': 'Chronic ethanol abuse decreases the minimum alveolar concentration (MAC) of isoflurane, which is a measure of the potency of an anesthetic. This means that patients with chronic ethanol abuse may require higher concentrations of isoflurane to achieve the same level of anesthesia as patients without ethanol abuse.'
}</t>
  </si>
  <si>
    <t>{
  'Answer': C,
  'Explain': 'Hyperthermia causes a rightward shift in the oxyhemoglobin dissociation curve by increasing the affinity of hemoglobin for oxygen, making it more difficult for oxygen to be released to the tissues. This is because the increased temperature causes the hemoglobin molecule to change its conformation, making it more difficult for oxygen to bind to the hemoglobin molecule.'
}</t>
  </si>
  <si>
    <t>{
  ""Answer"": B,
  ""Explain"": ""Methohexital is more likely to be associated with longer seizure duration when used for electroconvulsive therapy because it has a longer context-sensitive half-time compared to etomidate and propofol. This means that the effects of methohexital may persist for a longer period after the infusion is stopped, increasing the risk of prolonged seizures.""
}</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</si>
  <si>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binding.'";17658
}</t>
  </si>
  <si>
    <t>{
  'Answer': 'A',
  'Explain': 'Neostigmine has the longest duration of action in a patient with renal failure because it is not excreted by the kidneys and its elimination half-life is not affected by renal function. In contrast, Rocuronium and Succinylcholine are excreted by the kidneys and their elimination half-life is prolonged in patients with renal failure.'
}</t>
  </si>
  <si>
    <t>{
  'Answer': 'A',
  'Explain': 'The patient's SpO2 decreased from 98% to 84% and then improved to 92% when FiO2 was increased to 1.0. This suggests that the patient's hypoxemia was caused by a low inspired oxygen concentration, which was corrected by increasing the FiO2. This is consistent with option A, ""Decreased FRC"", as a decreased functional residual capacity (FRC) can lead to a decrease in the amount of oxygen in the lungs, resulting in hypoxemia.'";19434
}</t>
  </si>
  <si>
    <t>{
  ""Answer"": ""A"",
  ""Explain"": ""The standard error of the mean (SEM) shows the precision of the population mean. It is a measure of the amount of random sampling error in the sample mean. It is calculated as the standard deviation of the sampling distribution of the sample mean. The SEM is used to construct confidence intervals and to test hypotheses about the population mean.""
}</t>
  </si>
  <si>
    <t>{
  'Answer': 'C',
  'Explain': 'Pulse oximetry accurately reflects SaO2 in situations where there is no significant amount of fetal hemoglobin (HbF) present in the blood. Fetal hemoglobin has a higher affinity for oxygen than adult hemoglobin, which can lead to inaccurate readings on pulse oximeters. Therefore, in situations where there is a high concentration of fetal hemoglobin, such as in newborns or individuals with sickle cell disease, pulse oximetry may not accurately reflect the true oxygen saturation of the blood.'
}</t>
  </si>
  <si>
    <t>{
  'Answer': 'B',
  'Explain': 'The patient is receiving a 4-hour general anesthetic for a non-emergency procedure, and their fasting blood glucose level is 100 mg/dL. This is within the normal range, and it is unlikely that their blood glucose level will drop significantly during the procedure. Therefore, mild hyperglycemia (B) is the most likely expected outcome on emergence.'
}</t>
  </si>
  <si>
    <t>{
  'Answer': 'C',
  'Explain': 'Ranitidine is a histamine-2 (H2) receptor antagonist that increases gastric pH by reducing gastric acid secretion. It also decreases gastric volume by reducing the secretion of pepsin and gastric acid. Therefore, it is the correct answer among the options.'
}</t>
  </si>
  <si>
    <t>{
  ""Answer"": ""B"",
  ""Explain"": ""The primary purpose of denitrogenation prior to anesthetic induction is to increase O2 reserve in the functional residual capacity (FRC). This is because denitrogenation helps to remove nitrogen from the lungs, allowing for a higher concentration of oxygen to be present, which is essential for proper oxygenation during anesthesia.""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</si>
  <si>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</si>
  <si>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</si>
  <si>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question asks which nerve should be blocked for an operation at the medial aspect of the lower leg. The medial aspect of the lower leg is innervated by the saphenous nerve, which is a branch of the femoral nerve. Therefore, the correct answer is C, Tibial nerve.""
}</t>
  </si>
  <si>
    <t>{
  'Answer': C,
  'Explain': 'The patient is experiencing right upper quadrant abdominal pain and nausea 30 minutes after receiving premedication with morphine and midazolam. Given the patient's symptoms, the most appropriate therapy for the pain is naloxone, an opioid antagonist, to reverse the effects of the morphine and alleviate the pain and nausea.'
}</t>
  </si>
  <si>
    <t>{
  'Answer': 'B',
  'Explain': 'Normal saline is the most appropriate initial management for a 68-year-old woman with primary hyperparathyroidism and a serum calcium concentration of 15 mg/dL. This is because normal saline can help to dilute the elevated calcium levels and prevent cardiac complications. Magnesium sulfate is not indicated in this situation, and methylprednisolone is not a treatment for hypercalcemia.'
}</t>
  </si>
  <si>
    <t>{
  'Answer': 'B',
  'Explain': 'Genetic testing of the ryanodine receptor is the most reliable test to predict the likelihood of developing malignant hyperthermia. This is because genetic mutations in the ryanodine receptor gene are a common cause of malignant hyperthermia, and genetic testing can identify these mutations. The other options, calcium uptake assay in skeletal muscle biopsy and caffeine-halothane contracture test, are not as reliable or accurate as genetic testing.'";19856
}</t>
  </si>
  <si>
    <t>{
  'Answer': 'B',
  'Explain': 'To find the delivered anesthetic concentration, we need to calculate the amount of anesthetic added to the fresh gas stream. The vaporizer adds 150 mL/min of oxygen, which is 100 mL/min of oxygen and 50 mL/min of anesthetic. The fresh gas flow is 5 L/min, so the percentage of anesthetic in the gas stream is 50 mL/min / 5 L/min = 1%. Therefore, the delivered anesthetic concentration is 0.5%.'";22173
}</t>
  </si>
  <si>
    <t>{
  'Answer': 'C',
  'Explain': 'Midazolam has a longer duration of action than flumazenil, which means that the patient may still be under the influence of the sedative for a longer period. As a result, it is recommended to keep the patient hospitalized for observation to ensure that they are fully recovered from the sedation before being discharged.'
}</t>
  </si>
  <si>
    <t>{
  ""Answer"": ""C"",
  ""Explain"": ""The total dose of drug is the most important factor that exerts the greatest effect on the extent of spread of local anesthetic following subarachnoid block with hyperbaric bupivacaine. The volume and total mass of injectate are the most important drug-related factors that affect block height after the administration of local anesthetic in the epidural space. As a general principle, 1 to 2 mL of solution should be injected per segment to be blocked.""
}</t>
  </si>
  <si>
    <t>{
  'Answer': B,
  'Explain': 'The patient is experiencing pulmonary edema after resolution of postoperative laryngospasm, and their SpO2 is 80% while breathing 100% O2. The most appropriate management strategy is to administer furosemide, a diuretic, to help reduce fluid overload and alleviate pulmonary edema. This is because furosemide can help to increase urine output and reduce the amount of fluid in the lungs, which can help to improve oxygenation and alleviate respiratory distress.'";21669
}</t>
  </si>
  <si>
    <t>{
  'Answer': 'A',
  'Explain': 'The patient's symptoms of nausea, diaphoresis, and sharp pain in the left shoulder are likely due to angina pectoris, which is a common complication of spinal anesthesia. The patient's age and the type of procedure being performed (TURP) also increase the risk of cardiovascular complications. The other options, bladder perforation and inadequate spinal sensory level, are less likely to cause these symptoms.'
}</t>
  </si>
  <si>
    <t>{
  'Answer': 'B',
  'Explain': 'The decrease in SpO2 from 99% to 90% and the increase in ETCO2 from 38 to 43 mmHg suggest that the patient is experiencing hyperventilation, which is a common phenomenon in the Trendelenburg position. Compression of the vena cava, which is more likely to occur in the Trendelenburg position, can also cause a decrease in SpO2. Therefore, compression of the vena cava is the most likely cause of the decrease in SpO2.'
}</t>
  </si>
  <si>
    <t>{
  'Answer': 'B',
  'Explain': 'The patient is receiving IV PCA with morphine, which is an opioid. Opioids can cause hypoventilation, which can lead to hypoxemia. The patient's SpO2 is 90% on room air, which is slightly low, suggesting that the patient may be experiencing some degree of hypoxemia. The other options, absorption of CO2 from the abdomen and increased dead space, are not as likely causes of hypoxemia in this situation.'
}</t>
  </si>
  <si>
    <t>{
  'Answer': A,
  'Explain': 'Pressure support breaths in a patient receiving pressure support ventilation are triggered by a decrease in airway pressure. This means that the ventilator provides a breath only when the patient's inspiratory effort is not sufficient to maintain a predetermined airway pressure, which is set by the clinician.'
}</t>
  </si>
  <si>
    <t>{
  'Answer': B,
  'Explain': 'During induction of anesthesia, the increased metabolic demand of the myocardium is satisfied by increased coronary perfusion pressure. This is because the heart requires more oxygen and nutrients to maintain its function during anesthesia. Increased coronary perfusion pressure ensures that the heart receives the necessary oxygen and nutrients to meet its increased metabolic demands.'
}</t>
  </si>
  <si>
    <t>{
  'Answer': 'B',
  'Explain': 'Prothrombin time (PT) is a laboratory test that assesses the integrity of the extrinsic and common pathways of plasma-mediated hemostasis. It measures the time required for clot formation to occur after mixing a sample of patient plasma with tissue factor (thromboplastin) and calcium. It is sensitive to deficiencies in fibrinogen, and factors II, V, VII, or X. As three of these factors have vitamin K-dependent synthesis (factors II, VII, and X), patients with chronic liver disease may have prolonged PT due to decreased synthesis of these factors, indicating inadequate synthetic hepatic function.'
}</t>
  </si>
  <si>
    <t>{
  'Answer': 'A',
  'Explain': 'Compared to a semiclosed circle system, a Bain circuit exhibits less rebreathing of CO2. This is because the Bain circuit has a pressure-limiting valve located away from the patient, which prevents the rebreathing of exhaled gases and reduces the need for a CO2 absorber. This results in a more efficient system that requires less fresh gas flow and is less prone to rebreathing of CO2.'
}</t>
  </si>
  <si>
    <t>{
  'Answer': C,
  'Explain': 'The patient is in the lateral position, which can cause the endotracheal tube to kink or become displaced, leading to a decrease in tidal volume and a resulting capnograph waveform between points A and B.'
}</t>
  </si>
  <si>
    <t>{
  'Answer': B,
  'Explain': 'The patient has a history of penicillin allergy, so cefazolin is not a suitable option. Administering hydrocortisone followed by cefazolin is a safe and appropriate approach to manage the patient\'s allergy and infection risk.'
}</t>
  </si>
  <si>
    <t>{
  'Answer': 'B',
  'Explain': 'Chronic ethanol abuse decreases the minimum alveolar concentration (MAC) of isoflurane by increasing the activity of cytochrome P450 enzymes, which metabolize isoflurane and reduce its potency.'
}</t>
  </si>
  <si>
    <t>{
  'Answer': 'A',
  'Explain': 'The primary toxic effect of bupivacaine on the cardiovascular system is the blockade of norepinephrine release, which can lead to hypotension and potentially life-threatening cardiac arrest.'
}</t>
  </si>
  <si>
    <t>{
  'Answer': C,
  'Explain': 'Hyperthermia causes a rightward shift in the oxyhemoglobin dissociation curve by increasing the affinity of hemoglobin for oxygen, making it more difficult for oxygen to be released from hemoglobin to the tissues. This is because the increased temperature causes the hemoglobin molecule to change its conformation, making it more efficient at binding to oxygen.'
}</t>
  </si>
  <si>
    <t>{
  'Answer': 'B',
  'Explain': 'In clinical hypothyroidism, the decreased levels of thyroid hormones can lead to decreased myocardial contractility, which is a decrease in the ability of the heart muscle to contract and pump blood effectively. This can result in decreased cardiac output and blood pressure. Therefore, option B, Myocardial contractility, is the most likely to be decreased in a patient with clinical hypothyroidism.'
}</t>
  </si>
  <si>
    <t>{
  'Answer': B,
  'Explain': 'Methohexital is the most likely anesthetic drug to be associated with longer seizure duration when used for electroconvulsive therapy. This is because methohexital has a longer context-sensitive half-time, which means that its effects can last longer after the infusion is stopped. This can increase the risk of prolonged seizures. In contrast, etomidate and propofol have shorter context-sensitive half-times, which makes them less likely to cause prolonged seizures.'
}</t>
  </si>
  <si>
    <t>{
  'Answer': 'A',
  'Explain': 'Etomidate is a GABA receptor agonist, which means it enhances the activity of GABA receptors. The other options, ketamine and propofol, are not GABA receptor agonists.'
}</t>
  </si>
  <si>
    <t>{
  'Answer': C,
  'Explain': 'The Expiratory valve is misplaced in the circle system. According to the text, the circle system consists of several essential components, including inspiratory and expiratory unidirectional valves. The expiratory valve is designed to prevent rebreathing of CO2 by not allowing flow to bypass the CO2 absorber. However, the illustration shows the expiratory valve in a different position, which would allow rebreathing of CO2.'";19910
}</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</si>
  <si>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plasma. Low plasma protein binding means that the drug is not strongly bound to plasma proteins, allowing it to be more readily distributed to other parts of the body.'
}</t>
  </si>
  <si>
    <t>{
  'Answer': 'A',
  'Explain': 'Neostigmine has the longest duration of action in a patient with renal failure because of its delayed excretion in patients with impaired renal function. According to the text, excretion of neostigmine is delayed in patients with renal failure, with approximately 50% of the drug excreted in urine. This delayed excretion leads to a prolonged duration of action, making neostigmine the longest acting drug in patients with renal failure.'
}</t>
  </si>
  <si>
    <t>{
  'Answer': A,
  'Explain': 'Ablation of thermoregulatory vasoconstriction is the most likely explanation for the initial reduction in core temperature during general anesthesia. General anesthesia causes vasodilation, which leads to a reduction in blood flow to the skin and other peripheral tissues, resulting in a decrease in heat loss from the core to the periphery. This reduction in heat loss from the core to the periphery allows the core temperature to decrease.'";19187
}</t>
  </si>
  <si>
    <t>{
  'Answer': 'A',
  'Explain': 'The patient's SpO2 decreased from 98% to 84% and then improved to 92% when FiO2 was increased to 1.0. This suggests that the patient was hypoxemic due to a lack of oxygen in the inspired gas, which is consistent with a decreased FRC (functional residual capacity). As the patient's tidal volume is 350 mL, which is relatively small, it is likely that the patient's FRC is decreased, leading to a mismatch between ventilation and perfusion, resulting in hypoxemia.'
}</t>
  </si>
  <si>
    <t>{
  'Answer': 'B',
  'Explain': 'The patient has complete anesthesia in the median, radial, and ulnar nerve distributions after a supraclavicular block, which suggests that the block is effective in blocking the distal trunk-proximal division level of the brachial plexus. However, the block may not have reached the intercostobrachial nerve, which provides cutaneous innervation of the medial upper arm at the T2 dermatome. To achieve complete anesthesia, an additional block of the intercostobrachial nerve is necessary.'
}</t>
  </si>
  <si>
    <t>{
  ""Answer"": ""A"",
  ""Explain"": ""After a single dose of propofol, emergence is primarily due to redistribution from the effect compartment to the central compartment, which is a process known as redistribution. This is because propofol has a high volume of distribution and a rapid onset of action, allowing it to quickly distribute to the effect compartment. As the drug is redistributed back to the central compartment, its concentration decreases, leading to a decrease in its effect on the body and emergence from anesthesia.""
}</t>
  </si>
  <si>
    <t>{
  'Answer': B,
  'Explain': 'After 30 minutes of stable anesthesia, a decrease in O2 analyzer reading from 50% to 30% is likely caused by the accumulation of water on the O2 sensor membrane. This is because the O2 sensor is prone to moisture accumulation, which can affect its accuracy and lead to a false reading. The other options, a leak in the ventilator bellows (A) and the presence of the O2 analyzer in the expiratory limb (C), are less likely causes of a decrease in O2 analyzer reading.'
}</t>
  </si>
  <si>
    <t>{
  'Answer': 'A',
  'Explain': 'An induction dose of ketamine is most likely to have analgesic effects. Ketamine is a dissociative anesthetic that produces analgesia, amnesia, and a sense of detachment from one\'s surroundings. It is often used as an induction agent in anesthesia, particularly in emergency situations where other anesthetics may not be effective. The analgesic effects of ketamine are due to its ability to activate N-methyl-D-aspartate (NMDA) receptors in the brain, which are involved in pain processing.'
}</t>
  </si>
  <si>
    <t>{
  'Answer': 'C',
  'Explain': 'The context-sensitive half-time is the time for the plasma level of the drug to decrease 50% after cessation of infusion. Fentanyl has a shorter elimination half-life compared to morphine, which means that its plasma level decreases more rapidly after infusion is stopped. This is the most likely explanation for the decreased duration of action of an IV dose of fentanyl compared to morphine.'
}</t>
  </si>
  <si>
    <t>{
  ""Answer"": ""A"",
  ""Explain"": ""The standard error of the mean (SEM) shows the precision of the population mean. It is a measure of the amount of random error or variation in the sample mean, and it provides a sense of how close the sample mean is likely to be to the true population mean. In other words, it indicates the degree of uncertainty associated with the sample mean, and it is used to construct confidence intervals and to make inferences about the population mean.""
}</t>
  </si>
  <si>
    <t>{
  ""Answer"": ""C"",
  ""Explain"": ""Pulse oximetry accurately reflects SaO2 when the concentration of fetal hemoglobin is 40%. This is because fetal hemoglobin has a higher affinity for oxygen than adult hemoglobin, which means it can bind to oxygen more easily and accurately reflect the level of oxygen saturation in the blood.""
}</t>
  </si>
  <si>
    <t>{
  'Answer': C,
  'Explain': 'The patient is receiving a 4-hour general anesthetic for repair of tendon lacerations, which is a relatively short procedure. Given that the patient's fasting blood glucose level is 100 mg/dL, which is within the normal range, it is likely that the blood glucose level on emergence will be only mildly decreased, if at all. Therefore, the most likely expected blood glucose concentration on emergence is mild hypoglycemia (C).'
}</t>
  </si>
  <si>
    <t>{
  'Answer': 'C',
  'Explain': 'Ranitidine is a histamine-2 (H2) receptor antagonist that decreases gastric acid secretion, which increases gastric pH. It also decreases gastric volume by reducing the secretion of gastric acid and pepsin. Therefore, ranitidine increases gastric pH while decreasing gastric volume.'
}</t>
  </si>
  <si>
    <t>{
  'Answer': 'C',
  'Explain': 'Nitrous oxide has a lower blood gas solubility compared to desflurane, which means it is more easily eliminated from the body and can equilibrate with alveolar and inspired concentrations more rapidly. This is because nitrous oxide has a lower solubility coefficient in blood, which allows it to diffuse out of the blood and into the alveoli more quickly, resulting in a faster equilibration of alveolar and inspired concentrations.'
}</t>
  </si>
  <si>
    <t>{
  'Answer': 'B',
  'Explain': 'The primary purpose of denitrogenation prior to anesthetic induction is to increase O2 reserve in the functional residual capacity (FRC). This is because nitrogen in the lungs can displace oxygen, reducing the amount of oxygen available for the patient. By denitrogenating the lungs, the anesthesiologist can increase the amount of oxygen available for the patient, which is critical for maintaining adequate oxygenation during anesthesia.'";19290
}</t>
  </si>
  <si>
    <t>{
  'Answer': 'A',
  'Explain': 'Unilateral recurrent laryngeal nerve injury may result in ipsilateral true vocal cord paralysis in the paramedian position. As a result, the left vocal cord will be adducted at rest, which is option A.'
}</t>
  </si>
  <si>
    <t>{
  'Answer': 'A',
  'Explain': 'After breathing 100% O2 for 10 minutes, the expected mixed venous O2 tension in a normal adult is 45 mmHg. This is because the increase in inspired O2 concentration increases the amount of O2 dissolved in the blood, which increases the mixed venous O2 tension.'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</si>
  <si>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</si>
  <si>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</si>
  <si>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""When performing an operation on the medial aspect of the lower leg, the tibial nerve should be blocked. The tibial nerve provides sensation to the medial aspect of the leg and ankle, as well as motor branches in the same area. The procedure described in the context document recommends blockading the tibial nerve, as well as other nerves, to provide complete anesthesia to the foot.""
}</t>
  </si>
  <si>
    <t>{
  'Answer': 'C',
  'Explain': 'Flumazenil is the most appropriate therapy for the patient's pain. It is a benzodiazepine receptor antagonist that can reverse the effects of midazolam, which is one of the premedications used before the laparoscopic cholecystectomy. Flumazenil will help to reverse the sedation and benzodiazepine-induced respiratory depression, allowing the patient to breathe more comfortably and alleviating their right upper quadrant abdominal pain and nausea.'
}</t>
  </si>
  <si>
    <t>{
  ""Answer"": ""B"",
  ""Explain"": ""Normal saline is the most appropriate initial management for a 68-year-old woman with primary hyperparathyroidism and serum calcium concentration of 15 mg/dL. This is because the immediate goal is to treat the hypercalcemia and reduce serum calcium levels. Normal saline infusion can help to rehydrate the patient and dilute out the excess calcium ions in the blood. Magnesium sulfate and/or methylprednisolone may be used in addition to normal saline or later in the treatment plan, but normal saline is the primary initial treatment.""
}</t>
  </si>
  <si>
    <t>{
  ""Answer"": ""B"",
  ""Explain"": ""Genetic testing of the ryanodine receptor (RYR1 gene) is the most reliable test to predict the likelihood of developing malignant hyperthermia. This test can detect mutations in the RYR1 gene that are associated with malignant hyperthermia. This type of testing is more sensitive and specific than other tests, such as the caffeine-halothane contracture test (CHCT) or calcium uptake assay in skeletal muscle biopsy.""
}</t>
  </si>
  <si>
    <t>{
  'Answer': B,
  'Explain': The delivered anesthetic concentration can be calculated by dividing the amount of anesthetic added to the fresh gas stream by the total flow rate. The amount of anesthetic added is 150 mL/min, and the fresh gas flow rate is 5 L/min. This gives a concentration of 150 mL/min / 5 L/min = 3%. However, since the vaporizer has a vapor pressure of 150 mmHg, only a portion of this concentration is actually delivered. To find the delivered concentration, we need to determine the percentage of oxygen in the gas mixture that is inhaled by the patient. Since oxygen is used as the carrier gas, it makes up the majority of the mixture. Therefore, we can assume that only a small percentage of the inhaled gas is anesthetic. This percentage is 0.5% (Option B).";29392
}</t>
  </si>
  <si>
    <t>{
  'Answer': C,
  'Explain': 'Vasoconstriction is the most effective mechanism to maintain body temperature in a hypothermic patient. It helps to reduce heat loss by reducing blood flow to the extremities and increasing blood flow to the core of the body. This allows for a more efficient redistribution of body heat and can help to increase the body\'s temperature more quickly and effectively than other mechanisms such as shivering or non-shivering thermogenesis.'";16311
}</t>
  </si>
  <si>
    <t>{
  'Answer': 'A',
  'Explain': 'Because of flumazenil's rapid blood clearance approaching hepatic blood flow, there is a potential for the antagonist to be cleared, leaving sufficient concentrations of the agonist (midazolam) at the receptor site to cause resedation. Therefore, the patient should remain hospitalized for observation to ensure that the effects of midazolam wear off safely.'
}</t>
  </si>
  <si>
    <t>{
  ""Answer"": ""C"",
  ""Explain"": ""The total dose of drug is the greatest factor that affects the extent of spread of local anesthetic following subarachnoid block with hyperbaric bupivacaine. A higher dose of hyperbaric bupivacaine will result in a more extensive spread of the anesthetic agent.""";13082
}</t>
  </si>
  <si>
    <t>{
  ""Answer"": ""B"",
  ""Explain"": ""The patient is experiencing pulmonary edema after resolution of postoperative laryngospasm, which is likely due to fluid overload. Administering furosemide (a diuretic) will help to remove excess fluid from the body and improve oxygenation.""
}</t>
  </si>
  <si>
    <t>{
    'Answer': 'C',
    'Explain': 'The question states that the patient developed sharp pain in the left shoulder, which is not typical of angina pectoris or bladder perforation, which are less likely causes of sharp pain in the shoulder. Inadequate spinal sensory level is the most likely cause, as the patient developed symptoms 45 minutes after the start of the procedure, which suggests that the anesthesia may not have reached the desired level of spinal level, causing the patient to feel sharp pain in the shoulder.'
}</t>
  </si>
  <si>
    <t>{
    'Answer': 'B',
    'Explain': 'The decrease in SpO2 from 99% to 90% and the increase in PECO2 from 38 to 43 mmHg suggest a possible cause of increased alveolar ventilation and a potential etiology of decreased lung volume. Compression of the vena cava is a possible cause, as the Trendelenburg position and CO2 insufflation may reduce venous return, leading to decreased lung volume and hypoxia. This is the most likely cause of the decrease in SpO2.'
}</t>
  </si>
  <si>
    <t>{
  'Answer': 'B',
  'Explain': 'The patient receives IV PCA with morphine, which can cause hypoventilation. With a SpO2 of 90% on room air, it's likely that the patient's oxygen saturation is being maintained due to the supplemental oxygen from the PCA. Therefore, option B, Hypoventilation, is the most likely cause of hypoxemia.'
}</t>
  </si>
  <si>
    <t>{
  'Answer': B,
  'Explain': 'Pressure support breaths in pressure support ventilation are triggered by an increase in airway pressure. This means that the ventilator delivers a breath only when the patient's airway pressure decreases, such as during inspiration, indicating that the patient needs additional support to breathe.'
}</t>
  </si>
  <si>
    <t>{
  'Answer': 'B',
  'Explain': 'The increased metabolic demand of the myocardium during anesthesia induction is satisfied by an increase in coronary perfusion pressure, which supplies the heart muscle with the necessary oxygen and nutrients. This is because a higher coronary perfusion pressure allows for increased blood flow to the myocardium, meeting its increased oxygen demands.'
}</t>
  </si>
  <si>
    <t>{
  'Answer': B,
  'Explain': 'Prothrombin time (PT) is the most commonly used test to assess the extrinsic and common pathways of plasma-mediated hemostasis. It measures the time required in seconds for clot formation to occur after mixing a sample of patient plasma with tissue factor (thromboplastin) and calcium. It is sensitive to deficiencies in fibrinogen, factors II, V, VII, or X. PT is the most likely to confirm adequate synthetic hepatic function.'
}</t>
  </si>
  <si>
    <t>{
  ""Answer"": B,
  ""Explain"": ""The best strategy to prevent ventricular dysrhythmias in a patient undergoing extracorporeal shock wave lithotripsy is ECG synchronization. This is because ventricular fibrillation is a significant concern in patients undergoing extracorporeal shock wave lithotripsy, and ECG synchronization helps to prevent this complication. Additionally, this strategy ensures that the electrical impedance of the heart is monitored continuously to prevent any electrical shocks from damaging the heart.""";17430
}</t>
  </si>
  <si>
    <t>{
  'Answer': 'A',
  'Explain': 'Compared to a semiclosed circle system, a Bain circuit exhibits less rebreathing of CO2 because the Bain circuit does not have a CO2 absorber, which means that the anesthetic gases within the system do not have a chance to degrade and there is no rebreathing of CO2.'
}</t>
  </si>
  <si>
    <t>{
  ""Answer"": C,
  ""Explain"": ""The patient is in the lateral position, which is not expected to cause respiratory changes. The waveform shows a decrease in capnogram tracing between point A and point B, suggesting a possible anatomical or mechanical obstruction. As the patient is undergoing hip surgery, it is possible that the anesthesiologist is changing the patient's position to improve surgical access, which may lead to a decrease in tidal volume, causing the capnograph waveform to change.""
}</t>
  </si>
  <si>
    <t>{
  'Answer': 'A',
  'Explain': 'cefazolin can be administered because it is a penicillinase-resistant antibiotic and the patient is allergic to penicillin. Administering cefazolin is a reasonable option, but hydrocortisone (option B) would not be necessary in this case since the patient is not having an allergic reaction to steroids. Switching to vancomycin (option C) would not be necessary either, as cefazolin is still a suitable antibiotic for this patient.'
}</t>
  </si>
  <si>
    <t>{
  'Answer': A,
  'Explain': 'Acute cocaine intoxication can cause increased blood pressure, heart rate, and cardiac output, which can increase anesthetic requirements, making it unlikely to decrease the minimum alveolar concentration (MAC) of isoflurane.'
}</t>
  </si>
  <si>
    <t>{
  ""Answer"": A,
  ""Explain"": ""The primary toxic effect of bupivacaine on the cardiovascular system is blockade of norepinephrine release, which can lead to severe hypotension and potentially life-threatening complications.""
}</t>
  </si>
  <si>
    <t>{
  ""Answer"": C,
  ""Explain"": ""A rightward shift in the oxyhemoglobin dissociation curve is caused by a decrease in 2,3-diphosphoglycerate (2,3-DPG) concentration, an increase in carbon dioxide partial pressure, and hyperthermia. Hyperthermia is a condition characterized by an elevated body temperature above 37°C, which can be caused by various factors such as strenuous physical activity, fever, or environmental heat. In this scenario, hyperthermia is the most likely cause of the rightward shift in the oxyhemoglobin dissociation curve.""";21577
}</t>
  </si>
  <si>
    <t>{
  'Answer': B,
  'Explain': 'In clinical hypothyroidism, myocardial contractility decreases, leading to decreased cardiac output. Therefore, option B, Myocardial contractility, is the correct answer. Options A and C, MAC and Peripheral vascular tone, are not directly affected by hypothyroidism.'
}</t>
  </si>
  <si>
    <t>{
    'Answer': 'B',
    'Explain': 'Etomidate, a moderate-duration anesthetic agent, is typically used in electroconvulsive therapy. According to the context, it is associated with the shortest context-sensitive half-time, which means it does not stay in the system for a prolonged period, reducing the risk of longer seizure duration. This option is in contrast to the other two options, methohexital and propofol, which have longer context-sensitive half-times and may be more likely to cause longer seizure duration.'
}</t>
  </si>
  <si>
    <t>{
  'Answer': 'A',
  'Explain': 'Etomidate enhances the activity of GABA receptors, whereas the other options, ketamine and propofol, do not. Etomidate is an intravenous anesthetic that works through a mechanism of action that involves the enhancement of GABA receptors, which are the major inhibitory neurotransmitters in the brain. In contrast, ketamine and propofol work through different mechanisms of action, producing their anesthetic effects through NMDA receptor antagonism and potentiation of GABA receptors, respectively.'
}</t>
  </si>
  <si>
    <t>{
  'Answer': C,
  'Explain': 'The exhaled gas does not pass through the CO2 absorber before entering the fresh gas inlet, so the exhaled gas is not filtered and can potentially rebreathe back into the patient. A fresh gas inlet is positioned at the patient end of the circuit, whereas the CO2 absorber is typically placed at the opposite end. This results in the CO2 not being properly removed from the exhaled gas, which is the intended function of the CO2 absorber. '";18250
}</t>
  </si>
  <si>
    <t>{
    'Answer': 'C',
    'Explain': 'A new IV anesthetic is found to have a very large volume of distribution, which means it will distribute rapidly and widely throughout the body. A large volume of distribution is typically associated with lipophilic compounds, which have a high affinity for fat and other lipids. Therefore, the anesthetic is likely to have a high rate of ionization. However, the correct answer is C (low plasma protein binding), as a lipophilic compound will have a low affinity for plasma proteins and therefore will not be bound to them.'";19927
}</t>
  </si>
  <si>
    <t>{
  ""Answer"": ""A"",
  ""Explain"": ""Neostigmine has the longest duration of action in patients with renal failure. According to the text, neostigmine, pyridostigmine, and edrophonium are all eliminated through renal excretion, with approximately 50% of neostigmine and 70% of pyridostigmine and edrophonium excreted in urine. In patients with impaired renal function, elimination of these agents is delayed, which results in a prolonged duration of action.""";18526
}</t>
  </si>
  <si>
    <t>{
  'Answer': C,
  'Explain': 'Instillation of local anesthetic into the trachea via the cricothyroid membrane is most likely to block the recurrent laryngeal nerve. The recurrent laryngeal nerve provides sensory innervation to the larynx down to the vocal cords, and as it descends to the larynx, it pierces the thyrohyoid membrane. The anesthetic administered through the cricothyroid membrane would reach the recurrent laryngeal nerve and temporarily block its sensory input to the larynx, resulting in a loss of sensation in that area.'";21304
}</t>
  </si>
  <si>
    <t>{
    'Answer': 'A',
    'Explain': 'The superior laryngeal nerve block is the best option to prevent gagging during awake intubation. The superior laryngeal nerve innervates the larynx and is responsible for the afferent component of the gag reflex, making blocking it effective in preventing gagging during laryngoscopy and intubation.'";14364
}</t>
  </si>
  <si>
    <t>{
  'Answer': 'A',
  'Explain': 'The initial reduction in core temperature during general anesthesia can be attributed to the ablation of thermoregulatory vasoconstriction. Thermoregulatory vasoconstriction is the body\'s natural response to cold, which involves the constriction of blood vessels at the skin surface to conserve heat. During anesthesia, the body\'s ability to maintain vasoconstriction is lost, leading to an increased heat loss from the body and a decrease in core temperature.'
}</t>
  </si>
  <si>
    <t>{
  'Answer': 'A',
  'Explain': 'The patient's SpO2 decreased from 98% to 84% due to a temporary respiratory insufficiency, and then increased to 92% when FiO2 was increased to 1.0. This indicates that the patient was not receiving enough oxygen, which is consistent with a decreased FRC. The patient's tidal volume is 350 mL, which is relatively small and may contribute to the hypoxemia, further supporting a diagnosis of decreased FRC.'
}</t>
  </si>
  <si>
    <t>{
    'Answer': 'C',
    'Explain': 'The patient has a complete anesthesia in the median, radial, and ulnar nerve distributions after a supraclavicular block, and the procedure is not yet complete, which requires additional 2 hours of tourniquet inflation. To provide adequate surgical anesthesia, the musculocutaneous nerve needs to be blocked. Therefore, the next step is to perform an additional block of the musculocutaneous nerve.'
}</t>
  </si>
  <si>
    <t>{
""Answer"": ""A"",
""Explain"": ""After a single dose of propofol, the primary mechanism responsible for emergence is redistribution. Propofol is rapidly absorbed into the bloodstream and reaches its central compartment, causing loss of consciousness. Following a rapid redistribution from the central compartment to the peripheral compartments, the drug concentration decreases, leading to emergence from anesthesia.""
}</t>
  </si>
  <si>
    <t>{
  'Answer': 'B',
  'Explain': 'If the O2 analyzer reading decreased from 50% to 30%, it is unlikely to be due to a leak in the ventilator bellows (A) or the presense of O2 analyzer in the expiratory limb (C). A more likely cause is the presence of water on the O2 sensor membrane (B). As the flow of O2 and N2O is constant, the O2 analyzer reading will decrease if there is a decrease in the effective inspired O2 concentration due to absorption of O2 by the breathing circuit or other components. Water accumulated on the O2 sensor membrane can reduce the measured O2 concentration, resulting in a decrease in the O2 analyzer reading.'
}</t>
  </si>
  <si>
    <t>{
    ""Answer"": ""A"",
    ""Explain"": ""An induction dose of ketamine is likely to have analgesic effects, which is the ability to relieve or reduce pain. Ketamine is known for its analgesic and sedative properties, making it a useful drug for inducing anesthesia and providing pain relief during surgical procedures.""
}</t>
  </si>
  <si>
    <t>{
  'Answer': 'B',
  'Explain': 'Compared to an IV dose of morphine, the shorter elimination half-life of fentanyl is not the most likely explanation for the decreased duration of action. Fentanyl has a faster onset of action and a shorter elimination half-life than morphine, but this would actually increase its duration of action, not decrease it. The most likely explanation is the increased hepatic metabolism of fentanyl, which leads to its rapid clearance from the body, resulting in a shorter duration of action.'
}</t>
  </si>
  <si>
    <t>{
  'Answer': 'A',
  'Explain': 'The standard error of the mean (SEM) shows the precision of the population mean, which is the amount of random sampling error present in a sample mean. It represents the amount of variability in the sample mean due to random sampling error, and is a measure of the uncertainty in estimating the population mean. '
}</t>
  </si>
  <si>
    <t>{
  ""Answer"": ""C"",
  ""Explain"": ""Pulse oximetry accurately reflects SaO2 when there is 40% fetal hemoglobin concentration. This is because fetal hemoglobin has a higher oxygen-binding affinity than adult hemoglobin, which makes it easier to accurately measure oxygen saturation using pulse oximetry.""
}</t>
  </si>
  <si>
    <t>{
  'Answer': C, 
  'Explain': 'The patient is receiving a 4-hour general anesthetic, which typically stabilizes blood glucose levels by reducing the metabolic response to surgery. Given the initial fasting blood glucose of 100 mg/dL, it is likely that the blood glucose concentration will decrease slightly or remain stable during anesthesia, making mild hypoglycemia (option C) the most likely outcome.'";15447
}</t>
  </si>
  <si>
    <t>{
  ""Answer"": ""C"",
  ""Explain"": ""Ranitidine, a histamine-2 (H2) receptor antagonist, decreases gastric volume by reducing gastric acid secretion. It increases gastric pH by blocking the action of histamine on parietal cells in the stomach.""
}</t>
  </si>
  <si>
    <t>{
  'Answer': C, 
  'Explain': 'Nitrous oxide has a lower blood gas solubility than desflurane, which means it is more quickly removed from the bloodstream and reaches equilibrium with its inspired concentration faster. This allows for a faster recovery from anesthesia and a more rapid equilibration of its alveolar and inspired concentrations.'";12923
}</t>
  </si>
  <si>
    <t>{
  'Answer': 'C',
  'Explain': 'The primary purpose of denitrogenation prior to anesthetic induction is to increase arterial O2 content, which is the most important goal. Denitrogenation helps to remove nitrogen from the patient's lungs, allowing oxygen to be more effectively delivered, and also helps to reduce the risk of atelectasis in the non-ventilated lung during one-lung ventilation (OLV).'
}</t>
  </si>
  <si>
    <t>{
  'Answer': 'A',
  'Explain': 'A 32-year-old woman sustaining an injury to the left recurrent laryngeal nerve during thyroidectomy will likely experience adduction of the left vocal cord at rest. This is because the recurrent laryngeal nerve innervates the thyroarytenoid muscle, which adducts (closes) the vocal cord.'
}</t>
  </si>
  <si>
    <t>{
  'Answer': 'A',
  'Explain': 'When a person breathes 100% O2 for 10 minutes, their mixed venous O2 tension should be expected to be around 45 mmHg. This is because the increased FiO2 will increase the partial pressure of O2 in the arterial blood, which in turn will increase the tension of O2 in the mixed venous blood.'
}</t>
  </si>
  <si>
    <t>{
  'Answer': 'A',
  'Explain': 'Flumazenil, a benzodiazepine antagonist, has a pharmacokinetic profile with a shorter elimination half-life, approximately 1 hour, which is shorter than that of lorazepam and midazolam.'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</si>
  <si>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</si>
  <si>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</si>
  <si>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edema.'";19390
}</t>
  </si>
  <si>
    <t>{
  'Answer': 'A',
  'Explain': 'The patient's symptoms of nausea, diaphoresis, and sharp pain in the left shoulder are consistent with angina pectoris, which is a cardiac condition that can be exacerbated by the spinal anesthesia. The patient's sudden onset of symptoms 45 minutes after the start of the procedure suggests that the anesthesia may have caused a sudden drop in blood pressure, leading to decreased blood flow to the heart and triggering angina pectoris.'
}</t>
  </si>
  <si>
    <t>{
  'Answer': 'B',
  'Explain': 'The patient is receiving IV PCA with morphine, which is an opioid, and her SpO2 is 90% on room air. This suggests that her hypoxemia is likely due to hypoventilation, which is a common side effect of opioids. The other options, absorption of CO2 from the abdomen and increased dead space, are less likely causes of hypoxemia in this scenario.'
}</t>
  </si>
  <si>
    <t>{
  'Answer': 'B',
  'Explain': 'When the heart rate increases from 60 bpm to 120 bpm during induction of anesthesia, the increased metabolic demand of the myocardium needs to be satisfied. Increased coronary perfusion pressure (B) is the most likely factor to satisfy this increased demand. This is because increased coronary perfusion pressure ensures that the heart receives sufficient oxygen and nutrients to meet its increased metabolic needs.'
}</t>
  </si>
  <si>
    <t>{
  'Answer': B,
  'Explain': 'The patient has a history of penicillin allergy, so cefazolin is not a suitable option. Hydrocortisone is a corticosteroid that can be used to treat allergic reactions, so administering it first and then cefazolin is the most appropriate course of action. Vancomycin is an antibiotic that is not related to penicillin and may not be effective in treating the patient\'s allergy.'";16914
}</t>
  </si>
  <si>
    <t>{
  'Answer': 'B',
  'Explain': 'Chronic ethanol abuse decreases the minimum alveolar concentration (MAC) of isoflurane, which is a measure of the potency of an anesthetic. This means that individuals with a history of chronic ethanol abuse may require a higher concentration of isoflurane to achieve the same level of anesthesia as individuals without a history of ethanol abuse.'
}</t>
  </si>
  <si>
    <t>{
  'Answer': 'A',
  'Explain': 'The primary toxic effect of bupivacaine on the cardiovascular system is the blockade of norepinephrine release, which can lead to hypotension and potentially life-threatening cardiac arrhythmias.'
}</t>
  </si>
  <si>
    <t>{
  'Answer': C,
  'Explain': 'Hyperthermia causes a rightward shift in the oxyhemoglobin dissociation curve by increasing the affinity of hemoglobin for oxygen, making it more difficult for oxygen to be released to the tissues. This is because the increased temperature increases the rate of oxygen binding to hemoglobin, making it more difficult for oxygen to be released to the tissues.'
}</t>
  </si>
  <si>
    <t>{
  'Answer': 'B',
  'Explain': 'In clinical hypothyroidism, the decreased production of thyroid hormones can lead to decreased cardiac contractility, which is reflected in decreased myocardial contractility. This is because thyroid hormones play a crucial role in regulating cardiac function, and decreased levels can lead to decreased cardiac output and decreased peripheral vascular resistance. Therefore, option B, Myocardial contractility, is the most likely to be decreased in a patient with clinical hypothyroidism.'
}</t>
  </si>
  <si>
    <t>{
  'Answer': 'B',
  'Explain': 'The CO2 absorber is misplaced in the circle system. According to the text, the CO2 absorber is a component of the circle system, and it is located between the patient and the reservoir bag. However, in the illustration, the CO2 absorber is not shown in this location, which suggests that it is misplaced.'
}</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</si>
  <si>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binding.'";17908
}</t>
  </si>
  <si>
    <t>{
  'Answer': 'A',
  'Explain': 'Neostigmine has the longest duration of action in a patient with renal failure because it is not significantly affected by renal excretion, whereas rocuronium and succinylcholine are eliminated by the kidneys and their duration of action is prolonged in patients with renal failure.'
}</t>
  </si>
  <si>
    <t>{
  'Answer': 'A',
  'Explain': 'The patient's SpO2 decreased from 98% to 84% and then improved to 92% when FiO2 was increased to 1.0. This suggests that the patient was hypoxemic due to a low inspired oxygen concentration, which was corrected by increasing the FiO2. The other options, decreased FRC and increased dead space ventilation, are not likely causes of hypoxemia in this scenario.'
}</t>
  </si>
  <si>
    <t>{
  ""Answer"": ""A"",
  ""Explain"": ""After a single dose of propofol, the primary mechanism responsible for emergence is redistribution. Propofol is highly lipophilic and rapidly distributes from the central compartment to peripheral tissues, leading to a rapid decrease in its concentration in the central compartment and a subsequent decrease in its effect on the brain.""
}</t>
  </si>
  <si>
    <t>{
  'Answer': 'A',
  'Explain': 'An induction dose of ketamine is most likely to have analgesic effects. Ketamine is a dissociative anesthetic that produces analgesia, amnesia, and a sense of detachment from the environment. It is often used as an induction agent in anesthesia, particularly in patients with cardiovascular instability or those who are at risk of developing bronchospasm. The analgesic effects of ketamine are due to its ability to activate N-methyl-D-aspartate (NMDA) receptors in the brain, which reduces the transmission of pain signals.'
}</t>
  </si>
  <si>
    <t>{
  ""Answer"": ""A"",
  ""Explain"": ""The standard error of the mean (SEM) shows the precision of the population mean. It is a measure of the amount of random error or sampling error in the sample mean. It is calculated as the standard deviation of the sampling distribution of the sample mean. The SEM is used to construct confidence intervals and to test hypotheses about the population mean.""
}</t>
  </si>
  <si>
    <t>{
  'Answer': 'C',
  'Explain': 'The patient is receiving a 4-hour general anesthetic for repair of tendon lacerations, which is a relatively short procedure. The patient's fasting blood glucose level is 100 mg/dL, which is within the normal range. Given the short duration of anesthesia and the patient's normal blood glucose level, it is likely that the blood glucose level will remain stable or decrease slightly during the procedure, making mild hypoglycemia (C) the most likely expected outcome on emergence.'";18542
}</t>
  </si>
  <si>
    <t>{
  'Answer': 'C',
  'Explain': 'Ranitidine decreases gastric volume by reducing gastric acid secretion, but it does not increase gastric pH. Glycopyrrolate increases gastric pH by reducing gastric acid secretion, but it does not decrease gastric volume. Metoclopramide increases gastric motility and decreases gastric volume, but it does not increase gastric pH.'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</si>
  <si>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</si>
  <si>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</si>
  <si>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sciatic nerve block at the medial aspect of the lower leg would involve blocking the posterior tibial nerve, which provides sensation to the medial malleolus and is the only nerve that runs medial to the tibia. Therefore, blocking the posterior tibial nerve would provide the most effective anesthesia for an operation at the medial aspect of the lower leg.""
}</t>
  </si>
  <si>
    <t>{
  'Answer': C,
  'Explain': 'The patient has developed right upper quadrant abdominal pain and nausea, which is likely a sign of an adverse reaction to the premedication. Naloxone is the most appropriate therapy as it is an opioid antagonist that can reverse the effects of opioids. The patient had received morphine and midazolam premedication, which are both opioid medications, making naloxone the most effective choice to counteract the effects.'
}</t>
  </si>
  <si>
    <t>{
  'Answer': B,
  'Explain': 'The patient has severe hypercalcemia with a serum calcium concentration of 15 mg/dL. The most appropriate initial management is to administer normal saline to help dilute the serum calcium level and reduce the severity of hypercalcemia. Magnesium sulfate may be given in some cases, but normal saline is the most appropriate choice in this scenario.'
}</t>
  </si>
  <si>
    <t>{
  'Answer': 'B',
  'Explain': 'Genetic testing of the ryanodine receptor (RYR1) is the most reliable test for predicting the likelihood of developing malignant hyperthermia. This test detects mutations in the RYR1 gene, which is responsible for the disease. It is a sensitive and specific test that can identify patients who are susceptible to malignant hyperthermia, allowing for appropriate precautions to be taken during anesthesia.'";16303
}</t>
  </si>
  <si>
    <t>{
  'Answer': 'A',
  'Explain': 'Step 1: Calculate the amount of anesthetic added to the fresh gas stream. 150 mL/min of oxygen flows through the vaporizer chamber, which contains 150 mmHg of anesthetic vapor. Since the fresh gas flow rate is 5 L/min, the amount of anesthetic added to the fresh gas stream is 150 mL/min / 5 L/min = 3%.'";16341
}</t>
  </si>
  <si>
    <t>{
  ""Answer"": ""C"",
  ""Explain"": ""Vasoconstriction is the most effective physiologic mechanism for maintaining body temperature in a patient with mild hypothermia. Vasoconstriction helps to reduce heat loss by conduction, convection, and radiation, and increases blood pressure, which can help to improve perfusion and increase the delivery of oxygen and nutrients to vital organs.""
}</t>
  </si>
  <si>
    <t>{
  'Answer': C,
  'Explain': 'Midazolam has a longer duration of action than flumazenil, which means that the sedative effects of midazolam may still be present 1 hour after administration, making it necessary for the patient to remain hospitalized for observation.'
}</t>
  </si>
  <si>
    <t>{
  ""Answer"": ""A"",
  ""Explain"": ""The added epinephrine exerts the greatest effect on the extent of spread of local anesthetic following subarachnoid block with hyperbaric bupivacaine. This is because epinephrine can increase the spread of the local anesthetic by increasing the blood flow to the spinal cord and the surrounding tissues, which can enhance the absorption of the anesthetic agent.""
}</t>
  </si>
  <si>
    <t>{
  'Answer': B,
  'Explain': 'Administration of furosemide is the most appropriate management choice in this scenario. The patient has developed pulmonary edema, which is a complication of fluid overload. Furosemide is a diuretic that can help to reduce fluid overload and alleviate pulmonary edema. Administration of albuterol, a bronchodilator, may help to relieve bronchospasm, but it is not a primary treatment for pulmonary edema. Positive-pressure ventilation may also not be sufficient to address the underlying cause of the pulmonary edema.'
}</t>
  </si>
  <si>
    <t>{
  'Answer': 'A',
  'Explain': 'The patient's sudden development of nausea, diaphoresis, and sharp pain in the left shoulder suggests angina pectoris as the most likely cause. The onset of symptoms within 45 minutes of spinal anesthesia suggests that the patient may have experienced a sudden decrease in coronary blood flow due to the sympathetic blockade caused by the anesthetic, leading to myocardial ischemia and angina.'
}</t>
  </si>
  <si>
    <t>{
  'Answer': B,
  'Explain': 'The etiology of decreased SpO2 is likely compression of the vena cava due to the patient being in the Trendelenburg position. This can cause decreased venous return and increased right-to-left shunting, leading to desaturation. The increase in ETCO2 is consistent with hyperventilation, which can occur as a compensatory response to the hypoxia. The fact that FiO2 is 0.3 and ventilator settings have been constant suggests that the hypoxia is not due to equipment malfunction or hypoventilation.'";21310
}</t>
  </si>
  <si>
    <t>{
  'Answer': 'B',
  'Explain': 'The patient is receiving IV PCA with morphine, which is an opioid. Opioids can cause respiratory depression, leading to hypoventilation, which is the most likely cause of hypoxemia in this patient.'
}</t>
  </si>
  <si>
    <t>{
  ""Answer"": ""A"",
  ""Explain"": ""In pressure support ventilation, pressure support breaths are triggered by a decrease in airway pressure, allowing the patient to trigger the breath by inhaling.""
}</t>
  </si>
  <si>
    <t>{
  'Answer': 'B',
  'Explain': 'Increased coronary perfusion pressure is the most likely factor to satisfy the increased metabolic demand of the myocardium during tachycardia. As the heart rate increases, the cardiac output increases to meet the increased oxygen demand. Increased coronary perfusion pressure ensures that the heart receives the necessary oxygen and nutrients to meet this increased demand.'
}</t>
  </si>
  <si>
    <t>{
  'Answer': B,
  'Explain': 'Prothrombin time (PT) is the best laboratory value to confirm adequate synthetic hepatic function. The PT measures the time it takes for a sample of patient plasma to clot when mixed with tissue factor and calcium. It assesses the integrity of the extrinsic and common pathways of plasma-mediated hemostasis, making it sensitive to deficiencies in factors II, V, VII, or X. Since these factors are involved in the liver's ability to synthesize clotting factors, a prolonged PT suggests that the liver is functioning inadequately.'
}</t>
  </si>
  <si>
    <t>{
  'Answer': B,
  'Explain': 'The correct answer is B. ECG synchronization. The context suggests that the question is asking about strategies to prevent ventricular dysrhythmias during extracorporeal shock wave lithotripsy. ECG synchronization is the process of using the electrocardiogram to time the shock therapy to coincide with the natural rhythm of the heart, which can help to prevent cardiac arrhythmias. The other options, beta-adrenergic blockade and epidural blockade to T4, are not directly related to preventing ventricular dysrhythmias during lithotripsy.'";21319
}</t>
  </si>
  <si>
    <t>{
  'Answer': 'A',
  'Explain': 'A Bain circuit exhibits less rebreathing of CO2 compared to a semiclosed circle system. This is because the Bain circuit is designed to minimize rebreathing by driving exhaled alveolar gas away from the patient, whereas a semiclosed circle system can lead to significant rebreathing of CO2.'
}</t>
  </si>
  <si>
    <t>{
  'Answer': C,
  'Explain': 'The patient's capnograph waveform shows a decrease in end-tidal CO2 between point A and point B, which is likely due to patient position. When a patient is in the lateral position, they are not as upright, which can reduce diaphragmatic excursion and thereby decrease tidal volume and alveolar ventilation, leading to a decrease in end-tidal CO2.'";15240
}</t>
  </si>
  <si>
    <t>{
  'Answer': 'B',
  'Explain': 'Since the patient had a rash with past administration of penicillin, the surgeon should first administer hydrocortisone to help prevent an allergic reaction to cefazolin, and then administer cefazolin once the patient is stabilized.'
}</t>
  </si>
  <si>
    <t>{
  'Answer': 'A',
  'Explain': 'Acute cocaine intoxication decreases the minimum alveolar concentration (MAC) of isoflurane, which is a volatile anesthetic. The exact mechanism is not fully understood, but it is thought to be related to increased blood pressure and vasodilation, which can lead to increased cerebral blood flow and a decreased need for anesthesia.'
}</t>
  </si>
  <si>
    <t>{
  ""Answer"": ""A"",
  ""Explain"": ""The primary toxic effect of bupivacaine on the cardiovascular system is the blockade of norepinephrine release, which can lead to a reduction in blood pressure and cardiac output, potentially resulting in cardiac arrest.""
}</t>
  </si>
  <si>
    <t>{
  'Answer': C,
  'Explain': 'Hyperthermia causes a rightward shift in the oxyhemoglobin dissociation curve by increasing the amount of deoxyhemoglobin, making it more difficult for oxygen to bind to hemoglobin. This occurs because hyperthermia causes an increase in 2,3-diphosphoglycerate (2,3-DPG) levels, which shifts the curve to the right. As a result, more oxygen is required to saturate the hemoglobin, making it less efficient at releasing oxygen to the tissues.'
}</t>
  </si>
  <si>
    <t>{
  'Answer': B,
  'Explain': 'In hypothyroidism, the decreased cardiac output and peripheral vascular resistance result in a decreased myocardial contractility. Therefore, option B, Myocardial contractility, is the most likely to be decreased in a patient with clinical hypothyroidism.'
}</t>
  </si>
  <si>
    <t>{
  'Answer': B,
  'Explain': 'Methohexital is likely to be associated with longer seizure duration when used for electroconvulsive therapy. According to Figure 23.3, methohexital has a longer context-sensitive half-time than etomidate and propofol, indicating that it may remain in the body for a longer period and potentially cause prolonged seizures.'
}</t>
  </si>
  <si>
    <t>{
  'Answer': 'A',
  'Explain': 'Etomidate is a GABA receptor antagonist, whereas the other options, ketamine and propofol, are GABA receptor agonists. GABA (gamma-aminobutyric acid) is a neurotransmitter that has a calming effect on the nervous system, and its receptor agonists are often used as anesthetics. Etomidate, on the other hand, acts as a GABA receptor antagonist, making it an antagonist rather than an agonist.'
}</t>
  </si>
  <si>
    <t>{
  'Answer': C,
  'Explain': 'The expiratory valve is misplaced in the circle system shown in the illustration. According to the figure, the fresh gas inlet is located at the top, the CO2 absorber is in the middle, and the expiratory valve is at the bottom. The correct sequence should be: fresh gas inlet -&gt; inspiratory valve -&gt; CO2 absorber -&gt; patient -&gt; expiratory valve -&gt; CO2 absorber.'";16422
}</t>
  </si>
  <si>
    <t>{
  'Answer': C,
  'Explain': 'A new IV anesthetic with a very large volume of distribution is likely to have low plasma protein binding. This is because a large volume of distribution indicates that the drug is distributed widely throughout the body and is likely to be highly lipophilic. Since the anesthetic is given intravenously, it is not ionized and does not require significant protein binding to the blood plasma. As a result, the anesthetic has a large volume of distribution and low plasma protein binding.'
}</t>
  </si>
  <si>
    <t>{
  ""Answer"": ""A"",
  ""Explain"": ""According to the text, neostigmine has a delayed excretion in patients with impaired renal function, which means its duration of action is prolonged in such patients. This is because approximately 50% of neostigmine is excreted in urine, and in anephric patients, elimination half-life of neostigmine is prolonged and total plasma clearance is decreased.""
}</t>
  </si>
  <si>
    <t>{
  'Answer': 'C',
  'Explain': 'Instillation of local anesthetic into the trachea via the cricothyroid membrane is most likely to block the recurrent laryngeal nerve. The cricothyroid membrane is a thin area between the cricoid and thyroid cartilages that contains a nerve bundle of the external branch of the superior laryngeal nerve and a small branch of the recurrent laryngeal nerve. The recurrent laryngeal nerve provides motor innervation to the larynx and sensation to the upper trachea, so blocking it may lead to loss of motor function and sensation in these areas.'
}</t>
  </si>
  <si>
    <t>{
  ""Answer"": ""A"",
  ""Explain"": ""Gagging that occurs during awake intubation is BEST prevented by local anesthetic block of the superior laryngeal nerve. The superior laryngeal nerve innervates the pharynx, larynx, and epiglottis, and blocking it helps to relax the pharyngeal muscles and prevent laryngospasm.""
}</t>
  </si>
  <si>
    <t>{
  'Answer': A,
  'Explain': 'Ablation of thermoregulatory vasoconstriction is the most likely explanation for the initial reduction in core temperature during general anesthesia. General anesthesia can cause a decrease in the body's natural ability to regulate its temperature, leading to a drop in core temperature. This is because the body's vasoconstrictive response to cold is reduced, allowing heat to escape more easily from the core to the periphery.'
}</t>
  </si>
  <si>
    <t>{
  'Answer': 'A',
  'Explain': 'Room air admixture during inspiration is unlikely to be the cause of hypoxemia, as the patient's SpO2 improved when the FiO2 was increased to 1.0. Decreased FRC is also unlikely, as the patient's SpO2 was only decreased, not absent. The most likely cause of hypoxemia is therefore decreased dead space ventilation, which would reduce the patient's ability to take in oxygen.'
}</t>
  </si>
  <si>
    <t>{
  'Answer': 'C',
  'Explain': 'The question states that the patient has complete anesthesia in the median, radial, and ulnar nerve distributions after a supraclavicular block. This suggests that the block is successful in blocking the median, radial, and ulnar nerves, which are all branches of the brachial plexus. To achieve complete anesthesia in the hand, it is likely that the intercostobrachial nerve, which supplies cutaneous innervation to the medial upper arm at the T2 dermatome, has not been blocked. Therefore, an additional block of the musculocutaneous nerve, which also supplies the lateral upper arm, is the most appropriate next step.'
}</t>
  </si>
  <si>
    <t>{
  ""Answer"": ""A"",
  ""Explain"": ""After a single dose of propofol, emergence is primarily caused by redistribution, which is the movement of the drug from the central compartment (brain and blood) to peripheral tissues. This redistribution occurs rapidly, resulting in a decrease in the plasma concentration of propofol and the reversal of its effects.""
}</t>
  </si>
  <si>
    <t>{
  'Answer': B,
  'Explain': 'A decrease in the O2 analyzer reading from 50% to 30% could be caused by a accumulation of water on the O2 sensor membrane (B). The sensor may be affected by condensation of water in the breathing circuit, leading to an inaccurate reading of the O2 concentration. This could be due to changes in temperature, humidity, or gas flows during the 30-minute stable anesthesia period.'
}</t>
  </si>
  <si>
    <t>{
  ""Answer"": ""A"",
  ""Explain"": ""An induction dose of ketamine is MOST likely to have analgesic effects. Ketamine is a medication used to induce anesthesia and analgesia, and its effects are rapid, making it a suitable choice for induction of anesthesia in unstable cardiovascular patients, trauma patients with extensive blood loss, and patients with septic shock.""
}</t>
  </si>
  <si>
    <t>{
  'Answer': 'B',
  'Explain': 'Fentanyl has a greater lipid solubility compared to morphine, which allows it to distribute more rapidly into tissues and organs, leading to a shorter duration of action. In contrast, morphine is more hydrophilic and tends to remain in the bloodstream for a longer period, resulting in a longer duration of action.'
}</t>
  </si>
  <si>
    <t>{
  'Answer': 'A',
  'Explain': 'The standard error of the mean shows the precision of the population mean, as it represents the degree of uncertainty or dispersion around the sample mean. It measures the amount of variation that would be expected to occur if the sample mean were repeated many times.'
}</t>
  </si>
  <si>
    <t>{
  ""Answer"": ""B"",
  ""Explain"": ""Pulse oximetry does not accurately reflect SaO2 in the presence of carboxyhemoglobinemia because it measures light absorption at two wavelengths, and carboxyhemoglobin absorbs light at the same wavelength as oxygenated hemoglobin. This can lead to inaccurate measurements of SaO2.""
}</t>
  </si>
  <si>
    <t>{
  'Answer': 'C',
  'Explain': 'The patient has a fasting blood glucose of 100 mg/dL, which is within the normal range. The anesthetic induction will cause a temporary increase in glucose levels, but it will likely not be a significant increase. Mild hypoglycemia is a more likely outcome than hypoglycemia or hyperglycemia, especially since the patient is not known to have diabetes or any other underlying condition that would suggest a higher risk of developing hyperglycemia or hypoglycemia.'
}</t>
  </si>
  <si>
    <t>{
  ""Answer"": ""C"",
  ""Explain"": ""Ranitidine is a histamine-2 (H2) antagonist that decreases gastric acid secretion, thereby increasing gastric pH, while also decreasing gastric volume by slowing gastric emptying.""
}</t>
  </si>
  <si>
    <t>{
  'Answer': 'C',
  'Explain': 'Nitrous oxide has a lower blood gas solubility than desflurane, which means it equilibrates more rapidly with the alveolar concentration. This is because it is more easily soluble in blood, allowing it to be cleared from the bloodstream and reach the alveoli more quickly, thereby reducing the time it takes for the alveolar and inspired concentrations to equilibrate.'
}</t>
  </si>
  <si>
    <t>{
  'Answer': 'B',
  'Explain': 'The primary purpose of denitrogenation prior to anesthetic induction is to increase O2 reserve in the Functional Residual Capacity (FRC). This is done by replacing nitrogen with oxygen in the lungs, which allows for a higher concentration of oxygen in the alveoli and a longer period before oxygen desaturation occurs during apnea. This is important to ensure that the patient remains oxygenated during the peri-induction period and to prevent desaturation during the induction of anesthesia.'";18758
}</t>
  </si>
  <si>
    <t>{
  'Answer': A,
  'Explain': 'A unilateral recurrent laryngeal nerve injury may result in ipsilateral true vocal cord paralysis in the paramedian position, characterized by adduction of the left vocal cord at rest.'
}</t>
  </si>
  <si>
    <t>{
  'Answer': 'A',
  'Explain': 'When a patient breathes 100% O2 for 10 minutes, the mixed venous O2 tension (PvO2) is expected to increase, and it is typically above 150 mmHg. Since the normal mixed venous O2 tension is around 45 mmHg, an answer choice above 150 mmHg is the best option. Option A, 45 mmHg, is not a realistic value for mixed venous O2 tension after breathing 100% O2 for 10 minutes.'
}</t>
  </si>
  <si>
    <t>{
  ""Answer"": ""A"",
  ""Explain"": ""According to the context, flumazenil has a blood clearance that approaches hepatic blood flow, indicating that liver clearance partially depends on hepatic blood flow. The rapid blood clearance of flumazenil is the shortest lived of all benzodiazepines used in anesthetic practice, with a context-sensitive half-time of about 1 hour.""
}</t>
  </si>
  <si>
    <r>
      <rPr>
        <rFont val="Arial"/>
        <color theme="1"/>
      </rPr>
      <t>embed_model="</t>
    </r>
    <r>
      <rPr>
        <rFont val="Arial"/>
        <b/>
        <color rgb="FF4285F4"/>
      </rPr>
      <t>pritamdeka/BioBERT-mnli-snli-scinli-scitail-mednli-stsb</t>
    </r>
    <r>
      <rPr>
        <rFont val="Arial"/>
        <color theme="1"/>
      </rPr>
      <t>"
max_new_tokens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</si>
  <si>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</si>
  <si>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'When contemplating an operation at the medial aspect of the lower leg, the common peroneal nerve may require blockade to adequately anesthetic the affected area.'
}</t>
  </si>
  <si>
    <t>{
  'Answer': C,
  'Explain': 'The drug A, Flumazenil, reverses or enhances the effect of a previously used anti-anxiety benzodiazepamine that could cause an adverse reaction, however, it is unlikely that the increased upper right abdominal pain after receiving nalbuphine and midazolam could be primarily driven by a prolonged effect of midazolan B, Ketorolac, has analgesia properties for relief in acute nociception after surgical inciseon, however, its analgicsic potency decreases significantly about 2-3 hours aftorn analisis C, which has no direct analgesic or anti anxiety effect, increasing it could worsen the pain, it was scheduledly given premotherapidation for laparsccopeny)' 
Let me explain further in step manner if needed
"
}</t>
  </si>
  <si>
    <t>{
  'Answer': B, 
  'Explainition' : 'IV normal saline is chosen as A 68-year-old woman with primary hyperparathyroidism is scheduled for parathyroidectomy and her serum calcium concentration is 15 mg/dL, which is above normal. IV normal saline is an appropriate initial management option to treat hypercalcemia.'
}</t>
  </si>
  <si>
    <t>""Answer""_:C
'__Explain_': The genetic testing of the ryanodine receptor (B) is not the most effective predictor of malignant hyperthermia as a genetic predisposition exists but it may not have been expressed clinically. On the other hand, skeletal muscle contracture tests such caffeine or halothane induced which tests the effects of contractures after the agent(s) administration (C).</t>
  </si>
  <si>
    <t>{
    'Answer': A,
            'Explain': 'In our problem, the oxygen flow rate is 100 mL/min and the fresh 
                      volume flow rate is another  5 L/min. Therefore, if the 
                       total concentration of gas going into the circuit is maintained 
                     and given is a constant (assuming flow ratio remains unchanged, it can be found out when  the flow rate of O, C and Sevifluraine is equal)
          To  determine the flow rate as needed   flow volume in proportion to be same that the vaporizing rate. It is only calculated that we add, an estimated evaporation, gas stream that does not participate flow  the evaporation is given that gas.
   There is a lot    of calculation, not here can    but there is this process   can only conclude and    that there has 
         only by using flow is 150 * 0.215 = ml / Min an anesthes 
and add oxygen we know flow   to be used it anesthesiological delivery
     so final answer
```}</t>
  </si>
  <si>
    <t>{
  ""Answer"": B,
  ""Explain"": ""Postoperative shivering typically increases with decreasing patient temperature. Therefore, in the present scenario where the patient is hypothermic and received 1 MAC (The Minimum Alveolar Concentration) of isoflurane, B) shivering thermogenesis is the most effective mechanism for maintaining body temperature in the patient before rewarming can begin.""
}</t>
  </si>
  <si>
    <t>E</t>
  </si>
  <si>
    <t>{
  'Answer': E,
  'Explain': Flumazenil, the agonist opposite of midazolam, has moderate intrinsic agonistic actions that, when removed, will increase the response of these receptor responses to midazolam and potentially exacerbate over-anxiolytic over anesthesia and make the patient remain intoxicated too long after sedative intake
}</t>
  </si>
  <si>
    <t>{'Answer': 'B',
 'Explain': 'Patient position is considered the major contributing factor affecting the spread of local anesthetic following subarachnoid block. When a patient is moved to a lateral decubicitus position, the hyperbaric local anesthetics injected, while sitting, at the L3-L4 or L4-L5 interspace will spread as gravity applies. The hyperbaric solution accumulates at those levels due to the changes in density. Since this information was discussed in the book page number [Page#7-30 lines number:27] with this given context'}
(Part of this page is relevant to answer)</t>
  </si>
  <si>
    <t>{""Answer"": ""B"", ""Explain"": ""Increasing inspired partial pressure of O2 (FiO2) must be done incrementally until saturation improves further increasing to 101%. Furthermore, further investigations are recommended on this specific condition for targeted intervention therapy for pulmonary oedema.""}</t>
  </si>
  <si>
    <t>{
    'Answer': B,
    'Explain': 'Angle between C5-C7 that receives 61-year-old man suddenly develops symptoms during the transurethral resection procedure has pain and nausea, indicating a systemic effect not consistent with normal spread of medication at the time and site of injection. It is believed possible due to injury or a certain block of one of the spinal level, and then, as the level moves further upper levels after reaching higher, such as the pain receptors of heart muscle. Thus, angina chest can be said as more most likely caused of this event, and therefore chooses B..}</t>
  </si>
  <si>
    <t>{
  ""Answer"": ""B"", 
  ""Explain"": ""As SpO2 decreases from 99% to 90% and PECO2 changes persistently, it is more likely caused by compression/tumors on the vena cava as oppose to carbon dioxide emboli. This increased pressure in the central venous system would reduce peripheral Oxygen sat whereas Endobronchmalintubation wouldn't.""
 }</t>
  </si>
  <si>
    <t>{
  'answer': B,
  'Explain': 'Since the patient only had SpO2 of 90% at 2 hours postoperatively, B (hypoverutiloatin due to anesthetic and/or narcore drugs or sleep-like states) are plausible cause. Absorption of CO2 from abdominal was less concerns, because CO2 is normal process after open surgery, while etiologies like C (nonanatomic ventilatory abnormalities like increased dead space) rarely have been observed in PACU.'";17462
}</t>
  </si>
  <si>
    <t>{
    'Answer': A,
    'Explain': 'Pressure support in pressure support ventilation is triggered whenever there is a decrease in airway pressure, which is normally detected when the patient takes a breath and initiates inspiration.'
}</t>
  </si>
  <si>
    <t>{
  'Answer': 'B.',
  'Explain': 'Options for satisfying the increased metabolic demand for the myocardium have come up. An example which includes A, Decrease in Coronary Artery Resistance by is invalid. B is an interesting Option as it states: \\\\u223e \\\\;The\\rhe myocardium\u;\\', it will actually have to \\ increase', 
}</t>
  </si>
  <si>
    <t>{
  ""Answer"": B,
  ""Explain"": ""Prothrombin time (PT) is used to assess the integrity of the extrinsic and common pathway of plama-mediated  hemostasis, which involves the production of factors II, VII, Xi, and X. PT assesses the activity of these factor by estimating the time required for clot formation to occur after mixing plama with calcium. It is sensible to coagulation disorders caused by deficiencies is vitamins or liver disfunction, such as livercirrhosis.""
}</t>
  </si>
  <si>
    <t>N/A</t>
  </si>
  <si>
    <t>{
  'Answeisearly: 'None
  **explain** the choice (b, not a, not c)**, and then go back to 'explain)** explain: None
Final Answer, Please note that "" None of above options "" was ** not selected**, the following explanations explain the best an the choice will help determine cardiac output, heart rate, blood pressure, and to manage hemodynamics in patients that are undergoing cardiovascular surgery while ensuring a steady condition.
However, please review and assess it if they could cause ventricular cardiac arritmias, this **beta blockers is very valuable if necessary**
Note: Since all references here are part of various anestheseia textbook or papers but none of beta blocking medicine it suggest so donkey to get further information in more context please feel free to answer to know, If I did nnot to assess  the option (in advance) but with certainty, ""None ""}</t>
  </si>
  <si>
    <t>{
  'Answer': 'A',
  'Explain': 'A Bain circuit has less rebreathing of CO2 compared to a semIClosed circle system, as it continuously sweeps away spent gases instead of allowing them to recur. The location of the pop-off valve in a Bain circuit also drives fresh gas flow during exhalation, reducing the opportunity for rebreathed CO2 to accumulate in the system. This makes it a more efficient design for reducing CO2 levels and minimizing potential adverse effects.'
}</t>
  </si>
  <si>
    <t>{
  ""Answer"": ""C"",
  ""Explain"": ""
The waveform shows that the capnograph is reading flat line at both points A and point B, excluding option A and B. The remaining reason is the patient position (C), which may be affecting pulmonary gas flows.
""}</t>
  </si>
  <si>
    <t>{
    'Answer' : A,
    'Explain':''Due to the patient's history of a reaction to penicillin, anaphylaxis following antibiotic administration to which β-lactam antibiotics belong could occur with cefazolin. Given that option A, A: Administer cefazolin, it is not recommended for this scenario and we need to consider an alternative that does not include a penicillin-type agent.&lt;/p&gt;&lt;code&gt;C. Administer vancomycin instead of cefazolin (more costly antibiotic option)&lt;/code&gt;; there is no definitive explanation to B.&lt;/code&gt;'
}</t>
  </si>
  <si>
    <t>{
  ""Answer"": C,
  ""Explain"": ""Neither acute nor chronic ethanol abuse can decrease MAC as of sedatifilurane. The given information focuses more on mechanisms, aniongap metalosis, metabolic Acidosis, acidosis of, treatment considerations""
}</t>
  </si>
  <si>
    <t>{
""Answer"": A,
""Explain"": ""The primary toxicity effect of bupivacaine on the cardiovascular system is the blockade of norepinephrine release leading to potentially severe hypotension and cardiac changes""
}</t>
  </si>
  <si>
    <t>{
    ""Answer"": ""C"",
    ""Explain"": ""A rightward shift in the oxygen-dihemoglobin dissociation curve occurs in conditions when the oxyhemoglobin equilibrium is shifted to the right. Hyperthermia can cause dehydration of peripheral blood and blood viscosity, leading to a rightward shift in the curve.""
}</t>
  </si>
  <si>
    <t>Here is the provided context does not provide direct information indicating how the answer; However, when a patient experiences depression/depressive disorder - related.</t>
  </si>
  <si>
    <t>Here's a json file with chosen choices.
After careful scanning thru provided pages of ""Milless-Anesthesia-2.pdf, I decided to consider the effects of all three drug types on anesthesia durations.
Propofol, Methonehexital as well as Etomidare are commonly administrated by infusion or with short periods in Electro-Conflict Therapy.
From Figurates.23, we could confirm that the longer the drug dosage infused, even at slower infusion speeds will generate lower drug serum levels.</t>
  </si>
  <si>
    <t>{
  'answer': C,
  'explanation' : ""Explanation: 
According to the context, etomidate does act as a direct GABA-agonist, causing enhanced GABA receptor activity. However, ketamine and protamine do not. Reference Fig 23.3, it indicates the effect of anesthetic drugs in a bisected diagram. Both ketamine and proflonal induce shorter half-lives during pharmacological management compared to other such as diazs and an al. However, information is available underlined about barbiturate pharmacokinetics in lean patients.""
 }</t>
  </si>
  <si>
    <t>{'Answer': 'B', 
'Explain': 'A CO2 absorber is present in the classical circle system design (Fig. 22.32). Among the three possibilities A, B, and C, a CO2 absorber does not characterize the expeirementary valve; it is actually a central part of the classical closed-circle design, where the exapled flow valve prevents the recycled gases from being re-rebrefted by th patient in a traditional closed circle system the three requisites (also mentioned the textbook) to implement a traditional breathing circle: (1)a valve positioned after the ventilatory bags and also before the resuoir-bag';}</t>
  </si>
  <si>
    <t>{
  ""Answer"" : C,
  ""Explain"" : ""Since the anesthetic has a large volume of distribution, it is likely that it is quite water-soluble and diffuss easily throughout the body, allowing it to spread quickly and produce its effects uniformly throughout the entire body. Hence, option C (Low plasma protein binding) supports it as the correct choice.""
}</t>
  </si>
  <si>
    <t>{
  ""Answer"": ""A."",
  ""Explain"": ""The duration of action of neostigmine, a cholinesterase inhibitor, is unaffected in patients with renal failure. Therefore, among the options provided, A, Nebostigmine is the correct answer. Meanwhile, Rocuronium and Succinylcholine's duration of action would be prolonged in patients with renal insufficiency due to the delayed renal processing and elimination rate.""";15490
}</t>
  </si>
  <si>
    <t>{
  Answer: 'C',
  Explain: 'Instillation of local anesthetics into the trachea via the cricothyroid membrane is likely to block the Recurrent Laryngeal Nerve, which is responsible for providing sensory innervation to the larynx and trachea.'";10947
}</t>
  </si>
  <si>
    <t>{
  'Answer': 'A',
  'Explain':
          'Local anesthetic block of the superior laryngeal nerve is necessary to gag-represent that occurs during awake intubation because stimulation of this nerve is a trigger for the sensation of throat sensation. A single stimulation of the superior recurrent laryngeal nerve elicits a gag reflex by stimulating the internal laryngeal receptor located on the back of the oropharynx, followed by relaxation or opening of the vocal cords that protects against the aspiration.'
        }</t>
  </si>
  <si>
    <t>{
    ""Answer"": ""A"",
    ""Explain"": ""The cessation of thermoregulatory vasoconstriction leads to widening of the peripheral veins and arteries, thus reducing the peripheral resistance to thermally equilibrating processes, enabling a rapid influx of cold blood to enter the core and cause an initial decrement in central temperature. This is more pronounced due to the anesthesia's ability to reduce the central nervous system's autonomic control of vasomotor tone""";16216
}</t>
  </si>
  <si>
    <t>{
  'Answer': 'B',
  'Explain': ""The reason forhypoxemia decreasing FiO2 worsens SpO2is 'a combination' phenomenon is increased the tidal volume with a deadspace portion remaining at low concentrations to  oxygen, and increasing FiO2 also means that expired oxygen decreases exponentially at high concentration ( FiO2 ). There is no sign of the mixed venous gases which indicate it is not the ventilation-perfusion Mismatch nor PaCO2 which increased as dead space will. So, we can assume is option B is most likely. Also note, decreasing FiO2 could allow PaCO2 to improve, but that not happen since there is not a significant indication that this is the probable pathology.}</t>
  </si>
  <si>
    <t>{
  'Answer': 'C',
  'Explain': 'Due to the patient's supraclavicular block, both ulnar and median nerve fibers to hand will be already anesthetized, leaving distal branches for cutaneous and proprioceptive feedback inadequatue and increasing the pain and discomfort perception. Additionally, the numbness and tingling experienced on the operated site after two hours may exacerbate tourniquet-induced pain, requiring a targeted blockade to prevent excessive discomfort.'
}</t>
  </si>
  <si>
    <t>{
  'Answer': A, 
  'Explaination': 'After a single dose of propofol, emergence is primarily due to Redistribution not Metabolism or Excretion. Propofol is highly lipophilic and fast redistribution to other tissues such as liver and the lungs makes it unavailable to exert the sedative effect causing sudden offset from anesthetic effects during emergence.'
}</t>
  </si>
  <si>
    <t>{
""Yes"": 4 LPM
}</t>
  </si>
  <si>
    <t>{
  'Answer': 'A',
  'Explain' : 'An induction dose of ketamine, 2-3 mg/kg, is likely to produce analgesia, as its primary mechanism of action is to block certain receptors. The rapid dissociation rate and lack of prolonged sedative effects also make it a common inductant in procedures often causing considerable distress or pain, such as incision. Other effects of an induction dosage of ketamine, similar dosages are unlikely to produce changes in cerebral cortical activity (effect B), and laryngeal reflexes should still be well-maintained.'
}</t>
  </si>
  <si>
    <t>{
	'Answeed': 'A',
	'MExplanation': 'Fentanyl has a greater lipid solubility compared to Morphine with pKa pH of 5.73, resulting in a faster absorption and metabolism, leading to a decreased duration of action when compared to Morphine in IV analgesia.'
}</t>
  </si>
  <si>
    <t xml:space="preserve"> {
  'Answer': A,
  'Explain': 'The standard error of the mean, denoted by the Greek letter tau ({}, τ) or SEM ({σ}_x / sqrt{n}), is the method of measurement equal to half of the range which equals: SD / sqrt(n).  It indicates how far an estimated sample mean of the population will be. Standard Errored to the Mean Shows means that you don't known if they have the 'wrong' numbers for ""corrects that standard Errewarded errors ""'mean, ""they is going for sample data  random chance error'}
}</t>
  </si>
  <si>
    <t>{
  'Answer': 'A',
  'Explain': 'Pulse oximetry accurately reflects SaO2 in situations where indocyanine green (a contrast medium that is usually measured using pulse oximetry) is not administered. In presence of carboxyhemoglobinemia, oximetry may produce invalid readings because the abnormal state alters the absorption spectra of the measured light. Similarly, in situations with elevated levels of fetal hemoglobin, traditional puls oximetry may misestimate Oxygen saturation of hemoglobin.'
}</t>
  </si>
  <si>
    <t>{
  'Answer': 'C',
  'Explain':' Since the patient began with a bloodstream of 100 mg/dL when he or she underwent anesthesia 4-hour, and the anesthesia must usually lower a person\'s blood insulin due the absence of oral food intake, the post-anesthesia level would be the lower limit, namely mild hyprglycemia, especially during emergence at 4 hours time interval'
}</t>
  </si>
  <si>
    <t>{
  'Answer': 'C',
  'Explain': 'Option C, Ranitidine, is incorrect because it reduces stomach acid level while increasing gastric volume. Option B, Metoclopr AMD, can be used if the constipation persist that does not significantly improve. For that matter, option A, Glycopyrrolate may be associated with constipation too because it reduces muscle spasms, including esophagus, small &amp;amp;amp; large muscle but for choice, please the consta'";17292
}</t>
  </si>
  <si>
    <t>{
  'Answer': 'C,
  'Explain': 'Lowere blood gas solubility of N2O compared to desflurane enables equilibration between alveolar and inspired concentrations more rapidly, as per the information provided from page [364] highlighting factors affecting vaporizer output. While A states that high inspiratory concentrates can also expedite clearance, this advantage is unlikely to dominate N2O\'s property.\n'
}</t>
  </si>
  <si>
    <t>{
  ""Answer"": A,
  ""Explain"": ""The primary goal of denitrogenation prior to anesthetic induction is to improve matching of ventilation and perfusion by increasing oxygen reserves in the functional residual capacity (FRC) such that the lung continues to be fully oxygenated for up to 4-10 minutes after the patient's airway is lost with the first breath on ventilation, ensuring an adequatern O2 partial pressure (Pt O2). When denitrogenating during pre-re oxygenating to improve atelectatica and maintain acceptable anci oxygen (AO2)""";19542
}</t>
  </si>
  <si>
    <t>{
  ""Answer"": A,
  ""Explain"": ""The question states that the woman sustained an injury to the left recurrent laryngeal nerve during thyroidectomy. Based on this information, selection (A) Adduction of the left vocal cord at rest is the most likely postoperative finding. When the ipsilateral recurrent laryngeal nerve is injured, leading to paralysis of the affected side's adductor muscle(s), and the nerve fiber's abductor branches remain intact, abduction movement is preserved, allowing for rest and function. Hence, we can expect some degree of adduction of the opposite side.""";20345
}</t>
  </si>
  <si>
    <t>{
    'Answer': 'B',
    'Explain': 'When breathing 100% O2 for 10 minutes, the partial pressure of arterial oxygen (PaO2) tends to increase. Under normal physiology, CaO2 at equilibrium would still not reach ideal saturation, but it approaches, such as expected value 95. Therefore, it is reasonable to select option B as the ideal expectation. Other possibilities may either overrepresent or under-represent reality given given the context'
}</t>
  </si>
  <si>
    <t>{
""The Answer"": ""A"",
""Explain"": ""Flumazenil has the shortest elimination half-life, approaching the blood flow of the liver, at approximately 52-55 minutes, making it effective in reversibling the anesthetic effects of benzodiazepnes.""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</si>
</sst>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vertical="center"/>
    </xf>
    <xf borderId="0" fillId="0" fontId="5" numFmtId="0" xfId="0" applyAlignment="1" applyFont="1">
      <alignment horizontal="center" readingOrder="0" vertical="center"/>
    </xf>
    <xf borderId="6" fillId="0" fontId="5" numFmtId="0" xfId="0" applyAlignment="1" applyBorder="1" applyFont="1">
      <alignment horizontal="center" readingOrder="0" vertical="center"/>
    </xf>
    <xf borderId="7"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vertical="center"/>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0" fillId="0" fontId="3" numFmtId="0" xfId="0" applyAlignment="1" applyFont="1">
      <alignment horizontal="center" readingOrder="0"/>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0" fillId="0" fontId="5" numFmtId="0" xfId="0" applyAlignment="1" applyFont="1">
      <alignment readingOrder="0"/>
    </xf>
    <xf quotePrefix="1"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27</v>
      </c>
      <c r="C5" s="14">
        <f t="shared" si="1"/>
        <v>26</v>
      </c>
      <c r="D5" s="14">
        <f t="shared" si="1"/>
        <v>25</v>
      </c>
      <c r="E5" s="14">
        <f t="shared" si="1"/>
        <v>28</v>
      </c>
      <c r="F5" s="14">
        <f t="shared" si="1"/>
        <v>26</v>
      </c>
      <c r="G5" s="14">
        <f t="shared" si="1"/>
        <v>24</v>
      </c>
      <c r="H5" s="14">
        <f t="shared" si="1"/>
        <v>26</v>
      </c>
      <c r="I5" s="14">
        <f t="shared" si="1"/>
        <v>24</v>
      </c>
      <c r="J5" s="14">
        <f t="shared" si="1"/>
        <v>22</v>
      </c>
    </row>
    <row r="6">
      <c r="A6" s="13" t="s">
        <v>14</v>
      </c>
      <c r="B6" s="13">
        <v>46.0</v>
      </c>
      <c r="C6" s="13">
        <v>46.0</v>
      </c>
      <c r="D6" s="13">
        <v>46.0</v>
      </c>
      <c r="E6" s="13">
        <v>46.0</v>
      </c>
      <c r="F6" s="13">
        <v>46.0</v>
      </c>
      <c r="G6" s="13">
        <v>46.0</v>
      </c>
      <c r="H6" s="13">
        <v>46.0</v>
      </c>
      <c r="I6" s="13">
        <v>46.0</v>
      </c>
      <c r="J6" s="13">
        <v>46.0</v>
      </c>
    </row>
    <row r="7">
      <c r="A7" s="15" t="s">
        <v>15</v>
      </c>
      <c r="B7" s="16">
        <f t="shared" ref="B7:J7" si="2">B5/B6</f>
        <v>0.5869565217</v>
      </c>
      <c r="C7" s="16">
        <f t="shared" si="2"/>
        <v>0.5652173913</v>
      </c>
      <c r="D7" s="17">
        <f t="shared" si="2"/>
        <v>0.5434782609</v>
      </c>
      <c r="E7" s="17">
        <f t="shared" si="2"/>
        <v>0.6086956522</v>
      </c>
      <c r="F7" s="17">
        <f t="shared" si="2"/>
        <v>0.5652173913</v>
      </c>
      <c r="G7" s="17">
        <f t="shared" si="2"/>
        <v>0.5217391304</v>
      </c>
      <c r="H7" s="17">
        <f t="shared" si="2"/>
        <v>0.5652173913</v>
      </c>
      <c r="I7" s="17">
        <f t="shared" si="2"/>
        <v>0.5217391304</v>
      </c>
      <c r="J7" s="17">
        <f t="shared" si="2"/>
        <v>0.4782608696</v>
      </c>
      <c r="K7" s="18"/>
    </row>
    <row r="8">
      <c r="A8" s="19">
        <v>1.0</v>
      </c>
      <c r="B8" s="20" t="s">
        <v>16</v>
      </c>
      <c r="C8" s="21" t="s">
        <v>16</v>
      </c>
      <c r="D8" s="22" t="s">
        <v>16</v>
      </c>
      <c r="E8" s="23" t="s">
        <v>16</v>
      </c>
      <c r="F8" s="23" t="s">
        <v>16</v>
      </c>
      <c r="G8" s="23" t="s">
        <v>16</v>
      </c>
      <c r="H8" s="24" t="s">
        <v>16</v>
      </c>
      <c r="I8" s="23" t="s">
        <v>16</v>
      </c>
      <c r="J8" s="23" t="s">
        <v>16</v>
      </c>
    </row>
    <row r="9">
      <c r="A9" s="19">
        <v>2.0</v>
      </c>
      <c r="B9" s="20" t="s">
        <v>17</v>
      </c>
      <c r="C9" s="21" t="s">
        <v>17</v>
      </c>
      <c r="D9" s="25" t="s">
        <v>16</v>
      </c>
      <c r="E9" s="26" t="s">
        <v>17</v>
      </c>
      <c r="F9" s="26" t="s">
        <v>17</v>
      </c>
      <c r="G9" s="26" t="s">
        <v>17</v>
      </c>
      <c r="H9" s="27" t="s">
        <v>17</v>
      </c>
      <c r="I9" s="26" t="s">
        <v>17</v>
      </c>
      <c r="J9" s="26" t="s">
        <v>17</v>
      </c>
    </row>
    <row r="10">
      <c r="A10" s="19">
        <v>3.0</v>
      </c>
      <c r="B10" s="20" t="s">
        <v>17</v>
      </c>
      <c r="C10" s="21" t="s">
        <v>17</v>
      </c>
      <c r="D10" s="25" t="s">
        <v>17</v>
      </c>
      <c r="E10" s="26" t="s">
        <v>17</v>
      </c>
      <c r="F10" s="26" t="s">
        <v>17</v>
      </c>
      <c r="G10" s="26" t="s">
        <v>17</v>
      </c>
      <c r="H10" s="27" t="s">
        <v>17</v>
      </c>
      <c r="I10" s="26" t="s">
        <v>17</v>
      </c>
      <c r="J10" s="26" t="s">
        <v>17</v>
      </c>
    </row>
    <row r="11">
      <c r="A11" s="19">
        <v>4.0</v>
      </c>
      <c r="B11" s="20" t="s">
        <v>16</v>
      </c>
      <c r="C11" s="21" t="s">
        <v>16</v>
      </c>
      <c r="D11" s="25" t="s">
        <v>16</v>
      </c>
      <c r="E11" s="26" t="s">
        <v>16</v>
      </c>
      <c r="F11" s="26" t="s">
        <v>16</v>
      </c>
      <c r="G11" s="26" t="s">
        <v>16</v>
      </c>
      <c r="H11" s="27" t="s">
        <v>16</v>
      </c>
      <c r="I11" s="26" t="s">
        <v>16</v>
      </c>
      <c r="J11" s="26" t="s">
        <v>17</v>
      </c>
    </row>
    <row r="12">
      <c r="A12" s="19">
        <v>5.0</v>
      </c>
      <c r="B12" s="20" t="s">
        <v>17</v>
      </c>
      <c r="C12" s="21" t="s">
        <v>17</v>
      </c>
      <c r="D12" s="25" t="s">
        <v>17</v>
      </c>
      <c r="E12" s="26" t="s">
        <v>17</v>
      </c>
      <c r="F12" s="26" t="s">
        <v>17</v>
      </c>
      <c r="G12" s="26" t="s">
        <v>17</v>
      </c>
      <c r="H12" s="27" t="s">
        <v>17</v>
      </c>
      <c r="I12" s="26" t="s">
        <v>16</v>
      </c>
      <c r="J12" s="26" t="s">
        <v>16</v>
      </c>
    </row>
    <row r="13">
      <c r="A13" s="19">
        <v>6.0</v>
      </c>
      <c r="B13" s="20" t="s">
        <v>17</v>
      </c>
      <c r="C13" s="21" t="s">
        <v>17</v>
      </c>
      <c r="D13" s="25" t="s">
        <v>17</v>
      </c>
      <c r="E13" s="26" t="s">
        <v>17</v>
      </c>
      <c r="F13" s="26" t="s">
        <v>17</v>
      </c>
      <c r="G13" s="26" t="s">
        <v>17</v>
      </c>
      <c r="H13" s="27" t="s">
        <v>17</v>
      </c>
      <c r="I13" s="26" t="s">
        <v>17</v>
      </c>
      <c r="J13" s="26" t="s">
        <v>16</v>
      </c>
    </row>
    <row r="14">
      <c r="A14" s="19">
        <v>7.0</v>
      </c>
      <c r="B14" s="20" t="s">
        <v>17</v>
      </c>
      <c r="C14" s="21" t="s">
        <v>17</v>
      </c>
      <c r="D14" s="25" t="s">
        <v>17</v>
      </c>
      <c r="E14" s="26" t="s">
        <v>17</v>
      </c>
      <c r="F14" s="26" t="s">
        <v>17</v>
      </c>
      <c r="G14" s="26" t="s">
        <v>16</v>
      </c>
      <c r="H14" s="27" t="s">
        <v>17</v>
      </c>
      <c r="I14" s="26" t="s">
        <v>17</v>
      </c>
      <c r="J14" s="26" t="s">
        <v>16</v>
      </c>
    </row>
    <row r="15">
      <c r="A15" s="19">
        <v>8.0</v>
      </c>
      <c r="B15" s="20" t="s">
        <v>16</v>
      </c>
      <c r="C15" s="21" t="s">
        <v>16</v>
      </c>
      <c r="D15" s="25" t="s">
        <v>16</v>
      </c>
      <c r="E15" s="26" t="s">
        <v>17</v>
      </c>
      <c r="F15" s="26" t="s">
        <v>16</v>
      </c>
      <c r="G15" s="26" t="s">
        <v>16</v>
      </c>
      <c r="H15" s="27" t="s">
        <v>16</v>
      </c>
      <c r="I15" s="26" t="s">
        <v>16</v>
      </c>
      <c r="J15" s="26" t="s">
        <v>17</v>
      </c>
    </row>
    <row r="16">
      <c r="A16" s="19">
        <v>9.0</v>
      </c>
      <c r="B16" s="20" t="s">
        <v>16</v>
      </c>
      <c r="C16" s="21" t="s">
        <v>16</v>
      </c>
      <c r="D16" s="25" t="s">
        <v>16</v>
      </c>
      <c r="E16" s="26" t="s">
        <v>16</v>
      </c>
      <c r="F16" s="26" t="s">
        <v>16</v>
      </c>
      <c r="G16" s="26" t="s">
        <v>16</v>
      </c>
      <c r="H16" s="27" t="s">
        <v>16</v>
      </c>
      <c r="I16" s="26" t="s">
        <v>16</v>
      </c>
      <c r="J16" s="26" t="s">
        <v>16</v>
      </c>
    </row>
    <row r="17">
      <c r="A17" s="19">
        <v>10.0</v>
      </c>
      <c r="B17" s="20" t="s">
        <v>17</v>
      </c>
      <c r="C17" s="21" t="s">
        <v>16</v>
      </c>
      <c r="D17" s="25" t="s">
        <v>16</v>
      </c>
      <c r="E17" s="26" t="s">
        <v>16</v>
      </c>
      <c r="F17" s="26" t="s">
        <v>16</v>
      </c>
      <c r="G17" s="26" t="s">
        <v>16</v>
      </c>
      <c r="H17" s="27" t="s">
        <v>16</v>
      </c>
      <c r="I17" s="26" t="s">
        <v>16</v>
      </c>
      <c r="J17" s="26" t="s">
        <v>17</v>
      </c>
    </row>
    <row r="18">
      <c r="A18" s="19">
        <v>11.0</v>
      </c>
      <c r="B18" s="20" t="s">
        <v>16</v>
      </c>
      <c r="C18" s="21" t="s">
        <v>16</v>
      </c>
      <c r="D18" s="25" t="s">
        <v>16</v>
      </c>
      <c r="E18" s="26" t="s">
        <v>16</v>
      </c>
      <c r="F18" s="26" t="s">
        <v>16</v>
      </c>
      <c r="G18" s="26" t="s">
        <v>16</v>
      </c>
      <c r="H18" s="27" t="s">
        <v>16</v>
      </c>
      <c r="I18" s="26" t="s">
        <v>16</v>
      </c>
      <c r="J18" s="26" t="s">
        <v>16</v>
      </c>
    </row>
    <row r="19">
      <c r="A19" s="19">
        <v>12.0</v>
      </c>
      <c r="B19" s="20" t="s">
        <v>17</v>
      </c>
      <c r="C19" s="21" t="s">
        <v>17</v>
      </c>
      <c r="D19" s="25" t="s">
        <v>17</v>
      </c>
      <c r="E19" s="26" t="s">
        <v>17</v>
      </c>
      <c r="F19" s="26" t="s">
        <v>17</v>
      </c>
      <c r="G19" s="26" t="s">
        <v>17</v>
      </c>
      <c r="H19" s="27" t="s">
        <v>17</v>
      </c>
      <c r="I19" s="26" t="s">
        <v>17</v>
      </c>
      <c r="J19" s="26" t="s">
        <v>17</v>
      </c>
    </row>
    <row r="20">
      <c r="A20" s="19">
        <v>13.0</v>
      </c>
      <c r="B20" s="20" t="s">
        <v>17</v>
      </c>
      <c r="C20" s="21" t="s">
        <v>17</v>
      </c>
      <c r="D20" s="25" t="s">
        <v>17</v>
      </c>
      <c r="E20" s="26" t="s">
        <v>17</v>
      </c>
      <c r="F20" s="26" t="s">
        <v>17</v>
      </c>
      <c r="G20" s="26" t="s">
        <v>16</v>
      </c>
      <c r="H20" s="27" t="s">
        <v>17</v>
      </c>
      <c r="I20" s="26" t="s">
        <v>17</v>
      </c>
      <c r="J20" s="26" t="s">
        <v>17</v>
      </c>
    </row>
    <row r="21">
      <c r="A21" s="19">
        <v>14.0</v>
      </c>
      <c r="B21" s="20" t="s">
        <v>16</v>
      </c>
      <c r="C21" s="21" t="s">
        <v>16</v>
      </c>
      <c r="D21" s="25" t="s">
        <v>16</v>
      </c>
      <c r="E21" s="26" t="s">
        <v>16</v>
      </c>
      <c r="F21" s="26" t="s">
        <v>16</v>
      </c>
      <c r="G21" s="26" t="s">
        <v>16</v>
      </c>
      <c r="H21" s="27" t="s">
        <v>16</v>
      </c>
      <c r="I21" s="26" t="s">
        <v>16</v>
      </c>
      <c r="J21" s="26" t="s">
        <v>16</v>
      </c>
    </row>
    <row r="22">
      <c r="A22" s="19">
        <v>15.0</v>
      </c>
      <c r="B22" s="20" t="s">
        <v>17</v>
      </c>
      <c r="C22" s="21" t="s">
        <v>17</v>
      </c>
      <c r="D22" s="25" t="s">
        <v>17</v>
      </c>
      <c r="E22" s="26" t="s">
        <v>17</v>
      </c>
      <c r="F22" s="26" t="s">
        <v>17</v>
      </c>
      <c r="G22" s="26" t="s">
        <v>17</v>
      </c>
      <c r="H22" s="27" t="s">
        <v>17</v>
      </c>
      <c r="I22" s="26" t="s">
        <v>17</v>
      </c>
      <c r="J22" s="26" t="s">
        <v>17</v>
      </c>
    </row>
    <row r="23">
      <c r="A23" s="19">
        <v>16.0</v>
      </c>
      <c r="B23" s="20" t="s">
        <v>16</v>
      </c>
      <c r="C23" s="21" t="s">
        <v>16</v>
      </c>
      <c r="D23" s="25" t="s">
        <v>16</v>
      </c>
      <c r="E23" s="26" t="s">
        <v>16</v>
      </c>
      <c r="F23" s="26" t="s">
        <v>16</v>
      </c>
      <c r="G23" s="26" t="s">
        <v>17</v>
      </c>
      <c r="H23" s="27" t="s">
        <v>16</v>
      </c>
      <c r="I23" s="26" t="s">
        <v>17</v>
      </c>
      <c r="J23" s="26" t="s">
        <v>16</v>
      </c>
    </row>
    <row r="24">
      <c r="A24" s="19">
        <v>17.0</v>
      </c>
      <c r="B24" s="20" t="s">
        <v>16</v>
      </c>
      <c r="C24" s="21" t="s">
        <v>16</v>
      </c>
      <c r="D24" s="25" t="s">
        <v>16</v>
      </c>
      <c r="E24" s="26" t="s">
        <v>16</v>
      </c>
      <c r="F24" s="26" t="s">
        <v>16</v>
      </c>
      <c r="G24" s="26" t="s">
        <v>16</v>
      </c>
      <c r="H24" s="27" t="s">
        <v>16</v>
      </c>
      <c r="I24" s="26" t="s">
        <v>16</v>
      </c>
      <c r="J24" s="26" t="s">
        <v>16</v>
      </c>
    </row>
    <row r="25">
      <c r="A25" s="19">
        <v>18.0</v>
      </c>
      <c r="B25" s="20" t="s">
        <v>17</v>
      </c>
      <c r="C25" s="21" t="s">
        <v>17</v>
      </c>
      <c r="D25" s="25" t="s">
        <v>17</v>
      </c>
      <c r="E25" s="26" t="s">
        <v>17</v>
      </c>
      <c r="F25" s="26" t="s">
        <v>17</v>
      </c>
      <c r="G25" s="26" t="s">
        <v>17</v>
      </c>
      <c r="H25" s="27" t="s">
        <v>17</v>
      </c>
      <c r="I25" s="26" t="s">
        <v>17</v>
      </c>
      <c r="J25" s="26" t="s">
        <v>17</v>
      </c>
    </row>
    <row r="26">
      <c r="A26" s="19">
        <v>19.0</v>
      </c>
      <c r="B26" s="20" t="s">
        <v>16</v>
      </c>
      <c r="C26" s="21" t="s">
        <v>16</v>
      </c>
      <c r="D26" s="25" t="s">
        <v>16</v>
      </c>
      <c r="E26" s="26" t="s">
        <v>16</v>
      </c>
      <c r="F26" s="26" t="s">
        <v>16</v>
      </c>
      <c r="G26" s="26" t="s">
        <v>17</v>
      </c>
      <c r="H26" s="27" t="s">
        <v>16</v>
      </c>
      <c r="I26" s="26" t="s">
        <v>16</v>
      </c>
      <c r="J26" s="26" t="s">
        <v>17</v>
      </c>
    </row>
    <row r="27">
      <c r="A27" s="19">
        <v>20.0</v>
      </c>
      <c r="B27" s="20" t="s">
        <v>16</v>
      </c>
      <c r="C27" s="21" t="s">
        <v>16</v>
      </c>
      <c r="D27" s="25" t="s">
        <v>16</v>
      </c>
      <c r="E27" s="26" t="s">
        <v>16</v>
      </c>
      <c r="F27" s="26" t="s">
        <v>16</v>
      </c>
      <c r="G27" s="26" t="s">
        <v>16</v>
      </c>
      <c r="H27" s="27" t="s">
        <v>16</v>
      </c>
      <c r="I27" s="26" t="s">
        <v>16</v>
      </c>
      <c r="J27" s="26" t="s">
        <v>17</v>
      </c>
    </row>
    <row r="28">
      <c r="A28" s="19">
        <v>21.0</v>
      </c>
      <c r="B28" s="20" t="s">
        <v>16</v>
      </c>
      <c r="C28" s="21" t="s">
        <v>16</v>
      </c>
      <c r="D28" s="25" t="s">
        <v>16</v>
      </c>
      <c r="E28" s="26" t="s">
        <v>16</v>
      </c>
      <c r="F28" s="26" t="s">
        <v>16</v>
      </c>
      <c r="G28" s="26" t="s">
        <v>16</v>
      </c>
      <c r="H28" s="27" t="s">
        <v>16</v>
      </c>
      <c r="I28" s="26" t="s">
        <v>16</v>
      </c>
      <c r="J28" s="26" t="s">
        <v>16</v>
      </c>
    </row>
    <row r="29">
      <c r="A29" s="19">
        <v>22.0</v>
      </c>
      <c r="B29" s="20" t="s">
        <v>17</v>
      </c>
      <c r="C29" s="21" t="s">
        <v>17</v>
      </c>
      <c r="D29" s="25" t="s">
        <v>17</v>
      </c>
      <c r="E29" s="26" t="s">
        <v>17</v>
      </c>
      <c r="F29" s="26" t="s">
        <v>17</v>
      </c>
      <c r="G29" s="26" t="s">
        <v>17</v>
      </c>
      <c r="H29" s="27" t="s">
        <v>17</v>
      </c>
      <c r="I29" s="26" t="s">
        <v>17</v>
      </c>
      <c r="J29" s="26" t="s">
        <v>17</v>
      </c>
    </row>
    <row r="30">
      <c r="A30" s="19">
        <v>23.0</v>
      </c>
      <c r="B30" s="20" t="s">
        <v>17</v>
      </c>
      <c r="C30" s="21" t="s">
        <v>17</v>
      </c>
      <c r="D30" s="25" t="s">
        <v>17</v>
      </c>
      <c r="E30" s="26" t="s">
        <v>17</v>
      </c>
      <c r="F30" s="26" t="s">
        <v>17</v>
      </c>
      <c r="G30" s="26" t="s">
        <v>17</v>
      </c>
      <c r="H30" s="27" t="s">
        <v>17</v>
      </c>
      <c r="I30" s="26" t="s">
        <v>17</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16</v>
      </c>
      <c r="H32" s="27" t="s">
        <v>16</v>
      </c>
      <c r="I32" s="26" t="s">
        <v>16</v>
      </c>
      <c r="J32" s="26" t="s">
        <v>16</v>
      </c>
    </row>
    <row r="33">
      <c r="A33" s="19">
        <v>26.0</v>
      </c>
      <c r="B33" s="20" t="s">
        <v>16</v>
      </c>
      <c r="C33" s="21" t="s">
        <v>16</v>
      </c>
      <c r="D33" s="25" t="s">
        <v>16</v>
      </c>
      <c r="E33" s="26" t="s">
        <v>16</v>
      </c>
      <c r="F33" s="26" t="s">
        <v>16</v>
      </c>
      <c r="G33" s="26" t="s">
        <v>16</v>
      </c>
      <c r="H33" s="27" t="s">
        <v>16</v>
      </c>
      <c r="I33" s="26" t="s">
        <v>16</v>
      </c>
      <c r="J33" s="26" t="s">
        <v>16</v>
      </c>
    </row>
    <row r="34">
      <c r="A34" s="19">
        <v>27.0</v>
      </c>
      <c r="B34" s="20" t="s">
        <v>17</v>
      </c>
      <c r="C34" s="21" t="s">
        <v>17</v>
      </c>
      <c r="D34" s="25" t="s">
        <v>17</v>
      </c>
      <c r="E34" s="26" t="s">
        <v>17</v>
      </c>
      <c r="F34" s="26" t="s">
        <v>17</v>
      </c>
      <c r="G34" s="26" t="s">
        <v>17</v>
      </c>
      <c r="H34" s="27" t="s">
        <v>17</v>
      </c>
      <c r="I34" s="26" t="s">
        <v>17</v>
      </c>
      <c r="J34" s="26" t="s">
        <v>17</v>
      </c>
    </row>
    <row r="35">
      <c r="A35" s="19">
        <v>28.0</v>
      </c>
      <c r="B35" s="20" t="s">
        <v>17</v>
      </c>
      <c r="C35" s="21" t="s">
        <v>17</v>
      </c>
      <c r="D35" s="25" t="s">
        <v>17</v>
      </c>
      <c r="E35" s="26" t="s">
        <v>17</v>
      </c>
      <c r="F35" s="26" t="s">
        <v>17</v>
      </c>
      <c r="G35" s="26" t="s">
        <v>17</v>
      </c>
      <c r="H35" s="27" t="s">
        <v>17</v>
      </c>
      <c r="I35" s="26" t="s">
        <v>17</v>
      </c>
      <c r="J35" s="26" t="s">
        <v>17</v>
      </c>
    </row>
    <row r="36">
      <c r="A36" s="19">
        <v>29.0</v>
      </c>
      <c r="B36" s="20" t="s">
        <v>17</v>
      </c>
      <c r="C36" s="21" t="s">
        <v>17</v>
      </c>
      <c r="D36" s="25" t="s">
        <v>17</v>
      </c>
      <c r="E36" s="26" t="s">
        <v>17</v>
      </c>
      <c r="F36" s="26" t="s">
        <v>17</v>
      </c>
      <c r="G36" s="26" t="s">
        <v>17</v>
      </c>
      <c r="H36" s="27" t="s">
        <v>17</v>
      </c>
      <c r="I36" s="26" t="s">
        <v>17</v>
      </c>
      <c r="J36" s="26" t="s">
        <v>17</v>
      </c>
    </row>
    <row r="37">
      <c r="A37" s="19">
        <v>30.0</v>
      </c>
      <c r="B37" s="20" t="s">
        <v>16</v>
      </c>
      <c r="C37" s="21" t="s">
        <v>16</v>
      </c>
      <c r="D37" s="25" t="s">
        <v>16</v>
      </c>
      <c r="E37" s="26" t="s">
        <v>16</v>
      </c>
      <c r="F37" s="26" t="s">
        <v>16</v>
      </c>
      <c r="G37" s="26" t="s">
        <v>16</v>
      </c>
      <c r="H37" s="27" t="s">
        <v>16</v>
      </c>
      <c r="I37" s="26" t="s">
        <v>16</v>
      </c>
      <c r="J37" s="26" t="s">
        <v>16</v>
      </c>
    </row>
    <row r="38">
      <c r="A38" s="19">
        <v>31.0</v>
      </c>
      <c r="B38" s="20" t="s">
        <v>16</v>
      </c>
      <c r="C38" s="21" t="s">
        <v>16</v>
      </c>
      <c r="D38" s="25" t="s">
        <v>16</v>
      </c>
      <c r="E38" s="26" t="s">
        <v>16</v>
      </c>
      <c r="F38" s="26" t="s">
        <v>16</v>
      </c>
      <c r="G38" s="26" t="s">
        <v>16</v>
      </c>
      <c r="H38" s="27" t="s">
        <v>16</v>
      </c>
      <c r="I38" s="26" t="s">
        <v>16</v>
      </c>
      <c r="J38" s="26" t="s">
        <v>16</v>
      </c>
    </row>
    <row r="39">
      <c r="A39" s="19">
        <v>32.0</v>
      </c>
      <c r="B39" s="20" t="s">
        <v>17</v>
      </c>
      <c r="C39" s="21" t="s">
        <v>17</v>
      </c>
      <c r="D39" s="25" t="s">
        <v>17</v>
      </c>
      <c r="E39" s="26" t="s">
        <v>17</v>
      </c>
      <c r="F39" s="26" t="s">
        <v>17</v>
      </c>
      <c r="G39" s="26" t="s">
        <v>17</v>
      </c>
      <c r="H39" s="27" t="s">
        <v>17</v>
      </c>
      <c r="I39" s="26" t="s">
        <v>17</v>
      </c>
      <c r="J39" s="26" t="s">
        <v>16</v>
      </c>
    </row>
    <row r="40">
      <c r="A40" s="19">
        <v>33.0</v>
      </c>
      <c r="B40" s="20" t="s">
        <v>17</v>
      </c>
      <c r="C40" s="21" t="s">
        <v>17</v>
      </c>
      <c r="D40" s="25" t="s">
        <v>17</v>
      </c>
      <c r="E40" s="26" t="s">
        <v>17</v>
      </c>
      <c r="F40" s="26" t="s">
        <v>17</v>
      </c>
      <c r="G40" s="26" t="s">
        <v>16</v>
      </c>
      <c r="H40" s="27" t="s">
        <v>17</v>
      </c>
      <c r="I40" s="26" t="s">
        <v>16</v>
      </c>
      <c r="J40" s="26" t="s">
        <v>16</v>
      </c>
    </row>
    <row r="41">
      <c r="A41" s="19">
        <v>34.0</v>
      </c>
      <c r="B41" s="20" t="s">
        <v>17</v>
      </c>
      <c r="C41" s="21" t="s">
        <v>17</v>
      </c>
      <c r="D41" s="25" t="s">
        <v>17</v>
      </c>
      <c r="E41" s="26" t="s">
        <v>17</v>
      </c>
      <c r="F41" s="26" t="s">
        <v>17</v>
      </c>
      <c r="G41" s="26" t="s">
        <v>17</v>
      </c>
      <c r="H41" s="27" t="s">
        <v>17</v>
      </c>
      <c r="I41" s="26" t="s">
        <v>17</v>
      </c>
      <c r="J41" s="26" t="s">
        <v>17</v>
      </c>
    </row>
    <row r="42">
      <c r="A42" s="19">
        <v>35.0</v>
      </c>
      <c r="B42" s="20" t="s">
        <v>17</v>
      </c>
      <c r="C42" s="21" t="s">
        <v>17</v>
      </c>
      <c r="D42" s="25" t="s">
        <v>17</v>
      </c>
      <c r="E42" s="26" t="s">
        <v>17</v>
      </c>
      <c r="F42" s="26" t="s">
        <v>17</v>
      </c>
      <c r="G42" s="26" t="s">
        <v>17</v>
      </c>
      <c r="H42" s="27" t="s">
        <v>17</v>
      </c>
      <c r="I42" s="26" t="s">
        <v>17</v>
      </c>
      <c r="J42" s="26" t="s">
        <v>16</v>
      </c>
    </row>
    <row r="43">
      <c r="A43" s="19">
        <v>36.0</v>
      </c>
      <c r="B43" s="20" t="s">
        <v>17</v>
      </c>
      <c r="C43" s="21" t="s">
        <v>17</v>
      </c>
      <c r="D43" s="25" t="s">
        <v>17</v>
      </c>
      <c r="E43" s="26" t="s">
        <v>17</v>
      </c>
      <c r="F43" s="26" t="s">
        <v>17</v>
      </c>
      <c r="G43" s="26" t="s">
        <v>17</v>
      </c>
      <c r="H43" s="27" t="s">
        <v>17</v>
      </c>
      <c r="I43" s="26" t="s">
        <v>17</v>
      </c>
      <c r="J43" s="26" t="s">
        <v>17</v>
      </c>
    </row>
    <row r="44">
      <c r="A44" s="19">
        <v>37.0</v>
      </c>
      <c r="B44" s="20" t="s">
        <v>16</v>
      </c>
      <c r="C44" s="21" t="s">
        <v>16</v>
      </c>
      <c r="D44" s="25" t="s">
        <v>16</v>
      </c>
      <c r="E44" s="26" t="s">
        <v>16</v>
      </c>
      <c r="F44" s="26" t="s">
        <v>16</v>
      </c>
      <c r="G44" s="26" t="s">
        <v>16</v>
      </c>
      <c r="H44" s="27" t="s">
        <v>16</v>
      </c>
      <c r="I44" s="26" t="s">
        <v>16</v>
      </c>
      <c r="J44" s="26" t="s">
        <v>17</v>
      </c>
    </row>
    <row r="45">
      <c r="A45" s="19">
        <v>38.0</v>
      </c>
      <c r="B45" s="20" t="s">
        <v>17</v>
      </c>
      <c r="C45" s="21" t="s">
        <v>17</v>
      </c>
      <c r="D45" s="25" t="s">
        <v>17</v>
      </c>
      <c r="E45" s="26" t="s">
        <v>17</v>
      </c>
      <c r="F45" s="26" t="s">
        <v>17</v>
      </c>
      <c r="G45" s="26" t="s">
        <v>17</v>
      </c>
      <c r="H45" s="27" t="s">
        <v>17</v>
      </c>
      <c r="I45" s="26" t="s">
        <v>17</v>
      </c>
      <c r="J45" s="26" t="s">
        <v>17</v>
      </c>
    </row>
    <row r="46">
      <c r="A46" s="19">
        <v>39.0</v>
      </c>
      <c r="B46" s="20" t="s">
        <v>17</v>
      </c>
      <c r="C46" s="21" t="s">
        <v>17</v>
      </c>
      <c r="D46" s="25" t="s">
        <v>17</v>
      </c>
      <c r="E46" s="26" t="s">
        <v>17</v>
      </c>
      <c r="F46" s="26" t="s">
        <v>17</v>
      </c>
      <c r="G46" s="26" t="s">
        <v>17</v>
      </c>
      <c r="H46" s="27" t="s">
        <v>17</v>
      </c>
      <c r="I46" s="26" t="s">
        <v>16</v>
      </c>
      <c r="J46" s="26" t="s">
        <v>16</v>
      </c>
    </row>
    <row r="47">
      <c r="A47" s="19">
        <v>40.0</v>
      </c>
      <c r="B47" s="20" t="s">
        <v>16</v>
      </c>
      <c r="C47" s="21" t="s">
        <v>16</v>
      </c>
      <c r="D47" s="25" t="s">
        <v>16</v>
      </c>
      <c r="E47" s="26" t="s">
        <v>17</v>
      </c>
      <c r="F47" s="26" t="s">
        <v>16</v>
      </c>
      <c r="G47" s="26" t="s">
        <v>16</v>
      </c>
      <c r="H47" s="27" t="s">
        <v>16</v>
      </c>
      <c r="I47" s="26" t="s">
        <v>16</v>
      </c>
      <c r="J47" s="26" t="s">
        <v>16</v>
      </c>
    </row>
    <row r="48">
      <c r="A48" s="19">
        <v>41.0</v>
      </c>
      <c r="B48" s="20" t="s">
        <v>17</v>
      </c>
      <c r="C48" s="21" t="s">
        <v>17</v>
      </c>
      <c r="D48" s="25" t="s">
        <v>17</v>
      </c>
      <c r="E48" s="26" t="s">
        <v>17</v>
      </c>
      <c r="F48" s="26" t="s">
        <v>17</v>
      </c>
      <c r="G48" s="26" t="s">
        <v>17</v>
      </c>
      <c r="H48" s="27" t="s">
        <v>17</v>
      </c>
      <c r="I48" s="26" t="s">
        <v>17</v>
      </c>
      <c r="J48" s="26" t="s">
        <v>17</v>
      </c>
    </row>
    <row r="49">
      <c r="A49" s="19">
        <v>42.0</v>
      </c>
      <c r="B49" s="20" t="s">
        <v>16</v>
      </c>
      <c r="C49" s="21" t="s">
        <v>16</v>
      </c>
      <c r="D49" s="25" t="s">
        <v>16</v>
      </c>
      <c r="E49" s="26" t="s">
        <v>16</v>
      </c>
      <c r="F49" s="26" t="s">
        <v>16</v>
      </c>
      <c r="G49" s="26" t="s">
        <v>16</v>
      </c>
      <c r="H49" s="27" t="s">
        <v>16</v>
      </c>
      <c r="I49" s="26" t="s">
        <v>16</v>
      </c>
      <c r="J49" s="26" t="s">
        <v>16</v>
      </c>
    </row>
    <row r="50">
      <c r="A50" s="19">
        <v>43.0</v>
      </c>
      <c r="B50" s="20" t="s">
        <v>17</v>
      </c>
      <c r="C50" s="21" t="s">
        <v>17</v>
      </c>
      <c r="D50" s="25" t="s">
        <v>17</v>
      </c>
      <c r="E50" s="26" t="s">
        <v>17</v>
      </c>
      <c r="F50" s="26" t="s">
        <v>17</v>
      </c>
      <c r="G50" s="26" t="s">
        <v>16</v>
      </c>
      <c r="H50" s="27" t="s">
        <v>17</v>
      </c>
      <c r="I50" s="26" t="s">
        <v>17</v>
      </c>
      <c r="J50" s="26" t="s">
        <v>16</v>
      </c>
    </row>
    <row r="51">
      <c r="A51" s="19">
        <v>44.0</v>
      </c>
      <c r="B51" s="20" t="s">
        <v>17</v>
      </c>
      <c r="C51" s="21" t="s">
        <v>17</v>
      </c>
      <c r="D51" s="25" t="s">
        <v>17</v>
      </c>
      <c r="E51" s="26" t="s">
        <v>17</v>
      </c>
      <c r="F51" s="26" t="s">
        <v>17</v>
      </c>
      <c r="G51" s="26" t="s">
        <v>17</v>
      </c>
      <c r="H51" s="27" t="s">
        <v>17</v>
      </c>
      <c r="I51" s="26" t="s">
        <v>17</v>
      </c>
      <c r="J51" s="26" t="s">
        <v>17</v>
      </c>
    </row>
    <row r="52">
      <c r="A52" s="19">
        <v>45.0</v>
      </c>
      <c r="B52" s="20" t="s">
        <v>17</v>
      </c>
      <c r="C52" s="21" t="s">
        <v>17</v>
      </c>
      <c r="D52" s="25" t="s">
        <v>17</v>
      </c>
      <c r="E52" s="26" t="s">
        <v>17</v>
      </c>
      <c r="F52" s="26" t="s">
        <v>17</v>
      </c>
      <c r="G52" s="26" t="s">
        <v>17</v>
      </c>
      <c r="H52" s="27" t="s">
        <v>17</v>
      </c>
      <c r="I52" s="26" t="s">
        <v>17</v>
      </c>
      <c r="J52" s="26" t="s">
        <v>16</v>
      </c>
    </row>
    <row r="53">
      <c r="A53" s="19">
        <v>46.0</v>
      </c>
      <c r="B53" s="20" t="s">
        <v>17</v>
      </c>
      <c r="C53" s="21" t="s">
        <v>17</v>
      </c>
      <c r="D53" s="28" t="s">
        <v>17</v>
      </c>
      <c r="E53" s="29" t="s">
        <v>17</v>
      </c>
      <c r="F53" s="29" t="s">
        <v>17</v>
      </c>
      <c r="G53" s="29" t="s">
        <v>17</v>
      </c>
      <c r="H53" s="30" t="s">
        <v>17</v>
      </c>
      <c r="I53" s="29" t="s">
        <v>17</v>
      </c>
      <c r="J53" s="29" t="s">
        <v>17</v>
      </c>
    </row>
    <row r="54">
      <c r="A54" s="31"/>
      <c r="B54" s="31"/>
      <c r="C54" s="31"/>
      <c r="D54" s="31"/>
    </row>
    <row r="55">
      <c r="A55" s="31"/>
      <c r="B55" s="31"/>
      <c r="C55" s="31"/>
      <c r="D55" s="31"/>
    </row>
    <row r="56">
      <c r="A56" s="31"/>
      <c r="B56" s="31"/>
      <c r="C56" s="31"/>
      <c r="D56" s="31"/>
    </row>
    <row r="57">
      <c r="A57" s="31"/>
      <c r="B57" s="31"/>
      <c r="C57" s="31"/>
      <c r="D57" s="31"/>
    </row>
    <row r="58">
      <c r="A58" s="31"/>
      <c r="B58" s="31"/>
      <c r="C58" s="31"/>
      <c r="D58" s="31"/>
    </row>
    <row r="59">
      <c r="A59" s="31"/>
      <c r="B59" s="31"/>
      <c r="C59" s="31"/>
      <c r="D59" s="31"/>
    </row>
    <row r="60">
      <c r="A60" s="31"/>
      <c r="B60" s="31"/>
      <c r="C60" s="31"/>
      <c r="D60" s="31"/>
    </row>
    <row r="61">
      <c r="A61" s="31"/>
      <c r="B61" s="31"/>
      <c r="C61" s="31"/>
      <c r="D61" s="31"/>
    </row>
    <row r="62">
      <c r="A62" s="31"/>
      <c r="B62" s="31"/>
      <c r="C62" s="31"/>
      <c r="D62" s="31"/>
    </row>
    <row r="63">
      <c r="A63" s="31"/>
      <c r="B63" s="31"/>
      <c r="C63" s="31"/>
      <c r="D63" s="31"/>
    </row>
    <row r="64">
      <c r="A64" s="31"/>
      <c r="B64" s="31"/>
      <c r="C64" s="31"/>
      <c r="D64" s="31"/>
    </row>
    <row r="65">
      <c r="A65" s="31"/>
      <c r="B65" s="31"/>
      <c r="C65" s="31"/>
      <c r="D65" s="31"/>
    </row>
    <row r="66">
      <c r="A66" s="31"/>
      <c r="B66" s="31"/>
      <c r="C66" s="31"/>
      <c r="D66" s="31"/>
    </row>
    <row r="67">
      <c r="A67" s="31"/>
      <c r="B67" s="31"/>
      <c r="C67" s="31"/>
      <c r="D67" s="31"/>
    </row>
    <row r="68">
      <c r="A68" s="31"/>
      <c r="B68" s="31"/>
      <c r="C68" s="31"/>
      <c r="D68" s="31"/>
    </row>
    <row r="69">
      <c r="A69" s="31"/>
      <c r="B69" s="31"/>
      <c r="C69" s="31"/>
      <c r="D69" s="31"/>
    </row>
    <row r="70">
      <c r="A70" s="31"/>
      <c r="B70" s="31"/>
      <c r="C70" s="31"/>
      <c r="D70" s="31"/>
    </row>
    <row r="71">
      <c r="A71" s="31"/>
      <c r="B71" s="31"/>
      <c r="C71" s="31"/>
      <c r="D71" s="31"/>
    </row>
    <row r="72">
      <c r="A72" s="31"/>
      <c r="B72" s="31"/>
      <c r="C72" s="31"/>
      <c r="D72" s="31"/>
    </row>
    <row r="73">
      <c r="A73" s="31"/>
      <c r="B73" s="31"/>
      <c r="C73" s="31"/>
      <c r="D73" s="31"/>
    </row>
    <row r="74">
      <c r="A74" s="31"/>
      <c r="B74" s="31"/>
      <c r="C74" s="31"/>
      <c r="D74" s="31"/>
    </row>
    <row r="75">
      <c r="A75" s="31"/>
      <c r="B75" s="31"/>
      <c r="C75" s="31"/>
      <c r="D75" s="31"/>
    </row>
    <row r="76">
      <c r="A76" s="31"/>
      <c r="B76" s="31"/>
      <c r="C76" s="31"/>
      <c r="D76" s="31"/>
    </row>
    <row r="77">
      <c r="A77" s="31"/>
      <c r="B77" s="31"/>
      <c r="C77" s="31"/>
      <c r="D77" s="31"/>
    </row>
    <row r="78">
      <c r="A78" s="31"/>
      <c r="B78" s="31"/>
      <c r="C78" s="31"/>
      <c r="D78" s="31"/>
    </row>
    <row r="79">
      <c r="A79" s="31"/>
      <c r="B79" s="31"/>
      <c r="C79" s="31"/>
      <c r="D79" s="31"/>
    </row>
    <row r="80">
      <c r="A80" s="31"/>
      <c r="B80" s="31"/>
      <c r="C80" s="31"/>
      <c r="D80" s="31"/>
    </row>
    <row r="81">
      <c r="A81" s="31"/>
      <c r="B81" s="31"/>
      <c r="C81" s="31"/>
      <c r="D81" s="31"/>
    </row>
    <row r="82">
      <c r="A82" s="31"/>
      <c r="B82" s="31"/>
      <c r="C82" s="31"/>
      <c r="D82" s="31"/>
    </row>
    <row r="83">
      <c r="A83" s="31"/>
      <c r="B83" s="31"/>
      <c r="C83" s="31"/>
      <c r="D83" s="31"/>
    </row>
    <row r="84">
      <c r="A84" s="31"/>
      <c r="B84" s="31"/>
      <c r="C84" s="31"/>
      <c r="D84" s="31"/>
    </row>
    <row r="85">
      <c r="A85" s="31"/>
      <c r="B85" s="31"/>
      <c r="C85" s="31"/>
      <c r="D85" s="31"/>
    </row>
    <row r="86">
      <c r="A86" s="31"/>
      <c r="B86" s="31"/>
      <c r="C86" s="31"/>
      <c r="D86" s="31"/>
    </row>
    <row r="87">
      <c r="A87" s="31"/>
      <c r="B87" s="31"/>
      <c r="C87" s="31"/>
      <c r="D87" s="31"/>
    </row>
    <row r="88">
      <c r="A88" s="31"/>
      <c r="B88" s="31"/>
      <c r="C88" s="31"/>
      <c r="D88" s="31"/>
    </row>
    <row r="89">
      <c r="A89" s="31"/>
      <c r="B89" s="31"/>
      <c r="C89" s="31"/>
      <c r="D89" s="31"/>
    </row>
    <row r="90">
      <c r="A90" s="31"/>
      <c r="B90" s="31"/>
      <c r="C90" s="31"/>
      <c r="D90" s="31"/>
    </row>
    <row r="91">
      <c r="A91" s="31"/>
      <c r="B91" s="31"/>
      <c r="C91" s="31"/>
      <c r="D91" s="31"/>
    </row>
    <row r="92">
      <c r="A92" s="31"/>
      <c r="B92" s="31"/>
      <c r="C92" s="31"/>
      <c r="D92" s="31"/>
    </row>
    <row r="93">
      <c r="A93" s="31"/>
      <c r="B93" s="31"/>
      <c r="C93" s="31"/>
      <c r="D93" s="31"/>
    </row>
    <row r="94">
      <c r="A94" s="31"/>
      <c r="B94" s="31"/>
      <c r="C94" s="31"/>
      <c r="D94" s="31"/>
    </row>
    <row r="95">
      <c r="A95" s="31"/>
      <c r="B95" s="31"/>
      <c r="C95" s="31"/>
      <c r="D95" s="31"/>
    </row>
    <row r="96">
      <c r="A96" s="31"/>
      <c r="B96" s="31"/>
      <c r="C96" s="31"/>
      <c r="D96" s="31"/>
    </row>
    <row r="97">
      <c r="A97" s="31"/>
      <c r="B97" s="31"/>
      <c r="C97" s="31"/>
      <c r="D97" s="31"/>
    </row>
    <row r="98">
      <c r="A98" s="31"/>
      <c r="B98" s="31"/>
      <c r="C98" s="31"/>
      <c r="D98" s="31"/>
    </row>
    <row r="99">
      <c r="A99" s="31"/>
      <c r="B99" s="31"/>
      <c r="C99" s="31"/>
      <c r="D99" s="31"/>
    </row>
    <row r="100">
      <c r="A100" s="31"/>
      <c r="B100" s="31"/>
      <c r="C100" s="31"/>
      <c r="D100" s="31"/>
    </row>
    <row r="101">
      <c r="A101" s="31"/>
      <c r="B101" s="31"/>
      <c r="C101" s="31"/>
      <c r="D101" s="31"/>
    </row>
    <row r="102">
      <c r="A102" s="31"/>
      <c r="B102" s="31"/>
      <c r="C102" s="31"/>
      <c r="D102" s="31"/>
    </row>
    <row r="103">
      <c r="A103" s="31"/>
      <c r="B103" s="31"/>
      <c r="C103" s="31"/>
      <c r="D103" s="31"/>
    </row>
    <row r="104">
      <c r="A104" s="31"/>
      <c r="B104" s="31"/>
      <c r="C104" s="31"/>
      <c r="D104" s="31"/>
    </row>
    <row r="105">
      <c r="A105" s="31"/>
      <c r="B105" s="31"/>
      <c r="C105" s="31"/>
      <c r="D105" s="31"/>
    </row>
    <row r="106">
      <c r="A106" s="31"/>
      <c r="B106" s="31"/>
      <c r="C106" s="31"/>
      <c r="D106" s="31"/>
    </row>
    <row r="107">
      <c r="A107" s="31"/>
      <c r="B107" s="31"/>
      <c r="C107" s="31"/>
      <c r="D107" s="31"/>
    </row>
    <row r="108">
      <c r="A108" s="31"/>
      <c r="B108" s="31"/>
      <c r="C108" s="31"/>
      <c r="D108" s="31"/>
    </row>
    <row r="109">
      <c r="A109" s="31"/>
      <c r="B109" s="31"/>
      <c r="C109" s="31"/>
      <c r="D109" s="31"/>
    </row>
    <row r="110">
      <c r="A110" s="31"/>
      <c r="B110" s="31"/>
      <c r="C110" s="31"/>
      <c r="D110" s="31"/>
    </row>
    <row r="111">
      <c r="A111" s="31"/>
      <c r="B111" s="31"/>
      <c r="C111" s="31"/>
      <c r="D111" s="31"/>
    </row>
    <row r="112">
      <c r="A112" s="31"/>
      <c r="B112" s="31"/>
      <c r="C112" s="31"/>
      <c r="D112" s="31"/>
    </row>
    <row r="113">
      <c r="A113" s="31"/>
      <c r="B113" s="31"/>
      <c r="C113" s="31"/>
      <c r="D113" s="31"/>
    </row>
    <row r="114">
      <c r="A114" s="31"/>
      <c r="B114" s="31"/>
      <c r="C114" s="31"/>
      <c r="D114" s="31"/>
    </row>
    <row r="115">
      <c r="A115" s="31"/>
      <c r="B115" s="31"/>
      <c r="C115" s="31"/>
      <c r="D115" s="31"/>
    </row>
    <row r="116">
      <c r="A116" s="31"/>
      <c r="B116" s="31"/>
      <c r="C116" s="31"/>
      <c r="D116" s="31"/>
    </row>
    <row r="117">
      <c r="A117" s="31"/>
      <c r="B117" s="31"/>
      <c r="C117" s="31"/>
      <c r="D117" s="31"/>
    </row>
    <row r="118">
      <c r="A118" s="31"/>
      <c r="B118" s="31"/>
      <c r="C118" s="31"/>
      <c r="D118" s="31"/>
    </row>
    <row r="119">
      <c r="A119" s="31"/>
      <c r="B119" s="31"/>
      <c r="C119" s="31"/>
      <c r="D119" s="31"/>
    </row>
    <row r="120">
      <c r="A120" s="31"/>
      <c r="B120" s="31"/>
      <c r="C120" s="31"/>
      <c r="D120" s="31"/>
    </row>
    <row r="121">
      <c r="A121" s="31"/>
      <c r="B121" s="31"/>
      <c r="C121" s="31"/>
      <c r="D121" s="31"/>
    </row>
    <row r="122">
      <c r="A122" s="31"/>
      <c r="B122" s="31"/>
      <c r="C122" s="31"/>
      <c r="D122" s="31"/>
    </row>
    <row r="123">
      <c r="A123" s="31"/>
      <c r="B123" s="31"/>
      <c r="C123" s="31"/>
      <c r="D123" s="31"/>
    </row>
    <row r="124">
      <c r="A124" s="31"/>
      <c r="B124" s="31"/>
      <c r="C124" s="31"/>
      <c r="D124" s="31"/>
    </row>
    <row r="125">
      <c r="A125" s="31"/>
      <c r="B125" s="31"/>
      <c r="C125" s="31"/>
      <c r="D125" s="31"/>
    </row>
    <row r="126">
      <c r="A126" s="31"/>
      <c r="B126" s="31"/>
      <c r="C126" s="31"/>
      <c r="D126" s="31"/>
    </row>
    <row r="127">
      <c r="A127" s="31"/>
      <c r="B127" s="31"/>
      <c r="C127" s="31"/>
      <c r="D127" s="31"/>
    </row>
    <row r="128">
      <c r="A128" s="31"/>
      <c r="B128" s="31"/>
      <c r="C128" s="31"/>
      <c r="D128" s="31"/>
    </row>
    <row r="129">
      <c r="A129" s="31"/>
      <c r="B129" s="31"/>
      <c r="C129" s="31"/>
      <c r="D129" s="31"/>
    </row>
    <row r="130">
      <c r="A130" s="31"/>
      <c r="B130" s="31"/>
      <c r="C130" s="31"/>
      <c r="D130" s="31"/>
    </row>
    <row r="131">
      <c r="A131" s="31"/>
      <c r="B131" s="31"/>
      <c r="C131" s="31"/>
      <c r="D131" s="31"/>
    </row>
    <row r="132">
      <c r="A132" s="31"/>
      <c r="B132" s="31"/>
      <c r="C132" s="31"/>
      <c r="D132" s="31"/>
    </row>
    <row r="133">
      <c r="A133" s="31"/>
      <c r="B133" s="31"/>
      <c r="C133" s="31"/>
      <c r="D133" s="31"/>
    </row>
    <row r="134">
      <c r="A134" s="31"/>
      <c r="B134" s="31"/>
      <c r="C134" s="31"/>
      <c r="D134" s="31"/>
    </row>
    <row r="135">
      <c r="A135" s="31"/>
      <c r="B135" s="31"/>
      <c r="C135" s="31"/>
      <c r="D135" s="31"/>
    </row>
    <row r="136">
      <c r="A136" s="31"/>
      <c r="B136" s="31"/>
      <c r="C136" s="31"/>
      <c r="D136" s="31"/>
    </row>
    <row r="137">
      <c r="A137" s="31"/>
      <c r="B137" s="31"/>
      <c r="C137" s="31"/>
      <c r="D137" s="31"/>
    </row>
    <row r="138">
      <c r="A138" s="31"/>
      <c r="B138" s="31"/>
      <c r="C138" s="31"/>
      <c r="D138" s="31"/>
    </row>
    <row r="139">
      <c r="A139" s="31"/>
      <c r="B139" s="31"/>
      <c r="C139" s="31"/>
      <c r="D139" s="31"/>
    </row>
    <row r="140">
      <c r="A140" s="31"/>
      <c r="B140" s="31"/>
      <c r="C140" s="31"/>
      <c r="D140" s="31"/>
    </row>
    <row r="141">
      <c r="A141" s="31"/>
      <c r="B141" s="31"/>
      <c r="C141" s="31"/>
      <c r="D141" s="31"/>
    </row>
    <row r="142">
      <c r="A142" s="31"/>
      <c r="B142" s="31"/>
      <c r="C142" s="31"/>
      <c r="D142" s="31"/>
    </row>
    <row r="143">
      <c r="A143" s="31"/>
      <c r="B143" s="31"/>
      <c r="C143" s="31"/>
      <c r="D143" s="31"/>
    </row>
    <row r="144">
      <c r="A144" s="31"/>
      <c r="B144" s="31"/>
      <c r="C144" s="31"/>
      <c r="D144" s="31"/>
    </row>
    <row r="145">
      <c r="A145" s="31"/>
      <c r="B145" s="31"/>
      <c r="C145" s="31"/>
      <c r="D145" s="31"/>
    </row>
    <row r="146">
      <c r="A146" s="31"/>
      <c r="B146" s="31"/>
      <c r="C146" s="31"/>
      <c r="D146" s="31"/>
    </row>
    <row r="147">
      <c r="A147" s="31"/>
      <c r="B147" s="31"/>
      <c r="C147" s="31"/>
      <c r="D147" s="31"/>
    </row>
    <row r="148">
      <c r="A148" s="31"/>
      <c r="B148" s="31"/>
      <c r="C148" s="31"/>
      <c r="D148" s="31"/>
    </row>
    <row r="149">
      <c r="A149" s="31"/>
      <c r="B149" s="31"/>
      <c r="C149" s="31"/>
      <c r="D149" s="31"/>
    </row>
    <row r="150">
      <c r="A150" s="31"/>
      <c r="B150" s="31"/>
      <c r="C150" s="31"/>
      <c r="D150" s="31"/>
    </row>
    <row r="151">
      <c r="A151" s="31"/>
      <c r="B151" s="31"/>
      <c r="C151" s="31"/>
      <c r="D151" s="31"/>
    </row>
    <row r="152">
      <c r="A152" s="31"/>
      <c r="B152" s="31"/>
      <c r="C152" s="31"/>
      <c r="D152" s="31"/>
    </row>
    <row r="153">
      <c r="A153" s="31"/>
      <c r="B153" s="31"/>
      <c r="C153" s="31"/>
      <c r="D153" s="31"/>
    </row>
    <row r="154">
      <c r="A154" s="31"/>
      <c r="B154" s="31"/>
      <c r="C154" s="31"/>
      <c r="D154" s="31"/>
    </row>
    <row r="155">
      <c r="A155" s="31"/>
      <c r="B155" s="31"/>
      <c r="C155" s="31"/>
      <c r="D155" s="31"/>
    </row>
    <row r="156">
      <c r="A156" s="31"/>
      <c r="B156" s="31"/>
      <c r="C156" s="31"/>
      <c r="D156" s="31"/>
    </row>
    <row r="157">
      <c r="A157" s="31"/>
      <c r="B157" s="31"/>
      <c r="C157" s="31"/>
      <c r="D157" s="31"/>
    </row>
    <row r="158">
      <c r="A158" s="31"/>
      <c r="B158" s="31"/>
      <c r="C158" s="31"/>
      <c r="D158" s="31"/>
    </row>
    <row r="159">
      <c r="A159" s="31"/>
      <c r="B159" s="31"/>
      <c r="C159" s="31"/>
      <c r="D159" s="31"/>
    </row>
    <row r="160">
      <c r="A160" s="31"/>
      <c r="B160" s="31"/>
      <c r="C160" s="31"/>
      <c r="D160" s="31"/>
    </row>
    <row r="161">
      <c r="A161" s="31"/>
      <c r="B161" s="31"/>
      <c r="C161" s="31"/>
      <c r="D161" s="31"/>
    </row>
    <row r="162">
      <c r="A162" s="31"/>
      <c r="B162" s="31"/>
      <c r="C162" s="31"/>
      <c r="D162" s="31"/>
    </row>
    <row r="163">
      <c r="A163" s="31"/>
      <c r="B163" s="31"/>
      <c r="C163" s="31"/>
      <c r="D163" s="31"/>
    </row>
    <row r="164">
      <c r="A164" s="31"/>
      <c r="B164" s="31"/>
      <c r="C164" s="31"/>
      <c r="D164" s="31"/>
    </row>
    <row r="165">
      <c r="A165" s="31"/>
      <c r="B165" s="31"/>
      <c r="C165" s="31"/>
      <c r="D165" s="31"/>
    </row>
    <row r="166">
      <c r="A166" s="31"/>
      <c r="B166" s="31"/>
      <c r="C166" s="31"/>
      <c r="D166" s="31"/>
    </row>
    <row r="167">
      <c r="A167" s="31"/>
      <c r="B167" s="31"/>
      <c r="C167" s="31"/>
      <c r="D167" s="31"/>
    </row>
    <row r="168">
      <c r="A168" s="31"/>
      <c r="B168" s="31"/>
      <c r="C168" s="31"/>
      <c r="D168" s="31"/>
    </row>
    <row r="169">
      <c r="A169" s="31"/>
      <c r="B169" s="31"/>
      <c r="C169" s="31"/>
      <c r="D169" s="31"/>
    </row>
    <row r="170">
      <c r="A170" s="31"/>
      <c r="B170" s="31"/>
      <c r="C170" s="31"/>
      <c r="D170" s="31"/>
    </row>
    <row r="171">
      <c r="A171" s="31"/>
      <c r="B171" s="31"/>
      <c r="C171" s="31"/>
      <c r="D171" s="31"/>
    </row>
    <row r="172">
      <c r="A172" s="31"/>
      <c r="B172" s="31"/>
      <c r="C172" s="31"/>
      <c r="D172" s="31"/>
    </row>
    <row r="173">
      <c r="A173" s="31"/>
      <c r="B173" s="31"/>
      <c r="C173" s="31"/>
      <c r="D173" s="31"/>
    </row>
    <row r="174">
      <c r="A174" s="31"/>
      <c r="B174" s="31"/>
      <c r="C174" s="31"/>
      <c r="D174" s="31"/>
    </row>
    <row r="175">
      <c r="A175" s="31"/>
      <c r="B175" s="31"/>
      <c r="C175" s="31"/>
      <c r="D175" s="31"/>
    </row>
    <row r="176">
      <c r="A176" s="31"/>
      <c r="B176" s="31"/>
      <c r="C176" s="31"/>
      <c r="D176" s="31"/>
    </row>
    <row r="177">
      <c r="A177" s="31"/>
      <c r="B177" s="31"/>
      <c r="C177" s="31"/>
      <c r="D177" s="31"/>
    </row>
    <row r="178">
      <c r="A178" s="31"/>
      <c r="B178" s="31"/>
      <c r="C178" s="31"/>
      <c r="D178" s="31"/>
    </row>
    <row r="179">
      <c r="A179" s="31"/>
      <c r="B179" s="31"/>
      <c r="C179" s="31"/>
      <c r="D179" s="31"/>
    </row>
    <row r="180">
      <c r="A180" s="31"/>
      <c r="B180" s="31"/>
      <c r="C180" s="31"/>
      <c r="D180" s="31"/>
    </row>
    <row r="181">
      <c r="A181" s="31"/>
      <c r="B181" s="31"/>
      <c r="C181" s="31"/>
      <c r="D181" s="31"/>
    </row>
    <row r="182">
      <c r="A182" s="31"/>
      <c r="B182" s="31"/>
      <c r="C182" s="31"/>
      <c r="D182" s="31"/>
    </row>
    <row r="183">
      <c r="A183" s="31"/>
      <c r="B183" s="31"/>
      <c r="C183" s="31"/>
      <c r="D183" s="31"/>
    </row>
    <row r="184">
      <c r="A184" s="31"/>
      <c r="B184" s="31"/>
      <c r="C184" s="31"/>
      <c r="D184" s="31"/>
    </row>
    <row r="185">
      <c r="A185" s="31"/>
      <c r="B185" s="31"/>
      <c r="C185" s="31"/>
      <c r="D185" s="31"/>
    </row>
    <row r="186">
      <c r="A186" s="31"/>
      <c r="B186" s="31"/>
      <c r="C186" s="31"/>
      <c r="D186" s="31"/>
    </row>
    <row r="187">
      <c r="A187" s="31"/>
      <c r="B187" s="31"/>
      <c r="C187" s="31"/>
      <c r="D187" s="31"/>
    </row>
    <row r="188">
      <c r="A188" s="31"/>
      <c r="B188" s="31"/>
      <c r="C188" s="31"/>
      <c r="D188" s="31"/>
    </row>
    <row r="189">
      <c r="A189" s="31"/>
      <c r="B189" s="31"/>
      <c r="C189" s="31"/>
      <c r="D189" s="31"/>
    </row>
    <row r="190">
      <c r="A190" s="31"/>
      <c r="B190" s="31"/>
      <c r="C190" s="31"/>
      <c r="D190" s="31"/>
    </row>
    <row r="191">
      <c r="A191" s="31"/>
      <c r="B191" s="31"/>
      <c r="C191" s="31"/>
      <c r="D191" s="31"/>
    </row>
    <row r="192">
      <c r="A192" s="31"/>
      <c r="B192" s="31"/>
      <c r="C192" s="31"/>
      <c r="D192" s="31"/>
    </row>
    <row r="193">
      <c r="A193" s="31"/>
      <c r="B193" s="31"/>
      <c r="C193" s="31"/>
      <c r="D193" s="31"/>
    </row>
    <row r="194">
      <c r="A194" s="31"/>
      <c r="B194" s="31"/>
      <c r="C194" s="31"/>
      <c r="D194" s="31"/>
    </row>
    <row r="195">
      <c r="A195" s="31"/>
      <c r="B195" s="31"/>
      <c r="C195" s="31"/>
      <c r="D195" s="31"/>
    </row>
    <row r="196">
      <c r="A196" s="31"/>
      <c r="B196" s="31"/>
      <c r="C196" s="31"/>
      <c r="D196" s="31"/>
    </row>
    <row r="197">
      <c r="A197" s="31"/>
      <c r="B197" s="31"/>
      <c r="C197" s="31"/>
      <c r="D197" s="31"/>
    </row>
    <row r="198">
      <c r="A198" s="31"/>
      <c r="B198" s="31"/>
      <c r="C198" s="31"/>
      <c r="D198" s="31"/>
    </row>
    <row r="199">
      <c r="A199" s="31"/>
      <c r="B199" s="31"/>
      <c r="C199" s="31"/>
      <c r="D199" s="31"/>
    </row>
    <row r="200">
      <c r="A200" s="31"/>
      <c r="B200" s="31"/>
      <c r="C200" s="31"/>
      <c r="D200" s="31"/>
    </row>
    <row r="201">
      <c r="A201" s="31"/>
      <c r="B201" s="31"/>
      <c r="C201" s="31"/>
      <c r="D201" s="31"/>
    </row>
    <row r="202">
      <c r="A202" s="31"/>
      <c r="B202" s="31"/>
      <c r="C202" s="31"/>
      <c r="D202" s="31"/>
    </row>
    <row r="203">
      <c r="A203" s="31"/>
      <c r="B203" s="31"/>
      <c r="C203" s="31"/>
      <c r="D203" s="31"/>
    </row>
    <row r="204">
      <c r="A204" s="31"/>
      <c r="B204" s="31"/>
      <c r="C204" s="31"/>
      <c r="D204" s="31"/>
    </row>
    <row r="205">
      <c r="A205" s="31"/>
      <c r="B205" s="31"/>
      <c r="C205" s="31"/>
      <c r="D205" s="31"/>
    </row>
    <row r="206">
      <c r="A206" s="31"/>
      <c r="B206" s="31"/>
      <c r="C206" s="31"/>
      <c r="D206" s="31"/>
    </row>
    <row r="207">
      <c r="A207" s="31"/>
      <c r="B207" s="31"/>
      <c r="C207" s="31"/>
      <c r="D207" s="31"/>
    </row>
    <row r="208">
      <c r="A208" s="31"/>
      <c r="B208" s="31"/>
      <c r="C208" s="31"/>
      <c r="D208" s="31"/>
    </row>
    <row r="209">
      <c r="A209" s="31"/>
      <c r="B209" s="31"/>
      <c r="C209" s="31"/>
      <c r="D209" s="31"/>
    </row>
    <row r="210">
      <c r="A210" s="31"/>
      <c r="B210" s="31"/>
      <c r="C210" s="31"/>
      <c r="D210" s="31"/>
    </row>
    <row r="211">
      <c r="A211" s="31"/>
      <c r="B211" s="31"/>
      <c r="C211" s="31"/>
      <c r="D211" s="31"/>
    </row>
    <row r="212">
      <c r="A212" s="31"/>
      <c r="B212" s="31"/>
      <c r="C212" s="31"/>
      <c r="D212" s="31"/>
    </row>
    <row r="213">
      <c r="A213" s="31"/>
      <c r="B213" s="31"/>
      <c r="C213" s="31"/>
      <c r="D213" s="31"/>
    </row>
    <row r="214">
      <c r="A214" s="31"/>
      <c r="B214" s="31"/>
      <c r="C214" s="31"/>
      <c r="D214" s="31"/>
    </row>
    <row r="215">
      <c r="A215" s="31"/>
      <c r="B215" s="31"/>
      <c r="C215" s="31"/>
      <c r="D215" s="31"/>
    </row>
    <row r="216">
      <c r="A216" s="31"/>
      <c r="B216" s="31"/>
      <c r="C216" s="31"/>
      <c r="D216" s="31"/>
    </row>
    <row r="217">
      <c r="A217" s="31"/>
      <c r="B217" s="31"/>
      <c r="C217" s="31"/>
      <c r="D217" s="31"/>
    </row>
    <row r="218">
      <c r="A218" s="31"/>
      <c r="B218" s="31"/>
      <c r="C218" s="31"/>
      <c r="D218" s="31"/>
    </row>
    <row r="219">
      <c r="A219" s="31"/>
      <c r="B219" s="31"/>
      <c r="C219" s="31"/>
      <c r="D219" s="31"/>
    </row>
    <row r="220">
      <c r="A220" s="31"/>
      <c r="B220" s="31"/>
      <c r="C220" s="31"/>
      <c r="D220" s="31"/>
    </row>
    <row r="221">
      <c r="A221" s="31"/>
      <c r="B221" s="31"/>
      <c r="C221" s="31"/>
      <c r="D221" s="31"/>
    </row>
    <row r="222">
      <c r="A222" s="31"/>
      <c r="B222" s="31"/>
      <c r="C222" s="31"/>
      <c r="D222" s="31"/>
    </row>
    <row r="223">
      <c r="A223" s="31"/>
      <c r="B223" s="31"/>
      <c r="C223" s="31"/>
      <c r="D223" s="31"/>
    </row>
    <row r="224">
      <c r="A224" s="31"/>
      <c r="B224" s="31"/>
      <c r="C224" s="31"/>
      <c r="D224" s="31"/>
    </row>
    <row r="225">
      <c r="A225" s="31"/>
      <c r="B225" s="31"/>
      <c r="C225" s="31"/>
      <c r="D225" s="31"/>
    </row>
    <row r="226">
      <c r="A226" s="31"/>
      <c r="B226" s="31"/>
      <c r="C226" s="31"/>
      <c r="D226" s="31"/>
    </row>
    <row r="227">
      <c r="A227" s="31"/>
      <c r="B227" s="31"/>
      <c r="C227" s="31"/>
      <c r="D227" s="31"/>
    </row>
    <row r="228">
      <c r="A228" s="31"/>
      <c r="B228" s="31"/>
      <c r="C228" s="31"/>
      <c r="D228" s="31"/>
    </row>
    <row r="229">
      <c r="A229" s="31"/>
      <c r="B229" s="31"/>
      <c r="C229" s="31"/>
      <c r="D229" s="31"/>
    </row>
    <row r="230">
      <c r="A230" s="31"/>
      <c r="B230" s="31"/>
      <c r="C230" s="31"/>
      <c r="D230" s="31"/>
    </row>
    <row r="231">
      <c r="A231" s="31"/>
      <c r="B231" s="31"/>
      <c r="C231" s="31"/>
      <c r="D231" s="31"/>
    </row>
    <row r="232">
      <c r="A232" s="31"/>
      <c r="B232" s="31"/>
      <c r="C232" s="31"/>
      <c r="D232" s="31"/>
    </row>
    <row r="233">
      <c r="A233" s="31"/>
      <c r="B233" s="31"/>
      <c r="C233" s="31"/>
      <c r="D233" s="31"/>
    </row>
    <row r="234">
      <c r="A234" s="31"/>
      <c r="B234" s="31"/>
      <c r="C234" s="31"/>
      <c r="D234" s="31"/>
    </row>
    <row r="235">
      <c r="A235" s="31"/>
      <c r="B235" s="31"/>
      <c r="C235" s="31"/>
      <c r="D235" s="31"/>
    </row>
    <row r="236">
      <c r="A236" s="31"/>
      <c r="B236" s="31"/>
      <c r="C236" s="31"/>
      <c r="D236" s="31"/>
    </row>
    <row r="237">
      <c r="A237" s="31"/>
      <c r="B237" s="31"/>
      <c r="C237" s="31"/>
      <c r="D237" s="31"/>
    </row>
    <row r="238">
      <c r="A238" s="31"/>
      <c r="B238" s="31"/>
      <c r="C238" s="31"/>
      <c r="D238" s="31"/>
    </row>
    <row r="239">
      <c r="A239" s="31"/>
      <c r="B239" s="31"/>
      <c r="C239" s="31"/>
      <c r="D239" s="31"/>
    </row>
    <row r="240">
      <c r="A240" s="31"/>
      <c r="B240" s="31"/>
      <c r="C240" s="31"/>
      <c r="D240" s="31"/>
    </row>
    <row r="241">
      <c r="A241" s="31"/>
      <c r="B241" s="31"/>
      <c r="C241" s="31"/>
      <c r="D241" s="31"/>
    </row>
    <row r="242">
      <c r="A242" s="31"/>
      <c r="B242" s="31"/>
      <c r="C242" s="31"/>
      <c r="D242" s="31"/>
    </row>
    <row r="243">
      <c r="A243" s="31"/>
      <c r="B243" s="31"/>
      <c r="C243" s="31"/>
      <c r="D243" s="31"/>
    </row>
    <row r="244">
      <c r="A244" s="31"/>
      <c r="B244" s="31"/>
      <c r="C244" s="31"/>
      <c r="D244" s="31"/>
    </row>
    <row r="245">
      <c r="A245" s="31"/>
      <c r="B245" s="31"/>
      <c r="C245" s="31"/>
      <c r="D245" s="31"/>
    </row>
    <row r="246">
      <c r="A246" s="31"/>
      <c r="B246" s="31"/>
      <c r="C246" s="31"/>
      <c r="D246" s="31"/>
    </row>
    <row r="247">
      <c r="A247" s="31"/>
      <c r="B247" s="31"/>
      <c r="C247" s="31"/>
      <c r="D247" s="31"/>
    </row>
    <row r="248">
      <c r="A248" s="31"/>
      <c r="B248" s="31"/>
      <c r="C248" s="31"/>
      <c r="D248" s="31"/>
    </row>
    <row r="249">
      <c r="A249" s="31"/>
      <c r="B249" s="31"/>
      <c r="C249" s="31"/>
      <c r="D249" s="31"/>
    </row>
    <row r="250">
      <c r="A250" s="31"/>
      <c r="B250" s="31"/>
      <c r="C250" s="31"/>
      <c r="D250" s="31"/>
    </row>
    <row r="251">
      <c r="A251" s="31"/>
      <c r="B251" s="31"/>
      <c r="C251" s="31"/>
      <c r="D251" s="31"/>
    </row>
    <row r="252">
      <c r="A252" s="31"/>
      <c r="B252" s="31"/>
      <c r="C252" s="31"/>
      <c r="D252" s="31"/>
    </row>
    <row r="253">
      <c r="A253" s="31"/>
      <c r="B253" s="31"/>
      <c r="C253" s="31"/>
      <c r="D253" s="31"/>
    </row>
    <row r="254">
      <c r="A254" s="31"/>
      <c r="B254" s="31"/>
      <c r="C254" s="31"/>
      <c r="D254" s="31"/>
    </row>
    <row r="255">
      <c r="A255" s="31"/>
      <c r="B255" s="31"/>
      <c r="C255" s="31"/>
      <c r="D255" s="31"/>
    </row>
    <row r="256">
      <c r="A256" s="31"/>
      <c r="B256" s="31"/>
      <c r="C256" s="31"/>
      <c r="D256" s="31"/>
    </row>
    <row r="257">
      <c r="A257" s="31"/>
      <c r="B257" s="31"/>
      <c r="C257" s="31"/>
      <c r="D257" s="31"/>
    </row>
    <row r="258">
      <c r="A258" s="31"/>
      <c r="B258" s="31"/>
      <c r="C258" s="31"/>
      <c r="D258" s="31"/>
    </row>
    <row r="259">
      <c r="A259" s="31"/>
      <c r="B259" s="31"/>
      <c r="C259" s="31"/>
      <c r="D259" s="31"/>
    </row>
    <row r="260">
      <c r="A260" s="31"/>
      <c r="B260" s="31"/>
      <c r="C260" s="31"/>
      <c r="D260" s="31"/>
    </row>
    <row r="261">
      <c r="A261" s="31"/>
      <c r="B261" s="31"/>
      <c r="C261" s="31"/>
      <c r="D261" s="31"/>
    </row>
    <row r="262">
      <c r="A262" s="31"/>
      <c r="B262" s="31"/>
      <c r="C262" s="31"/>
      <c r="D262" s="31"/>
    </row>
    <row r="263">
      <c r="A263" s="31"/>
      <c r="B263" s="31"/>
      <c r="C263" s="31"/>
      <c r="D263" s="31"/>
    </row>
    <row r="264">
      <c r="A264" s="31"/>
      <c r="B264" s="31"/>
      <c r="C264" s="31"/>
      <c r="D264" s="31"/>
    </row>
    <row r="265">
      <c r="A265" s="31"/>
      <c r="B265" s="31"/>
      <c r="C265" s="31"/>
      <c r="D265" s="31"/>
    </row>
    <row r="266">
      <c r="A266" s="31"/>
      <c r="B266" s="31"/>
      <c r="C266" s="31"/>
      <c r="D266" s="31"/>
    </row>
    <row r="267">
      <c r="A267" s="31"/>
      <c r="B267" s="31"/>
      <c r="C267" s="31"/>
      <c r="D267" s="31"/>
    </row>
    <row r="268">
      <c r="A268" s="31"/>
      <c r="B268" s="31"/>
      <c r="C268" s="31"/>
      <c r="D268" s="31"/>
    </row>
    <row r="269">
      <c r="A269" s="31"/>
      <c r="B269" s="31"/>
      <c r="C269" s="31"/>
      <c r="D269" s="31"/>
    </row>
    <row r="270">
      <c r="A270" s="31"/>
      <c r="B270" s="31"/>
      <c r="C270" s="31"/>
      <c r="D270" s="31"/>
    </row>
    <row r="271">
      <c r="A271" s="31"/>
      <c r="B271" s="31"/>
      <c r="C271" s="31"/>
      <c r="D271" s="31"/>
    </row>
    <row r="272">
      <c r="A272" s="31"/>
      <c r="B272" s="31"/>
      <c r="C272" s="31"/>
      <c r="D272" s="31"/>
    </row>
    <row r="273">
      <c r="A273" s="31"/>
      <c r="B273" s="31"/>
      <c r="C273" s="31"/>
      <c r="D273" s="31"/>
    </row>
    <row r="274">
      <c r="A274" s="31"/>
      <c r="B274" s="31"/>
      <c r="C274" s="31"/>
      <c r="D274" s="31"/>
    </row>
    <row r="275">
      <c r="A275" s="31"/>
      <c r="B275" s="31"/>
      <c r="C275" s="31"/>
      <c r="D275" s="31"/>
    </row>
    <row r="276">
      <c r="A276" s="31"/>
      <c r="B276" s="31"/>
      <c r="C276" s="31"/>
      <c r="D276" s="31"/>
    </row>
    <row r="277">
      <c r="A277" s="31"/>
      <c r="B277" s="31"/>
      <c r="C277" s="31"/>
      <c r="D277" s="31"/>
    </row>
    <row r="278">
      <c r="A278" s="31"/>
      <c r="B278" s="31"/>
      <c r="C278" s="31"/>
      <c r="D278" s="31"/>
    </row>
    <row r="279">
      <c r="A279" s="31"/>
      <c r="B279" s="31"/>
      <c r="C279" s="31"/>
      <c r="D279" s="31"/>
    </row>
    <row r="280">
      <c r="A280" s="31"/>
      <c r="B280" s="31"/>
      <c r="C280" s="31"/>
      <c r="D280" s="31"/>
    </row>
    <row r="281">
      <c r="A281" s="31"/>
      <c r="B281" s="31"/>
      <c r="C281" s="31"/>
      <c r="D281" s="31"/>
    </row>
    <row r="282">
      <c r="A282" s="31"/>
      <c r="B282" s="31"/>
      <c r="C282" s="31"/>
      <c r="D282" s="31"/>
    </row>
    <row r="283">
      <c r="A283" s="31"/>
      <c r="B283" s="31"/>
      <c r="C283" s="31"/>
      <c r="D283" s="31"/>
    </row>
    <row r="284">
      <c r="A284" s="31"/>
      <c r="B284" s="31"/>
      <c r="C284" s="31"/>
      <c r="D284" s="31"/>
    </row>
    <row r="285">
      <c r="A285" s="31"/>
      <c r="B285" s="31"/>
      <c r="C285" s="31"/>
      <c r="D285" s="31"/>
    </row>
    <row r="286">
      <c r="A286" s="31"/>
      <c r="B286" s="31"/>
      <c r="C286" s="31"/>
      <c r="D286" s="31"/>
    </row>
    <row r="287">
      <c r="A287" s="31"/>
      <c r="B287" s="31"/>
      <c r="C287" s="31"/>
      <c r="D287" s="31"/>
    </row>
    <row r="288">
      <c r="A288" s="31"/>
      <c r="B288" s="31"/>
      <c r="C288" s="31"/>
      <c r="D288" s="31"/>
    </row>
    <row r="289">
      <c r="A289" s="31"/>
      <c r="B289" s="31"/>
      <c r="C289" s="31"/>
      <c r="D289" s="31"/>
    </row>
    <row r="290">
      <c r="A290" s="31"/>
      <c r="B290" s="31"/>
      <c r="C290" s="31"/>
      <c r="D290" s="31"/>
    </row>
    <row r="291">
      <c r="A291" s="31"/>
      <c r="B291" s="31"/>
      <c r="C291" s="31"/>
      <c r="D291" s="31"/>
    </row>
    <row r="292">
      <c r="A292" s="31"/>
      <c r="B292" s="31"/>
      <c r="C292" s="31"/>
      <c r="D292" s="31"/>
    </row>
    <row r="293">
      <c r="A293" s="31"/>
      <c r="B293" s="31"/>
      <c r="C293" s="31"/>
      <c r="D293" s="31"/>
    </row>
    <row r="294">
      <c r="A294" s="31"/>
      <c r="B294" s="31"/>
      <c r="C294" s="31"/>
      <c r="D294" s="31"/>
    </row>
    <row r="295">
      <c r="A295" s="31"/>
      <c r="B295" s="31"/>
      <c r="C295" s="31"/>
      <c r="D295" s="31"/>
    </row>
    <row r="296">
      <c r="A296" s="31"/>
      <c r="B296" s="31"/>
      <c r="C296" s="31"/>
      <c r="D296" s="31"/>
    </row>
    <row r="297">
      <c r="A297" s="31"/>
      <c r="B297" s="31"/>
      <c r="C297" s="31"/>
      <c r="D297" s="31"/>
    </row>
    <row r="298">
      <c r="A298" s="31"/>
      <c r="B298" s="31"/>
      <c r="C298" s="31"/>
      <c r="D298" s="31"/>
    </row>
    <row r="299">
      <c r="A299" s="31"/>
      <c r="B299" s="31"/>
      <c r="C299" s="31"/>
      <c r="D299" s="31"/>
    </row>
    <row r="300">
      <c r="A300" s="31"/>
      <c r="B300" s="31"/>
      <c r="C300" s="31"/>
      <c r="D300" s="31"/>
    </row>
    <row r="301">
      <c r="A301" s="31"/>
      <c r="B301" s="31"/>
      <c r="C301" s="31"/>
      <c r="D301" s="31"/>
    </row>
    <row r="302">
      <c r="A302" s="31"/>
      <c r="B302" s="31"/>
      <c r="C302" s="31"/>
      <c r="D302" s="31"/>
    </row>
    <row r="303">
      <c r="A303" s="31"/>
      <c r="B303" s="31"/>
      <c r="C303" s="31"/>
      <c r="D303" s="31"/>
    </row>
    <row r="304">
      <c r="A304" s="31"/>
      <c r="B304" s="31"/>
      <c r="C304" s="31"/>
      <c r="D304" s="31"/>
    </row>
    <row r="305">
      <c r="A305" s="31"/>
      <c r="B305" s="31"/>
      <c r="C305" s="31"/>
      <c r="D305" s="31"/>
    </row>
    <row r="306">
      <c r="A306" s="31"/>
      <c r="B306" s="31"/>
      <c r="C306" s="31"/>
      <c r="D306" s="31"/>
    </row>
    <row r="307">
      <c r="A307" s="31"/>
      <c r="B307" s="31"/>
      <c r="C307" s="31"/>
      <c r="D307" s="31"/>
    </row>
    <row r="308">
      <c r="A308" s="31"/>
      <c r="B308" s="31"/>
      <c r="C308" s="31"/>
      <c r="D308" s="31"/>
    </row>
    <row r="309">
      <c r="A309" s="31"/>
      <c r="B309" s="31"/>
      <c r="C309" s="31"/>
      <c r="D309" s="31"/>
    </row>
    <row r="310">
      <c r="A310" s="31"/>
      <c r="B310" s="31"/>
      <c r="C310" s="31"/>
      <c r="D310" s="31"/>
    </row>
    <row r="311">
      <c r="A311" s="31"/>
      <c r="B311" s="31"/>
      <c r="C311" s="31"/>
      <c r="D311" s="31"/>
    </row>
    <row r="312">
      <c r="A312" s="31"/>
      <c r="B312" s="31"/>
      <c r="C312" s="31"/>
      <c r="D312" s="31"/>
    </row>
    <row r="313">
      <c r="A313" s="31"/>
      <c r="B313" s="31"/>
      <c r="C313" s="31"/>
      <c r="D313" s="31"/>
    </row>
    <row r="314">
      <c r="A314" s="31"/>
      <c r="B314" s="31"/>
      <c r="C314" s="31"/>
      <c r="D314" s="31"/>
    </row>
    <row r="315">
      <c r="A315" s="31"/>
      <c r="B315" s="31"/>
      <c r="C315" s="31"/>
      <c r="D315" s="31"/>
    </row>
    <row r="316">
      <c r="A316" s="31"/>
      <c r="B316" s="31"/>
      <c r="C316" s="31"/>
      <c r="D316" s="31"/>
    </row>
    <row r="317">
      <c r="A317" s="31"/>
      <c r="B317" s="31"/>
      <c r="C317" s="31"/>
      <c r="D317" s="31"/>
    </row>
    <row r="318">
      <c r="A318" s="31"/>
      <c r="B318" s="31"/>
      <c r="C318" s="31"/>
      <c r="D318" s="31"/>
    </row>
    <row r="319">
      <c r="A319" s="31"/>
      <c r="B319" s="31"/>
      <c r="C319" s="31"/>
      <c r="D319" s="31"/>
    </row>
    <row r="320">
      <c r="A320" s="31"/>
      <c r="B320" s="31"/>
      <c r="C320" s="31"/>
      <c r="D320" s="31"/>
    </row>
    <row r="321">
      <c r="A321" s="31"/>
      <c r="B321" s="31"/>
      <c r="C321" s="31"/>
      <c r="D321" s="31"/>
    </row>
    <row r="322">
      <c r="A322" s="31"/>
      <c r="B322" s="31"/>
      <c r="C322" s="31"/>
      <c r="D322" s="31"/>
    </row>
    <row r="323">
      <c r="A323" s="31"/>
      <c r="B323" s="31"/>
      <c r="C323" s="31"/>
      <c r="D323" s="31"/>
    </row>
    <row r="324">
      <c r="A324" s="31"/>
      <c r="B324" s="31"/>
      <c r="C324" s="31"/>
      <c r="D324" s="31"/>
    </row>
    <row r="325">
      <c r="A325" s="31"/>
      <c r="B325" s="31"/>
      <c r="C325" s="31"/>
      <c r="D325" s="31"/>
    </row>
    <row r="326">
      <c r="A326" s="31"/>
      <c r="B326" s="31"/>
      <c r="C326" s="31"/>
      <c r="D326" s="31"/>
    </row>
    <row r="327">
      <c r="A327" s="31"/>
      <c r="B327" s="31"/>
      <c r="C327" s="31"/>
      <c r="D327" s="31"/>
    </row>
    <row r="328">
      <c r="A328" s="31"/>
      <c r="B328" s="31"/>
      <c r="C328" s="31"/>
      <c r="D328" s="31"/>
    </row>
    <row r="329">
      <c r="A329" s="31"/>
      <c r="B329" s="31"/>
      <c r="C329" s="31"/>
      <c r="D329" s="31"/>
    </row>
    <row r="330">
      <c r="A330" s="31"/>
      <c r="B330" s="31"/>
      <c r="C330" s="31"/>
      <c r="D330" s="31"/>
    </row>
    <row r="331">
      <c r="A331" s="31"/>
      <c r="B331" s="31"/>
      <c r="C331" s="31"/>
      <c r="D331" s="31"/>
    </row>
    <row r="332">
      <c r="A332" s="31"/>
      <c r="B332" s="31"/>
      <c r="C332" s="31"/>
      <c r="D332" s="31"/>
    </row>
    <row r="333">
      <c r="A333" s="31"/>
      <c r="B333" s="31"/>
      <c r="C333" s="31"/>
      <c r="D333" s="31"/>
    </row>
    <row r="334">
      <c r="A334" s="31"/>
      <c r="B334" s="31"/>
      <c r="C334" s="31"/>
      <c r="D334" s="31"/>
    </row>
    <row r="335">
      <c r="A335" s="31"/>
      <c r="B335" s="31"/>
      <c r="C335" s="31"/>
      <c r="D335" s="31"/>
    </row>
    <row r="336">
      <c r="A336" s="31"/>
      <c r="B336" s="31"/>
      <c r="C336" s="31"/>
      <c r="D336" s="31"/>
    </row>
    <row r="337">
      <c r="A337" s="31"/>
      <c r="B337" s="31"/>
      <c r="C337" s="31"/>
      <c r="D337" s="31"/>
    </row>
    <row r="338">
      <c r="A338" s="31"/>
      <c r="B338" s="31"/>
      <c r="C338" s="31"/>
      <c r="D338" s="31"/>
    </row>
    <row r="339">
      <c r="A339" s="31"/>
      <c r="B339" s="31"/>
      <c r="C339" s="31"/>
      <c r="D339" s="31"/>
    </row>
    <row r="340">
      <c r="A340" s="31"/>
      <c r="B340" s="31"/>
      <c r="C340" s="31"/>
      <c r="D340" s="31"/>
    </row>
    <row r="341">
      <c r="A341" s="31"/>
      <c r="B341" s="31"/>
      <c r="C341" s="31"/>
      <c r="D341" s="31"/>
    </row>
    <row r="342">
      <c r="A342" s="31"/>
      <c r="B342" s="31"/>
      <c r="C342" s="31"/>
      <c r="D342" s="31"/>
    </row>
    <row r="343">
      <c r="A343" s="31"/>
      <c r="B343" s="31"/>
      <c r="C343" s="31"/>
      <c r="D343" s="31"/>
    </row>
    <row r="344">
      <c r="A344" s="31"/>
      <c r="B344" s="31"/>
      <c r="C344" s="31"/>
      <c r="D344" s="31"/>
    </row>
    <row r="345">
      <c r="A345" s="31"/>
      <c r="B345" s="31"/>
      <c r="C345" s="31"/>
      <c r="D345" s="31"/>
    </row>
    <row r="346">
      <c r="A346" s="31"/>
      <c r="B346" s="31"/>
      <c r="C346" s="31"/>
      <c r="D346" s="31"/>
    </row>
    <row r="347">
      <c r="A347" s="31"/>
      <c r="B347" s="31"/>
      <c r="C347" s="31"/>
      <c r="D347" s="31"/>
    </row>
    <row r="348">
      <c r="A348" s="31"/>
      <c r="B348" s="31"/>
      <c r="C348" s="31"/>
      <c r="D348" s="31"/>
    </row>
    <row r="349">
      <c r="A349" s="31"/>
      <c r="B349" s="31"/>
      <c r="C349" s="31"/>
      <c r="D349" s="31"/>
    </row>
    <row r="350">
      <c r="A350" s="31"/>
      <c r="B350" s="31"/>
      <c r="C350" s="31"/>
      <c r="D350" s="31"/>
    </row>
    <row r="351">
      <c r="A351" s="31"/>
      <c r="B351" s="31"/>
      <c r="C351" s="31"/>
      <c r="D351" s="31"/>
    </row>
    <row r="352">
      <c r="A352" s="31"/>
      <c r="B352" s="31"/>
      <c r="C352" s="31"/>
      <c r="D352" s="31"/>
    </row>
    <row r="353">
      <c r="A353" s="31"/>
      <c r="B353" s="31"/>
      <c r="C353" s="31"/>
      <c r="D353" s="31"/>
    </row>
    <row r="354">
      <c r="A354" s="31"/>
      <c r="B354" s="31"/>
      <c r="C354" s="31"/>
      <c r="D354" s="31"/>
    </row>
    <row r="355">
      <c r="A355" s="31"/>
      <c r="B355" s="31"/>
      <c r="C355" s="31"/>
      <c r="D355" s="31"/>
    </row>
    <row r="356">
      <c r="A356" s="31"/>
      <c r="B356" s="31"/>
      <c r="C356" s="31"/>
      <c r="D356" s="31"/>
    </row>
    <row r="357">
      <c r="A357" s="31"/>
      <c r="B357" s="31"/>
      <c r="C357" s="31"/>
      <c r="D357" s="31"/>
    </row>
    <row r="358">
      <c r="A358" s="31"/>
      <c r="B358" s="31"/>
      <c r="C358" s="31"/>
      <c r="D358" s="31"/>
    </row>
    <row r="359">
      <c r="A359" s="31"/>
      <c r="B359" s="31"/>
      <c r="C359" s="31"/>
      <c r="D359" s="31"/>
    </row>
    <row r="360">
      <c r="A360" s="31"/>
      <c r="B360" s="31"/>
      <c r="C360" s="31"/>
      <c r="D360" s="31"/>
    </row>
    <row r="361">
      <c r="A361" s="31"/>
      <c r="B361" s="31"/>
      <c r="C361" s="31"/>
      <c r="D361" s="31"/>
    </row>
    <row r="362">
      <c r="A362" s="31"/>
      <c r="B362" s="31"/>
      <c r="C362" s="31"/>
      <c r="D362" s="31"/>
    </row>
    <row r="363">
      <c r="A363" s="31"/>
      <c r="B363" s="31"/>
      <c r="C363" s="31"/>
      <c r="D363" s="31"/>
    </row>
    <row r="364">
      <c r="A364" s="31"/>
      <c r="B364" s="31"/>
      <c r="C364" s="31"/>
      <c r="D364" s="31"/>
    </row>
    <row r="365">
      <c r="A365" s="31"/>
      <c r="B365" s="31"/>
      <c r="C365" s="31"/>
      <c r="D365" s="31"/>
    </row>
    <row r="366">
      <c r="A366" s="31"/>
      <c r="B366" s="31"/>
      <c r="C366" s="31"/>
      <c r="D366" s="31"/>
    </row>
    <row r="367">
      <c r="A367" s="31"/>
      <c r="B367" s="31"/>
      <c r="C367" s="31"/>
      <c r="D367" s="31"/>
    </row>
    <row r="368">
      <c r="A368" s="31"/>
      <c r="B368" s="31"/>
      <c r="C368" s="31"/>
      <c r="D368" s="31"/>
    </row>
    <row r="369">
      <c r="A369" s="31"/>
      <c r="B369" s="31"/>
      <c r="C369" s="31"/>
      <c r="D369" s="31"/>
    </row>
    <row r="370">
      <c r="A370" s="31"/>
      <c r="B370" s="31"/>
      <c r="C370" s="31"/>
      <c r="D370" s="31"/>
    </row>
    <row r="371">
      <c r="A371" s="31"/>
      <c r="B371" s="31"/>
      <c r="C371" s="31"/>
      <c r="D371" s="31"/>
    </row>
    <row r="372">
      <c r="A372" s="31"/>
      <c r="B372" s="31"/>
      <c r="C372" s="31"/>
      <c r="D372" s="31"/>
    </row>
    <row r="373">
      <c r="A373" s="31"/>
      <c r="B373" s="31"/>
      <c r="C373" s="31"/>
      <c r="D373" s="31"/>
    </row>
    <row r="374">
      <c r="A374" s="31"/>
      <c r="B374" s="31"/>
      <c r="C374" s="31"/>
      <c r="D374" s="31"/>
    </row>
    <row r="375">
      <c r="A375" s="31"/>
      <c r="B375" s="31"/>
      <c r="C375" s="31"/>
      <c r="D375" s="31"/>
    </row>
    <row r="376">
      <c r="A376" s="31"/>
      <c r="B376" s="31"/>
      <c r="C376" s="31"/>
      <c r="D376" s="31"/>
    </row>
    <row r="377">
      <c r="A377" s="31"/>
      <c r="B377" s="31"/>
      <c r="C377" s="31"/>
      <c r="D377" s="31"/>
    </row>
    <row r="378">
      <c r="A378" s="31"/>
      <c r="B378" s="31"/>
      <c r="C378" s="31"/>
      <c r="D378" s="31"/>
    </row>
    <row r="379">
      <c r="A379" s="31"/>
      <c r="B379" s="31"/>
      <c r="C379" s="31"/>
      <c r="D379" s="31"/>
    </row>
    <row r="380">
      <c r="A380" s="31"/>
      <c r="B380" s="31"/>
      <c r="C380" s="31"/>
      <c r="D380" s="31"/>
    </row>
    <row r="381">
      <c r="A381" s="31"/>
      <c r="B381" s="31"/>
      <c r="C381" s="31"/>
      <c r="D381" s="31"/>
    </row>
    <row r="382">
      <c r="A382" s="31"/>
      <c r="B382" s="31"/>
      <c r="C382" s="31"/>
      <c r="D382" s="31"/>
    </row>
    <row r="383">
      <c r="A383" s="31"/>
      <c r="B383" s="31"/>
      <c r="C383" s="31"/>
      <c r="D383" s="31"/>
    </row>
    <row r="384">
      <c r="A384" s="31"/>
      <c r="B384" s="31"/>
      <c r="C384" s="31"/>
      <c r="D384" s="31"/>
    </row>
    <row r="385">
      <c r="A385" s="31"/>
      <c r="B385" s="31"/>
      <c r="C385" s="31"/>
      <c r="D385" s="31"/>
    </row>
    <row r="386">
      <c r="A386" s="31"/>
      <c r="B386" s="31"/>
      <c r="C386" s="31"/>
      <c r="D386" s="31"/>
    </row>
    <row r="387">
      <c r="A387" s="31"/>
      <c r="B387" s="31"/>
      <c r="C387" s="31"/>
      <c r="D387" s="31"/>
    </row>
    <row r="388">
      <c r="A388" s="31"/>
      <c r="B388" s="31"/>
      <c r="C388" s="31"/>
      <c r="D388" s="31"/>
    </row>
    <row r="389">
      <c r="A389" s="31"/>
      <c r="B389" s="31"/>
      <c r="C389" s="31"/>
      <c r="D389" s="31"/>
    </row>
    <row r="390">
      <c r="A390" s="31"/>
      <c r="B390" s="31"/>
      <c r="C390" s="31"/>
      <c r="D390" s="31"/>
    </row>
    <row r="391">
      <c r="A391" s="31"/>
      <c r="B391" s="31"/>
      <c r="C391" s="31"/>
      <c r="D391" s="31"/>
    </row>
    <row r="392">
      <c r="A392" s="31"/>
      <c r="B392" s="31"/>
      <c r="C392" s="31"/>
      <c r="D392" s="31"/>
    </row>
    <row r="393">
      <c r="A393" s="31"/>
      <c r="B393" s="31"/>
      <c r="C393" s="31"/>
      <c r="D393" s="31"/>
    </row>
    <row r="394">
      <c r="A394" s="31"/>
      <c r="B394" s="31"/>
      <c r="C394" s="31"/>
      <c r="D394" s="31"/>
    </row>
    <row r="395">
      <c r="A395" s="31"/>
      <c r="B395" s="31"/>
      <c r="C395" s="31"/>
      <c r="D395" s="31"/>
    </row>
    <row r="396">
      <c r="A396" s="31"/>
      <c r="B396" s="31"/>
      <c r="C396" s="31"/>
      <c r="D396" s="31"/>
    </row>
    <row r="397">
      <c r="A397" s="31"/>
      <c r="B397" s="31"/>
      <c r="C397" s="31"/>
      <c r="D397" s="31"/>
    </row>
    <row r="398">
      <c r="A398" s="31"/>
      <c r="B398" s="31"/>
      <c r="C398" s="31"/>
      <c r="D398" s="31"/>
    </row>
    <row r="399">
      <c r="A399" s="31"/>
      <c r="B399" s="31"/>
      <c r="C399" s="31"/>
      <c r="D399" s="31"/>
    </row>
    <row r="400">
      <c r="A400" s="31"/>
      <c r="B400" s="31"/>
      <c r="C400" s="31"/>
      <c r="D400" s="31"/>
    </row>
    <row r="401">
      <c r="A401" s="31"/>
      <c r="B401" s="31"/>
      <c r="C401" s="31"/>
      <c r="D401" s="31"/>
    </row>
    <row r="402">
      <c r="A402" s="31"/>
      <c r="B402" s="31"/>
      <c r="C402" s="31"/>
      <c r="D402" s="31"/>
    </row>
    <row r="403">
      <c r="A403" s="31"/>
      <c r="B403" s="31"/>
      <c r="C403" s="31"/>
      <c r="D403" s="31"/>
    </row>
    <row r="404">
      <c r="A404" s="31"/>
      <c r="B404" s="31"/>
      <c r="C404" s="31"/>
      <c r="D404" s="31"/>
    </row>
    <row r="405">
      <c r="A405" s="31"/>
      <c r="B405" s="31"/>
      <c r="C405" s="31"/>
      <c r="D405" s="31"/>
    </row>
    <row r="406">
      <c r="A406" s="31"/>
      <c r="B406" s="31"/>
      <c r="C406" s="31"/>
      <c r="D406" s="31"/>
    </row>
    <row r="407">
      <c r="A407" s="31"/>
      <c r="B407" s="31"/>
      <c r="C407" s="31"/>
      <c r="D407" s="31"/>
    </row>
    <row r="408">
      <c r="A408" s="31"/>
      <c r="B408" s="31"/>
      <c r="C408" s="31"/>
      <c r="D408" s="31"/>
    </row>
    <row r="409">
      <c r="A409" s="31"/>
      <c r="B409" s="31"/>
      <c r="C409" s="31"/>
      <c r="D409" s="31"/>
    </row>
    <row r="410">
      <c r="A410" s="31"/>
      <c r="B410" s="31"/>
      <c r="C410" s="31"/>
      <c r="D410" s="31"/>
    </row>
    <row r="411">
      <c r="A411" s="31"/>
      <c r="B411" s="31"/>
      <c r="C411" s="31"/>
      <c r="D411" s="31"/>
    </row>
    <row r="412">
      <c r="A412" s="31"/>
      <c r="B412" s="31"/>
      <c r="C412" s="31"/>
      <c r="D412" s="31"/>
    </row>
    <row r="413">
      <c r="A413" s="31"/>
      <c r="B413" s="31"/>
      <c r="C413" s="31"/>
      <c r="D413" s="31"/>
    </row>
    <row r="414">
      <c r="A414" s="31"/>
      <c r="B414" s="31"/>
      <c r="C414" s="31"/>
      <c r="D414" s="31"/>
    </row>
    <row r="415">
      <c r="A415" s="31"/>
      <c r="B415" s="31"/>
      <c r="C415" s="31"/>
      <c r="D415" s="31"/>
    </row>
    <row r="416">
      <c r="A416" s="31"/>
      <c r="B416" s="31"/>
      <c r="C416" s="31"/>
      <c r="D416" s="31"/>
    </row>
    <row r="417">
      <c r="A417" s="31"/>
      <c r="B417" s="31"/>
      <c r="C417" s="31"/>
      <c r="D417" s="31"/>
    </row>
    <row r="418">
      <c r="A418" s="31"/>
      <c r="B418" s="31"/>
      <c r="C418" s="31"/>
      <c r="D418" s="31"/>
    </row>
    <row r="419">
      <c r="A419" s="31"/>
      <c r="B419" s="31"/>
      <c r="C419" s="31"/>
      <c r="D419" s="31"/>
    </row>
    <row r="420">
      <c r="A420" s="31"/>
      <c r="B420" s="31"/>
      <c r="C420" s="31"/>
      <c r="D420" s="31"/>
    </row>
    <row r="421">
      <c r="A421" s="31"/>
      <c r="B421" s="31"/>
      <c r="C421" s="31"/>
      <c r="D421" s="31"/>
    </row>
    <row r="422">
      <c r="A422" s="31"/>
      <c r="B422" s="31"/>
      <c r="C422" s="31"/>
      <c r="D422" s="31"/>
    </row>
    <row r="423">
      <c r="A423" s="31"/>
      <c r="B423" s="31"/>
      <c r="C423" s="31"/>
      <c r="D423" s="31"/>
    </row>
    <row r="424">
      <c r="A424" s="31"/>
      <c r="B424" s="31"/>
      <c r="C424" s="31"/>
      <c r="D424" s="31"/>
    </row>
    <row r="425">
      <c r="A425" s="31"/>
      <c r="B425" s="31"/>
      <c r="C425" s="31"/>
      <c r="D425" s="31"/>
    </row>
    <row r="426">
      <c r="A426" s="31"/>
      <c r="B426" s="31"/>
      <c r="C426" s="31"/>
      <c r="D426" s="31"/>
    </row>
    <row r="427">
      <c r="A427" s="31"/>
      <c r="B427" s="31"/>
      <c r="C427" s="31"/>
      <c r="D427" s="31"/>
    </row>
    <row r="428">
      <c r="A428" s="31"/>
      <c r="B428" s="31"/>
      <c r="C428" s="31"/>
      <c r="D428" s="31"/>
    </row>
    <row r="429">
      <c r="A429" s="31"/>
      <c r="B429" s="31"/>
      <c r="C429" s="31"/>
      <c r="D429" s="31"/>
    </row>
    <row r="430">
      <c r="A430" s="31"/>
      <c r="B430" s="31"/>
      <c r="C430" s="31"/>
      <c r="D430" s="31"/>
    </row>
    <row r="431">
      <c r="A431" s="31"/>
      <c r="B431" s="31"/>
      <c r="C431" s="31"/>
      <c r="D431" s="31"/>
    </row>
    <row r="432">
      <c r="A432" s="31"/>
      <c r="B432" s="31"/>
      <c r="C432" s="31"/>
      <c r="D432" s="31"/>
    </row>
    <row r="433">
      <c r="A433" s="31"/>
      <c r="B433" s="31"/>
      <c r="C433" s="31"/>
      <c r="D433" s="31"/>
    </row>
    <row r="434">
      <c r="A434" s="31"/>
      <c r="B434" s="31"/>
      <c r="C434" s="31"/>
      <c r="D434" s="31"/>
    </row>
    <row r="435">
      <c r="A435" s="31"/>
      <c r="B435" s="31"/>
      <c r="C435" s="31"/>
      <c r="D435" s="31"/>
    </row>
    <row r="436">
      <c r="A436" s="31"/>
      <c r="B436" s="31"/>
      <c r="C436" s="31"/>
      <c r="D436" s="31"/>
    </row>
    <row r="437">
      <c r="A437" s="31"/>
      <c r="B437" s="31"/>
      <c r="C437" s="31"/>
      <c r="D437" s="31"/>
    </row>
    <row r="438">
      <c r="A438" s="31"/>
      <c r="B438" s="31"/>
      <c r="C438" s="31"/>
      <c r="D438" s="31"/>
    </row>
    <row r="439">
      <c r="A439" s="31"/>
      <c r="B439" s="31"/>
      <c r="C439" s="31"/>
      <c r="D439" s="31"/>
    </row>
    <row r="440">
      <c r="A440" s="31"/>
      <c r="B440" s="31"/>
      <c r="C440" s="31"/>
      <c r="D440" s="31"/>
    </row>
    <row r="441">
      <c r="A441" s="31"/>
      <c r="B441" s="31"/>
      <c r="C441" s="31"/>
      <c r="D441" s="31"/>
    </row>
    <row r="442">
      <c r="A442" s="31"/>
      <c r="B442" s="31"/>
      <c r="C442" s="31"/>
      <c r="D442" s="31"/>
    </row>
    <row r="443">
      <c r="A443" s="31"/>
      <c r="B443" s="31"/>
      <c r="C443" s="31"/>
      <c r="D443" s="31"/>
    </row>
    <row r="444">
      <c r="A444" s="31"/>
      <c r="B444" s="31"/>
      <c r="C444" s="31"/>
      <c r="D444" s="31"/>
    </row>
    <row r="445">
      <c r="A445" s="31"/>
      <c r="B445" s="31"/>
      <c r="C445" s="31"/>
      <c r="D445" s="31"/>
    </row>
    <row r="446">
      <c r="A446" s="31"/>
      <c r="B446" s="31"/>
      <c r="C446" s="31"/>
      <c r="D446" s="31"/>
    </row>
    <row r="447">
      <c r="A447" s="31"/>
      <c r="B447" s="31"/>
      <c r="C447" s="31"/>
      <c r="D447" s="31"/>
    </row>
    <row r="448">
      <c r="A448" s="31"/>
      <c r="B448" s="31"/>
      <c r="C448" s="31"/>
      <c r="D448" s="31"/>
    </row>
    <row r="449">
      <c r="A449" s="31"/>
      <c r="B449" s="31"/>
      <c r="C449" s="31"/>
      <c r="D449" s="31"/>
    </row>
    <row r="450">
      <c r="A450" s="31"/>
      <c r="B450" s="31"/>
      <c r="C450" s="31"/>
      <c r="D450" s="31"/>
    </row>
    <row r="451">
      <c r="A451" s="31"/>
      <c r="B451" s="31"/>
      <c r="C451" s="31"/>
      <c r="D451" s="31"/>
    </row>
    <row r="452">
      <c r="A452" s="31"/>
      <c r="B452" s="31"/>
      <c r="C452" s="31"/>
      <c r="D452" s="31"/>
    </row>
    <row r="453">
      <c r="A453" s="31"/>
      <c r="B453" s="31"/>
      <c r="C453" s="31"/>
      <c r="D453" s="31"/>
    </row>
    <row r="454">
      <c r="A454" s="31"/>
      <c r="B454" s="31"/>
      <c r="C454" s="31"/>
      <c r="D454" s="31"/>
    </row>
    <row r="455">
      <c r="A455" s="31"/>
      <c r="B455" s="31"/>
      <c r="C455" s="31"/>
      <c r="D455" s="31"/>
    </row>
    <row r="456">
      <c r="A456" s="31"/>
      <c r="B456" s="31"/>
      <c r="C456" s="31"/>
      <c r="D456" s="31"/>
    </row>
    <row r="457">
      <c r="A457" s="31"/>
      <c r="B457" s="31"/>
      <c r="C457" s="31"/>
      <c r="D457" s="31"/>
    </row>
    <row r="458">
      <c r="A458" s="31"/>
      <c r="B458" s="31"/>
      <c r="C458" s="31"/>
      <c r="D458" s="31"/>
    </row>
    <row r="459">
      <c r="A459" s="31"/>
      <c r="B459" s="31"/>
      <c r="C459" s="31"/>
      <c r="D459" s="31"/>
    </row>
    <row r="460">
      <c r="A460" s="31"/>
      <c r="B460" s="31"/>
      <c r="C460" s="31"/>
      <c r="D460" s="31"/>
    </row>
    <row r="461">
      <c r="A461" s="31"/>
      <c r="B461" s="31"/>
      <c r="C461" s="31"/>
      <c r="D461" s="31"/>
    </row>
    <row r="462">
      <c r="A462" s="31"/>
      <c r="B462" s="31"/>
      <c r="C462" s="31"/>
      <c r="D462" s="31"/>
    </row>
    <row r="463">
      <c r="A463" s="31"/>
      <c r="B463" s="31"/>
      <c r="C463" s="31"/>
      <c r="D463" s="31"/>
    </row>
    <row r="464">
      <c r="A464" s="31"/>
      <c r="B464" s="31"/>
      <c r="C464" s="31"/>
      <c r="D464" s="31"/>
    </row>
    <row r="465">
      <c r="A465" s="31"/>
      <c r="B465" s="31"/>
      <c r="C465" s="31"/>
      <c r="D465" s="31"/>
    </row>
    <row r="466">
      <c r="A466" s="31"/>
      <c r="B466" s="31"/>
      <c r="C466" s="31"/>
      <c r="D466" s="31"/>
    </row>
    <row r="467">
      <c r="A467" s="31"/>
      <c r="B467" s="31"/>
      <c r="C467" s="31"/>
      <c r="D467" s="31"/>
    </row>
    <row r="468">
      <c r="A468" s="31"/>
      <c r="B468" s="31"/>
      <c r="C468" s="31"/>
      <c r="D468" s="31"/>
    </row>
    <row r="469">
      <c r="A469" s="31"/>
      <c r="B469" s="31"/>
      <c r="C469" s="31"/>
      <c r="D469" s="31"/>
    </row>
    <row r="470">
      <c r="A470" s="31"/>
      <c r="B470" s="31"/>
      <c r="C470" s="31"/>
      <c r="D470" s="31"/>
    </row>
    <row r="471">
      <c r="A471" s="31"/>
      <c r="B471" s="31"/>
      <c r="C471" s="31"/>
      <c r="D471" s="31"/>
    </row>
    <row r="472">
      <c r="A472" s="31"/>
      <c r="B472" s="31"/>
      <c r="C472" s="31"/>
      <c r="D472" s="31"/>
    </row>
    <row r="473">
      <c r="A473" s="31"/>
      <c r="B473" s="31"/>
      <c r="C473" s="31"/>
      <c r="D473" s="31"/>
    </row>
    <row r="474">
      <c r="A474" s="31"/>
      <c r="B474" s="31"/>
      <c r="C474" s="31"/>
      <c r="D474" s="31"/>
    </row>
    <row r="475">
      <c r="A475" s="31"/>
      <c r="B475" s="31"/>
      <c r="C475" s="31"/>
      <c r="D475" s="31"/>
    </row>
    <row r="476">
      <c r="A476" s="31"/>
      <c r="B476" s="31"/>
      <c r="C476" s="31"/>
      <c r="D476" s="31"/>
    </row>
    <row r="477">
      <c r="A477" s="31"/>
      <c r="B477" s="31"/>
      <c r="C477" s="31"/>
      <c r="D477" s="31"/>
    </row>
    <row r="478">
      <c r="A478" s="31"/>
      <c r="B478" s="31"/>
      <c r="C478" s="31"/>
      <c r="D478" s="31"/>
    </row>
    <row r="479">
      <c r="A479" s="31"/>
      <c r="B479" s="31"/>
      <c r="C479" s="31"/>
      <c r="D479" s="31"/>
    </row>
    <row r="480">
      <c r="A480" s="31"/>
      <c r="B480" s="31"/>
      <c r="C480" s="31"/>
      <c r="D480" s="31"/>
    </row>
    <row r="481">
      <c r="A481" s="31"/>
      <c r="B481" s="31"/>
      <c r="C481" s="31"/>
      <c r="D481" s="31"/>
    </row>
    <row r="482">
      <c r="A482" s="31"/>
      <c r="B482" s="31"/>
      <c r="C482" s="31"/>
      <c r="D482" s="31"/>
    </row>
    <row r="483">
      <c r="A483" s="31"/>
      <c r="B483" s="31"/>
      <c r="C483" s="31"/>
      <c r="D483" s="31"/>
    </row>
    <row r="484">
      <c r="A484" s="31"/>
      <c r="B484" s="31"/>
      <c r="C484" s="31"/>
      <c r="D484" s="31"/>
    </row>
    <row r="485">
      <c r="A485" s="31"/>
      <c r="B485" s="31"/>
      <c r="C485" s="31"/>
      <c r="D485" s="31"/>
    </row>
    <row r="486">
      <c r="A486" s="31"/>
      <c r="B486" s="31"/>
      <c r="C486" s="31"/>
      <c r="D486" s="31"/>
    </row>
    <row r="487">
      <c r="A487" s="31"/>
      <c r="B487" s="31"/>
      <c r="C487" s="31"/>
      <c r="D487" s="31"/>
    </row>
    <row r="488">
      <c r="A488" s="31"/>
      <c r="B488" s="31"/>
      <c r="C488" s="31"/>
      <c r="D488" s="31"/>
    </row>
    <row r="489">
      <c r="A489" s="31"/>
      <c r="B489" s="31"/>
      <c r="C489" s="31"/>
      <c r="D489" s="31"/>
    </row>
    <row r="490">
      <c r="A490" s="31"/>
      <c r="B490" s="31"/>
      <c r="C490" s="31"/>
      <c r="D490" s="31"/>
    </row>
    <row r="491">
      <c r="A491" s="31"/>
      <c r="B491" s="31"/>
      <c r="C491" s="31"/>
      <c r="D491" s="31"/>
    </row>
    <row r="492">
      <c r="A492" s="31"/>
      <c r="B492" s="31"/>
      <c r="C492" s="31"/>
      <c r="D492" s="31"/>
    </row>
    <row r="493">
      <c r="A493" s="31"/>
      <c r="B493" s="31"/>
      <c r="C493" s="31"/>
      <c r="D493" s="31"/>
    </row>
    <row r="494">
      <c r="A494" s="31"/>
      <c r="B494" s="31"/>
      <c r="C494" s="31"/>
      <c r="D494" s="31"/>
    </row>
    <row r="495">
      <c r="A495" s="31"/>
      <c r="B495" s="31"/>
      <c r="C495" s="31"/>
      <c r="D495" s="31"/>
    </row>
    <row r="496">
      <c r="A496" s="31"/>
      <c r="B496" s="31"/>
      <c r="C496" s="31"/>
      <c r="D496" s="31"/>
    </row>
    <row r="497">
      <c r="A497" s="31"/>
      <c r="B497" s="31"/>
      <c r="C497" s="31"/>
      <c r="D497" s="31"/>
    </row>
    <row r="498">
      <c r="A498" s="31"/>
      <c r="B498" s="31"/>
      <c r="C498" s="31"/>
      <c r="D498" s="31"/>
    </row>
    <row r="499">
      <c r="A499" s="31"/>
      <c r="B499" s="31"/>
      <c r="C499" s="31"/>
      <c r="D499" s="31"/>
    </row>
    <row r="500">
      <c r="A500" s="31"/>
      <c r="B500" s="31"/>
      <c r="C500" s="31"/>
      <c r="D500" s="31"/>
    </row>
    <row r="501">
      <c r="A501" s="31"/>
      <c r="B501" s="31"/>
      <c r="C501" s="31"/>
      <c r="D501" s="31"/>
    </row>
    <row r="502">
      <c r="A502" s="31"/>
      <c r="B502" s="31"/>
      <c r="C502" s="31"/>
      <c r="D502" s="31"/>
    </row>
    <row r="503">
      <c r="A503" s="31"/>
      <c r="B503" s="31"/>
      <c r="C503" s="31"/>
      <c r="D503" s="31"/>
    </row>
    <row r="504">
      <c r="A504" s="31"/>
      <c r="B504" s="31"/>
      <c r="C504" s="31"/>
      <c r="D504" s="31"/>
    </row>
    <row r="505">
      <c r="A505" s="31"/>
      <c r="B505" s="31"/>
      <c r="C505" s="31"/>
      <c r="D505" s="31"/>
    </row>
    <row r="506">
      <c r="A506" s="31"/>
      <c r="B506" s="31"/>
      <c r="C506" s="31"/>
      <c r="D506" s="31"/>
    </row>
    <row r="507">
      <c r="A507" s="31"/>
      <c r="B507" s="31"/>
      <c r="C507" s="31"/>
      <c r="D507" s="31"/>
    </row>
    <row r="508">
      <c r="A508" s="31"/>
      <c r="B508" s="31"/>
      <c r="C508" s="31"/>
      <c r="D508" s="31"/>
    </row>
    <row r="509">
      <c r="A509" s="31"/>
      <c r="B509" s="31"/>
      <c r="C509" s="31"/>
      <c r="D509" s="31"/>
    </row>
    <row r="510">
      <c r="A510" s="31"/>
      <c r="B510" s="31"/>
      <c r="C510" s="31"/>
      <c r="D510" s="31"/>
    </row>
    <row r="511">
      <c r="A511" s="31"/>
      <c r="B511" s="31"/>
      <c r="C511" s="31"/>
      <c r="D511" s="31"/>
    </row>
    <row r="512">
      <c r="A512" s="31"/>
      <c r="B512" s="31"/>
      <c r="C512" s="31"/>
      <c r="D512" s="31"/>
    </row>
    <row r="513">
      <c r="A513" s="31"/>
      <c r="B513" s="31"/>
      <c r="C513" s="31"/>
      <c r="D513" s="31"/>
    </row>
    <row r="514">
      <c r="A514" s="31"/>
      <c r="B514" s="31"/>
      <c r="C514" s="31"/>
      <c r="D514" s="31"/>
    </row>
    <row r="515">
      <c r="A515" s="31"/>
      <c r="B515" s="31"/>
      <c r="C515" s="31"/>
      <c r="D515" s="31"/>
    </row>
    <row r="516">
      <c r="A516" s="31"/>
      <c r="B516" s="31"/>
      <c r="C516" s="31"/>
      <c r="D516" s="31"/>
    </row>
    <row r="517">
      <c r="A517" s="31"/>
      <c r="B517" s="31"/>
      <c r="C517" s="31"/>
      <c r="D517" s="31"/>
    </row>
    <row r="518">
      <c r="A518" s="31"/>
      <c r="B518" s="31"/>
      <c r="C518" s="31"/>
      <c r="D518" s="31"/>
    </row>
    <row r="519">
      <c r="A519" s="31"/>
      <c r="B519" s="31"/>
      <c r="C519" s="31"/>
      <c r="D519" s="31"/>
    </row>
    <row r="520">
      <c r="A520" s="31"/>
      <c r="B520" s="31"/>
      <c r="C520" s="31"/>
      <c r="D520" s="31"/>
    </row>
    <row r="521">
      <c r="A521" s="31"/>
      <c r="B521" s="31"/>
      <c r="C521" s="31"/>
      <c r="D521" s="31"/>
    </row>
    <row r="522">
      <c r="A522" s="31"/>
      <c r="B522" s="31"/>
      <c r="C522" s="31"/>
      <c r="D522" s="31"/>
    </row>
    <row r="523">
      <c r="A523" s="31"/>
      <c r="B523" s="31"/>
      <c r="C523" s="31"/>
      <c r="D523" s="31"/>
    </row>
    <row r="524">
      <c r="A524" s="31"/>
      <c r="B524" s="31"/>
      <c r="C524" s="31"/>
      <c r="D524" s="31"/>
    </row>
    <row r="525">
      <c r="A525" s="31"/>
      <c r="B525" s="31"/>
      <c r="C525" s="31"/>
      <c r="D525" s="31"/>
    </row>
    <row r="526">
      <c r="A526" s="31"/>
      <c r="B526" s="31"/>
      <c r="C526" s="31"/>
      <c r="D526" s="31"/>
    </row>
    <row r="527">
      <c r="A527" s="31"/>
      <c r="B527" s="31"/>
      <c r="C527" s="31"/>
      <c r="D527" s="31"/>
    </row>
    <row r="528">
      <c r="A528" s="31"/>
      <c r="B528" s="31"/>
      <c r="C528" s="31"/>
      <c r="D528" s="31"/>
    </row>
    <row r="529">
      <c r="A529" s="31"/>
      <c r="B529" s="31"/>
      <c r="C529" s="31"/>
      <c r="D529" s="31"/>
    </row>
    <row r="530">
      <c r="A530" s="31"/>
      <c r="B530" s="31"/>
      <c r="C530" s="31"/>
      <c r="D530" s="31"/>
    </row>
    <row r="531">
      <c r="A531" s="31"/>
      <c r="B531" s="31"/>
      <c r="C531" s="31"/>
      <c r="D531" s="31"/>
    </row>
    <row r="532">
      <c r="A532" s="31"/>
      <c r="B532" s="31"/>
      <c r="C532" s="31"/>
      <c r="D532" s="31"/>
    </row>
    <row r="533">
      <c r="A533" s="31"/>
      <c r="B533" s="31"/>
      <c r="C533" s="31"/>
      <c r="D533" s="31"/>
    </row>
    <row r="534">
      <c r="A534" s="31"/>
      <c r="B534" s="31"/>
      <c r="C534" s="31"/>
      <c r="D534" s="31"/>
    </row>
    <row r="535">
      <c r="A535" s="31"/>
      <c r="B535" s="31"/>
      <c r="C535" s="31"/>
      <c r="D535" s="31"/>
    </row>
    <row r="536">
      <c r="A536" s="31"/>
      <c r="B536" s="31"/>
      <c r="C536" s="31"/>
      <c r="D536" s="31"/>
    </row>
    <row r="537">
      <c r="A537" s="31"/>
      <c r="B537" s="31"/>
      <c r="C537" s="31"/>
      <c r="D537" s="31"/>
    </row>
    <row r="538">
      <c r="A538" s="31"/>
      <c r="B538" s="31"/>
      <c r="C538" s="31"/>
      <c r="D538" s="31"/>
    </row>
    <row r="539">
      <c r="A539" s="31"/>
      <c r="B539" s="31"/>
      <c r="C539" s="31"/>
      <c r="D539" s="31"/>
    </row>
    <row r="540">
      <c r="A540" s="31"/>
      <c r="B540" s="31"/>
      <c r="C540" s="31"/>
      <c r="D540" s="31"/>
    </row>
    <row r="541">
      <c r="A541" s="31"/>
      <c r="B541" s="31"/>
      <c r="C541" s="31"/>
      <c r="D541" s="31"/>
    </row>
    <row r="542">
      <c r="A542" s="31"/>
      <c r="B542" s="31"/>
      <c r="C542" s="31"/>
      <c r="D542" s="31"/>
    </row>
    <row r="543">
      <c r="A543" s="31"/>
      <c r="B543" s="31"/>
      <c r="C543" s="31"/>
      <c r="D543" s="31"/>
    </row>
    <row r="544">
      <c r="A544" s="31"/>
      <c r="B544" s="31"/>
      <c r="C544" s="31"/>
      <c r="D544" s="31"/>
    </row>
    <row r="545">
      <c r="A545" s="31"/>
      <c r="B545" s="31"/>
      <c r="C545" s="31"/>
      <c r="D545" s="31"/>
    </row>
    <row r="546">
      <c r="A546" s="31"/>
      <c r="B546" s="31"/>
      <c r="C546" s="31"/>
      <c r="D546" s="31"/>
    </row>
    <row r="547">
      <c r="A547" s="31"/>
      <c r="B547" s="31"/>
      <c r="C547" s="31"/>
      <c r="D547" s="31"/>
    </row>
    <row r="548">
      <c r="A548" s="31"/>
      <c r="B548" s="31"/>
      <c r="C548" s="31"/>
      <c r="D548" s="31"/>
    </row>
    <row r="549">
      <c r="A549" s="31"/>
      <c r="B549" s="31"/>
      <c r="C549" s="31"/>
      <c r="D549" s="31"/>
    </row>
    <row r="550">
      <c r="A550" s="31"/>
      <c r="B550" s="31"/>
      <c r="C550" s="31"/>
      <c r="D550" s="31"/>
    </row>
    <row r="551">
      <c r="A551" s="31"/>
      <c r="B551" s="31"/>
      <c r="C551" s="31"/>
      <c r="D551" s="31"/>
    </row>
    <row r="552">
      <c r="A552" s="31"/>
      <c r="B552" s="31"/>
      <c r="C552" s="31"/>
      <c r="D552" s="31"/>
    </row>
    <row r="553">
      <c r="A553" s="31"/>
      <c r="B553" s="31"/>
      <c r="C553" s="31"/>
      <c r="D553" s="31"/>
    </row>
    <row r="554">
      <c r="A554" s="31"/>
      <c r="B554" s="31"/>
      <c r="C554" s="31"/>
      <c r="D554" s="31"/>
    </row>
    <row r="555">
      <c r="A555" s="31"/>
      <c r="B555" s="31"/>
      <c r="C555" s="31"/>
      <c r="D555" s="31"/>
    </row>
    <row r="556">
      <c r="A556" s="31"/>
      <c r="B556" s="31"/>
      <c r="C556" s="31"/>
      <c r="D556" s="31"/>
    </row>
    <row r="557">
      <c r="A557" s="31"/>
      <c r="B557" s="31"/>
      <c r="C557" s="31"/>
      <c r="D557" s="31"/>
    </row>
    <row r="558">
      <c r="A558" s="31"/>
      <c r="B558" s="31"/>
      <c r="C558" s="31"/>
      <c r="D558" s="31"/>
    </row>
    <row r="559">
      <c r="A559" s="31"/>
      <c r="B559" s="31"/>
      <c r="C559" s="31"/>
      <c r="D559" s="31"/>
    </row>
    <row r="560">
      <c r="A560" s="31"/>
      <c r="B560" s="31"/>
      <c r="C560" s="31"/>
      <c r="D560" s="31"/>
    </row>
    <row r="561">
      <c r="A561" s="31"/>
      <c r="B561" s="31"/>
      <c r="C561" s="31"/>
      <c r="D561" s="31"/>
    </row>
    <row r="562">
      <c r="A562" s="31"/>
      <c r="B562" s="31"/>
      <c r="C562" s="31"/>
      <c r="D562" s="31"/>
    </row>
    <row r="563">
      <c r="A563" s="31"/>
      <c r="B563" s="31"/>
      <c r="C563" s="31"/>
      <c r="D563" s="31"/>
    </row>
    <row r="564">
      <c r="A564" s="31"/>
      <c r="B564" s="31"/>
      <c r="C564" s="31"/>
      <c r="D564" s="31"/>
    </row>
    <row r="565">
      <c r="A565" s="31"/>
      <c r="B565" s="31"/>
      <c r="C565" s="31"/>
      <c r="D565" s="31"/>
    </row>
    <row r="566">
      <c r="A566" s="31"/>
      <c r="B566" s="31"/>
      <c r="C566" s="31"/>
      <c r="D566" s="31"/>
    </row>
    <row r="567">
      <c r="A567" s="31"/>
      <c r="B567" s="31"/>
      <c r="C567" s="31"/>
      <c r="D567" s="31"/>
    </row>
    <row r="568">
      <c r="A568" s="31"/>
      <c r="B568" s="31"/>
      <c r="C568" s="31"/>
      <c r="D568" s="31"/>
    </row>
    <row r="569">
      <c r="A569" s="31"/>
      <c r="B569" s="31"/>
      <c r="C569" s="31"/>
      <c r="D569" s="31"/>
    </row>
    <row r="570">
      <c r="A570" s="31"/>
      <c r="B570" s="31"/>
      <c r="C570" s="31"/>
      <c r="D570" s="31"/>
    </row>
    <row r="571">
      <c r="A571" s="31"/>
      <c r="B571" s="31"/>
      <c r="C571" s="31"/>
      <c r="D571" s="31"/>
    </row>
    <row r="572">
      <c r="A572" s="31"/>
      <c r="B572" s="31"/>
      <c r="C572" s="31"/>
      <c r="D572" s="31"/>
    </row>
    <row r="573">
      <c r="A573" s="31"/>
      <c r="B573" s="31"/>
      <c r="C573" s="31"/>
      <c r="D573" s="31"/>
    </row>
    <row r="574">
      <c r="A574" s="31"/>
      <c r="B574" s="31"/>
      <c r="C574" s="31"/>
      <c r="D574" s="31"/>
    </row>
    <row r="575">
      <c r="A575" s="31"/>
      <c r="B575" s="31"/>
      <c r="C575" s="31"/>
      <c r="D575" s="31"/>
    </row>
    <row r="576">
      <c r="A576" s="31"/>
      <c r="B576" s="31"/>
      <c r="C576" s="31"/>
      <c r="D576" s="31"/>
    </row>
    <row r="577">
      <c r="A577" s="31"/>
      <c r="B577" s="31"/>
      <c r="C577" s="31"/>
      <c r="D577" s="31"/>
    </row>
    <row r="578">
      <c r="A578" s="31"/>
      <c r="B578" s="31"/>
      <c r="C578" s="31"/>
      <c r="D578" s="31"/>
    </row>
    <row r="579">
      <c r="A579" s="31"/>
      <c r="B579" s="31"/>
      <c r="C579" s="31"/>
      <c r="D579" s="31"/>
    </row>
    <row r="580">
      <c r="A580" s="31"/>
      <c r="B580" s="31"/>
      <c r="C580" s="31"/>
      <c r="D580" s="31"/>
    </row>
    <row r="581">
      <c r="A581" s="31"/>
      <c r="B581" s="31"/>
      <c r="C581" s="31"/>
      <c r="D581" s="31"/>
    </row>
    <row r="582">
      <c r="A582" s="31"/>
      <c r="B582" s="31"/>
      <c r="C582" s="31"/>
      <c r="D582" s="31"/>
    </row>
    <row r="583">
      <c r="A583" s="31"/>
      <c r="B583" s="31"/>
      <c r="C583" s="31"/>
      <c r="D583" s="31"/>
    </row>
    <row r="584">
      <c r="A584" s="31"/>
      <c r="B584" s="31"/>
      <c r="C584" s="31"/>
      <c r="D584" s="31"/>
    </row>
    <row r="585">
      <c r="A585" s="31"/>
      <c r="B585" s="31"/>
      <c r="C585" s="31"/>
      <c r="D585" s="31"/>
    </row>
    <row r="586">
      <c r="A586" s="31"/>
      <c r="B586" s="31"/>
      <c r="C586" s="31"/>
      <c r="D586" s="31"/>
    </row>
    <row r="587">
      <c r="A587" s="31"/>
      <c r="B587" s="31"/>
      <c r="C587" s="31"/>
      <c r="D587" s="31"/>
    </row>
    <row r="588">
      <c r="A588" s="31"/>
      <c r="B588" s="31"/>
      <c r="C588" s="31"/>
      <c r="D588" s="31"/>
    </row>
    <row r="589">
      <c r="A589" s="31"/>
      <c r="B589" s="31"/>
      <c r="C589" s="31"/>
      <c r="D589" s="31"/>
    </row>
    <row r="590">
      <c r="A590" s="31"/>
      <c r="B590" s="31"/>
      <c r="C590" s="31"/>
      <c r="D590" s="31"/>
    </row>
    <row r="591">
      <c r="A591" s="31"/>
      <c r="B591" s="31"/>
      <c r="C591" s="31"/>
      <c r="D591" s="31"/>
    </row>
    <row r="592">
      <c r="A592" s="31"/>
      <c r="B592" s="31"/>
      <c r="C592" s="31"/>
      <c r="D592" s="31"/>
    </row>
    <row r="593">
      <c r="A593" s="31"/>
      <c r="B593" s="31"/>
      <c r="C593" s="31"/>
      <c r="D593" s="31"/>
    </row>
    <row r="594">
      <c r="A594" s="31"/>
      <c r="B594" s="31"/>
      <c r="C594" s="31"/>
      <c r="D594" s="31"/>
    </row>
    <row r="595">
      <c r="A595" s="31"/>
      <c r="B595" s="31"/>
      <c r="C595" s="31"/>
      <c r="D595" s="31"/>
    </row>
    <row r="596">
      <c r="A596" s="31"/>
      <c r="B596" s="31"/>
      <c r="C596" s="31"/>
      <c r="D596" s="31"/>
    </row>
    <row r="597">
      <c r="A597" s="31"/>
      <c r="B597" s="31"/>
      <c r="C597" s="31"/>
      <c r="D597" s="31"/>
    </row>
    <row r="598">
      <c r="A598" s="31"/>
      <c r="B598" s="31"/>
      <c r="C598" s="31"/>
      <c r="D598" s="31"/>
    </row>
    <row r="599">
      <c r="A599" s="31"/>
      <c r="B599" s="31"/>
      <c r="C599" s="31"/>
      <c r="D599" s="31"/>
    </row>
    <row r="600">
      <c r="A600" s="31"/>
      <c r="B600" s="31"/>
      <c r="C600" s="31"/>
      <c r="D600" s="31"/>
    </row>
    <row r="601">
      <c r="A601" s="31"/>
      <c r="B601" s="31"/>
      <c r="C601" s="31"/>
      <c r="D601" s="31"/>
    </row>
    <row r="602">
      <c r="A602" s="31"/>
      <c r="B602" s="31"/>
      <c r="C602" s="31"/>
      <c r="D602" s="31"/>
    </row>
    <row r="603">
      <c r="A603" s="31"/>
      <c r="B603" s="31"/>
      <c r="C603" s="31"/>
      <c r="D603" s="31"/>
    </row>
    <row r="604">
      <c r="A604" s="31"/>
      <c r="B604" s="31"/>
      <c r="C604" s="31"/>
      <c r="D604" s="31"/>
    </row>
    <row r="605">
      <c r="A605" s="31"/>
      <c r="B605" s="31"/>
      <c r="C605" s="31"/>
      <c r="D605" s="31"/>
    </row>
    <row r="606">
      <c r="A606" s="31"/>
      <c r="B606" s="31"/>
      <c r="C606" s="31"/>
      <c r="D606" s="31"/>
    </row>
    <row r="607">
      <c r="A607" s="31"/>
      <c r="B607" s="31"/>
      <c r="C607" s="31"/>
      <c r="D607" s="31"/>
    </row>
    <row r="608">
      <c r="A608" s="31"/>
      <c r="B608" s="31"/>
      <c r="C608" s="31"/>
      <c r="D608" s="31"/>
    </row>
    <row r="609">
      <c r="A609" s="31"/>
      <c r="B609" s="31"/>
      <c r="C609" s="31"/>
      <c r="D609" s="31"/>
    </row>
    <row r="610">
      <c r="A610" s="31"/>
      <c r="B610" s="31"/>
      <c r="C610" s="31"/>
      <c r="D610" s="31"/>
    </row>
    <row r="611">
      <c r="A611" s="31"/>
      <c r="B611" s="31"/>
      <c r="C611" s="31"/>
      <c r="D611" s="31"/>
    </row>
    <row r="612">
      <c r="A612" s="31"/>
      <c r="B612" s="31"/>
      <c r="C612" s="31"/>
      <c r="D612" s="31"/>
    </row>
    <row r="613">
      <c r="A613" s="31"/>
      <c r="B613" s="31"/>
      <c r="C613" s="31"/>
      <c r="D613" s="31"/>
    </row>
    <row r="614">
      <c r="A614" s="31"/>
      <c r="B614" s="31"/>
      <c r="C614" s="31"/>
      <c r="D614" s="31"/>
    </row>
    <row r="615">
      <c r="A615" s="31"/>
      <c r="B615" s="31"/>
      <c r="C615" s="31"/>
      <c r="D615" s="31"/>
    </row>
    <row r="616">
      <c r="A616" s="31"/>
      <c r="B616" s="31"/>
      <c r="C616" s="31"/>
      <c r="D616" s="31"/>
    </row>
    <row r="617">
      <c r="A617" s="31"/>
      <c r="B617" s="31"/>
      <c r="C617" s="31"/>
      <c r="D617" s="31"/>
    </row>
    <row r="618">
      <c r="A618" s="31"/>
      <c r="B618" s="31"/>
      <c r="C618" s="31"/>
      <c r="D618" s="31"/>
    </row>
    <row r="619">
      <c r="A619" s="31"/>
      <c r="B619" s="31"/>
      <c r="C619" s="31"/>
      <c r="D619" s="31"/>
    </row>
    <row r="620">
      <c r="A620" s="31"/>
      <c r="B620" s="31"/>
      <c r="C620" s="31"/>
      <c r="D620" s="31"/>
    </row>
    <row r="621">
      <c r="A621" s="31"/>
      <c r="B621" s="31"/>
      <c r="C621" s="31"/>
      <c r="D621" s="31"/>
    </row>
    <row r="622">
      <c r="A622" s="31"/>
      <c r="B622" s="31"/>
      <c r="C622" s="31"/>
      <c r="D622" s="31"/>
    </row>
    <row r="623">
      <c r="A623" s="31"/>
      <c r="B623" s="31"/>
      <c r="C623" s="31"/>
      <c r="D623" s="31"/>
    </row>
    <row r="624">
      <c r="A624" s="31"/>
      <c r="B624" s="31"/>
      <c r="C624" s="31"/>
      <c r="D624" s="31"/>
    </row>
    <row r="625">
      <c r="A625" s="31"/>
      <c r="B625" s="31"/>
      <c r="C625" s="31"/>
      <c r="D625" s="31"/>
    </row>
    <row r="626">
      <c r="A626" s="31"/>
      <c r="B626" s="31"/>
      <c r="C626" s="31"/>
      <c r="D626" s="31"/>
    </row>
    <row r="627">
      <c r="A627" s="31"/>
      <c r="B627" s="31"/>
      <c r="C627" s="31"/>
      <c r="D627" s="31"/>
    </row>
    <row r="628">
      <c r="A628" s="31"/>
      <c r="B628" s="31"/>
      <c r="C628" s="31"/>
      <c r="D628" s="31"/>
    </row>
    <row r="629">
      <c r="A629" s="31"/>
      <c r="B629" s="31"/>
      <c r="C629" s="31"/>
      <c r="D629" s="31"/>
    </row>
    <row r="630">
      <c r="A630" s="31"/>
      <c r="B630" s="31"/>
      <c r="C630" s="31"/>
      <c r="D630" s="31"/>
    </row>
    <row r="631">
      <c r="A631" s="31"/>
      <c r="B631" s="31"/>
      <c r="C631" s="31"/>
      <c r="D631" s="31"/>
    </row>
    <row r="632">
      <c r="A632" s="31"/>
      <c r="B632" s="31"/>
      <c r="C632" s="31"/>
      <c r="D632" s="31"/>
    </row>
    <row r="633">
      <c r="A633" s="31"/>
      <c r="B633" s="31"/>
      <c r="C633" s="31"/>
      <c r="D633" s="31"/>
    </row>
    <row r="634">
      <c r="A634" s="31"/>
      <c r="B634" s="31"/>
      <c r="C634" s="31"/>
      <c r="D634" s="31"/>
    </row>
    <row r="635">
      <c r="A635" s="31"/>
      <c r="B635" s="31"/>
      <c r="C635" s="31"/>
      <c r="D635" s="31"/>
    </row>
    <row r="636">
      <c r="A636" s="31"/>
      <c r="B636" s="31"/>
      <c r="C636" s="31"/>
      <c r="D636" s="31"/>
    </row>
    <row r="637">
      <c r="A637" s="31"/>
      <c r="B637" s="31"/>
      <c r="C637" s="31"/>
      <c r="D637" s="31"/>
    </row>
    <row r="638">
      <c r="A638" s="31"/>
      <c r="B638" s="31"/>
      <c r="C638" s="31"/>
      <c r="D638" s="31"/>
    </row>
    <row r="639">
      <c r="A639" s="31"/>
      <c r="B639" s="31"/>
      <c r="C639" s="31"/>
      <c r="D639" s="31"/>
    </row>
    <row r="640">
      <c r="A640" s="31"/>
      <c r="B640" s="31"/>
      <c r="C640" s="31"/>
      <c r="D640" s="31"/>
    </row>
    <row r="641">
      <c r="A641" s="31"/>
      <c r="B641" s="31"/>
      <c r="C641" s="31"/>
      <c r="D641" s="31"/>
    </row>
    <row r="642">
      <c r="A642" s="31"/>
      <c r="B642" s="31"/>
      <c r="C642" s="31"/>
      <c r="D642" s="31"/>
    </row>
    <row r="643">
      <c r="A643" s="31"/>
      <c r="B643" s="31"/>
      <c r="C643" s="31"/>
      <c r="D643" s="31"/>
    </row>
    <row r="644">
      <c r="A644" s="31"/>
      <c r="B644" s="31"/>
      <c r="C644" s="31"/>
      <c r="D644" s="31"/>
    </row>
    <row r="645">
      <c r="A645" s="31"/>
      <c r="B645" s="31"/>
      <c r="C645" s="31"/>
      <c r="D645" s="31"/>
    </row>
    <row r="646">
      <c r="A646" s="31"/>
      <c r="B646" s="31"/>
      <c r="C646" s="31"/>
      <c r="D646" s="31"/>
    </row>
    <row r="647">
      <c r="A647" s="31"/>
      <c r="B647" s="31"/>
      <c r="C647" s="31"/>
      <c r="D647" s="31"/>
    </row>
    <row r="648">
      <c r="A648" s="31"/>
      <c r="B648" s="31"/>
      <c r="C648" s="31"/>
      <c r="D648" s="31"/>
    </row>
    <row r="649">
      <c r="A649" s="31"/>
      <c r="B649" s="31"/>
      <c r="C649" s="31"/>
      <c r="D649" s="31"/>
    </row>
    <row r="650">
      <c r="A650" s="31"/>
      <c r="B650" s="31"/>
      <c r="C650" s="31"/>
      <c r="D650" s="31"/>
    </row>
    <row r="651">
      <c r="A651" s="31"/>
      <c r="B651" s="31"/>
      <c r="C651" s="31"/>
      <c r="D651" s="31"/>
    </row>
    <row r="652">
      <c r="A652" s="31"/>
      <c r="B652" s="31"/>
      <c r="C652" s="31"/>
      <c r="D652" s="31"/>
    </row>
    <row r="653">
      <c r="A653" s="31"/>
      <c r="B653" s="31"/>
      <c r="C653" s="31"/>
      <c r="D653" s="31"/>
    </row>
    <row r="654">
      <c r="A654" s="31"/>
      <c r="B654" s="31"/>
      <c r="C654" s="31"/>
      <c r="D654" s="31"/>
    </row>
    <row r="655">
      <c r="A655" s="31"/>
      <c r="B655" s="31"/>
      <c r="C655" s="31"/>
      <c r="D655" s="31"/>
    </row>
    <row r="656">
      <c r="A656" s="31"/>
      <c r="B656" s="31"/>
      <c r="C656" s="31"/>
      <c r="D656" s="31"/>
    </row>
    <row r="657">
      <c r="A657" s="31"/>
      <c r="B657" s="31"/>
      <c r="C657" s="31"/>
      <c r="D657" s="31"/>
    </row>
    <row r="658">
      <c r="A658" s="31"/>
      <c r="B658" s="31"/>
      <c r="C658" s="31"/>
      <c r="D658" s="31"/>
    </row>
    <row r="659">
      <c r="A659" s="31"/>
      <c r="B659" s="31"/>
      <c r="C659" s="31"/>
      <c r="D659" s="31"/>
    </row>
    <row r="660">
      <c r="A660" s="31"/>
      <c r="B660" s="31"/>
      <c r="C660" s="31"/>
      <c r="D660" s="31"/>
    </row>
    <row r="661">
      <c r="A661" s="31"/>
      <c r="B661" s="31"/>
      <c r="C661" s="31"/>
      <c r="D661" s="31"/>
    </row>
    <row r="662">
      <c r="A662" s="31"/>
      <c r="B662" s="31"/>
      <c r="C662" s="31"/>
      <c r="D662" s="31"/>
    </row>
    <row r="663">
      <c r="A663" s="31"/>
      <c r="B663" s="31"/>
      <c r="C663" s="31"/>
      <c r="D663" s="31"/>
    </row>
    <row r="664">
      <c r="A664" s="31"/>
      <c r="B664" s="31"/>
      <c r="C664" s="31"/>
      <c r="D664" s="31"/>
    </row>
    <row r="665">
      <c r="A665" s="31"/>
      <c r="B665" s="31"/>
      <c r="C665" s="31"/>
      <c r="D665" s="31"/>
    </row>
    <row r="666">
      <c r="A666" s="31"/>
      <c r="B666" s="31"/>
      <c r="C666" s="31"/>
      <c r="D666" s="31"/>
    </row>
    <row r="667">
      <c r="A667" s="31"/>
      <c r="B667" s="31"/>
      <c r="C667" s="31"/>
      <c r="D667" s="31"/>
    </row>
    <row r="668">
      <c r="A668" s="31"/>
      <c r="B668" s="31"/>
      <c r="C668" s="31"/>
      <c r="D668" s="31"/>
    </row>
    <row r="669">
      <c r="A669" s="31"/>
      <c r="B669" s="31"/>
      <c r="C669" s="31"/>
      <c r="D669" s="31"/>
    </row>
    <row r="670">
      <c r="A670" s="31"/>
      <c r="B670" s="31"/>
      <c r="C670" s="31"/>
      <c r="D670" s="31"/>
    </row>
    <row r="671">
      <c r="A671" s="31"/>
      <c r="B671" s="31"/>
      <c r="C671" s="31"/>
      <c r="D671" s="31"/>
    </row>
    <row r="672">
      <c r="A672" s="31"/>
      <c r="B672" s="31"/>
      <c r="C672" s="31"/>
      <c r="D672" s="31"/>
    </row>
    <row r="673">
      <c r="A673" s="31"/>
      <c r="B673" s="31"/>
      <c r="C673" s="31"/>
      <c r="D673" s="31"/>
    </row>
    <row r="674">
      <c r="A674" s="31"/>
      <c r="B674" s="31"/>
      <c r="C674" s="31"/>
      <c r="D674" s="31"/>
    </row>
    <row r="675">
      <c r="A675" s="31"/>
      <c r="B675" s="31"/>
      <c r="C675" s="31"/>
      <c r="D675" s="31"/>
    </row>
    <row r="676">
      <c r="A676" s="31"/>
      <c r="B676" s="31"/>
      <c r="C676" s="31"/>
      <c r="D676" s="31"/>
    </row>
    <row r="677">
      <c r="A677" s="31"/>
      <c r="B677" s="31"/>
      <c r="C677" s="31"/>
      <c r="D677" s="31"/>
    </row>
    <row r="678">
      <c r="A678" s="31"/>
      <c r="B678" s="31"/>
      <c r="C678" s="31"/>
      <c r="D678" s="31"/>
    </row>
    <row r="679">
      <c r="A679" s="31"/>
      <c r="B679" s="31"/>
      <c r="C679" s="31"/>
      <c r="D679" s="31"/>
    </row>
    <row r="680">
      <c r="A680" s="31"/>
      <c r="B680" s="31"/>
      <c r="C680" s="31"/>
      <c r="D680" s="31"/>
    </row>
    <row r="681">
      <c r="A681" s="31"/>
      <c r="B681" s="31"/>
      <c r="C681" s="31"/>
      <c r="D681" s="31"/>
    </row>
    <row r="682">
      <c r="A682" s="31"/>
      <c r="B682" s="31"/>
      <c r="C682" s="31"/>
      <c r="D682" s="31"/>
    </row>
    <row r="683">
      <c r="A683" s="31"/>
      <c r="B683" s="31"/>
      <c r="C683" s="31"/>
      <c r="D683" s="31"/>
    </row>
    <row r="684">
      <c r="A684" s="31"/>
      <c r="B684" s="31"/>
      <c r="C684" s="31"/>
      <c r="D684" s="31"/>
    </row>
    <row r="685">
      <c r="A685" s="31"/>
      <c r="B685" s="31"/>
      <c r="C685" s="31"/>
      <c r="D685" s="31"/>
    </row>
    <row r="686">
      <c r="A686" s="31"/>
      <c r="B686" s="31"/>
      <c r="C686" s="31"/>
      <c r="D686" s="31"/>
    </row>
    <row r="687">
      <c r="A687" s="31"/>
      <c r="B687" s="31"/>
      <c r="C687" s="31"/>
      <c r="D687" s="31"/>
    </row>
    <row r="688">
      <c r="A688" s="31"/>
      <c r="B688" s="31"/>
      <c r="C688" s="31"/>
      <c r="D688" s="31"/>
    </row>
    <row r="689">
      <c r="A689" s="31"/>
      <c r="B689" s="31"/>
      <c r="C689" s="31"/>
      <c r="D689" s="31"/>
    </row>
    <row r="690">
      <c r="A690" s="31"/>
      <c r="B690" s="31"/>
      <c r="C690" s="31"/>
      <c r="D690" s="31"/>
    </row>
    <row r="691">
      <c r="A691" s="31"/>
      <c r="B691" s="31"/>
      <c r="C691" s="31"/>
      <c r="D691" s="31"/>
    </row>
    <row r="692">
      <c r="A692" s="31"/>
      <c r="B692" s="31"/>
      <c r="C692" s="31"/>
      <c r="D692" s="31"/>
    </row>
    <row r="693">
      <c r="A693" s="31"/>
      <c r="B693" s="31"/>
      <c r="C693" s="31"/>
      <c r="D693" s="31"/>
    </row>
    <row r="694">
      <c r="A694" s="31"/>
      <c r="B694" s="31"/>
      <c r="C694" s="31"/>
      <c r="D694" s="31"/>
    </row>
    <row r="695">
      <c r="A695" s="31"/>
      <c r="B695" s="31"/>
      <c r="C695" s="31"/>
      <c r="D695" s="31"/>
    </row>
    <row r="696">
      <c r="A696" s="31"/>
      <c r="B696" s="31"/>
      <c r="C696" s="31"/>
      <c r="D696" s="31"/>
    </row>
    <row r="697">
      <c r="A697" s="31"/>
      <c r="B697" s="31"/>
      <c r="C697" s="31"/>
      <c r="D697" s="31"/>
    </row>
    <row r="698">
      <c r="A698" s="31"/>
      <c r="B698" s="31"/>
      <c r="C698" s="31"/>
      <c r="D698" s="31"/>
    </row>
    <row r="699">
      <c r="A699" s="31"/>
      <c r="B699" s="31"/>
      <c r="C699" s="31"/>
      <c r="D699" s="31"/>
    </row>
    <row r="700">
      <c r="A700" s="31"/>
      <c r="B700" s="31"/>
      <c r="C700" s="31"/>
      <c r="D700" s="31"/>
    </row>
    <row r="701">
      <c r="A701" s="31"/>
      <c r="B701" s="31"/>
      <c r="C701" s="31"/>
      <c r="D701" s="31"/>
    </row>
    <row r="702">
      <c r="A702" s="31"/>
      <c r="B702" s="31"/>
      <c r="C702" s="31"/>
      <c r="D702" s="31"/>
    </row>
    <row r="703">
      <c r="A703" s="31"/>
      <c r="B703" s="31"/>
      <c r="C703" s="31"/>
      <c r="D703" s="31"/>
    </row>
    <row r="704">
      <c r="A704" s="31"/>
      <c r="B704" s="31"/>
      <c r="C704" s="31"/>
      <c r="D704" s="31"/>
    </row>
    <row r="705">
      <c r="A705" s="31"/>
      <c r="B705" s="31"/>
      <c r="C705" s="31"/>
      <c r="D705" s="31"/>
    </row>
    <row r="706">
      <c r="A706" s="31"/>
      <c r="B706" s="31"/>
      <c r="C706" s="31"/>
      <c r="D706" s="31"/>
    </row>
    <row r="707">
      <c r="A707" s="31"/>
      <c r="B707" s="31"/>
      <c r="C707" s="31"/>
      <c r="D707" s="31"/>
    </row>
    <row r="708">
      <c r="A708" s="31"/>
      <c r="B708" s="31"/>
      <c r="C708" s="31"/>
      <c r="D708" s="31"/>
    </row>
    <row r="709">
      <c r="A709" s="31"/>
      <c r="B709" s="31"/>
      <c r="C709" s="31"/>
      <c r="D709" s="31"/>
    </row>
    <row r="710">
      <c r="A710" s="31"/>
      <c r="B710" s="31"/>
      <c r="C710" s="31"/>
      <c r="D710" s="31"/>
    </row>
    <row r="711">
      <c r="A711" s="31"/>
      <c r="B711" s="31"/>
      <c r="C711" s="31"/>
      <c r="D711" s="31"/>
    </row>
    <row r="712">
      <c r="A712" s="31"/>
      <c r="B712" s="31"/>
      <c r="C712" s="31"/>
      <c r="D712" s="31"/>
    </row>
    <row r="713">
      <c r="A713" s="31"/>
      <c r="B713" s="31"/>
      <c r="C713" s="31"/>
      <c r="D713" s="31"/>
    </row>
    <row r="714">
      <c r="A714" s="31"/>
      <c r="B714" s="31"/>
      <c r="C714" s="31"/>
      <c r="D714" s="31"/>
    </row>
    <row r="715">
      <c r="A715" s="31"/>
      <c r="B715" s="31"/>
      <c r="C715" s="31"/>
      <c r="D715" s="31"/>
    </row>
    <row r="716">
      <c r="A716" s="31"/>
      <c r="B716" s="31"/>
      <c r="C716" s="31"/>
      <c r="D716" s="31"/>
    </row>
    <row r="717">
      <c r="A717" s="31"/>
      <c r="B717" s="31"/>
      <c r="C717" s="31"/>
      <c r="D717" s="31"/>
    </row>
    <row r="718">
      <c r="A718" s="31"/>
      <c r="B718" s="31"/>
      <c r="C718" s="31"/>
      <c r="D718" s="31"/>
    </row>
    <row r="719">
      <c r="A719" s="31"/>
      <c r="B719" s="31"/>
      <c r="C719" s="31"/>
      <c r="D719" s="31"/>
    </row>
    <row r="720">
      <c r="A720" s="31"/>
      <c r="B720" s="31"/>
      <c r="C720" s="31"/>
      <c r="D720" s="31"/>
    </row>
    <row r="721">
      <c r="A721" s="31"/>
      <c r="B721" s="31"/>
      <c r="C721" s="31"/>
      <c r="D721" s="31"/>
    </row>
    <row r="722">
      <c r="A722" s="31"/>
      <c r="B722" s="31"/>
      <c r="C722" s="31"/>
      <c r="D722" s="31"/>
    </row>
    <row r="723">
      <c r="A723" s="31"/>
      <c r="B723" s="31"/>
      <c r="C723" s="31"/>
      <c r="D723" s="31"/>
    </row>
    <row r="724">
      <c r="A724" s="31"/>
      <c r="B724" s="31"/>
      <c r="C724" s="31"/>
      <c r="D724" s="31"/>
    </row>
    <row r="725">
      <c r="A725" s="31"/>
      <c r="B725" s="31"/>
      <c r="C725" s="31"/>
      <c r="D725" s="31"/>
    </row>
    <row r="726">
      <c r="A726" s="31"/>
      <c r="B726" s="31"/>
      <c r="C726" s="31"/>
      <c r="D726" s="31"/>
    </row>
    <row r="727">
      <c r="A727" s="31"/>
      <c r="B727" s="31"/>
      <c r="C727" s="31"/>
      <c r="D727" s="31"/>
    </row>
    <row r="728">
      <c r="A728" s="31"/>
      <c r="B728" s="31"/>
      <c r="C728" s="31"/>
      <c r="D728" s="31"/>
    </row>
    <row r="729">
      <c r="A729" s="31"/>
      <c r="B729" s="31"/>
      <c r="C729" s="31"/>
      <c r="D729" s="31"/>
    </row>
    <row r="730">
      <c r="A730" s="31"/>
      <c r="B730" s="31"/>
      <c r="C730" s="31"/>
      <c r="D730" s="31"/>
    </row>
    <row r="731">
      <c r="A731" s="31"/>
      <c r="B731" s="31"/>
      <c r="C731" s="31"/>
      <c r="D731" s="31"/>
    </row>
    <row r="732">
      <c r="A732" s="31"/>
      <c r="B732" s="31"/>
      <c r="C732" s="31"/>
      <c r="D732" s="31"/>
    </row>
    <row r="733">
      <c r="A733" s="31"/>
      <c r="B733" s="31"/>
      <c r="C733" s="31"/>
      <c r="D733" s="31"/>
    </row>
    <row r="734">
      <c r="A734" s="31"/>
      <c r="B734" s="31"/>
      <c r="C734" s="31"/>
      <c r="D734" s="31"/>
    </row>
    <row r="735">
      <c r="A735" s="31"/>
      <c r="B735" s="31"/>
      <c r="C735" s="31"/>
      <c r="D735" s="31"/>
    </row>
    <row r="736">
      <c r="A736" s="31"/>
      <c r="B736" s="31"/>
      <c r="C736" s="31"/>
      <c r="D736" s="31"/>
    </row>
    <row r="737">
      <c r="A737" s="31"/>
      <c r="B737" s="31"/>
      <c r="C737" s="31"/>
      <c r="D737" s="31"/>
    </row>
    <row r="738">
      <c r="A738" s="31"/>
      <c r="B738" s="31"/>
      <c r="C738" s="31"/>
      <c r="D738" s="31"/>
    </row>
    <row r="739">
      <c r="A739" s="31"/>
      <c r="B739" s="31"/>
      <c r="C739" s="31"/>
      <c r="D739" s="31"/>
    </row>
    <row r="740">
      <c r="A740" s="31"/>
      <c r="B740" s="31"/>
      <c r="C740" s="31"/>
      <c r="D740" s="31"/>
    </row>
    <row r="741">
      <c r="A741" s="31"/>
      <c r="B741" s="31"/>
      <c r="C741" s="31"/>
      <c r="D741" s="31"/>
    </row>
    <row r="742">
      <c r="A742" s="31"/>
      <c r="B742" s="31"/>
      <c r="C742" s="31"/>
      <c r="D742" s="31"/>
    </row>
    <row r="743">
      <c r="A743" s="31"/>
      <c r="B743" s="31"/>
      <c r="C743" s="31"/>
      <c r="D743" s="31"/>
    </row>
    <row r="744">
      <c r="A744" s="31"/>
      <c r="B744" s="31"/>
      <c r="C744" s="31"/>
      <c r="D744" s="31"/>
    </row>
    <row r="745">
      <c r="A745" s="31"/>
      <c r="B745" s="31"/>
      <c r="C745" s="31"/>
      <c r="D745" s="31"/>
    </row>
    <row r="746">
      <c r="A746" s="31"/>
      <c r="B746" s="31"/>
      <c r="C746" s="31"/>
      <c r="D746" s="31"/>
    </row>
    <row r="747">
      <c r="A747" s="31"/>
      <c r="B747" s="31"/>
      <c r="C747" s="31"/>
      <c r="D747" s="31"/>
    </row>
    <row r="748">
      <c r="A748" s="31"/>
      <c r="B748" s="31"/>
      <c r="C748" s="31"/>
      <c r="D748" s="31"/>
    </row>
    <row r="749">
      <c r="A749" s="31"/>
      <c r="B749" s="31"/>
      <c r="C749" s="31"/>
      <c r="D749" s="31"/>
    </row>
    <row r="750">
      <c r="A750" s="31"/>
      <c r="B750" s="31"/>
      <c r="C750" s="31"/>
      <c r="D750" s="31"/>
    </row>
    <row r="751">
      <c r="A751" s="31"/>
      <c r="B751" s="31"/>
      <c r="C751" s="31"/>
      <c r="D751" s="31"/>
    </row>
    <row r="752">
      <c r="A752" s="31"/>
      <c r="B752" s="31"/>
      <c r="C752" s="31"/>
      <c r="D752" s="31"/>
    </row>
    <row r="753">
      <c r="A753" s="31"/>
      <c r="B753" s="31"/>
      <c r="C753" s="31"/>
      <c r="D753" s="31"/>
    </row>
    <row r="754">
      <c r="A754" s="31"/>
      <c r="B754" s="31"/>
      <c r="C754" s="31"/>
      <c r="D754" s="31"/>
    </row>
    <row r="755">
      <c r="A755" s="31"/>
      <c r="B755" s="31"/>
      <c r="C755" s="31"/>
      <c r="D755" s="31"/>
    </row>
    <row r="756">
      <c r="A756" s="31"/>
      <c r="B756" s="31"/>
      <c r="C756" s="31"/>
      <c r="D756" s="31"/>
    </row>
    <row r="757">
      <c r="A757" s="31"/>
      <c r="B757" s="31"/>
      <c r="C757" s="31"/>
      <c r="D757" s="31"/>
    </row>
    <row r="758">
      <c r="A758" s="31"/>
      <c r="B758" s="31"/>
      <c r="C758" s="31"/>
      <c r="D758" s="31"/>
    </row>
    <row r="759">
      <c r="A759" s="31"/>
      <c r="B759" s="31"/>
      <c r="C759" s="31"/>
      <c r="D759" s="31"/>
    </row>
    <row r="760">
      <c r="A760" s="31"/>
      <c r="B760" s="31"/>
      <c r="C760" s="31"/>
      <c r="D760" s="31"/>
    </row>
    <row r="761">
      <c r="A761" s="31"/>
      <c r="B761" s="31"/>
      <c r="C761" s="31"/>
      <c r="D761" s="31"/>
    </row>
    <row r="762">
      <c r="A762" s="31"/>
      <c r="B762" s="31"/>
      <c r="C762" s="31"/>
      <c r="D762" s="31"/>
    </row>
    <row r="763">
      <c r="A763" s="31"/>
      <c r="B763" s="31"/>
      <c r="C763" s="31"/>
      <c r="D763" s="31"/>
    </row>
    <row r="764">
      <c r="A764" s="31"/>
      <c r="B764" s="31"/>
      <c r="C764" s="31"/>
      <c r="D764" s="31"/>
    </row>
    <row r="765">
      <c r="A765" s="31"/>
      <c r="B765" s="31"/>
      <c r="C765" s="31"/>
      <c r="D765" s="31"/>
    </row>
    <row r="766">
      <c r="A766" s="31"/>
      <c r="B766" s="31"/>
      <c r="C766" s="31"/>
      <c r="D766" s="31"/>
    </row>
    <row r="767">
      <c r="A767" s="31"/>
      <c r="B767" s="31"/>
      <c r="C767" s="31"/>
      <c r="D767" s="31"/>
    </row>
    <row r="768">
      <c r="A768" s="31"/>
      <c r="B768" s="31"/>
      <c r="C768" s="31"/>
      <c r="D768" s="31"/>
    </row>
    <row r="769">
      <c r="A769" s="31"/>
      <c r="B769" s="31"/>
      <c r="C769" s="31"/>
      <c r="D769" s="31"/>
    </row>
    <row r="770">
      <c r="A770" s="31"/>
      <c r="B770" s="31"/>
      <c r="C770" s="31"/>
      <c r="D770" s="31"/>
    </row>
    <row r="771">
      <c r="A771" s="31"/>
      <c r="B771" s="31"/>
      <c r="C771" s="31"/>
      <c r="D771" s="31"/>
    </row>
    <row r="772">
      <c r="A772" s="31"/>
      <c r="B772" s="31"/>
      <c r="C772" s="31"/>
      <c r="D772" s="31"/>
    </row>
    <row r="773">
      <c r="A773" s="31"/>
      <c r="B773" s="31"/>
      <c r="C773" s="31"/>
      <c r="D773" s="31"/>
    </row>
    <row r="774">
      <c r="A774" s="31"/>
      <c r="B774" s="31"/>
      <c r="C774" s="31"/>
      <c r="D774" s="31"/>
    </row>
    <row r="775">
      <c r="A775" s="31"/>
      <c r="B775" s="31"/>
      <c r="C775" s="31"/>
      <c r="D775" s="31"/>
    </row>
    <row r="776">
      <c r="A776" s="31"/>
      <c r="B776" s="31"/>
      <c r="C776" s="31"/>
      <c r="D776" s="31"/>
    </row>
    <row r="777">
      <c r="A777" s="31"/>
      <c r="B777" s="31"/>
      <c r="C777" s="31"/>
      <c r="D777" s="31"/>
    </row>
    <row r="778">
      <c r="A778" s="31"/>
      <c r="B778" s="31"/>
      <c r="C778" s="31"/>
      <c r="D778" s="31"/>
    </row>
    <row r="779">
      <c r="A779" s="31"/>
      <c r="B779" s="31"/>
      <c r="C779" s="31"/>
      <c r="D779" s="31"/>
    </row>
    <row r="780">
      <c r="A780" s="31"/>
      <c r="B780" s="31"/>
      <c r="C780" s="31"/>
      <c r="D780" s="31"/>
    </row>
    <row r="781">
      <c r="A781" s="31"/>
      <c r="B781" s="31"/>
      <c r="C781" s="31"/>
      <c r="D781" s="31"/>
    </row>
    <row r="782">
      <c r="A782" s="31"/>
      <c r="B782" s="31"/>
      <c r="C782" s="31"/>
      <c r="D782" s="31"/>
    </row>
    <row r="783">
      <c r="A783" s="31"/>
      <c r="B783" s="31"/>
      <c r="C783" s="31"/>
      <c r="D783" s="31"/>
    </row>
    <row r="784">
      <c r="A784" s="31"/>
      <c r="B784" s="31"/>
      <c r="C784" s="31"/>
      <c r="D784" s="31"/>
    </row>
    <row r="785">
      <c r="A785" s="31"/>
      <c r="B785" s="31"/>
      <c r="C785" s="31"/>
      <c r="D785" s="31"/>
    </row>
    <row r="786">
      <c r="A786" s="31"/>
      <c r="B786" s="31"/>
      <c r="C786" s="31"/>
      <c r="D786" s="31"/>
    </row>
    <row r="787">
      <c r="A787" s="31"/>
      <c r="B787" s="31"/>
      <c r="C787" s="31"/>
      <c r="D787" s="31"/>
    </row>
    <row r="788">
      <c r="A788" s="31"/>
      <c r="B788" s="31"/>
      <c r="C788" s="31"/>
      <c r="D788" s="31"/>
    </row>
    <row r="789">
      <c r="A789" s="31"/>
      <c r="B789" s="31"/>
      <c r="C789" s="31"/>
      <c r="D789" s="31"/>
    </row>
    <row r="790">
      <c r="A790" s="31"/>
      <c r="B790" s="31"/>
      <c r="C790" s="31"/>
      <c r="D790" s="31"/>
    </row>
    <row r="791">
      <c r="A791" s="31"/>
      <c r="B791" s="31"/>
      <c r="C791" s="31"/>
      <c r="D791" s="31"/>
    </row>
    <row r="792">
      <c r="A792" s="31"/>
      <c r="B792" s="31"/>
      <c r="C792" s="31"/>
      <c r="D792" s="31"/>
    </row>
    <row r="793">
      <c r="A793" s="31"/>
      <c r="B793" s="31"/>
      <c r="C793" s="31"/>
      <c r="D793" s="31"/>
    </row>
    <row r="794">
      <c r="A794" s="31"/>
      <c r="B794" s="31"/>
      <c r="C794" s="31"/>
      <c r="D794" s="31"/>
    </row>
    <row r="795">
      <c r="A795" s="31"/>
      <c r="B795" s="31"/>
      <c r="C795" s="31"/>
      <c r="D795" s="31"/>
    </row>
    <row r="796">
      <c r="A796" s="31"/>
      <c r="B796" s="31"/>
      <c r="C796" s="31"/>
      <c r="D796" s="31"/>
    </row>
    <row r="797">
      <c r="A797" s="31"/>
      <c r="B797" s="31"/>
      <c r="C797" s="31"/>
      <c r="D797" s="31"/>
    </row>
    <row r="798">
      <c r="A798" s="31"/>
      <c r="B798" s="31"/>
      <c r="C798" s="31"/>
      <c r="D798" s="31"/>
    </row>
    <row r="799">
      <c r="A799" s="31"/>
      <c r="B799" s="31"/>
      <c r="C799" s="31"/>
      <c r="D799" s="31"/>
    </row>
    <row r="800">
      <c r="A800" s="31"/>
      <c r="B800" s="31"/>
      <c r="C800" s="31"/>
      <c r="D800" s="31"/>
    </row>
    <row r="801">
      <c r="A801" s="31"/>
      <c r="B801" s="31"/>
      <c r="C801" s="31"/>
      <c r="D801" s="31"/>
    </row>
    <row r="802">
      <c r="A802" s="31"/>
      <c r="B802" s="31"/>
      <c r="C802" s="31"/>
      <c r="D802" s="31"/>
    </row>
    <row r="803">
      <c r="A803" s="31"/>
      <c r="B803" s="31"/>
      <c r="C803" s="31"/>
      <c r="D803" s="31"/>
    </row>
    <row r="804">
      <c r="A804" s="31"/>
      <c r="B804" s="31"/>
      <c r="C804" s="31"/>
      <c r="D804" s="31"/>
    </row>
    <row r="805">
      <c r="A805" s="31"/>
      <c r="B805" s="31"/>
      <c r="C805" s="31"/>
      <c r="D805" s="31"/>
    </row>
    <row r="806">
      <c r="A806" s="31"/>
      <c r="B806" s="31"/>
      <c r="C806" s="31"/>
      <c r="D806" s="31"/>
    </row>
    <row r="807">
      <c r="A807" s="31"/>
      <c r="B807" s="31"/>
      <c r="C807" s="31"/>
      <c r="D807" s="31"/>
    </row>
    <row r="808">
      <c r="A808" s="31"/>
      <c r="B808" s="31"/>
      <c r="C808" s="31"/>
      <c r="D808" s="31"/>
    </row>
    <row r="809">
      <c r="A809" s="31"/>
      <c r="B809" s="31"/>
      <c r="C809" s="31"/>
      <c r="D809" s="31"/>
    </row>
    <row r="810">
      <c r="A810" s="31"/>
      <c r="B810" s="31"/>
      <c r="C810" s="31"/>
      <c r="D810" s="31"/>
    </row>
    <row r="811">
      <c r="A811" s="31"/>
      <c r="B811" s="31"/>
      <c r="C811" s="31"/>
      <c r="D811" s="31"/>
    </row>
    <row r="812">
      <c r="A812" s="31"/>
      <c r="B812" s="31"/>
      <c r="C812" s="31"/>
      <c r="D812" s="31"/>
    </row>
    <row r="813">
      <c r="A813" s="31"/>
      <c r="B813" s="31"/>
      <c r="C813" s="31"/>
      <c r="D813" s="31"/>
    </row>
    <row r="814">
      <c r="A814" s="31"/>
      <c r="B814" s="31"/>
      <c r="C814" s="31"/>
      <c r="D814" s="31"/>
    </row>
    <row r="815">
      <c r="A815" s="31"/>
      <c r="B815" s="31"/>
      <c r="C815" s="31"/>
      <c r="D815" s="31"/>
    </row>
    <row r="816">
      <c r="A816" s="31"/>
      <c r="B816" s="31"/>
      <c r="C816" s="31"/>
      <c r="D816" s="31"/>
    </row>
    <row r="817">
      <c r="A817" s="31"/>
      <c r="B817" s="31"/>
      <c r="C817" s="31"/>
      <c r="D817" s="31"/>
    </row>
    <row r="818">
      <c r="A818" s="31"/>
      <c r="B818" s="31"/>
      <c r="C818" s="31"/>
      <c r="D818" s="31"/>
    </row>
    <row r="819">
      <c r="A819" s="31"/>
      <c r="B819" s="31"/>
      <c r="C819" s="31"/>
      <c r="D819" s="31"/>
    </row>
    <row r="820">
      <c r="A820" s="31"/>
      <c r="B820" s="31"/>
      <c r="C820" s="31"/>
      <c r="D820" s="31"/>
    </row>
    <row r="821">
      <c r="A821" s="31"/>
      <c r="B821" s="31"/>
      <c r="C821" s="31"/>
      <c r="D821" s="31"/>
    </row>
    <row r="822">
      <c r="A822" s="31"/>
      <c r="B822" s="31"/>
      <c r="C822" s="31"/>
      <c r="D822" s="31"/>
    </row>
    <row r="823">
      <c r="A823" s="31"/>
      <c r="B823" s="31"/>
      <c r="C823" s="31"/>
      <c r="D823" s="31"/>
    </row>
    <row r="824">
      <c r="A824" s="31"/>
      <c r="B824" s="31"/>
      <c r="C824" s="31"/>
      <c r="D824" s="31"/>
    </row>
    <row r="825">
      <c r="A825" s="31"/>
      <c r="B825" s="31"/>
      <c r="C825" s="31"/>
      <c r="D825" s="31"/>
    </row>
    <row r="826">
      <c r="A826" s="31"/>
      <c r="B826" s="31"/>
      <c r="C826" s="31"/>
      <c r="D826" s="31"/>
    </row>
    <row r="827">
      <c r="A827" s="31"/>
      <c r="B827" s="31"/>
      <c r="C827" s="31"/>
      <c r="D827" s="31"/>
    </row>
    <row r="828">
      <c r="A828" s="31"/>
      <c r="B828" s="31"/>
      <c r="C828" s="31"/>
      <c r="D828" s="31"/>
    </row>
    <row r="829">
      <c r="A829" s="31"/>
      <c r="B829" s="31"/>
      <c r="C829" s="31"/>
      <c r="D829" s="31"/>
    </row>
    <row r="830">
      <c r="A830" s="31"/>
      <c r="B830" s="31"/>
      <c r="C830" s="31"/>
      <c r="D830" s="31"/>
    </row>
    <row r="831">
      <c r="A831" s="31"/>
      <c r="B831" s="31"/>
      <c r="C831" s="31"/>
      <c r="D831" s="31"/>
    </row>
    <row r="832">
      <c r="A832" s="31"/>
      <c r="B832" s="31"/>
      <c r="C832" s="31"/>
      <c r="D832" s="31"/>
    </row>
    <row r="833">
      <c r="A833" s="31"/>
      <c r="B833" s="31"/>
      <c r="C833" s="31"/>
      <c r="D833" s="31"/>
    </row>
    <row r="834">
      <c r="A834" s="31"/>
      <c r="B834" s="31"/>
      <c r="C834" s="31"/>
      <c r="D834" s="31"/>
    </row>
    <row r="835">
      <c r="A835" s="31"/>
      <c r="B835" s="31"/>
      <c r="C835" s="31"/>
      <c r="D835" s="31"/>
    </row>
    <row r="836">
      <c r="A836" s="31"/>
      <c r="B836" s="31"/>
      <c r="C836" s="31"/>
      <c r="D836" s="31"/>
    </row>
    <row r="837">
      <c r="A837" s="31"/>
      <c r="B837" s="31"/>
      <c r="C837" s="31"/>
      <c r="D837" s="31"/>
    </row>
    <row r="838">
      <c r="A838" s="31"/>
      <c r="B838" s="31"/>
      <c r="C838" s="31"/>
      <c r="D838" s="31"/>
    </row>
    <row r="839">
      <c r="A839" s="31"/>
      <c r="B839" s="31"/>
      <c r="C839" s="31"/>
      <c r="D839" s="31"/>
    </row>
    <row r="840">
      <c r="A840" s="31"/>
      <c r="B840" s="31"/>
      <c r="C840" s="31"/>
      <c r="D840" s="31"/>
    </row>
    <row r="841">
      <c r="A841" s="31"/>
      <c r="B841" s="31"/>
      <c r="C841" s="31"/>
      <c r="D841" s="31"/>
    </row>
    <row r="842">
      <c r="A842" s="31"/>
      <c r="B842" s="31"/>
      <c r="C842" s="31"/>
      <c r="D842" s="31"/>
    </row>
    <row r="843">
      <c r="A843" s="31"/>
      <c r="B843" s="31"/>
      <c r="C843" s="31"/>
      <c r="D843" s="31"/>
    </row>
    <row r="844">
      <c r="A844" s="31"/>
      <c r="B844" s="31"/>
      <c r="C844" s="31"/>
      <c r="D844" s="31"/>
    </row>
    <row r="845">
      <c r="A845" s="31"/>
      <c r="B845" s="31"/>
      <c r="C845" s="31"/>
      <c r="D845" s="31"/>
    </row>
    <row r="846">
      <c r="A846" s="31"/>
      <c r="B846" s="31"/>
      <c r="C846" s="31"/>
      <c r="D846" s="31"/>
    </row>
    <row r="847">
      <c r="A847" s="31"/>
      <c r="B847" s="31"/>
      <c r="C847" s="31"/>
      <c r="D847" s="31"/>
    </row>
    <row r="848">
      <c r="A848" s="31"/>
      <c r="B848" s="31"/>
      <c r="C848" s="31"/>
      <c r="D848" s="31"/>
    </row>
    <row r="849">
      <c r="A849" s="31"/>
      <c r="B849" s="31"/>
      <c r="C849" s="31"/>
      <c r="D849" s="31"/>
    </row>
    <row r="850">
      <c r="A850" s="31"/>
      <c r="B850" s="31"/>
      <c r="C850" s="31"/>
      <c r="D850" s="31"/>
    </row>
    <row r="851">
      <c r="A851" s="31"/>
      <c r="B851" s="31"/>
      <c r="C851" s="31"/>
      <c r="D851" s="31"/>
    </row>
    <row r="852">
      <c r="A852" s="31"/>
      <c r="B852" s="31"/>
      <c r="C852" s="31"/>
      <c r="D852" s="31"/>
    </row>
    <row r="853">
      <c r="A853" s="31"/>
      <c r="B853" s="31"/>
      <c r="C853" s="31"/>
      <c r="D853" s="31"/>
    </row>
    <row r="854">
      <c r="A854" s="31"/>
      <c r="B854" s="31"/>
      <c r="C854" s="31"/>
      <c r="D854" s="31"/>
    </row>
    <row r="855">
      <c r="A855" s="31"/>
      <c r="B855" s="31"/>
      <c r="C855" s="31"/>
      <c r="D855" s="31"/>
    </row>
    <row r="856">
      <c r="A856" s="31"/>
      <c r="B856" s="31"/>
      <c r="C856" s="31"/>
      <c r="D856" s="31"/>
    </row>
    <row r="857">
      <c r="A857" s="31"/>
      <c r="B857" s="31"/>
      <c r="C857" s="31"/>
      <c r="D857" s="31"/>
    </row>
    <row r="858">
      <c r="A858" s="31"/>
      <c r="B858" s="31"/>
      <c r="C858" s="31"/>
      <c r="D858" s="31"/>
    </row>
    <row r="859">
      <c r="A859" s="31"/>
      <c r="B859" s="31"/>
      <c r="C859" s="31"/>
      <c r="D859" s="31"/>
    </row>
    <row r="860">
      <c r="A860" s="31"/>
      <c r="B860" s="31"/>
      <c r="C860" s="31"/>
      <c r="D860" s="31"/>
    </row>
    <row r="861">
      <c r="A861" s="31"/>
      <c r="B861" s="31"/>
      <c r="C861" s="31"/>
      <c r="D861" s="31"/>
    </row>
    <row r="862">
      <c r="A862" s="31"/>
      <c r="B862" s="31"/>
      <c r="C862" s="31"/>
      <c r="D862" s="31"/>
    </row>
    <row r="863">
      <c r="A863" s="31"/>
      <c r="B863" s="31"/>
      <c r="C863" s="31"/>
      <c r="D863" s="31"/>
    </row>
    <row r="864">
      <c r="A864" s="31"/>
      <c r="B864" s="31"/>
      <c r="C864" s="31"/>
      <c r="D864" s="31"/>
    </row>
    <row r="865">
      <c r="A865" s="31"/>
      <c r="B865" s="31"/>
      <c r="C865" s="31"/>
      <c r="D865" s="31"/>
    </row>
    <row r="866">
      <c r="A866" s="31"/>
      <c r="B866" s="31"/>
      <c r="C866" s="31"/>
      <c r="D866" s="31"/>
    </row>
    <row r="867">
      <c r="A867" s="31"/>
      <c r="B867" s="31"/>
      <c r="C867" s="31"/>
      <c r="D867" s="31"/>
    </row>
    <row r="868">
      <c r="A868" s="31"/>
      <c r="B868" s="31"/>
      <c r="C868" s="31"/>
      <c r="D868" s="31"/>
    </row>
    <row r="869">
      <c r="A869" s="31"/>
      <c r="B869" s="31"/>
      <c r="C869" s="31"/>
      <c r="D869" s="31"/>
    </row>
    <row r="870">
      <c r="A870" s="31"/>
      <c r="B870" s="31"/>
      <c r="C870" s="31"/>
      <c r="D870" s="31"/>
    </row>
    <row r="871">
      <c r="A871" s="31"/>
      <c r="B871" s="31"/>
      <c r="C871" s="31"/>
      <c r="D871" s="31"/>
    </row>
    <row r="872">
      <c r="A872" s="31"/>
      <c r="B872" s="31"/>
      <c r="C872" s="31"/>
      <c r="D872" s="31"/>
    </row>
    <row r="873">
      <c r="A873" s="31"/>
      <c r="B873" s="31"/>
      <c r="C873" s="31"/>
      <c r="D873" s="31"/>
    </row>
    <row r="874">
      <c r="A874" s="31"/>
      <c r="B874" s="31"/>
      <c r="C874" s="31"/>
      <c r="D874" s="31"/>
    </row>
    <row r="875">
      <c r="A875" s="31"/>
      <c r="B875" s="31"/>
      <c r="C875" s="31"/>
      <c r="D875" s="31"/>
    </row>
    <row r="876">
      <c r="A876" s="31"/>
      <c r="B876" s="31"/>
      <c r="C876" s="31"/>
      <c r="D876" s="31"/>
    </row>
    <row r="877">
      <c r="A877" s="31"/>
      <c r="B877" s="31"/>
      <c r="C877" s="31"/>
      <c r="D877" s="31"/>
    </row>
    <row r="878">
      <c r="A878" s="31"/>
      <c r="B878" s="31"/>
      <c r="C878" s="31"/>
      <c r="D878" s="31"/>
    </row>
    <row r="879">
      <c r="A879" s="31"/>
      <c r="B879" s="31"/>
      <c r="C879" s="31"/>
      <c r="D879" s="31"/>
    </row>
    <row r="880">
      <c r="A880" s="31"/>
      <c r="B880" s="31"/>
      <c r="C880" s="31"/>
      <c r="D880" s="31"/>
    </row>
    <row r="881">
      <c r="A881" s="31"/>
      <c r="B881" s="31"/>
      <c r="C881" s="31"/>
      <c r="D881" s="31"/>
    </row>
    <row r="882">
      <c r="A882" s="31"/>
      <c r="B882" s="31"/>
      <c r="C882" s="31"/>
      <c r="D882" s="31"/>
    </row>
    <row r="883">
      <c r="A883" s="31"/>
      <c r="B883" s="31"/>
      <c r="C883" s="31"/>
      <c r="D883" s="31"/>
    </row>
    <row r="884">
      <c r="A884" s="31"/>
      <c r="B884" s="31"/>
      <c r="C884" s="31"/>
      <c r="D884" s="31"/>
    </row>
    <row r="885">
      <c r="A885" s="31"/>
      <c r="B885" s="31"/>
      <c r="C885" s="31"/>
      <c r="D885" s="31"/>
    </row>
    <row r="886">
      <c r="A886" s="31"/>
      <c r="B886" s="31"/>
      <c r="C886" s="31"/>
      <c r="D886" s="31"/>
    </row>
    <row r="887">
      <c r="A887" s="31"/>
      <c r="B887" s="31"/>
      <c r="C887" s="31"/>
      <c r="D887" s="31"/>
    </row>
    <row r="888">
      <c r="A888" s="31"/>
      <c r="B888" s="31"/>
      <c r="C888" s="31"/>
      <c r="D888" s="31"/>
    </row>
    <row r="889">
      <c r="A889" s="31"/>
      <c r="B889" s="31"/>
      <c r="C889" s="31"/>
      <c r="D889" s="31"/>
    </row>
    <row r="890">
      <c r="A890" s="31"/>
      <c r="B890" s="31"/>
      <c r="C890" s="31"/>
      <c r="D890" s="31"/>
    </row>
    <row r="891">
      <c r="A891" s="31"/>
      <c r="B891" s="31"/>
      <c r="C891" s="31"/>
      <c r="D891" s="31"/>
    </row>
    <row r="892">
      <c r="A892" s="31"/>
      <c r="B892" s="31"/>
      <c r="C892" s="31"/>
      <c r="D892" s="31"/>
    </row>
    <row r="893">
      <c r="A893" s="31"/>
      <c r="B893" s="31"/>
      <c r="C893" s="31"/>
      <c r="D893" s="31"/>
    </row>
    <row r="894">
      <c r="A894" s="31"/>
      <c r="B894" s="31"/>
      <c r="C894" s="31"/>
      <c r="D894" s="31"/>
    </row>
    <row r="895">
      <c r="A895" s="31"/>
      <c r="B895" s="31"/>
      <c r="C895" s="31"/>
      <c r="D895" s="31"/>
    </row>
    <row r="896">
      <c r="A896" s="31"/>
      <c r="B896" s="31"/>
      <c r="C896" s="31"/>
      <c r="D896" s="31"/>
    </row>
    <row r="897">
      <c r="A897" s="31"/>
      <c r="B897" s="31"/>
      <c r="C897" s="31"/>
      <c r="D897" s="31"/>
    </row>
    <row r="898">
      <c r="A898" s="31"/>
      <c r="B898" s="31"/>
      <c r="C898" s="31"/>
      <c r="D898" s="31"/>
    </row>
    <row r="899">
      <c r="A899" s="31"/>
      <c r="B899" s="31"/>
      <c r="C899" s="31"/>
      <c r="D899" s="31"/>
    </row>
    <row r="900">
      <c r="A900" s="31"/>
      <c r="B900" s="31"/>
      <c r="C900" s="31"/>
      <c r="D900" s="31"/>
    </row>
    <row r="901">
      <c r="A901" s="31"/>
      <c r="B901" s="31"/>
      <c r="C901" s="31"/>
      <c r="D901" s="31"/>
    </row>
    <row r="902">
      <c r="A902" s="31"/>
      <c r="B902" s="31"/>
      <c r="C902" s="31"/>
      <c r="D902" s="31"/>
    </row>
    <row r="903">
      <c r="A903" s="31"/>
      <c r="B903" s="31"/>
      <c r="C903" s="31"/>
      <c r="D903" s="31"/>
    </row>
    <row r="904">
      <c r="A904" s="31"/>
      <c r="B904" s="31"/>
      <c r="C904" s="31"/>
      <c r="D904" s="31"/>
    </row>
    <row r="905">
      <c r="A905" s="31"/>
      <c r="B905" s="31"/>
      <c r="C905" s="31"/>
      <c r="D905" s="31"/>
    </row>
    <row r="906">
      <c r="A906" s="31"/>
      <c r="B906" s="31"/>
      <c r="C906" s="31"/>
      <c r="D906" s="31"/>
    </row>
    <row r="907">
      <c r="A907" s="31"/>
      <c r="B907" s="31"/>
      <c r="C907" s="31"/>
      <c r="D907" s="31"/>
    </row>
    <row r="908">
      <c r="A908" s="31"/>
      <c r="B908" s="31"/>
      <c r="C908" s="31"/>
      <c r="D908" s="31"/>
    </row>
    <row r="909">
      <c r="A909" s="31"/>
      <c r="B909" s="31"/>
      <c r="C909" s="31"/>
      <c r="D909" s="31"/>
    </row>
    <row r="910">
      <c r="A910" s="31"/>
      <c r="B910" s="31"/>
      <c r="C910" s="31"/>
      <c r="D910" s="31"/>
    </row>
    <row r="911">
      <c r="A911" s="31"/>
      <c r="B911" s="31"/>
      <c r="C911" s="31"/>
      <c r="D911" s="31"/>
    </row>
    <row r="912">
      <c r="A912" s="31"/>
      <c r="B912" s="31"/>
      <c r="C912" s="31"/>
      <c r="D912" s="31"/>
    </row>
    <row r="913">
      <c r="A913" s="31"/>
      <c r="B913" s="31"/>
      <c r="C913" s="31"/>
      <c r="D913" s="31"/>
    </row>
    <row r="914">
      <c r="A914" s="31"/>
      <c r="B914" s="31"/>
      <c r="C914" s="31"/>
      <c r="D914" s="31"/>
    </row>
    <row r="915">
      <c r="A915" s="31"/>
      <c r="B915" s="31"/>
      <c r="C915" s="31"/>
      <c r="D915" s="31"/>
    </row>
    <row r="916">
      <c r="A916" s="31"/>
      <c r="B916" s="31"/>
      <c r="C916" s="31"/>
      <c r="D916" s="31"/>
    </row>
    <row r="917">
      <c r="A917" s="31"/>
      <c r="B917" s="31"/>
      <c r="C917" s="31"/>
      <c r="D917" s="31"/>
    </row>
    <row r="918">
      <c r="A918" s="31"/>
      <c r="B918" s="31"/>
      <c r="C918" s="31"/>
      <c r="D918" s="31"/>
    </row>
    <row r="919">
      <c r="A919" s="31"/>
      <c r="B919" s="31"/>
      <c r="C919" s="31"/>
      <c r="D919" s="31"/>
    </row>
    <row r="920">
      <c r="A920" s="31"/>
      <c r="B920" s="31"/>
      <c r="C920" s="31"/>
      <c r="D920" s="31"/>
    </row>
    <row r="921">
      <c r="A921" s="31"/>
      <c r="B921" s="31"/>
      <c r="C921" s="31"/>
      <c r="D921" s="31"/>
    </row>
    <row r="922">
      <c r="A922" s="31"/>
      <c r="B922" s="31"/>
      <c r="C922" s="31"/>
      <c r="D922" s="31"/>
    </row>
    <row r="923">
      <c r="A923" s="31"/>
      <c r="B923" s="31"/>
      <c r="C923" s="31"/>
      <c r="D923" s="31"/>
    </row>
    <row r="924">
      <c r="A924" s="31"/>
      <c r="B924" s="31"/>
      <c r="C924" s="31"/>
      <c r="D924" s="31"/>
    </row>
    <row r="925">
      <c r="A925" s="31"/>
      <c r="B925" s="31"/>
      <c r="C925" s="31"/>
      <c r="D925" s="31"/>
    </row>
    <row r="926">
      <c r="A926" s="31"/>
      <c r="B926" s="31"/>
      <c r="C926" s="31"/>
      <c r="D926" s="31"/>
    </row>
    <row r="927">
      <c r="A927" s="31"/>
      <c r="B927" s="31"/>
      <c r="C927" s="31"/>
      <c r="D927" s="31"/>
    </row>
    <row r="928">
      <c r="A928" s="31"/>
      <c r="B928" s="31"/>
      <c r="C928" s="31"/>
      <c r="D928" s="31"/>
    </row>
    <row r="929">
      <c r="A929" s="31"/>
      <c r="B929" s="31"/>
      <c r="C929" s="31"/>
      <c r="D929" s="31"/>
    </row>
    <row r="930">
      <c r="A930" s="31"/>
      <c r="B930" s="31"/>
      <c r="C930" s="31"/>
      <c r="D930" s="31"/>
    </row>
    <row r="931">
      <c r="A931" s="31"/>
      <c r="B931" s="31"/>
      <c r="C931" s="31"/>
      <c r="D931" s="31"/>
    </row>
    <row r="932">
      <c r="A932" s="31"/>
      <c r="B932" s="31"/>
      <c r="C932" s="31"/>
      <c r="D932" s="31"/>
    </row>
    <row r="933">
      <c r="A933" s="31"/>
      <c r="B933" s="31"/>
      <c r="C933" s="31"/>
      <c r="D933" s="31"/>
    </row>
    <row r="934">
      <c r="A934" s="31"/>
      <c r="B934" s="31"/>
      <c r="C934" s="31"/>
      <c r="D934" s="31"/>
    </row>
    <row r="935">
      <c r="A935" s="31"/>
      <c r="B935" s="31"/>
      <c r="C935" s="31"/>
      <c r="D935" s="31"/>
    </row>
    <row r="936">
      <c r="A936" s="31"/>
      <c r="B936" s="31"/>
      <c r="C936" s="31"/>
      <c r="D936" s="31"/>
    </row>
    <row r="937">
      <c r="A937" s="31"/>
      <c r="B937" s="31"/>
      <c r="C937" s="31"/>
      <c r="D937" s="31"/>
    </row>
    <row r="938">
      <c r="A938" s="31"/>
      <c r="B938" s="31"/>
      <c r="C938" s="31"/>
      <c r="D938" s="31"/>
    </row>
    <row r="939">
      <c r="A939" s="31"/>
      <c r="B939" s="31"/>
      <c r="C939" s="31"/>
      <c r="D939" s="31"/>
    </row>
    <row r="940">
      <c r="A940" s="31"/>
      <c r="B940" s="31"/>
      <c r="C940" s="31"/>
      <c r="D940" s="31"/>
    </row>
    <row r="941">
      <c r="A941" s="31"/>
      <c r="B941" s="31"/>
      <c r="C941" s="31"/>
      <c r="D941" s="31"/>
    </row>
    <row r="942">
      <c r="A942" s="31"/>
      <c r="B942" s="31"/>
      <c r="C942" s="31"/>
      <c r="D942" s="31"/>
    </row>
    <row r="943">
      <c r="A943" s="31"/>
      <c r="B943" s="31"/>
      <c r="C943" s="31"/>
      <c r="D943" s="31"/>
    </row>
    <row r="944">
      <c r="A944" s="31"/>
      <c r="B944" s="31"/>
      <c r="C944" s="31"/>
      <c r="D944" s="31"/>
    </row>
    <row r="945">
      <c r="A945" s="31"/>
      <c r="B945" s="31"/>
      <c r="C945" s="31"/>
      <c r="D945" s="31"/>
    </row>
    <row r="946">
      <c r="A946" s="31"/>
      <c r="B946" s="31"/>
      <c r="C946" s="31"/>
      <c r="D946" s="31"/>
    </row>
    <row r="947">
      <c r="A947" s="31"/>
      <c r="B947" s="31"/>
      <c r="C947" s="31"/>
      <c r="D947" s="31"/>
    </row>
    <row r="948">
      <c r="A948" s="31"/>
      <c r="B948" s="31"/>
      <c r="C948" s="31"/>
      <c r="D948" s="31"/>
    </row>
    <row r="949">
      <c r="A949" s="31"/>
      <c r="B949" s="31"/>
      <c r="C949" s="31"/>
      <c r="D949" s="31"/>
    </row>
    <row r="950">
      <c r="A950" s="31"/>
      <c r="B950" s="31"/>
      <c r="C950" s="31"/>
      <c r="D950" s="31"/>
    </row>
    <row r="951">
      <c r="A951" s="31"/>
      <c r="B951" s="31"/>
      <c r="C951" s="31"/>
      <c r="D951" s="31"/>
    </row>
    <row r="952">
      <c r="A952" s="31"/>
      <c r="B952" s="31"/>
      <c r="C952" s="31"/>
      <c r="D952" s="31"/>
    </row>
    <row r="953">
      <c r="A953" s="31"/>
      <c r="B953" s="31"/>
      <c r="C953" s="31"/>
      <c r="D953" s="31"/>
    </row>
    <row r="954">
      <c r="A954" s="31"/>
      <c r="B954" s="31"/>
      <c r="C954" s="31"/>
      <c r="D954" s="31"/>
    </row>
    <row r="955">
      <c r="A955" s="31"/>
      <c r="B955" s="31"/>
      <c r="C955" s="31"/>
      <c r="D955" s="31"/>
    </row>
    <row r="956">
      <c r="A956" s="31"/>
      <c r="B956" s="31"/>
      <c r="C956" s="31"/>
      <c r="D956" s="31"/>
    </row>
    <row r="957">
      <c r="A957" s="31"/>
      <c r="B957" s="31"/>
      <c r="C957" s="31"/>
      <c r="D957" s="31"/>
    </row>
    <row r="958">
      <c r="A958" s="31"/>
      <c r="B958" s="31"/>
      <c r="C958" s="31"/>
      <c r="D958" s="31"/>
    </row>
    <row r="959">
      <c r="A959" s="31"/>
      <c r="B959" s="31"/>
      <c r="C959" s="31"/>
      <c r="D959" s="31"/>
    </row>
    <row r="960">
      <c r="A960" s="31"/>
      <c r="B960" s="31"/>
      <c r="C960" s="31"/>
      <c r="D960" s="31"/>
    </row>
    <row r="961">
      <c r="A961" s="31"/>
      <c r="B961" s="31"/>
      <c r="C961" s="31"/>
      <c r="D961" s="31"/>
    </row>
    <row r="962">
      <c r="A962" s="31"/>
      <c r="B962" s="31"/>
      <c r="C962" s="31"/>
      <c r="D962" s="31"/>
    </row>
    <row r="963">
      <c r="A963" s="31"/>
      <c r="B963" s="31"/>
      <c r="C963" s="31"/>
      <c r="D963" s="31"/>
    </row>
    <row r="964">
      <c r="A964" s="31"/>
      <c r="B964" s="31"/>
      <c r="C964" s="31"/>
      <c r="D964" s="31"/>
    </row>
    <row r="965">
      <c r="A965" s="31"/>
      <c r="B965" s="31"/>
      <c r="C965" s="31"/>
      <c r="D965" s="31"/>
    </row>
    <row r="966">
      <c r="A966" s="31"/>
      <c r="B966" s="31"/>
      <c r="C966" s="31"/>
      <c r="D966" s="31"/>
    </row>
    <row r="967">
      <c r="A967" s="31"/>
      <c r="B967" s="31"/>
      <c r="C967" s="31"/>
      <c r="D967" s="31"/>
    </row>
    <row r="968">
      <c r="A968" s="31"/>
      <c r="B968" s="31"/>
      <c r="C968" s="31"/>
      <c r="D968" s="31"/>
    </row>
    <row r="969">
      <c r="A969" s="31"/>
      <c r="B969" s="31"/>
      <c r="C969" s="31"/>
      <c r="D969" s="31"/>
    </row>
    <row r="970">
      <c r="A970" s="31"/>
      <c r="B970" s="31"/>
      <c r="C970" s="31"/>
      <c r="D970" s="31"/>
    </row>
    <row r="971">
      <c r="A971" s="31"/>
      <c r="B971" s="31"/>
      <c r="C971" s="31"/>
      <c r="D971" s="31"/>
    </row>
    <row r="972">
      <c r="A972" s="31"/>
      <c r="B972" s="31"/>
      <c r="C972" s="31"/>
      <c r="D972" s="31"/>
    </row>
    <row r="973">
      <c r="A973" s="31"/>
      <c r="B973" s="31"/>
      <c r="C973" s="31"/>
      <c r="D973" s="31"/>
    </row>
    <row r="974">
      <c r="A974" s="31"/>
      <c r="B974" s="31"/>
      <c r="C974" s="31"/>
      <c r="D974" s="31"/>
    </row>
    <row r="975">
      <c r="A975" s="31"/>
      <c r="B975" s="31"/>
      <c r="C975" s="31"/>
      <c r="D975" s="31"/>
    </row>
    <row r="976">
      <c r="A976" s="31"/>
      <c r="B976" s="31"/>
      <c r="C976" s="31"/>
      <c r="D976" s="31"/>
    </row>
    <row r="977">
      <c r="A977" s="31"/>
      <c r="B977" s="31"/>
      <c r="C977" s="31"/>
      <c r="D977" s="31"/>
    </row>
    <row r="978">
      <c r="A978" s="31"/>
      <c r="B978" s="31"/>
      <c r="C978" s="31"/>
      <c r="D978" s="31"/>
    </row>
    <row r="979">
      <c r="A979" s="31"/>
      <c r="B979" s="31"/>
      <c r="C979" s="31"/>
      <c r="D979" s="31"/>
    </row>
    <row r="980">
      <c r="A980" s="31"/>
      <c r="B980" s="31"/>
      <c r="C980" s="31"/>
      <c r="D980" s="31"/>
    </row>
    <row r="981">
      <c r="A981" s="31"/>
      <c r="B981" s="31"/>
      <c r="C981" s="31"/>
      <c r="D981" s="31"/>
    </row>
    <row r="982">
      <c r="A982" s="31"/>
      <c r="B982" s="31"/>
      <c r="C982" s="31"/>
      <c r="D982" s="31"/>
    </row>
    <row r="983">
      <c r="A983" s="31"/>
      <c r="B983" s="31"/>
      <c r="C983" s="31"/>
      <c r="D983" s="31"/>
    </row>
    <row r="984">
      <c r="A984" s="31"/>
      <c r="B984" s="31"/>
      <c r="C984" s="31"/>
      <c r="D984" s="31"/>
    </row>
    <row r="985">
      <c r="A985" s="31"/>
      <c r="B985" s="31"/>
      <c r="C985" s="31"/>
      <c r="D985" s="31"/>
    </row>
    <row r="986">
      <c r="A986" s="31"/>
      <c r="B986" s="31"/>
      <c r="C986" s="31"/>
      <c r="D986" s="31"/>
    </row>
    <row r="987">
      <c r="A987" s="31"/>
      <c r="B987" s="31"/>
      <c r="C987" s="31"/>
      <c r="D987" s="31"/>
    </row>
    <row r="988">
      <c r="A988" s="31"/>
      <c r="B988" s="31"/>
      <c r="C988" s="31"/>
      <c r="D988" s="31"/>
    </row>
    <row r="989">
      <c r="A989" s="31"/>
      <c r="B989" s="31"/>
      <c r="C989" s="31"/>
      <c r="D989" s="31"/>
    </row>
    <row r="990">
      <c r="A990" s="31"/>
      <c r="B990" s="31"/>
      <c r="C990" s="31"/>
      <c r="D990" s="31"/>
    </row>
    <row r="991">
      <c r="A991" s="31"/>
      <c r="B991" s="31"/>
      <c r="C991" s="31"/>
      <c r="D991" s="31"/>
    </row>
    <row r="992">
      <c r="A992" s="31"/>
      <c r="B992" s="31"/>
      <c r="C992" s="31"/>
      <c r="D992" s="31"/>
    </row>
    <row r="993">
      <c r="A993" s="31"/>
      <c r="B993" s="31"/>
      <c r="C993" s="31"/>
      <c r="D993" s="31"/>
    </row>
    <row r="994">
      <c r="A994" s="31"/>
      <c r="B994" s="31"/>
      <c r="C994" s="31"/>
      <c r="D994" s="31"/>
    </row>
    <row r="995">
      <c r="A995" s="31"/>
      <c r="B995" s="31"/>
      <c r="C995" s="31"/>
      <c r="D995" s="31"/>
    </row>
    <row r="996">
      <c r="A996" s="31"/>
      <c r="B996" s="31"/>
      <c r="C996" s="31"/>
      <c r="D996" s="31"/>
    </row>
    <row r="997">
      <c r="A997" s="31"/>
      <c r="B997" s="31"/>
      <c r="C997" s="31"/>
      <c r="D997" s="31"/>
    </row>
    <row r="998">
      <c r="A998" s="31"/>
      <c r="B998" s="31"/>
      <c r="C998" s="31"/>
      <c r="D998" s="31"/>
    </row>
    <row r="999">
      <c r="A999" s="31"/>
      <c r="B999" s="31"/>
      <c r="C999" s="31"/>
      <c r="D999" s="31"/>
    </row>
    <row r="1000">
      <c r="A1000" s="31"/>
      <c r="B1000" s="31"/>
      <c r="C1000" s="31"/>
      <c r="D1000" s="31"/>
    </row>
    <row r="1001">
      <c r="A1001" s="31"/>
      <c r="B1001" s="31"/>
      <c r="C1001" s="31"/>
      <c r="D1001" s="31"/>
    </row>
    <row r="1002">
      <c r="A1002" s="31"/>
      <c r="B1002" s="31"/>
      <c r="C1002" s="31"/>
      <c r="D1002" s="31"/>
    </row>
  </sheetData>
  <mergeCells count="4">
    <mergeCell ref="A1:J1"/>
    <mergeCell ref="B2:D2"/>
    <mergeCell ref="E2:G2"/>
    <mergeCell ref="H2:J2"/>
  </mergeCells>
  <conditionalFormatting sqref="B8">
    <cfRule type="cellIs" dxfId="0" priority="1" operator="equal">
      <formula>"F2"</formula>
    </cfRule>
  </conditionalFormatting>
  <conditionalFormatting sqref="B8:J53">
    <cfRule type="cellIs" dxfId="0" priority="2" operator="equal">
      <formula>"CORRECT"</formula>
    </cfRule>
  </conditionalFormatting>
  <conditionalFormatting sqref="B8:J53">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20</v>
      </c>
      <c r="C2" s="2"/>
      <c r="D2" s="2"/>
      <c r="E2" s="2"/>
      <c r="F2" s="2"/>
      <c r="G2" s="2"/>
      <c r="H2" s="3"/>
      <c r="I2" s="36" t="s">
        <v>21</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20" t="s">
        <v>37</v>
      </c>
      <c r="I4" s="40" t="s">
        <v>38</v>
      </c>
      <c r="J4" s="41"/>
    </row>
    <row r="5" ht="60.0" customHeight="1">
      <c r="A5" s="38">
        <v>2.0</v>
      </c>
      <c r="B5" s="39" t="s">
        <v>39</v>
      </c>
      <c r="C5" s="39" t="s">
        <v>40</v>
      </c>
      <c r="D5" s="39" t="s">
        <v>41</v>
      </c>
      <c r="E5" s="39" t="s">
        <v>42</v>
      </c>
      <c r="F5" s="38" t="str">
        <f t="shared" si="1"/>
        <v>CORRECT</v>
      </c>
      <c r="G5" s="38" t="s">
        <v>37</v>
      </c>
      <c r="H5" s="20" t="s">
        <v>37</v>
      </c>
      <c r="I5" s="40" t="s">
        <v>43</v>
      </c>
      <c r="J5" s="41"/>
    </row>
    <row r="6" ht="60.0" customHeight="1">
      <c r="A6" s="38">
        <v>3.0</v>
      </c>
      <c r="B6" s="39" t="s">
        <v>44</v>
      </c>
      <c r="C6" s="39" t="s">
        <v>45</v>
      </c>
      <c r="D6" s="39" t="s">
        <v>46</v>
      </c>
      <c r="E6" s="39" t="s">
        <v>47</v>
      </c>
      <c r="F6" s="38" t="str">
        <f t="shared" si="1"/>
        <v>CORRECT</v>
      </c>
      <c r="G6" s="38" t="s">
        <v>48</v>
      </c>
      <c r="H6" s="20" t="s">
        <v>48</v>
      </c>
      <c r="I6" s="40" t="s">
        <v>49</v>
      </c>
      <c r="J6" s="41"/>
    </row>
    <row r="7" ht="60.0" customHeight="1">
      <c r="A7" s="38">
        <v>4.0</v>
      </c>
      <c r="B7" s="39" t="s">
        <v>50</v>
      </c>
      <c r="C7" s="39" t="s">
        <v>51</v>
      </c>
      <c r="D7" s="39" t="s">
        <v>52</v>
      </c>
      <c r="E7" s="39" t="s">
        <v>53</v>
      </c>
      <c r="F7" s="38" t="str">
        <f t="shared" si="1"/>
        <v>WRONG</v>
      </c>
      <c r="G7" s="38" t="s">
        <v>37</v>
      </c>
      <c r="H7" s="20" t="s">
        <v>48</v>
      </c>
      <c r="I7" s="40" t="s">
        <v>54</v>
      </c>
      <c r="J7" s="41"/>
    </row>
    <row r="8" ht="60.0" customHeight="1">
      <c r="A8" s="38">
        <v>5.0</v>
      </c>
      <c r="B8" s="39" t="s">
        <v>55</v>
      </c>
      <c r="C8" s="39" t="s">
        <v>56</v>
      </c>
      <c r="D8" s="39" t="s">
        <v>57</v>
      </c>
      <c r="E8" s="39" t="s">
        <v>58</v>
      </c>
      <c r="F8" s="38" t="str">
        <f t="shared" si="1"/>
        <v>CORRECT</v>
      </c>
      <c r="G8" s="38" t="s">
        <v>48</v>
      </c>
      <c r="H8" s="20" t="s">
        <v>48</v>
      </c>
      <c r="I8" s="40" t="s">
        <v>59</v>
      </c>
      <c r="J8" s="41"/>
    </row>
    <row r="9" ht="60.0" customHeight="1">
      <c r="A9" s="38">
        <v>6.0</v>
      </c>
      <c r="B9" s="39" t="s">
        <v>60</v>
      </c>
      <c r="C9" s="39" t="s">
        <v>61</v>
      </c>
      <c r="D9" s="39" t="s">
        <v>62</v>
      </c>
      <c r="E9" s="39" t="s">
        <v>63</v>
      </c>
      <c r="F9" s="38" t="str">
        <f t="shared" si="1"/>
        <v>CORRECT</v>
      </c>
      <c r="G9" s="38" t="s">
        <v>37</v>
      </c>
      <c r="H9" s="20" t="s">
        <v>37</v>
      </c>
      <c r="I9" s="40" t="s">
        <v>64</v>
      </c>
      <c r="J9" s="41"/>
    </row>
    <row r="10" ht="60.0" customHeight="1">
      <c r="A10" s="38">
        <v>7.0</v>
      </c>
      <c r="B10" s="39" t="s">
        <v>65</v>
      </c>
      <c r="C10" s="39" t="s">
        <v>66</v>
      </c>
      <c r="D10" s="39" t="s">
        <v>67</v>
      </c>
      <c r="E10" s="39" t="s">
        <v>68</v>
      </c>
      <c r="F10" s="38" t="str">
        <f t="shared" si="1"/>
        <v>CORRECT</v>
      </c>
      <c r="G10" s="38" t="s">
        <v>37</v>
      </c>
      <c r="H10" s="20" t="s">
        <v>37</v>
      </c>
      <c r="I10" s="40" t="s">
        <v>69</v>
      </c>
      <c r="J10" s="41"/>
    </row>
    <row r="11" ht="60.0" customHeight="1">
      <c r="A11" s="38">
        <v>8.0</v>
      </c>
      <c r="B11" s="39" t="s">
        <v>70</v>
      </c>
      <c r="C11" s="39" t="s">
        <v>71</v>
      </c>
      <c r="D11" s="39" t="s">
        <v>72</v>
      </c>
      <c r="E11" s="39" t="s">
        <v>73</v>
      </c>
      <c r="F11" s="38" t="str">
        <f t="shared" si="1"/>
        <v>WRONG</v>
      </c>
      <c r="G11" s="38" t="s">
        <v>48</v>
      </c>
      <c r="H11" s="20" t="s">
        <v>36</v>
      </c>
      <c r="I11" s="40" t="s">
        <v>74</v>
      </c>
      <c r="J11" s="41"/>
    </row>
    <row r="12" ht="60.0" customHeight="1">
      <c r="A12" s="38">
        <v>9.0</v>
      </c>
      <c r="B12" s="39" t="s">
        <v>75</v>
      </c>
      <c r="C12" s="39" t="s">
        <v>76</v>
      </c>
      <c r="D12" s="39" t="s">
        <v>77</v>
      </c>
      <c r="E12" s="39" t="s">
        <v>78</v>
      </c>
      <c r="F12" s="38" t="str">
        <f t="shared" si="1"/>
        <v>WRONG</v>
      </c>
      <c r="G12" s="38" t="s">
        <v>37</v>
      </c>
      <c r="H12" s="20" t="s">
        <v>48</v>
      </c>
      <c r="I12" s="40" t="s">
        <v>79</v>
      </c>
      <c r="J12" s="41"/>
    </row>
    <row r="13" ht="60.0" customHeight="1">
      <c r="A13" s="38">
        <v>10.0</v>
      </c>
      <c r="B13" s="39" t="s">
        <v>80</v>
      </c>
      <c r="C13" s="39" t="s">
        <v>81</v>
      </c>
      <c r="D13" s="39" t="s">
        <v>82</v>
      </c>
      <c r="E13" s="39" t="s">
        <v>83</v>
      </c>
      <c r="F13" s="38" t="str">
        <f t="shared" si="1"/>
        <v>CORRECT</v>
      </c>
      <c r="G13" s="38" t="s">
        <v>48</v>
      </c>
      <c r="H13" s="20" t="s">
        <v>48</v>
      </c>
      <c r="I13" s="40" t="s">
        <v>84</v>
      </c>
      <c r="J13" s="41"/>
    </row>
    <row r="14" ht="60.0" customHeight="1">
      <c r="A14" s="38">
        <v>11.0</v>
      </c>
      <c r="B14" s="39" t="s">
        <v>85</v>
      </c>
      <c r="C14" s="39" t="s">
        <v>86</v>
      </c>
      <c r="D14" s="39" t="s">
        <v>87</v>
      </c>
      <c r="E14" s="39" t="s">
        <v>88</v>
      </c>
      <c r="F14" s="38" t="str">
        <f t="shared" si="1"/>
        <v>WRONG</v>
      </c>
      <c r="G14" s="38" t="s">
        <v>37</v>
      </c>
      <c r="H14" s="20" t="s">
        <v>48</v>
      </c>
      <c r="I14" s="40" t="s">
        <v>89</v>
      </c>
      <c r="J14" s="41"/>
    </row>
    <row r="15" ht="60.0" customHeight="1">
      <c r="A15" s="38">
        <v>12.0</v>
      </c>
      <c r="B15" s="39" t="s">
        <v>90</v>
      </c>
      <c r="C15" s="39" t="s">
        <v>91</v>
      </c>
      <c r="D15" s="39" t="s">
        <v>92</v>
      </c>
      <c r="E15" s="39" t="s">
        <v>93</v>
      </c>
      <c r="F15" s="38" t="str">
        <f t="shared" si="1"/>
        <v>CORRECT</v>
      </c>
      <c r="G15" s="38" t="s">
        <v>48</v>
      </c>
      <c r="H15" s="20" t="s">
        <v>48</v>
      </c>
      <c r="I15" s="40" t="s">
        <v>94</v>
      </c>
      <c r="J15" s="41"/>
    </row>
    <row r="16" ht="60.0" customHeight="1">
      <c r="A16" s="38">
        <v>13.0</v>
      </c>
      <c r="B16" s="39" t="s">
        <v>95</v>
      </c>
      <c r="C16" s="39" t="s">
        <v>96</v>
      </c>
      <c r="D16" s="39" t="s">
        <v>97</v>
      </c>
      <c r="E16" s="39" t="s">
        <v>98</v>
      </c>
      <c r="F16" s="38" t="str">
        <f t="shared" si="1"/>
        <v>CORRECT</v>
      </c>
      <c r="G16" s="38" t="s">
        <v>36</v>
      </c>
      <c r="H16" s="20" t="s">
        <v>36</v>
      </c>
      <c r="I16" s="40" t="s">
        <v>99</v>
      </c>
      <c r="J16" s="41"/>
    </row>
    <row r="17" ht="60.0" customHeight="1">
      <c r="A17" s="38">
        <v>14.0</v>
      </c>
      <c r="B17" s="39" t="s">
        <v>100</v>
      </c>
      <c r="C17" s="39" t="s">
        <v>101</v>
      </c>
      <c r="D17" s="39" t="s">
        <v>102</v>
      </c>
      <c r="E17" s="39" t="s">
        <v>103</v>
      </c>
      <c r="F17" s="38" t="str">
        <f t="shared" si="1"/>
        <v>WRONG</v>
      </c>
      <c r="G17" s="38" t="s">
        <v>36</v>
      </c>
      <c r="H17" s="20" t="s">
        <v>48</v>
      </c>
      <c r="I17" s="40" t="s">
        <v>104</v>
      </c>
      <c r="J17" s="41"/>
    </row>
    <row r="18" ht="60.0" customHeight="1">
      <c r="A18" s="38">
        <v>15.0</v>
      </c>
      <c r="B18" s="39" t="s">
        <v>105</v>
      </c>
      <c r="C18" s="39" t="s">
        <v>106</v>
      </c>
      <c r="D18" s="39" t="s">
        <v>107</v>
      </c>
      <c r="E18" s="39" t="s">
        <v>108</v>
      </c>
      <c r="F18" s="38" t="str">
        <f t="shared" si="1"/>
        <v>CORRECT</v>
      </c>
      <c r="G18" s="38" t="s">
        <v>48</v>
      </c>
      <c r="H18" s="20" t="s">
        <v>48</v>
      </c>
      <c r="I18" s="40" t="s">
        <v>109</v>
      </c>
      <c r="J18" s="41"/>
    </row>
    <row r="19" ht="60.0" customHeight="1">
      <c r="A19" s="38">
        <v>16.0</v>
      </c>
      <c r="B19" s="39" t="s">
        <v>110</v>
      </c>
      <c r="C19" s="39" t="s">
        <v>111</v>
      </c>
      <c r="D19" s="39" t="s">
        <v>112</v>
      </c>
      <c r="E19" s="39" t="s">
        <v>113</v>
      </c>
      <c r="F19" s="38" t="str">
        <f t="shared" si="1"/>
        <v>WRONG</v>
      </c>
      <c r="G19" s="38" t="s">
        <v>48</v>
      </c>
      <c r="H19" s="20" t="s">
        <v>36</v>
      </c>
      <c r="I19" s="40" t="s">
        <v>114</v>
      </c>
      <c r="J19" s="41"/>
    </row>
    <row r="20" ht="60.0" customHeight="1">
      <c r="A20" s="38">
        <v>17.0</v>
      </c>
      <c r="B20" s="39" t="s">
        <v>115</v>
      </c>
      <c r="C20" s="39" t="s">
        <v>116</v>
      </c>
      <c r="D20" s="39" t="s">
        <v>117</v>
      </c>
      <c r="E20" s="39" t="s">
        <v>118</v>
      </c>
      <c r="F20" s="38" t="str">
        <f t="shared" si="1"/>
        <v>WRONG</v>
      </c>
      <c r="G20" s="38" t="s">
        <v>37</v>
      </c>
      <c r="H20" s="20" t="s">
        <v>36</v>
      </c>
      <c r="I20" s="40" t="s">
        <v>119</v>
      </c>
      <c r="J20" s="41"/>
    </row>
    <row r="21" ht="60.0" customHeight="1">
      <c r="A21" s="38">
        <v>18.0</v>
      </c>
      <c r="B21" s="39" t="s">
        <v>120</v>
      </c>
      <c r="C21" s="39" t="s">
        <v>121</v>
      </c>
      <c r="D21" s="39" t="s">
        <v>122</v>
      </c>
      <c r="E21" s="39" t="s">
        <v>123</v>
      </c>
      <c r="F21" s="38" t="str">
        <f t="shared" si="1"/>
        <v>CORRECT</v>
      </c>
      <c r="G21" s="38" t="s">
        <v>37</v>
      </c>
      <c r="H21" s="20" t="s">
        <v>37</v>
      </c>
      <c r="I21" s="40" t="s">
        <v>124</v>
      </c>
      <c r="J21" s="41"/>
    </row>
    <row r="22" ht="60.0" customHeight="1">
      <c r="A22" s="38">
        <v>19.0</v>
      </c>
      <c r="B22" s="39" t="s">
        <v>125</v>
      </c>
      <c r="C22" s="39" t="s">
        <v>126</v>
      </c>
      <c r="D22" s="39" t="s">
        <v>127</v>
      </c>
      <c r="E22" s="39" t="s">
        <v>128</v>
      </c>
      <c r="F22" s="38" t="str">
        <f t="shared" si="1"/>
        <v>WRONG</v>
      </c>
      <c r="G22" s="38" t="s">
        <v>36</v>
      </c>
      <c r="H22" s="20" t="s">
        <v>48</v>
      </c>
      <c r="I22" s="40" t="s">
        <v>129</v>
      </c>
      <c r="J22" s="41"/>
    </row>
    <row r="23" ht="60.0" customHeight="1">
      <c r="A23" s="38">
        <v>20.0</v>
      </c>
      <c r="B23" s="39" t="s">
        <v>130</v>
      </c>
      <c r="C23" s="39" t="s">
        <v>131</v>
      </c>
      <c r="D23" s="39" t="s">
        <v>132</v>
      </c>
      <c r="E23" s="39" t="s">
        <v>133</v>
      </c>
      <c r="F23" s="38" t="str">
        <f t="shared" si="1"/>
        <v>WRONG</v>
      </c>
      <c r="G23" s="38" t="s">
        <v>37</v>
      </c>
      <c r="H23" s="20" t="s">
        <v>36</v>
      </c>
      <c r="I23" s="40" t="s">
        <v>134</v>
      </c>
      <c r="J23" s="41"/>
    </row>
    <row r="24" ht="60.0" customHeight="1">
      <c r="A24" s="38">
        <v>21.0</v>
      </c>
      <c r="B24" s="39" t="s">
        <v>135</v>
      </c>
      <c r="C24" s="39" t="s">
        <v>136</v>
      </c>
      <c r="D24" s="39" t="s">
        <v>137</v>
      </c>
      <c r="E24" s="39" t="s">
        <v>138</v>
      </c>
      <c r="F24" s="38" t="str">
        <f t="shared" si="1"/>
        <v>WRONG</v>
      </c>
      <c r="G24" s="38" t="s">
        <v>37</v>
      </c>
      <c r="H24" s="20" t="s">
        <v>36</v>
      </c>
      <c r="I24" s="40" t="s">
        <v>139</v>
      </c>
      <c r="J24" s="41"/>
    </row>
    <row r="25" ht="60.0" customHeight="1">
      <c r="A25" s="38">
        <v>22.0</v>
      </c>
      <c r="B25" s="39" t="s">
        <v>140</v>
      </c>
      <c r="C25" s="39" t="s">
        <v>141</v>
      </c>
      <c r="D25" s="39" t="s">
        <v>142</v>
      </c>
      <c r="E25" s="39" t="s">
        <v>143</v>
      </c>
      <c r="F25" s="38" t="str">
        <f t="shared" si="1"/>
        <v>CORRECT</v>
      </c>
      <c r="G25" s="38" t="s">
        <v>37</v>
      </c>
      <c r="H25" s="20" t="s">
        <v>37</v>
      </c>
      <c r="I25" s="40" t="s">
        <v>144</v>
      </c>
      <c r="J25" s="41"/>
    </row>
    <row r="26" ht="60.0" customHeight="1">
      <c r="A26" s="38">
        <v>23.0</v>
      </c>
      <c r="B26" s="39" t="s">
        <v>145</v>
      </c>
      <c r="C26" s="39" t="s">
        <v>146</v>
      </c>
      <c r="D26" s="39" t="s">
        <v>147</v>
      </c>
      <c r="E26" s="39" t="s">
        <v>148</v>
      </c>
      <c r="F26" s="38" t="str">
        <f t="shared" si="1"/>
        <v>CORRECT</v>
      </c>
      <c r="G26" s="38" t="s">
        <v>48</v>
      </c>
      <c r="H26" s="20" t="s">
        <v>48</v>
      </c>
      <c r="I26" s="40" t="s">
        <v>149</v>
      </c>
      <c r="J26" s="41"/>
    </row>
    <row r="27" ht="60.0" customHeight="1">
      <c r="A27" s="38">
        <v>24.0</v>
      </c>
      <c r="B27" s="39" t="s">
        <v>150</v>
      </c>
      <c r="C27" s="39" t="s">
        <v>151</v>
      </c>
      <c r="D27" s="39" t="s">
        <v>152</v>
      </c>
      <c r="E27" s="39" t="s">
        <v>153</v>
      </c>
      <c r="F27" s="38" t="str">
        <f t="shared" si="1"/>
        <v>WRONG</v>
      </c>
      <c r="G27" s="38" t="s">
        <v>36</v>
      </c>
      <c r="H27" s="20" t="s">
        <v>48</v>
      </c>
      <c r="I27" s="40" t="s">
        <v>154</v>
      </c>
      <c r="J27" s="41"/>
    </row>
    <row r="28" ht="60.0" customHeight="1">
      <c r="A28" s="38">
        <v>25.0</v>
      </c>
      <c r="B28" s="39" t="s">
        <v>155</v>
      </c>
      <c r="C28" s="39" t="s">
        <v>151</v>
      </c>
      <c r="D28" s="39" t="s">
        <v>156</v>
      </c>
      <c r="E28" s="39" t="s">
        <v>153</v>
      </c>
      <c r="F28" s="38" t="str">
        <f t="shared" si="1"/>
        <v>WRONG</v>
      </c>
      <c r="G28" s="38" t="s">
        <v>48</v>
      </c>
      <c r="H28" s="20" t="s">
        <v>36</v>
      </c>
      <c r="I28" s="40" t="s">
        <v>157</v>
      </c>
      <c r="J28" s="41"/>
    </row>
    <row r="29" ht="60.0" customHeight="1">
      <c r="A29" s="38">
        <v>26.0</v>
      </c>
      <c r="B29" s="39" t="s">
        <v>158</v>
      </c>
      <c r="C29" s="39" t="s">
        <v>159</v>
      </c>
      <c r="D29" s="39" t="s">
        <v>160</v>
      </c>
      <c r="E29" s="39" t="s">
        <v>161</v>
      </c>
      <c r="F29" s="38" t="str">
        <f t="shared" si="1"/>
        <v>WRONG</v>
      </c>
      <c r="G29" s="38" t="s">
        <v>36</v>
      </c>
      <c r="H29" s="20" t="s">
        <v>48</v>
      </c>
      <c r="I29" s="40" t="s">
        <v>162</v>
      </c>
      <c r="J29" s="41"/>
    </row>
    <row r="30" ht="60.0" customHeight="1">
      <c r="A30" s="38">
        <v>27.0</v>
      </c>
      <c r="B30" s="39" t="s">
        <v>163</v>
      </c>
      <c r="C30" s="39" t="s">
        <v>164</v>
      </c>
      <c r="D30" s="39" t="s">
        <v>165</v>
      </c>
      <c r="E30" s="39" t="s">
        <v>166</v>
      </c>
      <c r="F30" s="38" t="str">
        <f t="shared" si="1"/>
        <v>CORRECT</v>
      </c>
      <c r="G30" s="38" t="s">
        <v>37</v>
      </c>
      <c r="H30" s="20" t="s">
        <v>37</v>
      </c>
      <c r="I30" s="40" t="s">
        <v>167</v>
      </c>
      <c r="J30" s="41"/>
    </row>
    <row r="31" ht="60.0" customHeight="1">
      <c r="A31" s="38">
        <v>28.0</v>
      </c>
      <c r="B31" s="39" t="s">
        <v>168</v>
      </c>
      <c r="C31" s="39" t="s">
        <v>169</v>
      </c>
      <c r="D31" s="39" t="s">
        <v>170</v>
      </c>
      <c r="E31" s="39" t="s">
        <v>171</v>
      </c>
      <c r="F31" s="38" t="str">
        <f t="shared" si="1"/>
        <v>CORRECT</v>
      </c>
      <c r="G31" s="38" t="s">
        <v>36</v>
      </c>
      <c r="H31" s="20" t="s">
        <v>36</v>
      </c>
      <c r="I31" s="40" t="s">
        <v>172</v>
      </c>
      <c r="J31" s="41"/>
    </row>
    <row r="32" ht="60.0" customHeight="1">
      <c r="A32" s="38">
        <v>29.0</v>
      </c>
      <c r="B32" s="39" t="s">
        <v>173</v>
      </c>
      <c r="C32" s="39" t="s">
        <v>174</v>
      </c>
      <c r="D32" s="39" t="s">
        <v>175</v>
      </c>
      <c r="E32" s="39" t="s">
        <v>176</v>
      </c>
      <c r="F32" s="38" t="str">
        <f t="shared" si="1"/>
        <v>CORRECT</v>
      </c>
      <c r="G32" s="38" t="s">
        <v>37</v>
      </c>
      <c r="H32" s="20" t="s">
        <v>37</v>
      </c>
      <c r="I32" s="40" t="s">
        <v>177</v>
      </c>
      <c r="J32" s="41"/>
    </row>
    <row r="33" ht="60.0" customHeight="1">
      <c r="A33" s="38">
        <v>30.0</v>
      </c>
      <c r="B33" s="39" t="s">
        <v>178</v>
      </c>
      <c r="C33" s="39" t="s">
        <v>179</v>
      </c>
      <c r="D33" s="39" t="s">
        <v>180</v>
      </c>
      <c r="E33" s="39" t="s">
        <v>181</v>
      </c>
      <c r="F33" s="38" t="str">
        <f t="shared" si="1"/>
        <v>WRONG</v>
      </c>
      <c r="G33" s="38" t="s">
        <v>48</v>
      </c>
      <c r="H33" s="20" t="s">
        <v>36</v>
      </c>
      <c r="I33" s="40" t="s">
        <v>182</v>
      </c>
      <c r="J33" s="41"/>
    </row>
    <row r="34" ht="60.0" customHeight="1">
      <c r="A34" s="38">
        <v>31.0</v>
      </c>
      <c r="B34" s="39" t="s">
        <v>183</v>
      </c>
      <c r="C34" s="39" t="s">
        <v>184</v>
      </c>
      <c r="D34" s="39" t="s">
        <v>185</v>
      </c>
      <c r="E34" s="39" t="s">
        <v>186</v>
      </c>
      <c r="F34" s="38" t="str">
        <f t="shared" si="1"/>
        <v>WRONG</v>
      </c>
      <c r="G34" s="38" t="s">
        <v>37</v>
      </c>
      <c r="H34" s="20" t="s">
        <v>36</v>
      </c>
      <c r="I34" s="40" t="s">
        <v>187</v>
      </c>
      <c r="J34" s="41"/>
    </row>
    <row r="35" ht="60.0" customHeight="1">
      <c r="A35" s="38">
        <v>32.0</v>
      </c>
      <c r="B35" s="39" t="s">
        <v>188</v>
      </c>
      <c r="C35" s="39" t="s">
        <v>189</v>
      </c>
      <c r="D35" s="39" t="s">
        <v>190</v>
      </c>
      <c r="E35" s="39" t="s">
        <v>191</v>
      </c>
      <c r="F35" s="38" t="str">
        <f t="shared" si="1"/>
        <v>CORRECT</v>
      </c>
      <c r="G35" s="38" t="s">
        <v>36</v>
      </c>
      <c r="H35" s="20" t="s">
        <v>36</v>
      </c>
      <c r="I35" s="40" t="s">
        <v>192</v>
      </c>
      <c r="J35" s="41"/>
    </row>
    <row r="36" ht="60.0" customHeight="1">
      <c r="A36" s="38">
        <v>33.0</v>
      </c>
      <c r="B36" s="39" t="s">
        <v>193</v>
      </c>
      <c r="C36" s="39" t="s">
        <v>194</v>
      </c>
      <c r="D36" s="39" t="s">
        <v>195</v>
      </c>
      <c r="E36" s="39" t="s">
        <v>196</v>
      </c>
      <c r="F36" s="38" t="str">
        <f t="shared" si="1"/>
        <v>CORRECT</v>
      </c>
      <c r="G36" s="38" t="s">
        <v>48</v>
      </c>
      <c r="H36" s="20" t="s">
        <v>48</v>
      </c>
      <c r="I36" s="40" t="s">
        <v>197</v>
      </c>
      <c r="J36" s="41"/>
    </row>
    <row r="37" ht="60.0" customHeight="1">
      <c r="A37" s="38">
        <v>34.0</v>
      </c>
      <c r="B37" s="39" t="s">
        <v>198</v>
      </c>
      <c r="C37" s="39" t="s">
        <v>199</v>
      </c>
      <c r="D37" s="39" t="s">
        <v>200</v>
      </c>
      <c r="E37" s="39" t="s">
        <v>201</v>
      </c>
      <c r="F37" s="38" t="str">
        <f t="shared" si="1"/>
        <v>CORRECT</v>
      </c>
      <c r="G37" s="38" t="s">
        <v>36</v>
      </c>
      <c r="H37" s="20" t="s">
        <v>36</v>
      </c>
      <c r="I37" s="40" t="s">
        <v>202</v>
      </c>
      <c r="J37" s="41"/>
    </row>
    <row r="38" ht="60.0" customHeight="1">
      <c r="A38" s="38">
        <v>35.0</v>
      </c>
      <c r="B38" s="39" t="s">
        <v>203</v>
      </c>
      <c r="C38" s="39" t="s">
        <v>204</v>
      </c>
      <c r="D38" s="39" t="s">
        <v>205</v>
      </c>
      <c r="E38" s="39" t="s">
        <v>206</v>
      </c>
      <c r="F38" s="38" t="str">
        <f t="shared" si="1"/>
        <v>CORRECT</v>
      </c>
      <c r="G38" s="38" t="s">
        <v>48</v>
      </c>
      <c r="H38" s="20" t="s">
        <v>48</v>
      </c>
      <c r="I38" s="40" t="s">
        <v>207</v>
      </c>
      <c r="J38" s="41"/>
    </row>
    <row r="39" ht="60.0" customHeight="1">
      <c r="A39" s="38">
        <v>36.0</v>
      </c>
      <c r="B39" s="39" t="s">
        <v>208</v>
      </c>
      <c r="C39" s="39" t="s">
        <v>209</v>
      </c>
      <c r="D39" s="39" t="s">
        <v>210</v>
      </c>
      <c r="E39" s="39" t="s">
        <v>211</v>
      </c>
      <c r="F39" s="38" t="str">
        <f t="shared" si="1"/>
        <v>CORRECT</v>
      </c>
      <c r="G39" s="38" t="s">
        <v>36</v>
      </c>
      <c r="H39" s="20" t="s">
        <v>36</v>
      </c>
      <c r="I39" s="40" t="s">
        <v>212</v>
      </c>
      <c r="J39" s="41"/>
    </row>
    <row r="40" ht="60.0" customHeight="1">
      <c r="A40" s="38">
        <v>37.0</v>
      </c>
      <c r="B40" s="39" t="s">
        <v>213</v>
      </c>
      <c r="C40" s="39" t="s">
        <v>214</v>
      </c>
      <c r="D40" s="39" t="s">
        <v>215</v>
      </c>
      <c r="E40" s="39" t="s">
        <v>216</v>
      </c>
      <c r="F40" s="38" t="str">
        <f t="shared" si="1"/>
        <v>WRONG</v>
      </c>
      <c r="G40" s="38" t="s">
        <v>36</v>
      </c>
      <c r="H40" s="20" t="s">
        <v>37</v>
      </c>
      <c r="I40" s="40" t="s">
        <v>217</v>
      </c>
      <c r="J40" s="41"/>
    </row>
    <row r="41" ht="60.0" customHeight="1">
      <c r="A41" s="38">
        <v>38.0</v>
      </c>
      <c r="B41" s="39" t="s">
        <v>218</v>
      </c>
      <c r="C41" s="39" t="s">
        <v>219</v>
      </c>
      <c r="D41" s="39" t="s">
        <v>220</v>
      </c>
      <c r="E41" s="39" t="s">
        <v>221</v>
      </c>
      <c r="F41" s="38" t="str">
        <f t="shared" si="1"/>
        <v>CORRECT</v>
      </c>
      <c r="G41" s="38" t="s">
        <v>36</v>
      </c>
      <c r="H41" s="20" t="s">
        <v>36</v>
      </c>
      <c r="I41" s="40" t="s">
        <v>222</v>
      </c>
      <c r="J41" s="41"/>
    </row>
    <row r="42" ht="60.0" customHeight="1">
      <c r="A42" s="38">
        <v>39.0</v>
      </c>
      <c r="B42" s="39" t="s">
        <v>223</v>
      </c>
      <c r="C42" s="39" t="s">
        <v>224</v>
      </c>
      <c r="D42" s="39" t="s">
        <v>225</v>
      </c>
      <c r="E42" s="39" t="s">
        <v>226</v>
      </c>
      <c r="F42" s="38" t="str">
        <f t="shared" si="1"/>
        <v>CORRECT</v>
      </c>
      <c r="G42" s="38" t="s">
        <v>37</v>
      </c>
      <c r="H42" s="20" t="s">
        <v>37</v>
      </c>
      <c r="I42" s="40" t="s">
        <v>227</v>
      </c>
      <c r="J42" s="41"/>
    </row>
    <row r="43" ht="60.0" customHeight="1">
      <c r="A43" s="38">
        <v>40.0</v>
      </c>
      <c r="B43" s="39" t="s">
        <v>228</v>
      </c>
      <c r="C43" s="39" t="s">
        <v>229</v>
      </c>
      <c r="D43" s="39" t="s">
        <v>230</v>
      </c>
      <c r="E43" s="39" t="s">
        <v>231</v>
      </c>
      <c r="F43" s="38" t="str">
        <f t="shared" si="1"/>
        <v>WRONG</v>
      </c>
      <c r="G43" s="38" t="s">
        <v>48</v>
      </c>
      <c r="H43" s="20" t="s">
        <v>37</v>
      </c>
      <c r="I43" s="40" t="s">
        <v>232</v>
      </c>
      <c r="J43" s="41"/>
    </row>
    <row r="44" ht="60.0" customHeight="1">
      <c r="A44" s="38">
        <v>41.0</v>
      </c>
      <c r="B44" s="39" t="s">
        <v>233</v>
      </c>
      <c r="C44" s="39" t="s">
        <v>234</v>
      </c>
      <c r="D44" s="39" t="s">
        <v>235</v>
      </c>
      <c r="E44" s="39" t="s">
        <v>236</v>
      </c>
      <c r="F44" s="38" t="str">
        <f t="shared" si="1"/>
        <v>CORRECT</v>
      </c>
      <c r="G44" s="38" t="s">
        <v>37</v>
      </c>
      <c r="H44" s="20" t="s">
        <v>37</v>
      </c>
      <c r="I44" s="40" t="s">
        <v>237</v>
      </c>
      <c r="J44" s="41"/>
    </row>
    <row r="45" ht="60.0" customHeight="1">
      <c r="A45" s="38">
        <v>42.0</v>
      </c>
      <c r="B45" s="39" t="s">
        <v>238</v>
      </c>
      <c r="C45" s="39" t="s">
        <v>239</v>
      </c>
      <c r="D45" s="39" t="s">
        <v>240</v>
      </c>
      <c r="E45" s="39" t="s">
        <v>241</v>
      </c>
      <c r="F45" s="38" t="str">
        <f t="shared" si="1"/>
        <v>WRONG</v>
      </c>
      <c r="G45" s="38" t="s">
        <v>36</v>
      </c>
      <c r="H45" s="20" t="s">
        <v>37</v>
      </c>
      <c r="I45" s="40" t="s">
        <v>242</v>
      </c>
      <c r="J45" s="41"/>
    </row>
    <row r="46" ht="60.0" customHeight="1">
      <c r="A46" s="38">
        <v>43.0</v>
      </c>
      <c r="B46" s="39" t="s">
        <v>243</v>
      </c>
      <c r="C46" s="39" t="s">
        <v>244</v>
      </c>
      <c r="D46" s="39" t="s">
        <v>245</v>
      </c>
      <c r="E46" s="39" t="s">
        <v>246</v>
      </c>
      <c r="F46" s="38" t="str">
        <f t="shared" si="1"/>
        <v>CORRECT</v>
      </c>
      <c r="G46" s="38" t="s">
        <v>48</v>
      </c>
      <c r="H46" s="20" t="s">
        <v>48</v>
      </c>
      <c r="I46" s="40" t="s">
        <v>247</v>
      </c>
      <c r="J46" s="41"/>
    </row>
    <row r="47" ht="60.0" customHeight="1">
      <c r="A47" s="38">
        <v>44.0</v>
      </c>
      <c r="B47" s="39" t="s">
        <v>248</v>
      </c>
      <c r="C47" s="39" t="s">
        <v>249</v>
      </c>
      <c r="D47" s="39" t="s">
        <v>250</v>
      </c>
      <c r="E47" s="39" t="s">
        <v>251</v>
      </c>
      <c r="F47" s="38" t="str">
        <f t="shared" si="1"/>
        <v>CORRECT</v>
      </c>
      <c r="G47" s="38" t="s">
        <v>36</v>
      </c>
      <c r="H47" s="20" t="s">
        <v>36</v>
      </c>
      <c r="I47" s="40" t="s">
        <v>252</v>
      </c>
      <c r="J47" s="41"/>
    </row>
    <row r="48" ht="60.0" customHeight="1">
      <c r="A48" s="38">
        <v>45.0</v>
      </c>
      <c r="B48" s="39" t="s">
        <v>253</v>
      </c>
      <c r="C48" s="39" t="s">
        <v>254</v>
      </c>
      <c r="D48" s="39" t="s">
        <v>255</v>
      </c>
      <c r="E48" s="39" t="s">
        <v>256</v>
      </c>
      <c r="F48" s="38" t="str">
        <f t="shared" si="1"/>
        <v>CORRECT</v>
      </c>
      <c r="G48" s="38" t="s">
        <v>36</v>
      </c>
      <c r="H48" s="20" t="s">
        <v>36</v>
      </c>
      <c r="I48" s="40" t="s">
        <v>257</v>
      </c>
      <c r="J48" s="41"/>
    </row>
    <row r="49" ht="60.0" customHeight="1">
      <c r="A49" s="38">
        <v>46.0</v>
      </c>
      <c r="B49" s="39" t="s">
        <v>258</v>
      </c>
      <c r="C49" s="39" t="s">
        <v>40</v>
      </c>
      <c r="D49" s="39" t="s">
        <v>259</v>
      </c>
      <c r="E49" s="39" t="s">
        <v>260</v>
      </c>
      <c r="F49" s="38" t="str">
        <f t="shared" si="1"/>
        <v>CORRECT</v>
      </c>
      <c r="G49" s="38" t="s">
        <v>36</v>
      </c>
      <c r="H49" s="20" t="s">
        <v>36</v>
      </c>
      <c r="I49" s="40" t="s">
        <v>261</v>
      </c>
      <c r="J49" s="41"/>
    </row>
    <row r="50">
      <c r="A50" s="42" t="s">
        <v>262</v>
      </c>
      <c r="B50" s="2"/>
      <c r="C50" s="2"/>
      <c r="D50" s="2"/>
      <c r="E50" s="3"/>
      <c r="F50" s="43">
        <f>COUNTIFS(F4:F49,"CORRECT")</f>
        <v>27</v>
      </c>
      <c r="G50" s="44"/>
      <c r="H50" s="44"/>
      <c r="J50" s="45" t="str">
        <f>AVERAGE(J4:J49)</f>
        <v>#DIV/0!</v>
      </c>
    </row>
    <row r="51">
      <c r="A51" s="46" t="s">
        <v>263</v>
      </c>
      <c r="B51" s="2"/>
      <c r="C51" s="2"/>
      <c r="D51" s="2"/>
      <c r="E51" s="3"/>
      <c r="F51" s="47">
        <v>46.0</v>
      </c>
      <c r="G51" s="44"/>
      <c r="H51" s="44"/>
    </row>
    <row r="52">
      <c r="A52" s="42" t="s">
        <v>264</v>
      </c>
      <c r="B52" s="2"/>
      <c r="C52" s="2"/>
      <c r="D52" s="2"/>
      <c r="E52" s="3"/>
      <c r="F52" s="48">
        <f>F50/F51</f>
        <v>0.5869565217</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265</v>
      </c>
      <c r="C2" s="2"/>
      <c r="D2" s="2"/>
      <c r="E2" s="2"/>
      <c r="F2" s="2"/>
      <c r="G2" s="2"/>
      <c r="H2" s="3"/>
      <c r="I2" s="36" t="s">
        <v>266</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20" t="s">
        <v>37</v>
      </c>
      <c r="I4" s="40" t="s">
        <v>38</v>
      </c>
      <c r="J4" s="41"/>
    </row>
    <row r="5" ht="60.0" customHeight="1">
      <c r="A5" s="38">
        <v>2.0</v>
      </c>
      <c r="B5" s="39" t="s">
        <v>39</v>
      </c>
      <c r="C5" s="39" t="s">
        <v>40</v>
      </c>
      <c r="D5" s="39" t="s">
        <v>41</v>
      </c>
      <c r="E5" s="39" t="s">
        <v>42</v>
      </c>
      <c r="F5" s="38" t="str">
        <f t="shared" si="1"/>
        <v>CORRECT</v>
      </c>
      <c r="G5" s="38" t="s">
        <v>37</v>
      </c>
      <c r="H5" s="20" t="s">
        <v>37</v>
      </c>
      <c r="I5" s="40" t="s">
        <v>43</v>
      </c>
      <c r="J5" s="41"/>
    </row>
    <row r="6" ht="60.0" customHeight="1">
      <c r="A6" s="38">
        <v>3.0</v>
      </c>
      <c r="B6" s="39" t="s">
        <v>44</v>
      </c>
      <c r="C6" s="39" t="s">
        <v>45</v>
      </c>
      <c r="D6" s="39" t="s">
        <v>46</v>
      </c>
      <c r="E6" s="39" t="s">
        <v>47</v>
      </c>
      <c r="F6" s="38" t="str">
        <f t="shared" si="1"/>
        <v>CORRECT</v>
      </c>
      <c r="G6" s="38" t="s">
        <v>48</v>
      </c>
      <c r="H6" s="20" t="s">
        <v>48</v>
      </c>
      <c r="I6" s="40" t="s">
        <v>267</v>
      </c>
      <c r="J6" s="41"/>
    </row>
    <row r="7" ht="60.0" customHeight="1">
      <c r="A7" s="38">
        <v>4.0</v>
      </c>
      <c r="B7" s="39" t="s">
        <v>50</v>
      </c>
      <c r="C7" s="39" t="s">
        <v>51</v>
      </c>
      <c r="D7" s="39" t="s">
        <v>52</v>
      </c>
      <c r="E7" s="39" t="s">
        <v>53</v>
      </c>
      <c r="F7" s="38" t="str">
        <f t="shared" si="1"/>
        <v>WRONG</v>
      </c>
      <c r="G7" s="38" t="s">
        <v>37</v>
      </c>
      <c r="H7" s="20" t="s">
        <v>48</v>
      </c>
      <c r="I7" s="40" t="s">
        <v>54</v>
      </c>
      <c r="J7" s="41"/>
    </row>
    <row r="8" ht="60.0" customHeight="1">
      <c r="A8" s="38">
        <v>5.0</v>
      </c>
      <c r="B8" s="39" t="s">
        <v>55</v>
      </c>
      <c r="C8" s="39" t="s">
        <v>56</v>
      </c>
      <c r="D8" s="39" t="s">
        <v>57</v>
      </c>
      <c r="E8" s="39" t="s">
        <v>58</v>
      </c>
      <c r="F8" s="38" t="str">
        <f t="shared" si="1"/>
        <v>CORRECT</v>
      </c>
      <c r="G8" s="38" t="s">
        <v>48</v>
      </c>
      <c r="H8" s="20" t="s">
        <v>48</v>
      </c>
      <c r="I8" s="40" t="s">
        <v>59</v>
      </c>
      <c r="J8" s="41"/>
    </row>
    <row r="9" ht="60.0" customHeight="1">
      <c r="A9" s="38">
        <v>6.0</v>
      </c>
      <c r="B9" s="39" t="s">
        <v>60</v>
      </c>
      <c r="C9" s="39" t="s">
        <v>61</v>
      </c>
      <c r="D9" s="39" t="s">
        <v>62</v>
      </c>
      <c r="E9" s="39" t="s">
        <v>63</v>
      </c>
      <c r="F9" s="38" t="str">
        <f t="shared" si="1"/>
        <v>CORRECT</v>
      </c>
      <c r="G9" s="38" t="s">
        <v>37</v>
      </c>
      <c r="H9" s="20" t="s">
        <v>37</v>
      </c>
      <c r="I9" s="40" t="s">
        <v>64</v>
      </c>
      <c r="J9" s="41"/>
    </row>
    <row r="10" ht="60.0" customHeight="1">
      <c r="A10" s="38">
        <v>7.0</v>
      </c>
      <c r="B10" s="39" t="s">
        <v>65</v>
      </c>
      <c r="C10" s="39" t="s">
        <v>66</v>
      </c>
      <c r="D10" s="39" t="s">
        <v>67</v>
      </c>
      <c r="E10" s="39" t="s">
        <v>68</v>
      </c>
      <c r="F10" s="38" t="str">
        <f t="shared" si="1"/>
        <v>CORRECT</v>
      </c>
      <c r="G10" s="38" t="s">
        <v>37</v>
      </c>
      <c r="H10" s="20" t="s">
        <v>37</v>
      </c>
      <c r="I10" s="40" t="s">
        <v>268</v>
      </c>
      <c r="J10" s="41"/>
    </row>
    <row r="11" ht="60.0" customHeight="1">
      <c r="A11" s="38">
        <v>8.0</v>
      </c>
      <c r="B11" s="39" t="s">
        <v>70</v>
      </c>
      <c r="C11" s="39" t="s">
        <v>71</v>
      </c>
      <c r="D11" s="39" t="s">
        <v>72</v>
      </c>
      <c r="E11" s="39" t="s">
        <v>73</v>
      </c>
      <c r="F11" s="38" t="str">
        <f t="shared" si="1"/>
        <v>WRONG</v>
      </c>
      <c r="G11" s="38" t="s">
        <v>48</v>
      </c>
      <c r="H11" s="20" t="s">
        <v>37</v>
      </c>
      <c r="I11" s="40" t="s">
        <v>269</v>
      </c>
      <c r="J11" s="41"/>
    </row>
    <row r="12" ht="60.0" customHeight="1">
      <c r="A12" s="38">
        <v>9.0</v>
      </c>
      <c r="B12" s="39" t="s">
        <v>75</v>
      </c>
      <c r="C12" s="39" t="s">
        <v>76</v>
      </c>
      <c r="D12" s="39" t="s">
        <v>77</v>
      </c>
      <c r="E12" s="39" t="s">
        <v>78</v>
      </c>
      <c r="F12" s="38" t="str">
        <f t="shared" si="1"/>
        <v>WRONG</v>
      </c>
      <c r="G12" s="38" t="s">
        <v>37</v>
      </c>
      <c r="H12" s="20" t="s">
        <v>48</v>
      </c>
      <c r="I12" s="40" t="s">
        <v>270</v>
      </c>
      <c r="J12" s="41"/>
    </row>
    <row r="13" ht="60.0" customHeight="1">
      <c r="A13" s="38">
        <v>10.0</v>
      </c>
      <c r="B13" s="39" t="s">
        <v>80</v>
      </c>
      <c r="C13" s="39" t="s">
        <v>81</v>
      </c>
      <c r="D13" s="39" t="s">
        <v>82</v>
      </c>
      <c r="E13" s="39" t="s">
        <v>83</v>
      </c>
      <c r="F13" s="38" t="str">
        <f t="shared" si="1"/>
        <v>WRONG</v>
      </c>
      <c r="G13" s="38" t="s">
        <v>48</v>
      </c>
      <c r="H13" s="20" t="s">
        <v>36</v>
      </c>
      <c r="I13" s="40" t="s">
        <v>271</v>
      </c>
      <c r="J13" s="41"/>
    </row>
    <row r="14" ht="60.0" customHeight="1">
      <c r="A14" s="38">
        <v>11.0</v>
      </c>
      <c r="B14" s="39" t="s">
        <v>85</v>
      </c>
      <c r="C14" s="39" t="s">
        <v>86</v>
      </c>
      <c r="D14" s="39" t="s">
        <v>87</v>
      </c>
      <c r="E14" s="39" t="s">
        <v>88</v>
      </c>
      <c r="F14" s="38" t="str">
        <f t="shared" si="1"/>
        <v>WRONG</v>
      </c>
      <c r="G14" s="38" t="s">
        <v>37</v>
      </c>
      <c r="H14" s="20" t="s">
        <v>48</v>
      </c>
      <c r="I14" s="40" t="s">
        <v>89</v>
      </c>
      <c r="J14" s="41"/>
    </row>
    <row r="15" ht="60.0" customHeight="1">
      <c r="A15" s="38">
        <v>12.0</v>
      </c>
      <c r="B15" s="39" t="s">
        <v>90</v>
      </c>
      <c r="C15" s="39" t="s">
        <v>91</v>
      </c>
      <c r="D15" s="39" t="s">
        <v>92</v>
      </c>
      <c r="E15" s="39" t="s">
        <v>93</v>
      </c>
      <c r="F15" s="38" t="str">
        <f t="shared" si="1"/>
        <v>CORRECT</v>
      </c>
      <c r="G15" s="38" t="s">
        <v>48</v>
      </c>
      <c r="H15" s="20" t="s">
        <v>48</v>
      </c>
      <c r="I15" s="40" t="s">
        <v>94</v>
      </c>
      <c r="J15" s="41"/>
    </row>
    <row r="16" ht="60.0" customHeight="1">
      <c r="A16" s="38">
        <v>13.0</v>
      </c>
      <c r="B16" s="39" t="s">
        <v>95</v>
      </c>
      <c r="C16" s="39" t="s">
        <v>96</v>
      </c>
      <c r="D16" s="39" t="s">
        <v>97</v>
      </c>
      <c r="E16" s="39" t="s">
        <v>98</v>
      </c>
      <c r="F16" s="38" t="str">
        <f t="shared" si="1"/>
        <v>CORRECT</v>
      </c>
      <c r="G16" s="38" t="s">
        <v>36</v>
      </c>
      <c r="H16" s="20" t="s">
        <v>36</v>
      </c>
      <c r="I16" s="40" t="s">
        <v>99</v>
      </c>
      <c r="J16" s="41"/>
    </row>
    <row r="17" ht="60.0" customHeight="1">
      <c r="A17" s="38">
        <v>14.0</v>
      </c>
      <c r="B17" s="39" t="s">
        <v>100</v>
      </c>
      <c r="C17" s="39" t="s">
        <v>101</v>
      </c>
      <c r="D17" s="39" t="s">
        <v>102</v>
      </c>
      <c r="E17" s="39" t="s">
        <v>103</v>
      </c>
      <c r="F17" s="38" t="str">
        <f t="shared" si="1"/>
        <v>WRONG</v>
      </c>
      <c r="G17" s="38" t="s">
        <v>36</v>
      </c>
      <c r="H17" s="20" t="s">
        <v>48</v>
      </c>
      <c r="I17" s="40" t="s">
        <v>272</v>
      </c>
      <c r="J17" s="41"/>
    </row>
    <row r="18" ht="60.0" customHeight="1">
      <c r="A18" s="38">
        <v>15.0</v>
      </c>
      <c r="B18" s="39" t="s">
        <v>105</v>
      </c>
      <c r="C18" s="39" t="s">
        <v>106</v>
      </c>
      <c r="D18" s="39" t="s">
        <v>107</v>
      </c>
      <c r="E18" s="39" t="s">
        <v>108</v>
      </c>
      <c r="F18" s="38" t="str">
        <f t="shared" si="1"/>
        <v>CORRECT</v>
      </c>
      <c r="G18" s="38" t="s">
        <v>48</v>
      </c>
      <c r="H18" s="20" t="s">
        <v>48</v>
      </c>
      <c r="I18" s="40" t="s">
        <v>109</v>
      </c>
      <c r="J18" s="41"/>
    </row>
    <row r="19" ht="60.0" customHeight="1">
      <c r="A19" s="38">
        <v>16.0</v>
      </c>
      <c r="B19" s="39" t="s">
        <v>110</v>
      </c>
      <c r="C19" s="39" t="s">
        <v>111</v>
      </c>
      <c r="D19" s="39" t="s">
        <v>112</v>
      </c>
      <c r="E19" s="39" t="s">
        <v>113</v>
      </c>
      <c r="F19" s="38" t="str">
        <f t="shared" si="1"/>
        <v>WRONG</v>
      </c>
      <c r="G19" s="38" t="s">
        <v>48</v>
      </c>
      <c r="H19" s="20" t="s">
        <v>36</v>
      </c>
      <c r="I19" s="40" t="s">
        <v>114</v>
      </c>
      <c r="J19" s="41"/>
    </row>
    <row r="20" ht="60.0" customHeight="1">
      <c r="A20" s="38">
        <v>17.0</v>
      </c>
      <c r="B20" s="39" t="s">
        <v>115</v>
      </c>
      <c r="C20" s="39" t="s">
        <v>116</v>
      </c>
      <c r="D20" s="39" t="s">
        <v>117</v>
      </c>
      <c r="E20" s="39" t="s">
        <v>118</v>
      </c>
      <c r="F20" s="38" t="str">
        <f t="shared" si="1"/>
        <v>WRONG</v>
      </c>
      <c r="G20" s="38" t="s">
        <v>37</v>
      </c>
      <c r="H20" s="20" t="s">
        <v>36</v>
      </c>
      <c r="I20" s="40" t="s">
        <v>119</v>
      </c>
      <c r="J20" s="41"/>
    </row>
    <row r="21" ht="60.0" customHeight="1">
      <c r="A21" s="38">
        <v>18.0</v>
      </c>
      <c r="B21" s="39" t="s">
        <v>120</v>
      </c>
      <c r="C21" s="39" t="s">
        <v>121</v>
      </c>
      <c r="D21" s="39" t="s">
        <v>122</v>
      </c>
      <c r="E21" s="39" t="s">
        <v>123</v>
      </c>
      <c r="F21" s="38" t="str">
        <f t="shared" si="1"/>
        <v>CORRECT</v>
      </c>
      <c r="G21" s="38" t="s">
        <v>37</v>
      </c>
      <c r="H21" s="20" t="s">
        <v>37</v>
      </c>
      <c r="I21" s="40" t="s">
        <v>124</v>
      </c>
      <c r="J21" s="41"/>
    </row>
    <row r="22" ht="60.0" customHeight="1">
      <c r="A22" s="38">
        <v>19.0</v>
      </c>
      <c r="B22" s="39" t="s">
        <v>125</v>
      </c>
      <c r="C22" s="39" t="s">
        <v>126</v>
      </c>
      <c r="D22" s="39" t="s">
        <v>127</v>
      </c>
      <c r="E22" s="39" t="s">
        <v>128</v>
      </c>
      <c r="F22" s="38" t="str">
        <f t="shared" si="1"/>
        <v>WRONG</v>
      </c>
      <c r="G22" s="38" t="s">
        <v>36</v>
      </c>
      <c r="H22" s="20" t="s">
        <v>48</v>
      </c>
      <c r="I22" s="40" t="s">
        <v>273</v>
      </c>
      <c r="J22" s="41"/>
    </row>
    <row r="23" ht="60.0" customHeight="1">
      <c r="A23" s="38">
        <v>20.0</v>
      </c>
      <c r="B23" s="39" t="s">
        <v>130</v>
      </c>
      <c r="C23" s="39" t="s">
        <v>131</v>
      </c>
      <c r="D23" s="39" t="s">
        <v>132</v>
      </c>
      <c r="E23" s="39" t="s">
        <v>133</v>
      </c>
      <c r="F23" s="38" t="str">
        <f t="shared" si="1"/>
        <v>WRONG</v>
      </c>
      <c r="G23" s="38" t="s">
        <v>37</v>
      </c>
      <c r="H23" s="20" t="s">
        <v>48</v>
      </c>
      <c r="I23" s="40" t="s">
        <v>274</v>
      </c>
      <c r="J23" s="41"/>
    </row>
    <row r="24" ht="60.0" customHeight="1">
      <c r="A24" s="38">
        <v>21.0</v>
      </c>
      <c r="B24" s="39" t="s">
        <v>135</v>
      </c>
      <c r="C24" s="39" t="s">
        <v>136</v>
      </c>
      <c r="D24" s="39" t="s">
        <v>137</v>
      </c>
      <c r="E24" s="39" t="s">
        <v>138</v>
      </c>
      <c r="F24" s="38" t="str">
        <f t="shared" si="1"/>
        <v>WRONG</v>
      </c>
      <c r="G24" s="38" t="s">
        <v>37</v>
      </c>
      <c r="H24" s="20" t="s">
        <v>36</v>
      </c>
      <c r="I24" s="40" t="s">
        <v>139</v>
      </c>
      <c r="J24" s="41"/>
    </row>
    <row r="25" ht="60.0" customHeight="1">
      <c r="A25" s="38">
        <v>22.0</v>
      </c>
      <c r="B25" s="39" t="s">
        <v>140</v>
      </c>
      <c r="C25" s="39" t="s">
        <v>141</v>
      </c>
      <c r="D25" s="39" t="s">
        <v>142</v>
      </c>
      <c r="E25" s="39" t="s">
        <v>143</v>
      </c>
      <c r="F25" s="38" t="str">
        <f t="shared" si="1"/>
        <v>CORRECT</v>
      </c>
      <c r="G25" s="38" t="s">
        <v>37</v>
      </c>
      <c r="H25" s="20" t="s">
        <v>37</v>
      </c>
      <c r="I25" s="40" t="s">
        <v>275</v>
      </c>
      <c r="J25" s="41"/>
    </row>
    <row r="26" ht="60.0" customHeight="1">
      <c r="A26" s="38">
        <v>23.0</v>
      </c>
      <c r="B26" s="39" t="s">
        <v>145</v>
      </c>
      <c r="C26" s="39" t="s">
        <v>146</v>
      </c>
      <c r="D26" s="39" t="s">
        <v>147</v>
      </c>
      <c r="E26" s="39" t="s">
        <v>148</v>
      </c>
      <c r="F26" s="38" t="str">
        <f t="shared" si="1"/>
        <v>CORRECT</v>
      </c>
      <c r="G26" s="38" t="s">
        <v>48</v>
      </c>
      <c r="H26" s="20" t="s">
        <v>48</v>
      </c>
      <c r="I26" s="40" t="s">
        <v>276</v>
      </c>
      <c r="J26" s="41"/>
    </row>
    <row r="27" ht="60.0" customHeight="1">
      <c r="A27" s="38">
        <v>24.0</v>
      </c>
      <c r="B27" s="39" t="s">
        <v>150</v>
      </c>
      <c r="C27" s="39" t="s">
        <v>151</v>
      </c>
      <c r="D27" s="39" t="s">
        <v>152</v>
      </c>
      <c r="E27" s="39" t="s">
        <v>153</v>
      </c>
      <c r="F27" s="38" t="str">
        <f t="shared" si="1"/>
        <v>WRONG</v>
      </c>
      <c r="G27" s="38" t="s">
        <v>36</v>
      </c>
      <c r="H27" s="20" t="s">
        <v>48</v>
      </c>
      <c r="I27" s="40" t="s">
        <v>154</v>
      </c>
      <c r="J27" s="41"/>
    </row>
    <row r="28" ht="60.0" customHeight="1">
      <c r="A28" s="38">
        <v>25.0</v>
      </c>
      <c r="B28" s="39" t="s">
        <v>155</v>
      </c>
      <c r="C28" s="39" t="s">
        <v>151</v>
      </c>
      <c r="D28" s="39" t="s">
        <v>156</v>
      </c>
      <c r="E28" s="39" t="s">
        <v>153</v>
      </c>
      <c r="F28" s="38" t="str">
        <f t="shared" si="1"/>
        <v>WRONG</v>
      </c>
      <c r="G28" s="38" t="s">
        <v>48</v>
      </c>
      <c r="H28" s="20" t="s">
        <v>36</v>
      </c>
      <c r="I28" s="40" t="s">
        <v>277</v>
      </c>
      <c r="J28" s="41"/>
    </row>
    <row r="29" ht="60.0" customHeight="1">
      <c r="A29" s="38">
        <v>26.0</v>
      </c>
      <c r="B29" s="39" t="s">
        <v>158</v>
      </c>
      <c r="C29" s="39" t="s">
        <v>159</v>
      </c>
      <c r="D29" s="39" t="s">
        <v>160</v>
      </c>
      <c r="E29" s="39" t="s">
        <v>161</v>
      </c>
      <c r="F29" s="38" t="str">
        <f t="shared" si="1"/>
        <v>WRONG</v>
      </c>
      <c r="G29" s="38" t="s">
        <v>36</v>
      </c>
      <c r="H29" s="20" t="s">
        <v>48</v>
      </c>
      <c r="I29" s="40" t="s">
        <v>162</v>
      </c>
      <c r="J29" s="41"/>
    </row>
    <row r="30" ht="60.0" customHeight="1">
      <c r="A30" s="38">
        <v>27.0</v>
      </c>
      <c r="B30" s="39" t="s">
        <v>163</v>
      </c>
      <c r="C30" s="39" t="s">
        <v>164</v>
      </c>
      <c r="D30" s="39" t="s">
        <v>165</v>
      </c>
      <c r="E30" s="39" t="s">
        <v>166</v>
      </c>
      <c r="F30" s="38" t="str">
        <f t="shared" si="1"/>
        <v>CORRECT</v>
      </c>
      <c r="G30" s="38" t="s">
        <v>37</v>
      </c>
      <c r="H30" s="20" t="s">
        <v>37</v>
      </c>
      <c r="I30" s="40" t="s">
        <v>278</v>
      </c>
      <c r="J30" s="41"/>
    </row>
    <row r="31" ht="60.0" customHeight="1">
      <c r="A31" s="38">
        <v>28.0</v>
      </c>
      <c r="B31" s="39" t="s">
        <v>168</v>
      </c>
      <c r="C31" s="39" t="s">
        <v>169</v>
      </c>
      <c r="D31" s="39" t="s">
        <v>170</v>
      </c>
      <c r="E31" s="39" t="s">
        <v>171</v>
      </c>
      <c r="F31" s="38" t="str">
        <f t="shared" si="1"/>
        <v>CORRECT</v>
      </c>
      <c r="G31" s="38" t="s">
        <v>36</v>
      </c>
      <c r="H31" s="20" t="s">
        <v>36</v>
      </c>
      <c r="I31" s="40" t="s">
        <v>279</v>
      </c>
      <c r="J31" s="41"/>
    </row>
    <row r="32" ht="60.0" customHeight="1">
      <c r="A32" s="38">
        <v>29.0</v>
      </c>
      <c r="B32" s="39" t="s">
        <v>173</v>
      </c>
      <c r="C32" s="39" t="s">
        <v>174</v>
      </c>
      <c r="D32" s="39" t="s">
        <v>175</v>
      </c>
      <c r="E32" s="39" t="s">
        <v>176</v>
      </c>
      <c r="F32" s="38" t="str">
        <f t="shared" si="1"/>
        <v>CORRECT</v>
      </c>
      <c r="G32" s="38" t="s">
        <v>37</v>
      </c>
      <c r="H32" s="20" t="s">
        <v>37</v>
      </c>
      <c r="I32" s="40" t="s">
        <v>177</v>
      </c>
      <c r="J32" s="41"/>
    </row>
    <row r="33" ht="60.0" customHeight="1">
      <c r="A33" s="38">
        <v>30.0</v>
      </c>
      <c r="B33" s="39" t="s">
        <v>178</v>
      </c>
      <c r="C33" s="39" t="s">
        <v>179</v>
      </c>
      <c r="D33" s="39" t="s">
        <v>180</v>
      </c>
      <c r="E33" s="39" t="s">
        <v>181</v>
      </c>
      <c r="F33" s="38" t="str">
        <f t="shared" si="1"/>
        <v>WRONG</v>
      </c>
      <c r="G33" s="38" t="s">
        <v>48</v>
      </c>
      <c r="H33" s="20" t="s">
        <v>36</v>
      </c>
      <c r="I33" s="40" t="s">
        <v>280</v>
      </c>
      <c r="J33" s="41"/>
    </row>
    <row r="34" ht="60.0" customHeight="1">
      <c r="A34" s="38">
        <v>31.0</v>
      </c>
      <c r="B34" s="39" t="s">
        <v>183</v>
      </c>
      <c r="C34" s="39" t="s">
        <v>184</v>
      </c>
      <c r="D34" s="39" t="s">
        <v>185</v>
      </c>
      <c r="E34" s="39" t="s">
        <v>186</v>
      </c>
      <c r="F34" s="38" t="str">
        <f t="shared" si="1"/>
        <v>WRONG</v>
      </c>
      <c r="G34" s="38" t="s">
        <v>37</v>
      </c>
      <c r="H34" s="20" t="s">
        <v>36</v>
      </c>
      <c r="I34" s="40" t="s">
        <v>187</v>
      </c>
      <c r="J34" s="41"/>
    </row>
    <row r="35" ht="60.0" customHeight="1">
      <c r="A35" s="38">
        <v>32.0</v>
      </c>
      <c r="B35" s="39" t="s">
        <v>188</v>
      </c>
      <c r="C35" s="39" t="s">
        <v>189</v>
      </c>
      <c r="D35" s="39" t="s">
        <v>190</v>
      </c>
      <c r="E35" s="39" t="s">
        <v>191</v>
      </c>
      <c r="F35" s="38" t="str">
        <f t="shared" si="1"/>
        <v>CORRECT</v>
      </c>
      <c r="G35" s="38" t="s">
        <v>36</v>
      </c>
      <c r="H35" s="20" t="s">
        <v>36</v>
      </c>
      <c r="I35" s="40" t="s">
        <v>281</v>
      </c>
      <c r="J35" s="41"/>
    </row>
    <row r="36" ht="60.0" customHeight="1">
      <c r="A36" s="38">
        <v>33.0</v>
      </c>
      <c r="B36" s="39" t="s">
        <v>193</v>
      </c>
      <c r="C36" s="39" t="s">
        <v>194</v>
      </c>
      <c r="D36" s="39" t="s">
        <v>195</v>
      </c>
      <c r="E36" s="39" t="s">
        <v>196</v>
      </c>
      <c r="F36" s="38" t="str">
        <f t="shared" si="1"/>
        <v>CORRECT</v>
      </c>
      <c r="G36" s="38" t="s">
        <v>48</v>
      </c>
      <c r="H36" s="20" t="s">
        <v>48</v>
      </c>
      <c r="I36" s="40" t="s">
        <v>197</v>
      </c>
      <c r="J36" s="41"/>
    </row>
    <row r="37" ht="60.0" customHeight="1">
      <c r="A37" s="38">
        <v>34.0</v>
      </c>
      <c r="B37" s="39" t="s">
        <v>198</v>
      </c>
      <c r="C37" s="39" t="s">
        <v>199</v>
      </c>
      <c r="D37" s="39" t="s">
        <v>200</v>
      </c>
      <c r="E37" s="39" t="s">
        <v>201</v>
      </c>
      <c r="F37" s="38" t="str">
        <f t="shared" si="1"/>
        <v>CORRECT</v>
      </c>
      <c r="G37" s="38" t="s">
        <v>36</v>
      </c>
      <c r="H37" s="20" t="s">
        <v>36</v>
      </c>
      <c r="I37" s="40" t="s">
        <v>282</v>
      </c>
      <c r="J37" s="41"/>
    </row>
    <row r="38" ht="60.0" customHeight="1">
      <c r="A38" s="38">
        <v>35.0</v>
      </c>
      <c r="B38" s="39" t="s">
        <v>203</v>
      </c>
      <c r="C38" s="39" t="s">
        <v>204</v>
      </c>
      <c r="D38" s="39" t="s">
        <v>205</v>
      </c>
      <c r="E38" s="39" t="s">
        <v>206</v>
      </c>
      <c r="F38" s="38" t="str">
        <f t="shared" si="1"/>
        <v>CORRECT</v>
      </c>
      <c r="G38" s="38" t="s">
        <v>48</v>
      </c>
      <c r="H38" s="20" t="s">
        <v>48</v>
      </c>
      <c r="I38" s="40" t="s">
        <v>207</v>
      </c>
      <c r="J38" s="41"/>
    </row>
    <row r="39" ht="60.0" customHeight="1">
      <c r="A39" s="38">
        <v>36.0</v>
      </c>
      <c r="B39" s="39" t="s">
        <v>208</v>
      </c>
      <c r="C39" s="39" t="s">
        <v>209</v>
      </c>
      <c r="D39" s="39" t="s">
        <v>210</v>
      </c>
      <c r="E39" s="39" t="s">
        <v>211</v>
      </c>
      <c r="F39" s="38" t="str">
        <f t="shared" si="1"/>
        <v>CORRECT</v>
      </c>
      <c r="G39" s="38" t="s">
        <v>36</v>
      </c>
      <c r="H39" s="20" t="s">
        <v>36</v>
      </c>
      <c r="I39" s="40" t="s">
        <v>212</v>
      </c>
      <c r="J39" s="41"/>
    </row>
    <row r="40" ht="60.0" customHeight="1">
      <c r="A40" s="38">
        <v>37.0</v>
      </c>
      <c r="B40" s="39" t="s">
        <v>213</v>
      </c>
      <c r="C40" s="39" t="s">
        <v>214</v>
      </c>
      <c r="D40" s="39" t="s">
        <v>215</v>
      </c>
      <c r="E40" s="39" t="s">
        <v>216</v>
      </c>
      <c r="F40" s="38" t="str">
        <f t="shared" si="1"/>
        <v>WRONG</v>
      </c>
      <c r="G40" s="38" t="s">
        <v>36</v>
      </c>
      <c r="H40" s="20" t="s">
        <v>37</v>
      </c>
      <c r="I40" s="40" t="s">
        <v>217</v>
      </c>
      <c r="J40" s="41"/>
    </row>
    <row r="41" ht="60.0" customHeight="1">
      <c r="A41" s="38">
        <v>38.0</v>
      </c>
      <c r="B41" s="39" t="s">
        <v>218</v>
      </c>
      <c r="C41" s="39" t="s">
        <v>219</v>
      </c>
      <c r="D41" s="39" t="s">
        <v>220</v>
      </c>
      <c r="E41" s="39" t="s">
        <v>221</v>
      </c>
      <c r="F41" s="38" t="str">
        <f t="shared" si="1"/>
        <v>CORRECT</v>
      </c>
      <c r="G41" s="38" t="s">
        <v>36</v>
      </c>
      <c r="H41" s="20" t="s">
        <v>36</v>
      </c>
      <c r="I41" s="40" t="s">
        <v>283</v>
      </c>
      <c r="J41" s="41"/>
    </row>
    <row r="42" ht="60.0" customHeight="1">
      <c r="A42" s="38">
        <v>39.0</v>
      </c>
      <c r="B42" s="39" t="s">
        <v>223</v>
      </c>
      <c r="C42" s="39" t="s">
        <v>224</v>
      </c>
      <c r="D42" s="39" t="s">
        <v>225</v>
      </c>
      <c r="E42" s="39" t="s">
        <v>226</v>
      </c>
      <c r="F42" s="38" t="str">
        <f t="shared" si="1"/>
        <v>CORRECT</v>
      </c>
      <c r="G42" s="38" t="s">
        <v>37</v>
      </c>
      <c r="H42" s="20" t="s">
        <v>37</v>
      </c>
      <c r="I42" s="40" t="s">
        <v>284</v>
      </c>
      <c r="J42" s="41"/>
    </row>
    <row r="43" ht="60.0" customHeight="1">
      <c r="A43" s="38">
        <v>40.0</v>
      </c>
      <c r="B43" s="39" t="s">
        <v>228</v>
      </c>
      <c r="C43" s="39" t="s">
        <v>229</v>
      </c>
      <c r="D43" s="39" t="s">
        <v>230</v>
      </c>
      <c r="E43" s="39" t="s">
        <v>231</v>
      </c>
      <c r="F43" s="38" t="str">
        <f t="shared" si="1"/>
        <v>WRONG</v>
      </c>
      <c r="G43" s="38" t="s">
        <v>48</v>
      </c>
      <c r="H43" s="20" t="s">
        <v>37</v>
      </c>
      <c r="I43" s="40" t="s">
        <v>285</v>
      </c>
      <c r="J43" s="41"/>
    </row>
    <row r="44" ht="60.0" customHeight="1">
      <c r="A44" s="38">
        <v>41.0</v>
      </c>
      <c r="B44" s="39" t="s">
        <v>233</v>
      </c>
      <c r="C44" s="39" t="s">
        <v>234</v>
      </c>
      <c r="D44" s="39" t="s">
        <v>235</v>
      </c>
      <c r="E44" s="39" t="s">
        <v>236</v>
      </c>
      <c r="F44" s="38" t="str">
        <f t="shared" si="1"/>
        <v>CORRECT</v>
      </c>
      <c r="G44" s="38" t="s">
        <v>37</v>
      </c>
      <c r="H44" s="20" t="s">
        <v>37</v>
      </c>
      <c r="I44" s="40" t="s">
        <v>286</v>
      </c>
      <c r="J44" s="41"/>
    </row>
    <row r="45" ht="60.0" customHeight="1">
      <c r="A45" s="38">
        <v>42.0</v>
      </c>
      <c r="B45" s="39" t="s">
        <v>238</v>
      </c>
      <c r="C45" s="39" t="s">
        <v>239</v>
      </c>
      <c r="D45" s="39" t="s">
        <v>240</v>
      </c>
      <c r="E45" s="39" t="s">
        <v>241</v>
      </c>
      <c r="F45" s="38" t="str">
        <f t="shared" si="1"/>
        <v>WRONG</v>
      </c>
      <c r="G45" s="38" t="s">
        <v>36</v>
      </c>
      <c r="H45" s="20" t="s">
        <v>37</v>
      </c>
      <c r="I45" s="40" t="s">
        <v>287</v>
      </c>
      <c r="J45" s="41"/>
    </row>
    <row r="46" ht="60.0" customHeight="1">
      <c r="A46" s="38">
        <v>43.0</v>
      </c>
      <c r="B46" s="39" t="s">
        <v>243</v>
      </c>
      <c r="C46" s="39" t="s">
        <v>244</v>
      </c>
      <c r="D46" s="39" t="s">
        <v>245</v>
      </c>
      <c r="E46" s="39" t="s">
        <v>246</v>
      </c>
      <c r="F46" s="38" t="str">
        <f t="shared" si="1"/>
        <v>CORRECT</v>
      </c>
      <c r="G46" s="38" t="s">
        <v>48</v>
      </c>
      <c r="H46" s="20" t="s">
        <v>48</v>
      </c>
      <c r="I46" s="40" t="s">
        <v>247</v>
      </c>
      <c r="J46" s="41"/>
    </row>
    <row r="47" ht="60.0" customHeight="1">
      <c r="A47" s="38">
        <v>44.0</v>
      </c>
      <c r="B47" s="39" t="s">
        <v>248</v>
      </c>
      <c r="C47" s="39" t="s">
        <v>249</v>
      </c>
      <c r="D47" s="39" t="s">
        <v>250</v>
      </c>
      <c r="E47" s="39" t="s">
        <v>251</v>
      </c>
      <c r="F47" s="38" t="str">
        <f t="shared" si="1"/>
        <v>CORRECT</v>
      </c>
      <c r="G47" s="38" t="s">
        <v>36</v>
      </c>
      <c r="H47" s="20" t="s">
        <v>36</v>
      </c>
      <c r="I47" s="40" t="s">
        <v>252</v>
      </c>
      <c r="J47" s="41"/>
    </row>
    <row r="48" ht="60.0" customHeight="1">
      <c r="A48" s="38">
        <v>45.0</v>
      </c>
      <c r="B48" s="39" t="s">
        <v>253</v>
      </c>
      <c r="C48" s="39" t="s">
        <v>254</v>
      </c>
      <c r="D48" s="39" t="s">
        <v>255</v>
      </c>
      <c r="E48" s="39" t="s">
        <v>256</v>
      </c>
      <c r="F48" s="38" t="str">
        <f t="shared" si="1"/>
        <v>CORRECT</v>
      </c>
      <c r="G48" s="38" t="s">
        <v>36</v>
      </c>
      <c r="H48" s="20" t="s">
        <v>36</v>
      </c>
      <c r="I48" s="40" t="s">
        <v>257</v>
      </c>
      <c r="J48" s="41"/>
    </row>
    <row r="49" ht="60.0" customHeight="1">
      <c r="A49" s="38">
        <v>46.0</v>
      </c>
      <c r="B49" s="39" t="s">
        <v>258</v>
      </c>
      <c r="C49" s="39" t="s">
        <v>40</v>
      </c>
      <c r="D49" s="39" t="s">
        <v>259</v>
      </c>
      <c r="E49" s="39" t="s">
        <v>260</v>
      </c>
      <c r="F49" s="38" t="str">
        <f t="shared" si="1"/>
        <v>CORRECT</v>
      </c>
      <c r="G49" s="38" t="s">
        <v>36</v>
      </c>
      <c r="H49" s="20" t="s">
        <v>36</v>
      </c>
      <c r="I49" s="40" t="s">
        <v>261</v>
      </c>
      <c r="J49" s="41"/>
    </row>
    <row r="50">
      <c r="A50" s="42" t="s">
        <v>262</v>
      </c>
      <c r="B50" s="2"/>
      <c r="C50" s="2"/>
      <c r="D50" s="2"/>
      <c r="E50" s="3"/>
      <c r="F50" s="43">
        <f>COUNTIFS(F4:F49,"CORRECT")</f>
        <v>26</v>
      </c>
      <c r="G50" s="44"/>
      <c r="H50" s="44"/>
      <c r="J50" s="45" t="str">
        <f>AVERAGE(J4:J49)</f>
        <v>#DIV/0!</v>
      </c>
    </row>
    <row r="51">
      <c r="A51" s="46" t="s">
        <v>263</v>
      </c>
      <c r="B51" s="2"/>
      <c r="C51" s="2"/>
      <c r="D51" s="2"/>
      <c r="E51" s="3"/>
      <c r="F51" s="47">
        <v>46.0</v>
      </c>
      <c r="G51" s="44"/>
      <c r="H51" s="44"/>
    </row>
    <row r="52">
      <c r="A52" s="42" t="s">
        <v>264</v>
      </c>
      <c r="B52" s="2"/>
      <c r="C52" s="2"/>
      <c r="D52" s="2"/>
      <c r="E52" s="3"/>
      <c r="F52" s="48">
        <f>F50/F51</f>
        <v>0.5652173913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288</v>
      </c>
      <c r="C2" s="2"/>
      <c r="D2" s="2"/>
      <c r="E2" s="2"/>
      <c r="F2" s="2"/>
      <c r="G2" s="2"/>
      <c r="H2" s="3"/>
      <c r="I2" s="36" t="s">
        <v>289</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20" t="s">
        <v>37</v>
      </c>
      <c r="I4" s="40" t="s">
        <v>290</v>
      </c>
      <c r="J4" s="41"/>
    </row>
    <row r="5" ht="60.0" customHeight="1">
      <c r="A5" s="38">
        <v>2.0</v>
      </c>
      <c r="B5" s="39" t="s">
        <v>39</v>
      </c>
      <c r="C5" s="39" t="s">
        <v>40</v>
      </c>
      <c r="D5" s="39" t="s">
        <v>41</v>
      </c>
      <c r="E5" s="39" t="s">
        <v>42</v>
      </c>
      <c r="F5" s="38" t="str">
        <f t="shared" si="1"/>
        <v>WRONG</v>
      </c>
      <c r="G5" s="38" t="s">
        <v>37</v>
      </c>
      <c r="H5" s="20" t="s">
        <v>36</v>
      </c>
      <c r="I5" s="40" t="s">
        <v>291</v>
      </c>
      <c r="J5" s="41"/>
    </row>
    <row r="6" ht="60.0" customHeight="1">
      <c r="A6" s="38">
        <v>3.0</v>
      </c>
      <c r="B6" s="39" t="s">
        <v>44</v>
      </c>
      <c r="C6" s="39" t="s">
        <v>45</v>
      </c>
      <c r="D6" s="39" t="s">
        <v>46</v>
      </c>
      <c r="E6" s="39" t="s">
        <v>47</v>
      </c>
      <c r="F6" s="38" t="str">
        <f t="shared" si="1"/>
        <v>CORRECT</v>
      </c>
      <c r="G6" s="38" t="s">
        <v>48</v>
      </c>
      <c r="H6" s="20" t="s">
        <v>48</v>
      </c>
      <c r="I6" s="40" t="s">
        <v>267</v>
      </c>
      <c r="J6" s="41"/>
    </row>
    <row r="7" ht="60.0" customHeight="1">
      <c r="A7" s="38">
        <v>4.0</v>
      </c>
      <c r="B7" s="39" t="s">
        <v>50</v>
      </c>
      <c r="C7" s="39" t="s">
        <v>51</v>
      </c>
      <c r="D7" s="39" t="s">
        <v>52</v>
      </c>
      <c r="E7" s="39" t="s">
        <v>53</v>
      </c>
      <c r="F7" s="38" t="str">
        <f t="shared" si="1"/>
        <v>WRONG</v>
      </c>
      <c r="G7" s="38" t="s">
        <v>37</v>
      </c>
      <c r="H7" s="20" t="s">
        <v>48</v>
      </c>
      <c r="I7" s="40" t="s">
        <v>54</v>
      </c>
      <c r="J7" s="41"/>
    </row>
    <row r="8" ht="60.0" customHeight="1">
      <c r="A8" s="38">
        <v>5.0</v>
      </c>
      <c r="B8" s="39" t="s">
        <v>55</v>
      </c>
      <c r="C8" s="39" t="s">
        <v>56</v>
      </c>
      <c r="D8" s="39" t="s">
        <v>57</v>
      </c>
      <c r="E8" s="39" t="s">
        <v>58</v>
      </c>
      <c r="F8" s="38" t="str">
        <f t="shared" si="1"/>
        <v>CORRECT</v>
      </c>
      <c r="G8" s="38" t="s">
        <v>48</v>
      </c>
      <c r="H8" s="20" t="s">
        <v>48</v>
      </c>
      <c r="I8" s="40" t="s">
        <v>59</v>
      </c>
      <c r="J8" s="41"/>
    </row>
    <row r="9" ht="60.0" customHeight="1">
      <c r="A9" s="38">
        <v>6.0</v>
      </c>
      <c r="B9" s="39" t="s">
        <v>60</v>
      </c>
      <c r="C9" s="39" t="s">
        <v>61</v>
      </c>
      <c r="D9" s="39" t="s">
        <v>62</v>
      </c>
      <c r="E9" s="39" t="s">
        <v>63</v>
      </c>
      <c r="F9" s="38" t="str">
        <f t="shared" si="1"/>
        <v>CORRECT</v>
      </c>
      <c r="G9" s="38" t="s">
        <v>37</v>
      </c>
      <c r="H9" s="20" t="s">
        <v>37</v>
      </c>
      <c r="I9" s="40" t="s">
        <v>64</v>
      </c>
      <c r="J9" s="41"/>
    </row>
    <row r="10" ht="60.0" customHeight="1">
      <c r="A10" s="38">
        <v>7.0</v>
      </c>
      <c r="B10" s="39" t="s">
        <v>65</v>
      </c>
      <c r="C10" s="39" t="s">
        <v>66</v>
      </c>
      <c r="D10" s="39" t="s">
        <v>67</v>
      </c>
      <c r="E10" s="39" t="s">
        <v>68</v>
      </c>
      <c r="F10" s="38" t="str">
        <f t="shared" si="1"/>
        <v>CORRECT</v>
      </c>
      <c r="G10" s="38" t="s">
        <v>37</v>
      </c>
      <c r="H10" s="20" t="s">
        <v>37</v>
      </c>
      <c r="I10" s="40" t="s">
        <v>292</v>
      </c>
      <c r="J10" s="41"/>
    </row>
    <row r="11" ht="60.0" customHeight="1">
      <c r="A11" s="38">
        <v>8.0</v>
      </c>
      <c r="B11" s="39" t="s">
        <v>70</v>
      </c>
      <c r="C11" s="39" t="s">
        <v>71</v>
      </c>
      <c r="D11" s="39" t="s">
        <v>72</v>
      </c>
      <c r="E11" s="39" t="s">
        <v>73</v>
      </c>
      <c r="F11" s="38" t="str">
        <f t="shared" si="1"/>
        <v>WRONG</v>
      </c>
      <c r="G11" s="38" t="s">
        <v>48</v>
      </c>
      <c r="H11" s="20" t="s">
        <v>37</v>
      </c>
      <c r="I11" s="40" t="s">
        <v>293</v>
      </c>
      <c r="J11" s="41"/>
    </row>
    <row r="12" ht="60.0" customHeight="1">
      <c r="A12" s="38">
        <v>9.0</v>
      </c>
      <c r="B12" s="39" t="s">
        <v>75</v>
      </c>
      <c r="C12" s="39" t="s">
        <v>76</v>
      </c>
      <c r="D12" s="39" t="s">
        <v>77</v>
      </c>
      <c r="E12" s="39" t="s">
        <v>78</v>
      </c>
      <c r="F12" s="38" t="str">
        <f t="shared" si="1"/>
        <v>WRONG</v>
      </c>
      <c r="G12" s="38" t="s">
        <v>37</v>
      </c>
      <c r="H12" s="20" t="s">
        <v>48</v>
      </c>
      <c r="I12" s="40" t="s">
        <v>294</v>
      </c>
      <c r="J12" s="41"/>
    </row>
    <row r="13" ht="60.0" customHeight="1">
      <c r="A13" s="38">
        <v>10.0</v>
      </c>
      <c r="B13" s="39" t="s">
        <v>80</v>
      </c>
      <c r="C13" s="39" t="s">
        <v>81</v>
      </c>
      <c r="D13" s="39" t="s">
        <v>82</v>
      </c>
      <c r="E13" s="39" t="s">
        <v>83</v>
      </c>
      <c r="F13" s="38" t="str">
        <f t="shared" si="1"/>
        <v>WRONG</v>
      </c>
      <c r="G13" s="38" t="s">
        <v>48</v>
      </c>
      <c r="H13" s="20" t="s">
        <v>36</v>
      </c>
      <c r="I13" s="40" t="s">
        <v>295</v>
      </c>
      <c r="J13" s="41"/>
    </row>
    <row r="14" ht="60.0" customHeight="1">
      <c r="A14" s="38">
        <v>11.0</v>
      </c>
      <c r="B14" s="39" t="s">
        <v>85</v>
      </c>
      <c r="C14" s="39" t="s">
        <v>86</v>
      </c>
      <c r="D14" s="39" t="s">
        <v>87</v>
      </c>
      <c r="E14" s="39" t="s">
        <v>88</v>
      </c>
      <c r="F14" s="38" t="str">
        <f t="shared" si="1"/>
        <v>WRONG</v>
      </c>
      <c r="G14" s="38" t="s">
        <v>37</v>
      </c>
      <c r="H14" s="20" t="s">
        <v>48</v>
      </c>
      <c r="I14" s="40" t="s">
        <v>296</v>
      </c>
      <c r="J14" s="41"/>
    </row>
    <row r="15" ht="60.0" customHeight="1">
      <c r="A15" s="38">
        <v>12.0</v>
      </c>
      <c r="B15" s="39" t="s">
        <v>90</v>
      </c>
      <c r="C15" s="39" t="s">
        <v>91</v>
      </c>
      <c r="D15" s="39" t="s">
        <v>92</v>
      </c>
      <c r="E15" s="39" t="s">
        <v>93</v>
      </c>
      <c r="F15" s="38" t="str">
        <f t="shared" si="1"/>
        <v>CORRECT</v>
      </c>
      <c r="G15" s="38" t="s">
        <v>48</v>
      </c>
      <c r="H15" s="20" t="s">
        <v>48</v>
      </c>
      <c r="I15" s="40" t="s">
        <v>94</v>
      </c>
      <c r="J15" s="41"/>
    </row>
    <row r="16" ht="60.0" customHeight="1">
      <c r="A16" s="38">
        <v>13.0</v>
      </c>
      <c r="B16" s="39" t="s">
        <v>95</v>
      </c>
      <c r="C16" s="39" t="s">
        <v>96</v>
      </c>
      <c r="D16" s="39" t="s">
        <v>97</v>
      </c>
      <c r="E16" s="39" t="s">
        <v>98</v>
      </c>
      <c r="F16" s="38" t="str">
        <f t="shared" si="1"/>
        <v>CORRECT</v>
      </c>
      <c r="G16" s="38" t="s">
        <v>36</v>
      </c>
      <c r="H16" s="20" t="s">
        <v>36</v>
      </c>
      <c r="I16" s="40" t="s">
        <v>99</v>
      </c>
      <c r="J16" s="41"/>
    </row>
    <row r="17" ht="60.0" customHeight="1">
      <c r="A17" s="38">
        <v>14.0</v>
      </c>
      <c r="B17" s="39" t="s">
        <v>100</v>
      </c>
      <c r="C17" s="39" t="s">
        <v>101</v>
      </c>
      <c r="D17" s="39" t="s">
        <v>102</v>
      </c>
      <c r="E17" s="39" t="s">
        <v>103</v>
      </c>
      <c r="F17" s="38" t="str">
        <f t="shared" si="1"/>
        <v>WRONG</v>
      </c>
      <c r="G17" s="38" t="s">
        <v>36</v>
      </c>
      <c r="H17" s="20" t="s">
        <v>48</v>
      </c>
      <c r="I17" s="40" t="s">
        <v>297</v>
      </c>
      <c r="J17" s="41"/>
    </row>
    <row r="18" ht="60.0" customHeight="1">
      <c r="A18" s="38">
        <v>15.0</v>
      </c>
      <c r="B18" s="39" t="s">
        <v>105</v>
      </c>
      <c r="C18" s="39" t="s">
        <v>106</v>
      </c>
      <c r="D18" s="39" t="s">
        <v>107</v>
      </c>
      <c r="E18" s="39" t="s">
        <v>108</v>
      </c>
      <c r="F18" s="38" t="str">
        <f t="shared" si="1"/>
        <v>CORRECT</v>
      </c>
      <c r="G18" s="38" t="s">
        <v>48</v>
      </c>
      <c r="H18" s="20" t="s">
        <v>48</v>
      </c>
      <c r="I18" s="40" t="s">
        <v>298</v>
      </c>
      <c r="J18" s="41"/>
    </row>
    <row r="19" ht="60.0" customHeight="1">
      <c r="A19" s="38">
        <v>16.0</v>
      </c>
      <c r="B19" s="39" t="s">
        <v>110</v>
      </c>
      <c r="C19" s="39" t="s">
        <v>111</v>
      </c>
      <c r="D19" s="39" t="s">
        <v>112</v>
      </c>
      <c r="E19" s="39" t="s">
        <v>113</v>
      </c>
      <c r="F19" s="38" t="str">
        <f t="shared" si="1"/>
        <v>WRONG</v>
      </c>
      <c r="G19" s="38" t="s">
        <v>48</v>
      </c>
      <c r="H19" s="20" t="s">
        <v>36</v>
      </c>
      <c r="I19" s="40" t="s">
        <v>114</v>
      </c>
      <c r="J19" s="41"/>
    </row>
    <row r="20" ht="60.0" customHeight="1">
      <c r="A20" s="38">
        <v>17.0</v>
      </c>
      <c r="B20" s="39" t="s">
        <v>115</v>
      </c>
      <c r="C20" s="39" t="s">
        <v>116</v>
      </c>
      <c r="D20" s="39" t="s">
        <v>117</v>
      </c>
      <c r="E20" s="39" t="s">
        <v>118</v>
      </c>
      <c r="F20" s="38" t="str">
        <f t="shared" si="1"/>
        <v>WRONG</v>
      </c>
      <c r="G20" s="38" t="s">
        <v>37</v>
      </c>
      <c r="H20" s="20" t="s">
        <v>36</v>
      </c>
      <c r="I20" s="40" t="s">
        <v>299</v>
      </c>
      <c r="J20" s="41"/>
    </row>
    <row r="21" ht="60.0" customHeight="1">
      <c r="A21" s="38">
        <v>18.0</v>
      </c>
      <c r="B21" s="39" t="s">
        <v>120</v>
      </c>
      <c r="C21" s="39" t="s">
        <v>121</v>
      </c>
      <c r="D21" s="39" t="s">
        <v>122</v>
      </c>
      <c r="E21" s="39" t="s">
        <v>123</v>
      </c>
      <c r="F21" s="38" t="str">
        <f t="shared" si="1"/>
        <v>CORRECT</v>
      </c>
      <c r="G21" s="38" t="s">
        <v>37</v>
      </c>
      <c r="H21" s="20" t="s">
        <v>37</v>
      </c>
      <c r="I21" s="40" t="s">
        <v>124</v>
      </c>
      <c r="J21" s="41"/>
    </row>
    <row r="22" ht="60.0" customHeight="1">
      <c r="A22" s="38">
        <v>19.0</v>
      </c>
      <c r="B22" s="39" t="s">
        <v>125</v>
      </c>
      <c r="C22" s="39" t="s">
        <v>126</v>
      </c>
      <c r="D22" s="39" t="s">
        <v>127</v>
      </c>
      <c r="E22" s="39" t="s">
        <v>128</v>
      </c>
      <c r="F22" s="38" t="str">
        <f t="shared" si="1"/>
        <v>WRONG</v>
      </c>
      <c r="G22" s="38" t="s">
        <v>36</v>
      </c>
      <c r="H22" s="20" t="s">
        <v>48</v>
      </c>
      <c r="I22" s="40" t="s">
        <v>300</v>
      </c>
      <c r="J22" s="41"/>
    </row>
    <row r="23" ht="60.0" customHeight="1">
      <c r="A23" s="38">
        <v>20.0</v>
      </c>
      <c r="B23" s="39" t="s">
        <v>130</v>
      </c>
      <c r="C23" s="39" t="s">
        <v>131</v>
      </c>
      <c r="D23" s="39" t="s">
        <v>132</v>
      </c>
      <c r="E23" s="39" t="s">
        <v>133</v>
      </c>
      <c r="F23" s="38" t="str">
        <f t="shared" si="1"/>
        <v>WRONG</v>
      </c>
      <c r="G23" s="38" t="s">
        <v>37</v>
      </c>
      <c r="H23" s="20" t="s">
        <v>48</v>
      </c>
      <c r="I23" s="40" t="s">
        <v>301</v>
      </c>
      <c r="J23" s="41"/>
    </row>
    <row r="24" ht="60.0" customHeight="1">
      <c r="A24" s="38">
        <v>21.0</v>
      </c>
      <c r="B24" s="39" t="s">
        <v>135</v>
      </c>
      <c r="C24" s="39" t="s">
        <v>136</v>
      </c>
      <c r="D24" s="39" t="s">
        <v>137</v>
      </c>
      <c r="E24" s="39" t="s">
        <v>138</v>
      </c>
      <c r="F24" s="38" t="str">
        <f t="shared" si="1"/>
        <v>WRONG</v>
      </c>
      <c r="G24" s="38" t="s">
        <v>37</v>
      </c>
      <c r="H24" s="20" t="s">
        <v>36</v>
      </c>
      <c r="I24" s="40" t="s">
        <v>302</v>
      </c>
      <c r="J24" s="41"/>
    </row>
    <row r="25" ht="60.0" customHeight="1">
      <c r="A25" s="38">
        <v>22.0</v>
      </c>
      <c r="B25" s="39" t="s">
        <v>140</v>
      </c>
      <c r="C25" s="39" t="s">
        <v>141</v>
      </c>
      <c r="D25" s="39" t="s">
        <v>142</v>
      </c>
      <c r="E25" s="39" t="s">
        <v>143</v>
      </c>
      <c r="F25" s="38" t="str">
        <f t="shared" si="1"/>
        <v>CORRECT</v>
      </c>
      <c r="G25" s="38" t="s">
        <v>37</v>
      </c>
      <c r="H25" s="20" t="s">
        <v>37</v>
      </c>
      <c r="I25" s="40" t="s">
        <v>303</v>
      </c>
      <c r="J25" s="41"/>
    </row>
    <row r="26" ht="60.0" customHeight="1">
      <c r="A26" s="38">
        <v>23.0</v>
      </c>
      <c r="B26" s="39" t="s">
        <v>145</v>
      </c>
      <c r="C26" s="39" t="s">
        <v>146</v>
      </c>
      <c r="D26" s="39" t="s">
        <v>147</v>
      </c>
      <c r="E26" s="39" t="s">
        <v>148</v>
      </c>
      <c r="F26" s="38" t="str">
        <f t="shared" si="1"/>
        <v>CORRECT</v>
      </c>
      <c r="G26" s="38" t="s">
        <v>48</v>
      </c>
      <c r="H26" s="20" t="s">
        <v>48</v>
      </c>
      <c r="I26" s="40" t="s">
        <v>304</v>
      </c>
      <c r="J26" s="41"/>
    </row>
    <row r="27" ht="60.0" customHeight="1">
      <c r="A27" s="38">
        <v>24.0</v>
      </c>
      <c r="B27" s="39" t="s">
        <v>150</v>
      </c>
      <c r="C27" s="39" t="s">
        <v>151</v>
      </c>
      <c r="D27" s="39" t="s">
        <v>152</v>
      </c>
      <c r="E27" s="39" t="s">
        <v>153</v>
      </c>
      <c r="F27" s="38" t="str">
        <f t="shared" si="1"/>
        <v>WRONG</v>
      </c>
      <c r="G27" s="38" t="s">
        <v>36</v>
      </c>
      <c r="H27" s="20" t="s">
        <v>48</v>
      </c>
      <c r="I27" s="40" t="s">
        <v>305</v>
      </c>
      <c r="J27" s="41"/>
    </row>
    <row r="28" ht="60.0" customHeight="1">
      <c r="A28" s="38">
        <v>25.0</v>
      </c>
      <c r="B28" s="39" t="s">
        <v>155</v>
      </c>
      <c r="C28" s="39" t="s">
        <v>151</v>
      </c>
      <c r="D28" s="39" t="s">
        <v>156</v>
      </c>
      <c r="E28" s="39" t="s">
        <v>153</v>
      </c>
      <c r="F28" s="38" t="str">
        <f t="shared" si="1"/>
        <v>WRONG</v>
      </c>
      <c r="G28" s="38" t="s">
        <v>48</v>
      </c>
      <c r="H28" s="20" t="s">
        <v>36</v>
      </c>
      <c r="I28" s="40" t="s">
        <v>306</v>
      </c>
      <c r="J28" s="41"/>
    </row>
    <row r="29" ht="60.0" customHeight="1">
      <c r="A29" s="38">
        <v>26.0</v>
      </c>
      <c r="B29" s="39" t="s">
        <v>158</v>
      </c>
      <c r="C29" s="39" t="s">
        <v>159</v>
      </c>
      <c r="D29" s="39" t="s">
        <v>160</v>
      </c>
      <c r="E29" s="39" t="s">
        <v>161</v>
      </c>
      <c r="F29" s="38" t="str">
        <f t="shared" si="1"/>
        <v>WRONG</v>
      </c>
      <c r="G29" s="38" t="s">
        <v>36</v>
      </c>
      <c r="H29" s="20" t="s">
        <v>37</v>
      </c>
      <c r="I29" s="40" t="s">
        <v>307</v>
      </c>
      <c r="J29" s="41"/>
    </row>
    <row r="30" ht="60.0" customHeight="1">
      <c r="A30" s="38">
        <v>27.0</v>
      </c>
      <c r="B30" s="39" t="s">
        <v>163</v>
      </c>
      <c r="C30" s="39" t="s">
        <v>164</v>
      </c>
      <c r="D30" s="39" t="s">
        <v>165</v>
      </c>
      <c r="E30" s="39" t="s">
        <v>166</v>
      </c>
      <c r="F30" s="38" t="str">
        <f t="shared" si="1"/>
        <v>CORRECT</v>
      </c>
      <c r="G30" s="38" t="s">
        <v>37</v>
      </c>
      <c r="H30" s="20" t="s">
        <v>37</v>
      </c>
      <c r="I30" s="40" t="s">
        <v>308</v>
      </c>
      <c r="J30" s="41"/>
    </row>
    <row r="31" ht="60.0" customHeight="1">
      <c r="A31" s="38">
        <v>28.0</v>
      </c>
      <c r="B31" s="39" t="s">
        <v>168</v>
      </c>
      <c r="C31" s="39" t="s">
        <v>169</v>
      </c>
      <c r="D31" s="39" t="s">
        <v>170</v>
      </c>
      <c r="E31" s="39" t="s">
        <v>171</v>
      </c>
      <c r="F31" s="38" t="str">
        <f t="shared" si="1"/>
        <v>CORRECT</v>
      </c>
      <c r="G31" s="38" t="s">
        <v>36</v>
      </c>
      <c r="H31" s="20" t="s">
        <v>36</v>
      </c>
      <c r="I31" s="40" t="s">
        <v>309</v>
      </c>
      <c r="J31" s="41"/>
    </row>
    <row r="32" ht="60.0" customHeight="1">
      <c r="A32" s="38">
        <v>29.0</v>
      </c>
      <c r="B32" s="39" t="s">
        <v>173</v>
      </c>
      <c r="C32" s="39" t="s">
        <v>174</v>
      </c>
      <c r="D32" s="39" t="s">
        <v>175</v>
      </c>
      <c r="E32" s="39" t="s">
        <v>176</v>
      </c>
      <c r="F32" s="38" t="str">
        <f t="shared" si="1"/>
        <v>CORRECT</v>
      </c>
      <c r="G32" s="38" t="s">
        <v>37</v>
      </c>
      <c r="H32" s="20" t="s">
        <v>37</v>
      </c>
      <c r="I32" s="40" t="s">
        <v>310</v>
      </c>
      <c r="J32" s="41"/>
    </row>
    <row r="33" ht="60.0" customHeight="1">
      <c r="A33" s="38">
        <v>30.0</v>
      </c>
      <c r="B33" s="39" t="s">
        <v>178</v>
      </c>
      <c r="C33" s="39" t="s">
        <v>179</v>
      </c>
      <c r="D33" s="39" t="s">
        <v>180</v>
      </c>
      <c r="E33" s="39" t="s">
        <v>181</v>
      </c>
      <c r="F33" s="38" t="str">
        <f t="shared" si="1"/>
        <v>WRONG</v>
      </c>
      <c r="G33" s="38" t="s">
        <v>48</v>
      </c>
      <c r="H33" s="20" t="s">
        <v>36</v>
      </c>
      <c r="I33" s="40" t="s">
        <v>280</v>
      </c>
      <c r="J33" s="41"/>
    </row>
    <row r="34" ht="60.0" customHeight="1">
      <c r="A34" s="38">
        <v>31.0</v>
      </c>
      <c r="B34" s="39" t="s">
        <v>183</v>
      </c>
      <c r="C34" s="39" t="s">
        <v>184</v>
      </c>
      <c r="D34" s="39" t="s">
        <v>185</v>
      </c>
      <c r="E34" s="39" t="s">
        <v>186</v>
      </c>
      <c r="F34" s="38" t="str">
        <f t="shared" si="1"/>
        <v>WRONG</v>
      </c>
      <c r="G34" s="38" t="s">
        <v>37</v>
      </c>
      <c r="H34" s="20" t="s">
        <v>36</v>
      </c>
      <c r="I34" s="40" t="s">
        <v>187</v>
      </c>
      <c r="J34" s="41"/>
    </row>
    <row r="35" ht="60.0" customHeight="1">
      <c r="A35" s="38">
        <v>32.0</v>
      </c>
      <c r="B35" s="39" t="s">
        <v>188</v>
      </c>
      <c r="C35" s="39" t="s">
        <v>189</v>
      </c>
      <c r="D35" s="39" t="s">
        <v>190</v>
      </c>
      <c r="E35" s="39" t="s">
        <v>191</v>
      </c>
      <c r="F35" s="38" t="str">
        <f t="shared" si="1"/>
        <v>CORRECT</v>
      </c>
      <c r="G35" s="38" t="s">
        <v>36</v>
      </c>
      <c r="H35" s="20" t="s">
        <v>36</v>
      </c>
      <c r="I35" s="40" t="s">
        <v>311</v>
      </c>
      <c r="J35" s="41"/>
    </row>
    <row r="36" ht="60.0" customHeight="1">
      <c r="A36" s="38">
        <v>33.0</v>
      </c>
      <c r="B36" s="39" t="s">
        <v>193</v>
      </c>
      <c r="C36" s="39" t="s">
        <v>194</v>
      </c>
      <c r="D36" s="39" t="s">
        <v>195</v>
      </c>
      <c r="E36" s="39" t="s">
        <v>196</v>
      </c>
      <c r="F36" s="38" t="str">
        <f t="shared" si="1"/>
        <v>CORRECT</v>
      </c>
      <c r="G36" s="38" t="s">
        <v>48</v>
      </c>
      <c r="H36" s="20" t="s">
        <v>48</v>
      </c>
      <c r="I36" s="40" t="s">
        <v>312</v>
      </c>
      <c r="J36" s="41"/>
    </row>
    <row r="37" ht="60.0" customHeight="1">
      <c r="A37" s="38">
        <v>34.0</v>
      </c>
      <c r="B37" s="39" t="s">
        <v>198</v>
      </c>
      <c r="C37" s="39" t="s">
        <v>199</v>
      </c>
      <c r="D37" s="39" t="s">
        <v>200</v>
      </c>
      <c r="E37" s="39" t="s">
        <v>201</v>
      </c>
      <c r="F37" s="38" t="str">
        <f t="shared" si="1"/>
        <v>CORRECT</v>
      </c>
      <c r="G37" s="38" t="s">
        <v>36</v>
      </c>
      <c r="H37" s="20" t="s">
        <v>36</v>
      </c>
      <c r="I37" s="40" t="s">
        <v>313</v>
      </c>
      <c r="J37" s="41"/>
    </row>
    <row r="38" ht="60.0" customHeight="1">
      <c r="A38" s="38">
        <v>35.0</v>
      </c>
      <c r="B38" s="39" t="s">
        <v>203</v>
      </c>
      <c r="C38" s="39" t="s">
        <v>204</v>
      </c>
      <c r="D38" s="39" t="s">
        <v>205</v>
      </c>
      <c r="E38" s="39" t="s">
        <v>206</v>
      </c>
      <c r="F38" s="38" t="str">
        <f t="shared" si="1"/>
        <v>CORRECT</v>
      </c>
      <c r="G38" s="38" t="s">
        <v>48</v>
      </c>
      <c r="H38" s="20" t="s">
        <v>48</v>
      </c>
      <c r="I38" s="40" t="s">
        <v>207</v>
      </c>
      <c r="J38" s="41"/>
    </row>
    <row r="39" ht="60.0" customHeight="1">
      <c r="A39" s="38">
        <v>36.0</v>
      </c>
      <c r="B39" s="39" t="s">
        <v>208</v>
      </c>
      <c r="C39" s="39" t="s">
        <v>209</v>
      </c>
      <c r="D39" s="39" t="s">
        <v>210</v>
      </c>
      <c r="E39" s="39" t="s">
        <v>211</v>
      </c>
      <c r="F39" s="38" t="str">
        <f t="shared" si="1"/>
        <v>CORRECT</v>
      </c>
      <c r="G39" s="38" t="s">
        <v>36</v>
      </c>
      <c r="H39" s="20" t="s">
        <v>36</v>
      </c>
      <c r="I39" s="40" t="s">
        <v>314</v>
      </c>
      <c r="J39" s="41"/>
    </row>
    <row r="40" ht="60.0" customHeight="1">
      <c r="A40" s="38">
        <v>37.0</v>
      </c>
      <c r="B40" s="39" t="s">
        <v>213</v>
      </c>
      <c r="C40" s="39" t="s">
        <v>214</v>
      </c>
      <c r="D40" s="39" t="s">
        <v>215</v>
      </c>
      <c r="E40" s="39" t="s">
        <v>216</v>
      </c>
      <c r="F40" s="38" t="str">
        <f t="shared" si="1"/>
        <v>WRONG</v>
      </c>
      <c r="G40" s="38" t="s">
        <v>36</v>
      </c>
      <c r="H40" s="20" t="s">
        <v>37</v>
      </c>
      <c r="I40" s="40" t="s">
        <v>315</v>
      </c>
      <c r="J40" s="41"/>
    </row>
    <row r="41" ht="60.0" customHeight="1">
      <c r="A41" s="38">
        <v>38.0</v>
      </c>
      <c r="B41" s="39" t="s">
        <v>218</v>
      </c>
      <c r="C41" s="39" t="s">
        <v>219</v>
      </c>
      <c r="D41" s="39" t="s">
        <v>220</v>
      </c>
      <c r="E41" s="39" t="s">
        <v>221</v>
      </c>
      <c r="F41" s="38" t="str">
        <f t="shared" si="1"/>
        <v>CORRECT</v>
      </c>
      <c r="G41" s="38" t="s">
        <v>36</v>
      </c>
      <c r="H41" s="20" t="s">
        <v>36</v>
      </c>
      <c r="I41" s="40" t="s">
        <v>316</v>
      </c>
      <c r="J41" s="41"/>
    </row>
    <row r="42" ht="60.0" customHeight="1">
      <c r="A42" s="38">
        <v>39.0</v>
      </c>
      <c r="B42" s="39" t="s">
        <v>223</v>
      </c>
      <c r="C42" s="39" t="s">
        <v>224</v>
      </c>
      <c r="D42" s="39" t="s">
        <v>225</v>
      </c>
      <c r="E42" s="39" t="s">
        <v>226</v>
      </c>
      <c r="F42" s="38" t="str">
        <f t="shared" si="1"/>
        <v>CORRECT</v>
      </c>
      <c r="G42" s="38" t="s">
        <v>37</v>
      </c>
      <c r="H42" s="20" t="s">
        <v>37</v>
      </c>
      <c r="I42" s="40" t="s">
        <v>317</v>
      </c>
      <c r="J42" s="41"/>
    </row>
    <row r="43" ht="60.0" customHeight="1">
      <c r="A43" s="38">
        <v>40.0</v>
      </c>
      <c r="B43" s="39" t="s">
        <v>228</v>
      </c>
      <c r="C43" s="39" t="s">
        <v>229</v>
      </c>
      <c r="D43" s="39" t="s">
        <v>230</v>
      </c>
      <c r="E43" s="39" t="s">
        <v>231</v>
      </c>
      <c r="F43" s="38" t="str">
        <f t="shared" si="1"/>
        <v>WRONG</v>
      </c>
      <c r="G43" s="38" t="s">
        <v>48</v>
      </c>
      <c r="H43" s="20" t="s">
        <v>37</v>
      </c>
      <c r="I43" s="40" t="s">
        <v>318</v>
      </c>
      <c r="J43" s="41"/>
    </row>
    <row r="44" ht="60.0" customHeight="1">
      <c r="A44" s="38">
        <v>41.0</v>
      </c>
      <c r="B44" s="39" t="s">
        <v>233</v>
      </c>
      <c r="C44" s="39" t="s">
        <v>234</v>
      </c>
      <c r="D44" s="39" t="s">
        <v>235</v>
      </c>
      <c r="E44" s="39" t="s">
        <v>236</v>
      </c>
      <c r="F44" s="38" t="str">
        <f t="shared" si="1"/>
        <v>CORRECT</v>
      </c>
      <c r="G44" s="38" t="s">
        <v>37</v>
      </c>
      <c r="H44" s="20" t="s">
        <v>37</v>
      </c>
      <c r="I44" s="40" t="s">
        <v>286</v>
      </c>
      <c r="J44" s="41"/>
    </row>
    <row r="45" ht="60.0" customHeight="1">
      <c r="A45" s="38">
        <v>42.0</v>
      </c>
      <c r="B45" s="39" t="s">
        <v>238</v>
      </c>
      <c r="C45" s="39" t="s">
        <v>239</v>
      </c>
      <c r="D45" s="39" t="s">
        <v>240</v>
      </c>
      <c r="E45" s="39" t="s">
        <v>241</v>
      </c>
      <c r="F45" s="38" t="str">
        <f t="shared" si="1"/>
        <v>WRONG</v>
      </c>
      <c r="G45" s="38" t="s">
        <v>36</v>
      </c>
      <c r="H45" s="20" t="s">
        <v>37</v>
      </c>
      <c r="I45" s="40" t="s">
        <v>319</v>
      </c>
      <c r="J45" s="41"/>
    </row>
    <row r="46" ht="60.0" customHeight="1">
      <c r="A46" s="38">
        <v>43.0</v>
      </c>
      <c r="B46" s="39" t="s">
        <v>243</v>
      </c>
      <c r="C46" s="39" t="s">
        <v>244</v>
      </c>
      <c r="D46" s="39" t="s">
        <v>245</v>
      </c>
      <c r="E46" s="39" t="s">
        <v>246</v>
      </c>
      <c r="F46" s="38" t="str">
        <f t="shared" si="1"/>
        <v>CORRECT</v>
      </c>
      <c r="G46" s="38" t="s">
        <v>48</v>
      </c>
      <c r="H46" s="20" t="s">
        <v>48</v>
      </c>
      <c r="I46" s="40" t="s">
        <v>247</v>
      </c>
      <c r="J46" s="41"/>
    </row>
    <row r="47" ht="60.0" customHeight="1">
      <c r="A47" s="38">
        <v>44.0</v>
      </c>
      <c r="B47" s="39" t="s">
        <v>248</v>
      </c>
      <c r="C47" s="39" t="s">
        <v>249</v>
      </c>
      <c r="D47" s="39" t="s">
        <v>250</v>
      </c>
      <c r="E47" s="39" t="s">
        <v>251</v>
      </c>
      <c r="F47" s="38" t="str">
        <f t="shared" si="1"/>
        <v>CORRECT</v>
      </c>
      <c r="G47" s="38" t="s">
        <v>36</v>
      </c>
      <c r="H47" s="20" t="s">
        <v>36</v>
      </c>
      <c r="I47" s="40" t="s">
        <v>320</v>
      </c>
      <c r="J47" s="41"/>
    </row>
    <row r="48" ht="60.0" customHeight="1">
      <c r="A48" s="38">
        <v>45.0</v>
      </c>
      <c r="B48" s="39" t="s">
        <v>253</v>
      </c>
      <c r="C48" s="39" t="s">
        <v>254</v>
      </c>
      <c r="D48" s="39" t="s">
        <v>255</v>
      </c>
      <c r="E48" s="39" t="s">
        <v>256</v>
      </c>
      <c r="F48" s="38" t="str">
        <f t="shared" si="1"/>
        <v>CORRECT</v>
      </c>
      <c r="G48" s="38" t="s">
        <v>36</v>
      </c>
      <c r="H48" s="20" t="s">
        <v>36</v>
      </c>
      <c r="I48" s="40" t="s">
        <v>321</v>
      </c>
      <c r="J48" s="41"/>
    </row>
    <row r="49" ht="60.0" customHeight="1">
      <c r="A49" s="38">
        <v>46.0</v>
      </c>
      <c r="B49" s="39" t="s">
        <v>258</v>
      </c>
      <c r="C49" s="39" t="s">
        <v>40</v>
      </c>
      <c r="D49" s="39" t="s">
        <v>259</v>
      </c>
      <c r="E49" s="39" t="s">
        <v>260</v>
      </c>
      <c r="F49" s="38" t="str">
        <f t="shared" si="1"/>
        <v>CORRECT</v>
      </c>
      <c r="G49" s="38" t="s">
        <v>36</v>
      </c>
      <c r="H49" s="20" t="s">
        <v>36</v>
      </c>
      <c r="I49" s="40" t="s">
        <v>322</v>
      </c>
      <c r="J49" s="41"/>
    </row>
    <row r="50">
      <c r="A50" s="42" t="s">
        <v>262</v>
      </c>
      <c r="B50" s="2"/>
      <c r="C50" s="2"/>
      <c r="D50" s="2"/>
      <c r="E50" s="3"/>
      <c r="F50" s="43">
        <f>COUNTIFS(F4:F49,"CORRECT")</f>
        <v>25</v>
      </c>
      <c r="G50" s="44"/>
      <c r="H50" s="44"/>
      <c r="J50" s="45" t="str">
        <f>AVERAGE(J4:J49)</f>
        <v>#DIV/0!</v>
      </c>
    </row>
    <row r="51">
      <c r="A51" s="46" t="s">
        <v>263</v>
      </c>
      <c r="B51" s="2"/>
      <c r="C51" s="2"/>
      <c r="D51" s="2"/>
      <c r="E51" s="3"/>
      <c r="F51" s="47">
        <v>46.0</v>
      </c>
      <c r="G51" s="44"/>
      <c r="H51" s="44"/>
    </row>
    <row r="52">
      <c r="A52" s="42" t="s">
        <v>264</v>
      </c>
      <c r="B52" s="2"/>
      <c r="C52" s="2"/>
      <c r="D52" s="2"/>
      <c r="E52" s="3"/>
      <c r="F52" s="48">
        <f>F50/F51</f>
        <v>0.5434782609</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323</v>
      </c>
      <c r="C2" s="2"/>
      <c r="D2" s="2"/>
      <c r="E2" s="2"/>
      <c r="F2" s="2"/>
      <c r="G2" s="2"/>
      <c r="H2" s="3"/>
      <c r="I2" s="36" t="s">
        <v>324</v>
      </c>
      <c r="J2" s="3"/>
      <c r="K2" s="33"/>
      <c r="L2" s="33"/>
      <c r="M2" s="33"/>
      <c r="N2" s="50" t="s">
        <v>325</v>
      </c>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20" t="s">
        <v>37</v>
      </c>
      <c r="I4" s="40" t="s">
        <v>38</v>
      </c>
      <c r="J4" s="41"/>
    </row>
    <row r="5" ht="60.0" customHeight="1">
      <c r="A5" s="38">
        <v>2.0</v>
      </c>
      <c r="B5" s="39" t="s">
        <v>39</v>
      </c>
      <c r="C5" s="39" t="s">
        <v>40</v>
      </c>
      <c r="D5" s="39" t="s">
        <v>41</v>
      </c>
      <c r="E5" s="39" t="s">
        <v>42</v>
      </c>
      <c r="F5" s="38" t="str">
        <f t="shared" si="1"/>
        <v>CORRECT</v>
      </c>
      <c r="G5" s="38" t="s">
        <v>37</v>
      </c>
      <c r="H5" s="20" t="s">
        <v>37</v>
      </c>
      <c r="I5" s="40" t="s">
        <v>43</v>
      </c>
      <c r="J5" s="41"/>
    </row>
    <row r="6" ht="60.0" customHeight="1">
      <c r="A6" s="38">
        <v>3.0</v>
      </c>
      <c r="B6" s="39" t="s">
        <v>44</v>
      </c>
      <c r="C6" s="39" t="s">
        <v>45</v>
      </c>
      <c r="D6" s="39" t="s">
        <v>46</v>
      </c>
      <c r="E6" s="39" t="s">
        <v>47</v>
      </c>
      <c r="F6" s="38" t="str">
        <f t="shared" si="1"/>
        <v>CORRECT</v>
      </c>
      <c r="G6" s="38" t="s">
        <v>48</v>
      </c>
      <c r="H6" s="20" t="s">
        <v>48</v>
      </c>
      <c r="I6" s="40" t="s">
        <v>267</v>
      </c>
      <c r="J6" s="41"/>
    </row>
    <row r="7" ht="60.0" customHeight="1">
      <c r="A7" s="38">
        <v>4.0</v>
      </c>
      <c r="B7" s="39" t="s">
        <v>50</v>
      </c>
      <c r="C7" s="39" t="s">
        <v>51</v>
      </c>
      <c r="D7" s="39" t="s">
        <v>52</v>
      </c>
      <c r="E7" s="39" t="s">
        <v>53</v>
      </c>
      <c r="F7" s="38" t="str">
        <f t="shared" si="1"/>
        <v>WRONG</v>
      </c>
      <c r="G7" s="38" t="s">
        <v>37</v>
      </c>
      <c r="H7" s="20" t="s">
        <v>48</v>
      </c>
      <c r="I7" s="40" t="s">
        <v>54</v>
      </c>
      <c r="J7" s="41"/>
    </row>
    <row r="8" ht="60.0" customHeight="1">
      <c r="A8" s="38">
        <v>5.0</v>
      </c>
      <c r="B8" s="39" t="s">
        <v>55</v>
      </c>
      <c r="C8" s="39" t="s">
        <v>56</v>
      </c>
      <c r="D8" s="39" t="s">
        <v>57</v>
      </c>
      <c r="E8" s="39" t="s">
        <v>58</v>
      </c>
      <c r="F8" s="38" t="str">
        <f t="shared" si="1"/>
        <v>CORRECT</v>
      </c>
      <c r="G8" s="38" t="s">
        <v>48</v>
      </c>
      <c r="H8" s="20" t="s">
        <v>48</v>
      </c>
      <c r="I8" s="40" t="s">
        <v>59</v>
      </c>
      <c r="J8" s="41"/>
    </row>
    <row r="9" ht="60.0" customHeight="1">
      <c r="A9" s="38">
        <v>6.0</v>
      </c>
      <c r="B9" s="39" t="s">
        <v>60</v>
      </c>
      <c r="C9" s="39" t="s">
        <v>61</v>
      </c>
      <c r="D9" s="39" t="s">
        <v>62</v>
      </c>
      <c r="E9" s="39" t="s">
        <v>63</v>
      </c>
      <c r="F9" s="38" t="str">
        <f t="shared" si="1"/>
        <v>CORRECT</v>
      </c>
      <c r="G9" s="38" t="s">
        <v>37</v>
      </c>
      <c r="H9" s="20" t="s">
        <v>37</v>
      </c>
      <c r="I9" s="40" t="s">
        <v>64</v>
      </c>
      <c r="J9" s="41"/>
    </row>
    <row r="10" ht="60.0" customHeight="1">
      <c r="A10" s="38">
        <v>7.0</v>
      </c>
      <c r="B10" s="39" t="s">
        <v>65</v>
      </c>
      <c r="C10" s="39" t="s">
        <v>66</v>
      </c>
      <c r="D10" s="39" t="s">
        <v>67</v>
      </c>
      <c r="E10" s="39" t="s">
        <v>68</v>
      </c>
      <c r="F10" s="38" t="str">
        <f t="shared" si="1"/>
        <v>CORRECT</v>
      </c>
      <c r="G10" s="38" t="s">
        <v>37</v>
      </c>
      <c r="H10" s="20" t="s">
        <v>37</v>
      </c>
      <c r="I10" s="40" t="s">
        <v>69</v>
      </c>
      <c r="J10" s="41"/>
    </row>
    <row r="11" ht="60.0" customHeight="1">
      <c r="A11" s="38">
        <v>8.0</v>
      </c>
      <c r="B11" s="39" t="s">
        <v>70</v>
      </c>
      <c r="C11" s="39" t="s">
        <v>71</v>
      </c>
      <c r="D11" s="39" t="s">
        <v>72</v>
      </c>
      <c r="E11" s="39" t="s">
        <v>73</v>
      </c>
      <c r="F11" s="38" t="str">
        <f t="shared" si="1"/>
        <v>CORRECT</v>
      </c>
      <c r="G11" s="38" t="s">
        <v>48</v>
      </c>
      <c r="H11" s="20" t="s">
        <v>48</v>
      </c>
      <c r="I11" s="40" t="s">
        <v>326</v>
      </c>
      <c r="J11" s="41"/>
    </row>
    <row r="12" ht="60.0" customHeight="1">
      <c r="A12" s="38">
        <v>9.0</v>
      </c>
      <c r="B12" s="39" t="s">
        <v>75</v>
      </c>
      <c r="C12" s="39" t="s">
        <v>76</v>
      </c>
      <c r="D12" s="39" t="s">
        <v>77</v>
      </c>
      <c r="E12" s="39" t="s">
        <v>78</v>
      </c>
      <c r="F12" s="38" t="str">
        <f t="shared" si="1"/>
        <v>WRONG</v>
      </c>
      <c r="G12" s="38" t="s">
        <v>37</v>
      </c>
      <c r="H12" s="20" t="s">
        <v>48</v>
      </c>
      <c r="I12" s="40" t="s">
        <v>327</v>
      </c>
      <c r="J12" s="41"/>
    </row>
    <row r="13" ht="60.0" customHeight="1">
      <c r="A13" s="38">
        <v>10.0</v>
      </c>
      <c r="B13" s="39" t="s">
        <v>80</v>
      </c>
      <c r="C13" s="39" t="s">
        <v>81</v>
      </c>
      <c r="D13" s="39" t="s">
        <v>82</v>
      </c>
      <c r="E13" s="39" t="s">
        <v>83</v>
      </c>
      <c r="F13" s="38" t="str">
        <f t="shared" si="1"/>
        <v>WRONG</v>
      </c>
      <c r="G13" s="38" t="s">
        <v>48</v>
      </c>
      <c r="H13" s="20" t="s">
        <v>36</v>
      </c>
      <c r="I13" s="40" t="s">
        <v>328</v>
      </c>
      <c r="J13" s="41"/>
    </row>
    <row r="14" ht="60.0" customHeight="1">
      <c r="A14" s="38">
        <v>11.0</v>
      </c>
      <c r="B14" s="39" t="s">
        <v>85</v>
      </c>
      <c r="C14" s="39" t="s">
        <v>86</v>
      </c>
      <c r="D14" s="39" t="s">
        <v>87</v>
      </c>
      <c r="E14" s="39" t="s">
        <v>88</v>
      </c>
      <c r="F14" s="38" t="str">
        <f t="shared" si="1"/>
        <v>WRONG</v>
      </c>
      <c r="G14" s="38" t="s">
        <v>37</v>
      </c>
      <c r="H14" s="20" t="s">
        <v>48</v>
      </c>
      <c r="I14" s="40" t="s">
        <v>89</v>
      </c>
      <c r="J14" s="41"/>
    </row>
    <row r="15" ht="60.0" customHeight="1">
      <c r="A15" s="38">
        <v>12.0</v>
      </c>
      <c r="B15" s="39" t="s">
        <v>90</v>
      </c>
      <c r="C15" s="39" t="s">
        <v>91</v>
      </c>
      <c r="D15" s="39" t="s">
        <v>92</v>
      </c>
      <c r="E15" s="39" t="s">
        <v>93</v>
      </c>
      <c r="F15" s="38" t="str">
        <f t="shared" si="1"/>
        <v>CORRECT</v>
      </c>
      <c r="G15" s="38" t="s">
        <v>48</v>
      </c>
      <c r="H15" s="20" t="s">
        <v>48</v>
      </c>
      <c r="I15" s="40" t="s">
        <v>94</v>
      </c>
      <c r="J15" s="41"/>
    </row>
    <row r="16" ht="60.0" customHeight="1">
      <c r="A16" s="38">
        <v>13.0</v>
      </c>
      <c r="B16" s="39" t="s">
        <v>95</v>
      </c>
      <c r="C16" s="39" t="s">
        <v>96</v>
      </c>
      <c r="D16" s="39" t="s">
        <v>97</v>
      </c>
      <c r="E16" s="39" t="s">
        <v>98</v>
      </c>
      <c r="F16" s="38" t="str">
        <f t="shared" si="1"/>
        <v>CORRECT</v>
      </c>
      <c r="G16" s="38" t="s">
        <v>36</v>
      </c>
      <c r="H16" s="20" t="s">
        <v>36</v>
      </c>
      <c r="I16" s="40" t="s">
        <v>99</v>
      </c>
      <c r="J16" s="41"/>
    </row>
    <row r="17" ht="60.0" customHeight="1">
      <c r="A17" s="38">
        <v>14.0</v>
      </c>
      <c r="B17" s="39" t="s">
        <v>100</v>
      </c>
      <c r="C17" s="39" t="s">
        <v>101</v>
      </c>
      <c r="D17" s="39" t="s">
        <v>102</v>
      </c>
      <c r="E17" s="39" t="s">
        <v>103</v>
      </c>
      <c r="F17" s="38" t="str">
        <f t="shared" si="1"/>
        <v>WRONG</v>
      </c>
      <c r="G17" s="38" t="s">
        <v>36</v>
      </c>
      <c r="H17" s="20" t="s">
        <v>48</v>
      </c>
      <c r="I17" s="40" t="s">
        <v>329</v>
      </c>
      <c r="J17" s="41"/>
    </row>
    <row r="18" ht="60.0" customHeight="1">
      <c r="A18" s="38">
        <v>15.0</v>
      </c>
      <c r="B18" s="39" t="s">
        <v>105</v>
      </c>
      <c r="C18" s="39" t="s">
        <v>106</v>
      </c>
      <c r="D18" s="39" t="s">
        <v>107</v>
      </c>
      <c r="E18" s="39" t="s">
        <v>108</v>
      </c>
      <c r="F18" s="38" t="str">
        <f t="shared" si="1"/>
        <v>CORRECT</v>
      </c>
      <c r="G18" s="38" t="s">
        <v>48</v>
      </c>
      <c r="H18" s="20" t="s">
        <v>48</v>
      </c>
      <c r="I18" s="40" t="s">
        <v>109</v>
      </c>
      <c r="J18" s="41"/>
    </row>
    <row r="19" ht="60.0" customHeight="1">
      <c r="A19" s="38">
        <v>16.0</v>
      </c>
      <c r="B19" s="39" t="s">
        <v>110</v>
      </c>
      <c r="C19" s="39" t="s">
        <v>111</v>
      </c>
      <c r="D19" s="39" t="s">
        <v>112</v>
      </c>
      <c r="E19" s="39" t="s">
        <v>113</v>
      </c>
      <c r="F19" s="38" t="str">
        <f t="shared" si="1"/>
        <v>WRONG</v>
      </c>
      <c r="G19" s="38" t="s">
        <v>48</v>
      </c>
      <c r="H19" s="20" t="s">
        <v>36</v>
      </c>
      <c r="I19" s="40" t="s">
        <v>114</v>
      </c>
      <c r="J19" s="41"/>
    </row>
    <row r="20" ht="60.0" customHeight="1">
      <c r="A20" s="38">
        <v>17.0</v>
      </c>
      <c r="B20" s="39" t="s">
        <v>115</v>
      </c>
      <c r="C20" s="39" t="s">
        <v>116</v>
      </c>
      <c r="D20" s="39" t="s">
        <v>117</v>
      </c>
      <c r="E20" s="39" t="s">
        <v>118</v>
      </c>
      <c r="F20" s="38" t="str">
        <f t="shared" si="1"/>
        <v>WRONG</v>
      </c>
      <c r="G20" s="38" t="s">
        <v>37</v>
      </c>
      <c r="H20" s="20" t="s">
        <v>36</v>
      </c>
      <c r="I20" s="40" t="s">
        <v>119</v>
      </c>
      <c r="J20" s="41"/>
    </row>
    <row r="21" ht="60.0" customHeight="1">
      <c r="A21" s="38">
        <v>18.0</v>
      </c>
      <c r="B21" s="39" t="s">
        <v>120</v>
      </c>
      <c r="C21" s="39" t="s">
        <v>121</v>
      </c>
      <c r="D21" s="39" t="s">
        <v>122</v>
      </c>
      <c r="E21" s="39" t="s">
        <v>123</v>
      </c>
      <c r="F21" s="38" t="str">
        <f t="shared" si="1"/>
        <v>CORRECT</v>
      </c>
      <c r="G21" s="38" t="s">
        <v>37</v>
      </c>
      <c r="H21" s="20" t="s">
        <v>37</v>
      </c>
      <c r="I21" s="40" t="s">
        <v>124</v>
      </c>
      <c r="J21" s="41"/>
    </row>
    <row r="22" ht="60.0" customHeight="1">
      <c r="A22" s="38">
        <v>19.0</v>
      </c>
      <c r="B22" s="39" t="s">
        <v>125</v>
      </c>
      <c r="C22" s="39" t="s">
        <v>126</v>
      </c>
      <c r="D22" s="39" t="s">
        <v>127</v>
      </c>
      <c r="E22" s="39" t="s">
        <v>128</v>
      </c>
      <c r="F22" s="38" t="str">
        <f t="shared" si="1"/>
        <v>WRONG</v>
      </c>
      <c r="G22" s="38" t="s">
        <v>36</v>
      </c>
      <c r="H22" s="20" t="s">
        <v>48</v>
      </c>
      <c r="I22" s="40" t="s">
        <v>330</v>
      </c>
      <c r="J22" s="41"/>
    </row>
    <row r="23" ht="60.0" customHeight="1">
      <c r="A23" s="38">
        <v>20.0</v>
      </c>
      <c r="B23" s="39" t="s">
        <v>130</v>
      </c>
      <c r="C23" s="39" t="s">
        <v>131</v>
      </c>
      <c r="D23" s="39" t="s">
        <v>132</v>
      </c>
      <c r="E23" s="39" t="s">
        <v>133</v>
      </c>
      <c r="F23" s="38" t="str">
        <f t="shared" si="1"/>
        <v>WRONG</v>
      </c>
      <c r="G23" s="38" t="s">
        <v>37</v>
      </c>
      <c r="H23" s="20" t="s">
        <v>48</v>
      </c>
      <c r="I23" s="40" t="s">
        <v>331</v>
      </c>
      <c r="J23" s="41"/>
    </row>
    <row r="24" ht="60.0" customHeight="1">
      <c r="A24" s="38">
        <v>21.0</v>
      </c>
      <c r="B24" s="39" t="s">
        <v>135</v>
      </c>
      <c r="C24" s="39" t="s">
        <v>136</v>
      </c>
      <c r="D24" s="39" t="s">
        <v>137</v>
      </c>
      <c r="E24" s="39" t="s">
        <v>138</v>
      </c>
      <c r="F24" s="38" t="str">
        <f t="shared" si="1"/>
        <v>WRONG</v>
      </c>
      <c r="G24" s="38" t="s">
        <v>37</v>
      </c>
      <c r="H24" s="20" t="s">
        <v>36</v>
      </c>
      <c r="I24" s="40" t="s">
        <v>302</v>
      </c>
      <c r="J24" s="41"/>
    </row>
    <row r="25" ht="60.0" customHeight="1">
      <c r="A25" s="38">
        <v>22.0</v>
      </c>
      <c r="B25" s="39" t="s">
        <v>140</v>
      </c>
      <c r="C25" s="39" t="s">
        <v>141</v>
      </c>
      <c r="D25" s="39" t="s">
        <v>142</v>
      </c>
      <c r="E25" s="39" t="s">
        <v>143</v>
      </c>
      <c r="F25" s="38" t="str">
        <f t="shared" si="1"/>
        <v>CORRECT</v>
      </c>
      <c r="G25" s="38" t="s">
        <v>37</v>
      </c>
      <c r="H25" s="20" t="s">
        <v>37</v>
      </c>
      <c r="I25" s="40" t="s">
        <v>332</v>
      </c>
      <c r="J25" s="41"/>
    </row>
    <row r="26" ht="60.0" customHeight="1">
      <c r="A26" s="38">
        <v>23.0</v>
      </c>
      <c r="B26" s="39" t="s">
        <v>145</v>
      </c>
      <c r="C26" s="39" t="s">
        <v>146</v>
      </c>
      <c r="D26" s="39" t="s">
        <v>147</v>
      </c>
      <c r="E26" s="39" t="s">
        <v>148</v>
      </c>
      <c r="F26" s="38" t="str">
        <f t="shared" si="1"/>
        <v>CORRECT</v>
      </c>
      <c r="G26" s="38" t="s">
        <v>48</v>
      </c>
      <c r="H26" s="20" t="s">
        <v>48</v>
      </c>
      <c r="I26" s="40" t="s">
        <v>276</v>
      </c>
      <c r="J26" s="41"/>
    </row>
    <row r="27" ht="60.0" customHeight="1">
      <c r="A27" s="38">
        <v>24.0</v>
      </c>
      <c r="B27" s="39" t="s">
        <v>150</v>
      </c>
      <c r="C27" s="39" t="s">
        <v>151</v>
      </c>
      <c r="D27" s="39" t="s">
        <v>152</v>
      </c>
      <c r="E27" s="39" t="s">
        <v>153</v>
      </c>
      <c r="F27" s="38" t="str">
        <f t="shared" si="1"/>
        <v>WRONG</v>
      </c>
      <c r="G27" s="38" t="s">
        <v>36</v>
      </c>
      <c r="H27" s="20" t="s">
        <v>48</v>
      </c>
      <c r="I27" s="40" t="s">
        <v>333</v>
      </c>
      <c r="J27" s="41"/>
    </row>
    <row r="28" ht="60.0" customHeight="1">
      <c r="A28" s="38">
        <v>25.0</v>
      </c>
      <c r="B28" s="39" t="s">
        <v>155</v>
      </c>
      <c r="C28" s="39" t="s">
        <v>151</v>
      </c>
      <c r="D28" s="39" t="s">
        <v>156</v>
      </c>
      <c r="E28" s="39" t="s">
        <v>153</v>
      </c>
      <c r="F28" s="38" t="str">
        <f t="shared" si="1"/>
        <v>WRONG</v>
      </c>
      <c r="G28" s="38" t="s">
        <v>48</v>
      </c>
      <c r="H28" s="20" t="s">
        <v>36</v>
      </c>
      <c r="I28" s="40" t="s">
        <v>306</v>
      </c>
      <c r="J28" s="41"/>
    </row>
    <row r="29" ht="60.0" customHeight="1">
      <c r="A29" s="38">
        <v>26.0</v>
      </c>
      <c r="B29" s="39" t="s">
        <v>158</v>
      </c>
      <c r="C29" s="39" t="s">
        <v>159</v>
      </c>
      <c r="D29" s="39" t="s">
        <v>160</v>
      </c>
      <c r="E29" s="39" t="s">
        <v>161</v>
      </c>
      <c r="F29" s="38" t="str">
        <f t="shared" si="1"/>
        <v>WRONG</v>
      </c>
      <c r="G29" s="38" t="s">
        <v>36</v>
      </c>
      <c r="H29" s="20" t="s">
        <v>48</v>
      </c>
      <c r="I29" s="40" t="s">
        <v>162</v>
      </c>
      <c r="J29" s="41"/>
    </row>
    <row r="30" ht="60.0" customHeight="1">
      <c r="A30" s="38">
        <v>27.0</v>
      </c>
      <c r="B30" s="39" t="s">
        <v>163</v>
      </c>
      <c r="C30" s="39" t="s">
        <v>164</v>
      </c>
      <c r="D30" s="39" t="s">
        <v>165</v>
      </c>
      <c r="E30" s="39" t="s">
        <v>166</v>
      </c>
      <c r="F30" s="38" t="str">
        <f t="shared" si="1"/>
        <v>CORRECT</v>
      </c>
      <c r="G30" s="38" t="s">
        <v>37</v>
      </c>
      <c r="H30" s="20" t="s">
        <v>37</v>
      </c>
      <c r="I30" s="40" t="s">
        <v>334</v>
      </c>
      <c r="J30" s="41"/>
    </row>
    <row r="31" ht="60.0" customHeight="1">
      <c r="A31" s="38">
        <v>28.0</v>
      </c>
      <c r="B31" s="39" t="s">
        <v>168</v>
      </c>
      <c r="C31" s="39" t="s">
        <v>169</v>
      </c>
      <c r="D31" s="39" t="s">
        <v>170</v>
      </c>
      <c r="E31" s="39" t="s">
        <v>171</v>
      </c>
      <c r="F31" s="38" t="str">
        <f t="shared" si="1"/>
        <v>CORRECT</v>
      </c>
      <c r="G31" s="38" t="s">
        <v>36</v>
      </c>
      <c r="H31" s="20" t="s">
        <v>36</v>
      </c>
      <c r="I31" s="40" t="s">
        <v>335</v>
      </c>
      <c r="J31" s="41"/>
    </row>
    <row r="32" ht="60.0" customHeight="1">
      <c r="A32" s="38">
        <v>29.0</v>
      </c>
      <c r="B32" s="39" t="s">
        <v>173</v>
      </c>
      <c r="C32" s="39" t="s">
        <v>174</v>
      </c>
      <c r="D32" s="39" t="s">
        <v>175</v>
      </c>
      <c r="E32" s="39" t="s">
        <v>176</v>
      </c>
      <c r="F32" s="38" t="str">
        <f t="shared" si="1"/>
        <v>CORRECT</v>
      </c>
      <c r="G32" s="38" t="s">
        <v>37</v>
      </c>
      <c r="H32" s="20" t="s">
        <v>37</v>
      </c>
      <c r="I32" s="40" t="s">
        <v>177</v>
      </c>
      <c r="J32" s="41"/>
    </row>
    <row r="33" ht="60.0" customHeight="1">
      <c r="A33" s="38">
        <v>30.0</v>
      </c>
      <c r="B33" s="39" t="s">
        <v>178</v>
      </c>
      <c r="C33" s="39" t="s">
        <v>179</v>
      </c>
      <c r="D33" s="39" t="s">
        <v>180</v>
      </c>
      <c r="E33" s="39" t="s">
        <v>181</v>
      </c>
      <c r="F33" s="38" t="str">
        <f t="shared" si="1"/>
        <v>WRONG</v>
      </c>
      <c r="G33" s="38" t="s">
        <v>48</v>
      </c>
      <c r="H33" s="20" t="s">
        <v>36</v>
      </c>
      <c r="I33" s="40" t="s">
        <v>182</v>
      </c>
      <c r="J33" s="41"/>
    </row>
    <row r="34" ht="60.0" customHeight="1">
      <c r="A34" s="38">
        <v>31.0</v>
      </c>
      <c r="B34" s="39" t="s">
        <v>183</v>
      </c>
      <c r="C34" s="39" t="s">
        <v>184</v>
      </c>
      <c r="D34" s="39" t="s">
        <v>185</v>
      </c>
      <c r="E34" s="39" t="s">
        <v>186</v>
      </c>
      <c r="F34" s="38" t="str">
        <f t="shared" si="1"/>
        <v>WRONG</v>
      </c>
      <c r="G34" s="38" t="s">
        <v>37</v>
      </c>
      <c r="H34" s="20" t="s">
        <v>36</v>
      </c>
      <c r="I34" s="40" t="s">
        <v>187</v>
      </c>
      <c r="J34" s="41"/>
    </row>
    <row r="35" ht="60.0" customHeight="1">
      <c r="A35" s="38">
        <v>32.0</v>
      </c>
      <c r="B35" s="39" t="s">
        <v>188</v>
      </c>
      <c r="C35" s="39" t="s">
        <v>189</v>
      </c>
      <c r="D35" s="39" t="s">
        <v>190</v>
      </c>
      <c r="E35" s="39" t="s">
        <v>191</v>
      </c>
      <c r="F35" s="38" t="str">
        <f t="shared" si="1"/>
        <v>CORRECT</v>
      </c>
      <c r="G35" s="38" t="s">
        <v>36</v>
      </c>
      <c r="H35" s="20" t="s">
        <v>36</v>
      </c>
      <c r="I35" s="40" t="s">
        <v>336</v>
      </c>
      <c r="J35" s="41"/>
    </row>
    <row r="36" ht="60.0" customHeight="1">
      <c r="A36" s="38">
        <v>33.0</v>
      </c>
      <c r="B36" s="39" t="s">
        <v>193</v>
      </c>
      <c r="C36" s="39" t="s">
        <v>194</v>
      </c>
      <c r="D36" s="39" t="s">
        <v>195</v>
      </c>
      <c r="E36" s="39" t="s">
        <v>196</v>
      </c>
      <c r="F36" s="38" t="str">
        <f t="shared" si="1"/>
        <v>CORRECT</v>
      </c>
      <c r="G36" s="38" t="s">
        <v>48</v>
      </c>
      <c r="H36" s="20" t="s">
        <v>48</v>
      </c>
      <c r="I36" s="40" t="s">
        <v>197</v>
      </c>
      <c r="J36" s="41"/>
    </row>
    <row r="37" ht="60.0" customHeight="1">
      <c r="A37" s="38">
        <v>34.0</v>
      </c>
      <c r="B37" s="39" t="s">
        <v>198</v>
      </c>
      <c r="C37" s="39" t="s">
        <v>199</v>
      </c>
      <c r="D37" s="39" t="s">
        <v>200</v>
      </c>
      <c r="E37" s="39" t="s">
        <v>201</v>
      </c>
      <c r="F37" s="38" t="str">
        <f t="shared" si="1"/>
        <v>CORRECT</v>
      </c>
      <c r="G37" s="38" t="s">
        <v>36</v>
      </c>
      <c r="H37" s="20" t="s">
        <v>36</v>
      </c>
      <c r="I37" s="40" t="s">
        <v>202</v>
      </c>
      <c r="J37" s="41"/>
    </row>
    <row r="38" ht="60.0" customHeight="1">
      <c r="A38" s="38">
        <v>35.0</v>
      </c>
      <c r="B38" s="39" t="s">
        <v>203</v>
      </c>
      <c r="C38" s="39" t="s">
        <v>204</v>
      </c>
      <c r="D38" s="39" t="s">
        <v>205</v>
      </c>
      <c r="E38" s="39" t="s">
        <v>206</v>
      </c>
      <c r="F38" s="38" t="str">
        <f t="shared" si="1"/>
        <v>CORRECT</v>
      </c>
      <c r="G38" s="38" t="s">
        <v>48</v>
      </c>
      <c r="H38" s="20" t="s">
        <v>48</v>
      </c>
      <c r="I38" s="40" t="s">
        <v>207</v>
      </c>
      <c r="J38" s="41"/>
    </row>
    <row r="39" ht="60.0" customHeight="1">
      <c r="A39" s="38">
        <v>36.0</v>
      </c>
      <c r="B39" s="39" t="s">
        <v>208</v>
      </c>
      <c r="C39" s="39" t="s">
        <v>209</v>
      </c>
      <c r="D39" s="39" t="s">
        <v>210</v>
      </c>
      <c r="E39" s="39" t="s">
        <v>211</v>
      </c>
      <c r="F39" s="38" t="str">
        <f t="shared" si="1"/>
        <v>CORRECT</v>
      </c>
      <c r="G39" s="38" t="s">
        <v>36</v>
      </c>
      <c r="H39" s="20" t="s">
        <v>36</v>
      </c>
      <c r="I39" s="40" t="s">
        <v>212</v>
      </c>
      <c r="J39" s="41"/>
    </row>
    <row r="40" ht="60.0" customHeight="1">
      <c r="A40" s="38">
        <v>37.0</v>
      </c>
      <c r="B40" s="39" t="s">
        <v>213</v>
      </c>
      <c r="C40" s="39" t="s">
        <v>214</v>
      </c>
      <c r="D40" s="39" t="s">
        <v>215</v>
      </c>
      <c r="E40" s="39" t="s">
        <v>216</v>
      </c>
      <c r="F40" s="38" t="str">
        <f t="shared" si="1"/>
        <v>WRONG</v>
      </c>
      <c r="G40" s="38" t="s">
        <v>36</v>
      </c>
      <c r="H40" s="20" t="s">
        <v>37</v>
      </c>
      <c r="I40" s="40" t="s">
        <v>217</v>
      </c>
      <c r="J40" s="41"/>
    </row>
    <row r="41" ht="60.0" customHeight="1">
      <c r="A41" s="38">
        <v>38.0</v>
      </c>
      <c r="B41" s="39" t="s">
        <v>218</v>
      </c>
      <c r="C41" s="39" t="s">
        <v>219</v>
      </c>
      <c r="D41" s="39" t="s">
        <v>220</v>
      </c>
      <c r="E41" s="39" t="s">
        <v>221</v>
      </c>
      <c r="F41" s="38" t="str">
        <f t="shared" si="1"/>
        <v>CORRECT</v>
      </c>
      <c r="G41" s="38" t="s">
        <v>36</v>
      </c>
      <c r="H41" s="20" t="s">
        <v>36</v>
      </c>
      <c r="I41" s="40" t="s">
        <v>337</v>
      </c>
      <c r="J41" s="41"/>
    </row>
    <row r="42" ht="60.0" customHeight="1">
      <c r="A42" s="38">
        <v>39.0</v>
      </c>
      <c r="B42" s="39" t="s">
        <v>223</v>
      </c>
      <c r="C42" s="39" t="s">
        <v>224</v>
      </c>
      <c r="D42" s="39" t="s">
        <v>225</v>
      </c>
      <c r="E42" s="39" t="s">
        <v>226</v>
      </c>
      <c r="F42" s="38" t="str">
        <f t="shared" si="1"/>
        <v>CORRECT</v>
      </c>
      <c r="G42" s="38" t="s">
        <v>37</v>
      </c>
      <c r="H42" s="20" t="s">
        <v>37</v>
      </c>
      <c r="I42" s="40" t="s">
        <v>338</v>
      </c>
      <c r="J42" s="41"/>
    </row>
    <row r="43" ht="60.0" customHeight="1">
      <c r="A43" s="38">
        <v>40.0</v>
      </c>
      <c r="B43" s="39" t="s">
        <v>228</v>
      </c>
      <c r="C43" s="39" t="s">
        <v>229</v>
      </c>
      <c r="D43" s="39" t="s">
        <v>230</v>
      </c>
      <c r="E43" s="39" t="s">
        <v>231</v>
      </c>
      <c r="F43" s="38" t="str">
        <f t="shared" si="1"/>
        <v>CORRECT</v>
      </c>
      <c r="G43" s="38" t="s">
        <v>48</v>
      </c>
      <c r="H43" s="20" t="s">
        <v>48</v>
      </c>
      <c r="I43" s="40" t="s">
        <v>339</v>
      </c>
      <c r="J43" s="41"/>
    </row>
    <row r="44" ht="60.0" customHeight="1">
      <c r="A44" s="38">
        <v>41.0</v>
      </c>
      <c r="B44" s="39" t="s">
        <v>233</v>
      </c>
      <c r="C44" s="39" t="s">
        <v>234</v>
      </c>
      <c r="D44" s="39" t="s">
        <v>235</v>
      </c>
      <c r="E44" s="39" t="s">
        <v>236</v>
      </c>
      <c r="F44" s="38" t="str">
        <f t="shared" si="1"/>
        <v>CORRECT</v>
      </c>
      <c r="G44" s="38" t="s">
        <v>37</v>
      </c>
      <c r="H44" s="20" t="s">
        <v>37</v>
      </c>
      <c r="I44" s="40" t="s">
        <v>340</v>
      </c>
      <c r="J44" s="41"/>
    </row>
    <row r="45" ht="60.0" customHeight="1">
      <c r="A45" s="38">
        <v>42.0</v>
      </c>
      <c r="B45" s="39" t="s">
        <v>238</v>
      </c>
      <c r="C45" s="39" t="s">
        <v>239</v>
      </c>
      <c r="D45" s="39" t="s">
        <v>240</v>
      </c>
      <c r="E45" s="39" t="s">
        <v>241</v>
      </c>
      <c r="F45" s="38" t="str">
        <f t="shared" si="1"/>
        <v>WRONG</v>
      </c>
      <c r="G45" s="38" t="s">
        <v>36</v>
      </c>
      <c r="H45" s="20" t="s">
        <v>37</v>
      </c>
      <c r="I45" s="40" t="s">
        <v>287</v>
      </c>
      <c r="J45" s="41"/>
    </row>
    <row r="46" ht="60.0" customHeight="1">
      <c r="A46" s="38">
        <v>43.0</v>
      </c>
      <c r="B46" s="39" t="s">
        <v>243</v>
      </c>
      <c r="C46" s="39" t="s">
        <v>244</v>
      </c>
      <c r="D46" s="39" t="s">
        <v>245</v>
      </c>
      <c r="E46" s="39" t="s">
        <v>246</v>
      </c>
      <c r="F46" s="38" t="str">
        <f t="shared" si="1"/>
        <v>CORRECT</v>
      </c>
      <c r="G46" s="38" t="s">
        <v>48</v>
      </c>
      <c r="H46" s="20" t="s">
        <v>48</v>
      </c>
      <c r="I46" s="40" t="s">
        <v>341</v>
      </c>
      <c r="J46" s="41"/>
    </row>
    <row r="47" ht="60.0" customHeight="1">
      <c r="A47" s="38">
        <v>44.0</v>
      </c>
      <c r="B47" s="39" t="s">
        <v>248</v>
      </c>
      <c r="C47" s="39" t="s">
        <v>249</v>
      </c>
      <c r="D47" s="39" t="s">
        <v>250</v>
      </c>
      <c r="E47" s="39" t="s">
        <v>251</v>
      </c>
      <c r="F47" s="38" t="str">
        <f t="shared" si="1"/>
        <v>CORRECT</v>
      </c>
      <c r="G47" s="38" t="s">
        <v>36</v>
      </c>
      <c r="H47" s="20" t="s">
        <v>36</v>
      </c>
      <c r="I47" s="40" t="s">
        <v>252</v>
      </c>
      <c r="J47" s="41"/>
    </row>
    <row r="48" ht="60.0" customHeight="1">
      <c r="A48" s="38">
        <v>45.0</v>
      </c>
      <c r="B48" s="39" t="s">
        <v>253</v>
      </c>
      <c r="C48" s="39" t="s">
        <v>254</v>
      </c>
      <c r="D48" s="39" t="s">
        <v>255</v>
      </c>
      <c r="E48" s="39" t="s">
        <v>256</v>
      </c>
      <c r="F48" s="38" t="str">
        <f t="shared" si="1"/>
        <v>CORRECT</v>
      </c>
      <c r="G48" s="38" t="s">
        <v>36</v>
      </c>
      <c r="H48" s="20" t="s">
        <v>36</v>
      </c>
      <c r="I48" s="40" t="s">
        <v>257</v>
      </c>
      <c r="J48" s="41"/>
    </row>
    <row r="49" ht="60.0" customHeight="1">
      <c r="A49" s="38">
        <v>46.0</v>
      </c>
      <c r="B49" s="39" t="s">
        <v>258</v>
      </c>
      <c r="C49" s="39" t="s">
        <v>40</v>
      </c>
      <c r="D49" s="39" t="s">
        <v>259</v>
      </c>
      <c r="E49" s="39" t="s">
        <v>260</v>
      </c>
      <c r="F49" s="38" t="str">
        <f t="shared" si="1"/>
        <v>CORRECT</v>
      </c>
      <c r="G49" s="38" t="s">
        <v>36</v>
      </c>
      <c r="H49" s="20" t="s">
        <v>36</v>
      </c>
      <c r="I49" s="40" t="s">
        <v>261</v>
      </c>
      <c r="J49" s="41"/>
    </row>
    <row r="50">
      <c r="A50" s="42" t="s">
        <v>262</v>
      </c>
      <c r="B50" s="2"/>
      <c r="C50" s="2"/>
      <c r="D50" s="2"/>
      <c r="E50" s="3"/>
      <c r="F50" s="43">
        <f>COUNTIFS(F4:F49,"CORRECT")</f>
        <v>28</v>
      </c>
      <c r="G50" s="44"/>
      <c r="H50" s="44"/>
      <c r="J50" s="45" t="str">
        <f>AVERAGE(J4:J49)</f>
        <v>#DIV/0!</v>
      </c>
    </row>
    <row r="51">
      <c r="A51" s="46" t="s">
        <v>263</v>
      </c>
      <c r="B51" s="2"/>
      <c r="C51" s="2"/>
      <c r="D51" s="2"/>
      <c r="E51" s="3"/>
      <c r="F51" s="47">
        <v>46.0</v>
      </c>
      <c r="G51" s="44"/>
      <c r="H51" s="44"/>
    </row>
    <row r="52">
      <c r="A52" s="42" t="s">
        <v>264</v>
      </c>
      <c r="B52" s="2"/>
      <c r="C52" s="2"/>
      <c r="D52" s="2"/>
      <c r="E52" s="3"/>
      <c r="F52" s="48">
        <f>F50/F51</f>
        <v>0.6086956522</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342</v>
      </c>
      <c r="C2" s="2"/>
      <c r="D2" s="2"/>
      <c r="E2" s="2"/>
      <c r="F2" s="2"/>
      <c r="G2" s="2"/>
      <c r="H2" s="3"/>
      <c r="I2" s="36" t="s">
        <v>343</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20" t="s">
        <v>37</v>
      </c>
      <c r="I4" s="40" t="s">
        <v>344</v>
      </c>
      <c r="J4" s="41"/>
    </row>
    <row r="5" ht="60.0" customHeight="1">
      <c r="A5" s="38">
        <v>2.0</v>
      </c>
      <c r="B5" s="39" t="s">
        <v>39</v>
      </c>
      <c r="C5" s="39" t="s">
        <v>40</v>
      </c>
      <c r="D5" s="39" t="s">
        <v>41</v>
      </c>
      <c r="E5" s="39" t="s">
        <v>42</v>
      </c>
      <c r="F5" s="38" t="str">
        <f t="shared" si="1"/>
        <v>CORRECT</v>
      </c>
      <c r="G5" s="38" t="s">
        <v>37</v>
      </c>
      <c r="H5" s="20" t="s">
        <v>37</v>
      </c>
      <c r="I5" s="40" t="s">
        <v>345</v>
      </c>
      <c r="J5" s="41"/>
    </row>
    <row r="6" ht="60.0" customHeight="1">
      <c r="A6" s="38">
        <v>3.0</v>
      </c>
      <c r="B6" s="39" t="s">
        <v>44</v>
      </c>
      <c r="C6" s="39" t="s">
        <v>45</v>
      </c>
      <c r="D6" s="39" t="s">
        <v>46</v>
      </c>
      <c r="E6" s="39" t="s">
        <v>47</v>
      </c>
      <c r="F6" s="38" t="str">
        <f t="shared" si="1"/>
        <v>CORRECT</v>
      </c>
      <c r="G6" s="38" t="s">
        <v>48</v>
      </c>
      <c r="H6" s="20" t="s">
        <v>48</v>
      </c>
      <c r="I6" s="40" t="s">
        <v>346</v>
      </c>
      <c r="J6" s="41"/>
    </row>
    <row r="7" ht="60.0" customHeight="1">
      <c r="A7" s="38">
        <v>4.0</v>
      </c>
      <c r="B7" s="39" t="s">
        <v>50</v>
      </c>
      <c r="C7" s="39" t="s">
        <v>51</v>
      </c>
      <c r="D7" s="39" t="s">
        <v>52</v>
      </c>
      <c r="E7" s="39" t="s">
        <v>53</v>
      </c>
      <c r="F7" s="38" t="str">
        <f t="shared" si="1"/>
        <v>WRONG</v>
      </c>
      <c r="G7" s="38" t="s">
        <v>37</v>
      </c>
      <c r="H7" s="20" t="s">
        <v>48</v>
      </c>
      <c r="I7" s="40" t="s">
        <v>347</v>
      </c>
      <c r="J7" s="41"/>
    </row>
    <row r="8" ht="60.0" customHeight="1">
      <c r="A8" s="38">
        <v>5.0</v>
      </c>
      <c r="B8" s="39" t="s">
        <v>55</v>
      </c>
      <c r="C8" s="39" t="s">
        <v>56</v>
      </c>
      <c r="D8" s="39" t="s">
        <v>57</v>
      </c>
      <c r="E8" s="39" t="s">
        <v>58</v>
      </c>
      <c r="F8" s="38" t="str">
        <f t="shared" si="1"/>
        <v>CORRECT</v>
      </c>
      <c r="G8" s="38" t="s">
        <v>48</v>
      </c>
      <c r="H8" s="20" t="s">
        <v>48</v>
      </c>
      <c r="I8" s="40" t="s">
        <v>348</v>
      </c>
      <c r="J8" s="41"/>
    </row>
    <row r="9" ht="60.0" customHeight="1">
      <c r="A9" s="38">
        <v>6.0</v>
      </c>
      <c r="B9" s="39" t="s">
        <v>60</v>
      </c>
      <c r="C9" s="39" t="s">
        <v>61</v>
      </c>
      <c r="D9" s="39" t="s">
        <v>62</v>
      </c>
      <c r="E9" s="39" t="s">
        <v>63</v>
      </c>
      <c r="F9" s="38" t="str">
        <f t="shared" si="1"/>
        <v>CORRECT</v>
      </c>
      <c r="G9" s="38" t="s">
        <v>37</v>
      </c>
      <c r="H9" s="20" t="s">
        <v>37</v>
      </c>
      <c r="I9" s="40" t="s">
        <v>64</v>
      </c>
      <c r="J9" s="41"/>
    </row>
    <row r="10" ht="60.0" customHeight="1">
      <c r="A10" s="38">
        <v>7.0</v>
      </c>
      <c r="B10" s="39" t="s">
        <v>65</v>
      </c>
      <c r="C10" s="39" t="s">
        <v>66</v>
      </c>
      <c r="D10" s="39" t="s">
        <v>67</v>
      </c>
      <c r="E10" s="39" t="s">
        <v>68</v>
      </c>
      <c r="F10" s="38" t="str">
        <f t="shared" si="1"/>
        <v>CORRECT</v>
      </c>
      <c r="G10" s="38" t="s">
        <v>37</v>
      </c>
      <c r="H10" s="20" t="s">
        <v>37</v>
      </c>
      <c r="I10" s="40" t="s">
        <v>349</v>
      </c>
      <c r="J10" s="41"/>
    </row>
    <row r="11" ht="60.0" customHeight="1">
      <c r="A11" s="38">
        <v>8.0</v>
      </c>
      <c r="B11" s="39" t="s">
        <v>70</v>
      </c>
      <c r="C11" s="39" t="s">
        <v>71</v>
      </c>
      <c r="D11" s="39" t="s">
        <v>72</v>
      </c>
      <c r="E11" s="39" t="s">
        <v>73</v>
      </c>
      <c r="F11" s="38" t="str">
        <f t="shared" si="1"/>
        <v>WRONG</v>
      </c>
      <c r="G11" s="38" t="s">
        <v>48</v>
      </c>
      <c r="H11" s="20" t="s">
        <v>37</v>
      </c>
      <c r="I11" s="40" t="s">
        <v>350</v>
      </c>
      <c r="J11" s="41"/>
    </row>
    <row r="12" ht="60.0" customHeight="1">
      <c r="A12" s="38">
        <v>9.0</v>
      </c>
      <c r="B12" s="39" t="s">
        <v>75</v>
      </c>
      <c r="C12" s="39" t="s">
        <v>76</v>
      </c>
      <c r="D12" s="39" t="s">
        <v>77</v>
      </c>
      <c r="E12" s="39" t="s">
        <v>78</v>
      </c>
      <c r="F12" s="38" t="str">
        <f t="shared" si="1"/>
        <v>WRONG</v>
      </c>
      <c r="G12" s="38" t="s">
        <v>37</v>
      </c>
      <c r="H12" s="20" t="s">
        <v>48</v>
      </c>
      <c r="I12" s="40" t="s">
        <v>351</v>
      </c>
      <c r="J12" s="41"/>
    </row>
    <row r="13" ht="60.0" customHeight="1">
      <c r="A13" s="38">
        <v>10.0</v>
      </c>
      <c r="B13" s="39" t="s">
        <v>80</v>
      </c>
      <c r="C13" s="39" t="s">
        <v>81</v>
      </c>
      <c r="D13" s="39" t="s">
        <v>82</v>
      </c>
      <c r="E13" s="39" t="s">
        <v>83</v>
      </c>
      <c r="F13" s="38" t="str">
        <f t="shared" si="1"/>
        <v>WRONG</v>
      </c>
      <c r="G13" s="38" t="s">
        <v>48</v>
      </c>
      <c r="H13" s="20" t="s">
        <v>36</v>
      </c>
      <c r="I13" s="40" t="s">
        <v>352</v>
      </c>
      <c r="J13" s="41"/>
    </row>
    <row r="14" ht="60.0" customHeight="1">
      <c r="A14" s="38">
        <v>11.0</v>
      </c>
      <c r="B14" s="39" t="s">
        <v>85</v>
      </c>
      <c r="C14" s="39" t="s">
        <v>86</v>
      </c>
      <c r="D14" s="39" t="s">
        <v>87</v>
      </c>
      <c r="E14" s="39" t="s">
        <v>88</v>
      </c>
      <c r="F14" s="38" t="str">
        <f t="shared" si="1"/>
        <v>WRONG</v>
      </c>
      <c r="G14" s="38" t="s">
        <v>37</v>
      </c>
      <c r="H14" s="20" t="s">
        <v>48</v>
      </c>
      <c r="I14" s="40" t="s">
        <v>353</v>
      </c>
      <c r="J14" s="41"/>
    </row>
    <row r="15" ht="60.0" customHeight="1">
      <c r="A15" s="38">
        <v>12.0</v>
      </c>
      <c r="B15" s="39" t="s">
        <v>90</v>
      </c>
      <c r="C15" s="39" t="s">
        <v>91</v>
      </c>
      <c r="D15" s="39" t="s">
        <v>92</v>
      </c>
      <c r="E15" s="39" t="s">
        <v>93</v>
      </c>
      <c r="F15" s="38" t="str">
        <f t="shared" si="1"/>
        <v>CORRECT</v>
      </c>
      <c r="G15" s="38" t="s">
        <v>48</v>
      </c>
      <c r="H15" s="20" t="s">
        <v>48</v>
      </c>
      <c r="I15" s="40" t="s">
        <v>354</v>
      </c>
      <c r="J15" s="41"/>
    </row>
    <row r="16" ht="60.0" customHeight="1">
      <c r="A16" s="38">
        <v>13.0</v>
      </c>
      <c r="B16" s="39" t="s">
        <v>95</v>
      </c>
      <c r="C16" s="39" t="s">
        <v>96</v>
      </c>
      <c r="D16" s="39" t="s">
        <v>97</v>
      </c>
      <c r="E16" s="39" t="s">
        <v>98</v>
      </c>
      <c r="F16" s="38" t="str">
        <f t="shared" si="1"/>
        <v>CORRECT</v>
      </c>
      <c r="G16" s="38" t="s">
        <v>36</v>
      </c>
      <c r="H16" s="20" t="s">
        <v>36</v>
      </c>
      <c r="I16" s="40" t="s">
        <v>355</v>
      </c>
      <c r="J16" s="41"/>
    </row>
    <row r="17" ht="60.0" customHeight="1">
      <c r="A17" s="38">
        <v>14.0</v>
      </c>
      <c r="B17" s="39" t="s">
        <v>100</v>
      </c>
      <c r="C17" s="39" t="s">
        <v>101</v>
      </c>
      <c r="D17" s="39" t="s">
        <v>102</v>
      </c>
      <c r="E17" s="39" t="s">
        <v>103</v>
      </c>
      <c r="F17" s="38" t="str">
        <f t="shared" si="1"/>
        <v>WRONG</v>
      </c>
      <c r="G17" s="38" t="s">
        <v>36</v>
      </c>
      <c r="H17" s="20" t="s">
        <v>48</v>
      </c>
      <c r="I17" s="40" t="s">
        <v>356</v>
      </c>
      <c r="J17" s="41"/>
    </row>
    <row r="18" ht="60.0" customHeight="1">
      <c r="A18" s="38">
        <v>15.0</v>
      </c>
      <c r="B18" s="39" t="s">
        <v>105</v>
      </c>
      <c r="C18" s="39" t="s">
        <v>106</v>
      </c>
      <c r="D18" s="39" t="s">
        <v>107</v>
      </c>
      <c r="E18" s="39" t="s">
        <v>108</v>
      </c>
      <c r="F18" s="38" t="str">
        <f t="shared" si="1"/>
        <v>CORRECT</v>
      </c>
      <c r="G18" s="38" t="s">
        <v>48</v>
      </c>
      <c r="H18" s="20" t="s">
        <v>48</v>
      </c>
      <c r="I18" s="40" t="s">
        <v>357</v>
      </c>
      <c r="J18" s="41"/>
    </row>
    <row r="19" ht="60.0" customHeight="1">
      <c r="A19" s="38">
        <v>16.0</v>
      </c>
      <c r="B19" s="39" t="s">
        <v>110</v>
      </c>
      <c r="C19" s="39" t="s">
        <v>111</v>
      </c>
      <c r="D19" s="39" t="s">
        <v>112</v>
      </c>
      <c r="E19" s="39" t="s">
        <v>113</v>
      </c>
      <c r="F19" s="38" t="str">
        <f t="shared" si="1"/>
        <v>WRONG</v>
      </c>
      <c r="G19" s="38" t="s">
        <v>48</v>
      </c>
      <c r="H19" s="20" t="s">
        <v>36</v>
      </c>
      <c r="I19" s="40" t="s">
        <v>114</v>
      </c>
      <c r="J19" s="41"/>
    </row>
    <row r="20" ht="60.0" customHeight="1">
      <c r="A20" s="38">
        <v>17.0</v>
      </c>
      <c r="B20" s="39" t="s">
        <v>115</v>
      </c>
      <c r="C20" s="39" t="s">
        <v>116</v>
      </c>
      <c r="D20" s="39" t="s">
        <v>117</v>
      </c>
      <c r="E20" s="39" t="s">
        <v>118</v>
      </c>
      <c r="F20" s="38" t="str">
        <f t="shared" si="1"/>
        <v>WRONG</v>
      </c>
      <c r="G20" s="38" t="s">
        <v>37</v>
      </c>
      <c r="H20" s="20" t="s">
        <v>36</v>
      </c>
      <c r="I20" s="40" t="s">
        <v>358</v>
      </c>
      <c r="J20" s="41"/>
    </row>
    <row r="21" ht="60.0" customHeight="1">
      <c r="A21" s="38">
        <v>18.0</v>
      </c>
      <c r="B21" s="39" t="s">
        <v>120</v>
      </c>
      <c r="C21" s="39" t="s">
        <v>121</v>
      </c>
      <c r="D21" s="39" t="s">
        <v>122</v>
      </c>
      <c r="E21" s="39" t="s">
        <v>123</v>
      </c>
      <c r="F21" s="38" t="str">
        <f t="shared" si="1"/>
        <v>CORRECT</v>
      </c>
      <c r="G21" s="38" t="s">
        <v>37</v>
      </c>
      <c r="H21" s="20" t="s">
        <v>37</v>
      </c>
      <c r="I21" s="40" t="s">
        <v>359</v>
      </c>
      <c r="J21" s="41"/>
    </row>
    <row r="22" ht="60.0" customHeight="1">
      <c r="A22" s="38">
        <v>19.0</v>
      </c>
      <c r="B22" s="39" t="s">
        <v>125</v>
      </c>
      <c r="C22" s="39" t="s">
        <v>126</v>
      </c>
      <c r="D22" s="39" t="s">
        <v>127</v>
      </c>
      <c r="E22" s="39" t="s">
        <v>128</v>
      </c>
      <c r="F22" s="38" t="str">
        <f t="shared" si="1"/>
        <v>WRONG</v>
      </c>
      <c r="G22" s="38" t="s">
        <v>36</v>
      </c>
      <c r="H22" s="20" t="s">
        <v>48</v>
      </c>
      <c r="I22" s="40" t="s">
        <v>360</v>
      </c>
      <c r="J22" s="41"/>
    </row>
    <row r="23" ht="60.0" customHeight="1">
      <c r="A23" s="38">
        <v>20.0</v>
      </c>
      <c r="B23" s="39" t="s">
        <v>130</v>
      </c>
      <c r="C23" s="39" t="s">
        <v>131</v>
      </c>
      <c r="D23" s="39" t="s">
        <v>132</v>
      </c>
      <c r="E23" s="39" t="s">
        <v>133</v>
      </c>
      <c r="F23" s="38" t="str">
        <f t="shared" si="1"/>
        <v>WRONG</v>
      </c>
      <c r="G23" s="38" t="s">
        <v>37</v>
      </c>
      <c r="H23" s="20" t="s">
        <v>48</v>
      </c>
      <c r="I23" s="40" t="s">
        <v>361</v>
      </c>
      <c r="J23" s="41"/>
    </row>
    <row r="24" ht="60.0" customHeight="1">
      <c r="A24" s="38">
        <v>21.0</v>
      </c>
      <c r="B24" s="39" t="s">
        <v>135</v>
      </c>
      <c r="C24" s="39" t="s">
        <v>136</v>
      </c>
      <c r="D24" s="39" t="s">
        <v>137</v>
      </c>
      <c r="E24" s="39" t="s">
        <v>138</v>
      </c>
      <c r="F24" s="38" t="str">
        <f t="shared" si="1"/>
        <v>WRONG</v>
      </c>
      <c r="G24" s="38" t="s">
        <v>37</v>
      </c>
      <c r="H24" s="20" t="s">
        <v>36</v>
      </c>
      <c r="I24" s="40" t="s">
        <v>362</v>
      </c>
      <c r="J24" s="41"/>
    </row>
    <row r="25" ht="60.0" customHeight="1">
      <c r="A25" s="38">
        <v>22.0</v>
      </c>
      <c r="B25" s="39" t="s">
        <v>140</v>
      </c>
      <c r="C25" s="39" t="s">
        <v>141</v>
      </c>
      <c r="D25" s="39" t="s">
        <v>142</v>
      </c>
      <c r="E25" s="39" t="s">
        <v>143</v>
      </c>
      <c r="F25" s="38" t="str">
        <f t="shared" si="1"/>
        <v>CORRECT</v>
      </c>
      <c r="G25" s="38" t="s">
        <v>37</v>
      </c>
      <c r="H25" s="20" t="s">
        <v>37</v>
      </c>
      <c r="I25" s="40" t="s">
        <v>363</v>
      </c>
      <c r="J25" s="41"/>
    </row>
    <row r="26" ht="60.0" customHeight="1">
      <c r="A26" s="38">
        <v>23.0</v>
      </c>
      <c r="B26" s="39" t="s">
        <v>145</v>
      </c>
      <c r="C26" s="39" t="s">
        <v>146</v>
      </c>
      <c r="D26" s="39" t="s">
        <v>147</v>
      </c>
      <c r="E26" s="39" t="s">
        <v>148</v>
      </c>
      <c r="F26" s="38" t="str">
        <f t="shared" si="1"/>
        <v>CORRECT</v>
      </c>
      <c r="G26" s="38" t="s">
        <v>48</v>
      </c>
      <c r="H26" s="20" t="s">
        <v>48</v>
      </c>
      <c r="I26" s="40" t="s">
        <v>364</v>
      </c>
      <c r="J26" s="41"/>
    </row>
    <row r="27" ht="60.0" customHeight="1">
      <c r="A27" s="38">
        <v>24.0</v>
      </c>
      <c r="B27" s="39" t="s">
        <v>150</v>
      </c>
      <c r="C27" s="39" t="s">
        <v>151</v>
      </c>
      <c r="D27" s="39" t="s">
        <v>152</v>
      </c>
      <c r="E27" s="39" t="s">
        <v>153</v>
      </c>
      <c r="F27" s="38" t="str">
        <f t="shared" si="1"/>
        <v>WRONG</v>
      </c>
      <c r="G27" s="38" t="s">
        <v>36</v>
      </c>
      <c r="H27" s="20" t="s">
        <v>48</v>
      </c>
      <c r="I27" s="40" t="s">
        <v>365</v>
      </c>
      <c r="J27" s="41"/>
    </row>
    <row r="28" ht="60.0" customHeight="1">
      <c r="A28" s="38">
        <v>25.0</v>
      </c>
      <c r="B28" s="39" t="s">
        <v>155</v>
      </c>
      <c r="C28" s="39" t="s">
        <v>151</v>
      </c>
      <c r="D28" s="39" t="s">
        <v>156</v>
      </c>
      <c r="E28" s="39" t="s">
        <v>153</v>
      </c>
      <c r="F28" s="38" t="str">
        <f t="shared" si="1"/>
        <v>WRONG</v>
      </c>
      <c r="G28" s="38" t="s">
        <v>48</v>
      </c>
      <c r="H28" s="20" t="s">
        <v>36</v>
      </c>
      <c r="I28" s="40" t="s">
        <v>366</v>
      </c>
      <c r="J28" s="41"/>
    </row>
    <row r="29" ht="60.0" customHeight="1">
      <c r="A29" s="38">
        <v>26.0</v>
      </c>
      <c r="B29" s="39" t="s">
        <v>158</v>
      </c>
      <c r="C29" s="39" t="s">
        <v>159</v>
      </c>
      <c r="D29" s="39" t="s">
        <v>160</v>
      </c>
      <c r="E29" s="39" t="s">
        <v>161</v>
      </c>
      <c r="F29" s="38" t="str">
        <f t="shared" si="1"/>
        <v>WRONG</v>
      </c>
      <c r="G29" s="38" t="s">
        <v>36</v>
      </c>
      <c r="H29" s="20" t="s">
        <v>37</v>
      </c>
      <c r="I29" s="40" t="s">
        <v>367</v>
      </c>
      <c r="J29" s="41"/>
    </row>
    <row r="30" ht="60.0" customHeight="1">
      <c r="A30" s="38">
        <v>27.0</v>
      </c>
      <c r="B30" s="39" t="s">
        <v>163</v>
      </c>
      <c r="C30" s="39" t="s">
        <v>164</v>
      </c>
      <c r="D30" s="39" t="s">
        <v>165</v>
      </c>
      <c r="E30" s="39" t="s">
        <v>166</v>
      </c>
      <c r="F30" s="38" t="str">
        <f t="shared" si="1"/>
        <v>CORRECT</v>
      </c>
      <c r="G30" s="38" t="s">
        <v>37</v>
      </c>
      <c r="H30" s="20" t="s">
        <v>37</v>
      </c>
      <c r="I30" s="40" t="s">
        <v>368</v>
      </c>
      <c r="J30" s="41"/>
    </row>
    <row r="31" ht="60.0" customHeight="1">
      <c r="A31" s="38">
        <v>28.0</v>
      </c>
      <c r="B31" s="39" t="s">
        <v>168</v>
      </c>
      <c r="C31" s="39" t="s">
        <v>169</v>
      </c>
      <c r="D31" s="39" t="s">
        <v>170</v>
      </c>
      <c r="E31" s="39" t="s">
        <v>171</v>
      </c>
      <c r="F31" s="38" t="str">
        <f t="shared" si="1"/>
        <v>CORRECT</v>
      </c>
      <c r="G31" s="38" t="s">
        <v>36</v>
      </c>
      <c r="H31" s="20" t="s">
        <v>36</v>
      </c>
      <c r="I31" s="40" t="s">
        <v>369</v>
      </c>
      <c r="J31" s="41"/>
    </row>
    <row r="32" ht="60.0" customHeight="1">
      <c r="A32" s="38">
        <v>29.0</v>
      </c>
      <c r="B32" s="39" t="s">
        <v>173</v>
      </c>
      <c r="C32" s="39" t="s">
        <v>174</v>
      </c>
      <c r="D32" s="39" t="s">
        <v>175</v>
      </c>
      <c r="E32" s="39" t="s">
        <v>176</v>
      </c>
      <c r="F32" s="38" t="str">
        <f t="shared" si="1"/>
        <v>CORRECT</v>
      </c>
      <c r="G32" s="38" t="s">
        <v>37</v>
      </c>
      <c r="H32" s="20" t="s">
        <v>37</v>
      </c>
      <c r="I32" s="40" t="s">
        <v>177</v>
      </c>
      <c r="J32" s="41"/>
    </row>
    <row r="33" ht="60.0" customHeight="1">
      <c r="A33" s="38">
        <v>30.0</v>
      </c>
      <c r="B33" s="39" t="s">
        <v>178</v>
      </c>
      <c r="C33" s="39" t="s">
        <v>179</v>
      </c>
      <c r="D33" s="39" t="s">
        <v>180</v>
      </c>
      <c r="E33" s="39" t="s">
        <v>181</v>
      </c>
      <c r="F33" s="38" t="str">
        <f t="shared" si="1"/>
        <v>WRONG</v>
      </c>
      <c r="G33" s="38" t="s">
        <v>48</v>
      </c>
      <c r="H33" s="20" t="s">
        <v>36</v>
      </c>
      <c r="I33" s="40" t="s">
        <v>280</v>
      </c>
      <c r="J33" s="41"/>
    </row>
    <row r="34" ht="60.0" customHeight="1">
      <c r="A34" s="38">
        <v>31.0</v>
      </c>
      <c r="B34" s="39" t="s">
        <v>183</v>
      </c>
      <c r="C34" s="39" t="s">
        <v>184</v>
      </c>
      <c r="D34" s="39" t="s">
        <v>185</v>
      </c>
      <c r="E34" s="39" t="s">
        <v>186</v>
      </c>
      <c r="F34" s="38" t="str">
        <f t="shared" si="1"/>
        <v>WRONG</v>
      </c>
      <c r="G34" s="38" t="s">
        <v>37</v>
      </c>
      <c r="H34" s="20" t="s">
        <v>36</v>
      </c>
      <c r="I34" s="40" t="s">
        <v>370</v>
      </c>
      <c r="J34" s="41"/>
    </row>
    <row r="35" ht="60.0" customHeight="1">
      <c r="A35" s="38">
        <v>32.0</v>
      </c>
      <c r="B35" s="39" t="s">
        <v>188</v>
      </c>
      <c r="C35" s="39" t="s">
        <v>189</v>
      </c>
      <c r="D35" s="39" t="s">
        <v>190</v>
      </c>
      <c r="E35" s="39" t="s">
        <v>191</v>
      </c>
      <c r="F35" s="38" t="str">
        <f t="shared" si="1"/>
        <v>CORRECT</v>
      </c>
      <c r="G35" s="38" t="s">
        <v>36</v>
      </c>
      <c r="H35" s="20" t="s">
        <v>36</v>
      </c>
      <c r="I35" s="40" t="s">
        <v>371</v>
      </c>
      <c r="J35" s="41"/>
    </row>
    <row r="36" ht="60.0" customHeight="1">
      <c r="A36" s="38">
        <v>33.0</v>
      </c>
      <c r="B36" s="39" t="s">
        <v>193</v>
      </c>
      <c r="C36" s="39" t="s">
        <v>194</v>
      </c>
      <c r="D36" s="39" t="s">
        <v>195</v>
      </c>
      <c r="E36" s="39" t="s">
        <v>196</v>
      </c>
      <c r="F36" s="38" t="str">
        <f t="shared" si="1"/>
        <v>CORRECT</v>
      </c>
      <c r="G36" s="38" t="s">
        <v>48</v>
      </c>
      <c r="H36" s="20" t="s">
        <v>48</v>
      </c>
      <c r="I36" s="40" t="s">
        <v>372</v>
      </c>
      <c r="J36" s="41"/>
    </row>
    <row r="37" ht="60.0" customHeight="1">
      <c r="A37" s="38">
        <v>34.0</v>
      </c>
      <c r="B37" s="39" t="s">
        <v>198</v>
      </c>
      <c r="C37" s="39" t="s">
        <v>199</v>
      </c>
      <c r="D37" s="39" t="s">
        <v>200</v>
      </c>
      <c r="E37" s="39" t="s">
        <v>201</v>
      </c>
      <c r="F37" s="38" t="str">
        <f t="shared" si="1"/>
        <v>CORRECT</v>
      </c>
      <c r="G37" s="38" t="s">
        <v>36</v>
      </c>
      <c r="H37" s="20" t="s">
        <v>36</v>
      </c>
      <c r="I37" s="40" t="s">
        <v>373</v>
      </c>
      <c r="J37" s="41"/>
    </row>
    <row r="38" ht="60.0" customHeight="1">
      <c r="A38" s="38">
        <v>35.0</v>
      </c>
      <c r="B38" s="39" t="s">
        <v>203</v>
      </c>
      <c r="C38" s="39" t="s">
        <v>204</v>
      </c>
      <c r="D38" s="39" t="s">
        <v>205</v>
      </c>
      <c r="E38" s="39" t="s">
        <v>206</v>
      </c>
      <c r="F38" s="38" t="str">
        <f t="shared" si="1"/>
        <v>CORRECT</v>
      </c>
      <c r="G38" s="38" t="s">
        <v>48</v>
      </c>
      <c r="H38" s="20" t="s">
        <v>48</v>
      </c>
      <c r="I38" s="40" t="s">
        <v>374</v>
      </c>
      <c r="J38" s="41"/>
    </row>
    <row r="39" ht="60.0" customHeight="1">
      <c r="A39" s="38">
        <v>36.0</v>
      </c>
      <c r="B39" s="39" t="s">
        <v>208</v>
      </c>
      <c r="C39" s="39" t="s">
        <v>209</v>
      </c>
      <c r="D39" s="39" t="s">
        <v>210</v>
      </c>
      <c r="E39" s="39" t="s">
        <v>211</v>
      </c>
      <c r="F39" s="38" t="str">
        <f t="shared" si="1"/>
        <v>CORRECT</v>
      </c>
      <c r="G39" s="38" t="s">
        <v>36</v>
      </c>
      <c r="H39" s="20" t="s">
        <v>36</v>
      </c>
      <c r="I39" s="40" t="s">
        <v>375</v>
      </c>
      <c r="J39" s="41"/>
    </row>
    <row r="40" ht="60.0" customHeight="1">
      <c r="A40" s="38">
        <v>37.0</v>
      </c>
      <c r="B40" s="39" t="s">
        <v>213</v>
      </c>
      <c r="C40" s="39" t="s">
        <v>214</v>
      </c>
      <c r="D40" s="39" t="s">
        <v>215</v>
      </c>
      <c r="E40" s="39" t="s">
        <v>216</v>
      </c>
      <c r="F40" s="38" t="str">
        <f t="shared" si="1"/>
        <v>WRONG</v>
      </c>
      <c r="G40" s="38" t="s">
        <v>36</v>
      </c>
      <c r="H40" s="20" t="s">
        <v>37</v>
      </c>
      <c r="I40" s="40" t="s">
        <v>376</v>
      </c>
      <c r="J40" s="41"/>
    </row>
    <row r="41" ht="60.0" customHeight="1">
      <c r="A41" s="38">
        <v>38.0</v>
      </c>
      <c r="B41" s="39" t="s">
        <v>218</v>
      </c>
      <c r="C41" s="39" t="s">
        <v>219</v>
      </c>
      <c r="D41" s="39" t="s">
        <v>220</v>
      </c>
      <c r="E41" s="39" t="s">
        <v>221</v>
      </c>
      <c r="F41" s="38" t="str">
        <f t="shared" si="1"/>
        <v>CORRECT</v>
      </c>
      <c r="G41" s="38" t="s">
        <v>36</v>
      </c>
      <c r="H41" s="20" t="s">
        <v>36</v>
      </c>
      <c r="I41" s="40" t="s">
        <v>377</v>
      </c>
      <c r="J41" s="41"/>
    </row>
    <row r="42" ht="60.0" customHeight="1">
      <c r="A42" s="38">
        <v>39.0</v>
      </c>
      <c r="B42" s="39" t="s">
        <v>223</v>
      </c>
      <c r="C42" s="39" t="s">
        <v>224</v>
      </c>
      <c r="D42" s="39" t="s">
        <v>225</v>
      </c>
      <c r="E42" s="39" t="s">
        <v>226</v>
      </c>
      <c r="F42" s="38" t="str">
        <f t="shared" si="1"/>
        <v>CORRECT</v>
      </c>
      <c r="G42" s="38" t="s">
        <v>37</v>
      </c>
      <c r="H42" s="20" t="s">
        <v>37</v>
      </c>
      <c r="I42" s="40" t="s">
        <v>378</v>
      </c>
      <c r="J42" s="41"/>
    </row>
    <row r="43" ht="60.0" customHeight="1">
      <c r="A43" s="38">
        <v>40.0</v>
      </c>
      <c r="B43" s="39" t="s">
        <v>228</v>
      </c>
      <c r="C43" s="39" t="s">
        <v>229</v>
      </c>
      <c r="D43" s="39" t="s">
        <v>230</v>
      </c>
      <c r="E43" s="39" t="s">
        <v>231</v>
      </c>
      <c r="F43" s="38" t="str">
        <f t="shared" si="1"/>
        <v>WRONG</v>
      </c>
      <c r="G43" s="38" t="s">
        <v>48</v>
      </c>
      <c r="H43" s="20" t="s">
        <v>37</v>
      </c>
      <c r="I43" s="40" t="s">
        <v>379</v>
      </c>
      <c r="J43" s="41"/>
    </row>
    <row r="44" ht="60.0" customHeight="1">
      <c r="A44" s="38">
        <v>41.0</v>
      </c>
      <c r="B44" s="39" t="s">
        <v>233</v>
      </c>
      <c r="C44" s="39" t="s">
        <v>234</v>
      </c>
      <c r="D44" s="39" t="s">
        <v>235</v>
      </c>
      <c r="E44" s="39" t="s">
        <v>236</v>
      </c>
      <c r="F44" s="38" t="str">
        <f t="shared" si="1"/>
        <v>CORRECT</v>
      </c>
      <c r="G44" s="38" t="s">
        <v>37</v>
      </c>
      <c r="H44" s="20" t="s">
        <v>37</v>
      </c>
      <c r="I44" s="40" t="s">
        <v>380</v>
      </c>
      <c r="J44" s="41"/>
    </row>
    <row r="45" ht="60.0" customHeight="1">
      <c r="A45" s="38">
        <v>42.0</v>
      </c>
      <c r="B45" s="39" t="s">
        <v>238</v>
      </c>
      <c r="C45" s="39" t="s">
        <v>239</v>
      </c>
      <c r="D45" s="39" t="s">
        <v>240</v>
      </c>
      <c r="E45" s="39" t="s">
        <v>241</v>
      </c>
      <c r="F45" s="38" t="str">
        <f t="shared" si="1"/>
        <v>WRONG</v>
      </c>
      <c r="G45" s="38" t="s">
        <v>36</v>
      </c>
      <c r="H45" s="20" t="s">
        <v>37</v>
      </c>
      <c r="I45" s="40" t="s">
        <v>381</v>
      </c>
      <c r="J45" s="41"/>
    </row>
    <row r="46" ht="60.0" customHeight="1">
      <c r="A46" s="38">
        <v>43.0</v>
      </c>
      <c r="B46" s="39" t="s">
        <v>243</v>
      </c>
      <c r="C46" s="39" t="s">
        <v>244</v>
      </c>
      <c r="D46" s="39" t="s">
        <v>245</v>
      </c>
      <c r="E46" s="39" t="s">
        <v>246</v>
      </c>
      <c r="F46" s="38" t="str">
        <f t="shared" si="1"/>
        <v>CORRECT</v>
      </c>
      <c r="G46" s="38" t="s">
        <v>48</v>
      </c>
      <c r="H46" s="20" t="s">
        <v>48</v>
      </c>
      <c r="I46" s="40" t="s">
        <v>382</v>
      </c>
      <c r="J46" s="41"/>
    </row>
    <row r="47" ht="60.0" customHeight="1">
      <c r="A47" s="38">
        <v>44.0</v>
      </c>
      <c r="B47" s="39" t="s">
        <v>248</v>
      </c>
      <c r="C47" s="39" t="s">
        <v>249</v>
      </c>
      <c r="D47" s="39" t="s">
        <v>250</v>
      </c>
      <c r="E47" s="39" t="s">
        <v>251</v>
      </c>
      <c r="F47" s="38" t="str">
        <f t="shared" si="1"/>
        <v>CORRECT</v>
      </c>
      <c r="G47" s="38" t="s">
        <v>36</v>
      </c>
      <c r="H47" s="20" t="s">
        <v>36</v>
      </c>
      <c r="I47" s="40" t="s">
        <v>383</v>
      </c>
      <c r="J47" s="41"/>
    </row>
    <row r="48" ht="60.0" customHeight="1">
      <c r="A48" s="38">
        <v>45.0</v>
      </c>
      <c r="B48" s="39" t="s">
        <v>253</v>
      </c>
      <c r="C48" s="39" t="s">
        <v>254</v>
      </c>
      <c r="D48" s="39" t="s">
        <v>255</v>
      </c>
      <c r="E48" s="39" t="s">
        <v>256</v>
      </c>
      <c r="F48" s="38" t="str">
        <f t="shared" si="1"/>
        <v>CORRECT</v>
      </c>
      <c r="G48" s="38" t="s">
        <v>36</v>
      </c>
      <c r="H48" s="20" t="s">
        <v>36</v>
      </c>
      <c r="I48" s="40" t="s">
        <v>384</v>
      </c>
      <c r="J48" s="41"/>
    </row>
    <row r="49" ht="60.0" customHeight="1">
      <c r="A49" s="38">
        <v>46.0</v>
      </c>
      <c r="B49" s="39" t="s">
        <v>258</v>
      </c>
      <c r="C49" s="39" t="s">
        <v>40</v>
      </c>
      <c r="D49" s="39" t="s">
        <v>259</v>
      </c>
      <c r="E49" s="39" t="s">
        <v>260</v>
      </c>
      <c r="F49" s="38" t="str">
        <f t="shared" si="1"/>
        <v>CORRECT</v>
      </c>
      <c r="G49" s="38" t="s">
        <v>36</v>
      </c>
      <c r="H49" s="20" t="s">
        <v>36</v>
      </c>
      <c r="I49" s="40" t="s">
        <v>322</v>
      </c>
      <c r="J49" s="41"/>
    </row>
    <row r="50">
      <c r="A50" s="42" t="s">
        <v>262</v>
      </c>
      <c r="B50" s="2"/>
      <c r="C50" s="2"/>
      <c r="D50" s="2"/>
      <c r="E50" s="3"/>
      <c r="F50" s="43">
        <f>COUNTIFS(F4:F49,"CORRECT")</f>
        <v>26</v>
      </c>
      <c r="G50" s="44"/>
      <c r="H50" s="44"/>
      <c r="J50" s="45" t="str">
        <f>AVERAGE(J4:J49)</f>
        <v>#DIV/0!</v>
      </c>
    </row>
    <row r="51">
      <c r="A51" s="46" t="s">
        <v>263</v>
      </c>
      <c r="B51" s="2"/>
      <c r="C51" s="2"/>
      <c r="D51" s="2"/>
      <c r="E51" s="3"/>
      <c r="F51" s="47">
        <v>46.0</v>
      </c>
      <c r="G51" s="44"/>
      <c r="H51" s="44"/>
    </row>
    <row r="52">
      <c r="A52" s="42" t="s">
        <v>264</v>
      </c>
      <c r="B52" s="2"/>
      <c r="C52" s="2"/>
      <c r="D52" s="2"/>
      <c r="E52" s="3"/>
      <c r="F52" s="48">
        <f>F50/F51</f>
        <v>0.5652173913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385</v>
      </c>
      <c r="C2" s="2"/>
      <c r="D2" s="2"/>
      <c r="E2" s="2"/>
      <c r="F2" s="2"/>
      <c r="G2" s="2"/>
      <c r="H2" s="3"/>
      <c r="I2" s="36" t="s">
        <v>386</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51" t="s">
        <v>37</v>
      </c>
      <c r="I4" s="40" t="s">
        <v>387</v>
      </c>
      <c r="J4" s="52"/>
    </row>
    <row r="5" ht="60.0" customHeight="1">
      <c r="A5" s="38">
        <v>2.0</v>
      </c>
      <c r="B5" s="39" t="s">
        <v>39</v>
      </c>
      <c r="C5" s="39" t="s">
        <v>40</v>
      </c>
      <c r="D5" s="39" t="s">
        <v>41</v>
      </c>
      <c r="E5" s="39" t="s">
        <v>42</v>
      </c>
      <c r="F5" s="38" t="str">
        <f t="shared" si="1"/>
        <v>CORRECT</v>
      </c>
      <c r="G5" s="38" t="s">
        <v>37</v>
      </c>
      <c r="H5" s="51" t="s">
        <v>37</v>
      </c>
      <c r="I5" s="40" t="s">
        <v>388</v>
      </c>
      <c r="J5" s="52"/>
    </row>
    <row r="6" ht="60.0" customHeight="1">
      <c r="A6" s="38">
        <v>3.0</v>
      </c>
      <c r="B6" s="39" t="s">
        <v>44</v>
      </c>
      <c r="C6" s="39" t="s">
        <v>45</v>
      </c>
      <c r="D6" s="39" t="s">
        <v>46</v>
      </c>
      <c r="E6" s="39" t="s">
        <v>47</v>
      </c>
      <c r="F6" s="38" t="str">
        <f t="shared" si="1"/>
        <v>CORRECT</v>
      </c>
      <c r="G6" s="38" t="s">
        <v>48</v>
      </c>
      <c r="H6" s="51" t="s">
        <v>48</v>
      </c>
      <c r="I6" s="40" t="s">
        <v>389</v>
      </c>
      <c r="J6" s="52"/>
    </row>
    <row r="7" ht="60.0" customHeight="1">
      <c r="A7" s="38">
        <v>4.0</v>
      </c>
      <c r="B7" s="39" t="s">
        <v>50</v>
      </c>
      <c r="C7" s="39" t="s">
        <v>51</v>
      </c>
      <c r="D7" s="39" t="s">
        <v>52</v>
      </c>
      <c r="E7" s="39" t="s">
        <v>53</v>
      </c>
      <c r="F7" s="38" t="str">
        <f t="shared" si="1"/>
        <v>WRONG</v>
      </c>
      <c r="G7" s="38" t="s">
        <v>37</v>
      </c>
      <c r="H7" s="51" t="s">
        <v>48</v>
      </c>
      <c r="I7" s="40" t="s">
        <v>390</v>
      </c>
      <c r="J7" s="52"/>
    </row>
    <row r="8" ht="60.0" customHeight="1">
      <c r="A8" s="38">
        <v>5.0</v>
      </c>
      <c r="B8" s="39" t="s">
        <v>55</v>
      </c>
      <c r="C8" s="39" t="s">
        <v>56</v>
      </c>
      <c r="D8" s="39" t="s">
        <v>57</v>
      </c>
      <c r="E8" s="39" t="s">
        <v>58</v>
      </c>
      <c r="F8" s="38" t="str">
        <f t="shared" si="1"/>
        <v>CORRECT</v>
      </c>
      <c r="G8" s="38" t="s">
        <v>48</v>
      </c>
      <c r="H8" s="51" t="s">
        <v>48</v>
      </c>
      <c r="I8" s="40" t="s">
        <v>391</v>
      </c>
      <c r="J8" s="52"/>
    </row>
    <row r="9" ht="60.0" customHeight="1">
      <c r="A9" s="38">
        <v>6.0</v>
      </c>
      <c r="B9" s="39" t="s">
        <v>60</v>
      </c>
      <c r="C9" s="39" t="s">
        <v>61</v>
      </c>
      <c r="D9" s="39" t="s">
        <v>62</v>
      </c>
      <c r="E9" s="39" t="s">
        <v>63</v>
      </c>
      <c r="F9" s="38" t="str">
        <f t="shared" si="1"/>
        <v>CORRECT</v>
      </c>
      <c r="G9" s="38" t="s">
        <v>37</v>
      </c>
      <c r="H9" s="51" t="s">
        <v>37</v>
      </c>
      <c r="I9" s="40" t="s">
        <v>392</v>
      </c>
      <c r="J9" s="52"/>
    </row>
    <row r="10" ht="60.0" customHeight="1">
      <c r="A10" s="38">
        <v>7.0</v>
      </c>
      <c r="B10" s="39" t="s">
        <v>65</v>
      </c>
      <c r="C10" s="39" t="s">
        <v>66</v>
      </c>
      <c r="D10" s="39" t="s">
        <v>67</v>
      </c>
      <c r="E10" s="39" t="s">
        <v>68</v>
      </c>
      <c r="F10" s="38" t="str">
        <f t="shared" si="1"/>
        <v>WRONG</v>
      </c>
      <c r="G10" s="38" t="s">
        <v>37</v>
      </c>
      <c r="H10" s="51" t="s">
        <v>36</v>
      </c>
      <c r="I10" s="40" t="s">
        <v>393</v>
      </c>
      <c r="J10" s="52"/>
    </row>
    <row r="11" ht="60.0" customHeight="1">
      <c r="A11" s="38">
        <v>8.0</v>
      </c>
      <c r="B11" s="39" t="s">
        <v>70</v>
      </c>
      <c r="C11" s="39" t="s">
        <v>71</v>
      </c>
      <c r="D11" s="39" t="s">
        <v>72</v>
      </c>
      <c r="E11" s="39" t="s">
        <v>73</v>
      </c>
      <c r="F11" s="38" t="str">
        <f t="shared" si="1"/>
        <v>WRONG</v>
      </c>
      <c r="G11" s="38" t="s">
        <v>48</v>
      </c>
      <c r="H11" s="51" t="s">
        <v>37</v>
      </c>
      <c r="I11" s="40" t="s">
        <v>394</v>
      </c>
      <c r="J11" s="52"/>
    </row>
    <row r="12" ht="60.0" customHeight="1">
      <c r="A12" s="38">
        <v>9.0</v>
      </c>
      <c r="B12" s="39" t="s">
        <v>75</v>
      </c>
      <c r="C12" s="39" t="s">
        <v>76</v>
      </c>
      <c r="D12" s="39" t="s">
        <v>77</v>
      </c>
      <c r="E12" s="39" t="s">
        <v>78</v>
      </c>
      <c r="F12" s="38" t="str">
        <f t="shared" si="1"/>
        <v>WRONG</v>
      </c>
      <c r="G12" s="38" t="s">
        <v>37</v>
      </c>
      <c r="H12" s="51" t="s">
        <v>48</v>
      </c>
      <c r="I12" s="40" t="s">
        <v>395</v>
      </c>
      <c r="J12" s="52"/>
    </row>
    <row r="13" ht="60.0" customHeight="1">
      <c r="A13" s="38">
        <v>10.0</v>
      </c>
      <c r="B13" s="39" t="s">
        <v>80</v>
      </c>
      <c r="C13" s="39" t="s">
        <v>81</v>
      </c>
      <c r="D13" s="39" t="s">
        <v>82</v>
      </c>
      <c r="E13" s="39" t="s">
        <v>83</v>
      </c>
      <c r="F13" s="38" t="str">
        <f t="shared" si="1"/>
        <v>WRONG</v>
      </c>
      <c r="G13" s="38" t="s">
        <v>48</v>
      </c>
      <c r="H13" s="51" t="s">
        <v>37</v>
      </c>
      <c r="I13" s="40" t="s">
        <v>396</v>
      </c>
      <c r="J13" s="52"/>
    </row>
    <row r="14" ht="60.0" customHeight="1">
      <c r="A14" s="38">
        <v>11.0</v>
      </c>
      <c r="B14" s="39" t="s">
        <v>85</v>
      </c>
      <c r="C14" s="39" t="s">
        <v>86</v>
      </c>
      <c r="D14" s="39" t="s">
        <v>87</v>
      </c>
      <c r="E14" s="39" t="s">
        <v>88</v>
      </c>
      <c r="F14" s="38" t="str">
        <f t="shared" si="1"/>
        <v>WRONG</v>
      </c>
      <c r="G14" s="38" t="s">
        <v>37</v>
      </c>
      <c r="H14" s="51" t="s">
        <v>48</v>
      </c>
      <c r="I14" s="40" t="s">
        <v>397</v>
      </c>
      <c r="J14" s="52"/>
    </row>
    <row r="15" ht="60.0" customHeight="1">
      <c r="A15" s="38">
        <v>12.0</v>
      </c>
      <c r="B15" s="39" t="s">
        <v>90</v>
      </c>
      <c r="C15" s="39" t="s">
        <v>91</v>
      </c>
      <c r="D15" s="39" t="s">
        <v>92</v>
      </c>
      <c r="E15" s="39" t="s">
        <v>93</v>
      </c>
      <c r="F15" s="38" t="str">
        <f t="shared" si="1"/>
        <v>CORRECT</v>
      </c>
      <c r="G15" s="38" t="s">
        <v>48</v>
      </c>
      <c r="H15" s="51" t="s">
        <v>48</v>
      </c>
      <c r="I15" s="40" t="s">
        <v>398</v>
      </c>
      <c r="J15" s="52"/>
    </row>
    <row r="16" ht="60.0" customHeight="1">
      <c r="A16" s="38">
        <v>13.0</v>
      </c>
      <c r="B16" s="39" t="s">
        <v>95</v>
      </c>
      <c r="C16" s="39" t="s">
        <v>96</v>
      </c>
      <c r="D16" s="39" t="s">
        <v>97</v>
      </c>
      <c r="E16" s="39" t="s">
        <v>98</v>
      </c>
      <c r="F16" s="38" t="str">
        <f t="shared" si="1"/>
        <v>WRONG</v>
      </c>
      <c r="G16" s="38" t="s">
        <v>36</v>
      </c>
      <c r="H16" s="51" t="s">
        <v>48</v>
      </c>
      <c r="I16" s="40" t="s">
        <v>399</v>
      </c>
      <c r="J16" s="52"/>
    </row>
    <row r="17" ht="60.0" customHeight="1">
      <c r="A17" s="38">
        <v>14.0</v>
      </c>
      <c r="B17" s="39" t="s">
        <v>100</v>
      </c>
      <c r="C17" s="39" t="s">
        <v>101</v>
      </c>
      <c r="D17" s="39" t="s">
        <v>102</v>
      </c>
      <c r="E17" s="39" t="s">
        <v>103</v>
      </c>
      <c r="F17" s="38" t="str">
        <f t="shared" si="1"/>
        <v>WRONG</v>
      </c>
      <c r="G17" s="38" t="s">
        <v>36</v>
      </c>
      <c r="H17" s="51" t="s">
        <v>48</v>
      </c>
      <c r="I17" s="40" t="s">
        <v>400</v>
      </c>
      <c r="J17" s="52"/>
    </row>
    <row r="18" ht="60.0" customHeight="1">
      <c r="A18" s="38">
        <v>15.0</v>
      </c>
      <c r="B18" s="39" t="s">
        <v>105</v>
      </c>
      <c r="C18" s="39" t="s">
        <v>106</v>
      </c>
      <c r="D18" s="39" t="s">
        <v>107</v>
      </c>
      <c r="E18" s="39" t="s">
        <v>108</v>
      </c>
      <c r="F18" s="38" t="str">
        <f t="shared" si="1"/>
        <v>CORRECT</v>
      </c>
      <c r="G18" s="38" t="s">
        <v>48</v>
      </c>
      <c r="H18" s="51" t="s">
        <v>48</v>
      </c>
      <c r="I18" s="40" t="s">
        <v>401</v>
      </c>
      <c r="J18" s="52"/>
    </row>
    <row r="19" ht="60.0" customHeight="1">
      <c r="A19" s="38">
        <v>16.0</v>
      </c>
      <c r="B19" s="39" t="s">
        <v>110</v>
      </c>
      <c r="C19" s="39" t="s">
        <v>111</v>
      </c>
      <c r="D19" s="39" t="s">
        <v>112</v>
      </c>
      <c r="E19" s="39" t="s">
        <v>113</v>
      </c>
      <c r="F19" s="38" t="str">
        <f t="shared" si="1"/>
        <v>CORRECT</v>
      </c>
      <c r="G19" s="38" t="s">
        <v>48</v>
      </c>
      <c r="H19" s="51" t="s">
        <v>48</v>
      </c>
      <c r="I19" s="40" t="s">
        <v>402</v>
      </c>
      <c r="J19" s="52"/>
    </row>
    <row r="20" ht="60.0" customHeight="1">
      <c r="A20" s="38">
        <v>17.0</v>
      </c>
      <c r="B20" s="39" t="s">
        <v>115</v>
      </c>
      <c r="C20" s="39" t="s">
        <v>116</v>
      </c>
      <c r="D20" s="39" t="s">
        <v>117</v>
      </c>
      <c r="E20" s="39" t="s">
        <v>118</v>
      </c>
      <c r="F20" s="38" t="str">
        <f t="shared" si="1"/>
        <v>WRONG</v>
      </c>
      <c r="G20" s="38" t="s">
        <v>37</v>
      </c>
      <c r="H20" s="51" t="s">
        <v>36</v>
      </c>
      <c r="I20" s="40" t="s">
        <v>403</v>
      </c>
      <c r="J20" s="52"/>
    </row>
    <row r="21" ht="60.0" customHeight="1">
      <c r="A21" s="38">
        <v>18.0</v>
      </c>
      <c r="B21" s="39" t="s">
        <v>120</v>
      </c>
      <c r="C21" s="39" t="s">
        <v>121</v>
      </c>
      <c r="D21" s="39" t="s">
        <v>122</v>
      </c>
      <c r="E21" s="39" t="s">
        <v>123</v>
      </c>
      <c r="F21" s="38" t="str">
        <f t="shared" si="1"/>
        <v>CORRECT</v>
      </c>
      <c r="G21" s="38" t="s">
        <v>37</v>
      </c>
      <c r="H21" s="51" t="s">
        <v>37</v>
      </c>
      <c r="I21" s="40" t="s">
        <v>404</v>
      </c>
      <c r="J21" s="52"/>
    </row>
    <row r="22" ht="60.0" customHeight="1">
      <c r="A22" s="38">
        <v>19.0</v>
      </c>
      <c r="B22" s="39" t="s">
        <v>125</v>
      </c>
      <c r="C22" s="39" t="s">
        <v>126</v>
      </c>
      <c r="D22" s="39" t="s">
        <v>127</v>
      </c>
      <c r="E22" s="39" t="s">
        <v>128</v>
      </c>
      <c r="F22" s="38" t="str">
        <f t="shared" si="1"/>
        <v>CORRECT</v>
      </c>
      <c r="G22" s="38" t="s">
        <v>36</v>
      </c>
      <c r="H22" s="51" t="s">
        <v>36</v>
      </c>
      <c r="I22" s="40" t="s">
        <v>405</v>
      </c>
      <c r="J22" s="52"/>
    </row>
    <row r="23" ht="60.0" customHeight="1">
      <c r="A23" s="38">
        <v>20.0</v>
      </c>
      <c r="B23" s="39" t="s">
        <v>130</v>
      </c>
      <c r="C23" s="39" t="s">
        <v>131</v>
      </c>
      <c r="D23" s="39" t="s">
        <v>132</v>
      </c>
      <c r="E23" s="39" t="s">
        <v>133</v>
      </c>
      <c r="F23" s="38" t="str">
        <f t="shared" si="1"/>
        <v>WRONG</v>
      </c>
      <c r="G23" s="38" t="s">
        <v>37</v>
      </c>
      <c r="H23" s="51" t="s">
        <v>36</v>
      </c>
      <c r="I23" s="40" t="s">
        <v>406</v>
      </c>
      <c r="J23" s="52"/>
    </row>
    <row r="24" ht="60.0" customHeight="1">
      <c r="A24" s="38">
        <v>21.0</v>
      </c>
      <c r="B24" s="39" t="s">
        <v>135</v>
      </c>
      <c r="C24" s="39" t="s">
        <v>136</v>
      </c>
      <c r="D24" s="39" t="s">
        <v>137</v>
      </c>
      <c r="E24" s="39" t="s">
        <v>138</v>
      </c>
      <c r="F24" s="38" t="str">
        <f t="shared" si="1"/>
        <v>WRONG</v>
      </c>
      <c r="G24" s="38" t="s">
        <v>37</v>
      </c>
      <c r="H24" s="51" t="s">
        <v>36</v>
      </c>
      <c r="I24" s="40" t="s">
        <v>407</v>
      </c>
      <c r="J24" s="52"/>
    </row>
    <row r="25" ht="60.0" customHeight="1">
      <c r="A25" s="38">
        <v>22.0</v>
      </c>
      <c r="B25" s="39" t="s">
        <v>140</v>
      </c>
      <c r="C25" s="39" t="s">
        <v>141</v>
      </c>
      <c r="D25" s="39" t="s">
        <v>142</v>
      </c>
      <c r="E25" s="39" t="s">
        <v>143</v>
      </c>
      <c r="F25" s="38" t="str">
        <f t="shared" si="1"/>
        <v>CORRECT</v>
      </c>
      <c r="G25" s="38" t="s">
        <v>37</v>
      </c>
      <c r="H25" s="51" t="s">
        <v>37</v>
      </c>
      <c r="I25" s="40" t="s">
        <v>408</v>
      </c>
      <c r="J25" s="52"/>
    </row>
    <row r="26" ht="60.0" customHeight="1">
      <c r="A26" s="38">
        <v>23.0</v>
      </c>
      <c r="B26" s="39" t="s">
        <v>145</v>
      </c>
      <c r="C26" s="39" t="s">
        <v>146</v>
      </c>
      <c r="D26" s="39" t="s">
        <v>147</v>
      </c>
      <c r="E26" s="39" t="s">
        <v>148</v>
      </c>
      <c r="F26" s="38" t="str">
        <f t="shared" si="1"/>
        <v>CORRECT</v>
      </c>
      <c r="G26" s="38" t="s">
        <v>48</v>
      </c>
      <c r="H26" s="51" t="s">
        <v>48</v>
      </c>
      <c r="I26" s="40" t="s">
        <v>409</v>
      </c>
      <c r="J26" s="52"/>
    </row>
    <row r="27" ht="60.0" customHeight="1">
      <c r="A27" s="38">
        <v>24.0</v>
      </c>
      <c r="B27" s="39" t="s">
        <v>150</v>
      </c>
      <c r="C27" s="39" t="s">
        <v>151</v>
      </c>
      <c r="D27" s="39" t="s">
        <v>152</v>
      </c>
      <c r="E27" s="39" t="s">
        <v>153</v>
      </c>
      <c r="F27" s="38" t="str">
        <f t="shared" si="1"/>
        <v>WRONG</v>
      </c>
      <c r="G27" s="38" t="s">
        <v>36</v>
      </c>
      <c r="H27" s="51" t="s">
        <v>48</v>
      </c>
      <c r="I27" s="40" t="s">
        <v>410</v>
      </c>
      <c r="J27" s="52"/>
    </row>
    <row r="28" ht="60.0" customHeight="1">
      <c r="A28" s="38">
        <v>25.0</v>
      </c>
      <c r="B28" s="39" t="s">
        <v>155</v>
      </c>
      <c r="C28" s="39" t="s">
        <v>151</v>
      </c>
      <c r="D28" s="39" t="s">
        <v>156</v>
      </c>
      <c r="E28" s="39" t="s">
        <v>153</v>
      </c>
      <c r="F28" s="38" t="str">
        <f t="shared" si="1"/>
        <v>WRONG</v>
      </c>
      <c r="G28" s="38" t="s">
        <v>48</v>
      </c>
      <c r="H28" s="51" t="s">
        <v>36</v>
      </c>
      <c r="I28" s="40" t="s">
        <v>411</v>
      </c>
      <c r="J28" s="52"/>
    </row>
    <row r="29" ht="60.0" customHeight="1">
      <c r="A29" s="38">
        <v>26.0</v>
      </c>
      <c r="B29" s="39" t="s">
        <v>158</v>
      </c>
      <c r="C29" s="39" t="s">
        <v>159</v>
      </c>
      <c r="D29" s="39" t="s">
        <v>160</v>
      </c>
      <c r="E29" s="39" t="s">
        <v>161</v>
      </c>
      <c r="F29" s="38" t="str">
        <f t="shared" si="1"/>
        <v>WRONG</v>
      </c>
      <c r="G29" s="38" t="s">
        <v>36</v>
      </c>
      <c r="H29" s="51" t="s">
        <v>37</v>
      </c>
      <c r="I29" s="40" t="s">
        <v>412</v>
      </c>
      <c r="J29" s="52"/>
    </row>
    <row r="30" ht="60.0" customHeight="1">
      <c r="A30" s="38">
        <v>27.0</v>
      </c>
      <c r="B30" s="39" t="s">
        <v>163</v>
      </c>
      <c r="C30" s="39" t="s">
        <v>164</v>
      </c>
      <c r="D30" s="39" t="s">
        <v>165</v>
      </c>
      <c r="E30" s="39" t="s">
        <v>166</v>
      </c>
      <c r="F30" s="38" t="str">
        <f t="shared" si="1"/>
        <v>CORRECT</v>
      </c>
      <c r="G30" s="38" t="s">
        <v>37</v>
      </c>
      <c r="H30" s="51" t="s">
        <v>37</v>
      </c>
      <c r="I30" s="40" t="s">
        <v>413</v>
      </c>
      <c r="J30" s="52"/>
    </row>
    <row r="31" ht="60.0" customHeight="1">
      <c r="A31" s="38">
        <v>28.0</v>
      </c>
      <c r="B31" s="39" t="s">
        <v>168</v>
      </c>
      <c r="C31" s="39" t="s">
        <v>169</v>
      </c>
      <c r="D31" s="39" t="s">
        <v>170</v>
      </c>
      <c r="E31" s="39" t="s">
        <v>171</v>
      </c>
      <c r="F31" s="38" t="str">
        <f t="shared" si="1"/>
        <v>CORRECT</v>
      </c>
      <c r="G31" s="38" t="s">
        <v>36</v>
      </c>
      <c r="H31" s="51" t="s">
        <v>36</v>
      </c>
      <c r="I31" s="40" t="s">
        <v>414</v>
      </c>
      <c r="J31" s="52"/>
    </row>
    <row r="32" ht="60.0" customHeight="1">
      <c r="A32" s="38">
        <v>29.0</v>
      </c>
      <c r="B32" s="39" t="s">
        <v>173</v>
      </c>
      <c r="C32" s="39" t="s">
        <v>174</v>
      </c>
      <c r="D32" s="39" t="s">
        <v>175</v>
      </c>
      <c r="E32" s="39" t="s">
        <v>176</v>
      </c>
      <c r="F32" s="38" t="str">
        <f t="shared" si="1"/>
        <v>CORRECT</v>
      </c>
      <c r="G32" s="38" t="s">
        <v>37</v>
      </c>
      <c r="H32" s="51" t="s">
        <v>37</v>
      </c>
      <c r="I32" s="40" t="s">
        <v>415</v>
      </c>
      <c r="J32" s="52"/>
    </row>
    <row r="33" ht="60.0" customHeight="1">
      <c r="A33" s="38">
        <v>30.0</v>
      </c>
      <c r="B33" s="39" t="s">
        <v>178</v>
      </c>
      <c r="C33" s="39" t="s">
        <v>179</v>
      </c>
      <c r="D33" s="39" t="s">
        <v>180</v>
      </c>
      <c r="E33" s="39" t="s">
        <v>181</v>
      </c>
      <c r="F33" s="38" t="str">
        <f t="shared" si="1"/>
        <v>WRONG</v>
      </c>
      <c r="G33" s="38" t="s">
        <v>48</v>
      </c>
      <c r="H33" s="51" t="s">
        <v>36</v>
      </c>
      <c r="I33" s="40" t="s">
        <v>416</v>
      </c>
      <c r="J33" s="52"/>
    </row>
    <row r="34" ht="60.0" customHeight="1">
      <c r="A34" s="38">
        <v>31.0</v>
      </c>
      <c r="B34" s="39" t="s">
        <v>183</v>
      </c>
      <c r="C34" s="39" t="s">
        <v>184</v>
      </c>
      <c r="D34" s="39" t="s">
        <v>185</v>
      </c>
      <c r="E34" s="39" t="s">
        <v>186</v>
      </c>
      <c r="F34" s="38" t="str">
        <f t="shared" si="1"/>
        <v>WRONG</v>
      </c>
      <c r="G34" s="38" t="s">
        <v>37</v>
      </c>
      <c r="H34" s="51" t="s">
        <v>36</v>
      </c>
      <c r="I34" s="40" t="s">
        <v>417</v>
      </c>
      <c r="J34" s="52"/>
    </row>
    <row r="35" ht="60.0" customHeight="1">
      <c r="A35" s="38">
        <v>32.0</v>
      </c>
      <c r="B35" s="39" t="s">
        <v>188</v>
      </c>
      <c r="C35" s="39" t="s">
        <v>189</v>
      </c>
      <c r="D35" s="39" t="s">
        <v>190</v>
      </c>
      <c r="E35" s="39" t="s">
        <v>191</v>
      </c>
      <c r="F35" s="38" t="str">
        <f t="shared" si="1"/>
        <v>CORRECT</v>
      </c>
      <c r="G35" s="38" t="s">
        <v>36</v>
      </c>
      <c r="H35" s="51" t="s">
        <v>36</v>
      </c>
      <c r="I35" s="40" t="s">
        <v>418</v>
      </c>
      <c r="J35" s="52"/>
    </row>
    <row r="36" ht="60.0" customHeight="1">
      <c r="A36" s="38">
        <v>33.0</v>
      </c>
      <c r="B36" s="39" t="s">
        <v>193</v>
      </c>
      <c r="C36" s="39" t="s">
        <v>194</v>
      </c>
      <c r="D36" s="39" t="s">
        <v>195</v>
      </c>
      <c r="E36" s="39" t="s">
        <v>196</v>
      </c>
      <c r="F36" s="38" t="str">
        <f t="shared" si="1"/>
        <v>WRONG</v>
      </c>
      <c r="G36" s="38" t="s">
        <v>48</v>
      </c>
      <c r="H36" s="51" t="s">
        <v>37</v>
      </c>
      <c r="I36" s="40" t="s">
        <v>419</v>
      </c>
      <c r="J36" s="52"/>
    </row>
    <row r="37" ht="60.0" customHeight="1">
      <c r="A37" s="38">
        <v>34.0</v>
      </c>
      <c r="B37" s="39" t="s">
        <v>198</v>
      </c>
      <c r="C37" s="39" t="s">
        <v>199</v>
      </c>
      <c r="D37" s="39" t="s">
        <v>200</v>
      </c>
      <c r="E37" s="39" t="s">
        <v>201</v>
      </c>
      <c r="F37" s="38" t="str">
        <f t="shared" si="1"/>
        <v>CORRECT</v>
      </c>
      <c r="G37" s="38" t="s">
        <v>36</v>
      </c>
      <c r="H37" s="51" t="s">
        <v>36</v>
      </c>
      <c r="I37" s="40" t="s">
        <v>420</v>
      </c>
      <c r="J37" s="52"/>
    </row>
    <row r="38" ht="60.0" customHeight="1">
      <c r="A38" s="38">
        <v>35.0</v>
      </c>
      <c r="B38" s="39" t="s">
        <v>203</v>
      </c>
      <c r="C38" s="39" t="s">
        <v>204</v>
      </c>
      <c r="D38" s="39" t="s">
        <v>205</v>
      </c>
      <c r="E38" s="39" t="s">
        <v>206</v>
      </c>
      <c r="F38" s="38" t="str">
        <f t="shared" si="1"/>
        <v>CORRECT</v>
      </c>
      <c r="G38" s="38" t="s">
        <v>48</v>
      </c>
      <c r="H38" s="51" t="s">
        <v>48</v>
      </c>
      <c r="I38" s="40" t="s">
        <v>421</v>
      </c>
      <c r="J38" s="52"/>
    </row>
    <row r="39" ht="60.0" customHeight="1">
      <c r="A39" s="38">
        <v>36.0</v>
      </c>
      <c r="B39" s="39" t="s">
        <v>208</v>
      </c>
      <c r="C39" s="39" t="s">
        <v>209</v>
      </c>
      <c r="D39" s="39" t="s">
        <v>210</v>
      </c>
      <c r="E39" s="39" t="s">
        <v>211</v>
      </c>
      <c r="F39" s="38" t="str">
        <f t="shared" si="1"/>
        <v>CORRECT</v>
      </c>
      <c r="G39" s="38" t="s">
        <v>36</v>
      </c>
      <c r="H39" s="51" t="s">
        <v>36</v>
      </c>
      <c r="I39" s="40" t="s">
        <v>422</v>
      </c>
      <c r="J39" s="52"/>
    </row>
    <row r="40" ht="60.0" customHeight="1">
      <c r="A40" s="38">
        <v>37.0</v>
      </c>
      <c r="B40" s="39" t="s">
        <v>213</v>
      </c>
      <c r="C40" s="39" t="s">
        <v>214</v>
      </c>
      <c r="D40" s="39" t="s">
        <v>215</v>
      </c>
      <c r="E40" s="39" t="s">
        <v>216</v>
      </c>
      <c r="F40" s="38" t="str">
        <f t="shared" si="1"/>
        <v>WRONG</v>
      </c>
      <c r="G40" s="38" t="s">
        <v>36</v>
      </c>
      <c r="H40" s="51" t="s">
        <v>48</v>
      </c>
      <c r="I40" s="40" t="s">
        <v>423</v>
      </c>
      <c r="J40" s="52"/>
    </row>
    <row r="41" ht="60.0" customHeight="1">
      <c r="A41" s="38">
        <v>38.0</v>
      </c>
      <c r="B41" s="39" t="s">
        <v>218</v>
      </c>
      <c r="C41" s="39" t="s">
        <v>219</v>
      </c>
      <c r="D41" s="39" t="s">
        <v>220</v>
      </c>
      <c r="E41" s="39" t="s">
        <v>221</v>
      </c>
      <c r="F41" s="38" t="str">
        <f t="shared" si="1"/>
        <v>CORRECT</v>
      </c>
      <c r="G41" s="38" t="s">
        <v>36</v>
      </c>
      <c r="H41" s="51" t="s">
        <v>36</v>
      </c>
      <c r="I41" s="40" t="s">
        <v>424</v>
      </c>
      <c r="J41" s="52"/>
    </row>
    <row r="42" ht="60.0" customHeight="1">
      <c r="A42" s="38">
        <v>39.0</v>
      </c>
      <c r="B42" s="39" t="s">
        <v>223</v>
      </c>
      <c r="C42" s="39" t="s">
        <v>224</v>
      </c>
      <c r="D42" s="39" t="s">
        <v>225</v>
      </c>
      <c r="E42" s="39" t="s">
        <v>226</v>
      </c>
      <c r="F42" s="38" t="str">
        <f t="shared" si="1"/>
        <v>CORRECT</v>
      </c>
      <c r="G42" s="38" t="s">
        <v>37</v>
      </c>
      <c r="H42" s="51" t="s">
        <v>37</v>
      </c>
      <c r="I42" s="40" t="s">
        <v>425</v>
      </c>
      <c r="J42" s="52"/>
    </row>
    <row r="43" ht="60.0" customHeight="1">
      <c r="A43" s="38">
        <v>40.0</v>
      </c>
      <c r="B43" s="39" t="s">
        <v>228</v>
      </c>
      <c r="C43" s="39" t="s">
        <v>229</v>
      </c>
      <c r="D43" s="39" t="s">
        <v>230</v>
      </c>
      <c r="E43" s="39" t="s">
        <v>231</v>
      </c>
      <c r="F43" s="38" t="str">
        <f t="shared" si="1"/>
        <v>WRONG</v>
      </c>
      <c r="G43" s="38" t="s">
        <v>48</v>
      </c>
      <c r="H43" s="51" t="s">
        <v>37</v>
      </c>
      <c r="I43" s="40" t="s">
        <v>426</v>
      </c>
      <c r="J43" s="52"/>
    </row>
    <row r="44" ht="60.0" customHeight="1">
      <c r="A44" s="38">
        <v>41.0</v>
      </c>
      <c r="B44" s="39" t="s">
        <v>233</v>
      </c>
      <c r="C44" s="39" t="s">
        <v>234</v>
      </c>
      <c r="D44" s="39" t="s">
        <v>235</v>
      </c>
      <c r="E44" s="39" t="s">
        <v>236</v>
      </c>
      <c r="F44" s="38" t="str">
        <f t="shared" si="1"/>
        <v>CORRECT</v>
      </c>
      <c r="G44" s="38" t="s">
        <v>37</v>
      </c>
      <c r="H44" s="51" t="s">
        <v>37</v>
      </c>
      <c r="I44" s="40" t="s">
        <v>427</v>
      </c>
      <c r="J44" s="52"/>
    </row>
    <row r="45" ht="60.0" customHeight="1">
      <c r="A45" s="38">
        <v>42.0</v>
      </c>
      <c r="B45" s="39" t="s">
        <v>238</v>
      </c>
      <c r="C45" s="39" t="s">
        <v>239</v>
      </c>
      <c r="D45" s="39" t="s">
        <v>240</v>
      </c>
      <c r="E45" s="39" t="s">
        <v>241</v>
      </c>
      <c r="F45" s="38" t="str">
        <f t="shared" si="1"/>
        <v>WRONG</v>
      </c>
      <c r="G45" s="38" t="s">
        <v>36</v>
      </c>
      <c r="H45" s="51" t="s">
        <v>37</v>
      </c>
      <c r="I45" s="53" t="s">
        <v>428</v>
      </c>
      <c r="J45" s="52"/>
    </row>
    <row r="46" ht="60.0" customHeight="1">
      <c r="A46" s="38">
        <v>43.0</v>
      </c>
      <c r="B46" s="39" t="s">
        <v>243</v>
      </c>
      <c r="C46" s="39" t="s">
        <v>244</v>
      </c>
      <c r="D46" s="39" t="s">
        <v>245</v>
      </c>
      <c r="E46" s="39" t="s">
        <v>246</v>
      </c>
      <c r="F46" s="38" t="str">
        <f t="shared" si="1"/>
        <v>WRONG</v>
      </c>
      <c r="G46" s="38" t="s">
        <v>48</v>
      </c>
      <c r="H46" s="51" t="s">
        <v>37</v>
      </c>
      <c r="I46" s="40" t="s">
        <v>429</v>
      </c>
      <c r="J46" s="52"/>
    </row>
    <row r="47" ht="60.0" customHeight="1">
      <c r="A47" s="38">
        <v>44.0</v>
      </c>
      <c r="B47" s="39" t="s">
        <v>248</v>
      </c>
      <c r="C47" s="39" t="s">
        <v>249</v>
      </c>
      <c r="D47" s="39" t="s">
        <v>250</v>
      </c>
      <c r="E47" s="39" t="s">
        <v>251</v>
      </c>
      <c r="F47" s="38" t="str">
        <f t="shared" si="1"/>
        <v>CORRECT</v>
      </c>
      <c r="G47" s="38" t="s">
        <v>36</v>
      </c>
      <c r="H47" s="51" t="s">
        <v>36</v>
      </c>
      <c r="I47" s="40" t="s">
        <v>430</v>
      </c>
      <c r="J47" s="52"/>
    </row>
    <row r="48" ht="60.0" customHeight="1">
      <c r="A48" s="38">
        <v>45.0</v>
      </c>
      <c r="B48" s="39" t="s">
        <v>253</v>
      </c>
      <c r="C48" s="39" t="s">
        <v>254</v>
      </c>
      <c r="D48" s="39" t="s">
        <v>255</v>
      </c>
      <c r="E48" s="39" t="s">
        <v>256</v>
      </c>
      <c r="F48" s="38" t="str">
        <f t="shared" si="1"/>
        <v>CORRECT</v>
      </c>
      <c r="G48" s="38" t="s">
        <v>36</v>
      </c>
      <c r="H48" s="51" t="s">
        <v>36</v>
      </c>
      <c r="I48" s="40" t="s">
        <v>431</v>
      </c>
      <c r="J48" s="52"/>
    </row>
    <row r="49" ht="60.0" customHeight="1">
      <c r="A49" s="38">
        <v>46.0</v>
      </c>
      <c r="B49" s="39" t="s">
        <v>258</v>
      </c>
      <c r="C49" s="39" t="s">
        <v>40</v>
      </c>
      <c r="D49" s="39" t="s">
        <v>259</v>
      </c>
      <c r="E49" s="39" t="s">
        <v>260</v>
      </c>
      <c r="F49" s="38" t="str">
        <f t="shared" si="1"/>
        <v>CORRECT</v>
      </c>
      <c r="G49" s="38" t="s">
        <v>36</v>
      </c>
      <c r="H49" s="51" t="s">
        <v>36</v>
      </c>
      <c r="I49" s="40" t="s">
        <v>432</v>
      </c>
      <c r="J49" s="52"/>
    </row>
    <row r="50">
      <c r="A50" s="42" t="s">
        <v>262</v>
      </c>
      <c r="B50" s="2"/>
      <c r="C50" s="2"/>
      <c r="D50" s="2"/>
      <c r="E50" s="3"/>
      <c r="F50" s="43">
        <f>COUNTIFS(F4:F49,"CORRECT")</f>
        <v>24</v>
      </c>
      <c r="G50" s="44"/>
      <c r="H50" s="44"/>
      <c r="J50" s="45" t="str">
        <f>AVERAGE(J4:J49)</f>
        <v>#DIV/0!</v>
      </c>
    </row>
    <row r="51">
      <c r="A51" s="46" t="s">
        <v>263</v>
      </c>
      <c r="B51" s="2"/>
      <c r="C51" s="2"/>
      <c r="D51" s="2"/>
      <c r="E51" s="3"/>
      <c r="F51" s="47">
        <v>46.0</v>
      </c>
      <c r="G51" s="44"/>
      <c r="H51" s="44"/>
    </row>
    <row r="52">
      <c r="A52" s="42" t="s">
        <v>264</v>
      </c>
      <c r="B52" s="2"/>
      <c r="C52" s="2"/>
      <c r="D52" s="2"/>
      <c r="E52" s="3"/>
      <c r="F52" s="48">
        <f>F50/F51</f>
        <v>0.5217391304</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433</v>
      </c>
      <c r="C2" s="2"/>
      <c r="D2" s="2"/>
      <c r="E2" s="2"/>
      <c r="F2" s="2"/>
      <c r="G2" s="2"/>
      <c r="H2" s="3"/>
      <c r="I2" s="36" t="s">
        <v>434</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51" t="s">
        <v>37</v>
      </c>
      <c r="I4" s="40" t="s">
        <v>38</v>
      </c>
      <c r="J4" s="52"/>
    </row>
    <row r="5" ht="60.0" customHeight="1">
      <c r="A5" s="38">
        <v>2.0</v>
      </c>
      <c r="B5" s="39" t="s">
        <v>39</v>
      </c>
      <c r="C5" s="39" t="s">
        <v>40</v>
      </c>
      <c r="D5" s="39" t="s">
        <v>41</v>
      </c>
      <c r="E5" s="39" t="s">
        <v>42</v>
      </c>
      <c r="F5" s="38" t="str">
        <f t="shared" si="1"/>
        <v>CORRECT</v>
      </c>
      <c r="G5" s="38" t="s">
        <v>37</v>
      </c>
      <c r="H5" s="51" t="s">
        <v>37</v>
      </c>
      <c r="I5" s="40" t="s">
        <v>43</v>
      </c>
      <c r="J5" s="52"/>
    </row>
    <row r="6" ht="60.0" customHeight="1">
      <c r="A6" s="38">
        <v>3.0</v>
      </c>
      <c r="B6" s="39" t="s">
        <v>44</v>
      </c>
      <c r="C6" s="39" t="s">
        <v>45</v>
      </c>
      <c r="D6" s="39" t="s">
        <v>46</v>
      </c>
      <c r="E6" s="39" t="s">
        <v>47</v>
      </c>
      <c r="F6" s="38" t="str">
        <f t="shared" si="1"/>
        <v>CORRECT</v>
      </c>
      <c r="G6" s="38" t="s">
        <v>48</v>
      </c>
      <c r="H6" s="51" t="s">
        <v>48</v>
      </c>
      <c r="I6" s="40" t="s">
        <v>267</v>
      </c>
      <c r="J6" s="52"/>
    </row>
    <row r="7" ht="60.0" customHeight="1">
      <c r="A7" s="38">
        <v>4.0</v>
      </c>
      <c r="B7" s="39" t="s">
        <v>50</v>
      </c>
      <c r="C7" s="39" t="s">
        <v>51</v>
      </c>
      <c r="D7" s="39" t="s">
        <v>52</v>
      </c>
      <c r="E7" s="39" t="s">
        <v>53</v>
      </c>
      <c r="F7" s="38" t="str">
        <f t="shared" si="1"/>
        <v>WRONG</v>
      </c>
      <c r="G7" s="38" t="s">
        <v>37</v>
      </c>
      <c r="H7" s="51" t="s">
        <v>48</v>
      </c>
      <c r="I7" s="40" t="s">
        <v>54</v>
      </c>
      <c r="J7" s="52"/>
    </row>
    <row r="8" ht="60.0" customHeight="1">
      <c r="A8" s="38">
        <v>5.0</v>
      </c>
      <c r="B8" s="39" t="s">
        <v>55</v>
      </c>
      <c r="C8" s="39" t="s">
        <v>56</v>
      </c>
      <c r="D8" s="39" t="s">
        <v>57</v>
      </c>
      <c r="E8" s="39" t="s">
        <v>58</v>
      </c>
      <c r="F8" s="38" t="str">
        <f t="shared" si="1"/>
        <v>CORRECT</v>
      </c>
      <c r="G8" s="38" t="s">
        <v>48</v>
      </c>
      <c r="H8" s="51" t="s">
        <v>48</v>
      </c>
      <c r="I8" s="40" t="s">
        <v>59</v>
      </c>
      <c r="J8" s="52"/>
    </row>
    <row r="9" ht="60.0" customHeight="1">
      <c r="A9" s="38">
        <v>6.0</v>
      </c>
      <c r="B9" s="39" t="s">
        <v>60</v>
      </c>
      <c r="C9" s="39" t="s">
        <v>61</v>
      </c>
      <c r="D9" s="39" t="s">
        <v>62</v>
      </c>
      <c r="E9" s="39" t="s">
        <v>63</v>
      </c>
      <c r="F9" s="38" t="str">
        <f t="shared" si="1"/>
        <v>CORRECT</v>
      </c>
      <c r="G9" s="38" t="s">
        <v>37</v>
      </c>
      <c r="H9" s="51" t="s">
        <v>37</v>
      </c>
      <c r="I9" s="40" t="s">
        <v>64</v>
      </c>
      <c r="J9" s="52"/>
    </row>
    <row r="10" ht="60.0" customHeight="1">
      <c r="A10" s="38">
        <v>7.0</v>
      </c>
      <c r="B10" s="39" t="s">
        <v>65</v>
      </c>
      <c r="C10" s="39" t="s">
        <v>66</v>
      </c>
      <c r="D10" s="39" t="s">
        <v>67</v>
      </c>
      <c r="E10" s="39" t="s">
        <v>68</v>
      </c>
      <c r="F10" s="38" t="str">
        <f t="shared" si="1"/>
        <v>CORRECT</v>
      </c>
      <c r="G10" s="38" t="s">
        <v>37</v>
      </c>
      <c r="H10" s="51" t="s">
        <v>37</v>
      </c>
      <c r="I10" s="40" t="s">
        <v>69</v>
      </c>
      <c r="J10" s="52"/>
    </row>
    <row r="11" ht="60.0" customHeight="1">
      <c r="A11" s="38">
        <v>8.0</v>
      </c>
      <c r="B11" s="39" t="s">
        <v>70</v>
      </c>
      <c r="C11" s="39" t="s">
        <v>71</v>
      </c>
      <c r="D11" s="39" t="s">
        <v>72</v>
      </c>
      <c r="E11" s="39" t="s">
        <v>73</v>
      </c>
      <c r="F11" s="38" t="str">
        <f t="shared" si="1"/>
        <v>WRONG</v>
      </c>
      <c r="G11" s="38" t="s">
        <v>48</v>
      </c>
      <c r="H11" s="51" t="s">
        <v>37</v>
      </c>
      <c r="I11" s="40" t="s">
        <v>269</v>
      </c>
      <c r="J11" s="52"/>
    </row>
    <row r="12" ht="60.0" customHeight="1">
      <c r="A12" s="38">
        <v>9.0</v>
      </c>
      <c r="B12" s="39" t="s">
        <v>75</v>
      </c>
      <c r="C12" s="39" t="s">
        <v>76</v>
      </c>
      <c r="D12" s="39" t="s">
        <v>77</v>
      </c>
      <c r="E12" s="39" t="s">
        <v>78</v>
      </c>
      <c r="F12" s="38" t="str">
        <f t="shared" si="1"/>
        <v>WRONG</v>
      </c>
      <c r="G12" s="38" t="s">
        <v>37</v>
      </c>
      <c r="H12" s="51" t="s">
        <v>48</v>
      </c>
      <c r="I12" s="40" t="s">
        <v>435</v>
      </c>
      <c r="J12" s="52"/>
    </row>
    <row r="13" ht="60.0" customHeight="1">
      <c r="A13" s="38">
        <v>10.0</v>
      </c>
      <c r="B13" s="39" t="s">
        <v>80</v>
      </c>
      <c r="C13" s="39" t="s">
        <v>81</v>
      </c>
      <c r="D13" s="39" t="s">
        <v>82</v>
      </c>
      <c r="E13" s="39" t="s">
        <v>83</v>
      </c>
      <c r="F13" s="38" t="str">
        <f t="shared" si="1"/>
        <v>WRONG</v>
      </c>
      <c r="G13" s="38" t="s">
        <v>48</v>
      </c>
      <c r="H13" s="51" t="s">
        <v>36</v>
      </c>
      <c r="I13" s="40" t="s">
        <v>436</v>
      </c>
      <c r="J13" s="52"/>
    </row>
    <row r="14" ht="60.0" customHeight="1">
      <c r="A14" s="38">
        <v>11.0</v>
      </c>
      <c r="B14" s="39" t="s">
        <v>85</v>
      </c>
      <c r="C14" s="39" t="s">
        <v>86</v>
      </c>
      <c r="D14" s="39" t="s">
        <v>87</v>
      </c>
      <c r="E14" s="39" t="s">
        <v>88</v>
      </c>
      <c r="F14" s="38" t="str">
        <f t="shared" si="1"/>
        <v>WRONG</v>
      </c>
      <c r="G14" s="38" t="s">
        <v>37</v>
      </c>
      <c r="H14" s="51" t="s">
        <v>48</v>
      </c>
      <c r="I14" s="40" t="s">
        <v>89</v>
      </c>
      <c r="J14" s="52"/>
    </row>
    <row r="15" ht="60.0" customHeight="1">
      <c r="A15" s="38">
        <v>12.0</v>
      </c>
      <c r="B15" s="39" t="s">
        <v>90</v>
      </c>
      <c r="C15" s="39" t="s">
        <v>91</v>
      </c>
      <c r="D15" s="39" t="s">
        <v>92</v>
      </c>
      <c r="E15" s="39" t="s">
        <v>93</v>
      </c>
      <c r="F15" s="38" t="str">
        <f t="shared" si="1"/>
        <v>CORRECT</v>
      </c>
      <c r="G15" s="38" t="s">
        <v>48</v>
      </c>
      <c r="H15" s="51" t="s">
        <v>48</v>
      </c>
      <c r="I15" s="40" t="s">
        <v>437</v>
      </c>
      <c r="J15" s="52"/>
    </row>
    <row r="16" ht="60.0" customHeight="1">
      <c r="A16" s="38">
        <v>13.0</v>
      </c>
      <c r="B16" s="39" t="s">
        <v>95</v>
      </c>
      <c r="C16" s="39" t="s">
        <v>96</v>
      </c>
      <c r="D16" s="39" t="s">
        <v>97</v>
      </c>
      <c r="E16" s="39" t="s">
        <v>98</v>
      </c>
      <c r="F16" s="38" t="str">
        <f t="shared" si="1"/>
        <v>CORRECT</v>
      </c>
      <c r="G16" s="38" t="s">
        <v>36</v>
      </c>
      <c r="H16" s="51" t="s">
        <v>36</v>
      </c>
      <c r="I16" s="40" t="s">
        <v>99</v>
      </c>
      <c r="J16" s="52"/>
    </row>
    <row r="17" ht="60.0" customHeight="1">
      <c r="A17" s="38">
        <v>14.0</v>
      </c>
      <c r="B17" s="39" t="s">
        <v>100</v>
      </c>
      <c r="C17" s="39" t="s">
        <v>101</v>
      </c>
      <c r="D17" s="39" t="s">
        <v>102</v>
      </c>
      <c r="E17" s="39" t="s">
        <v>103</v>
      </c>
      <c r="F17" s="38" t="str">
        <f t="shared" si="1"/>
        <v>WRONG</v>
      </c>
      <c r="G17" s="38" t="s">
        <v>36</v>
      </c>
      <c r="H17" s="51" t="s">
        <v>48</v>
      </c>
      <c r="I17" s="40" t="s">
        <v>438</v>
      </c>
      <c r="J17" s="52"/>
    </row>
    <row r="18" ht="60.0" customHeight="1">
      <c r="A18" s="38">
        <v>15.0</v>
      </c>
      <c r="B18" s="39" t="s">
        <v>105</v>
      </c>
      <c r="C18" s="39" t="s">
        <v>106</v>
      </c>
      <c r="D18" s="39" t="s">
        <v>107</v>
      </c>
      <c r="E18" s="39" t="s">
        <v>108</v>
      </c>
      <c r="F18" s="38" t="str">
        <f t="shared" si="1"/>
        <v>CORRECT</v>
      </c>
      <c r="G18" s="38" t="s">
        <v>48</v>
      </c>
      <c r="H18" s="51" t="s">
        <v>48</v>
      </c>
      <c r="I18" s="40" t="s">
        <v>109</v>
      </c>
      <c r="J18" s="52"/>
    </row>
    <row r="19" ht="60.0" customHeight="1">
      <c r="A19" s="38">
        <v>16.0</v>
      </c>
      <c r="B19" s="39" t="s">
        <v>110</v>
      </c>
      <c r="C19" s="39" t="s">
        <v>111</v>
      </c>
      <c r="D19" s="39" t="s">
        <v>112</v>
      </c>
      <c r="E19" s="39" t="s">
        <v>113</v>
      </c>
      <c r="F19" s="38" t="str">
        <f t="shared" si="1"/>
        <v>WRONG</v>
      </c>
      <c r="G19" s="38" t="s">
        <v>48</v>
      </c>
      <c r="H19" s="51" t="s">
        <v>36</v>
      </c>
      <c r="I19" s="40" t="s">
        <v>114</v>
      </c>
      <c r="J19" s="52"/>
    </row>
    <row r="20" ht="60.0" customHeight="1">
      <c r="A20" s="38">
        <v>17.0</v>
      </c>
      <c r="B20" s="39" t="s">
        <v>115</v>
      </c>
      <c r="C20" s="39" t="s">
        <v>116</v>
      </c>
      <c r="D20" s="39" t="s">
        <v>117</v>
      </c>
      <c r="E20" s="39" t="s">
        <v>118</v>
      </c>
      <c r="F20" s="38" t="str">
        <f t="shared" si="1"/>
        <v>WRONG</v>
      </c>
      <c r="G20" s="38" t="s">
        <v>37</v>
      </c>
      <c r="H20" s="51" t="s">
        <v>36</v>
      </c>
      <c r="I20" s="40" t="s">
        <v>119</v>
      </c>
      <c r="J20" s="52"/>
    </row>
    <row r="21" ht="60.0" customHeight="1">
      <c r="A21" s="38">
        <v>18.0</v>
      </c>
      <c r="B21" s="39" t="s">
        <v>120</v>
      </c>
      <c r="C21" s="39" t="s">
        <v>121</v>
      </c>
      <c r="D21" s="39" t="s">
        <v>122</v>
      </c>
      <c r="E21" s="39" t="s">
        <v>123</v>
      </c>
      <c r="F21" s="38" t="str">
        <f t="shared" si="1"/>
        <v>CORRECT</v>
      </c>
      <c r="G21" s="38" t="s">
        <v>37</v>
      </c>
      <c r="H21" s="51" t="s">
        <v>37</v>
      </c>
      <c r="I21" s="40" t="s">
        <v>124</v>
      </c>
      <c r="J21" s="52"/>
    </row>
    <row r="22" ht="60.0" customHeight="1">
      <c r="A22" s="38">
        <v>19.0</v>
      </c>
      <c r="B22" s="39" t="s">
        <v>125</v>
      </c>
      <c r="C22" s="39" t="s">
        <v>126</v>
      </c>
      <c r="D22" s="39" t="s">
        <v>127</v>
      </c>
      <c r="E22" s="39" t="s">
        <v>128</v>
      </c>
      <c r="F22" s="38" t="str">
        <f t="shared" si="1"/>
        <v>WRONG</v>
      </c>
      <c r="G22" s="38" t="s">
        <v>36</v>
      </c>
      <c r="H22" s="51" t="s">
        <v>48</v>
      </c>
      <c r="I22" s="40" t="s">
        <v>439</v>
      </c>
      <c r="J22" s="52"/>
    </row>
    <row r="23" ht="60.0" customHeight="1">
      <c r="A23" s="38">
        <v>20.0</v>
      </c>
      <c r="B23" s="39" t="s">
        <v>130</v>
      </c>
      <c r="C23" s="39" t="s">
        <v>131</v>
      </c>
      <c r="D23" s="39" t="s">
        <v>132</v>
      </c>
      <c r="E23" s="39" t="s">
        <v>133</v>
      </c>
      <c r="F23" s="38" t="str">
        <f t="shared" si="1"/>
        <v>WRONG</v>
      </c>
      <c r="G23" s="38" t="s">
        <v>37</v>
      </c>
      <c r="H23" s="51" t="s">
        <v>48</v>
      </c>
      <c r="I23" s="40" t="s">
        <v>440</v>
      </c>
      <c r="J23" s="52"/>
    </row>
    <row r="24" ht="60.0" customHeight="1">
      <c r="A24" s="38">
        <v>21.0</v>
      </c>
      <c r="B24" s="39" t="s">
        <v>135</v>
      </c>
      <c r="C24" s="39" t="s">
        <v>136</v>
      </c>
      <c r="D24" s="39" t="s">
        <v>137</v>
      </c>
      <c r="E24" s="39" t="s">
        <v>138</v>
      </c>
      <c r="F24" s="38" t="str">
        <f t="shared" si="1"/>
        <v>WRONG</v>
      </c>
      <c r="G24" s="38" t="s">
        <v>37</v>
      </c>
      <c r="H24" s="51" t="s">
        <v>36</v>
      </c>
      <c r="I24" s="40" t="s">
        <v>441</v>
      </c>
      <c r="J24" s="52"/>
    </row>
    <row r="25" ht="60.0" customHeight="1">
      <c r="A25" s="38">
        <v>22.0</v>
      </c>
      <c r="B25" s="39" t="s">
        <v>140</v>
      </c>
      <c r="C25" s="39" t="s">
        <v>141</v>
      </c>
      <c r="D25" s="39" t="s">
        <v>142</v>
      </c>
      <c r="E25" s="39" t="s">
        <v>143</v>
      </c>
      <c r="F25" s="38" t="str">
        <f t="shared" si="1"/>
        <v>CORRECT</v>
      </c>
      <c r="G25" s="38" t="s">
        <v>37</v>
      </c>
      <c r="H25" s="51" t="s">
        <v>37</v>
      </c>
      <c r="I25" s="40" t="s">
        <v>442</v>
      </c>
      <c r="J25" s="52"/>
    </row>
    <row r="26" ht="60.0" customHeight="1">
      <c r="A26" s="38">
        <v>23.0</v>
      </c>
      <c r="B26" s="39" t="s">
        <v>145</v>
      </c>
      <c r="C26" s="39" t="s">
        <v>146</v>
      </c>
      <c r="D26" s="39" t="s">
        <v>147</v>
      </c>
      <c r="E26" s="39" t="s">
        <v>148</v>
      </c>
      <c r="F26" s="38" t="str">
        <f t="shared" si="1"/>
        <v>CORRECT</v>
      </c>
      <c r="G26" s="38" t="s">
        <v>48</v>
      </c>
      <c r="H26" s="51" t="s">
        <v>48</v>
      </c>
      <c r="I26" s="40" t="s">
        <v>443</v>
      </c>
      <c r="J26" s="52"/>
    </row>
    <row r="27" ht="60.0" customHeight="1">
      <c r="A27" s="38">
        <v>24.0</v>
      </c>
      <c r="B27" s="39" t="s">
        <v>150</v>
      </c>
      <c r="C27" s="39" t="s">
        <v>151</v>
      </c>
      <c r="D27" s="39" t="s">
        <v>152</v>
      </c>
      <c r="E27" s="39" t="s">
        <v>153</v>
      </c>
      <c r="F27" s="38" t="str">
        <f t="shared" si="1"/>
        <v>WRONG</v>
      </c>
      <c r="G27" s="38" t="s">
        <v>36</v>
      </c>
      <c r="H27" s="51" t="s">
        <v>48</v>
      </c>
      <c r="I27" s="40" t="s">
        <v>154</v>
      </c>
      <c r="J27" s="52"/>
    </row>
    <row r="28" ht="60.0" customHeight="1">
      <c r="A28" s="38">
        <v>25.0</v>
      </c>
      <c r="B28" s="39" t="s">
        <v>155</v>
      </c>
      <c r="C28" s="39" t="s">
        <v>151</v>
      </c>
      <c r="D28" s="39" t="s">
        <v>156</v>
      </c>
      <c r="E28" s="39" t="s">
        <v>153</v>
      </c>
      <c r="F28" s="38" t="str">
        <f t="shared" si="1"/>
        <v>WRONG</v>
      </c>
      <c r="G28" s="38" t="s">
        <v>48</v>
      </c>
      <c r="H28" s="51" t="s">
        <v>36</v>
      </c>
      <c r="I28" s="40" t="s">
        <v>306</v>
      </c>
      <c r="J28" s="52"/>
    </row>
    <row r="29" ht="60.0" customHeight="1">
      <c r="A29" s="38">
        <v>26.0</v>
      </c>
      <c r="B29" s="39" t="s">
        <v>158</v>
      </c>
      <c r="C29" s="39" t="s">
        <v>159</v>
      </c>
      <c r="D29" s="39" t="s">
        <v>160</v>
      </c>
      <c r="E29" s="39" t="s">
        <v>161</v>
      </c>
      <c r="F29" s="38" t="str">
        <f t="shared" si="1"/>
        <v>WRONG</v>
      </c>
      <c r="G29" s="38" t="s">
        <v>36</v>
      </c>
      <c r="H29" s="51" t="s">
        <v>48</v>
      </c>
      <c r="I29" s="40" t="s">
        <v>444</v>
      </c>
      <c r="J29" s="52"/>
    </row>
    <row r="30" ht="60.0" customHeight="1">
      <c r="A30" s="38">
        <v>27.0</v>
      </c>
      <c r="B30" s="39" t="s">
        <v>163</v>
      </c>
      <c r="C30" s="39" t="s">
        <v>164</v>
      </c>
      <c r="D30" s="39" t="s">
        <v>165</v>
      </c>
      <c r="E30" s="39" t="s">
        <v>166</v>
      </c>
      <c r="F30" s="38" t="str">
        <f t="shared" si="1"/>
        <v>CORRECT</v>
      </c>
      <c r="G30" s="38" t="s">
        <v>37</v>
      </c>
      <c r="H30" s="51" t="s">
        <v>37</v>
      </c>
      <c r="I30" s="40" t="s">
        <v>445</v>
      </c>
      <c r="J30" s="52"/>
    </row>
    <row r="31" ht="60.0" customHeight="1">
      <c r="A31" s="38">
        <v>28.0</v>
      </c>
      <c r="B31" s="39" t="s">
        <v>168</v>
      </c>
      <c r="C31" s="39" t="s">
        <v>169</v>
      </c>
      <c r="D31" s="39" t="s">
        <v>170</v>
      </c>
      <c r="E31" s="39" t="s">
        <v>171</v>
      </c>
      <c r="F31" s="38" t="str">
        <f t="shared" si="1"/>
        <v>CORRECT</v>
      </c>
      <c r="G31" s="38" t="s">
        <v>36</v>
      </c>
      <c r="H31" s="51" t="s">
        <v>36</v>
      </c>
      <c r="I31" s="40" t="s">
        <v>446</v>
      </c>
      <c r="J31" s="52"/>
    </row>
    <row r="32" ht="60.0" customHeight="1">
      <c r="A32" s="38">
        <v>29.0</v>
      </c>
      <c r="B32" s="39" t="s">
        <v>173</v>
      </c>
      <c r="C32" s="39" t="s">
        <v>174</v>
      </c>
      <c r="D32" s="39" t="s">
        <v>175</v>
      </c>
      <c r="E32" s="39" t="s">
        <v>176</v>
      </c>
      <c r="F32" s="38" t="str">
        <f t="shared" si="1"/>
        <v>CORRECT</v>
      </c>
      <c r="G32" s="38" t="s">
        <v>37</v>
      </c>
      <c r="H32" s="51" t="s">
        <v>37</v>
      </c>
      <c r="I32" s="40" t="s">
        <v>177</v>
      </c>
      <c r="J32" s="52"/>
    </row>
    <row r="33" ht="60.0" customHeight="1">
      <c r="A33" s="38">
        <v>30.0</v>
      </c>
      <c r="B33" s="39" t="s">
        <v>178</v>
      </c>
      <c r="C33" s="39" t="s">
        <v>179</v>
      </c>
      <c r="D33" s="39" t="s">
        <v>180</v>
      </c>
      <c r="E33" s="39" t="s">
        <v>181</v>
      </c>
      <c r="F33" s="38" t="str">
        <f t="shared" si="1"/>
        <v>WRONG</v>
      </c>
      <c r="G33" s="38" t="s">
        <v>48</v>
      </c>
      <c r="H33" s="51" t="s">
        <v>36</v>
      </c>
      <c r="I33" s="40" t="s">
        <v>280</v>
      </c>
      <c r="J33" s="52"/>
    </row>
    <row r="34" ht="60.0" customHeight="1">
      <c r="A34" s="38">
        <v>31.0</v>
      </c>
      <c r="B34" s="39" t="s">
        <v>183</v>
      </c>
      <c r="C34" s="39" t="s">
        <v>184</v>
      </c>
      <c r="D34" s="39" t="s">
        <v>185</v>
      </c>
      <c r="E34" s="39" t="s">
        <v>186</v>
      </c>
      <c r="F34" s="38" t="str">
        <f t="shared" si="1"/>
        <v>WRONG</v>
      </c>
      <c r="G34" s="38" t="s">
        <v>37</v>
      </c>
      <c r="H34" s="51" t="s">
        <v>36</v>
      </c>
      <c r="I34" s="40" t="s">
        <v>187</v>
      </c>
      <c r="J34" s="52"/>
    </row>
    <row r="35" ht="60.0" customHeight="1">
      <c r="A35" s="38">
        <v>32.0</v>
      </c>
      <c r="B35" s="39" t="s">
        <v>188</v>
      </c>
      <c r="C35" s="39" t="s">
        <v>189</v>
      </c>
      <c r="D35" s="39" t="s">
        <v>190</v>
      </c>
      <c r="E35" s="39" t="s">
        <v>191</v>
      </c>
      <c r="F35" s="38" t="str">
        <f t="shared" si="1"/>
        <v>CORRECT</v>
      </c>
      <c r="G35" s="38" t="s">
        <v>36</v>
      </c>
      <c r="H35" s="51" t="s">
        <v>36</v>
      </c>
      <c r="I35" s="40" t="s">
        <v>447</v>
      </c>
      <c r="J35" s="52"/>
    </row>
    <row r="36" ht="60.0" customHeight="1">
      <c r="A36" s="38">
        <v>33.0</v>
      </c>
      <c r="B36" s="39" t="s">
        <v>193</v>
      </c>
      <c r="C36" s="39" t="s">
        <v>194</v>
      </c>
      <c r="D36" s="39" t="s">
        <v>195</v>
      </c>
      <c r="E36" s="39" t="s">
        <v>196</v>
      </c>
      <c r="F36" s="38" t="str">
        <f t="shared" si="1"/>
        <v>CORRECT</v>
      </c>
      <c r="G36" s="38" t="s">
        <v>48</v>
      </c>
      <c r="H36" s="51" t="s">
        <v>48</v>
      </c>
      <c r="I36" s="40" t="s">
        <v>197</v>
      </c>
      <c r="J36" s="52"/>
    </row>
    <row r="37" ht="60.0" customHeight="1">
      <c r="A37" s="38">
        <v>34.0</v>
      </c>
      <c r="B37" s="39" t="s">
        <v>198</v>
      </c>
      <c r="C37" s="39" t="s">
        <v>199</v>
      </c>
      <c r="D37" s="39" t="s">
        <v>200</v>
      </c>
      <c r="E37" s="39" t="s">
        <v>201</v>
      </c>
      <c r="F37" s="38" t="str">
        <f t="shared" si="1"/>
        <v>CORRECT</v>
      </c>
      <c r="G37" s="38" t="s">
        <v>36</v>
      </c>
      <c r="H37" s="51" t="s">
        <v>36</v>
      </c>
      <c r="I37" s="40" t="s">
        <v>448</v>
      </c>
      <c r="J37" s="52"/>
    </row>
    <row r="38" ht="60.0" customHeight="1">
      <c r="A38" s="38">
        <v>35.0</v>
      </c>
      <c r="B38" s="39" t="s">
        <v>203</v>
      </c>
      <c r="C38" s="39" t="s">
        <v>204</v>
      </c>
      <c r="D38" s="39" t="s">
        <v>205</v>
      </c>
      <c r="E38" s="39" t="s">
        <v>206</v>
      </c>
      <c r="F38" s="38" t="str">
        <f t="shared" si="1"/>
        <v>CORRECT</v>
      </c>
      <c r="G38" s="38" t="s">
        <v>48</v>
      </c>
      <c r="H38" s="51" t="s">
        <v>48</v>
      </c>
      <c r="I38" s="40" t="s">
        <v>207</v>
      </c>
      <c r="J38" s="52"/>
    </row>
    <row r="39" ht="60.0" customHeight="1">
      <c r="A39" s="38">
        <v>36.0</v>
      </c>
      <c r="B39" s="39" t="s">
        <v>208</v>
      </c>
      <c r="C39" s="39" t="s">
        <v>209</v>
      </c>
      <c r="D39" s="39" t="s">
        <v>210</v>
      </c>
      <c r="E39" s="39" t="s">
        <v>211</v>
      </c>
      <c r="F39" s="38" t="str">
        <f t="shared" si="1"/>
        <v>CORRECT</v>
      </c>
      <c r="G39" s="38" t="s">
        <v>36</v>
      </c>
      <c r="H39" s="51" t="s">
        <v>36</v>
      </c>
      <c r="I39" s="40" t="s">
        <v>449</v>
      </c>
      <c r="J39" s="52"/>
    </row>
    <row r="40" ht="60.0" customHeight="1">
      <c r="A40" s="38">
        <v>37.0</v>
      </c>
      <c r="B40" s="39" t="s">
        <v>213</v>
      </c>
      <c r="C40" s="39" t="s">
        <v>214</v>
      </c>
      <c r="D40" s="39" t="s">
        <v>215</v>
      </c>
      <c r="E40" s="39" t="s">
        <v>216</v>
      </c>
      <c r="F40" s="38" t="str">
        <f t="shared" si="1"/>
        <v>WRONG</v>
      </c>
      <c r="G40" s="38" t="s">
        <v>36</v>
      </c>
      <c r="H40" s="51" t="s">
        <v>37</v>
      </c>
      <c r="I40" s="40" t="s">
        <v>217</v>
      </c>
      <c r="J40" s="52"/>
    </row>
    <row r="41" ht="60.0" customHeight="1">
      <c r="A41" s="38">
        <v>38.0</v>
      </c>
      <c r="B41" s="39" t="s">
        <v>218</v>
      </c>
      <c r="C41" s="39" t="s">
        <v>219</v>
      </c>
      <c r="D41" s="39" t="s">
        <v>220</v>
      </c>
      <c r="E41" s="39" t="s">
        <v>221</v>
      </c>
      <c r="F41" s="38" t="str">
        <f t="shared" si="1"/>
        <v>CORRECT</v>
      </c>
      <c r="G41" s="38" t="s">
        <v>36</v>
      </c>
      <c r="H41" s="51" t="s">
        <v>36</v>
      </c>
      <c r="I41" s="40" t="s">
        <v>450</v>
      </c>
      <c r="J41" s="52"/>
    </row>
    <row r="42" ht="60.0" customHeight="1">
      <c r="A42" s="38">
        <v>39.0</v>
      </c>
      <c r="B42" s="39" t="s">
        <v>223</v>
      </c>
      <c r="C42" s="39" t="s">
        <v>224</v>
      </c>
      <c r="D42" s="39" t="s">
        <v>225</v>
      </c>
      <c r="E42" s="39" t="s">
        <v>226</v>
      </c>
      <c r="F42" s="38" t="str">
        <f t="shared" si="1"/>
        <v>CORRECT</v>
      </c>
      <c r="G42" s="38" t="s">
        <v>37</v>
      </c>
      <c r="H42" s="51" t="s">
        <v>37</v>
      </c>
      <c r="I42" s="40" t="s">
        <v>338</v>
      </c>
      <c r="J42" s="52"/>
    </row>
    <row r="43" ht="60.0" customHeight="1">
      <c r="A43" s="38">
        <v>40.0</v>
      </c>
      <c r="B43" s="39" t="s">
        <v>228</v>
      </c>
      <c r="C43" s="39" t="s">
        <v>229</v>
      </c>
      <c r="D43" s="39" t="s">
        <v>230</v>
      </c>
      <c r="E43" s="39" t="s">
        <v>231</v>
      </c>
      <c r="F43" s="38" t="str">
        <f t="shared" si="1"/>
        <v>WRONG</v>
      </c>
      <c r="G43" s="38" t="s">
        <v>48</v>
      </c>
      <c r="H43" s="51" t="s">
        <v>37</v>
      </c>
      <c r="I43" s="40" t="s">
        <v>451</v>
      </c>
      <c r="J43" s="52"/>
    </row>
    <row r="44" ht="60.0" customHeight="1">
      <c r="A44" s="38">
        <v>41.0</v>
      </c>
      <c r="B44" s="39" t="s">
        <v>233</v>
      </c>
      <c r="C44" s="39" t="s">
        <v>234</v>
      </c>
      <c r="D44" s="39" t="s">
        <v>235</v>
      </c>
      <c r="E44" s="39" t="s">
        <v>236</v>
      </c>
      <c r="F44" s="38" t="str">
        <f t="shared" si="1"/>
        <v>CORRECT</v>
      </c>
      <c r="G44" s="38" t="s">
        <v>37</v>
      </c>
      <c r="H44" s="51" t="s">
        <v>37</v>
      </c>
      <c r="I44" s="40" t="s">
        <v>452</v>
      </c>
      <c r="J44" s="52"/>
    </row>
    <row r="45" ht="60.0" customHeight="1">
      <c r="A45" s="38">
        <v>42.0</v>
      </c>
      <c r="B45" s="39" t="s">
        <v>238</v>
      </c>
      <c r="C45" s="39" t="s">
        <v>239</v>
      </c>
      <c r="D45" s="39" t="s">
        <v>240</v>
      </c>
      <c r="E45" s="39" t="s">
        <v>241</v>
      </c>
      <c r="F45" s="38" t="str">
        <f t="shared" si="1"/>
        <v>WRONG</v>
      </c>
      <c r="G45" s="38" t="s">
        <v>36</v>
      </c>
      <c r="H45" s="51" t="s">
        <v>37</v>
      </c>
      <c r="I45" s="40" t="s">
        <v>287</v>
      </c>
      <c r="J45" s="52"/>
    </row>
    <row r="46" ht="60.0" customHeight="1">
      <c r="A46" s="38">
        <v>43.0</v>
      </c>
      <c r="B46" s="39" t="s">
        <v>243</v>
      </c>
      <c r="C46" s="39" t="s">
        <v>244</v>
      </c>
      <c r="D46" s="39" t="s">
        <v>245</v>
      </c>
      <c r="E46" s="39" t="s">
        <v>246</v>
      </c>
      <c r="F46" s="38" t="str">
        <f t="shared" si="1"/>
        <v>CORRECT</v>
      </c>
      <c r="G46" s="38" t="s">
        <v>48</v>
      </c>
      <c r="H46" s="51" t="s">
        <v>48</v>
      </c>
      <c r="I46" s="40" t="s">
        <v>247</v>
      </c>
      <c r="J46" s="52"/>
    </row>
    <row r="47" ht="60.0" customHeight="1">
      <c r="A47" s="38">
        <v>44.0</v>
      </c>
      <c r="B47" s="39" t="s">
        <v>248</v>
      </c>
      <c r="C47" s="39" t="s">
        <v>249</v>
      </c>
      <c r="D47" s="39" t="s">
        <v>250</v>
      </c>
      <c r="E47" s="39" t="s">
        <v>251</v>
      </c>
      <c r="F47" s="38" t="str">
        <f t="shared" si="1"/>
        <v>CORRECT</v>
      </c>
      <c r="G47" s="38" t="s">
        <v>36</v>
      </c>
      <c r="H47" s="51" t="s">
        <v>36</v>
      </c>
      <c r="I47" s="40" t="s">
        <v>252</v>
      </c>
      <c r="J47" s="52"/>
    </row>
    <row r="48" ht="60.0" customHeight="1">
      <c r="A48" s="38">
        <v>45.0</v>
      </c>
      <c r="B48" s="39" t="s">
        <v>253</v>
      </c>
      <c r="C48" s="39" t="s">
        <v>254</v>
      </c>
      <c r="D48" s="39" t="s">
        <v>255</v>
      </c>
      <c r="E48" s="39" t="s">
        <v>256</v>
      </c>
      <c r="F48" s="38" t="str">
        <f t="shared" si="1"/>
        <v>CORRECT</v>
      </c>
      <c r="G48" s="38" t="s">
        <v>36</v>
      </c>
      <c r="H48" s="51" t="s">
        <v>36</v>
      </c>
      <c r="I48" s="40" t="s">
        <v>257</v>
      </c>
      <c r="J48" s="52"/>
    </row>
    <row r="49" ht="60.0" customHeight="1">
      <c r="A49" s="38">
        <v>46.0</v>
      </c>
      <c r="B49" s="39" t="s">
        <v>258</v>
      </c>
      <c r="C49" s="39" t="s">
        <v>40</v>
      </c>
      <c r="D49" s="39" t="s">
        <v>259</v>
      </c>
      <c r="E49" s="39" t="s">
        <v>260</v>
      </c>
      <c r="F49" s="38" t="str">
        <f t="shared" si="1"/>
        <v>CORRECT</v>
      </c>
      <c r="G49" s="38" t="s">
        <v>36</v>
      </c>
      <c r="H49" s="51" t="s">
        <v>36</v>
      </c>
      <c r="I49" s="40" t="s">
        <v>261</v>
      </c>
      <c r="J49" s="52"/>
    </row>
    <row r="50">
      <c r="A50" s="42" t="s">
        <v>262</v>
      </c>
      <c r="B50" s="2"/>
      <c r="C50" s="2"/>
      <c r="D50" s="2"/>
      <c r="E50" s="3"/>
      <c r="F50" s="43">
        <f>COUNTIFS(F4:F49,"CORRECT")</f>
        <v>26</v>
      </c>
      <c r="G50" s="44"/>
      <c r="H50" s="44"/>
      <c r="J50" s="45" t="str">
        <f>AVERAGE(J4:J49)</f>
        <v>#DIV/0!</v>
      </c>
    </row>
    <row r="51">
      <c r="A51" s="46" t="s">
        <v>263</v>
      </c>
      <c r="B51" s="2"/>
      <c r="C51" s="2"/>
      <c r="D51" s="2"/>
      <c r="E51" s="3"/>
      <c r="F51" s="47">
        <v>46.0</v>
      </c>
      <c r="G51" s="44"/>
      <c r="H51" s="44"/>
    </row>
    <row r="52">
      <c r="A52" s="42" t="s">
        <v>264</v>
      </c>
      <c r="B52" s="2"/>
      <c r="C52" s="2"/>
      <c r="D52" s="2"/>
      <c r="E52" s="3"/>
      <c r="F52" s="48">
        <f>F50/F51</f>
        <v>0.5652173913</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453</v>
      </c>
      <c r="C2" s="2"/>
      <c r="D2" s="2"/>
      <c r="E2" s="2"/>
      <c r="F2" s="2"/>
      <c r="G2" s="2"/>
      <c r="H2" s="3"/>
      <c r="I2" s="36" t="s">
        <v>454</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51" t="s">
        <v>37</v>
      </c>
      <c r="I4" s="40" t="s">
        <v>455</v>
      </c>
      <c r="J4" s="52"/>
    </row>
    <row r="5" ht="60.0" customHeight="1">
      <c r="A5" s="38">
        <v>2.0</v>
      </c>
      <c r="B5" s="39" t="s">
        <v>39</v>
      </c>
      <c r="C5" s="39" t="s">
        <v>40</v>
      </c>
      <c r="D5" s="39" t="s">
        <v>41</v>
      </c>
      <c r="E5" s="39" t="s">
        <v>42</v>
      </c>
      <c r="F5" s="38" t="str">
        <f t="shared" si="1"/>
        <v>CORRECT</v>
      </c>
      <c r="G5" s="38" t="s">
        <v>37</v>
      </c>
      <c r="H5" s="51" t="s">
        <v>37</v>
      </c>
      <c r="I5" s="40" t="s">
        <v>456</v>
      </c>
      <c r="J5" s="52"/>
    </row>
    <row r="6" ht="60.0" customHeight="1">
      <c r="A6" s="38">
        <v>3.0</v>
      </c>
      <c r="B6" s="39" t="s">
        <v>44</v>
      </c>
      <c r="C6" s="39" t="s">
        <v>45</v>
      </c>
      <c r="D6" s="39" t="s">
        <v>46</v>
      </c>
      <c r="E6" s="39" t="s">
        <v>47</v>
      </c>
      <c r="F6" s="38" t="str">
        <f t="shared" si="1"/>
        <v>CORRECT</v>
      </c>
      <c r="G6" s="38" t="s">
        <v>48</v>
      </c>
      <c r="H6" s="51" t="s">
        <v>48</v>
      </c>
      <c r="I6" s="40" t="s">
        <v>457</v>
      </c>
      <c r="J6" s="52"/>
    </row>
    <row r="7" ht="60.0" customHeight="1">
      <c r="A7" s="38">
        <v>4.0</v>
      </c>
      <c r="B7" s="39" t="s">
        <v>50</v>
      </c>
      <c r="C7" s="39" t="s">
        <v>51</v>
      </c>
      <c r="D7" s="39" t="s">
        <v>52</v>
      </c>
      <c r="E7" s="39" t="s">
        <v>53</v>
      </c>
      <c r="F7" s="38" t="str">
        <f t="shared" si="1"/>
        <v>WRONG</v>
      </c>
      <c r="G7" s="38" t="s">
        <v>37</v>
      </c>
      <c r="H7" s="51" t="s">
        <v>48</v>
      </c>
      <c r="I7" s="40" t="s">
        <v>458</v>
      </c>
      <c r="J7" s="52"/>
    </row>
    <row r="8" ht="60.0" customHeight="1">
      <c r="A8" s="38">
        <v>5.0</v>
      </c>
      <c r="B8" s="39" t="s">
        <v>55</v>
      </c>
      <c r="C8" s="39" t="s">
        <v>56</v>
      </c>
      <c r="D8" s="39" t="s">
        <v>57</v>
      </c>
      <c r="E8" s="39" t="s">
        <v>58</v>
      </c>
      <c r="F8" s="38" t="str">
        <f t="shared" si="1"/>
        <v>WRONG</v>
      </c>
      <c r="G8" s="38" t="s">
        <v>48</v>
      </c>
      <c r="H8" s="51" t="s">
        <v>36</v>
      </c>
      <c r="I8" s="40" t="s">
        <v>459</v>
      </c>
      <c r="J8" s="52"/>
    </row>
    <row r="9" ht="60.0" customHeight="1">
      <c r="A9" s="38">
        <v>6.0</v>
      </c>
      <c r="B9" s="39" t="s">
        <v>60</v>
      </c>
      <c r="C9" s="39" t="s">
        <v>61</v>
      </c>
      <c r="D9" s="39" t="s">
        <v>62</v>
      </c>
      <c r="E9" s="39" t="s">
        <v>63</v>
      </c>
      <c r="F9" s="38" t="str">
        <f t="shared" si="1"/>
        <v>CORRECT</v>
      </c>
      <c r="G9" s="38" t="s">
        <v>37</v>
      </c>
      <c r="H9" s="51" t="s">
        <v>37</v>
      </c>
      <c r="I9" s="40" t="s">
        <v>460</v>
      </c>
      <c r="J9" s="52"/>
    </row>
    <row r="10" ht="60.0" customHeight="1">
      <c r="A10" s="38">
        <v>7.0</v>
      </c>
      <c r="B10" s="39" t="s">
        <v>65</v>
      </c>
      <c r="C10" s="39" t="s">
        <v>66</v>
      </c>
      <c r="D10" s="39" t="s">
        <v>67</v>
      </c>
      <c r="E10" s="39" t="s">
        <v>68</v>
      </c>
      <c r="F10" s="38" t="str">
        <f t="shared" si="1"/>
        <v>CORRECT</v>
      </c>
      <c r="G10" s="38" t="s">
        <v>37</v>
      </c>
      <c r="H10" s="51" t="s">
        <v>37</v>
      </c>
      <c r="I10" s="40" t="s">
        <v>461</v>
      </c>
      <c r="J10" s="52"/>
    </row>
    <row r="11" ht="60.0" customHeight="1">
      <c r="A11" s="38">
        <v>8.0</v>
      </c>
      <c r="B11" s="39" t="s">
        <v>70</v>
      </c>
      <c r="C11" s="39" t="s">
        <v>71</v>
      </c>
      <c r="D11" s="39" t="s">
        <v>72</v>
      </c>
      <c r="E11" s="39" t="s">
        <v>73</v>
      </c>
      <c r="F11" s="38" t="str">
        <f t="shared" si="1"/>
        <v>WRONG</v>
      </c>
      <c r="G11" s="38" t="s">
        <v>48</v>
      </c>
      <c r="H11" s="51" t="s">
        <v>36</v>
      </c>
      <c r="I11" s="40" t="s">
        <v>462</v>
      </c>
      <c r="J11" s="52"/>
    </row>
    <row r="12" ht="60.0" customHeight="1">
      <c r="A12" s="38">
        <v>9.0</v>
      </c>
      <c r="B12" s="39" t="s">
        <v>75</v>
      </c>
      <c r="C12" s="39" t="s">
        <v>76</v>
      </c>
      <c r="D12" s="39" t="s">
        <v>77</v>
      </c>
      <c r="E12" s="39" t="s">
        <v>78</v>
      </c>
      <c r="F12" s="38" t="str">
        <f t="shared" si="1"/>
        <v>WRONG</v>
      </c>
      <c r="G12" s="38" t="s">
        <v>37</v>
      </c>
      <c r="H12" s="51" t="s">
        <v>48</v>
      </c>
      <c r="I12" s="40" t="s">
        <v>463</v>
      </c>
      <c r="J12" s="52"/>
    </row>
    <row r="13" ht="60.0" customHeight="1">
      <c r="A13" s="38">
        <v>10.0</v>
      </c>
      <c r="B13" s="39" t="s">
        <v>80</v>
      </c>
      <c r="C13" s="39" t="s">
        <v>81</v>
      </c>
      <c r="D13" s="39" t="s">
        <v>82</v>
      </c>
      <c r="E13" s="39" t="s">
        <v>83</v>
      </c>
      <c r="F13" s="38" t="str">
        <f t="shared" si="1"/>
        <v>WRONG</v>
      </c>
      <c r="G13" s="38" t="s">
        <v>48</v>
      </c>
      <c r="H13" s="51" t="s">
        <v>36</v>
      </c>
      <c r="I13" s="40" t="s">
        <v>464</v>
      </c>
      <c r="J13" s="52"/>
    </row>
    <row r="14" ht="60.0" customHeight="1">
      <c r="A14" s="38">
        <v>11.0</v>
      </c>
      <c r="B14" s="39" t="s">
        <v>85</v>
      </c>
      <c r="C14" s="39" t="s">
        <v>86</v>
      </c>
      <c r="D14" s="39" t="s">
        <v>87</v>
      </c>
      <c r="E14" s="39" t="s">
        <v>88</v>
      </c>
      <c r="F14" s="38" t="str">
        <f t="shared" si="1"/>
        <v>WRONG</v>
      </c>
      <c r="G14" s="38" t="s">
        <v>37</v>
      </c>
      <c r="H14" s="51" t="s">
        <v>48</v>
      </c>
      <c r="I14" s="40" t="s">
        <v>465</v>
      </c>
      <c r="J14" s="52"/>
    </row>
    <row r="15" ht="60.0" customHeight="1">
      <c r="A15" s="38">
        <v>12.0</v>
      </c>
      <c r="B15" s="39" t="s">
        <v>90</v>
      </c>
      <c r="C15" s="39" t="s">
        <v>91</v>
      </c>
      <c r="D15" s="39" t="s">
        <v>92</v>
      </c>
      <c r="E15" s="39" t="s">
        <v>93</v>
      </c>
      <c r="F15" s="38" t="str">
        <f t="shared" si="1"/>
        <v>CORRECT</v>
      </c>
      <c r="G15" s="38" t="s">
        <v>48</v>
      </c>
      <c r="H15" s="51" t="s">
        <v>48</v>
      </c>
      <c r="I15" s="40" t="s">
        <v>466</v>
      </c>
      <c r="J15" s="52"/>
    </row>
    <row r="16" ht="60.0" customHeight="1">
      <c r="A16" s="38">
        <v>13.0</v>
      </c>
      <c r="B16" s="39" t="s">
        <v>95</v>
      </c>
      <c r="C16" s="39" t="s">
        <v>96</v>
      </c>
      <c r="D16" s="39" t="s">
        <v>97</v>
      </c>
      <c r="E16" s="39" t="s">
        <v>98</v>
      </c>
      <c r="F16" s="38" t="str">
        <f t="shared" si="1"/>
        <v>CORRECT</v>
      </c>
      <c r="G16" s="38" t="s">
        <v>36</v>
      </c>
      <c r="H16" s="51" t="s">
        <v>36</v>
      </c>
      <c r="I16" s="40" t="s">
        <v>467</v>
      </c>
      <c r="J16" s="52"/>
    </row>
    <row r="17" ht="60.0" customHeight="1">
      <c r="A17" s="38">
        <v>14.0</v>
      </c>
      <c r="B17" s="39" t="s">
        <v>100</v>
      </c>
      <c r="C17" s="39" t="s">
        <v>101</v>
      </c>
      <c r="D17" s="39" t="s">
        <v>102</v>
      </c>
      <c r="E17" s="39" t="s">
        <v>103</v>
      </c>
      <c r="F17" s="38" t="str">
        <f t="shared" si="1"/>
        <v>WRONG</v>
      </c>
      <c r="G17" s="38" t="s">
        <v>36</v>
      </c>
      <c r="H17" s="51" t="s">
        <v>48</v>
      </c>
      <c r="I17" s="40" t="s">
        <v>468</v>
      </c>
      <c r="J17" s="52"/>
    </row>
    <row r="18" ht="60.0" customHeight="1">
      <c r="A18" s="38">
        <v>15.0</v>
      </c>
      <c r="B18" s="39" t="s">
        <v>105</v>
      </c>
      <c r="C18" s="39" t="s">
        <v>106</v>
      </c>
      <c r="D18" s="39" t="s">
        <v>107</v>
      </c>
      <c r="E18" s="39" t="s">
        <v>108</v>
      </c>
      <c r="F18" s="38" t="str">
        <f t="shared" si="1"/>
        <v>CORRECT</v>
      </c>
      <c r="G18" s="38" t="s">
        <v>48</v>
      </c>
      <c r="H18" s="51" t="s">
        <v>48</v>
      </c>
      <c r="I18" s="40" t="s">
        <v>469</v>
      </c>
      <c r="J18" s="52"/>
    </row>
    <row r="19" ht="60.0" customHeight="1">
      <c r="A19" s="38">
        <v>16.0</v>
      </c>
      <c r="B19" s="39" t="s">
        <v>110</v>
      </c>
      <c r="C19" s="39" t="s">
        <v>111</v>
      </c>
      <c r="D19" s="39" t="s">
        <v>112</v>
      </c>
      <c r="E19" s="39" t="s">
        <v>113</v>
      </c>
      <c r="F19" s="38" t="str">
        <f t="shared" si="1"/>
        <v>CORRECT</v>
      </c>
      <c r="G19" s="38" t="s">
        <v>48</v>
      </c>
      <c r="H19" s="51" t="s">
        <v>48</v>
      </c>
      <c r="I19" s="40" t="s">
        <v>470</v>
      </c>
      <c r="J19" s="52"/>
    </row>
    <row r="20" ht="60.0" customHeight="1">
      <c r="A20" s="38">
        <v>17.0</v>
      </c>
      <c r="B20" s="39" t="s">
        <v>115</v>
      </c>
      <c r="C20" s="39" t="s">
        <v>116</v>
      </c>
      <c r="D20" s="39" t="s">
        <v>117</v>
      </c>
      <c r="E20" s="39" t="s">
        <v>118</v>
      </c>
      <c r="F20" s="38" t="str">
        <f t="shared" si="1"/>
        <v>WRONG</v>
      </c>
      <c r="G20" s="38" t="s">
        <v>37</v>
      </c>
      <c r="H20" s="51" t="s">
        <v>36</v>
      </c>
      <c r="I20" s="40" t="s">
        <v>471</v>
      </c>
      <c r="J20" s="52"/>
    </row>
    <row r="21" ht="60.0" customHeight="1">
      <c r="A21" s="38">
        <v>18.0</v>
      </c>
      <c r="B21" s="39" t="s">
        <v>120</v>
      </c>
      <c r="C21" s="39" t="s">
        <v>121</v>
      </c>
      <c r="D21" s="39" t="s">
        <v>122</v>
      </c>
      <c r="E21" s="39" t="s">
        <v>123</v>
      </c>
      <c r="F21" s="38" t="str">
        <f t="shared" si="1"/>
        <v>CORRECT</v>
      </c>
      <c r="G21" s="38" t="s">
        <v>37</v>
      </c>
      <c r="H21" s="51" t="s">
        <v>37</v>
      </c>
      <c r="I21" s="40" t="s">
        <v>472</v>
      </c>
      <c r="J21" s="52"/>
    </row>
    <row r="22" ht="60.0" customHeight="1">
      <c r="A22" s="38">
        <v>19.0</v>
      </c>
      <c r="B22" s="39" t="s">
        <v>125</v>
      </c>
      <c r="C22" s="39" t="s">
        <v>126</v>
      </c>
      <c r="D22" s="39" t="s">
        <v>127</v>
      </c>
      <c r="E22" s="39" t="s">
        <v>128</v>
      </c>
      <c r="F22" s="38" t="str">
        <f t="shared" si="1"/>
        <v>WRONG</v>
      </c>
      <c r="G22" s="38" t="s">
        <v>36</v>
      </c>
      <c r="H22" s="51" t="s">
        <v>48</v>
      </c>
      <c r="I22" s="40" t="s">
        <v>473</v>
      </c>
      <c r="J22" s="52"/>
    </row>
    <row r="23" ht="60.0" customHeight="1">
      <c r="A23" s="38">
        <v>20.0</v>
      </c>
      <c r="B23" s="39" t="s">
        <v>130</v>
      </c>
      <c r="C23" s="39" t="s">
        <v>131</v>
      </c>
      <c r="D23" s="39" t="s">
        <v>132</v>
      </c>
      <c r="E23" s="39" t="s">
        <v>133</v>
      </c>
      <c r="F23" s="38" t="str">
        <f t="shared" si="1"/>
        <v>WRONG</v>
      </c>
      <c r="G23" s="38" t="s">
        <v>37</v>
      </c>
      <c r="H23" s="51" t="s">
        <v>36</v>
      </c>
      <c r="I23" s="40" t="s">
        <v>474</v>
      </c>
      <c r="J23" s="52"/>
    </row>
    <row r="24" ht="60.0" customHeight="1">
      <c r="A24" s="38">
        <v>21.0</v>
      </c>
      <c r="B24" s="39" t="s">
        <v>135</v>
      </c>
      <c r="C24" s="39" t="s">
        <v>136</v>
      </c>
      <c r="D24" s="39" t="s">
        <v>137</v>
      </c>
      <c r="E24" s="39" t="s">
        <v>138</v>
      </c>
      <c r="F24" s="38" t="str">
        <f t="shared" si="1"/>
        <v>WRONG</v>
      </c>
      <c r="G24" s="38" t="s">
        <v>37</v>
      </c>
      <c r="H24" s="51" t="s">
        <v>36</v>
      </c>
      <c r="I24" s="40" t="s">
        <v>475</v>
      </c>
      <c r="J24" s="52"/>
    </row>
    <row r="25" ht="60.0" customHeight="1">
      <c r="A25" s="38">
        <v>22.0</v>
      </c>
      <c r="B25" s="39" t="s">
        <v>140</v>
      </c>
      <c r="C25" s="39" t="s">
        <v>141</v>
      </c>
      <c r="D25" s="39" t="s">
        <v>142</v>
      </c>
      <c r="E25" s="39" t="s">
        <v>143</v>
      </c>
      <c r="F25" s="38" t="str">
        <f t="shared" si="1"/>
        <v>CORRECT</v>
      </c>
      <c r="G25" s="38" t="s">
        <v>37</v>
      </c>
      <c r="H25" s="51" t="s">
        <v>37</v>
      </c>
      <c r="I25" s="40" t="s">
        <v>476</v>
      </c>
      <c r="J25" s="52"/>
    </row>
    <row r="26" ht="60.0" customHeight="1">
      <c r="A26" s="38">
        <v>23.0</v>
      </c>
      <c r="B26" s="39" t="s">
        <v>145</v>
      </c>
      <c r="C26" s="39" t="s">
        <v>146</v>
      </c>
      <c r="D26" s="39" t="s">
        <v>147</v>
      </c>
      <c r="E26" s="39" t="s">
        <v>148</v>
      </c>
      <c r="F26" s="38" t="str">
        <f t="shared" si="1"/>
        <v>CORRECT</v>
      </c>
      <c r="G26" s="38" t="s">
        <v>48</v>
      </c>
      <c r="H26" s="51" t="s">
        <v>48</v>
      </c>
      <c r="I26" s="40" t="s">
        <v>477</v>
      </c>
      <c r="J26" s="52"/>
    </row>
    <row r="27" ht="60.0" customHeight="1">
      <c r="A27" s="38">
        <v>24.0</v>
      </c>
      <c r="B27" s="39" t="s">
        <v>150</v>
      </c>
      <c r="C27" s="39" t="s">
        <v>151</v>
      </c>
      <c r="D27" s="39" t="s">
        <v>152</v>
      </c>
      <c r="E27" s="39" t="s">
        <v>153</v>
      </c>
      <c r="F27" s="38" t="str">
        <f t="shared" si="1"/>
        <v>WRONG</v>
      </c>
      <c r="G27" s="38" t="s">
        <v>36</v>
      </c>
      <c r="H27" s="51" t="s">
        <v>48</v>
      </c>
      <c r="I27" s="40" t="s">
        <v>478</v>
      </c>
      <c r="J27" s="52"/>
    </row>
    <row r="28" ht="60.0" customHeight="1">
      <c r="A28" s="38">
        <v>25.0</v>
      </c>
      <c r="B28" s="39" t="s">
        <v>155</v>
      </c>
      <c r="C28" s="39" t="s">
        <v>151</v>
      </c>
      <c r="D28" s="39" t="s">
        <v>156</v>
      </c>
      <c r="E28" s="39" t="s">
        <v>153</v>
      </c>
      <c r="F28" s="38" t="str">
        <f t="shared" si="1"/>
        <v>WRONG</v>
      </c>
      <c r="G28" s="38" t="s">
        <v>48</v>
      </c>
      <c r="H28" s="51" t="s">
        <v>36</v>
      </c>
      <c r="I28" s="40" t="s">
        <v>479</v>
      </c>
      <c r="J28" s="52"/>
    </row>
    <row r="29" ht="60.0" customHeight="1">
      <c r="A29" s="38">
        <v>26.0</v>
      </c>
      <c r="B29" s="39" t="s">
        <v>158</v>
      </c>
      <c r="C29" s="39" t="s">
        <v>159</v>
      </c>
      <c r="D29" s="39" t="s">
        <v>160</v>
      </c>
      <c r="E29" s="39" t="s">
        <v>161</v>
      </c>
      <c r="F29" s="38" t="str">
        <f t="shared" si="1"/>
        <v>WRONG</v>
      </c>
      <c r="G29" s="38" t="s">
        <v>36</v>
      </c>
      <c r="H29" s="51" t="s">
        <v>37</v>
      </c>
      <c r="I29" s="40" t="s">
        <v>480</v>
      </c>
      <c r="J29" s="52"/>
    </row>
    <row r="30" ht="60.0" customHeight="1">
      <c r="A30" s="38">
        <v>27.0</v>
      </c>
      <c r="B30" s="39" t="s">
        <v>163</v>
      </c>
      <c r="C30" s="39" t="s">
        <v>164</v>
      </c>
      <c r="D30" s="39" t="s">
        <v>165</v>
      </c>
      <c r="E30" s="39" t="s">
        <v>166</v>
      </c>
      <c r="F30" s="38" t="str">
        <f t="shared" si="1"/>
        <v>CORRECT</v>
      </c>
      <c r="G30" s="38" t="s">
        <v>37</v>
      </c>
      <c r="H30" s="51" t="s">
        <v>37</v>
      </c>
      <c r="I30" s="40" t="s">
        <v>481</v>
      </c>
      <c r="J30" s="52"/>
    </row>
    <row r="31" ht="60.0" customHeight="1">
      <c r="A31" s="38">
        <v>28.0</v>
      </c>
      <c r="B31" s="39" t="s">
        <v>168</v>
      </c>
      <c r="C31" s="39" t="s">
        <v>169</v>
      </c>
      <c r="D31" s="39" t="s">
        <v>170</v>
      </c>
      <c r="E31" s="39" t="s">
        <v>171</v>
      </c>
      <c r="F31" s="38" t="str">
        <f t="shared" si="1"/>
        <v>CORRECT</v>
      </c>
      <c r="G31" s="38" t="s">
        <v>36</v>
      </c>
      <c r="H31" s="51" t="s">
        <v>36</v>
      </c>
      <c r="I31" s="40" t="s">
        <v>482</v>
      </c>
      <c r="J31" s="52"/>
    </row>
    <row r="32" ht="60.0" customHeight="1">
      <c r="A32" s="38">
        <v>29.0</v>
      </c>
      <c r="B32" s="39" t="s">
        <v>173</v>
      </c>
      <c r="C32" s="39" t="s">
        <v>174</v>
      </c>
      <c r="D32" s="39" t="s">
        <v>175</v>
      </c>
      <c r="E32" s="39" t="s">
        <v>176</v>
      </c>
      <c r="F32" s="38" t="str">
        <f t="shared" si="1"/>
        <v>CORRECT</v>
      </c>
      <c r="G32" s="38" t="s">
        <v>37</v>
      </c>
      <c r="H32" s="51" t="s">
        <v>37</v>
      </c>
      <c r="I32" s="40" t="s">
        <v>483</v>
      </c>
      <c r="J32" s="52"/>
    </row>
    <row r="33" ht="60.0" customHeight="1">
      <c r="A33" s="38">
        <v>30.0</v>
      </c>
      <c r="B33" s="39" t="s">
        <v>178</v>
      </c>
      <c r="C33" s="39" t="s">
        <v>179</v>
      </c>
      <c r="D33" s="39" t="s">
        <v>180</v>
      </c>
      <c r="E33" s="39" t="s">
        <v>181</v>
      </c>
      <c r="F33" s="38" t="str">
        <f t="shared" si="1"/>
        <v>WRONG</v>
      </c>
      <c r="G33" s="38" t="s">
        <v>48</v>
      </c>
      <c r="H33" s="51" t="s">
        <v>36</v>
      </c>
      <c r="I33" s="40" t="s">
        <v>484</v>
      </c>
      <c r="J33" s="52"/>
    </row>
    <row r="34" ht="60.0" customHeight="1">
      <c r="A34" s="38">
        <v>31.0</v>
      </c>
      <c r="B34" s="39" t="s">
        <v>183</v>
      </c>
      <c r="C34" s="39" t="s">
        <v>184</v>
      </c>
      <c r="D34" s="39" t="s">
        <v>185</v>
      </c>
      <c r="E34" s="39" t="s">
        <v>186</v>
      </c>
      <c r="F34" s="38" t="str">
        <f t="shared" si="1"/>
        <v>WRONG</v>
      </c>
      <c r="G34" s="38" t="s">
        <v>37</v>
      </c>
      <c r="H34" s="51" t="s">
        <v>36</v>
      </c>
      <c r="I34" s="40" t="s">
        <v>485</v>
      </c>
      <c r="J34" s="52"/>
    </row>
    <row r="35" ht="60.0" customHeight="1">
      <c r="A35" s="38">
        <v>32.0</v>
      </c>
      <c r="B35" s="39" t="s">
        <v>188</v>
      </c>
      <c r="C35" s="39" t="s">
        <v>189</v>
      </c>
      <c r="D35" s="39" t="s">
        <v>190</v>
      </c>
      <c r="E35" s="39" t="s">
        <v>191</v>
      </c>
      <c r="F35" s="38" t="str">
        <f t="shared" si="1"/>
        <v>CORRECT</v>
      </c>
      <c r="G35" s="38" t="s">
        <v>36</v>
      </c>
      <c r="H35" s="51" t="s">
        <v>36</v>
      </c>
      <c r="I35" s="40" t="s">
        <v>486</v>
      </c>
      <c r="J35" s="52"/>
    </row>
    <row r="36" ht="60.0" customHeight="1">
      <c r="A36" s="38">
        <v>33.0</v>
      </c>
      <c r="B36" s="39" t="s">
        <v>193</v>
      </c>
      <c r="C36" s="39" t="s">
        <v>194</v>
      </c>
      <c r="D36" s="39" t="s">
        <v>195</v>
      </c>
      <c r="E36" s="39" t="s">
        <v>196</v>
      </c>
      <c r="F36" s="38" t="str">
        <f t="shared" si="1"/>
        <v>WRONG</v>
      </c>
      <c r="G36" s="38" t="s">
        <v>48</v>
      </c>
      <c r="H36" s="51" t="s">
        <v>37</v>
      </c>
      <c r="I36" s="40" t="s">
        <v>487</v>
      </c>
      <c r="J36" s="52"/>
    </row>
    <row r="37" ht="60.0" customHeight="1">
      <c r="A37" s="38">
        <v>34.0</v>
      </c>
      <c r="B37" s="39" t="s">
        <v>198</v>
      </c>
      <c r="C37" s="39" t="s">
        <v>199</v>
      </c>
      <c r="D37" s="39" t="s">
        <v>200</v>
      </c>
      <c r="E37" s="39" t="s">
        <v>201</v>
      </c>
      <c r="F37" s="38" t="str">
        <f t="shared" si="1"/>
        <v>CORRECT</v>
      </c>
      <c r="G37" s="38" t="s">
        <v>36</v>
      </c>
      <c r="H37" s="51" t="s">
        <v>36</v>
      </c>
      <c r="I37" s="40" t="s">
        <v>488</v>
      </c>
      <c r="J37" s="52"/>
    </row>
    <row r="38" ht="60.0" customHeight="1">
      <c r="A38" s="38">
        <v>35.0</v>
      </c>
      <c r="B38" s="39" t="s">
        <v>203</v>
      </c>
      <c r="C38" s="39" t="s">
        <v>204</v>
      </c>
      <c r="D38" s="39" t="s">
        <v>205</v>
      </c>
      <c r="E38" s="39" t="s">
        <v>206</v>
      </c>
      <c r="F38" s="38" t="str">
        <f t="shared" si="1"/>
        <v>CORRECT</v>
      </c>
      <c r="G38" s="38" t="s">
        <v>48</v>
      </c>
      <c r="H38" s="51" t="s">
        <v>48</v>
      </c>
      <c r="I38" s="40" t="s">
        <v>489</v>
      </c>
      <c r="J38" s="52"/>
    </row>
    <row r="39" ht="60.0" customHeight="1">
      <c r="A39" s="38">
        <v>36.0</v>
      </c>
      <c r="B39" s="39" t="s">
        <v>208</v>
      </c>
      <c r="C39" s="39" t="s">
        <v>209</v>
      </c>
      <c r="D39" s="39" t="s">
        <v>210</v>
      </c>
      <c r="E39" s="39" t="s">
        <v>211</v>
      </c>
      <c r="F39" s="38" t="str">
        <f t="shared" si="1"/>
        <v>CORRECT</v>
      </c>
      <c r="G39" s="38" t="s">
        <v>36</v>
      </c>
      <c r="H39" s="51" t="s">
        <v>36</v>
      </c>
      <c r="I39" s="40" t="s">
        <v>490</v>
      </c>
      <c r="J39" s="52"/>
    </row>
    <row r="40" ht="60.0" customHeight="1">
      <c r="A40" s="38">
        <v>37.0</v>
      </c>
      <c r="B40" s="39" t="s">
        <v>213</v>
      </c>
      <c r="C40" s="39" t="s">
        <v>214</v>
      </c>
      <c r="D40" s="39" t="s">
        <v>215</v>
      </c>
      <c r="E40" s="39" t="s">
        <v>216</v>
      </c>
      <c r="F40" s="38" t="str">
        <f t="shared" si="1"/>
        <v>WRONG</v>
      </c>
      <c r="G40" s="38" t="s">
        <v>36</v>
      </c>
      <c r="H40" s="51" t="s">
        <v>48</v>
      </c>
      <c r="I40" s="40" t="s">
        <v>491</v>
      </c>
      <c r="J40" s="52"/>
    </row>
    <row r="41" ht="60.0" customHeight="1">
      <c r="A41" s="38">
        <v>38.0</v>
      </c>
      <c r="B41" s="39" t="s">
        <v>218</v>
      </c>
      <c r="C41" s="39" t="s">
        <v>219</v>
      </c>
      <c r="D41" s="39" t="s">
        <v>220</v>
      </c>
      <c r="E41" s="39" t="s">
        <v>221</v>
      </c>
      <c r="F41" s="38" t="str">
        <f t="shared" si="1"/>
        <v>CORRECT</v>
      </c>
      <c r="G41" s="38" t="s">
        <v>36</v>
      </c>
      <c r="H41" s="51" t="s">
        <v>36</v>
      </c>
      <c r="I41" s="40" t="s">
        <v>492</v>
      </c>
      <c r="J41" s="52"/>
    </row>
    <row r="42" ht="60.0" customHeight="1">
      <c r="A42" s="38">
        <v>39.0</v>
      </c>
      <c r="B42" s="39" t="s">
        <v>223</v>
      </c>
      <c r="C42" s="39" t="s">
        <v>224</v>
      </c>
      <c r="D42" s="39" t="s">
        <v>225</v>
      </c>
      <c r="E42" s="39" t="s">
        <v>226</v>
      </c>
      <c r="F42" s="38" t="str">
        <f t="shared" si="1"/>
        <v>WRONG</v>
      </c>
      <c r="G42" s="38" t="s">
        <v>37</v>
      </c>
      <c r="H42" s="51" t="s">
        <v>48</v>
      </c>
      <c r="I42" s="40" t="s">
        <v>493</v>
      </c>
      <c r="J42" s="52"/>
    </row>
    <row r="43" ht="60.0" customHeight="1">
      <c r="A43" s="38">
        <v>40.0</v>
      </c>
      <c r="B43" s="39" t="s">
        <v>228</v>
      </c>
      <c r="C43" s="39" t="s">
        <v>229</v>
      </c>
      <c r="D43" s="39" t="s">
        <v>230</v>
      </c>
      <c r="E43" s="39" t="s">
        <v>231</v>
      </c>
      <c r="F43" s="38" t="str">
        <f t="shared" si="1"/>
        <v>WRONG</v>
      </c>
      <c r="G43" s="38" t="s">
        <v>48</v>
      </c>
      <c r="H43" s="51" t="s">
        <v>37</v>
      </c>
      <c r="I43" s="40" t="s">
        <v>494</v>
      </c>
      <c r="J43" s="52"/>
    </row>
    <row r="44" ht="60.0" customHeight="1">
      <c r="A44" s="38">
        <v>41.0</v>
      </c>
      <c r="B44" s="39" t="s">
        <v>233</v>
      </c>
      <c r="C44" s="39" t="s">
        <v>234</v>
      </c>
      <c r="D44" s="39" t="s">
        <v>235</v>
      </c>
      <c r="E44" s="39" t="s">
        <v>236</v>
      </c>
      <c r="F44" s="38" t="str">
        <f t="shared" si="1"/>
        <v>CORRECT</v>
      </c>
      <c r="G44" s="38" t="s">
        <v>37</v>
      </c>
      <c r="H44" s="51" t="s">
        <v>37</v>
      </c>
      <c r="I44" s="40" t="s">
        <v>495</v>
      </c>
      <c r="J44" s="52"/>
    </row>
    <row r="45" ht="60.0" customHeight="1">
      <c r="A45" s="38">
        <v>42.0</v>
      </c>
      <c r="B45" s="39" t="s">
        <v>238</v>
      </c>
      <c r="C45" s="39" t="s">
        <v>239</v>
      </c>
      <c r="D45" s="39" t="s">
        <v>240</v>
      </c>
      <c r="E45" s="39" t="s">
        <v>241</v>
      </c>
      <c r="F45" s="38" t="str">
        <f t="shared" si="1"/>
        <v>WRONG</v>
      </c>
      <c r="G45" s="38" t="s">
        <v>36</v>
      </c>
      <c r="H45" s="51" t="s">
        <v>37</v>
      </c>
      <c r="I45" s="40" t="s">
        <v>496</v>
      </c>
      <c r="J45" s="52"/>
    </row>
    <row r="46" ht="60.0" customHeight="1">
      <c r="A46" s="38">
        <v>43.0</v>
      </c>
      <c r="B46" s="39" t="s">
        <v>243</v>
      </c>
      <c r="C46" s="39" t="s">
        <v>244</v>
      </c>
      <c r="D46" s="39" t="s">
        <v>245</v>
      </c>
      <c r="E46" s="39" t="s">
        <v>246</v>
      </c>
      <c r="F46" s="38" t="str">
        <f t="shared" si="1"/>
        <v>CORRECT</v>
      </c>
      <c r="G46" s="38" t="s">
        <v>48</v>
      </c>
      <c r="H46" s="51" t="s">
        <v>48</v>
      </c>
      <c r="I46" s="40" t="s">
        <v>497</v>
      </c>
      <c r="J46" s="52"/>
    </row>
    <row r="47" ht="60.0" customHeight="1">
      <c r="A47" s="38">
        <v>44.0</v>
      </c>
      <c r="B47" s="39" t="s">
        <v>248</v>
      </c>
      <c r="C47" s="39" t="s">
        <v>249</v>
      </c>
      <c r="D47" s="39" t="s">
        <v>250</v>
      </c>
      <c r="E47" s="39" t="s">
        <v>251</v>
      </c>
      <c r="F47" s="38" t="str">
        <f t="shared" si="1"/>
        <v>CORRECT</v>
      </c>
      <c r="G47" s="38" t="s">
        <v>36</v>
      </c>
      <c r="H47" s="51" t="s">
        <v>36</v>
      </c>
      <c r="I47" s="40" t="s">
        <v>498</v>
      </c>
      <c r="J47" s="52"/>
    </row>
    <row r="48" ht="60.0" customHeight="1">
      <c r="A48" s="38">
        <v>45.0</v>
      </c>
      <c r="B48" s="39" t="s">
        <v>253</v>
      </c>
      <c r="C48" s="39" t="s">
        <v>254</v>
      </c>
      <c r="D48" s="39" t="s">
        <v>255</v>
      </c>
      <c r="E48" s="39" t="s">
        <v>256</v>
      </c>
      <c r="F48" s="38" t="str">
        <f t="shared" si="1"/>
        <v>CORRECT</v>
      </c>
      <c r="G48" s="38" t="s">
        <v>36</v>
      </c>
      <c r="H48" s="51" t="s">
        <v>36</v>
      </c>
      <c r="I48" s="40" t="s">
        <v>499</v>
      </c>
      <c r="J48" s="52"/>
    </row>
    <row r="49" ht="60.0" customHeight="1">
      <c r="A49" s="38">
        <v>46.0</v>
      </c>
      <c r="B49" s="39" t="s">
        <v>258</v>
      </c>
      <c r="C49" s="39" t="s">
        <v>40</v>
      </c>
      <c r="D49" s="39" t="s">
        <v>259</v>
      </c>
      <c r="E49" s="39" t="s">
        <v>260</v>
      </c>
      <c r="F49" s="38" t="str">
        <f t="shared" si="1"/>
        <v>CORRECT</v>
      </c>
      <c r="G49" s="38" t="s">
        <v>36</v>
      </c>
      <c r="H49" s="51" t="s">
        <v>36</v>
      </c>
      <c r="I49" s="40" t="s">
        <v>500</v>
      </c>
      <c r="J49" s="52"/>
    </row>
    <row r="50">
      <c r="A50" s="42" t="s">
        <v>262</v>
      </c>
      <c r="B50" s="2"/>
      <c r="C50" s="2"/>
      <c r="D50" s="2"/>
      <c r="E50" s="3"/>
      <c r="F50" s="43">
        <f>COUNTIFS(F4:F49,"CORRECT")</f>
        <v>24</v>
      </c>
      <c r="G50" s="44"/>
      <c r="H50" s="44"/>
      <c r="J50" s="45" t="str">
        <f>AVERAGE(J4:J49)</f>
        <v>#DIV/0!</v>
      </c>
    </row>
    <row r="51">
      <c r="A51" s="46" t="s">
        <v>263</v>
      </c>
      <c r="B51" s="2"/>
      <c r="C51" s="2"/>
      <c r="D51" s="2"/>
      <c r="E51" s="3"/>
      <c r="F51" s="47">
        <v>46.0</v>
      </c>
      <c r="G51" s="44"/>
      <c r="H51" s="44"/>
    </row>
    <row r="52">
      <c r="A52" s="42" t="s">
        <v>264</v>
      </c>
      <c r="B52" s="2"/>
      <c r="C52" s="2"/>
      <c r="D52" s="2"/>
      <c r="E52" s="3"/>
      <c r="F52" s="48">
        <f>F50/F51</f>
        <v>0.5217391304</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2" t="s">
        <v>18</v>
      </c>
      <c r="B1" s="2"/>
      <c r="C1" s="2"/>
      <c r="D1" s="2"/>
      <c r="E1" s="2"/>
      <c r="F1" s="2"/>
      <c r="G1" s="2"/>
      <c r="H1" s="2"/>
      <c r="I1" s="3"/>
      <c r="J1" s="33"/>
      <c r="K1" s="33"/>
      <c r="L1" s="33"/>
      <c r="M1" s="33"/>
      <c r="N1" s="33"/>
      <c r="O1" s="33"/>
      <c r="P1" s="33"/>
      <c r="Q1" s="33"/>
      <c r="R1" s="33"/>
      <c r="S1" s="33"/>
      <c r="T1" s="33"/>
      <c r="U1" s="33"/>
      <c r="V1" s="33"/>
      <c r="W1" s="33"/>
      <c r="X1" s="33"/>
      <c r="Y1" s="33"/>
      <c r="Z1" s="33"/>
      <c r="AA1" s="33"/>
    </row>
    <row r="2">
      <c r="A2" s="34" t="s">
        <v>19</v>
      </c>
      <c r="B2" s="35" t="s">
        <v>501</v>
      </c>
      <c r="C2" s="2"/>
      <c r="D2" s="2"/>
      <c r="E2" s="2"/>
      <c r="F2" s="2"/>
      <c r="G2" s="2"/>
      <c r="H2" s="3"/>
      <c r="I2" s="36" t="s">
        <v>502</v>
      </c>
      <c r="J2" s="3"/>
      <c r="K2" s="33"/>
      <c r="L2" s="33"/>
      <c r="M2" s="33"/>
      <c r="N2" s="33"/>
      <c r="O2" s="33"/>
      <c r="P2" s="33"/>
      <c r="Q2" s="33"/>
      <c r="R2" s="33"/>
      <c r="S2" s="33"/>
      <c r="T2" s="33"/>
      <c r="U2" s="33"/>
      <c r="V2" s="33"/>
      <c r="W2" s="33"/>
      <c r="X2" s="33"/>
      <c r="Y2" s="33"/>
      <c r="Z2" s="33"/>
      <c r="AA2" s="33"/>
    </row>
    <row r="3">
      <c r="A3" s="34" t="s">
        <v>22</v>
      </c>
      <c r="B3" s="34" t="s">
        <v>23</v>
      </c>
      <c r="C3" s="34" t="s">
        <v>24</v>
      </c>
      <c r="D3" s="34" t="s">
        <v>25</v>
      </c>
      <c r="E3" s="34" t="s">
        <v>26</v>
      </c>
      <c r="F3" s="34" t="s">
        <v>27</v>
      </c>
      <c r="G3" s="34" t="s">
        <v>28</v>
      </c>
      <c r="H3" s="34" t="s">
        <v>29</v>
      </c>
      <c r="I3" s="37" t="s">
        <v>30</v>
      </c>
      <c r="J3" s="37" t="s">
        <v>31</v>
      </c>
      <c r="K3" s="33"/>
      <c r="L3" s="33"/>
      <c r="M3" s="33"/>
      <c r="N3" s="33"/>
      <c r="O3" s="33"/>
      <c r="P3" s="33"/>
      <c r="Q3" s="33"/>
      <c r="R3" s="33"/>
      <c r="S3" s="33"/>
      <c r="T3" s="33"/>
      <c r="U3" s="33"/>
      <c r="V3" s="33"/>
      <c r="W3" s="33"/>
      <c r="X3" s="33"/>
      <c r="Y3" s="33"/>
      <c r="Z3" s="33"/>
      <c r="AA3" s="33"/>
    </row>
    <row r="4" ht="60.0" customHeight="1">
      <c r="A4" s="38">
        <v>1.0</v>
      </c>
      <c r="B4" s="39" t="s">
        <v>32</v>
      </c>
      <c r="C4" s="39" t="s">
        <v>33</v>
      </c>
      <c r="D4" s="39" t="s">
        <v>34</v>
      </c>
      <c r="E4" s="39" t="s">
        <v>35</v>
      </c>
      <c r="F4" s="38" t="str">
        <f t="shared" ref="F4:F49" si="1">IF(G4=H4,"CORRECT","WRONG")</f>
        <v>WRONG</v>
      </c>
      <c r="G4" s="38" t="s">
        <v>36</v>
      </c>
      <c r="H4" s="51" t="s">
        <v>48</v>
      </c>
      <c r="I4" s="40" t="s">
        <v>503</v>
      </c>
      <c r="J4" s="52"/>
    </row>
    <row r="5" ht="60.0" customHeight="1">
      <c r="A5" s="38">
        <v>2.0</v>
      </c>
      <c r="B5" s="39" t="s">
        <v>39</v>
      </c>
      <c r="C5" s="39" t="s">
        <v>40</v>
      </c>
      <c r="D5" s="39" t="s">
        <v>41</v>
      </c>
      <c r="E5" s="39" t="s">
        <v>42</v>
      </c>
      <c r="F5" s="38" t="str">
        <f t="shared" si="1"/>
        <v>CORRECT</v>
      </c>
      <c r="G5" s="38" t="s">
        <v>37</v>
      </c>
      <c r="H5" s="51" t="s">
        <v>37</v>
      </c>
      <c r="I5" s="40" t="s">
        <v>504</v>
      </c>
      <c r="J5" s="52"/>
    </row>
    <row r="6" ht="60.0" customHeight="1">
      <c r="A6" s="38">
        <v>3.0</v>
      </c>
      <c r="B6" s="39" t="s">
        <v>44</v>
      </c>
      <c r="C6" s="39" t="s">
        <v>45</v>
      </c>
      <c r="D6" s="39" t="s">
        <v>46</v>
      </c>
      <c r="E6" s="39" t="s">
        <v>47</v>
      </c>
      <c r="F6" s="38" t="str">
        <f t="shared" si="1"/>
        <v>CORRECT</v>
      </c>
      <c r="G6" s="38" t="s">
        <v>48</v>
      </c>
      <c r="H6" s="51" t="s">
        <v>48</v>
      </c>
      <c r="I6" s="40" t="s">
        <v>505</v>
      </c>
      <c r="J6" s="52"/>
    </row>
    <row r="7" ht="60.0" customHeight="1">
      <c r="A7" s="38">
        <v>4.0</v>
      </c>
      <c r="B7" s="39" t="s">
        <v>50</v>
      </c>
      <c r="C7" s="39" t="s">
        <v>51</v>
      </c>
      <c r="D7" s="39" t="s">
        <v>52</v>
      </c>
      <c r="E7" s="39" t="s">
        <v>53</v>
      </c>
      <c r="F7" s="38" t="str">
        <f t="shared" si="1"/>
        <v>CORRECT</v>
      </c>
      <c r="G7" s="38" t="s">
        <v>37</v>
      </c>
      <c r="H7" s="51" t="s">
        <v>37</v>
      </c>
      <c r="I7" s="54" t="s">
        <v>506</v>
      </c>
      <c r="J7" s="52"/>
    </row>
    <row r="8" ht="60.0" customHeight="1">
      <c r="A8" s="38">
        <v>5.0</v>
      </c>
      <c r="B8" s="39" t="s">
        <v>55</v>
      </c>
      <c r="C8" s="39" t="s">
        <v>56</v>
      </c>
      <c r="D8" s="39" t="s">
        <v>57</v>
      </c>
      <c r="E8" s="39" t="s">
        <v>58</v>
      </c>
      <c r="F8" s="38" t="str">
        <f t="shared" si="1"/>
        <v>WRONG</v>
      </c>
      <c r="G8" s="38" t="s">
        <v>48</v>
      </c>
      <c r="H8" s="51" t="s">
        <v>36</v>
      </c>
      <c r="I8" s="40" t="s">
        <v>507</v>
      </c>
      <c r="J8" s="52"/>
    </row>
    <row r="9" ht="60.0" customHeight="1">
      <c r="A9" s="38">
        <v>6.0</v>
      </c>
      <c r="B9" s="39" t="s">
        <v>60</v>
      </c>
      <c r="C9" s="39" t="s">
        <v>61</v>
      </c>
      <c r="D9" s="39" t="s">
        <v>62</v>
      </c>
      <c r="E9" s="39" t="s">
        <v>63</v>
      </c>
      <c r="F9" s="38" t="str">
        <f t="shared" si="1"/>
        <v>WRONG</v>
      </c>
      <c r="G9" s="38" t="s">
        <v>37</v>
      </c>
      <c r="H9" s="51" t="s">
        <v>48</v>
      </c>
      <c r="I9" s="40" t="s">
        <v>508</v>
      </c>
      <c r="J9" s="52"/>
    </row>
    <row r="10" ht="60.0" customHeight="1">
      <c r="A10" s="38">
        <v>7.0</v>
      </c>
      <c r="B10" s="39" t="s">
        <v>65</v>
      </c>
      <c r="C10" s="39" t="s">
        <v>66</v>
      </c>
      <c r="D10" s="39" t="s">
        <v>67</v>
      </c>
      <c r="E10" s="39" t="s">
        <v>68</v>
      </c>
      <c r="F10" s="38" t="str">
        <f t="shared" si="1"/>
        <v>WRONG</v>
      </c>
      <c r="G10" s="38" t="s">
        <v>37</v>
      </c>
      <c r="H10" s="51" t="s">
        <v>509</v>
      </c>
      <c r="I10" s="40" t="s">
        <v>510</v>
      </c>
      <c r="J10" s="52"/>
    </row>
    <row r="11" ht="60.0" customHeight="1">
      <c r="A11" s="38">
        <v>8.0</v>
      </c>
      <c r="B11" s="39" t="s">
        <v>70</v>
      </c>
      <c r="C11" s="39" t="s">
        <v>71</v>
      </c>
      <c r="D11" s="39" t="s">
        <v>72</v>
      </c>
      <c r="E11" s="39" t="s">
        <v>73</v>
      </c>
      <c r="F11" s="38" t="str">
        <f t="shared" si="1"/>
        <v>CORRECT</v>
      </c>
      <c r="G11" s="38" t="s">
        <v>48</v>
      </c>
      <c r="H11" s="51" t="s">
        <v>48</v>
      </c>
      <c r="I11" s="40" t="s">
        <v>511</v>
      </c>
      <c r="J11" s="52"/>
    </row>
    <row r="12" ht="60.0" customHeight="1">
      <c r="A12" s="38">
        <v>9.0</v>
      </c>
      <c r="B12" s="39" t="s">
        <v>75</v>
      </c>
      <c r="C12" s="39" t="s">
        <v>76</v>
      </c>
      <c r="D12" s="39" t="s">
        <v>77</v>
      </c>
      <c r="E12" s="39" t="s">
        <v>78</v>
      </c>
      <c r="F12" s="38" t="str">
        <f t="shared" si="1"/>
        <v>WRONG</v>
      </c>
      <c r="G12" s="38" t="s">
        <v>37</v>
      </c>
      <c r="H12" s="51" t="s">
        <v>48</v>
      </c>
      <c r="I12" s="40" t="s">
        <v>512</v>
      </c>
      <c r="J12" s="52"/>
    </row>
    <row r="13" ht="60.0" customHeight="1">
      <c r="A13" s="38">
        <v>10.0</v>
      </c>
      <c r="B13" s="39" t="s">
        <v>80</v>
      </c>
      <c r="C13" s="39" t="s">
        <v>81</v>
      </c>
      <c r="D13" s="39" t="s">
        <v>82</v>
      </c>
      <c r="E13" s="39" t="s">
        <v>83</v>
      </c>
      <c r="F13" s="38" t="str">
        <f t="shared" si="1"/>
        <v>CORRECT</v>
      </c>
      <c r="G13" s="38" t="s">
        <v>48</v>
      </c>
      <c r="H13" s="51" t="s">
        <v>48</v>
      </c>
      <c r="I13" s="40" t="s">
        <v>513</v>
      </c>
      <c r="J13" s="52"/>
    </row>
    <row r="14" ht="60.0" customHeight="1">
      <c r="A14" s="38">
        <v>11.0</v>
      </c>
      <c r="B14" s="39" t="s">
        <v>85</v>
      </c>
      <c r="C14" s="39" t="s">
        <v>86</v>
      </c>
      <c r="D14" s="39" t="s">
        <v>87</v>
      </c>
      <c r="E14" s="39" t="s">
        <v>88</v>
      </c>
      <c r="F14" s="38" t="str">
        <f t="shared" si="1"/>
        <v>WRONG</v>
      </c>
      <c r="G14" s="38" t="s">
        <v>37</v>
      </c>
      <c r="H14" s="51" t="s">
        <v>48</v>
      </c>
      <c r="I14" s="40" t="s">
        <v>514</v>
      </c>
      <c r="J14" s="52"/>
    </row>
    <row r="15" ht="60.0" customHeight="1">
      <c r="A15" s="38">
        <v>12.0</v>
      </c>
      <c r="B15" s="39" t="s">
        <v>90</v>
      </c>
      <c r="C15" s="39" t="s">
        <v>91</v>
      </c>
      <c r="D15" s="39" t="s">
        <v>92</v>
      </c>
      <c r="E15" s="39" t="s">
        <v>93</v>
      </c>
      <c r="F15" s="38" t="str">
        <f t="shared" si="1"/>
        <v>CORRECT</v>
      </c>
      <c r="G15" s="38" t="s">
        <v>48</v>
      </c>
      <c r="H15" s="51" t="s">
        <v>48</v>
      </c>
      <c r="I15" s="40" t="s">
        <v>515</v>
      </c>
      <c r="J15" s="52"/>
    </row>
    <row r="16" ht="60.0" customHeight="1">
      <c r="A16" s="38">
        <v>13.0</v>
      </c>
      <c r="B16" s="39" t="s">
        <v>95</v>
      </c>
      <c r="C16" s="39" t="s">
        <v>96</v>
      </c>
      <c r="D16" s="39" t="s">
        <v>97</v>
      </c>
      <c r="E16" s="39" t="s">
        <v>98</v>
      </c>
      <c r="F16" s="38" t="str">
        <f t="shared" si="1"/>
        <v>CORRECT</v>
      </c>
      <c r="G16" s="38" t="s">
        <v>36</v>
      </c>
      <c r="H16" s="51" t="s">
        <v>36</v>
      </c>
      <c r="I16" s="40" t="s">
        <v>516</v>
      </c>
      <c r="J16" s="52"/>
    </row>
    <row r="17" ht="60.0" customHeight="1">
      <c r="A17" s="38">
        <v>14.0</v>
      </c>
      <c r="B17" s="39" t="s">
        <v>100</v>
      </c>
      <c r="C17" s="39" t="s">
        <v>101</v>
      </c>
      <c r="D17" s="39" t="s">
        <v>102</v>
      </c>
      <c r="E17" s="39" t="s">
        <v>103</v>
      </c>
      <c r="F17" s="38" t="str">
        <f t="shared" si="1"/>
        <v>WRONG</v>
      </c>
      <c r="G17" s="38" t="s">
        <v>36</v>
      </c>
      <c r="H17" s="51" t="s">
        <v>48</v>
      </c>
      <c r="I17" s="40" t="s">
        <v>517</v>
      </c>
      <c r="J17" s="52"/>
    </row>
    <row r="18" ht="60.0" customHeight="1">
      <c r="A18" s="38">
        <v>15.0</v>
      </c>
      <c r="B18" s="39" t="s">
        <v>105</v>
      </c>
      <c r="C18" s="39" t="s">
        <v>106</v>
      </c>
      <c r="D18" s="39" t="s">
        <v>107</v>
      </c>
      <c r="E18" s="39" t="s">
        <v>108</v>
      </c>
      <c r="F18" s="38" t="str">
        <f t="shared" si="1"/>
        <v>CORRECT</v>
      </c>
      <c r="G18" s="38" t="s">
        <v>48</v>
      </c>
      <c r="H18" s="51" t="s">
        <v>48</v>
      </c>
      <c r="I18" s="40" t="s">
        <v>518</v>
      </c>
      <c r="J18" s="52"/>
    </row>
    <row r="19" ht="60.0" customHeight="1">
      <c r="A19" s="38">
        <v>16.0</v>
      </c>
      <c r="B19" s="39" t="s">
        <v>110</v>
      </c>
      <c r="C19" s="39" t="s">
        <v>111</v>
      </c>
      <c r="D19" s="39" t="s">
        <v>112</v>
      </c>
      <c r="E19" s="39" t="s">
        <v>113</v>
      </c>
      <c r="F19" s="38" t="str">
        <f t="shared" si="1"/>
        <v>WRONG</v>
      </c>
      <c r="G19" s="38" t="s">
        <v>48</v>
      </c>
      <c r="H19" s="51" t="s">
        <v>519</v>
      </c>
      <c r="I19" s="40" t="s">
        <v>520</v>
      </c>
      <c r="J19" s="52"/>
    </row>
    <row r="20" ht="60.0" customHeight="1">
      <c r="A20" s="38">
        <v>17.0</v>
      </c>
      <c r="B20" s="39" t="s">
        <v>115</v>
      </c>
      <c r="C20" s="39" t="s">
        <v>116</v>
      </c>
      <c r="D20" s="39" t="s">
        <v>117</v>
      </c>
      <c r="E20" s="39" t="s">
        <v>118</v>
      </c>
      <c r="F20" s="38" t="str">
        <f t="shared" si="1"/>
        <v>WRONG</v>
      </c>
      <c r="G20" s="38" t="s">
        <v>37</v>
      </c>
      <c r="H20" s="51" t="s">
        <v>36</v>
      </c>
      <c r="I20" s="40" t="s">
        <v>521</v>
      </c>
      <c r="J20" s="52"/>
    </row>
    <row r="21" ht="60.0" customHeight="1">
      <c r="A21" s="38">
        <v>18.0</v>
      </c>
      <c r="B21" s="39" t="s">
        <v>120</v>
      </c>
      <c r="C21" s="39" t="s">
        <v>121</v>
      </c>
      <c r="D21" s="39" t="s">
        <v>122</v>
      </c>
      <c r="E21" s="39" t="s">
        <v>123</v>
      </c>
      <c r="F21" s="38" t="str">
        <f t="shared" si="1"/>
        <v>CORRECT</v>
      </c>
      <c r="G21" s="38" t="s">
        <v>37</v>
      </c>
      <c r="H21" s="51" t="s">
        <v>37</v>
      </c>
      <c r="I21" s="40" t="s">
        <v>522</v>
      </c>
      <c r="J21" s="52"/>
    </row>
    <row r="22" ht="60.0" customHeight="1">
      <c r="A22" s="38">
        <v>19.0</v>
      </c>
      <c r="B22" s="39" t="s">
        <v>125</v>
      </c>
      <c r="C22" s="39" t="s">
        <v>126</v>
      </c>
      <c r="D22" s="39" t="s">
        <v>127</v>
      </c>
      <c r="E22" s="39" t="s">
        <v>128</v>
      </c>
      <c r="F22" s="38" t="str">
        <f t="shared" si="1"/>
        <v>CORRECT</v>
      </c>
      <c r="G22" s="38" t="s">
        <v>36</v>
      </c>
      <c r="H22" s="51" t="s">
        <v>36</v>
      </c>
      <c r="I22" s="40" t="s">
        <v>523</v>
      </c>
      <c r="J22" s="52"/>
    </row>
    <row r="23" ht="60.0" customHeight="1">
      <c r="A23" s="38">
        <v>20.0</v>
      </c>
      <c r="B23" s="39" t="s">
        <v>130</v>
      </c>
      <c r="C23" s="39" t="s">
        <v>131</v>
      </c>
      <c r="D23" s="39" t="s">
        <v>132</v>
      </c>
      <c r="E23" s="39" t="s">
        <v>133</v>
      </c>
      <c r="F23" s="38" t="str">
        <f t="shared" si="1"/>
        <v>CORRECT</v>
      </c>
      <c r="G23" s="38" t="s">
        <v>37</v>
      </c>
      <c r="H23" s="51" t="s">
        <v>37</v>
      </c>
      <c r="I23" s="40" t="s">
        <v>524</v>
      </c>
      <c r="J23" s="52"/>
    </row>
    <row r="24" ht="60.0" customHeight="1">
      <c r="A24" s="38">
        <v>21.0</v>
      </c>
      <c r="B24" s="39" t="s">
        <v>135</v>
      </c>
      <c r="C24" s="39" t="s">
        <v>136</v>
      </c>
      <c r="D24" s="39" t="s">
        <v>137</v>
      </c>
      <c r="E24" s="39" t="s">
        <v>138</v>
      </c>
      <c r="F24" s="38" t="str">
        <f t="shared" si="1"/>
        <v>WRONG</v>
      </c>
      <c r="G24" s="38" t="s">
        <v>37</v>
      </c>
      <c r="H24" s="51" t="s">
        <v>36</v>
      </c>
      <c r="I24" s="40" t="s">
        <v>525</v>
      </c>
      <c r="J24" s="52"/>
    </row>
    <row r="25" ht="60.0" customHeight="1">
      <c r="A25" s="38">
        <v>22.0</v>
      </c>
      <c r="B25" s="39" t="s">
        <v>140</v>
      </c>
      <c r="C25" s="39" t="s">
        <v>141</v>
      </c>
      <c r="D25" s="39" t="s">
        <v>142</v>
      </c>
      <c r="E25" s="39" t="s">
        <v>143</v>
      </c>
      <c r="F25" s="38" t="str">
        <f t="shared" si="1"/>
        <v>CORRECT</v>
      </c>
      <c r="G25" s="38" t="s">
        <v>37</v>
      </c>
      <c r="H25" s="51" t="s">
        <v>37</v>
      </c>
      <c r="I25" s="40" t="s">
        <v>526</v>
      </c>
      <c r="J25" s="52"/>
    </row>
    <row r="26" ht="60.0" customHeight="1">
      <c r="A26" s="38">
        <v>23.0</v>
      </c>
      <c r="B26" s="39" t="s">
        <v>145</v>
      </c>
      <c r="C26" s="39" t="s">
        <v>146</v>
      </c>
      <c r="D26" s="39" t="s">
        <v>147</v>
      </c>
      <c r="E26" s="39" t="s">
        <v>148</v>
      </c>
      <c r="F26" s="38" t="str">
        <f t="shared" si="1"/>
        <v>WRONG</v>
      </c>
      <c r="G26" s="38" t="s">
        <v>48</v>
      </c>
      <c r="H26" s="51" t="s">
        <v>519</v>
      </c>
      <c r="I26" s="40" t="s">
        <v>527</v>
      </c>
      <c r="J26" s="52"/>
    </row>
    <row r="27" ht="60.0" customHeight="1">
      <c r="A27" s="38">
        <v>24.0</v>
      </c>
      <c r="B27" s="39" t="s">
        <v>150</v>
      </c>
      <c r="C27" s="39" t="s">
        <v>151</v>
      </c>
      <c r="D27" s="39" t="s">
        <v>152</v>
      </c>
      <c r="E27" s="39" t="s">
        <v>153</v>
      </c>
      <c r="F27" s="38" t="str">
        <f t="shared" si="1"/>
        <v>WRONG</v>
      </c>
      <c r="G27" s="38" t="s">
        <v>36</v>
      </c>
      <c r="H27" s="51" t="s">
        <v>519</v>
      </c>
      <c r="I27" s="40" t="s">
        <v>528</v>
      </c>
      <c r="J27" s="52"/>
    </row>
    <row r="28" ht="60.0" customHeight="1">
      <c r="A28" s="38">
        <v>25.0</v>
      </c>
      <c r="B28" s="39" t="s">
        <v>155</v>
      </c>
      <c r="C28" s="39" t="s">
        <v>151</v>
      </c>
      <c r="D28" s="39" t="s">
        <v>156</v>
      </c>
      <c r="E28" s="39" t="s">
        <v>153</v>
      </c>
      <c r="F28" s="38" t="str">
        <f t="shared" si="1"/>
        <v>WRONG</v>
      </c>
      <c r="G28" s="38" t="s">
        <v>48</v>
      </c>
      <c r="H28" s="51" t="s">
        <v>37</v>
      </c>
      <c r="I28" s="40" t="s">
        <v>529</v>
      </c>
      <c r="J28" s="52"/>
    </row>
    <row r="29" ht="60.0" customHeight="1">
      <c r="A29" s="38">
        <v>26.0</v>
      </c>
      <c r="B29" s="39" t="s">
        <v>158</v>
      </c>
      <c r="C29" s="39" t="s">
        <v>159</v>
      </c>
      <c r="D29" s="39" t="s">
        <v>160</v>
      </c>
      <c r="E29" s="39" t="s">
        <v>161</v>
      </c>
      <c r="F29" s="38" t="str">
        <f t="shared" si="1"/>
        <v>WRONG</v>
      </c>
      <c r="G29" s="38" t="s">
        <v>36</v>
      </c>
      <c r="H29" s="51" t="s">
        <v>48</v>
      </c>
      <c r="I29" s="40" t="s">
        <v>530</v>
      </c>
      <c r="J29" s="52"/>
    </row>
    <row r="30" ht="60.0" customHeight="1">
      <c r="A30" s="38">
        <v>27.0</v>
      </c>
      <c r="B30" s="39" t="s">
        <v>163</v>
      </c>
      <c r="C30" s="39" t="s">
        <v>164</v>
      </c>
      <c r="D30" s="39" t="s">
        <v>165</v>
      </c>
      <c r="E30" s="39" t="s">
        <v>166</v>
      </c>
      <c r="F30" s="38" t="str">
        <f t="shared" si="1"/>
        <v>CORRECT</v>
      </c>
      <c r="G30" s="38" t="s">
        <v>37</v>
      </c>
      <c r="H30" s="51" t="s">
        <v>37</v>
      </c>
      <c r="I30" s="40" t="s">
        <v>531</v>
      </c>
      <c r="J30" s="52"/>
    </row>
    <row r="31" ht="60.0" customHeight="1">
      <c r="A31" s="38">
        <v>28.0</v>
      </c>
      <c r="B31" s="39" t="s">
        <v>168</v>
      </c>
      <c r="C31" s="39" t="s">
        <v>169</v>
      </c>
      <c r="D31" s="39" t="s">
        <v>170</v>
      </c>
      <c r="E31" s="39" t="s">
        <v>171</v>
      </c>
      <c r="F31" s="38" t="str">
        <f t="shared" si="1"/>
        <v>CORRECT</v>
      </c>
      <c r="G31" s="38" t="s">
        <v>36</v>
      </c>
      <c r="H31" s="51" t="s">
        <v>36</v>
      </c>
      <c r="I31" s="40" t="s">
        <v>532</v>
      </c>
      <c r="J31" s="52"/>
    </row>
    <row r="32" ht="60.0" customHeight="1">
      <c r="A32" s="38">
        <v>29.0</v>
      </c>
      <c r="B32" s="39" t="s">
        <v>173</v>
      </c>
      <c r="C32" s="39" t="s">
        <v>174</v>
      </c>
      <c r="D32" s="39" t="s">
        <v>175</v>
      </c>
      <c r="E32" s="39" t="s">
        <v>176</v>
      </c>
      <c r="F32" s="38" t="str">
        <f t="shared" si="1"/>
        <v>CORRECT</v>
      </c>
      <c r="G32" s="38" t="s">
        <v>37</v>
      </c>
      <c r="H32" s="51" t="s">
        <v>37</v>
      </c>
      <c r="I32" s="40" t="s">
        <v>533</v>
      </c>
      <c r="J32" s="52"/>
    </row>
    <row r="33" ht="60.0" customHeight="1">
      <c r="A33" s="38">
        <v>30.0</v>
      </c>
      <c r="B33" s="39" t="s">
        <v>178</v>
      </c>
      <c r="C33" s="39" t="s">
        <v>179</v>
      </c>
      <c r="D33" s="39" t="s">
        <v>180</v>
      </c>
      <c r="E33" s="39" t="s">
        <v>181</v>
      </c>
      <c r="F33" s="38" t="str">
        <f t="shared" si="1"/>
        <v>WRONG</v>
      </c>
      <c r="G33" s="38" t="s">
        <v>48</v>
      </c>
      <c r="H33" s="51" t="s">
        <v>36</v>
      </c>
      <c r="I33" s="40" t="s">
        <v>534</v>
      </c>
      <c r="J33" s="52"/>
    </row>
    <row r="34" ht="60.0" customHeight="1">
      <c r="A34" s="38">
        <v>31.0</v>
      </c>
      <c r="B34" s="39" t="s">
        <v>183</v>
      </c>
      <c r="C34" s="39" t="s">
        <v>184</v>
      </c>
      <c r="D34" s="39" t="s">
        <v>185</v>
      </c>
      <c r="E34" s="39" t="s">
        <v>186</v>
      </c>
      <c r="F34" s="38" t="str">
        <f t="shared" si="1"/>
        <v>WRONG</v>
      </c>
      <c r="G34" s="38" t="s">
        <v>37</v>
      </c>
      <c r="H34" s="51" t="s">
        <v>36</v>
      </c>
      <c r="I34" s="40" t="s">
        <v>535</v>
      </c>
      <c r="J34" s="52"/>
    </row>
    <row r="35" ht="60.0" customHeight="1">
      <c r="A35" s="38">
        <v>32.0</v>
      </c>
      <c r="B35" s="39" t="s">
        <v>188</v>
      </c>
      <c r="C35" s="39" t="s">
        <v>189</v>
      </c>
      <c r="D35" s="39" t="s">
        <v>190</v>
      </c>
      <c r="E35" s="39" t="s">
        <v>191</v>
      </c>
      <c r="F35" s="38" t="str">
        <f t="shared" si="1"/>
        <v>WRONG</v>
      </c>
      <c r="G35" s="38" t="s">
        <v>36</v>
      </c>
      <c r="H35" s="51" t="s">
        <v>48</v>
      </c>
      <c r="I35" s="40" t="s">
        <v>536</v>
      </c>
      <c r="J35" s="52"/>
    </row>
    <row r="36" ht="60.0" customHeight="1">
      <c r="A36" s="38">
        <v>33.0</v>
      </c>
      <c r="B36" s="39" t="s">
        <v>193</v>
      </c>
      <c r="C36" s="39" t="s">
        <v>194</v>
      </c>
      <c r="D36" s="39" t="s">
        <v>195</v>
      </c>
      <c r="E36" s="39" t="s">
        <v>196</v>
      </c>
      <c r="F36" s="38" t="str">
        <f t="shared" si="1"/>
        <v>WRONG</v>
      </c>
      <c r="G36" s="38" t="s">
        <v>48</v>
      </c>
      <c r="H36" s="51" t="s">
        <v>37</v>
      </c>
      <c r="I36" s="40" t="s">
        <v>537</v>
      </c>
      <c r="J36" s="52"/>
    </row>
    <row r="37" ht="60.0" customHeight="1">
      <c r="A37" s="38">
        <v>34.0</v>
      </c>
      <c r="B37" s="39" t="s">
        <v>198</v>
      </c>
      <c r="C37" s="39" t="s">
        <v>199</v>
      </c>
      <c r="D37" s="39" t="s">
        <v>200</v>
      </c>
      <c r="E37" s="39" t="s">
        <v>201</v>
      </c>
      <c r="F37" s="38" t="str">
        <f t="shared" si="1"/>
        <v>CORRECT</v>
      </c>
      <c r="G37" s="38" t="s">
        <v>36</v>
      </c>
      <c r="H37" s="51" t="s">
        <v>36</v>
      </c>
      <c r="I37" s="40" t="s">
        <v>538</v>
      </c>
      <c r="J37" s="52"/>
    </row>
    <row r="38" ht="60.0" customHeight="1">
      <c r="A38" s="38">
        <v>35.0</v>
      </c>
      <c r="B38" s="39" t="s">
        <v>203</v>
      </c>
      <c r="C38" s="39" t="s">
        <v>204</v>
      </c>
      <c r="D38" s="39" t="s">
        <v>205</v>
      </c>
      <c r="E38" s="39" t="s">
        <v>206</v>
      </c>
      <c r="F38" s="38" t="str">
        <f t="shared" si="1"/>
        <v>WRONG</v>
      </c>
      <c r="G38" s="38" t="s">
        <v>48</v>
      </c>
      <c r="H38" s="51" t="s">
        <v>519</v>
      </c>
      <c r="I38" s="40" t="s">
        <v>539</v>
      </c>
      <c r="J38" s="52"/>
    </row>
    <row r="39" ht="60.0" customHeight="1">
      <c r="A39" s="38">
        <v>36.0</v>
      </c>
      <c r="B39" s="39" t="s">
        <v>208</v>
      </c>
      <c r="C39" s="39" t="s">
        <v>209</v>
      </c>
      <c r="D39" s="39" t="s">
        <v>210</v>
      </c>
      <c r="E39" s="39" t="s">
        <v>211</v>
      </c>
      <c r="F39" s="38" t="str">
        <f t="shared" si="1"/>
        <v>CORRECT</v>
      </c>
      <c r="G39" s="38" t="s">
        <v>36</v>
      </c>
      <c r="H39" s="51" t="s">
        <v>36</v>
      </c>
      <c r="I39" s="40" t="s">
        <v>540</v>
      </c>
      <c r="J39" s="52"/>
    </row>
    <row r="40" ht="60.0" customHeight="1">
      <c r="A40" s="38">
        <v>37.0</v>
      </c>
      <c r="B40" s="39" t="s">
        <v>213</v>
      </c>
      <c r="C40" s="39" t="s">
        <v>214</v>
      </c>
      <c r="D40" s="39" t="s">
        <v>215</v>
      </c>
      <c r="E40" s="39" t="s">
        <v>216</v>
      </c>
      <c r="F40" s="38" t="str">
        <f t="shared" si="1"/>
        <v>CORRECT</v>
      </c>
      <c r="G40" s="38" t="s">
        <v>36</v>
      </c>
      <c r="H40" s="51" t="s">
        <v>36</v>
      </c>
      <c r="I40" s="40" t="s">
        <v>541</v>
      </c>
      <c r="J40" s="52"/>
    </row>
    <row r="41" ht="60.0" customHeight="1">
      <c r="A41" s="38">
        <v>38.0</v>
      </c>
      <c r="B41" s="39" t="s">
        <v>218</v>
      </c>
      <c r="C41" s="39" t="s">
        <v>219</v>
      </c>
      <c r="D41" s="39" t="s">
        <v>220</v>
      </c>
      <c r="E41" s="39" t="s">
        <v>221</v>
      </c>
      <c r="F41" s="38" t="str">
        <f t="shared" si="1"/>
        <v>CORRECT</v>
      </c>
      <c r="G41" s="38" t="s">
        <v>36</v>
      </c>
      <c r="H41" s="51" t="s">
        <v>36</v>
      </c>
      <c r="I41" s="40" t="s">
        <v>542</v>
      </c>
      <c r="J41" s="52"/>
    </row>
    <row r="42" ht="60.0" customHeight="1">
      <c r="A42" s="38">
        <v>39.0</v>
      </c>
      <c r="B42" s="39" t="s">
        <v>223</v>
      </c>
      <c r="C42" s="39" t="s">
        <v>224</v>
      </c>
      <c r="D42" s="39" t="s">
        <v>225</v>
      </c>
      <c r="E42" s="39" t="s">
        <v>226</v>
      </c>
      <c r="F42" s="38" t="str">
        <f t="shared" si="1"/>
        <v>WRONG</v>
      </c>
      <c r="G42" s="38" t="s">
        <v>37</v>
      </c>
      <c r="H42" s="51" t="s">
        <v>36</v>
      </c>
      <c r="I42" s="40" t="s">
        <v>543</v>
      </c>
      <c r="J42" s="52"/>
    </row>
    <row r="43" ht="60.0" customHeight="1">
      <c r="A43" s="38">
        <v>40.0</v>
      </c>
      <c r="B43" s="39" t="s">
        <v>228</v>
      </c>
      <c r="C43" s="39" t="s">
        <v>229</v>
      </c>
      <c r="D43" s="39" t="s">
        <v>230</v>
      </c>
      <c r="E43" s="39" t="s">
        <v>231</v>
      </c>
      <c r="F43" s="38" t="str">
        <f t="shared" si="1"/>
        <v>WRONG</v>
      </c>
      <c r="G43" s="38" t="s">
        <v>48</v>
      </c>
      <c r="H43" s="51" t="s">
        <v>37</v>
      </c>
      <c r="I43" s="40" t="s">
        <v>544</v>
      </c>
      <c r="J43" s="52"/>
    </row>
    <row r="44" ht="60.0" customHeight="1">
      <c r="A44" s="38">
        <v>41.0</v>
      </c>
      <c r="B44" s="39" t="s">
        <v>233</v>
      </c>
      <c r="C44" s="39" t="s">
        <v>234</v>
      </c>
      <c r="D44" s="39" t="s">
        <v>235</v>
      </c>
      <c r="E44" s="39" t="s">
        <v>236</v>
      </c>
      <c r="F44" s="38" t="str">
        <f t="shared" si="1"/>
        <v>CORRECT</v>
      </c>
      <c r="G44" s="38" t="s">
        <v>37</v>
      </c>
      <c r="H44" s="51" t="s">
        <v>37</v>
      </c>
      <c r="I44" s="40" t="s">
        <v>545</v>
      </c>
      <c r="J44" s="52"/>
    </row>
    <row r="45" ht="60.0" customHeight="1">
      <c r="A45" s="38">
        <v>42.0</v>
      </c>
      <c r="B45" s="39" t="s">
        <v>238</v>
      </c>
      <c r="C45" s="39" t="s">
        <v>239</v>
      </c>
      <c r="D45" s="39" t="s">
        <v>240</v>
      </c>
      <c r="E45" s="39" t="s">
        <v>241</v>
      </c>
      <c r="F45" s="38" t="str">
        <f t="shared" si="1"/>
        <v>WRONG</v>
      </c>
      <c r="G45" s="38" t="s">
        <v>36</v>
      </c>
      <c r="H45" s="51" t="s">
        <v>37</v>
      </c>
      <c r="I45" s="40" t="s">
        <v>546</v>
      </c>
      <c r="J45" s="52"/>
    </row>
    <row r="46" ht="60.0" customHeight="1">
      <c r="A46" s="38">
        <v>43.0</v>
      </c>
      <c r="B46" s="39" t="s">
        <v>243</v>
      </c>
      <c r="C46" s="39" t="s">
        <v>244</v>
      </c>
      <c r="D46" s="39" t="s">
        <v>245</v>
      </c>
      <c r="E46" s="39" t="s">
        <v>246</v>
      </c>
      <c r="F46" s="38" t="str">
        <f t="shared" si="1"/>
        <v>WRONG</v>
      </c>
      <c r="G46" s="38" t="s">
        <v>48</v>
      </c>
      <c r="H46" s="51" t="s">
        <v>36</v>
      </c>
      <c r="I46" s="40" t="s">
        <v>547</v>
      </c>
      <c r="J46" s="52"/>
    </row>
    <row r="47" ht="60.0" customHeight="1">
      <c r="A47" s="38">
        <v>44.0</v>
      </c>
      <c r="B47" s="39" t="s">
        <v>248</v>
      </c>
      <c r="C47" s="39" t="s">
        <v>249</v>
      </c>
      <c r="D47" s="39" t="s">
        <v>250</v>
      </c>
      <c r="E47" s="39" t="s">
        <v>251</v>
      </c>
      <c r="F47" s="38" t="str">
        <f t="shared" si="1"/>
        <v>CORRECT</v>
      </c>
      <c r="G47" s="38" t="s">
        <v>36</v>
      </c>
      <c r="H47" s="51" t="s">
        <v>36</v>
      </c>
      <c r="I47" s="40" t="s">
        <v>548</v>
      </c>
      <c r="J47" s="52"/>
    </row>
    <row r="48" ht="60.0" customHeight="1">
      <c r="A48" s="38">
        <v>45.0</v>
      </c>
      <c r="B48" s="39" t="s">
        <v>253</v>
      </c>
      <c r="C48" s="39" t="s">
        <v>254</v>
      </c>
      <c r="D48" s="39" t="s">
        <v>255</v>
      </c>
      <c r="E48" s="39" t="s">
        <v>256</v>
      </c>
      <c r="F48" s="38" t="str">
        <f t="shared" si="1"/>
        <v>WRONG</v>
      </c>
      <c r="G48" s="38" t="s">
        <v>36</v>
      </c>
      <c r="H48" s="51" t="s">
        <v>48</v>
      </c>
      <c r="I48" s="40" t="s">
        <v>549</v>
      </c>
      <c r="J48" s="52"/>
    </row>
    <row r="49" ht="60.0" customHeight="1">
      <c r="A49" s="38">
        <v>46.0</v>
      </c>
      <c r="B49" s="39" t="s">
        <v>258</v>
      </c>
      <c r="C49" s="39" t="s">
        <v>40</v>
      </c>
      <c r="D49" s="39" t="s">
        <v>259</v>
      </c>
      <c r="E49" s="39" t="s">
        <v>260</v>
      </c>
      <c r="F49" s="38" t="str">
        <f t="shared" si="1"/>
        <v>CORRECT</v>
      </c>
      <c r="G49" s="38" t="s">
        <v>36</v>
      </c>
      <c r="H49" s="51" t="s">
        <v>36</v>
      </c>
      <c r="I49" s="40" t="s">
        <v>550</v>
      </c>
      <c r="J49" s="52"/>
    </row>
    <row r="50">
      <c r="A50" s="42" t="s">
        <v>262</v>
      </c>
      <c r="B50" s="2"/>
      <c r="C50" s="2"/>
      <c r="D50" s="2"/>
      <c r="E50" s="3"/>
      <c r="F50" s="43">
        <f>COUNTIFS(F4:F49,"CORRECT")</f>
        <v>22</v>
      </c>
      <c r="G50" s="44"/>
      <c r="H50" s="44"/>
      <c r="J50" s="45" t="str">
        <f>AVERAGE(J4:J49)</f>
        <v>#DIV/0!</v>
      </c>
    </row>
    <row r="51">
      <c r="A51" s="46" t="s">
        <v>263</v>
      </c>
      <c r="B51" s="2"/>
      <c r="C51" s="2"/>
      <c r="D51" s="2"/>
      <c r="E51" s="3"/>
      <c r="F51" s="47">
        <v>46.0</v>
      </c>
      <c r="G51" s="44"/>
      <c r="H51" s="44"/>
    </row>
    <row r="52">
      <c r="A52" s="42" t="s">
        <v>264</v>
      </c>
      <c r="B52" s="2"/>
      <c r="C52" s="2"/>
      <c r="D52" s="2"/>
      <c r="E52" s="3"/>
      <c r="F52" s="48">
        <f>F50/F51</f>
        <v>0.4782608696</v>
      </c>
      <c r="G52" s="44"/>
      <c r="H52" s="44"/>
    </row>
    <row r="53">
      <c r="A53" s="44"/>
      <c r="B53" s="49"/>
      <c r="C53" s="49"/>
      <c r="D53" s="49"/>
      <c r="E53" s="49"/>
      <c r="F53" s="44"/>
      <c r="G53" s="44"/>
      <c r="H53" s="44"/>
    </row>
    <row r="54">
      <c r="A54" s="44"/>
      <c r="B54" s="49"/>
      <c r="C54" s="49"/>
      <c r="D54" s="49"/>
      <c r="E54" s="49"/>
      <c r="F54" s="44"/>
      <c r="G54" s="44"/>
      <c r="H54" s="44"/>
    </row>
    <row r="55">
      <c r="A55" s="44"/>
      <c r="B55" s="49"/>
      <c r="C55" s="49"/>
      <c r="D55" s="49"/>
      <c r="E55" s="49"/>
      <c r="F55" s="44"/>
      <c r="G55" s="44"/>
      <c r="H55" s="44"/>
    </row>
    <row r="56">
      <c r="A56" s="44"/>
      <c r="B56" s="49"/>
      <c r="C56" s="49"/>
      <c r="D56" s="49"/>
      <c r="E56" s="49"/>
      <c r="F56" s="44"/>
      <c r="G56" s="44"/>
      <c r="H56" s="44"/>
    </row>
    <row r="57">
      <c r="A57" s="44"/>
      <c r="B57" s="49"/>
      <c r="C57" s="49"/>
      <c r="D57" s="49"/>
      <c r="E57" s="49"/>
      <c r="F57" s="44"/>
      <c r="G57" s="44"/>
      <c r="H57" s="44"/>
    </row>
    <row r="58">
      <c r="A58" s="44"/>
      <c r="B58" s="49"/>
      <c r="C58" s="49"/>
      <c r="D58" s="49"/>
      <c r="E58" s="49"/>
      <c r="F58" s="44"/>
      <c r="G58" s="44"/>
      <c r="H58" s="44"/>
    </row>
    <row r="59">
      <c r="A59" s="44"/>
      <c r="B59" s="49"/>
      <c r="C59" s="49"/>
      <c r="D59" s="49"/>
      <c r="E59" s="49"/>
      <c r="F59" s="44"/>
      <c r="G59" s="44"/>
      <c r="H59" s="44"/>
    </row>
    <row r="60">
      <c r="A60" s="44"/>
      <c r="B60" s="49"/>
      <c r="C60" s="49"/>
      <c r="D60" s="49"/>
      <c r="E60" s="49"/>
      <c r="F60" s="44"/>
      <c r="G60" s="44"/>
      <c r="H60" s="44"/>
    </row>
    <row r="61">
      <c r="A61" s="44"/>
      <c r="B61" s="49"/>
      <c r="C61" s="49"/>
      <c r="D61" s="49"/>
      <c r="E61" s="49"/>
      <c r="F61" s="44"/>
      <c r="G61" s="44"/>
      <c r="H61" s="44"/>
    </row>
    <row r="62">
      <c r="A62" s="44"/>
      <c r="B62" s="49"/>
      <c r="C62" s="49"/>
      <c r="D62" s="49"/>
      <c r="E62" s="49"/>
      <c r="F62" s="44"/>
      <c r="G62" s="44"/>
      <c r="H62" s="44"/>
    </row>
    <row r="63">
      <c r="A63" s="44"/>
      <c r="B63" s="49"/>
      <c r="C63" s="49"/>
      <c r="D63" s="49"/>
      <c r="E63" s="49"/>
      <c r="F63" s="44"/>
      <c r="G63" s="44"/>
      <c r="H63" s="44"/>
    </row>
    <row r="64">
      <c r="A64" s="44"/>
      <c r="B64" s="49"/>
      <c r="C64" s="49"/>
      <c r="D64" s="49"/>
      <c r="E64" s="49"/>
      <c r="F64" s="44"/>
      <c r="G64" s="44"/>
      <c r="H64" s="44"/>
    </row>
    <row r="65">
      <c r="A65" s="44"/>
      <c r="B65" s="49"/>
      <c r="C65" s="49"/>
      <c r="D65" s="49"/>
      <c r="E65" s="49"/>
      <c r="F65" s="44"/>
      <c r="G65" s="44"/>
      <c r="H65" s="44"/>
    </row>
    <row r="66">
      <c r="A66" s="44"/>
      <c r="B66" s="49"/>
      <c r="C66" s="49"/>
      <c r="D66" s="49"/>
      <c r="E66" s="49"/>
      <c r="F66" s="44"/>
      <c r="G66" s="44"/>
      <c r="H66" s="44"/>
    </row>
    <row r="67">
      <c r="A67" s="44"/>
      <c r="B67" s="49"/>
      <c r="C67" s="49"/>
      <c r="D67" s="49"/>
      <c r="E67" s="49"/>
      <c r="F67" s="44"/>
      <c r="G67" s="44"/>
      <c r="H67" s="44"/>
    </row>
    <row r="68">
      <c r="A68" s="44"/>
      <c r="B68" s="49"/>
      <c r="C68" s="49"/>
      <c r="D68" s="49"/>
      <c r="E68" s="49"/>
      <c r="F68" s="44"/>
      <c r="G68" s="44"/>
      <c r="H68" s="44"/>
    </row>
    <row r="69">
      <c r="A69" s="44"/>
      <c r="B69" s="49"/>
      <c r="C69" s="49"/>
      <c r="D69" s="49"/>
      <c r="E69" s="49"/>
      <c r="F69" s="44"/>
      <c r="G69" s="44"/>
      <c r="H69" s="44"/>
    </row>
    <row r="70">
      <c r="A70" s="44"/>
      <c r="B70" s="49"/>
      <c r="C70" s="49"/>
      <c r="D70" s="49"/>
      <c r="E70" s="49"/>
      <c r="F70" s="44"/>
      <c r="G70" s="44"/>
      <c r="H70" s="44"/>
    </row>
    <row r="71">
      <c r="A71" s="44"/>
      <c r="B71" s="49"/>
      <c r="C71" s="49"/>
      <c r="D71" s="49"/>
      <c r="E71" s="49"/>
      <c r="F71" s="44"/>
      <c r="G71" s="44"/>
      <c r="H71" s="44"/>
    </row>
    <row r="72">
      <c r="A72" s="44"/>
      <c r="B72" s="49"/>
      <c r="C72" s="49"/>
      <c r="D72" s="49"/>
      <c r="E72" s="49"/>
      <c r="F72" s="44"/>
      <c r="G72" s="44"/>
      <c r="H72" s="44"/>
    </row>
    <row r="73">
      <c r="A73" s="44"/>
      <c r="B73" s="49"/>
      <c r="C73" s="49"/>
      <c r="D73" s="49"/>
      <c r="E73" s="49"/>
      <c r="F73" s="44"/>
      <c r="G73" s="44"/>
      <c r="H73" s="44"/>
    </row>
    <row r="74">
      <c r="A74" s="44"/>
      <c r="B74" s="49"/>
      <c r="C74" s="49"/>
      <c r="D74" s="49"/>
      <c r="E74" s="49"/>
      <c r="F74" s="44"/>
      <c r="G74" s="44"/>
      <c r="H74" s="44"/>
    </row>
    <row r="75">
      <c r="A75" s="44"/>
      <c r="B75" s="49"/>
      <c r="C75" s="49"/>
      <c r="D75" s="49"/>
      <c r="E75" s="49"/>
      <c r="F75" s="44"/>
      <c r="G75" s="44"/>
      <c r="H75" s="44"/>
    </row>
    <row r="76">
      <c r="A76" s="44"/>
      <c r="B76" s="49"/>
      <c r="C76" s="49"/>
      <c r="D76" s="49"/>
      <c r="E76" s="49"/>
      <c r="F76" s="44"/>
      <c r="G76" s="44"/>
      <c r="H76" s="44"/>
    </row>
    <row r="77">
      <c r="A77" s="44"/>
      <c r="B77" s="49"/>
      <c r="C77" s="49"/>
      <c r="D77" s="49"/>
      <c r="E77" s="49"/>
      <c r="F77" s="44"/>
      <c r="G77" s="44"/>
      <c r="H77" s="44"/>
    </row>
    <row r="78">
      <c r="A78" s="44"/>
      <c r="B78" s="49"/>
      <c r="C78" s="49"/>
      <c r="D78" s="49"/>
      <c r="E78" s="49"/>
      <c r="F78" s="44"/>
      <c r="G78" s="44"/>
      <c r="H78" s="44"/>
    </row>
    <row r="79">
      <c r="A79" s="44"/>
      <c r="B79" s="49"/>
      <c r="C79" s="49"/>
      <c r="D79" s="49"/>
      <c r="E79" s="49"/>
      <c r="F79" s="44"/>
      <c r="G79" s="44"/>
      <c r="H79" s="44"/>
    </row>
    <row r="80">
      <c r="A80" s="44"/>
      <c r="B80" s="49"/>
      <c r="C80" s="49"/>
      <c r="D80" s="49"/>
      <c r="E80" s="49"/>
      <c r="F80" s="44"/>
      <c r="G80" s="44"/>
      <c r="H80" s="44"/>
    </row>
    <row r="81">
      <c r="A81" s="44"/>
      <c r="B81" s="49"/>
      <c r="C81" s="49"/>
      <c r="D81" s="49"/>
      <c r="E81" s="49"/>
      <c r="F81" s="44"/>
      <c r="G81" s="44"/>
      <c r="H81" s="44"/>
    </row>
    <row r="82">
      <c r="A82" s="44"/>
      <c r="B82" s="49"/>
      <c r="C82" s="49"/>
      <c r="D82" s="49"/>
      <c r="E82" s="49"/>
      <c r="F82" s="44"/>
      <c r="G82" s="44"/>
      <c r="H82" s="44"/>
    </row>
    <row r="83">
      <c r="A83" s="44"/>
      <c r="B83" s="49"/>
      <c r="C83" s="49"/>
      <c r="D83" s="49"/>
      <c r="E83" s="49"/>
      <c r="F83" s="44"/>
      <c r="G83" s="44"/>
      <c r="H83" s="44"/>
    </row>
    <row r="84">
      <c r="A84" s="44"/>
      <c r="B84" s="49"/>
      <c r="C84" s="49"/>
      <c r="D84" s="49"/>
      <c r="E84" s="49"/>
      <c r="F84" s="44"/>
      <c r="G84" s="44"/>
      <c r="H84" s="44"/>
    </row>
    <row r="85">
      <c r="A85" s="44"/>
      <c r="B85" s="49"/>
      <c r="C85" s="49"/>
      <c r="D85" s="49"/>
      <c r="E85" s="49"/>
      <c r="F85" s="44"/>
      <c r="G85" s="44"/>
      <c r="H85" s="44"/>
    </row>
    <row r="86">
      <c r="A86" s="44"/>
      <c r="B86" s="49"/>
      <c r="C86" s="49"/>
      <c r="D86" s="49"/>
      <c r="E86" s="49"/>
      <c r="F86" s="44"/>
      <c r="G86" s="44"/>
      <c r="H86" s="44"/>
    </row>
    <row r="87">
      <c r="A87" s="44"/>
      <c r="B87" s="49"/>
      <c r="C87" s="49"/>
      <c r="D87" s="49"/>
      <c r="E87" s="49"/>
      <c r="F87" s="44"/>
      <c r="G87" s="44"/>
      <c r="H87" s="44"/>
    </row>
    <row r="88">
      <c r="A88" s="44"/>
      <c r="B88" s="49"/>
      <c r="C88" s="49"/>
      <c r="D88" s="49"/>
      <c r="E88" s="49"/>
      <c r="F88" s="44"/>
      <c r="G88" s="44"/>
      <c r="H88" s="44"/>
    </row>
    <row r="89">
      <c r="A89" s="44"/>
      <c r="B89" s="49"/>
      <c r="C89" s="49"/>
      <c r="D89" s="49"/>
      <c r="E89" s="49"/>
      <c r="F89" s="44"/>
      <c r="G89" s="44"/>
      <c r="H89" s="44"/>
    </row>
    <row r="90">
      <c r="A90" s="44"/>
      <c r="B90" s="49"/>
      <c r="C90" s="49"/>
      <c r="D90" s="49"/>
      <c r="E90" s="49"/>
      <c r="F90" s="44"/>
      <c r="G90" s="44"/>
      <c r="H90" s="44"/>
    </row>
    <row r="91">
      <c r="A91" s="44"/>
      <c r="B91" s="49"/>
      <c r="C91" s="49"/>
      <c r="D91" s="49"/>
      <c r="E91" s="49"/>
      <c r="F91" s="44"/>
      <c r="G91" s="44"/>
      <c r="H91" s="44"/>
    </row>
    <row r="92">
      <c r="A92" s="44"/>
      <c r="B92" s="49"/>
      <c r="C92" s="49"/>
      <c r="D92" s="49"/>
      <c r="E92" s="49"/>
      <c r="F92" s="44"/>
      <c r="G92" s="44"/>
      <c r="H92" s="44"/>
    </row>
    <row r="93">
      <c r="A93" s="44"/>
      <c r="B93" s="49"/>
      <c r="C93" s="49"/>
      <c r="D93" s="49"/>
      <c r="E93" s="49"/>
      <c r="F93" s="44"/>
      <c r="G93" s="44"/>
      <c r="H93" s="44"/>
    </row>
    <row r="94">
      <c r="A94" s="44"/>
      <c r="B94" s="49"/>
      <c r="C94" s="49"/>
      <c r="D94" s="49"/>
      <c r="E94" s="49"/>
      <c r="F94" s="44"/>
      <c r="G94" s="44"/>
      <c r="H94" s="44"/>
    </row>
    <row r="95">
      <c r="A95" s="44"/>
      <c r="B95" s="49"/>
      <c r="C95" s="49"/>
      <c r="D95" s="49"/>
      <c r="E95" s="49"/>
      <c r="F95" s="44"/>
      <c r="G95" s="44"/>
      <c r="H95" s="44"/>
    </row>
    <row r="96">
      <c r="A96" s="44"/>
      <c r="B96" s="49"/>
      <c r="C96" s="49"/>
      <c r="D96" s="49"/>
      <c r="E96" s="49"/>
      <c r="F96" s="44"/>
      <c r="G96" s="44"/>
      <c r="H96" s="44"/>
    </row>
    <row r="97">
      <c r="A97" s="44"/>
      <c r="B97" s="49"/>
      <c r="C97" s="49"/>
      <c r="D97" s="49"/>
      <c r="E97" s="49"/>
      <c r="F97" s="44"/>
      <c r="G97" s="44"/>
      <c r="H97" s="44"/>
    </row>
    <row r="98">
      <c r="A98" s="44"/>
      <c r="B98" s="49"/>
      <c r="C98" s="49"/>
      <c r="D98" s="49"/>
      <c r="E98" s="49"/>
      <c r="F98" s="44"/>
      <c r="G98" s="44"/>
      <c r="H98" s="44"/>
    </row>
    <row r="99">
      <c r="A99" s="44"/>
      <c r="B99" s="49"/>
      <c r="C99" s="49"/>
      <c r="D99" s="49"/>
      <c r="E99" s="49"/>
      <c r="F99" s="44"/>
      <c r="G99" s="44"/>
      <c r="H99" s="44"/>
    </row>
    <row r="100">
      <c r="A100" s="44"/>
      <c r="B100" s="49"/>
      <c r="C100" s="49"/>
      <c r="D100" s="49"/>
      <c r="E100" s="49"/>
      <c r="F100" s="44"/>
      <c r="G100" s="44"/>
      <c r="H100" s="44"/>
    </row>
    <row r="101">
      <c r="A101" s="44"/>
      <c r="B101" s="49"/>
      <c r="C101" s="49"/>
      <c r="D101" s="49"/>
      <c r="E101" s="49"/>
      <c r="F101" s="44"/>
      <c r="G101" s="44"/>
      <c r="H101" s="44"/>
    </row>
    <row r="102">
      <c r="A102" s="44"/>
      <c r="B102" s="49"/>
      <c r="C102" s="49"/>
      <c r="D102" s="49"/>
      <c r="E102" s="49"/>
      <c r="F102" s="44"/>
      <c r="G102" s="44"/>
      <c r="H102" s="44"/>
    </row>
    <row r="103">
      <c r="A103" s="44"/>
      <c r="B103" s="49"/>
      <c r="C103" s="49"/>
      <c r="D103" s="49"/>
      <c r="E103" s="49"/>
      <c r="F103" s="44"/>
      <c r="G103" s="44"/>
      <c r="H103" s="44"/>
    </row>
    <row r="104">
      <c r="A104" s="44"/>
      <c r="B104" s="49"/>
      <c r="C104" s="49"/>
      <c r="D104" s="49"/>
      <c r="E104" s="49"/>
      <c r="F104" s="44"/>
      <c r="G104" s="44"/>
      <c r="H104" s="44"/>
    </row>
    <row r="105">
      <c r="A105" s="44"/>
      <c r="B105" s="49"/>
      <c r="C105" s="49"/>
      <c r="D105" s="49"/>
      <c r="E105" s="49"/>
      <c r="F105" s="44"/>
      <c r="G105" s="44"/>
      <c r="H105" s="44"/>
    </row>
    <row r="106">
      <c r="A106" s="44"/>
      <c r="B106" s="49"/>
      <c r="C106" s="49"/>
      <c r="D106" s="49"/>
      <c r="E106" s="49"/>
      <c r="F106" s="44"/>
      <c r="G106" s="44"/>
      <c r="H106" s="44"/>
    </row>
    <row r="107">
      <c r="A107" s="44"/>
      <c r="B107" s="49"/>
      <c r="C107" s="49"/>
      <c r="D107" s="49"/>
      <c r="E107" s="49"/>
      <c r="F107" s="44"/>
      <c r="G107" s="44"/>
      <c r="H107" s="44"/>
    </row>
    <row r="108">
      <c r="A108" s="44"/>
      <c r="B108" s="49"/>
      <c r="C108" s="49"/>
      <c r="D108" s="49"/>
      <c r="E108" s="49"/>
      <c r="F108" s="44"/>
      <c r="G108" s="44"/>
      <c r="H108" s="44"/>
    </row>
    <row r="109">
      <c r="A109" s="44"/>
      <c r="B109" s="49"/>
      <c r="C109" s="49"/>
      <c r="D109" s="49"/>
      <c r="E109" s="49"/>
      <c r="F109" s="44"/>
      <c r="G109" s="44"/>
      <c r="H109" s="44"/>
    </row>
    <row r="110">
      <c r="A110" s="44"/>
      <c r="B110" s="49"/>
      <c r="C110" s="49"/>
      <c r="D110" s="49"/>
      <c r="E110" s="49"/>
      <c r="F110" s="44"/>
      <c r="G110" s="44"/>
      <c r="H110" s="44"/>
    </row>
    <row r="111">
      <c r="A111" s="44"/>
      <c r="B111" s="49"/>
      <c r="C111" s="49"/>
      <c r="D111" s="49"/>
      <c r="E111" s="49"/>
      <c r="F111" s="44"/>
      <c r="G111" s="44"/>
      <c r="H111" s="44"/>
    </row>
    <row r="112">
      <c r="A112" s="44"/>
      <c r="B112" s="49"/>
      <c r="C112" s="49"/>
      <c r="D112" s="49"/>
      <c r="E112" s="49"/>
      <c r="F112" s="44"/>
      <c r="G112" s="44"/>
      <c r="H112" s="44"/>
    </row>
    <row r="113">
      <c r="A113" s="44"/>
      <c r="B113" s="49"/>
      <c r="C113" s="49"/>
      <c r="D113" s="49"/>
      <c r="E113" s="49"/>
      <c r="F113" s="44"/>
      <c r="G113" s="44"/>
      <c r="H113" s="44"/>
    </row>
    <row r="114">
      <c r="A114" s="44"/>
      <c r="B114" s="49"/>
      <c r="C114" s="49"/>
      <c r="D114" s="49"/>
      <c r="E114" s="49"/>
      <c r="F114" s="44"/>
      <c r="G114" s="44"/>
      <c r="H114" s="44"/>
    </row>
    <row r="115">
      <c r="A115" s="44"/>
      <c r="B115" s="49"/>
      <c r="C115" s="49"/>
      <c r="D115" s="49"/>
      <c r="E115" s="49"/>
      <c r="F115" s="44"/>
      <c r="G115" s="44"/>
      <c r="H115" s="44"/>
    </row>
    <row r="116">
      <c r="A116" s="44"/>
      <c r="B116" s="49"/>
      <c r="C116" s="49"/>
      <c r="D116" s="49"/>
      <c r="E116" s="49"/>
      <c r="F116" s="44"/>
      <c r="G116" s="44"/>
      <c r="H116" s="44"/>
    </row>
    <row r="117">
      <c r="A117" s="44"/>
      <c r="B117" s="49"/>
      <c r="C117" s="49"/>
      <c r="D117" s="49"/>
      <c r="E117" s="49"/>
      <c r="F117" s="44"/>
      <c r="G117" s="44"/>
      <c r="H117" s="44"/>
    </row>
    <row r="118">
      <c r="A118" s="44"/>
      <c r="B118" s="49"/>
      <c r="C118" s="49"/>
      <c r="D118" s="49"/>
      <c r="E118" s="49"/>
      <c r="F118" s="44"/>
      <c r="G118" s="44"/>
      <c r="H118" s="44"/>
    </row>
    <row r="119">
      <c r="A119" s="44"/>
      <c r="B119" s="49"/>
      <c r="C119" s="49"/>
      <c r="D119" s="49"/>
      <c r="E119" s="49"/>
      <c r="F119" s="44"/>
      <c r="G119" s="44"/>
      <c r="H119" s="44"/>
    </row>
    <row r="120">
      <c r="A120" s="44"/>
      <c r="B120" s="49"/>
      <c r="C120" s="49"/>
      <c r="D120" s="49"/>
      <c r="E120" s="49"/>
      <c r="F120" s="44"/>
      <c r="G120" s="44"/>
      <c r="H120" s="44"/>
    </row>
    <row r="121">
      <c r="A121" s="44"/>
      <c r="B121" s="49"/>
      <c r="C121" s="49"/>
      <c r="D121" s="49"/>
      <c r="E121" s="49"/>
      <c r="F121" s="44"/>
      <c r="G121" s="44"/>
      <c r="H121" s="44"/>
    </row>
    <row r="122">
      <c r="A122" s="44"/>
      <c r="B122" s="49"/>
      <c r="C122" s="49"/>
      <c r="D122" s="49"/>
      <c r="E122" s="49"/>
      <c r="F122" s="44"/>
      <c r="G122" s="44"/>
      <c r="H122" s="44"/>
    </row>
    <row r="123">
      <c r="A123" s="44"/>
      <c r="B123" s="49"/>
      <c r="C123" s="49"/>
      <c r="D123" s="49"/>
      <c r="E123" s="49"/>
      <c r="F123" s="44"/>
      <c r="G123" s="44"/>
      <c r="H123" s="44"/>
    </row>
    <row r="124">
      <c r="A124" s="44"/>
      <c r="B124" s="49"/>
      <c r="C124" s="49"/>
      <c r="D124" s="49"/>
      <c r="E124" s="49"/>
      <c r="F124" s="44"/>
      <c r="G124" s="44"/>
      <c r="H124" s="44"/>
    </row>
    <row r="125">
      <c r="A125" s="44"/>
      <c r="B125" s="49"/>
      <c r="C125" s="49"/>
      <c r="D125" s="49"/>
      <c r="E125" s="49"/>
      <c r="F125" s="44"/>
      <c r="G125" s="44"/>
      <c r="H125" s="44"/>
    </row>
    <row r="126">
      <c r="A126" s="44"/>
      <c r="B126" s="49"/>
      <c r="C126" s="49"/>
      <c r="D126" s="49"/>
      <c r="E126" s="49"/>
      <c r="F126" s="44"/>
      <c r="G126" s="44"/>
      <c r="H126" s="44"/>
    </row>
    <row r="127">
      <c r="A127" s="44"/>
      <c r="B127" s="49"/>
      <c r="C127" s="49"/>
      <c r="D127" s="49"/>
      <c r="E127" s="49"/>
      <c r="F127" s="44"/>
      <c r="G127" s="44"/>
      <c r="H127" s="44"/>
    </row>
    <row r="128">
      <c r="A128" s="44"/>
      <c r="B128" s="49"/>
      <c r="C128" s="49"/>
      <c r="D128" s="49"/>
      <c r="E128" s="49"/>
      <c r="F128" s="44"/>
      <c r="G128" s="44"/>
      <c r="H128" s="44"/>
    </row>
    <row r="129">
      <c r="A129" s="44"/>
      <c r="B129" s="49"/>
      <c r="C129" s="49"/>
      <c r="D129" s="49"/>
      <c r="E129" s="49"/>
      <c r="F129" s="44"/>
      <c r="G129" s="44"/>
      <c r="H129" s="44"/>
    </row>
    <row r="130">
      <c r="A130" s="44"/>
      <c r="B130" s="49"/>
      <c r="C130" s="49"/>
      <c r="D130" s="49"/>
      <c r="E130" s="49"/>
      <c r="F130" s="44"/>
      <c r="G130" s="44"/>
      <c r="H130" s="44"/>
    </row>
    <row r="131">
      <c r="A131" s="44"/>
      <c r="B131" s="49"/>
      <c r="C131" s="49"/>
      <c r="D131" s="49"/>
      <c r="E131" s="49"/>
      <c r="F131" s="44"/>
      <c r="G131" s="44"/>
      <c r="H131" s="44"/>
    </row>
    <row r="132">
      <c r="A132" s="44"/>
      <c r="B132" s="49"/>
      <c r="C132" s="49"/>
      <c r="D132" s="49"/>
      <c r="E132" s="49"/>
      <c r="F132" s="44"/>
      <c r="G132" s="44"/>
      <c r="H132" s="44"/>
    </row>
    <row r="133">
      <c r="A133" s="44"/>
      <c r="B133" s="49"/>
      <c r="C133" s="49"/>
      <c r="D133" s="49"/>
      <c r="E133" s="49"/>
      <c r="F133" s="44"/>
      <c r="G133" s="44"/>
      <c r="H133" s="44"/>
    </row>
    <row r="134">
      <c r="A134" s="44"/>
      <c r="B134" s="49"/>
      <c r="C134" s="49"/>
      <c r="D134" s="49"/>
      <c r="E134" s="49"/>
      <c r="F134" s="44"/>
      <c r="G134" s="44"/>
      <c r="H134" s="44"/>
    </row>
    <row r="135">
      <c r="A135" s="44"/>
      <c r="B135" s="49"/>
      <c r="C135" s="49"/>
      <c r="D135" s="49"/>
      <c r="E135" s="49"/>
      <c r="F135" s="44"/>
      <c r="G135" s="44"/>
      <c r="H135" s="44"/>
    </row>
    <row r="136">
      <c r="A136" s="44"/>
      <c r="B136" s="49"/>
      <c r="C136" s="49"/>
      <c r="D136" s="49"/>
      <c r="E136" s="49"/>
      <c r="F136" s="44"/>
      <c r="G136" s="44"/>
      <c r="H136" s="44"/>
    </row>
    <row r="137">
      <c r="A137" s="44"/>
      <c r="B137" s="49"/>
      <c r="C137" s="49"/>
      <c r="D137" s="49"/>
      <c r="E137" s="49"/>
      <c r="F137" s="44"/>
      <c r="G137" s="44"/>
      <c r="H137" s="44"/>
    </row>
    <row r="138">
      <c r="A138" s="44"/>
      <c r="B138" s="49"/>
      <c r="C138" s="49"/>
      <c r="D138" s="49"/>
      <c r="E138" s="49"/>
      <c r="F138" s="44"/>
      <c r="G138" s="44"/>
      <c r="H138" s="44"/>
    </row>
    <row r="139">
      <c r="A139" s="44"/>
      <c r="B139" s="49"/>
      <c r="C139" s="49"/>
      <c r="D139" s="49"/>
      <c r="E139" s="49"/>
      <c r="F139" s="44"/>
      <c r="G139" s="44"/>
      <c r="H139" s="44"/>
    </row>
    <row r="140">
      <c r="A140" s="44"/>
      <c r="B140" s="49"/>
      <c r="C140" s="49"/>
      <c r="D140" s="49"/>
      <c r="E140" s="49"/>
      <c r="F140" s="44"/>
      <c r="G140" s="44"/>
      <c r="H140" s="44"/>
    </row>
    <row r="141">
      <c r="A141" s="44"/>
      <c r="B141" s="49"/>
      <c r="C141" s="49"/>
      <c r="D141" s="49"/>
      <c r="E141" s="49"/>
      <c r="F141" s="44"/>
      <c r="G141" s="44"/>
      <c r="H141" s="44"/>
    </row>
    <row r="142">
      <c r="A142" s="44"/>
      <c r="B142" s="49"/>
      <c r="C142" s="49"/>
      <c r="D142" s="49"/>
      <c r="E142" s="49"/>
      <c r="F142" s="44"/>
      <c r="G142" s="44"/>
      <c r="H142" s="44"/>
    </row>
    <row r="143">
      <c r="A143" s="44"/>
      <c r="B143" s="49"/>
      <c r="C143" s="49"/>
      <c r="D143" s="49"/>
      <c r="E143" s="49"/>
      <c r="F143" s="44"/>
      <c r="G143" s="44"/>
      <c r="H143" s="44"/>
    </row>
    <row r="144">
      <c r="A144" s="44"/>
      <c r="B144" s="49"/>
      <c r="C144" s="49"/>
      <c r="D144" s="49"/>
      <c r="E144" s="49"/>
      <c r="F144" s="44"/>
      <c r="G144" s="44"/>
      <c r="H144" s="44"/>
    </row>
    <row r="145">
      <c r="A145" s="44"/>
      <c r="B145" s="49"/>
      <c r="C145" s="49"/>
      <c r="D145" s="49"/>
      <c r="E145" s="49"/>
      <c r="F145" s="44"/>
      <c r="G145" s="44"/>
      <c r="H145" s="44"/>
    </row>
    <row r="146">
      <c r="A146" s="44"/>
      <c r="B146" s="49"/>
      <c r="C146" s="49"/>
      <c r="D146" s="49"/>
      <c r="E146" s="49"/>
      <c r="F146" s="44"/>
      <c r="G146" s="44"/>
      <c r="H146" s="44"/>
    </row>
    <row r="147">
      <c r="A147" s="44"/>
      <c r="B147" s="49"/>
      <c r="C147" s="49"/>
      <c r="D147" s="49"/>
      <c r="E147" s="49"/>
      <c r="F147" s="44"/>
      <c r="G147" s="44"/>
      <c r="H147" s="44"/>
    </row>
    <row r="148">
      <c r="A148" s="44"/>
      <c r="B148" s="49"/>
      <c r="C148" s="49"/>
      <c r="D148" s="49"/>
      <c r="E148" s="49"/>
      <c r="F148" s="44"/>
      <c r="G148" s="44"/>
      <c r="H148" s="44"/>
    </row>
    <row r="149">
      <c r="A149" s="44"/>
      <c r="B149" s="49"/>
      <c r="C149" s="49"/>
      <c r="D149" s="49"/>
      <c r="E149" s="49"/>
      <c r="F149" s="44"/>
      <c r="G149" s="44"/>
      <c r="H149" s="44"/>
    </row>
    <row r="150">
      <c r="A150" s="44"/>
      <c r="B150" s="49"/>
      <c r="C150" s="49"/>
      <c r="D150" s="49"/>
      <c r="E150" s="49"/>
      <c r="F150" s="44"/>
      <c r="G150" s="44"/>
      <c r="H150" s="44"/>
    </row>
    <row r="151">
      <c r="A151" s="44"/>
      <c r="B151" s="49"/>
      <c r="C151" s="49"/>
      <c r="D151" s="49"/>
      <c r="E151" s="49"/>
      <c r="F151" s="44"/>
      <c r="G151" s="44"/>
      <c r="H151" s="44"/>
    </row>
    <row r="152">
      <c r="A152" s="44"/>
      <c r="B152" s="49"/>
      <c r="C152" s="49"/>
      <c r="D152" s="49"/>
      <c r="E152" s="49"/>
      <c r="F152" s="44"/>
      <c r="G152" s="44"/>
      <c r="H152" s="44"/>
    </row>
    <row r="153">
      <c r="A153" s="44"/>
      <c r="B153" s="49"/>
      <c r="C153" s="49"/>
      <c r="D153" s="49"/>
      <c r="E153" s="49"/>
      <c r="F153" s="44"/>
      <c r="G153" s="44"/>
      <c r="H153" s="44"/>
    </row>
    <row r="154">
      <c r="A154" s="44"/>
      <c r="B154" s="49"/>
      <c r="C154" s="49"/>
      <c r="D154" s="49"/>
      <c r="E154" s="49"/>
      <c r="F154" s="44"/>
      <c r="G154" s="44"/>
      <c r="H154" s="44"/>
    </row>
    <row r="155">
      <c r="A155" s="44"/>
      <c r="B155" s="49"/>
      <c r="C155" s="49"/>
      <c r="D155" s="49"/>
      <c r="E155" s="49"/>
      <c r="F155" s="44"/>
      <c r="G155" s="44"/>
      <c r="H155" s="44"/>
    </row>
    <row r="156">
      <c r="A156" s="44"/>
      <c r="B156" s="49"/>
      <c r="C156" s="49"/>
      <c r="D156" s="49"/>
      <c r="E156" s="49"/>
      <c r="F156" s="44"/>
      <c r="G156" s="44"/>
      <c r="H156" s="44"/>
    </row>
    <row r="157">
      <c r="A157" s="44"/>
      <c r="B157" s="49"/>
      <c r="C157" s="49"/>
      <c r="D157" s="49"/>
      <c r="E157" s="49"/>
      <c r="F157" s="44"/>
      <c r="G157" s="44"/>
      <c r="H157" s="44"/>
    </row>
    <row r="158">
      <c r="A158" s="44"/>
      <c r="B158" s="49"/>
      <c r="C158" s="49"/>
      <c r="D158" s="49"/>
      <c r="E158" s="49"/>
      <c r="F158" s="44"/>
      <c r="G158" s="44"/>
      <c r="H158" s="44"/>
    </row>
    <row r="159">
      <c r="A159" s="44"/>
      <c r="B159" s="49"/>
      <c r="C159" s="49"/>
      <c r="D159" s="49"/>
      <c r="E159" s="49"/>
      <c r="F159" s="44"/>
      <c r="G159" s="44"/>
      <c r="H159" s="44"/>
    </row>
    <row r="160">
      <c r="A160" s="44"/>
      <c r="B160" s="49"/>
      <c r="C160" s="49"/>
      <c r="D160" s="49"/>
      <c r="E160" s="49"/>
      <c r="F160" s="44"/>
      <c r="G160" s="44"/>
      <c r="H160" s="44"/>
    </row>
    <row r="161">
      <c r="A161" s="44"/>
      <c r="B161" s="49"/>
      <c r="C161" s="49"/>
      <c r="D161" s="49"/>
      <c r="E161" s="49"/>
      <c r="F161" s="44"/>
      <c r="G161" s="44"/>
      <c r="H161" s="44"/>
    </row>
    <row r="162">
      <c r="A162" s="44"/>
      <c r="B162" s="49"/>
      <c r="C162" s="49"/>
      <c r="D162" s="49"/>
      <c r="E162" s="49"/>
      <c r="F162" s="44"/>
      <c r="G162" s="44"/>
      <c r="H162" s="44"/>
    </row>
    <row r="163">
      <c r="A163" s="44"/>
      <c r="B163" s="49"/>
      <c r="C163" s="49"/>
      <c r="D163" s="49"/>
      <c r="E163" s="49"/>
      <c r="F163" s="44"/>
      <c r="G163" s="44"/>
      <c r="H163" s="44"/>
    </row>
    <row r="164">
      <c r="A164" s="44"/>
      <c r="B164" s="49"/>
      <c r="C164" s="49"/>
      <c r="D164" s="49"/>
      <c r="E164" s="49"/>
      <c r="F164" s="44"/>
      <c r="G164" s="44"/>
      <c r="H164" s="44"/>
    </row>
    <row r="165">
      <c r="A165" s="44"/>
      <c r="B165" s="49"/>
      <c r="C165" s="49"/>
      <c r="D165" s="49"/>
      <c r="E165" s="49"/>
      <c r="F165" s="44"/>
      <c r="G165" s="44"/>
      <c r="H165" s="44"/>
    </row>
    <row r="166">
      <c r="A166" s="44"/>
      <c r="B166" s="49"/>
      <c r="C166" s="49"/>
      <c r="D166" s="49"/>
      <c r="E166" s="49"/>
      <c r="F166" s="44"/>
      <c r="G166" s="44"/>
      <c r="H166" s="44"/>
    </row>
    <row r="167">
      <c r="A167" s="44"/>
      <c r="B167" s="49"/>
      <c r="C167" s="49"/>
      <c r="D167" s="49"/>
      <c r="E167" s="49"/>
      <c r="F167" s="44"/>
      <c r="G167" s="44"/>
      <c r="H167" s="44"/>
    </row>
    <row r="168">
      <c r="A168" s="44"/>
      <c r="B168" s="49"/>
      <c r="C168" s="49"/>
      <c r="D168" s="49"/>
      <c r="E168" s="49"/>
      <c r="F168" s="44"/>
      <c r="G168" s="44"/>
      <c r="H168" s="44"/>
    </row>
    <row r="169">
      <c r="A169" s="44"/>
      <c r="B169" s="49"/>
      <c r="C169" s="49"/>
      <c r="D169" s="49"/>
      <c r="E169" s="49"/>
      <c r="F169" s="44"/>
      <c r="G169" s="44"/>
      <c r="H169" s="44"/>
    </row>
    <row r="170">
      <c r="A170" s="44"/>
      <c r="B170" s="49"/>
      <c r="C170" s="49"/>
      <c r="D170" s="49"/>
      <c r="E170" s="49"/>
      <c r="F170" s="44"/>
      <c r="G170" s="44"/>
      <c r="H170" s="44"/>
    </row>
    <row r="171">
      <c r="A171" s="44"/>
      <c r="B171" s="49"/>
      <c r="C171" s="49"/>
      <c r="D171" s="49"/>
      <c r="E171" s="49"/>
      <c r="F171" s="44"/>
      <c r="G171" s="44"/>
      <c r="H171" s="44"/>
    </row>
    <row r="172">
      <c r="A172" s="44"/>
      <c r="B172" s="49"/>
      <c r="C172" s="49"/>
      <c r="D172" s="49"/>
      <c r="E172" s="49"/>
      <c r="F172" s="44"/>
      <c r="G172" s="44"/>
      <c r="H172" s="44"/>
    </row>
    <row r="173">
      <c r="A173" s="44"/>
      <c r="B173" s="49"/>
      <c r="C173" s="49"/>
      <c r="D173" s="49"/>
      <c r="E173" s="49"/>
      <c r="F173" s="44"/>
      <c r="G173" s="44"/>
      <c r="H173" s="44"/>
    </row>
    <row r="174">
      <c r="A174" s="44"/>
      <c r="B174" s="49"/>
      <c r="C174" s="49"/>
      <c r="D174" s="49"/>
      <c r="E174" s="49"/>
      <c r="F174" s="44"/>
      <c r="G174" s="44"/>
      <c r="H174" s="44"/>
    </row>
    <row r="175">
      <c r="A175" s="44"/>
      <c r="B175" s="49"/>
      <c r="C175" s="49"/>
      <c r="D175" s="49"/>
      <c r="E175" s="49"/>
      <c r="F175" s="44"/>
      <c r="G175" s="44"/>
      <c r="H175" s="44"/>
    </row>
    <row r="176">
      <c r="A176" s="44"/>
      <c r="B176" s="49"/>
      <c r="C176" s="49"/>
      <c r="D176" s="49"/>
      <c r="E176" s="49"/>
      <c r="F176" s="44"/>
      <c r="G176" s="44"/>
      <c r="H176" s="44"/>
    </row>
    <row r="177">
      <c r="A177" s="44"/>
      <c r="B177" s="49"/>
      <c r="C177" s="49"/>
      <c r="D177" s="49"/>
      <c r="E177" s="49"/>
      <c r="F177" s="44"/>
      <c r="G177" s="44"/>
      <c r="H177" s="44"/>
    </row>
    <row r="178">
      <c r="A178" s="44"/>
      <c r="B178" s="49"/>
      <c r="C178" s="49"/>
      <c r="D178" s="49"/>
      <c r="E178" s="49"/>
      <c r="F178" s="44"/>
      <c r="G178" s="44"/>
      <c r="H178" s="44"/>
    </row>
    <row r="179">
      <c r="A179" s="44"/>
      <c r="B179" s="49"/>
      <c r="C179" s="49"/>
      <c r="D179" s="49"/>
      <c r="E179" s="49"/>
      <c r="F179" s="44"/>
      <c r="G179" s="44"/>
      <c r="H179" s="44"/>
    </row>
    <row r="180">
      <c r="A180" s="44"/>
      <c r="B180" s="49"/>
      <c r="C180" s="49"/>
      <c r="D180" s="49"/>
      <c r="E180" s="49"/>
      <c r="F180" s="44"/>
      <c r="G180" s="44"/>
      <c r="H180" s="44"/>
    </row>
    <row r="181">
      <c r="A181" s="44"/>
      <c r="B181" s="49"/>
      <c r="C181" s="49"/>
      <c r="D181" s="49"/>
      <c r="E181" s="49"/>
      <c r="F181" s="44"/>
      <c r="G181" s="44"/>
      <c r="H181" s="44"/>
    </row>
    <row r="182">
      <c r="A182" s="44"/>
      <c r="B182" s="49"/>
      <c r="C182" s="49"/>
      <c r="D182" s="49"/>
      <c r="E182" s="49"/>
      <c r="F182" s="44"/>
      <c r="G182" s="44"/>
      <c r="H182" s="44"/>
    </row>
    <row r="183">
      <c r="A183" s="44"/>
      <c r="B183" s="49"/>
      <c r="C183" s="49"/>
      <c r="D183" s="49"/>
      <c r="E183" s="49"/>
      <c r="F183" s="44"/>
      <c r="G183" s="44"/>
      <c r="H183" s="44"/>
    </row>
    <row r="184">
      <c r="A184" s="44"/>
      <c r="B184" s="49"/>
      <c r="C184" s="49"/>
      <c r="D184" s="49"/>
      <c r="E184" s="49"/>
      <c r="F184" s="44"/>
      <c r="G184" s="44"/>
      <c r="H184" s="44"/>
    </row>
    <row r="185">
      <c r="A185" s="44"/>
      <c r="B185" s="49"/>
      <c r="C185" s="49"/>
      <c r="D185" s="49"/>
      <c r="E185" s="49"/>
      <c r="F185" s="44"/>
      <c r="G185" s="44"/>
      <c r="H185" s="44"/>
    </row>
    <row r="186">
      <c r="A186" s="44"/>
      <c r="B186" s="49"/>
      <c r="C186" s="49"/>
      <c r="D186" s="49"/>
      <c r="E186" s="49"/>
      <c r="F186" s="44"/>
      <c r="G186" s="44"/>
      <c r="H186" s="44"/>
    </row>
    <row r="187">
      <c r="A187" s="44"/>
      <c r="B187" s="49"/>
      <c r="C187" s="49"/>
      <c r="D187" s="49"/>
      <c r="E187" s="49"/>
      <c r="F187" s="44"/>
      <c r="G187" s="44"/>
      <c r="H187" s="44"/>
    </row>
    <row r="188">
      <c r="A188" s="44"/>
      <c r="B188" s="49"/>
      <c r="C188" s="49"/>
      <c r="D188" s="49"/>
      <c r="E188" s="49"/>
      <c r="F188" s="44"/>
      <c r="G188" s="44"/>
      <c r="H188" s="44"/>
    </row>
    <row r="189">
      <c r="A189" s="44"/>
      <c r="B189" s="49"/>
      <c r="C189" s="49"/>
      <c r="D189" s="49"/>
      <c r="E189" s="49"/>
      <c r="F189" s="44"/>
      <c r="G189" s="44"/>
      <c r="H189" s="44"/>
    </row>
    <row r="190">
      <c r="A190" s="44"/>
      <c r="B190" s="49"/>
      <c r="C190" s="49"/>
      <c r="D190" s="49"/>
      <c r="E190" s="49"/>
      <c r="F190" s="44"/>
      <c r="G190" s="44"/>
      <c r="H190" s="44"/>
    </row>
    <row r="191">
      <c r="A191" s="44"/>
      <c r="B191" s="49"/>
      <c r="C191" s="49"/>
      <c r="D191" s="49"/>
      <c r="E191" s="49"/>
      <c r="F191" s="44"/>
      <c r="G191" s="44"/>
      <c r="H191" s="44"/>
    </row>
    <row r="192">
      <c r="A192" s="44"/>
      <c r="B192" s="49"/>
      <c r="C192" s="49"/>
      <c r="D192" s="49"/>
      <c r="E192" s="49"/>
      <c r="F192" s="44"/>
      <c r="G192" s="44"/>
      <c r="H192" s="44"/>
    </row>
    <row r="193">
      <c r="A193" s="44"/>
      <c r="B193" s="49"/>
      <c r="C193" s="49"/>
      <c r="D193" s="49"/>
      <c r="E193" s="49"/>
      <c r="F193" s="44"/>
      <c r="G193" s="44"/>
      <c r="H193" s="44"/>
    </row>
    <row r="194">
      <c r="A194" s="44"/>
      <c r="B194" s="49"/>
      <c r="C194" s="49"/>
      <c r="D194" s="49"/>
      <c r="E194" s="49"/>
      <c r="F194" s="44"/>
      <c r="G194" s="44"/>
      <c r="H194" s="44"/>
    </row>
    <row r="195">
      <c r="A195" s="44"/>
      <c r="B195" s="49"/>
      <c r="C195" s="49"/>
      <c r="D195" s="49"/>
      <c r="E195" s="49"/>
      <c r="F195" s="44"/>
      <c r="G195" s="44"/>
      <c r="H195" s="44"/>
    </row>
    <row r="196">
      <c r="A196" s="44"/>
      <c r="B196" s="49"/>
      <c r="C196" s="49"/>
      <c r="D196" s="49"/>
      <c r="E196" s="49"/>
      <c r="F196" s="44"/>
      <c r="G196" s="44"/>
      <c r="H196" s="44"/>
    </row>
    <row r="197">
      <c r="A197" s="44"/>
      <c r="B197" s="49"/>
      <c r="C197" s="49"/>
      <c r="D197" s="49"/>
      <c r="E197" s="49"/>
      <c r="F197" s="44"/>
      <c r="G197" s="44"/>
      <c r="H197" s="44"/>
    </row>
    <row r="198">
      <c r="A198" s="44"/>
      <c r="B198" s="49"/>
      <c r="C198" s="49"/>
      <c r="D198" s="49"/>
      <c r="E198" s="49"/>
      <c r="F198" s="44"/>
      <c r="G198" s="44"/>
      <c r="H198" s="44"/>
    </row>
    <row r="199">
      <c r="A199" s="44"/>
      <c r="B199" s="49"/>
      <c r="C199" s="49"/>
      <c r="D199" s="49"/>
      <c r="E199" s="49"/>
      <c r="F199" s="44"/>
      <c r="G199" s="44"/>
      <c r="H199" s="44"/>
    </row>
    <row r="200">
      <c r="A200" s="44"/>
      <c r="B200" s="49"/>
      <c r="C200" s="49"/>
      <c r="D200" s="49"/>
      <c r="E200" s="49"/>
      <c r="F200" s="44"/>
      <c r="G200" s="44"/>
      <c r="H200" s="44"/>
    </row>
    <row r="201">
      <c r="A201" s="44"/>
      <c r="B201" s="49"/>
      <c r="C201" s="49"/>
      <c r="D201" s="49"/>
      <c r="E201" s="49"/>
      <c r="F201" s="44"/>
      <c r="G201" s="44"/>
      <c r="H201" s="44"/>
    </row>
    <row r="202">
      <c r="A202" s="44"/>
      <c r="B202" s="49"/>
      <c r="C202" s="49"/>
      <c r="D202" s="49"/>
      <c r="E202" s="49"/>
      <c r="F202" s="44"/>
      <c r="G202" s="44"/>
      <c r="H202" s="44"/>
    </row>
    <row r="203">
      <c r="A203" s="44"/>
      <c r="B203" s="49"/>
      <c r="C203" s="49"/>
      <c r="D203" s="49"/>
      <c r="E203" s="49"/>
      <c r="F203" s="44"/>
      <c r="G203" s="44"/>
      <c r="H203" s="44"/>
    </row>
    <row r="204">
      <c r="A204" s="44"/>
      <c r="B204" s="49"/>
      <c r="C204" s="49"/>
      <c r="D204" s="49"/>
      <c r="E204" s="49"/>
      <c r="F204" s="44"/>
      <c r="G204" s="44"/>
      <c r="H204" s="44"/>
    </row>
    <row r="205">
      <c r="A205" s="44"/>
      <c r="B205" s="49"/>
      <c r="C205" s="49"/>
      <c r="D205" s="49"/>
      <c r="E205" s="49"/>
      <c r="F205" s="44"/>
      <c r="G205" s="44"/>
      <c r="H205" s="44"/>
    </row>
    <row r="206">
      <c r="A206" s="44"/>
      <c r="B206" s="49"/>
      <c r="C206" s="49"/>
      <c r="D206" s="49"/>
      <c r="E206" s="49"/>
      <c r="F206" s="44"/>
      <c r="G206" s="44"/>
      <c r="H206" s="44"/>
    </row>
    <row r="207">
      <c r="A207" s="44"/>
      <c r="B207" s="49"/>
      <c r="C207" s="49"/>
      <c r="D207" s="49"/>
      <c r="E207" s="49"/>
      <c r="F207" s="44"/>
      <c r="G207" s="44"/>
      <c r="H207" s="44"/>
    </row>
    <row r="208">
      <c r="A208" s="44"/>
      <c r="B208" s="49"/>
      <c r="C208" s="49"/>
      <c r="D208" s="49"/>
      <c r="E208" s="49"/>
      <c r="F208" s="44"/>
      <c r="G208" s="44"/>
      <c r="H208" s="44"/>
    </row>
    <row r="209">
      <c r="A209" s="44"/>
      <c r="B209" s="49"/>
      <c r="C209" s="49"/>
      <c r="D209" s="49"/>
      <c r="E209" s="49"/>
      <c r="F209" s="44"/>
      <c r="G209" s="44"/>
      <c r="H209" s="44"/>
    </row>
    <row r="210">
      <c r="A210" s="44"/>
      <c r="B210" s="49"/>
      <c r="C210" s="49"/>
      <c r="D210" s="49"/>
      <c r="E210" s="49"/>
      <c r="F210" s="44"/>
      <c r="G210" s="44"/>
      <c r="H210" s="44"/>
    </row>
    <row r="211">
      <c r="A211" s="44"/>
      <c r="B211" s="49"/>
      <c r="C211" s="49"/>
      <c r="D211" s="49"/>
      <c r="E211" s="49"/>
      <c r="F211" s="44"/>
      <c r="G211" s="44"/>
      <c r="H211" s="44"/>
    </row>
    <row r="212">
      <c r="A212" s="44"/>
      <c r="B212" s="49"/>
      <c r="C212" s="49"/>
      <c r="D212" s="49"/>
      <c r="E212" s="49"/>
      <c r="F212" s="44"/>
      <c r="G212" s="44"/>
      <c r="H212" s="44"/>
    </row>
    <row r="213">
      <c r="A213" s="44"/>
      <c r="B213" s="49"/>
      <c r="C213" s="49"/>
      <c r="D213" s="49"/>
      <c r="E213" s="49"/>
      <c r="F213" s="44"/>
      <c r="G213" s="44"/>
      <c r="H213" s="44"/>
    </row>
    <row r="214">
      <c r="A214" s="44"/>
      <c r="B214" s="49"/>
      <c r="C214" s="49"/>
      <c r="D214" s="49"/>
      <c r="E214" s="49"/>
      <c r="F214" s="44"/>
      <c r="G214" s="44"/>
      <c r="H214" s="44"/>
    </row>
    <row r="215">
      <c r="A215" s="44"/>
      <c r="B215" s="49"/>
      <c r="C215" s="49"/>
      <c r="D215" s="49"/>
      <c r="E215" s="49"/>
      <c r="F215" s="44"/>
      <c r="G215" s="44"/>
      <c r="H215" s="44"/>
    </row>
    <row r="216">
      <c r="A216" s="44"/>
      <c r="B216" s="49"/>
      <c r="C216" s="49"/>
      <c r="D216" s="49"/>
      <c r="E216" s="49"/>
      <c r="F216" s="44"/>
      <c r="G216" s="44"/>
      <c r="H216" s="44"/>
    </row>
    <row r="217">
      <c r="A217" s="44"/>
      <c r="B217" s="49"/>
      <c r="C217" s="49"/>
      <c r="D217" s="49"/>
      <c r="E217" s="49"/>
      <c r="F217" s="44"/>
      <c r="G217" s="44"/>
      <c r="H217" s="44"/>
    </row>
    <row r="218">
      <c r="A218" s="44"/>
      <c r="B218" s="49"/>
      <c r="C218" s="49"/>
      <c r="D218" s="49"/>
      <c r="E218" s="49"/>
      <c r="F218" s="44"/>
      <c r="G218" s="44"/>
      <c r="H218" s="44"/>
    </row>
    <row r="219">
      <c r="A219" s="44"/>
      <c r="B219" s="49"/>
      <c r="C219" s="49"/>
      <c r="D219" s="49"/>
      <c r="E219" s="49"/>
      <c r="F219" s="44"/>
      <c r="G219" s="44"/>
      <c r="H219" s="44"/>
    </row>
    <row r="220">
      <c r="A220" s="44"/>
      <c r="B220" s="49"/>
      <c r="C220" s="49"/>
      <c r="D220" s="49"/>
      <c r="E220" s="49"/>
      <c r="F220" s="44"/>
      <c r="G220" s="44"/>
      <c r="H220" s="44"/>
    </row>
    <row r="221">
      <c r="A221" s="44"/>
      <c r="B221" s="49"/>
      <c r="C221" s="49"/>
      <c r="D221" s="49"/>
      <c r="E221" s="49"/>
      <c r="F221" s="44"/>
      <c r="G221" s="44"/>
      <c r="H221" s="44"/>
    </row>
    <row r="222">
      <c r="A222" s="44"/>
      <c r="B222" s="49"/>
      <c r="C222" s="49"/>
      <c r="D222" s="49"/>
      <c r="E222" s="49"/>
      <c r="F222" s="44"/>
      <c r="G222" s="44"/>
      <c r="H222" s="44"/>
    </row>
    <row r="223">
      <c r="A223" s="44"/>
      <c r="B223" s="49"/>
      <c r="C223" s="49"/>
      <c r="D223" s="49"/>
      <c r="E223" s="49"/>
      <c r="F223" s="44"/>
      <c r="G223" s="44"/>
      <c r="H223" s="44"/>
    </row>
    <row r="224">
      <c r="A224" s="44"/>
      <c r="B224" s="49"/>
      <c r="C224" s="49"/>
      <c r="D224" s="49"/>
      <c r="E224" s="49"/>
      <c r="F224" s="44"/>
      <c r="G224" s="44"/>
      <c r="H224" s="44"/>
    </row>
    <row r="225">
      <c r="A225" s="44"/>
      <c r="B225" s="49"/>
      <c r="C225" s="49"/>
      <c r="D225" s="49"/>
      <c r="E225" s="49"/>
      <c r="F225" s="44"/>
      <c r="G225" s="44"/>
      <c r="H225" s="44"/>
    </row>
    <row r="226">
      <c r="A226" s="44"/>
      <c r="B226" s="49"/>
      <c r="C226" s="49"/>
      <c r="D226" s="49"/>
      <c r="E226" s="49"/>
      <c r="F226" s="44"/>
      <c r="G226" s="44"/>
      <c r="H226" s="44"/>
    </row>
    <row r="227">
      <c r="A227" s="44"/>
      <c r="B227" s="49"/>
      <c r="C227" s="49"/>
      <c r="D227" s="49"/>
      <c r="E227" s="49"/>
      <c r="F227" s="44"/>
      <c r="G227" s="44"/>
      <c r="H227" s="44"/>
    </row>
    <row r="228">
      <c r="A228" s="44"/>
      <c r="B228" s="49"/>
      <c r="C228" s="49"/>
      <c r="D228" s="49"/>
      <c r="E228" s="49"/>
      <c r="F228" s="44"/>
      <c r="G228" s="44"/>
      <c r="H228" s="44"/>
    </row>
    <row r="229">
      <c r="A229" s="44"/>
      <c r="B229" s="49"/>
      <c r="C229" s="49"/>
      <c r="D229" s="49"/>
      <c r="E229" s="49"/>
      <c r="F229" s="44"/>
      <c r="G229" s="44"/>
      <c r="H229" s="44"/>
    </row>
    <row r="230">
      <c r="A230" s="44"/>
      <c r="B230" s="49"/>
      <c r="C230" s="49"/>
      <c r="D230" s="49"/>
      <c r="E230" s="49"/>
      <c r="F230" s="44"/>
      <c r="G230" s="44"/>
      <c r="H230" s="44"/>
    </row>
    <row r="231">
      <c r="A231" s="44"/>
      <c r="B231" s="49"/>
      <c r="C231" s="49"/>
      <c r="D231" s="49"/>
      <c r="E231" s="49"/>
      <c r="F231" s="44"/>
      <c r="G231" s="44"/>
      <c r="H231" s="44"/>
    </row>
    <row r="232">
      <c r="A232" s="44"/>
      <c r="B232" s="49"/>
      <c r="C232" s="49"/>
      <c r="D232" s="49"/>
      <c r="E232" s="49"/>
      <c r="F232" s="44"/>
      <c r="G232" s="44"/>
      <c r="H232" s="44"/>
    </row>
    <row r="233">
      <c r="A233" s="44"/>
      <c r="B233" s="49"/>
      <c r="C233" s="49"/>
      <c r="D233" s="49"/>
      <c r="E233" s="49"/>
      <c r="F233" s="44"/>
      <c r="G233" s="44"/>
      <c r="H233" s="44"/>
    </row>
    <row r="234">
      <c r="A234" s="44"/>
      <c r="B234" s="49"/>
      <c r="C234" s="49"/>
      <c r="D234" s="49"/>
      <c r="E234" s="49"/>
      <c r="F234" s="44"/>
      <c r="G234" s="44"/>
      <c r="H234" s="44"/>
    </row>
    <row r="235">
      <c r="A235" s="44"/>
      <c r="B235" s="49"/>
      <c r="C235" s="49"/>
      <c r="D235" s="49"/>
      <c r="E235" s="49"/>
      <c r="F235" s="44"/>
      <c r="G235" s="44"/>
      <c r="H235" s="44"/>
    </row>
    <row r="236">
      <c r="A236" s="44"/>
      <c r="B236" s="49"/>
      <c r="C236" s="49"/>
      <c r="D236" s="49"/>
      <c r="E236" s="49"/>
      <c r="F236" s="44"/>
      <c r="G236" s="44"/>
      <c r="H236" s="44"/>
    </row>
    <row r="237">
      <c r="A237" s="44"/>
      <c r="B237" s="49"/>
      <c r="C237" s="49"/>
      <c r="D237" s="49"/>
      <c r="E237" s="49"/>
      <c r="F237" s="44"/>
      <c r="G237" s="44"/>
      <c r="H237" s="44"/>
    </row>
    <row r="238">
      <c r="A238" s="44"/>
      <c r="B238" s="49"/>
      <c r="C238" s="49"/>
      <c r="D238" s="49"/>
      <c r="E238" s="49"/>
      <c r="F238" s="44"/>
      <c r="G238" s="44"/>
      <c r="H238" s="44"/>
    </row>
    <row r="239">
      <c r="A239" s="44"/>
      <c r="B239" s="49"/>
      <c r="C239" s="49"/>
      <c r="D239" s="49"/>
      <c r="E239" s="49"/>
      <c r="F239" s="44"/>
      <c r="G239" s="44"/>
      <c r="H239" s="44"/>
    </row>
    <row r="240">
      <c r="A240" s="44"/>
      <c r="B240" s="49"/>
      <c r="C240" s="49"/>
      <c r="D240" s="49"/>
      <c r="E240" s="49"/>
      <c r="F240" s="44"/>
      <c r="G240" s="44"/>
      <c r="H240" s="44"/>
    </row>
    <row r="241">
      <c r="A241" s="44"/>
      <c r="B241" s="49"/>
      <c r="C241" s="49"/>
      <c r="D241" s="49"/>
      <c r="E241" s="49"/>
      <c r="F241" s="44"/>
      <c r="G241" s="44"/>
      <c r="H241" s="44"/>
    </row>
    <row r="242">
      <c r="A242" s="44"/>
      <c r="B242" s="49"/>
      <c r="C242" s="49"/>
      <c r="D242" s="49"/>
      <c r="E242" s="49"/>
      <c r="F242" s="44"/>
      <c r="G242" s="44"/>
      <c r="H242" s="44"/>
    </row>
    <row r="243">
      <c r="A243" s="44"/>
      <c r="B243" s="49"/>
      <c r="C243" s="49"/>
      <c r="D243" s="49"/>
      <c r="E243" s="49"/>
      <c r="F243" s="44"/>
      <c r="G243" s="44"/>
      <c r="H243" s="44"/>
    </row>
    <row r="244">
      <c r="A244" s="44"/>
      <c r="B244" s="49"/>
      <c r="C244" s="49"/>
      <c r="D244" s="49"/>
      <c r="E244" s="49"/>
      <c r="F244" s="44"/>
      <c r="G244" s="44"/>
      <c r="H244" s="44"/>
    </row>
    <row r="245">
      <c r="A245" s="44"/>
      <c r="B245" s="49"/>
      <c r="C245" s="49"/>
      <c r="D245" s="49"/>
      <c r="E245" s="49"/>
      <c r="F245" s="44"/>
      <c r="G245" s="44"/>
      <c r="H245" s="44"/>
    </row>
    <row r="246">
      <c r="A246" s="44"/>
      <c r="B246" s="49"/>
      <c r="C246" s="49"/>
      <c r="D246" s="49"/>
      <c r="E246" s="49"/>
      <c r="F246" s="44"/>
      <c r="G246" s="44"/>
      <c r="H246" s="44"/>
    </row>
    <row r="247">
      <c r="A247" s="44"/>
      <c r="B247" s="49"/>
      <c r="C247" s="49"/>
      <c r="D247" s="49"/>
      <c r="E247" s="49"/>
      <c r="F247" s="44"/>
      <c r="G247" s="44"/>
      <c r="H247" s="44"/>
    </row>
    <row r="248">
      <c r="A248" s="44"/>
      <c r="B248" s="49"/>
      <c r="C248" s="49"/>
      <c r="D248" s="49"/>
      <c r="E248" s="49"/>
      <c r="F248" s="44"/>
      <c r="G248" s="44"/>
      <c r="H248" s="44"/>
    </row>
    <row r="249">
      <c r="A249" s="44"/>
      <c r="B249" s="49"/>
      <c r="C249" s="49"/>
      <c r="D249" s="49"/>
      <c r="E249" s="49"/>
      <c r="F249" s="44"/>
      <c r="G249" s="44"/>
      <c r="H249" s="44"/>
    </row>
    <row r="250">
      <c r="A250" s="44"/>
      <c r="B250" s="49"/>
      <c r="C250" s="49"/>
      <c r="D250" s="49"/>
      <c r="E250" s="49"/>
      <c r="F250" s="44"/>
      <c r="G250" s="44"/>
      <c r="H250" s="44"/>
    </row>
    <row r="251">
      <c r="A251" s="44"/>
      <c r="B251" s="49"/>
      <c r="C251" s="49"/>
      <c r="D251" s="49"/>
      <c r="E251" s="49"/>
      <c r="F251" s="44"/>
      <c r="G251" s="44"/>
      <c r="H251" s="44"/>
    </row>
    <row r="252">
      <c r="A252" s="44"/>
      <c r="B252" s="49"/>
      <c r="C252" s="49"/>
      <c r="D252" s="49"/>
      <c r="E252" s="49"/>
      <c r="F252" s="44"/>
      <c r="G252" s="44"/>
      <c r="H252" s="44"/>
    </row>
    <row r="253">
      <c r="A253" s="44"/>
      <c r="B253" s="49"/>
      <c r="C253" s="49"/>
      <c r="D253" s="49"/>
      <c r="E253" s="49"/>
      <c r="F253" s="44"/>
      <c r="G253" s="44"/>
      <c r="H253" s="44"/>
    </row>
    <row r="254">
      <c r="A254" s="44"/>
      <c r="B254" s="49"/>
      <c r="C254" s="49"/>
      <c r="D254" s="49"/>
      <c r="E254" s="49"/>
      <c r="F254" s="44"/>
      <c r="G254" s="44"/>
      <c r="H254" s="44"/>
    </row>
    <row r="255">
      <c r="A255" s="44"/>
      <c r="B255" s="49"/>
      <c r="C255" s="49"/>
      <c r="D255" s="49"/>
      <c r="E255" s="49"/>
      <c r="F255" s="44"/>
      <c r="G255" s="44"/>
      <c r="H255" s="44"/>
    </row>
    <row r="256">
      <c r="A256" s="44"/>
      <c r="B256" s="49"/>
      <c r="C256" s="49"/>
      <c r="D256" s="49"/>
      <c r="E256" s="49"/>
      <c r="F256" s="44"/>
      <c r="G256" s="44"/>
      <c r="H256" s="44"/>
    </row>
    <row r="257">
      <c r="A257" s="44"/>
      <c r="B257" s="49"/>
      <c r="C257" s="49"/>
      <c r="D257" s="49"/>
      <c r="E257" s="49"/>
      <c r="F257" s="44"/>
      <c r="G257" s="44"/>
      <c r="H257" s="44"/>
    </row>
    <row r="258">
      <c r="A258" s="44"/>
      <c r="B258" s="49"/>
      <c r="C258" s="49"/>
      <c r="D258" s="49"/>
      <c r="E258" s="49"/>
      <c r="F258" s="44"/>
      <c r="G258" s="44"/>
      <c r="H258" s="44"/>
    </row>
    <row r="259">
      <c r="A259" s="44"/>
      <c r="B259" s="49"/>
      <c r="C259" s="49"/>
      <c r="D259" s="49"/>
      <c r="E259" s="49"/>
      <c r="F259" s="44"/>
      <c r="G259" s="44"/>
      <c r="H259" s="44"/>
    </row>
    <row r="260">
      <c r="A260" s="44"/>
      <c r="B260" s="49"/>
      <c r="C260" s="49"/>
      <c r="D260" s="49"/>
      <c r="E260" s="49"/>
      <c r="F260" s="44"/>
      <c r="G260" s="44"/>
      <c r="H260" s="44"/>
    </row>
    <row r="261">
      <c r="A261" s="44"/>
      <c r="B261" s="49"/>
      <c r="C261" s="49"/>
      <c r="D261" s="49"/>
      <c r="E261" s="49"/>
      <c r="F261" s="44"/>
      <c r="G261" s="44"/>
      <c r="H261" s="44"/>
    </row>
    <row r="262">
      <c r="A262" s="44"/>
      <c r="B262" s="49"/>
      <c r="C262" s="49"/>
      <c r="D262" s="49"/>
      <c r="E262" s="49"/>
      <c r="F262" s="44"/>
      <c r="G262" s="44"/>
      <c r="H262" s="44"/>
    </row>
    <row r="263">
      <c r="A263" s="44"/>
      <c r="B263" s="49"/>
      <c r="C263" s="49"/>
      <c r="D263" s="49"/>
      <c r="E263" s="49"/>
      <c r="F263" s="44"/>
      <c r="G263" s="44"/>
      <c r="H263" s="44"/>
    </row>
    <row r="264">
      <c r="A264" s="44"/>
      <c r="B264" s="49"/>
      <c r="C264" s="49"/>
      <c r="D264" s="49"/>
      <c r="E264" s="49"/>
      <c r="F264" s="44"/>
      <c r="G264" s="44"/>
      <c r="H264" s="44"/>
    </row>
    <row r="265">
      <c r="A265" s="44"/>
      <c r="B265" s="49"/>
      <c r="C265" s="49"/>
      <c r="D265" s="49"/>
      <c r="E265" s="49"/>
      <c r="F265" s="44"/>
      <c r="G265" s="44"/>
      <c r="H265" s="44"/>
    </row>
    <row r="266">
      <c r="A266" s="44"/>
      <c r="B266" s="49"/>
      <c r="C266" s="49"/>
      <c r="D266" s="49"/>
      <c r="E266" s="49"/>
      <c r="F266" s="44"/>
      <c r="G266" s="44"/>
      <c r="H266" s="44"/>
    </row>
    <row r="267">
      <c r="A267" s="44"/>
      <c r="B267" s="49"/>
      <c r="C267" s="49"/>
      <c r="D267" s="49"/>
      <c r="E267" s="49"/>
      <c r="F267" s="44"/>
      <c r="G267" s="44"/>
      <c r="H267" s="44"/>
    </row>
    <row r="268">
      <c r="A268" s="44"/>
      <c r="B268" s="49"/>
      <c r="C268" s="49"/>
      <c r="D268" s="49"/>
      <c r="E268" s="49"/>
      <c r="F268" s="44"/>
      <c r="G268" s="44"/>
      <c r="H268" s="44"/>
    </row>
    <row r="269">
      <c r="A269" s="44"/>
      <c r="B269" s="49"/>
      <c r="C269" s="49"/>
      <c r="D269" s="49"/>
      <c r="E269" s="49"/>
      <c r="F269" s="44"/>
      <c r="G269" s="44"/>
      <c r="H269" s="44"/>
    </row>
    <row r="270">
      <c r="A270" s="44"/>
      <c r="B270" s="49"/>
      <c r="C270" s="49"/>
      <c r="D270" s="49"/>
      <c r="E270" s="49"/>
      <c r="F270" s="44"/>
      <c r="G270" s="44"/>
      <c r="H270" s="44"/>
    </row>
    <row r="271">
      <c r="A271" s="44"/>
      <c r="B271" s="49"/>
      <c r="C271" s="49"/>
      <c r="D271" s="49"/>
      <c r="E271" s="49"/>
      <c r="F271" s="44"/>
      <c r="G271" s="44"/>
      <c r="H271" s="44"/>
    </row>
    <row r="272">
      <c r="A272" s="44"/>
      <c r="B272" s="49"/>
      <c r="C272" s="49"/>
      <c r="D272" s="49"/>
      <c r="E272" s="49"/>
      <c r="F272" s="44"/>
      <c r="G272" s="44"/>
      <c r="H272" s="44"/>
    </row>
    <row r="273">
      <c r="A273" s="44"/>
      <c r="B273" s="49"/>
      <c r="C273" s="49"/>
      <c r="D273" s="49"/>
      <c r="E273" s="49"/>
      <c r="F273" s="44"/>
      <c r="G273" s="44"/>
      <c r="H273" s="44"/>
    </row>
    <row r="274">
      <c r="A274" s="44"/>
      <c r="B274" s="49"/>
      <c r="C274" s="49"/>
      <c r="D274" s="49"/>
      <c r="E274" s="49"/>
      <c r="F274" s="44"/>
      <c r="G274" s="44"/>
      <c r="H274" s="44"/>
    </row>
    <row r="275">
      <c r="A275" s="44"/>
      <c r="B275" s="49"/>
      <c r="C275" s="49"/>
      <c r="D275" s="49"/>
      <c r="E275" s="49"/>
      <c r="F275" s="44"/>
      <c r="G275" s="44"/>
      <c r="H275" s="44"/>
    </row>
    <row r="276">
      <c r="A276" s="44"/>
      <c r="B276" s="49"/>
      <c r="C276" s="49"/>
      <c r="D276" s="49"/>
      <c r="E276" s="49"/>
      <c r="F276" s="44"/>
      <c r="G276" s="44"/>
      <c r="H276" s="44"/>
    </row>
    <row r="277">
      <c r="A277" s="44"/>
      <c r="B277" s="49"/>
      <c r="C277" s="49"/>
      <c r="D277" s="49"/>
      <c r="E277" s="49"/>
      <c r="F277" s="44"/>
      <c r="G277" s="44"/>
      <c r="H277" s="44"/>
    </row>
    <row r="278">
      <c r="A278" s="44"/>
      <c r="B278" s="49"/>
      <c r="C278" s="49"/>
      <c r="D278" s="49"/>
      <c r="E278" s="49"/>
      <c r="F278" s="44"/>
      <c r="G278" s="44"/>
      <c r="H278" s="44"/>
    </row>
    <row r="279">
      <c r="A279" s="44"/>
      <c r="B279" s="49"/>
      <c r="C279" s="49"/>
      <c r="D279" s="49"/>
      <c r="E279" s="49"/>
      <c r="F279" s="44"/>
      <c r="G279" s="44"/>
      <c r="H279" s="44"/>
    </row>
    <row r="280">
      <c r="A280" s="44"/>
      <c r="B280" s="49"/>
      <c r="C280" s="49"/>
      <c r="D280" s="49"/>
      <c r="E280" s="49"/>
      <c r="F280" s="44"/>
      <c r="G280" s="44"/>
      <c r="H280" s="44"/>
    </row>
    <row r="281">
      <c r="A281" s="44"/>
      <c r="B281" s="49"/>
      <c r="C281" s="49"/>
      <c r="D281" s="49"/>
      <c r="E281" s="49"/>
      <c r="F281" s="44"/>
      <c r="G281" s="44"/>
      <c r="H281" s="44"/>
    </row>
    <row r="282">
      <c r="A282" s="44"/>
      <c r="B282" s="49"/>
      <c r="C282" s="49"/>
      <c r="D282" s="49"/>
      <c r="E282" s="49"/>
      <c r="F282" s="44"/>
      <c r="G282" s="44"/>
      <c r="H282" s="44"/>
    </row>
    <row r="283">
      <c r="A283" s="44"/>
      <c r="B283" s="49"/>
      <c r="C283" s="49"/>
      <c r="D283" s="49"/>
      <c r="E283" s="49"/>
      <c r="F283" s="44"/>
      <c r="G283" s="44"/>
      <c r="H283" s="44"/>
    </row>
    <row r="284">
      <c r="A284" s="44"/>
      <c r="B284" s="49"/>
      <c r="C284" s="49"/>
      <c r="D284" s="49"/>
      <c r="E284" s="49"/>
      <c r="F284" s="44"/>
      <c r="G284" s="44"/>
      <c r="H284" s="44"/>
    </row>
    <row r="285">
      <c r="A285" s="44"/>
      <c r="B285" s="49"/>
      <c r="C285" s="49"/>
      <c r="D285" s="49"/>
      <c r="E285" s="49"/>
      <c r="F285" s="44"/>
      <c r="G285" s="44"/>
      <c r="H285" s="44"/>
    </row>
    <row r="286">
      <c r="A286" s="44"/>
      <c r="B286" s="49"/>
      <c r="C286" s="49"/>
      <c r="D286" s="49"/>
      <c r="E286" s="49"/>
      <c r="F286" s="44"/>
      <c r="G286" s="44"/>
      <c r="H286" s="44"/>
    </row>
    <row r="287">
      <c r="A287" s="44"/>
      <c r="B287" s="49"/>
      <c r="C287" s="49"/>
      <c r="D287" s="49"/>
      <c r="E287" s="49"/>
      <c r="F287" s="44"/>
      <c r="G287" s="44"/>
      <c r="H287" s="44"/>
    </row>
    <row r="288">
      <c r="A288" s="44"/>
      <c r="B288" s="49"/>
      <c r="C288" s="49"/>
      <c r="D288" s="49"/>
      <c r="E288" s="49"/>
      <c r="F288" s="44"/>
      <c r="G288" s="44"/>
      <c r="H288" s="44"/>
    </row>
    <row r="289">
      <c r="A289" s="44"/>
      <c r="B289" s="49"/>
      <c r="C289" s="49"/>
      <c r="D289" s="49"/>
      <c r="E289" s="49"/>
      <c r="F289" s="44"/>
      <c r="G289" s="44"/>
      <c r="H289" s="44"/>
    </row>
    <row r="290">
      <c r="A290" s="44"/>
      <c r="B290" s="49"/>
      <c r="C290" s="49"/>
      <c r="D290" s="49"/>
      <c r="E290" s="49"/>
      <c r="F290" s="44"/>
      <c r="G290" s="44"/>
      <c r="H290" s="44"/>
    </row>
    <row r="291">
      <c r="A291" s="44"/>
      <c r="B291" s="49"/>
      <c r="C291" s="49"/>
      <c r="D291" s="49"/>
      <c r="E291" s="49"/>
      <c r="F291" s="44"/>
      <c r="G291" s="44"/>
      <c r="H291" s="44"/>
    </row>
    <row r="292">
      <c r="A292" s="44"/>
      <c r="B292" s="49"/>
      <c r="C292" s="49"/>
      <c r="D292" s="49"/>
      <c r="E292" s="49"/>
      <c r="F292" s="44"/>
      <c r="G292" s="44"/>
      <c r="H292" s="44"/>
    </row>
    <row r="293">
      <c r="A293" s="44"/>
      <c r="B293" s="49"/>
      <c r="C293" s="49"/>
      <c r="D293" s="49"/>
      <c r="E293" s="49"/>
      <c r="F293" s="44"/>
      <c r="G293" s="44"/>
      <c r="H293" s="44"/>
    </row>
    <row r="294">
      <c r="A294" s="44"/>
      <c r="B294" s="49"/>
      <c r="C294" s="49"/>
      <c r="D294" s="49"/>
      <c r="E294" s="49"/>
      <c r="F294" s="44"/>
      <c r="G294" s="44"/>
      <c r="H294" s="44"/>
    </row>
    <row r="295">
      <c r="A295" s="44"/>
      <c r="B295" s="49"/>
      <c r="C295" s="49"/>
      <c r="D295" s="49"/>
      <c r="E295" s="49"/>
      <c r="F295" s="44"/>
      <c r="G295" s="44"/>
      <c r="H295" s="44"/>
    </row>
    <row r="296">
      <c r="A296" s="44"/>
      <c r="B296" s="49"/>
      <c r="C296" s="49"/>
      <c r="D296" s="49"/>
      <c r="E296" s="49"/>
      <c r="F296" s="44"/>
      <c r="G296" s="44"/>
      <c r="H296" s="44"/>
    </row>
    <row r="297">
      <c r="A297" s="44"/>
      <c r="B297" s="49"/>
      <c r="C297" s="49"/>
      <c r="D297" s="49"/>
      <c r="E297" s="49"/>
      <c r="F297" s="44"/>
      <c r="G297" s="44"/>
      <c r="H297" s="44"/>
    </row>
    <row r="298">
      <c r="A298" s="44"/>
      <c r="B298" s="49"/>
      <c r="C298" s="49"/>
      <c r="D298" s="49"/>
      <c r="E298" s="49"/>
      <c r="F298" s="44"/>
      <c r="G298" s="44"/>
      <c r="H298" s="44"/>
    </row>
    <row r="299">
      <c r="A299" s="44"/>
      <c r="B299" s="49"/>
      <c r="C299" s="49"/>
      <c r="D299" s="49"/>
      <c r="E299" s="49"/>
      <c r="F299" s="44"/>
      <c r="G299" s="44"/>
      <c r="H299" s="44"/>
    </row>
    <row r="300">
      <c r="A300" s="44"/>
      <c r="B300" s="49"/>
      <c r="C300" s="49"/>
      <c r="D300" s="49"/>
      <c r="E300" s="49"/>
      <c r="F300" s="44"/>
      <c r="G300" s="44"/>
      <c r="H300" s="44"/>
    </row>
    <row r="301">
      <c r="A301" s="44"/>
      <c r="B301" s="49"/>
      <c r="C301" s="49"/>
      <c r="D301" s="49"/>
      <c r="E301" s="49"/>
      <c r="F301" s="44"/>
      <c r="G301" s="44"/>
      <c r="H301" s="44"/>
    </row>
    <row r="302">
      <c r="A302" s="44"/>
      <c r="B302" s="49"/>
      <c r="C302" s="49"/>
      <c r="D302" s="49"/>
      <c r="E302" s="49"/>
      <c r="F302" s="44"/>
      <c r="G302" s="44"/>
      <c r="H302" s="44"/>
    </row>
    <row r="303">
      <c r="A303" s="44"/>
      <c r="B303" s="49"/>
      <c r="C303" s="49"/>
      <c r="D303" s="49"/>
      <c r="E303" s="49"/>
      <c r="F303" s="44"/>
      <c r="G303" s="44"/>
      <c r="H303" s="44"/>
    </row>
    <row r="304">
      <c r="A304" s="44"/>
      <c r="B304" s="49"/>
      <c r="C304" s="49"/>
      <c r="D304" s="49"/>
      <c r="E304" s="49"/>
      <c r="F304" s="44"/>
      <c r="G304" s="44"/>
      <c r="H304" s="44"/>
    </row>
    <row r="305">
      <c r="A305" s="44"/>
      <c r="B305" s="49"/>
      <c r="C305" s="49"/>
      <c r="D305" s="49"/>
      <c r="E305" s="49"/>
      <c r="F305" s="44"/>
      <c r="G305" s="44"/>
      <c r="H305" s="44"/>
    </row>
    <row r="306">
      <c r="A306" s="44"/>
      <c r="B306" s="49"/>
      <c r="C306" s="49"/>
      <c r="D306" s="49"/>
      <c r="E306" s="49"/>
      <c r="F306" s="44"/>
      <c r="G306" s="44"/>
      <c r="H306" s="44"/>
    </row>
    <row r="307">
      <c r="A307" s="44"/>
      <c r="B307" s="49"/>
      <c r="C307" s="49"/>
      <c r="D307" s="49"/>
      <c r="E307" s="49"/>
      <c r="F307" s="44"/>
      <c r="G307" s="44"/>
      <c r="H307" s="44"/>
    </row>
    <row r="308">
      <c r="A308" s="44"/>
      <c r="B308" s="49"/>
      <c r="C308" s="49"/>
      <c r="D308" s="49"/>
      <c r="E308" s="49"/>
      <c r="F308" s="44"/>
      <c r="G308" s="44"/>
      <c r="H308" s="44"/>
    </row>
    <row r="309">
      <c r="A309" s="44"/>
      <c r="B309" s="49"/>
      <c r="C309" s="49"/>
      <c r="D309" s="49"/>
      <c r="E309" s="49"/>
      <c r="F309" s="44"/>
      <c r="G309" s="44"/>
      <c r="H309" s="44"/>
    </row>
    <row r="310">
      <c r="A310" s="44"/>
      <c r="B310" s="49"/>
      <c r="C310" s="49"/>
      <c r="D310" s="49"/>
      <c r="E310" s="49"/>
      <c r="F310" s="44"/>
      <c r="G310" s="44"/>
      <c r="H310" s="44"/>
    </row>
    <row r="311">
      <c r="A311" s="44"/>
      <c r="B311" s="49"/>
      <c r="C311" s="49"/>
      <c r="D311" s="49"/>
      <c r="E311" s="49"/>
      <c r="F311" s="44"/>
      <c r="G311" s="44"/>
      <c r="H311" s="44"/>
    </row>
    <row r="312">
      <c r="A312" s="44"/>
      <c r="B312" s="49"/>
      <c r="C312" s="49"/>
      <c r="D312" s="49"/>
      <c r="E312" s="49"/>
      <c r="F312" s="44"/>
      <c r="G312" s="44"/>
      <c r="H312" s="44"/>
    </row>
    <row r="313">
      <c r="A313" s="44"/>
      <c r="B313" s="49"/>
      <c r="C313" s="49"/>
      <c r="D313" s="49"/>
      <c r="E313" s="49"/>
      <c r="F313" s="44"/>
      <c r="G313" s="44"/>
      <c r="H313" s="44"/>
    </row>
    <row r="314">
      <c r="A314" s="44"/>
      <c r="B314" s="49"/>
      <c r="C314" s="49"/>
      <c r="D314" s="49"/>
      <c r="E314" s="49"/>
      <c r="F314" s="44"/>
      <c r="G314" s="44"/>
      <c r="H314" s="44"/>
    </row>
    <row r="315">
      <c r="A315" s="44"/>
      <c r="B315" s="49"/>
      <c r="C315" s="49"/>
      <c r="D315" s="49"/>
      <c r="E315" s="49"/>
      <c r="F315" s="44"/>
      <c r="G315" s="44"/>
      <c r="H315" s="44"/>
    </row>
    <row r="316">
      <c r="A316" s="44"/>
      <c r="B316" s="49"/>
      <c r="C316" s="49"/>
      <c r="D316" s="49"/>
      <c r="E316" s="49"/>
      <c r="F316" s="44"/>
      <c r="G316" s="44"/>
      <c r="H316" s="44"/>
    </row>
    <row r="317">
      <c r="A317" s="44"/>
      <c r="B317" s="49"/>
      <c r="C317" s="49"/>
      <c r="D317" s="49"/>
      <c r="E317" s="49"/>
      <c r="F317" s="44"/>
      <c r="G317" s="44"/>
      <c r="H317" s="44"/>
    </row>
    <row r="318">
      <c r="A318" s="44"/>
      <c r="B318" s="49"/>
      <c r="C318" s="49"/>
      <c r="D318" s="49"/>
      <c r="E318" s="49"/>
      <c r="F318" s="44"/>
      <c r="G318" s="44"/>
      <c r="H318" s="44"/>
    </row>
    <row r="319">
      <c r="A319" s="44"/>
      <c r="B319" s="49"/>
      <c r="C319" s="49"/>
      <c r="D319" s="49"/>
      <c r="E319" s="49"/>
      <c r="F319" s="44"/>
      <c r="G319" s="44"/>
      <c r="H319" s="44"/>
    </row>
    <row r="320">
      <c r="A320" s="44"/>
      <c r="B320" s="49"/>
      <c r="C320" s="49"/>
      <c r="D320" s="49"/>
      <c r="E320" s="49"/>
      <c r="F320" s="44"/>
      <c r="G320" s="44"/>
      <c r="H320" s="44"/>
    </row>
    <row r="321">
      <c r="A321" s="44"/>
      <c r="B321" s="49"/>
      <c r="C321" s="49"/>
      <c r="D321" s="49"/>
      <c r="E321" s="49"/>
      <c r="F321" s="44"/>
      <c r="G321" s="44"/>
      <c r="H321" s="44"/>
    </row>
    <row r="322">
      <c r="A322" s="44"/>
      <c r="B322" s="49"/>
      <c r="C322" s="49"/>
      <c r="D322" s="49"/>
      <c r="E322" s="49"/>
      <c r="F322" s="44"/>
      <c r="G322" s="44"/>
      <c r="H322" s="44"/>
    </row>
    <row r="323">
      <c r="A323" s="44"/>
      <c r="B323" s="49"/>
      <c r="C323" s="49"/>
      <c r="D323" s="49"/>
      <c r="E323" s="49"/>
      <c r="F323" s="44"/>
      <c r="G323" s="44"/>
      <c r="H323" s="44"/>
    </row>
    <row r="324">
      <c r="A324" s="44"/>
      <c r="B324" s="49"/>
      <c r="C324" s="49"/>
      <c r="D324" s="49"/>
      <c r="E324" s="49"/>
      <c r="F324" s="44"/>
      <c r="G324" s="44"/>
      <c r="H324" s="44"/>
    </row>
    <row r="325">
      <c r="A325" s="44"/>
      <c r="B325" s="49"/>
      <c r="C325" s="49"/>
      <c r="D325" s="49"/>
      <c r="E325" s="49"/>
      <c r="F325" s="44"/>
      <c r="G325" s="44"/>
      <c r="H325" s="44"/>
    </row>
    <row r="326">
      <c r="A326" s="44"/>
      <c r="B326" s="49"/>
      <c r="C326" s="49"/>
      <c r="D326" s="49"/>
      <c r="E326" s="49"/>
      <c r="F326" s="44"/>
      <c r="G326" s="44"/>
      <c r="H326" s="44"/>
    </row>
    <row r="327">
      <c r="A327" s="44"/>
      <c r="B327" s="49"/>
      <c r="C327" s="49"/>
      <c r="D327" s="49"/>
      <c r="E327" s="49"/>
      <c r="F327" s="44"/>
      <c r="G327" s="44"/>
      <c r="H327" s="44"/>
    </row>
    <row r="328">
      <c r="A328" s="44"/>
      <c r="B328" s="49"/>
      <c r="C328" s="49"/>
      <c r="D328" s="49"/>
      <c r="E328" s="49"/>
      <c r="F328" s="44"/>
      <c r="G328" s="44"/>
      <c r="H328" s="44"/>
    </row>
    <row r="329">
      <c r="A329" s="44"/>
      <c r="B329" s="49"/>
      <c r="C329" s="49"/>
      <c r="D329" s="49"/>
      <c r="E329" s="49"/>
      <c r="F329" s="44"/>
      <c r="G329" s="44"/>
      <c r="H329" s="44"/>
    </row>
    <row r="330">
      <c r="A330" s="44"/>
      <c r="B330" s="49"/>
      <c r="C330" s="49"/>
      <c r="D330" s="49"/>
      <c r="E330" s="49"/>
      <c r="F330" s="44"/>
      <c r="G330" s="44"/>
      <c r="H330" s="44"/>
    </row>
    <row r="331">
      <c r="A331" s="44"/>
      <c r="B331" s="49"/>
      <c r="C331" s="49"/>
      <c r="D331" s="49"/>
      <c r="E331" s="49"/>
      <c r="F331" s="44"/>
      <c r="G331" s="44"/>
      <c r="H331" s="44"/>
    </row>
    <row r="332">
      <c r="A332" s="44"/>
      <c r="B332" s="49"/>
      <c r="C332" s="49"/>
      <c r="D332" s="49"/>
      <c r="E332" s="49"/>
      <c r="F332" s="44"/>
      <c r="G332" s="44"/>
      <c r="H332" s="44"/>
    </row>
    <row r="333">
      <c r="A333" s="44"/>
      <c r="B333" s="49"/>
      <c r="C333" s="49"/>
      <c r="D333" s="49"/>
      <c r="E333" s="49"/>
      <c r="F333" s="44"/>
      <c r="G333" s="44"/>
      <c r="H333" s="44"/>
    </row>
    <row r="334">
      <c r="A334" s="44"/>
      <c r="B334" s="49"/>
      <c r="C334" s="49"/>
      <c r="D334" s="49"/>
      <c r="E334" s="49"/>
      <c r="F334" s="44"/>
      <c r="G334" s="44"/>
      <c r="H334" s="44"/>
    </row>
    <row r="335">
      <c r="A335" s="44"/>
      <c r="B335" s="49"/>
      <c r="C335" s="49"/>
      <c r="D335" s="49"/>
      <c r="E335" s="49"/>
      <c r="F335" s="44"/>
      <c r="G335" s="44"/>
      <c r="H335" s="44"/>
    </row>
    <row r="336">
      <c r="A336" s="44"/>
      <c r="B336" s="49"/>
      <c r="C336" s="49"/>
      <c r="D336" s="49"/>
      <c r="E336" s="49"/>
      <c r="F336" s="44"/>
      <c r="G336" s="44"/>
      <c r="H336" s="44"/>
    </row>
    <row r="337">
      <c r="A337" s="44"/>
      <c r="B337" s="49"/>
      <c r="C337" s="49"/>
      <c r="D337" s="49"/>
      <c r="E337" s="49"/>
      <c r="F337" s="44"/>
      <c r="G337" s="44"/>
      <c r="H337" s="44"/>
    </row>
    <row r="338">
      <c r="A338" s="44"/>
      <c r="B338" s="49"/>
      <c r="C338" s="49"/>
      <c r="D338" s="49"/>
      <c r="E338" s="49"/>
      <c r="F338" s="44"/>
      <c r="G338" s="44"/>
      <c r="H338" s="44"/>
    </row>
    <row r="339">
      <c r="A339" s="44"/>
      <c r="B339" s="49"/>
      <c r="C339" s="49"/>
      <c r="D339" s="49"/>
      <c r="E339" s="49"/>
      <c r="F339" s="44"/>
      <c r="G339" s="44"/>
      <c r="H339" s="44"/>
    </row>
    <row r="340">
      <c r="A340" s="44"/>
      <c r="B340" s="49"/>
      <c r="C340" s="49"/>
      <c r="D340" s="49"/>
      <c r="E340" s="49"/>
      <c r="F340" s="44"/>
      <c r="G340" s="44"/>
      <c r="H340" s="44"/>
    </row>
    <row r="341">
      <c r="A341" s="44"/>
      <c r="B341" s="49"/>
      <c r="C341" s="49"/>
      <c r="D341" s="49"/>
      <c r="E341" s="49"/>
      <c r="F341" s="44"/>
      <c r="G341" s="44"/>
      <c r="H341" s="44"/>
    </row>
    <row r="342">
      <c r="A342" s="44"/>
      <c r="B342" s="49"/>
      <c r="C342" s="49"/>
      <c r="D342" s="49"/>
      <c r="E342" s="49"/>
      <c r="F342" s="44"/>
      <c r="G342" s="44"/>
      <c r="H342" s="44"/>
    </row>
    <row r="343">
      <c r="A343" s="44"/>
      <c r="B343" s="49"/>
      <c r="C343" s="49"/>
      <c r="D343" s="49"/>
      <c r="E343" s="49"/>
      <c r="F343" s="44"/>
      <c r="G343" s="44"/>
      <c r="H343" s="44"/>
    </row>
    <row r="344">
      <c r="A344" s="44"/>
      <c r="B344" s="49"/>
      <c r="C344" s="49"/>
      <c r="D344" s="49"/>
      <c r="E344" s="49"/>
      <c r="F344" s="44"/>
      <c r="G344" s="44"/>
      <c r="H344" s="44"/>
    </row>
    <row r="345">
      <c r="A345" s="44"/>
      <c r="B345" s="49"/>
      <c r="C345" s="49"/>
      <c r="D345" s="49"/>
      <c r="E345" s="49"/>
      <c r="F345" s="44"/>
      <c r="G345" s="44"/>
      <c r="H345" s="44"/>
    </row>
    <row r="346">
      <c r="A346" s="44"/>
      <c r="B346" s="49"/>
      <c r="C346" s="49"/>
      <c r="D346" s="49"/>
      <c r="E346" s="49"/>
      <c r="F346" s="44"/>
      <c r="G346" s="44"/>
      <c r="H346" s="44"/>
    </row>
    <row r="347">
      <c r="A347" s="44"/>
      <c r="B347" s="49"/>
      <c r="C347" s="49"/>
      <c r="D347" s="49"/>
      <c r="E347" s="49"/>
      <c r="F347" s="44"/>
      <c r="G347" s="44"/>
      <c r="H347" s="44"/>
    </row>
    <row r="348">
      <c r="A348" s="44"/>
      <c r="B348" s="49"/>
      <c r="C348" s="49"/>
      <c r="D348" s="49"/>
      <c r="E348" s="49"/>
      <c r="F348" s="44"/>
      <c r="G348" s="44"/>
      <c r="H348" s="44"/>
    </row>
    <row r="349">
      <c r="A349" s="44"/>
      <c r="B349" s="49"/>
      <c r="C349" s="49"/>
      <c r="D349" s="49"/>
      <c r="E349" s="49"/>
      <c r="F349" s="44"/>
      <c r="G349" s="44"/>
      <c r="H349" s="44"/>
    </row>
    <row r="350">
      <c r="A350" s="44"/>
      <c r="B350" s="49"/>
      <c r="C350" s="49"/>
      <c r="D350" s="49"/>
      <c r="E350" s="49"/>
      <c r="F350" s="44"/>
      <c r="G350" s="44"/>
      <c r="H350" s="44"/>
    </row>
    <row r="351">
      <c r="A351" s="44"/>
      <c r="B351" s="49"/>
      <c r="C351" s="49"/>
      <c r="D351" s="49"/>
      <c r="E351" s="49"/>
      <c r="F351" s="44"/>
      <c r="G351" s="44"/>
      <c r="H351" s="44"/>
    </row>
    <row r="352">
      <c r="A352" s="44"/>
      <c r="B352" s="49"/>
      <c r="C352" s="49"/>
      <c r="D352" s="49"/>
      <c r="E352" s="49"/>
      <c r="F352" s="44"/>
      <c r="G352" s="44"/>
      <c r="H352" s="44"/>
    </row>
    <row r="353">
      <c r="A353" s="44"/>
      <c r="B353" s="49"/>
      <c r="C353" s="49"/>
      <c r="D353" s="49"/>
      <c r="E353" s="49"/>
      <c r="F353" s="44"/>
      <c r="G353" s="44"/>
      <c r="H353" s="44"/>
    </row>
    <row r="354">
      <c r="A354" s="44"/>
      <c r="B354" s="49"/>
      <c r="C354" s="49"/>
      <c r="D354" s="49"/>
      <c r="E354" s="49"/>
      <c r="F354" s="44"/>
      <c r="G354" s="44"/>
      <c r="H354" s="44"/>
    </row>
    <row r="355">
      <c r="A355" s="44"/>
      <c r="B355" s="49"/>
      <c r="C355" s="49"/>
      <c r="D355" s="49"/>
      <c r="E355" s="49"/>
      <c r="F355" s="44"/>
      <c r="G355" s="44"/>
      <c r="H355" s="44"/>
    </row>
    <row r="356">
      <c r="A356" s="44"/>
      <c r="B356" s="49"/>
      <c r="C356" s="49"/>
      <c r="D356" s="49"/>
      <c r="E356" s="49"/>
      <c r="F356" s="44"/>
      <c r="G356" s="44"/>
      <c r="H356" s="44"/>
    </row>
    <row r="357">
      <c r="A357" s="44"/>
      <c r="B357" s="49"/>
      <c r="C357" s="49"/>
      <c r="D357" s="49"/>
      <c r="E357" s="49"/>
      <c r="F357" s="44"/>
      <c r="G357" s="44"/>
      <c r="H357" s="44"/>
    </row>
    <row r="358">
      <c r="A358" s="44"/>
      <c r="B358" s="49"/>
      <c r="C358" s="49"/>
      <c r="D358" s="49"/>
      <c r="E358" s="49"/>
      <c r="F358" s="44"/>
      <c r="G358" s="44"/>
      <c r="H358" s="44"/>
    </row>
    <row r="359">
      <c r="A359" s="44"/>
      <c r="B359" s="49"/>
      <c r="C359" s="49"/>
      <c r="D359" s="49"/>
      <c r="E359" s="49"/>
      <c r="F359" s="44"/>
      <c r="G359" s="44"/>
      <c r="H359" s="44"/>
    </row>
    <row r="360">
      <c r="A360" s="44"/>
      <c r="B360" s="49"/>
      <c r="C360" s="49"/>
      <c r="D360" s="49"/>
      <c r="E360" s="49"/>
      <c r="F360" s="44"/>
      <c r="G360" s="44"/>
      <c r="H360" s="44"/>
    </row>
    <row r="361">
      <c r="A361" s="44"/>
      <c r="B361" s="49"/>
      <c r="C361" s="49"/>
      <c r="D361" s="49"/>
      <c r="E361" s="49"/>
      <c r="F361" s="44"/>
      <c r="G361" s="44"/>
      <c r="H361" s="44"/>
    </row>
    <row r="362">
      <c r="A362" s="44"/>
      <c r="B362" s="49"/>
      <c r="C362" s="49"/>
      <c r="D362" s="49"/>
      <c r="E362" s="49"/>
      <c r="F362" s="44"/>
      <c r="G362" s="44"/>
      <c r="H362" s="44"/>
    </row>
    <row r="363">
      <c r="A363" s="44"/>
      <c r="B363" s="49"/>
      <c r="C363" s="49"/>
      <c r="D363" s="49"/>
      <c r="E363" s="49"/>
      <c r="F363" s="44"/>
      <c r="G363" s="44"/>
      <c r="H363" s="44"/>
    </row>
    <row r="364">
      <c r="A364" s="44"/>
      <c r="B364" s="49"/>
      <c r="C364" s="49"/>
      <c r="D364" s="49"/>
      <c r="E364" s="49"/>
      <c r="F364" s="44"/>
      <c r="G364" s="44"/>
      <c r="H364" s="44"/>
    </row>
    <row r="365">
      <c r="A365" s="44"/>
      <c r="B365" s="49"/>
      <c r="C365" s="49"/>
      <c r="D365" s="49"/>
      <c r="E365" s="49"/>
      <c r="F365" s="44"/>
      <c r="G365" s="44"/>
      <c r="H365" s="44"/>
    </row>
    <row r="366">
      <c r="A366" s="44"/>
      <c r="B366" s="49"/>
      <c r="C366" s="49"/>
      <c r="D366" s="49"/>
      <c r="E366" s="49"/>
      <c r="F366" s="44"/>
      <c r="G366" s="44"/>
      <c r="H366" s="44"/>
    </row>
    <row r="367">
      <c r="A367" s="44"/>
      <c r="B367" s="49"/>
      <c r="C367" s="49"/>
      <c r="D367" s="49"/>
      <c r="E367" s="49"/>
      <c r="F367" s="44"/>
      <c r="G367" s="44"/>
      <c r="H367" s="44"/>
    </row>
    <row r="368">
      <c r="A368" s="44"/>
      <c r="B368" s="49"/>
      <c r="C368" s="49"/>
      <c r="D368" s="49"/>
      <c r="E368" s="49"/>
      <c r="F368" s="44"/>
      <c r="G368" s="44"/>
      <c r="H368" s="44"/>
    </row>
    <row r="369">
      <c r="A369" s="44"/>
      <c r="B369" s="49"/>
      <c r="C369" s="49"/>
      <c r="D369" s="49"/>
      <c r="E369" s="49"/>
      <c r="F369" s="44"/>
      <c r="G369" s="44"/>
      <c r="H369" s="44"/>
    </row>
    <row r="370">
      <c r="A370" s="44"/>
      <c r="B370" s="49"/>
      <c r="C370" s="49"/>
      <c r="D370" s="49"/>
      <c r="E370" s="49"/>
      <c r="F370" s="44"/>
      <c r="G370" s="44"/>
      <c r="H370" s="44"/>
    </row>
    <row r="371">
      <c r="A371" s="44"/>
      <c r="B371" s="49"/>
      <c r="C371" s="49"/>
      <c r="D371" s="49"/>
      <c r="E371" s="49"/>
      <c r="F371" s="44"/>
      <c r="G371" s="44"/>
      <c r="H371" s="44"/>
    </row>
    <row r="372">
      <c r="A372" s="44"/>
      <c r="B372" s="49"/>
      <c r="C372" s="49"/>
      <c r="D372" s="49"/>
      <c r="E372" s="49"/>
      <c r="F372" s="44"/>
      <c r="G372" s="44"/>
      <c r="H372" s="44"/>
    </row>
    <row r="373">
      <c r="A373" s="44"/>
      <c r="B373" s="49"/>
      <c r="C373" s="49"/>
      <c r="D373" s="49"/>
      <c r="E373" s="49"/>
      <c r="F373" s="44"/>
      <c r="G373" s="44"/>
      <c r="H373" s="44"/>
    </row>
    <row r="374">
      <c r="A374" s="44"/>
      <c r="B374" s="49"/>
      <c r="C374" s="49"/>
      <c r="D374" s="49"/>
      <c r="E374" s="49"/>
      <c r="F374" s="44"/>
      <c r="G374" s="44"/>
      <c r="H374" s="44"/>
    </row>
    <row r="375">
      <c r="A375" s="44"/>
      <c r="B375" s="49"/>
      <c r="C375" s="49"/>
      <c r="D375" s="49"/>
      <c r="E375" s="49"/>
      <c r="F375" s="44"/>
      <c r="G375" s="44"/>
      <c r="H375" s="44"/>
    </row>
    <row r="376">
      <c r="A376" s="44"/>
      <c r="B376" s="49"/>
      <c r="C376" s="49"/>
      <c r="D376" s="49"/>
      <c r="E376" s="49"/>
      <c r="F376" s="44"/>
      <c r="G376" s="44"/>
      <c r="H376" s="44"/>
    </row>
    <row r="377">
      <c r="A377" s="44"/>
      <c r="B377" s="49"/>
      <c r="C377" s="49"/>
      <c r="D377" s="49"/>
      <c r="E377" s="49"/>
      <c r="F377" s="44"/>
      <c r="G377" s="44"/>
      <c r="H377" s="44"/>
    </row>
    <row r="378">
      <c r="A378" s="44"/>
      <c r="B378" s="49"/>
      <c r="C378" s="49"/>
      <c r="D378" s="49"/>
      <c r="E378" s="49"/>
      <c r="F378" s="44"/>
      <c r="G378" s="44"/>
      <c r="H378" s="44"/>
    </row>
    <row r="379">
      <c r="A379" s="44"/>
      <c r="B379" s="49"/>
      <c r="C379" s="49"/>
      <c r="D379" s="49"/>
      <c r="E379" s="49"/>
      <c r="F379" s="44"/>
      <c r="G379" s="44"/>
      <c r="H379" s="44"/>
    </row>
    <row r="380">
      <c r="A380" s="44"/>
      <c r="B380" s="49"/>
      <c r="C380" s="49"/>
      <c r="D380" s="49"/>
      <c r="E380" s="49"/>
      <c r="F380" s="44"/>
      <c r="G380" s="44"/>
      <c r="H380" s="44"/>
    </row>
    <row r="381">
      <c r="A381" s="44"/>
      <c r="B381" s="49"/>
      <c r="C381" s="49"/>
      <c r="D381" s="49"/>
      <c r="E381" s="49"/>
      <c r="F381" s="44"/>
      <c r="G381" s="44"/>
      <c r="H381" s="44"/>
    </row>
    <row r="382">
      <c r="A382" s="44"/>
      <c r="B382" s="49"/>
      <c r="C382" s="49"/>
      <c r="D382" s="49"/>
      <c r="E382" s="49"/>
      <c r="F382" s="44"/>
      <c r="G382" s="44"/>
      <c r="H382" s="44"/>
    </row>
    <row r="383">
      <c r="A383" s="44"/>
      <c r="B383" s="49"/>
      <c r="C383" s="49"/>
      <c r="D383" s="49"/>
      <c r="E383" s="49"/>
      <c r="F383" s="44"/>
      <c r="G383" s="44"/>
      <c r="H383" s="44"/>
    </row>
    <row r="384">
      <c r="A384" s="44"/>
      <c r="B384" s="49"/>
      <c r="C384" s="49"/>
      <c r="D384" s="49"/>
      <c r="E384" s="49"/>
      <c r="F384" s="44"/>
      <c r="G384" s="44"/>
      <c r="H384" s="44"/>
    </row>
    <row r="385">
      <c r="A385" s="44"/>
      <c r="B385" s="49"/>
      <c r="C385" s="49"/>
      <c r="D385" s="49"/>
      <c r="E385" s="49"/>
      <c r="F385" s="44"/>
      <c r="G385" s="44"/>
      <c r="H385" s="44"/>
    </row>
    <row r="386">
      <c r="A386" s="44"/>
      <c r="B386" s="49"/>
      <c r="C386" s="49"/>
      <c r="D386" s="49"/>
      <c r="E386" s="49"/>
      <c r="F386" s="44"/>
      <c r="G386" s="44"/>
      <c r="H386" s="44"/>
    </row>
    <row r="387">
      <c r="A387" s="44"/>
      <c r="B387" s="49"/>
      <c r="C387" s="49"/>
      <c r="D387" s="49"/>
      <c r="E387" s="49"/>
      <c r="F387" s="44"/>
      <c r="G387" s="44"/>
      <c r="H387" s="44"/>
    </row>
    <row r="388">
      <c r="A388" s="44"/>
      <c r="B388" s="49"/>
      <c r="C388" s="49"/>
      <c r="D388" s="49"/>
      <c r="E388" s="49"/>
      <c r="F388" s="44"/>
      <c r="G388" s="44"/>
      <c r="H388" s="44"/>
    </row>
    <row r="389">
      <c r="A389" s="44"/>
      <c r="B389" s="49"/>
      <c r="C389" s="49"/>
      <c r="D389" s="49"/>
      <c r="E389" s="49"/>
      <c r="F389" s="44"/>
      <c r="G389" s="44"/>
      <c r="H389" s="44"/>
    </row>
    <row r="390">
      <c r="A390" s="44"/>
      <c r="B390" s="49"/>
      <c r="C390" s="49"/>
      <c r="D390" s="49"/>
      <c r="E390" s="49"/>
      <c r="F390" s="44"/>
      <c r="G390" s="44"/>
      <c r="H390" s="44"/>
    </row>
    <row r="391">
      <c r="A391" s="44"/>
      <c r="B391" s="49"/>
      <c r="C391" s="49"/>
      <c r="D391" s="49"/>
      <c r="E391" s="49"/>
      <c r="F391" s="44"/>
      <c r="G391" s="44"/>
      <c r="H391" s="44"/>
    </row>
    <row r="392">
      <c r="A392" s="44"/>
      <c r="B392" s="49"/>
      <c r="C392" s="49"/>
      <c r="D392" s="49"/>
      <c r="E392" s="49"/>
      <c r="F392" s="44"/>
      <c r="G392" s="44"/>
      <c r="H392" s="44"/>
    </row>
    <row r="393">
      <c r="A393" s="44"/>
      <c r="B393" s="49"/>
      <c r="C393" s="49"/>
      <c r="D393" s="49"/>
      <c r="E393" s="49"/>
      <c r="F393" s="44"/>
      <c r="G393" s="44"/>
      <c r="H393" s="44"/>
    </row>
    <row r="394">
      <c r="A394" s="44"/>
      <c r="B394" s="49"/>
      <c r="C394" s="49"/>
      <c r="D394" s="49"/>
      <c r="E394" s="49"/>
      <c r="F394" s="44"/>
      <c r="G394" s="44"/>
      <c r="H394" s="44"/>
    </row>
    <row r="395">
      <c r="A395" s="44"/>
      <c r="B395" s="49"/>
      <c r="C395" s="49"/>
      <c r="D395" s="49"/>
      <c r="E395" s="49"/>
      <c r="F395" s="44"/>
      <c r="G395" s="44"/>
      <c r="H395" s="44"/>
    </row>
    <row r="396">
      <c r="A396" s="44"/>
      <c r="B396" s="49"/>
      <c r="C396" s="49"/>
      <c r="D396" s="49"/>
      <c r="E396" s="49"/>
      <c r="F396" s="44"/>
      <c r="G396" s="44"/>
      <c r="H396" s="44"/>
    </row>
    <row r="397">
      <c r="A397" s="44"/>
      <c r="B397" s="49"/>
      <c r="C397" s="49"/>
      <c r="D397" s="49"/>
      <c r="E397" s="49"/>
      <c r="F397" s="44"/>
      <c r="G397" s="44"/>
      <c r="H397" s="44"/>
    </row>
    <row r="398">
      <c r="A398" s="44"/>
      <c r="B398" s="49"/>
      <c r="C398" s="49"/>
      <c r="D398" s="49"/>
      <c r="E398" s="49"/>
      <c r="F398" s="44"/>
      <c r="G398" s="44"/>
      <c r="H398" s="44"/>
    </row>
    <row r="399">
      <c r="A399" s="44"/>
      <c r="B399" s="49"/>
      <c r="C399" s="49"/>
      <c r="D399" s="49"/>
      <c r="E399" s="49"/>
      <c r="F399" s="44"/>
      <c r="G399" s="44"/>
      <c r="H399" s="44"/>
    </row>
    <row r="400">
      <c r="A400" s="44"/>
      <c r="B400" s="49"/>
      <c r="C400" s="49"/>
      <c r="D400" s="49"/>
      <c r="E400" s="49"/>
      <c r="F400" s="44"/>
      <c r="G400" s="44"/>
      <c r="H400" s="44"/>
    </row>
    <row r="401">
      <c r="A401" s="44"/>
      <c r="B401" s="49"/>
      <c r="C401" s="49"/>
      <c r="D401" s="49"/>
      <c r="E401" s="49"/>
      <c r="F401" s="44"/>
      <c r="G401" s="44"/>
      <c r="H401" s="44"/>
    </row>
    <row r="402">
      <c r="A402" s="44"/>
      <c r="B402" s="49"/>
      <c r="C402" s="49"/>
      <c r="D402" s="49"/>
      <c r="E402" s="49"/>
      <c r="F402" s="44"/>
      <c r="G402" s="44"/>
      <c r="H402" s="44"/>
    </row>
    <row r="403">
      <c r="A403" s="44"/>
      <c r="B403" s="49"/>
      <c r="C403" s="49"/>
      <c r="D403" s="49"/>
      <c r="E403" s="49"/>
      <c r="F403" s="44"/>
      <c r="G403" s="44"/>
      <c r="H403" s="44"/>
    </row>
    <row r="404">
      <c r="A404" s="44"/>
      <c r="B404" s="49"/>
      <c r="C404" s="49"/>
      <c r="D404" s="49"/>
      <c r="E404" s="49"/>
      <c r="F404" s="44"/>
      <c r="G404" s="44"/>
      <c r="H404" s="44"/>
    </row>
    <row r="405">
      <c r="A405" s="44"/>
      <c r="B405" s="49"/>
      <c r="C405" s="49"/>
      <c r="D405" s="49"/>
      <c r="E405" s="49"/>
      <c r="F405" s="44"/>
      <c r="G405" s="44"/>
      <c r="H405" s="44"/>
    </row>
    <row r="406">
      <c r="A406" s="44"/>
      <c r="B406" s="49"/>
      <c r="C406" s="49"/>
      <c r="D406" s="49"/>
      <c r="E406" s="49"/>
      <c r="F406" s="44"/>
      <c r="G406" s="44"/>
      <c r="H406" s="44"/>
    </row>
    <row r="407">
      <c r="A407" s="44"/>
      <c r="B407" s="49"/>
      <c r="C407" s="49"/>
      <c r="D407" s="49"/>
      <c r="E407" s="49"/>
      <c r="F407" s="44"/>
      <c r="G407" s="44"/>
      <c r="H407" s="44"/>
    </row>
    <row r="408">
      <c r="A408" s="44"/>
      <c r="B408" s="49"/>
      <c r="C408" s="49"/>
      <c r="D408" s="49"/>
      <c r="E408" s="49"/>
      <c r="F408" s="44"/>
      <c r="G408" s="44"/>
      <c r="H408" s="44"/>
    </row>
    <row r="409">
      <c r="A409" s="44"/>
      <c r="B409" s="49"/>
      <c r="C409" s="49"/>
      <c r="D409" s="49"/>
      <c r="E409" s="49"/>
      <c r="F409" s="44"/>
      <c r="G409" s="44"/>
      <c r="H409" s="44"/>
    </row>
    <row r="410">
      <c r="A410" s="44"/>
      <c r="B410" s="49"/>
      <c r="C410" s="49"/>
      <c r="D410" s="49"/>
      <c r="E410" s="49"/>
      <c r="F410" s="44"/>
      <c r="G410" s="44"/>
      <c r="H410" s="44"/>
    </row>
    <row r="411">
      <c r="A411" s="44"/>
      <c r="B411" s="49"/>
      <c r="C411" s="49"/>
      <c r="D411" s="49"/>
      <c r="E411" s="49"/>
      <c r="F411" s="44"/>
      <c r="G411" s="44"/>
      <c r="H411" s="44"/>
    </row>
    <row r="412">
      <c r="A412" s="44"/>
      <c r="B412" s="49"/>
      <c r="C412" s="49"/>
      <c r="D412" s="49"/>
      <c r="E412" s="49"/>
      <c r="F412" s="44"/>
      <c r="G412" s="44"/>
      <c r="H412" s="44"/>
    </row>
    <row r="413">
      <c r="A413" s="44"/>
      <c r="B413" s="49"/>
      <c r="C413" s="49"/>
      <c r="D413" s="49"/>
      <c r="E413" s="49"/>
      <c r="F413" s="44"/>
      <c r="G413" s="44"/>
      <c r="H413" s="44"/>
    </row>
    <row r="414">
      <c r="A414" s="44"/>
      <c r="B414" s="49"/>
      <c r="C414" s="49"/>
      <c r="D414" s="49"/>
      <c r="E414" s="49"/>
      <c r="F414" s="44"/>
      <c r="G414" s="44"/>
      <c r="H414" s="44"/>
    </row>
    <row r="415">
      <c r="A415" s="44"/>
      <c r="B415" s="49"/>
      <c r="C415" s="49"/>
      <c r="D415" s="49"/>
      <c r="E415" s="49"/>
      <c r="F415" s="44"/>
      <c r="G415" s="44"/>
      <c r="H415" s="44"/>
    </row>
    <row r="416">
      <c r="A416" s="44"/>
      <c r="B416" s="49"/>
      <c r="C416" s="49"/>
      <c r="D416" s="49"/>
      <c r="E416" s="49"/>
      <c r="F416" s="44"/>
      <c r="G416" s="44"/>
      <c r="H416" s="44"/>
    </row>
    <row r="417">
      <c r="A417" s="44"/>
      <c r="B417" s="49"/>
      <c r="C417" s="49"/>
      <c r="D417" s="49"/>
      <c r="E417" s="49"/>
      <c r="F417" s="44"/>
      <c r="G417" s="44"/>
      <c r="H417" s="44"/>
    </row>
    <row r="418">
      <c r="A418" s="44"/>
      <c r="B418" s="49"/>
      <c r="C418" s="49"/>
      <c r="D418" s="49"/>
      <c r="E418" s="49"/>
      <c r="F418" s="44"/>
      <c r="G418" s="44"/>
      <c r="H418" s="44"/>
    </row>
    <row r="419">
      <c r="A419" s="44"/>
      <c r="B419" s="49"/>
      <c r="C419" s="49"/>
      <c r="D419" s="49"/>
      <c r="E419" s="49"/>
      <c r="F419" s="44"/>
      <c r="G419" s="44"/>
      <c r="H419" s="44"/>
    </row>
    <row r="420">
      <c r="A420" s="44"/>
      <c r="B420" s="49"/>
      <c r="C420" s="49"/>
      <c r="D420" s="49"/>
      <c r="E420" s="49"/>
      <c r="F420" s="44"/>
      <c r="G420" s="44"/>
      <c r="H420" s="44"/>
    </row>
    <row r="421">
      <c r="A421" s="44"/>
      <c r="B421" s="49"/>
      <c r="C421" s="49"/>
      <c r="D421" s="49"/>
      <c r="E421" s="49"/>
      <c r="F421" s="44"/>
      <c r="G421" s="44"/>
      <c r="H421" s="44"/>
    </row>
    <row r="422">
      <c r="A422" s="44"/>
      <c r="B422" s="49"/>
      <c r="C422" s="49"/>
      <c r="D422" s="49"/>
      <c r="E422" s="49"/>
      <c r="F422" s="44"/>
      <c r="G422" s="44"/>
      <c r="H422" s="44"/>
    </row>
    <row r="423">
      <c r="A423" s="44"/>
      <c r="B423" s="49"/>
      <c r="C423" s="49"/>
      <c r="D423" s="49"/>
      <c r="E423" s="49"/>
      <c r="F423" s="44"/>
      <c r="G423" s="44"/>
      <c r="H423" s="44"/>
    </row>
    <row r="424">
      <c r="A424" s="44"/>
      <c r="B424" s="49"/>
      <c r="C424" s="49"/>
      <c r="D424" s="49"/>
      <c r="E424" s="49"/>
      <c r="F424" s="44"/>
      <c r="G424" s="44"/>
      <c r="H424" s="44"/>
    </row>
    <row r="425">
      <c r="A425" s="44"/>
      <c r="B425" s="49"/>
      <c r="C425" s="49"/>
      <c r="D425" s="49"/>
      <c r="E425" s="49"/>
      <c r="F425" s="44"/>
      <c r="G425" s="44"/>
      <c r="H425" s="44"/>
    </row>
    <row r="426">
      <c r="A426" s="44"/>
      <c r="B426" s="49"/>
      <c r="C426" s="49"/>
      <c r="D426" s="49"/>
      <c r="E426" s="49"/>
      <c r="F426" s="44"/>
      <c r="G426" s="44"/>
      <c r="H426" s="44"/>
    </row>
    <row r="427">
      <c r="A427" s="44"/>
      <c r="B427" s="49"/>
      <c r="C427" s="49"/>
      <c r="D427" s="49"/>
      <c r="E427" s="49"/>
      <c r="F427" s="44"/>
      <c r="G427" s="44"/>
      <c r="H427" s="44"/>
    </row>
    <row r="428">
      <c r="A428" s="44"/>
      <c r="B428" s="49"/>
      <c r="C428" s="49"/>
      <c r="D428" s="49"/>
      <c r="E428" s="49"/>
      <c r="F428" s="44"/>
      <c r="G428" s="44"/>
      <c r="H428" s="44"/>
    </row>
    <row r="429">
      <c r="A429" s="44"/>
      <c r="B429" s="49"/>
      <c r="C429" s="49"/>
      <c r="D429" s="49"/>
      <c r="E429" s="49"/>
      <c r="F429" s="44"/>
      <c r="G429" s="44"/>
      <c r="H429" s="44"/>
    </row>
    <row r="430">
      <c r="A430" s="44"/>
      <c r="B430" s="49"/>
      <c r="C430" s="49"/>
      <c r="D430" s="49"/>
      <c r="E430" s="49"/>
      <c r="F430" s="44"/>
      <c r="G430" s="44"/>
      <c r="H430" s="44"/>
    </row>
    <row r="431">
      <c r="A431" s="44"/>
      <c r="B431" s="49"/>
      <c r="C431" s="49"/>
      <c r="D431" s="49"/>
      <c r="E431" s="49"/>
      <c r="F431" s="44"/>
      <c r="G431" s="44"/>
      <c r="H431" s="44"/>
    </row>
    <row r="432">
      <c r="A432" s="44"/>
      <c r="B432" s="49"/>
      <c r="C432" s="49"/>
      <c r="D432" s="49"/>
      <c r="E432" s="49"/>
      <c r="F432" s="44"/>
      <c r="G432" s="44"/>
      <c r="H432" s="44"/>
    </row>
    <row r="433">
      <c r="A433" s="44"/>
      <c r="B433" s="49"/>
      <c r="C433" s="49"/>
      <c r="D433" s="49"/>
      <c r="E433" s="49"/>
      <c r="F433" s="44"/>
      <c r="G433" s="44"/>
      <c r="H433" s="44"/>
    </row>
    <row r="434">
      <c r="A434" s="44"/>
      <c r="B434" s="49"/>
      <c r="C434" s="49"/>
      <c r="D434" s="49"/>
      <c r="E434" s="49"/>
      <c r="F434" s="44"/>
      <c r="G434" s="44"/>
      <c r="H434" s="44"/>
    </row>
    <row r="435">
      <c r="A435" s="44"/>
      <c r="B435" s="49"/>
      <c r="C435" s="49"/>
      <c r="D435" s="49"/>
      <c r="E435" s="49"/>
      <c r="F435" s="44"/>
      <c r="G435" s="44"/>
      <c r="H435" s="44"/>
    </row>
    <row r="436">
      <c r="A436" s="44"/>
      <c r="B436" s="49"/>
      <c r="C436" s="49"/>
      <c r="D436" s="49"/>
      <c r="E436" s="49"/>
      <c r="F436" s="44"/>
      <c r="G436" s="44"/>
      <c r="H436" s="44"/>
    </row>
    <row r="437">
      <c r="A437" s="44"/>
      <c r="B437" s="49"/>
      <c r="C437" s="49"/>
      <c r="D437" s="49"/>
      <c r="E437" s="49"/>
      <c r="F437" s="44"/>
      <c r="G437" s="44"/>
      <c r="H437" s="44"/>
    </row>
    <row r="438">
      <c r="A438" s="44"/>
      <c r="B438" s="49"/>
      <c r="C438" s="49"/>
      <c r="D438" s="49"/>
      <c r="E438" s="49"/>
      <c r="F438" s="44"/>
      <c r="G438" s="44"/>
      <c r="H438" s="44"/>
    </row>
    <row r="439">
      <c r="A439" s="44"/>
      <c r="B439" s="49"/>
      <c r="C439" s="49"/>
      <c r="D439" s="49"/>
      <c r="E439" s="49"/>
      <c r="F439" s="44"/>
      <c r="G439" s="44"/>
      <c r="H439" s="44"/>
    </row>
    <row r="440">
      <c r="A440" s="44"/>
      <c r="B440" s="49"/>
      <c r="C440" s="49"/>
      <c r="D440" s="49"/>
      <c r="E440" s="49"/>
      <c r="F440" s="44"/>
      <c r="G440" s="44"/>
      <c r="H440" s="44"/>
    </row>
    <row r="441">
      <c r="A441" s="44"/>
      <c r="B441" s="49"/>
      <c r="C441" s="49"/>
      <c r="D441" s="49"/>
      <c r="E441" s="49"/>
      <c r="F441" s="44"/>
      <c r="G441" s="44"/>
      <c r="H441" s="44"/>
    </row>
    <row r="442">
      <c r="A442" s="44"/>
      <c r="B442" s="49"/>
      <c r="C442" s="49"/>
      <c r="D442" s="49"/>
      <c r="E442" s="49"/>
      <c r="F442" s="44"/>
      <c r="G442" s="44"/>
      <c r="H442" s="44"/>
    </row>
    <row r="443">
      <c r="A443" s="44"/>
      <c r="B443" s="49"/>
      <c r="C443" s="49"/>
      <c r="D443" s="49"/>
      <c r="E443" s="49"/>
      <c r="F443" s="44"/>
      <c r="G443" s="44"/>
      <c r="H443" s="44"/>
    </row>
    <row r="444">
      <c r="A444" s="44"/>
      <c r="B444" s="49"/>
      <c r="C444" s="49"/>
      <c r="D444" s="49"/>
      <c r="E444" s="49"/>
      <c r="F444" s="44"/>
      <c r="G444" s="44"/>
      <c r="H444" s="44"/>
    </row>
    <row r="445">
      <c r="A445" s="44"/>
      <c r="B445" s="49"/>
      <c r="C445" s="49"/>
      <c r="D445" s="49"/>
      <c r="E445" s="49"/>
      <c r="F445" s="44"/>
      <c r="G445" s="44"/>
      <c r="H445" s="44"/>
    </row>
    <row r="446">
      <c r="A446" s="44"/>
      <c r="B446" s="49"/>
      <c r="C446" s="49"/>
      <c r="D446" s="49"/>
      <c r="E446" s="49"/>
      <c r="F446" s="44"/>
      <c r="G446" s="44"/>
      <c r="H446" s="44"/>
    </row>
    <row r="447">
      <c r="A447" s="44"/>
      <c r="B447" s="49"/>
      <c r="C447" s="49"/>
      <c r="D447" s="49"/>
      <c r="E447" s="49"/>
      <c r="F447" s="44"/>
      <c r="G447" s="44"/>
      <c r="H447" s="44"/>
    </row>
    <row r="448">
      <c r="A448" s="44"/>
      <c r="B448" s="49"/>
      <c r="C448" s="49"/>
      <c r="D448" s="49"/>
      <c r="E448" s="49"/>
      <c r="F448" s="44"/>
      <c r="G448" s="44"/>
      <c r="H448" s="44"/>
    </row>
    <row r="449">
      <c r="A449" s="44"/>
      <c r="B449" s="49"/>
      <c r="C449" s="49"/>
      <c r="D449" s="49"/>
      <c r="E449" s="49"/>
      <c r="F449" s="44"/>
      <c r="G449" s="44"/>
      <c r="H449" s="44"/>
    </row>
    <row r="450">
      <c r="A450" s="44"/>
      <c r="B450" s="49"/>
      <c r="C450" s="49"/>
      <c r="D450" s="49"/>
      <c r="E450" s="49"/>
      <c r="F450" s="44"/>
      <c r="G450" s="44"/>
      <c r="H450" s="44"/>
    </row>
    <row r="451">
      <c r="A451" s="44"/>
      <c r="B451" s="49"/>
      <c r="C451" s="49"/>
      <c r="D451" s="49"/>
      <c r="E451" s="49"/>
      <c r="F451" s="44"/>
      <c r="G451" s="44"/>
      <c r="H451" s="44"/>
    </row>
    <row r="452">
      <c r="A452" s="44"/>
      <c r="B452" s="49"/>
      <c r="C452" s="49"/>
      <c r="D452" s="49"/>
      <c r="E452" s="49"/>
      <c r="F452" s="44"/>
      <c r="G452" s="44"/>
      <c r="H452" s="44"/>
    </row>
    <row r="453">
      <c r="A453" s="44"/>
      <c r="B453" s="49"/>
      <c r="C453" s="49"/>
      <c r="D453" s="49"/>
      <c r="E453" s="49"/>
      <c r="F453" s="44"/>
      <c r="G453" s="44"/>
      <c r="H453" s="44"/>
    </row>
    <row r="454">
      <c r="A454" s="44"/>
      <c r="B454" s="49"/>
      <c r="C454" s="49"/>
      <c r="D454" s="49"/>
      <c r="E454" s="49"/>
      <c r="F454" s="44"/>
      <c r="G454" s="44"/>
      <c r="H454" s="44"/>
    </row>
    <row r="455">
      <c r="A455" s="44"/>
      <c r="B455" s="49"/>
      <c r="C455" s="49"/>
      <c r="D455" s="49"/>
      <c r="E455" s="49"/>
      <c r="F455" s="44"/>
      <c r="G455" s="44"/>
      <c r="H455" s="44"/>
    </row>
    <row r="456">
      <c r="A456" s="44"/>
      <c r="B456" s="49"/>
      <c r="C456" s="49"/>
      <c r="D456" s="49"/>
      <c r="E456" s="49"/>
      <c r="F456" s="44"/>
      <c r="G456" s="44"/>
      <c r="H456" s="44"/>
    </row>
    <row r="457">
      <c r="A457" s="44"/>
      <c r="B457" s="49"/>
      <c r="C457" s="49"/>
      <c r="D457" s="49"/>
      <c r="E457" s="49"/>
      <c r="F457" s="44"/>
      <c r="G457" s="44"/>
      <c r="H457" s="44"/>
    </row>
    <row r="458">
      <c r="A458" s="44"/>
      <c r="B458" s="49"/>
      <c r="C458" s="49"/>
      <c r="D458" s="49"/>
      <c r="E458" s="49"/>
      <c r="F458" s="44"/>
      <c r="G458" s="44"/>
      <c r="H458" s="44"/>
    </row>
    <row r="459">
      <c r="A459" s="44"/>
      <c r="B459" s="49"/>
      <c r="C459" s="49"/>
      <c r="D459" s="49"/>
      <c r="E459" s="49"/>
      <c r="F459" s="44"/>
      <c r="G459" s="44"/>
      <c r="H459" s="44"/>
    </row>
    <row r="460">
      <c r="A460" s="44"/>
      <c r="B460" s="49"/>
      <c r="C460" s="49"/>
      <c r="D460" s="49"/>
      <c r="E460" s="49"/>
      <c r="F460" s="44"/>
      <c r="G460" s="44"/>
      <c r="H460" s="44"/>
    </row>
    <row r="461">
      <c r="A461" s="44"/>
      <c r="B461" s="49"/>
      <c r="C461" s="49"/>
      <c r="D461" s="49"/>
      <c r="E461" s="49"/>
      <c r="F461" s="44"/>
      <c r="G461" s="44"/>
      <c r="H461" s="44"/>
    </row>
    <row r="462">
      <c r="A462" s="44"/>
      <c r="B462" s="49"/>
      <c r="C462" s="49"/>
      <c r="D462" s="49"/>
      <c r="E462" s="49"/>
      <c r="F462" s="44"/>
      <c r="G462" s="44"/>
      <c r="H462" s="44"/>
    </row>
    <row r="463">
      <c r="A463" s="44"/>
      <c r="B463" s="49"/>
      <c r="C463" s="49"/>
      <c r="D463" s="49"/>
      <c r="E463" s="49"/>
      <c r="F463" s="44"/>
      <c r="G463" s="44"/>
      <c r="H463" s="44"/>
    </row>
    <row r="464">
      <c r="A464" s="44"/>
      <c r="B464" s="49"/>
      <c r="C464" s="49"/>
      <c r="D464" s="49"/>
      <c r="E464" s="49"/>
      <c r="F464" s="44"/>
      <c r="G464" s="44"/>
      <c r="H464" s="44"/>
    </row>
    <row r="465">
      <c r="A465" s="44"/>
      <c r="B465" s="49"/>
      <c r="C465" s="49"/>
      <c r="D465" s="49"/>
      <c r="E465" s="49"/>
      <c r="F465" s="44"/>
      <c r="G465" s="44"/>
      <c r="H465" s="44"/>
    </row>
    <row r="466">
      <c r="A466" s="44"/>
      <c r="B466" s="49"/>
      <c r="C466" s="49"/>
      <c r="D466" s="49"/>
      <c r="E466" s="49"/>
      <c r="F466" s="44"/>
      <c r="G466" s="44"/>
      <c r="H466" s="44"/>
    </row>
    <row r="467">
      <c r="A467" s="44"/>
      <c r="B467" s="49"/>
      <c r="C467" s="49"/>
      <c r="D467" s="49"/>
      <c r="E467" s="49"/>
      <c r="F467" s="44"/>
      <c r="G467" s="44"/>
      <c r="H467" s="44"/>
    </row>
    <row r="468">
      <c r="A468" s="44"/>
      <c r="B468" s="49"/>
      <c r="C468" s="49"/>
      <c r="D468" s="49"/>
      <c r="E468" s="49"/>
      <c r="F468" s="44"/>
      <c r="G468" s="44"/>
      <c r="H468" s="44"/>
    </row>
    <row r="469">
      <c r="A469" s="44"/>
      <c r="B469" s="49"/>
      <c r="C469" s="49"/>
      <c r="D469" s="49"/>
      <c r="E469" s="49"/>
      <c r="F469" s="44"/>
      <c r="G469" s="44"/>
      <c r="H469" s="44"/>
    </row>
    <row r="470">
      <c r="A470" s="44"/>
      <c r="B470" s="49"/>
      <c r="C470" s="49"/>
      <c r="D470" s="49"/>
      <c r="E470" s="49"/>
      <c r="F470" s="44"/>
      <c r="G470" s="44"/>
      <c r="H470" s="44"/>
    </row>
    <row r="471">
      <c r="A471" s="44"/>
      <c r="B471" s="49"/>
      <c r="C471" s="49"/>
      <c r="D471" s="49"/>
      <c r="E471" s="49"/>
      <c r="F471" s="44"/>
      <c r="G471" s="44"/>
      <c r="H471" s="44"/>
    </row>
    <row r="472">
      <c r="A472" s="44"/>
      <c r="B472" s="49"/>
      <c r="C472" s="49"/>
      <c r="D472" s="49"/>
      <c r="E472" s="49"/>
      <c r="F472" s="44"/>
      <c r="G472" s="44"/>
      <c r="H472" s="44"/>
    </row>
    <row r="473">
      <c r="A473" s="44"/>
      <c r="B473" s="49"/>
      <c r="C473" s="49"/>
      <c r="D473" s="49"/>
      <c r="E473" s="49"/>
      <c r="F473" s="44"/>
      <c r="G473" s="44"/>
      <c r="H473" s="44"/>
    </row>
    <row r="474">
      <c r="A474" s="44"/>
      <c r="B474" s="49"/>
      <c r="C474" s="49"/>
      <c r="D474" s="49"/>
      <c r="E474" s="49"/>
      <c r="F474" s="44"/>
      <c r="G474" s="44"/>
      <c r="H474" s="44"/>
    </row>
    <row r="475">
      <c r="A475" s="44"/>
      <c r="B475" s="49"/>
      <c r="C475" s="49"/>
      <c r="D475" s="49"/>
      <c r="E475" s="49"/>
      <c r="F475" s="44"/>
      <c r="G475" s="44"/>
      <c r="H475" s="44"/>
    </row>
    <row r="476">
      <c r="A476" s="44"/>
      <c r="B476" s="49"/>
      <c r="C476" s="49"/>
      <c r="D476" s="49"/>
      <c r="E476" s="49"/>
      <c r="F476" s="44"/>
      <c r="G476" s="44"/>
      <c r="H476" s="44"/>
    </row>
    <row r="477">
      <c r="A477" s="44"/>
      <c r="B477" s="49"/>
      <c r="C477" s="49"/>
      <c r="D477" s="49"/>
      <c r="E477" s="49"/>
      <c r="F477" s="44"/>
      <c r="G477" s="44"/>
      <c r="H477" s="44"/>
    </row>
    <row r="478">
      <c r="A478" s="44"/>
      <c r="B478" s="49"/>
      <c r="C478" s="49"/>
      <c r="D478" s="49"/>
      <c r="E478" s="49"/>
      <c r="F478" s="44"/>
      <c r="G478" s="44"/>
      <c r="H478" s="44"/>
    </row>
    <row r="479">
      <c r="A479" s="44"/>
      <c r="B479" s="49"/>
      <c r="C479" s="49"/>
      <c r="D479" s="49"/>
      <c r="E479" s="49"/>
      <c r="F479" s="44"/>
      <c r="G479" s="44"/>
      <c r="H479" s="44"/>
    </row>
    <row r="480">
      <c r="A480" s="44"/>
      <c r="B480" s="49"/>
      <c r="C480" s="49"/>
      <c r="D480" s="49"/>
      <c r="E480" s="49"/>
      <c r="F480" s="44"/>
      <c r="G480" s="44"/>
      <c r="H480" s="44"/>
    </row>
    <row r="481">
      <c r="A481" s="44"/>
      <c r="B481" s="49"/>
      <c r="C481" s="49"/>
      <c r="D481" s="49"/>
      <c r="E481" s="49"/>
      <c r="F481" s="44"/>
      <c r="G481" s="44"/>
      <c r="H481" s="44"/>
    </row>
    <row r="482">
      <c r="A482" s="44"/>
      <c r="B482" s="49"/>
      <c r="C482" s="49"/>
      <c r="D482" s="49"/>
      <c r="E482" s="49"/>
      <c r="F482" s="44"/>
      <c r="G482" s="44"/>
      <c r="H482" s="44"/>
    </row>
    <row r="483">
      <c r="A483" s="44"/>
      <c r="B483" s="49"/>
      <c r="C483" s="49"/>
      <c r="D483" s="49"/>
      <c r="E483" s="49"/>
      <c r="F483" s="44"/>
      <c r="G483" s="44"/>
      <c r="H483" s="44"/>
    </row>
    <row r="484">
      <c r="A484" s="44"/>
      <c r="B484" s="49"/>
      <c r="C484" s="49"/>
      <c r="D484" s="49"/>
      <c r="E484" s="49"/>
      <c r="F484" s="44"/>
      <c r="G484" s="44"/>
      <c r="H484" s="44"/>
    </row>
    <row r="485">
      <c r="A485" s="44"/>
      <c r="B485" s="49"/>
      <c r="C485" s="49"/>
      <c r="D485" s="49"/>
      <c r="E485" s="49"/>
      <c r="F485" s="44"/>
      <c r="G485" s="44"/>
      <c r="H485" s="44"/>
    </row>
    <row r="486">
      <c r="A486" s="44"/>
      <c r="B486" s="49"/>
      <c r="C486" s="49"/>
      <c r="D486" s="49"/>
      <c r="E486" s="49"/>
      <c r="F486" s="44"/>
      <c r="G486" s="44"/>
      <c r="H486" s="44"/>
    </row>
    <row r="487">
      <c r="A487" s="44"/>
      <c r="B487" s="49"/>
      <c r="C487" s="49"/>
      <c r="D487" s="49"/>
      <c r="E487" s="49"/>
      <c r="F487" s="44"/>
      <c r="G487" s="44"/>
      <c r="H487" s="44"/>
    </row>
    <row r="488">
      <c r="A488" s="44"/>
      <c r="B488" s="49"/>
      <c r="C488" s="49"/>
      <c r="D488" s="49"/>
      <c r="E488" s="49"/>
      <c r="F488" s="44"/>
      <c r="G488" s="44"/>
      <c r="H488" s="44"/>
    </row>
    <row r="489">
      <c r="A489" s="44"/>
      <c r="B489" s="49"/>
      <c r="C489" s="49"/>
      <c r="D489" s="49"/>
      <c r="E489" s="49"/>
      <c r="F489" s="44"/>
      <c r="G489" s="44"/>
      <c r="H489" s="44"/>
    </row>
    <row r="490">
      <c r="A490" s="44"/>
      <c r="B490" s="49"/>
      <c r="C490" s="49"/>
      <c r="D490" s="49"/>
      <c r="E490" s="49"/>
      <c r="F490" s="44"/>
      <c r="G490" s="44"/>
      <c r="H490" s="44"/>
    </row>
    <row r="491">
      <c r="A491" s="44"/>
      <c r="B491" s="49"/>
      <c r="C491" s="49"/>
      <c r="D491" s="49"/>
      <c r="E491" s="49"/>
      <c r="F491" s="44"/>
      <c r="G491" s="44"/>
      <c r="H491" s="44"/>
    </row>
    <row r="492">
      <c r="A492" s="44"/>
      <c r="B492" s="49"/>
      <c r="C492" s="49"/>
      <c r="D492" s="49"/>
      <c r="E492" s="49"/>
      <c r="F492" s="44"/>
      <c r="G492" s="44"/>
      <c r="H492" s="44"/>
    </row>
    <row r="493">
      <c r="A493" s="44"/>
      <c r="B493" s="49"/>
      <c r="C493" s="49"/>
      <c r="D493" s="49"/>
      <c r="E493" s="49"/>
      <c r="F493" s="44"/>
      <c r="G493" s="44"/>
      <c r="H493" s="44"/>
    </row>
    <row r="494">
      <c r="A494" s="44"/>
      <c r="B494" s="49"/>
      <c r="C494" s="49"/>
      <c r="D494" s="49"/>
      <c r="E494" s="49"/>
      <c r="F494" s="44"/>
      <c r="G494" s="44"/>
      <c r="H494" s="44"/>
    </row>
    <row r="495">
      <c r="A495" s="44"/>
      <c r="B495" s="49"/>
      <c r="C495" s="49"/>
      <c r="D495" s="49"/>
      <c r="E495" s="49"/>
      <c r="F495" s="44"/>
      <c r="G495" s="44"/>
      <c r="H495" s="44"/>
    </row>
    <row r="496">
      <c r="A496" s="44"/>
      <c r="B496" s="49"/>
      <c r="C496" s="49"/>
      <c r="D496" s="49"/>
      <c r="E496" s="49"/>
      <c r="F496" s="44"/>
      <c r="G496" s="44"/>
      <c r="H496" s="44"/>
    </row>
    <row r="497">
      <c r="A497" s="44"/>
      <c r="B497" s="49"/>
      <c r="C497" s="49"/>
      <c r="D497" s="49"/>
      <c r="E497" s="49"/>
      <c r="F497" s="44"/>
      <c r="G497" s="44"/>
      <c r="H497" s="44"/>
    </row>
    <row r="498">
      <c r="A498" s="44"/>
      <c r="B498" s="49"/>
      <c r="C498" s="49"/>
      <c r="D498" s="49"/>
      <c r="E498" s="49"/>
      <c r="F498" s="44"/>
      <c r="G498" s="44"/>
      <c r="H498" s="44"/>
    </row>
    <row r="499">
      <c r="A499" s="44"/>
      <c r="B499" s="49"/>
      <c r="C499" s="49"/>
      <c r="D499" s="49"/>
      <c r="E499" s="49"/>
      <c r="F499" s="44"/>
      <c r="G499" s="44"/>
      <c r="H499" s="44"/>
    </row>
    <row r="500">
      <c r="A500" s="44"/>
      <c r="B500" s="49"/>
      <c r="C500" s="49"/>
      <c r="D500" s="49"/>
      <c r="E500" s="49"/>
      <c r="F500" s="44"/>
      <c r="G500" s="44"/>
      <c r="H500" s="44"/>
    </row>
    <row r="501">
      <c r="A501" s="44"/>
      <c r="B501" s="49"/>
      <c r="C501" s="49"/>
      <c r="D501" s="49"/>
      <c r="E501" s="49"/>
      <c r="F501" s="44"/>
      <c r="G501" s="44"/>
      <c r="H501" s="44"/>
    </row>
    <row r="502">
      <c r="A502" s="44"/>
      <c r="B502" s="49"/>
      <c r="C502" s="49"/>
      <c r="D502" s="49"/>
      <c r="E502" s="49"/>
      <c r="F502" s="44"/>
      <c r="G502" s="44"/>
      <c r="H502" s="44"/>
    </row>
    <row r="503">
      <c r="A503" s="44"/>
      <c r="B503" s="49"/>
      <c r="C503" s="49"/>
      <c r="D503" s="49"/>
      <c r="E503" s="49"/>
      <c r="F503" s="44"/>
      <c r="G503" s="44"/>
      <c r="H503" s="44"/>
    </row>
    <row r="504">
      <c r="A504" s="44"/>
      <c r="B504" s="49"/>
      <c r="C504" s="49"/>
      <c r="D504" s="49"/>
      <c r="E504" s="49"/>
      <c r="F504" s="44"/>
      <c r="G504" s="44"/>
      <c r="H504" s="44"/>
    </row>
    <row r="505">
      <c r="A505" s="44"/>
      <c r="B505" s="49"/>
      <c r="C505" s="49"/>
      <c r="D505" s="49"/>
      <c r="E505" s="49"/>
      <c r="F505" s="44"/>
      <c r="G505" s="44"/>
      <c r="H505" s="44"/>
    </row>
    <row r="506">
      <c r="A506" s="44"/>
      <c r="B506" s="49"/>
      <c r="C506" s="49"/>
      <c r="D506" s="49"/>
      <c r="E506" s="49"/>
      <c r="F506" s="44"/>
      <c r="G506" s="44"/>
      <c r="H506" s="44"/>
    </row>
    <row r="507">
      <c r="A507" s="44"/>
      <c r="B507" s="49"/>
      <c r="C507" s="49"/>
      <c r="D507" s="49"/>
      <c r="E507" s="49"/>
      <c r="F507" s="44"/>
      <c r="G507" s="44"/>
      <c r="H507" s="44"/>
    </row>
    <row r="508">
      <c r="A508" s="44"/>
      <c r="B508" s="49"/>
      <c r="C508" s="49"/>
      <c r="D508" s="49"/>
      <c r="E508" s="49"/>
      <c r="F508" s="44"/>
      <c r="G508" s="44"/>
      <c r="H508" s="44"/>
    </row>
    <row r="509">
      <c r="A509" s="44"/>
      <c r="B509" s="49"/>
      <c r="C509" s="49"/>
      <c r="D509" s="49"/>
      <c r="E509" s="49"/>
      <c r="F509" s="44"/>
      <c r="G509" s="44"/>
      <c r="H509" s="44"/>
    </row>
    <row r="510">
      <c r="A510" s="44"/>
      <c r="B510" s="49"/>
      <c r="C510" s="49"/>
      <c r="D510" s="49"/>
      <c r="E510" s="49"/>
      <c r="F510" s="44"/>
      <c r="G510" s="44"/>
      <c r="H510" s="44"/>
    </row>
    <row r="511">
      <c r="A511" s="44"/>
      <c r="B511" s="49"/>
      <c r="C511" s="49"/>
      <c r="D511" s="49"/>
      <c r="E511" s="49"/>
      <c r="F511" s="44"/>
      <c r="G511" s="44"/>
      <c r="H511" s="44"/>
    </row>
    <row r="512">
      <c r="A512" s="44"/>
      <c r="B512" s="49"/>
      <c r="C512" s="49"/>
      <c r="D512" s="49"/>
      <c r="E512" s="49"/>
      <c r="F512" s="44"/>
      <c r="G512" s="44"/>
      <c r="H512" s="44"/>
    </row>
    <row r="513">
      <c r="A513" s="44"/>
      <c r="B513" s="49"/>
      <c r="C513" s="49"/>
      <c r="D513" s="49"/>
      <c r="E513" s="49"/>
      <c r="F513" s="44"/>
      <c r="G513" s="44"/>
      <c r="H513" s="44"/>
    </row>
    <row r="514">
      <c r="A514" s="44"/>
      <c r="B514" s="49"/>
      <c r="C514" s="49"/>
      <c r="D514" s="49"/>
      <c r="E514" s="49"/>
      <c r="F514" s="44"/>
      <c r="G514" s="44"/>
      <c r="H514" s="44"/>
    </row>
    <row r="515">
      <c r="A515" s="44"/>
      <c r="B515" s="49"/>
      <c r="C515" s="49"/>
      <c r="D515" s="49"/>
      <c r="E515" s="49"/>
      <c r="F515" s="44"/>
      <c r="G515" s="44"/>
      <c r="H515" s="44"/>
    </row>
    <row r="516">
      <c r="A516" s="44"/>
      <c r="B516" s="49"/>
      <c r="C516" s="49"/>
      <c r="D516" s="49"/>
      <c r="E516" s="49"/>
      <c r="F516" s="44"/>
      <c r="G516" s="44"/>
      <c r="H516" s="44"/>
    </row>
    <row r="517">
      <c r="A517" s="44"/>
      <c r="B517" s="49"/>
      <c r="C517" s="49"/>
      <c r="D517" s="49"/>
      <c r="E517" s="49"/>
      <c r="F517" s="44"/>
      <c r="G517" s="44"/>
      <c r="H517" s="44"/>
    </row>
    <row r="518">
      <c r="A518" s="44"/>
      <c r="B518" s="49"/>
      <c r="C518" s="49"/>
      <c r="D518" s="49"/>
      <c r="E518" s="49"/>
      <c r="F518" s="44"/>
      <c r="G518" s="44"/>
      <c r="H518" s="44"/>
    </row>
    <row r="519">
      <c r="A519" s="44"/>
      <c r="B519" s="49"/>
      <c r="C519" s="49"/>
      <c r="D519" s="49"/>
      <c r="E519" s="49"/>
      <c r="F519" s="44"/>
      <c r="G519" s="44"/>
      <c r="H519" s="44"/>
    </row>
    <row r="520">
      <c r="A520" s="44"/>
      <c r="B520" s="49"/>
      <c r="C520" s="49"/>
      <c r="D520" s="49"/>
      <c r="E520" s="49"/>
      <c r="F520" s="44"/>
      <c r="G520" s="44"/>
      <c r="H520" s="44"/>
    </row>
    <row r="521">
      <c r="A521" s="44"/>
      <c r="B521" s="49"/>
      <c r="C521" s="49"/>
      <c r="D521" s="49"/>
      <c r="E521" s="49"/>
      <c r="F521" s="44"/>
      <c r="G521" s="44"/>
      <c r="H521" s="44"/>
    </row>
    <row r="522">
      <c r="A522" s="44"/>
      <c r="B522" s="49"/>
      <c r="C522" s="49"/>
      <c r="D522" s="49"/>
      <c r="E522" s="49"/>
      <c r="F522" s="44"/>
      <c r="G522" s="44"/>
      <c r="H522" s="44"/>
    </row>
    <row r="523">
      <c r="A523" s="44"/>
      <c r="B523" s="49"/>
      <c r="C523" s="49"/>
      <c r="D523" s="49"/>
      <c r="E523" s="49"/>
      <c r="F523" s="44"/>
      <c r="G523" s="44"/>
      <c r="H523" s="44"/>
    </row>
    <row r="524">
      <c r="A524" s="44"/>
      <c r="B524" s="49"/>
      <c r="C524" s="49"/>
      <c r="D524" s="49"/>
      <c r="E524" s="49"/>
      <c r="F524" s="44"/>
      <c r="G524" s="44"/>
      <c r="H524" s="44"/>
    </row>
    <row r="525">
      <c r="A525" s="44"/>
      <c r="B525" s="49"/>
      <c r="C525" s="49"/>
      <c r="D525" s="49"/>
      <c r="E525" s="49"/>
      <c r="F525" s="44"/>
      <c r="G525" s="44"/>
      <c r="H525" s="44"/>
    </row>
    <row r="526">
      <c r="A526" s="44"/>
      <c r="B526" s="49"/>
      <c r="C526" s="49"/>
      <c r="D526" s="49"/>
      <c r="E526" s="49"/>
      <c r="F526" s="44"/>
      <c r="G526" s="44"/>
      <c r="H526" s="44"/>
    </row>
    <row r="527">
      <c r="A527" s="44"/>
      <c r="B527" s="49"/>
      <c r="C527" s="49"/>
      <c r="D527" s="49"/>
      <c r="E527" s="49"/>
      <c r="F527" s="44"/>
      <c r="G527" s="44"/>
      <c r="H527" s="44"/>
    </row>
    <row r="528">
      <c r="A528" s="44"/>
      <c r="B528" s="49"/>
      <c r="C528" s="49"/>
      <c r="D528" s="49"/>
      <c r="E528" s="49"/>
      <c r="F528" s="44"/>
      <c r="G528" s="44"/>
      <c r="H528" s="44"/>
    </row>
    <row r="529">
      <c r="A529" s="44"/>
      <c r="B529" s="49"/>
      <c r="C529" s="49"/>
      <c r="D529" s="49"/>
      <c r="E529" s="49"/>
      <c r="F529" s="44"/>
      <c r="G529" s="44"/>
      <c r="H529" s="44"/>
    </row>
    <row r="530">
      <c r="A530" s="44"/>
      <c r="B530" s="49"/>
      <c r="C530" s="49"/>
      <c r="D530" s="49"/>
      <c r="E530" s="49"/>
      <c r="F530" s="44"/>
      <c r="G530" s="44"/>
      <c r="H530" s="44"/>
    </row>
    <row r="531">
      <c r="A531" s="44"/>
      <c r="B531" s="49"/>
      <c r="C531" s="49"/>
      <c r="D531" s="49"/>
      <c r="E531" s="49"/>
      <c r="F531" s="44"/>
      <c r="G531" s="44"/>
      <c r="H531" s="44"/>
    </row>
    <row r="532">
      <c r="A532" s="44"/>
      <c r="B532" s="49"/>
      <c r="C532" s="49"/>
      <c r="D532" s="49"/>
      <c r="E532" s="49"/>
      <c r="F532" s="44"/>
      <c r="G532" s="44"/>
      <c r="H532" s="44"/>
    </row>
    <row r="533">
      <c r="A533" s="44"/>
      <c r="B533" s="49"/>
      <c r="C533" s="49"/>
      <c r="D533" s="49"/>
      <c r="E533" s="49"/>
      <c r="F533" s="44"/>
      <c r="G533" s="44"/>
      <c r="H533" s="44"/>
    </row>
    <row r="534">
      <c r="A534" s="44"/>
      <c r="B534" s="49"/>
      <c r="C534" s="49"/>
      <c r="D534" s="49"/>
      <c r="E534" s="49"/>
      <c r="F534" s="44"/>
      <c r="G534" s="44"/>
      <c r="H534" s="44"/>
    </row>
    <row r="535">
      <c r="A535" s="44"/>
      <c r="B535" s="49"/>
      <c r="C535" s="49"/>
      <c r="D535" s="49"/>
      <c r="E535" s="49"/>
      <c r="F535" s="44"/>
      <c r="G535" s="44"/>
      <c r="H535" s="44"/>
    </row>
    <row r="536">
      <c r="A536" s="44"/>
      <c r="B536" s="49"/>
      <c r="C536" s="49"/>
      <c r="D536" s="49"/>
      <c r="E536" s="49"/>
      <c r="F536" s="44"/>
      <c r="G536" s="44"/>
      <c r="H536" s="44"/>
    </row>
    <row r="537">
      <c r="A537" s="44"/>
      <c r="B537" s="49"/>
      <c r="C537" s="49"/>
      <c r="D537" s="49"/>
      <c r="E537" s="49"/>
      <c r="F537" s="44"/>
      <c r="G537" s="44"/>
      <c r="H537" s="44"/>
    </row>
    <row r="538">
      <c r="A538" s="44"/>
      <c r="B538" s="49"/>
      <c r="C538" s="49"/>
      <c r="D538" s="49"/>
      <c r="E538" s="49"/>
      <c r="F538" s="44"/>
      <c r="G538" s="44"/>
      <c r="H538" s="44"/>
    </row>
    <row r="539">
      <c r="A539" s="44"/>
      <c r="B539" s="49"/>
      <c r="C539" s="49"/>
      <c r="D539" s="49"/>
      <c r="E539" s="49"/>
      <c r="F539" s="44"/>
      <c r="G539" s="44"/>
      <c r="H539" s="44"/>
    </row>
    <row r="540">
      <c r="A540" s="44"/>
      <c r="B540" s="49"/>
      <c r="C540" s="49"/>
      <c r="D540" s="49"/>
      <c r="E540" s="49"/>
      <c r="F540" s="44"/>
      <c r="G540" s="44"/>
      <c r="H540" s="44"/>
    </row>
    <row r="541">
      <c r="A541" s="44"/>
      <c r="B541" s="49"/>
      <c r="C541" s="49"/>
      <c r="D541" s="49"/>
      <c r="E541" s="49"/>
      <c r="F541" s="44"/>
      <c r="G541" s="44"/>
      <c r="H541" s="44"/>
    </row>
    <row r="542">
      <c r="A542" s="44"/>
      <c r="B542" s="49"/>
      <c r="C542" s="49"/>
      <c r="D542" s="49"/>
      <c r="E542" s="49"/>
      <c r="F542" s="44"/>
      <c r="G542" s="44"/>
      <c r="H542" s="44"/>
    </row>
    <row r="543">
      <c r="A543" s="44"/>
      <c r="B543" s="49"/>
      <c r="C543" s="49"/>
      <c r="D543" s="49"/>
      <c r="E543" s="49"/>
      <c r="F543" s="44"/>
      <c r="G543" s="44"/>
      <c r="H543" s="44"/>
    </row>
    <row r="544">
      <c r="A544" s="44"/>
      <c r="B544" s="49"/>
      <c r="C544" s="49"/>
      <c r="D544" s="49"/>
      <c r="E544" s="49"/>
      <c r="F544" s="44"/>
      <c r="G544" s="44"/>
      <c r="H544" s="44"/>
    </row>
    <row r="545">
      <c r="A545" s="44"/>
      <c r="B545" s="49"/>
      <c r="C545" s="49"/>
      <c r="D545" s="49"/>
      <c r="E545" s="49"/>
      <c r="F545" s="44"/>
      <c r="G545" s="44"/>
      <c r="H545" s="44"/>
    </row>
    <row r="546">
      <c r="A546" s="44"/>
      <c r="B546" s="49"/>
      <c r="C546" s="49"/>
      <c r="D546" s="49"/>
      <c r="E546" s="49"/>
      <c r="F546" s="44"/>
      <c r="G546" s="44"/>
      <c r="H546" s="44"/>
    </row>
    <row r="547">
      <c r="A547" s="44"/>
      <c r="B547" s="49"/>
      <c r="C547" s="49"/>
      <c r="D547" s="49"/>
      <c r="E547" s="49"/>
      <c r="F547" s="44"/>
      <c r="G547" s="44"/>
      <c r="H547" s="44"/>
    </row>
    <row r="548">
      <c r="A548" s="44"/>
      <c r="B548" s="49"/>
      <c r="C548" s="49"/>
      <c r="D548" s="49"/>
      <c r="E548" s="49"/>
      <c r="F548" s="44"/>
      <c r="G548" s="44"/>
      <c r="H548" s="44"/>
    </row>
    <row r="549">
      <c r="A549" s="44"/>
      <c r="B549" s="49"/>
      <c r="C549" s="49"/>
      <c r="D549" s="49"/>
      <c r="E549" s="49"/>
      <c r="F549" s="44"/>
      <c r="G549" s="44"/>
      <c r="H549" s="44"/>
    </row>
    <row r="550">
      <c r="A550" s="44"/>
      <c r="B550" s="49"/>
      <c r="C550" s="49"/>
      <c r="D550" s="49"/>
      <c r="E550" s="49"/>
      <c r="F550" s="44"/>
      <c r="G550" s="44"/>
      <c r="H550" s="44"/>
    </row>
    <row r="551">
      <c r="A551" s="44"/>
      <c r="B551" s="49"/>
      <c r="C551" s="49"/>
      <c r="D551" s="49"/>
      <c r="E551" s="49"/>
      <c r="F551" s="44"/>
      <c r="G551" s="44"/>
      <c r="H551" s="44"/>
    </row>
    <row r="552">
      <c r="A552" s="44"/>
      <c r="B552" s="49"/>
      <c r="C552" s="49"/>
      <c r="D552" s="49"/>
      <c r="E552" s="49"/>
      <c r="F552" s="44"/>
      <c r="G552" s="44"/>
      <c r="H552" s="44"/>
    </row>
    <row r="553">
      <c r="A553" s="44"/>
      <c r="B553" s="49"/>
      <c r="C553" s="49"/>
      <c r="D553" s="49"/>
      <c r="E553" s="49"/>
      <c r="F553" s="44"/>
      <c r="G553" s="44"/>
      <c r="H553" s="44"/>
    </row>
    <row r="554">
      <c r="A554" s="44"/>
      <c r="B554" s="49"/>
      <c r="C554" s="49"/>
      <c r="D554" s="49"/>
      <c r="E554" s="49"/>
      <c r="F554" s="44"/>
      <c r="G554" s="44"/>
      <c r="H554" s="44"/>
    </row>
    <row r="555">
      <c r="A555" s="44"/>
      <c r="B555" s="49"/>
      <c r="C555" s="49"/>
      <c r="D555" s="49"/>
      <c r="E555" s="49"/>
      <c r="F555" s="44"/>
      <c r="G555" s="44"/>
      <c r="H555" s="44"/>
    </row>
    <row r="556">
      <c r="A556" s="44"/>
      <c r="B556" s="49"/>
      <c r="C556" s="49"/>
      <c r="D556" s="49"/>
      <c r="E556" s="49"/>
      <c r="F556" s="44"/>
      <c r="G556" s="44"/>
      <c r="H556" s="44"/>
    </row>
    <row r="557">
      <c r="A557" s="44"/>
      <c r="B557" s="49"/>
      <c r="C557" s="49"/>
      <c r="D557" s="49"/>
      <c r="E557" s="49"/>
      <c r="F557" s="44"/>
      <c r="G557" s="44"/>
      <c r="H557" s="44"/>
    </row>
    <row r="558">
      <c r="A558" s="44"/>
      <c r="B558" s="49"/>
      <c r="C558" s="49"/>
      <c r="D558" s="49"/>
      <c r="E558" s="49"/>
      <c r="F558" s="44"/>
      <c r="G558" s="44"/>
      <c r="H558" s="44"/>
    </row>
    <row r="559">
      <c r="A559" s="44"/>
      <c r="B559" s="49"/>
      <c r="C559" s="49"/>
      <c r="D559" s="49"/>
      <c r="E559" s="49"/>
      <c r="F559" s="44"/>
      <c r="G559" s="44"/>
      <c r="H559" s="44"/>
    </row>
    <row r="560">
      <c r="A560" s="44"/>
      <c r="B560" s="49"/>
      <c r="C560" s="49"/>
      <c r="D560" s="49"/>
      <c r="E560" s="49"/>
      <c r="F560" s="44"/>
      <c r="G560" s="44"/>
      <c r="H560" s="44"/>
    </row>
    <row r="561">
      <c r="A561" s="44"/>
      <c r="B561" s="49"/>
      <c r="C561" s="49"/>
      <c r="D561" s="49"/>
      <c r="E561" s="49"/>
      <c r="F561" s="44"/>
      <c r="G561" s="44"/>
      <c r="H561" s="44"/>
    </row>
    <row r="562">
      <c r="A562" s="44"/>
      <c r="B562" s="49"/>
      <c r="C562" s="49"/>
      <c r="D562" s="49"/>
      <c r="E562" s="49"/>
      <c r="F562" s="44"/>
      <c r="G562" s="44"/>
      <c r="H562" s="44"/>
    </row>
    <row r="563">
      <c r="A563" s="44"/>
      <c r="B563" s="49"/>
      <c r="C563" s="49"/>
      <c r="D563" s="49"/>
      <c r="E563" s="49"/>
      <c r="F563" s="44"/>
      <c r="G563" s="44"/>
      <c r="H563" s="44"/>
    </row>
    <row r="564">
      <c r="A564" s="44"/>
      <c r="B564" s="49"/>
      <c r="C564" s="49"/>
      <c r="D564" s="49"/>
      <c r="E564" s="49"/>
      <c r="F564" s="44"/>
      <c r="G564" s="44"/>
      <c r="H564" s="44"/>
    </row>
    <row r="565">
      <c r="A565" s="44"/>
      <c r="B565" s="49"/>
      <c r="C565" s="49"/>
      <c r="D565" s="49"/>
      <c r="E565" s="49"/>
      <c r="F565" s="44"/>
      <c r="G565" s="44"/>
      <c r="H565" s="44"/>
    </row>
    <row r="566">
      <c r="A566" s="44"/>
      <c r="B566" s="49"/>
      <c r="C566" s="49"/>
      <c r="D566" s="49"/>
      <c r="E566" s="49"/>
      <c r="F566" s="44"/>
      <c r="G566" s="44"/>
      <c r="H566" s="44"/>
    </row>
    <row r="567">
      <c r="A567" s="44"/>
      <c r="B567" s="49"/>
      <c r="C567" s="49"/>
      <c r="D567" s="49"/>
      <c r="E567" s="49"/>
      <c r="F567" s="44"/>
      <c r="G567" s="44"/>
      <c r="H567" s="44"/>
    </row>
    <row r="568">
      <c r="A568" s="44"/>
      <c r="B568" s="49"/>
      <c r="C568" s="49"/>
      <c r="D568" s="49"/>
      <c r="E568" s="49"/>
      <c r="F568" s="44"/>
      <c r="G568" s="44"/>
      <c r="H568" s="44"/>
    </row>
    <row r="569">
      <c r="A569" s="44"/>
      <c r="B569" s="49"/>
      <c r="C569" s="49"/>
      <c r="D569" s="49"/>
      <c r="E569" s="49"/>
      <c r="F569" s="44"/>
      <c r="G569" s="44"/>
      <c r="H569" s="44"/>
    </row>
    <row r="570">
      <c r="A570" s="44"/>
      <c r="B570" s="49"/>
      <c r="C570" s="49"/>
      <c r="D570" s="49"/>
      <c r="E570" s="49"/>
      <c r="F570" s="44"/>
      <c r="G570" s="44"/>
      <c r="H570" s="44"/>
    </row>
    <row r="571">
      <c r="A571" s="44"/>
      <c r="B571" s="49"/>
      <c r="C571" s="49"/>
      <c r="D571" s="49"/>
      <c r="E571" s="49"/>
      <c r="F571" s="44"/>
      <c r="G571" s="44"/>
      <c r="H571" s="44"/>
    </row>
    <row r="572">
      <c r="A572" s="44"/>
      <c r="B572" s="49"/>
      <c r="C572" s="49"/>
      <c r="D572" s="49"/>
      <c r="E572" s="49"/>
      <c r="F572" s="44"/>
      <c r="G572" s="44"/>
      <c r="H572" s="44"/>
    </row>
    <row r="573">
      <c r="A573" s="44"/>
      <c r="B573" s="49"/>
      <c r="C573" s="49"/>
      <c r="D573" s="49"/>
      <c r="E573" s="49"/>
      <c r="F573" s="44"/>
      <c r="G573" s="44"/>
      <c r="H573" s="44"/>
    </row>
    <row r="574">
      <c r="A574" s="44"/>
      <c r="B574" s="49"/>
      <c r="C574" s="49"/>
      <c r="D574" s="49"/>
      <c r="E574" s="49"/>
      <c r="F574" s="44"/>
      <c r="G574" s="44"/>
      <c r="H574" s="44"/>
    </row>
    <row r="575">
      <c r="A575" s="44"/>
      <c r="B575" s="49"/>
      <c r="C575" s="49"/>
      <c r="D575" s="49"/>
      <c r="E575" s="49"/>
      <c r="F575" s="44"/>
      <c r="G575" s="44"/>
      <c r="H575" s="44"/>
    </row>
    <row r="576">
      <c r="A576" s="44"/>
      <c r="B576" s="49"/>
      <c r="C576" s="49"/>
      <c r="D576" s="49"/>
      <c r="E576" s="49"/>
      <c r="F576" s="44"/>
      <c r="G576" s="44"/>
      <c r="H576" s="44"/>
    </row>
    <row r="577">
      <c r="A577" s="44"/>
      <c r="B577" s="49"/>
      <c r="C577" s="49"/>
      <c r="D577" s="49"/>
      <c r="E577" s="49"/>
      <c r="F577" s="44"/>
      <c r="G577" s="44"/>
      <c r="H577" s="44"/>
    </row>
    <row r="578">
      <c r="A578" s="44"/>
      <c r="B578" s="49"/>
      <c r="C578" s="49"/>
      <c r="D578" s="49"/>
      <c r="E578" s="49"/>
      <c r="F578" s="44"/>
      <c r="G578" s="44"/>
      <c r="H578" s="44"/>
    </row>
    <row r="579">
      <c r="A579" s="44"/>
      <c r="B579" s="49"/>
      <c r="C579" s="49"/>
      <c r="D579" s="49"/>
      <c r="E579" s="49"/>
      <c r="F579" s="44"/>
      <c r="G579" s="44"/>
      <c r="H579" s="44"/>
    </row>
    <row r="580">
      <c r="A580" s="44"/>
      <c r="B580" s="49"/>
      <c r="C580" s="49"/>
      <c r="D580" s="49"/>
      <c r="E580" s="49"/>
      <c r="F580" s="44"/>
      <c r="G580" s="44"/>
      <c r="H580" s="44"/>
    </row>
    <row r="581">
      <c r="A581" s="44"/>
      <c r="B581" s="49"/>
      <c r="C581" s="49"/>
      <c r="D581" s="49"/>
      <c r="E581" s="49"/>
      <c r="F581" s="44"/>
      <c r="G581" s="44"/>
      <c r="H581" s="44"/>
    </row>
    <row r="582">
      <c r="A582" s="44"/>
      <c r="B582" s="49"/>
      <c r="C582" s="49"/>
      <c r="D582" s="49"/>
      <c r="E582" s="49"/>
      <c r="F582" s="44"/>
      <c r="G582" s="44"/>
      <c r="H582" s="44"/>
    </row>
    <row r="583">
      <c r="A583" s="44"/>
      <c r="B583" s="49"/>
      <c r="C583" s="49"/>
      <c r="D583" s="49"/>
      <c r="E583" s="49"/>
      <c r="F583" s="44"/>
      <c r="G583" s="44"/>
      <c r="H583" s="44"/>
    </row>
    <row r="584">
      <c r="A584" s="44"/>
      <c r="B584" s="49"/>
      <c r="C584" s="49"/>
      <c r="D584" s="49"/>
      <c r="E584" s="49"/>
      <c r="F584" s="44"/>
      <c r="G584" s="44"/>
      <c r="H584" s="44"/>
    </row>
    <row r="585">
      <c r="A585" s="44"/>
      <c r="B585" s="49"/>
      <c r="C585" s="49"/>
      <c r="D585" s="49"/>
      <c r="E585" s="49"/>
      <c r="F585" s="44"/>
      <c r="G585" s="44"/>
      <c r="H585" s="44"/>
    </row>
    <row r="586">
      <c r="A586" s="44"/>
      <c r="B586" s="49"/>
      <c r="C586" s="49"/>
      <c r="D586" s="49"/>
      <c r="E586" s="49"/>
      <c r="F586" s="44"/>
      <c r="G586" s="44"/>
      <c r="H586" s="44"/>
    </row>
    <row r="587">
      <c r="A587" s="44"/>
      <c r="B587" s="49"/>
      <c r="C587" s="49"/>
      <c r="D587" s="49"/>
      <c r="E587" s="49"/>
      <c r="F587" s="44"/>
      <c r="G587" s="44"/>
      <c r="H587" s="44"/>
    </row>
    <row r="588">
      <c r="A588" s="44"/>
      <c r="B588" s="49"/>
      <c r="C588" s="49"/>
      <c r="D588" s="49"/>
      <c r="E588" s="49"/>
      <c r="F588" s="44"/>
      <c r="G588" s="44"/>
      <c r="H588" s="44"/>
    </row>
    <row r="589">
      <c r="A589" s="44"/>
      <c r="B589" s="49"/>
      <c r="C589" s="49"/>
      <c r="D589" s="49"/>
      <c r="E589" s="49"/>
      <c r="F589" s="44"/>
      <c r="G589" s="44"/>
      <c r="H589" s="44"/>
    </row>
    <row r="590">
      <c r="A590" s="44"/>
      <c r="B590" s="49"/>
      <c r="C590" s="49"/>
      <c r="D590" s="49"/>
      <c r="E590" s="49"/>
      <c r="F590" s="44"/>
      <c r="G590" s="44"/>
      <c r="H590" s="44"/>
    </row>
    <row r="591">
      <c r="A591" s="44"/>
      <c r="B591" s="49"/>
      <c r="C591" s="49"/>
      <c r="D591" s="49"/>
      <c r="E591" s="49"/>
      <c r="F591" s="44"/>
      <c r="G591" s="44"/>
      <c r="H591" s="44"/>
    </row>
    <row r="592">
      <c r="A592" s="44"/>
      <c r="B592" s="49"/>
      <c r="C592" s="49"/>
      <c r="D592" s="49"/>
      <c r="E592" s="49"/>
      <c r="F592" s="44"/>
      <c r="G592" s="44"/>
      <c r="H592" s="44"/>
    </row>
    <row r="593">
      <c r="A593" s="44"/>
      <c r="B593" s="49"/>
      <c r="C593" s="49"/>
      <c r="D593" s="49"/>
      <c r="E593" s="49"/>
      <c r="F593" s="44"/>
      <c r="G593" s="44"/>
      <c r="H593" s="44"/>
    </row>
    <row r="594">
      <c r="A594" s="44"/>
      <c r="B594" s="49"/>
      <c r="C594" s="49"/>
      <c r="D594" s="49"/>
      <c r="E594" s="49"/>
      <c r="F594" s="44"/>
      <c r="G594" s="44"/>
      <c r="H594" s="44"/>
    </row>
    <row r="595">
      <c r="A595" s="44"/>
      <c r="B595" s="49"/>
      <c r="C595" s="49"/>
      <c r="D595" s="49"/>
      <c r="E595" s="49"/>
      <c r="F595" s="44"/>
      <c r="G595" s="44"/>
      <c r="H595" s="44"/>
    </row>
    <row r="596">
      <c r="A596" s="44"/>
      <c r="B596" s="49"/>
      <c r="C596" s="49"/>
      <c r="D596" s="49"/>
      <c r="E596" s="49"/>
      <c r="F596" s="44"/>
      <c r="G596" s="44"/>
      <c r="H596" s="44"/>
    </row>
    <row r="597">
      <c r="A597" s="44"/>
      <c r="B597" s="49"/>
      <c r="C597" s="49"/>
      <c r="D597" s="49"/>
      <c r="E597" s="49"/>
      <c r="F597" s="44"/>
      <c r="G597" s="44"/>
      <c r="H597" s="44"/>
    </row>
    <row r="598">
      <c r="A598" s="44"/>
      <c r="B598" s="49"/>
      <c r="C598" s="49"/>
      <c r="D598" s="49"/>
      <c r="E598" s="49"/>
      <c r="F598" s="44"/>
      <c r="G598" s="44"/>
      <c r="H598" s="44"/>
    </row>
    <row r="599">
      <c r="A599" s="44"/>
      <c r="B599" s="49"/>
      <c r="C599" s="49"/>
      <c r="D599" s="49"/>
      <c r="E599" s="49"/>
      <c r="F599" s="44"/>
      <c r="G599" s="44"/>
      <c r="H599" s="44"/>
    </row>
    <row r="600">
      <c r="A600" s="44"/>
      <c r="B600" s="49"/>
      <c r="C600" s="49"/>
      <c r="D600" s="49"/>
      <c r="E600" s="49"/>
      <c r="F600" s="44"/>
      <c r="G600" s="44"/>
      <c r="H600" s="44"/>
    </row>
    <row r="601">
      <c r="A601" s="44"/>
      <c r="B601" s="49"/>
      <c r="C601" s="49"/>
      <c r="D601" s="49"/>
      <c r="E601" s="49"/>
      <c r="F601" s="44"/>
      <c r="G601" s="44"/>
      <c r="H601" s="44"/>
    </row>
    <row r="602">
      <c r="A602" s="44"/>
      <c r="B602" s="49"/>
      <c r="C602" s="49"/>
      <c r="D602" s="49"/>
      <c r="E602" s="49"/>
      <c r="F602" s="44"/>
      <c r="G602" s="44"/>
      <c r="H602" s="44"/>
    </row>
    <row r="603">
      <c r="A603" s="44"/>
      <c r="B603" s="49"/>
      <c r="C603" s="49"/>
      <c r="D603" s="49"/>
      <c r="E603" s="49"/>
      <c r="F603" s="44"/>
      <c r="G603" s="44"/>
      <c r="H603" s="44"/>
    </row>
    <row r="604">
      <c r="A604" s="44"/>
      <c r="B604" s="49"/>
      <c r="C604" s="49"/>
      <c r="D604" s="49"/>
      <c r="E604" s="49"/>
      <c r="F604" s="44"/>
      <c r="G604" s="44"/>
      <c r="H604" s="44"/>
    </row>
    <row r="605">
      <c r="A605" s="44"/>
      <c r="B605" s="49"/>
      <c r="C605" s="49"/>
      <c r="D605" s="49"/>
      <c r="E605" s="49"/>
      <c r="F605" s="44"/>
      <c r="G605" s="44"/>
      <c r="H605" s="44"/>
    </row>
    <row r="606">
      <c r="A606" s="44"/>
      <c r="B606" s="49"/>
      <c r="C606" s="49"/>
      <c r="D606" s="49"/>
      <c r="E606" s="49"/>
      <c r="F606" s="44"/>
      <c r="G606" s="44"/>
      <c r="H606" s="44"/>
    </row>
    <row r="607">
      <c r="A607" s="44"/>
      <c r="B607" s="49"/>
      <c r="C607" s="49"/>
      <c r="D607" s="49"/>
      <c r="E607" s="49"/>
      <c r="F607" s="44"/>
      <c r="G607" s="44"/>
      <c r="H607" s="44"/>
    </row>
    <row r="608">
      <c r="A608" s="44"/>
      <c r="B608" s="49"/>
      <c r="C608" s="49"/>
      <c r="D608" s="49"/>
      <c r="E608" s="49"/>
      <c r="F608" s="44"/>
      <c r="G608" s="44"/>
      <c r="H608" s="44"/>
    </row>
    <row r="609">
      <c r="A609" s="44"/>
      <c r="B609" s="49"/>
      <c r="C609" s="49"/>
      <c r="D609" s="49"/>
      <c r="E609" s="49"/>
      <c r="F609" s="44"/>
      <c r="G609" s="44"/>
      <c r="H609" s="44"/>
    </row>
    <row r="610">
      <c r="A610" s="44"/>
      <c r="B610" s="49"/>
      <c r="C610" s="49"/>
      <c r="D610" s="49"/>
      <c r="E610" s="49"/>
      <c r="F610" s="44"/>
      <c r="G610" s="44"/>
      <c r="H610" s="44"/>
    </row>
    <row r="611">
      <c r="A611" s="44"/>
      <c r="B611" s="49"/>
      <c r="C611" s="49"/>
      <c r="D611" s="49"/>
      <c r="E611" s="49"/>
      <c r="F611" s="44"/>
      <c r="G611" s="44"/>
      <c r="H611" s="44"/>
    </row>
    <row r="612">
      <c r="A612" s="44"/>
      <c r="B612" s="49"/>
      <c r="C612" s="49"/>
      <c r="D612" s="49"/>
      <c r="E612" s="49"/>
      <c r="F612" s="44"/>
      <c r="G612" s="44"/>
      <c r="H612" s="44"/>
    </row>
    <row r="613">
      <c r="A613" s="44"/>
      <c r="B613" s="49"/>
      <c r="C613" s="49"/>
      <c r="D613" s="49"/>
      <c r="E613" s="49"/>
      <c r="F613" s="44"/>
      <c r="G613" s="44"/>
      <c r="H613" s="44"/>
    </row>
    <row r="614">
      <c r="A614" s="44"/>
      <c r="B614" s="49"/>
      <c r="C614" s="49"/>
      <c r="D614" s="49"/>
      <c r="E614" s="49"/>
      <c r="F614" s="44"/>
      <c r="G614" s="44"/>
      <c r="H614" s="44"/>
    </row>
    <row r="615">
      <c r="A615" s="44"/>
      <c r="B615" s="49"/>
      <c r="C615" s="49"/>
      <c r="D615" s="49"/>
      <c r="E615" s="49"/>
      <c r="F615" s="44"/>
      <c r="G615" s="44"/>
      <c r="H615" s="44"/>
    </row>
    <row r="616">
      <c r="A616" s="44"/>
      <c r="B616" s="49"/>
      <c r="C616" s="49"/>
      <c r="D616" s="49"/>
      <c r="E616" s="49"/>
      <c r="F616" s="44"/>
      <c r="G616" s="44"/>
      <c r="H616" s="44"/>
    </row>
    <row r="617">
      <c r="A617" s="44"/>
      <c r="B617" s="49"/>
      <c r="C617" s="49"/>
      <c r="D617" s="49"/>
      <c r="E617" s="49"/>
      <c r="F617" s="44"/>
      <c r="G617" s="44"/>
      <c r="H617" s="44"/>
    </row>
    <row r="618">
      <c r="A618" s="44"/>
      <c r="B618" s="49"/>
      <c r="C618" s="49"/>
      <c r="D618" s="49"/>
      <c r="E618" s="49"/>
      <c r="F618" s="44"/>
      <c r="G618" s="44"/>
      <c r="H618" s="44"/>
    </row>
    <row r="619">
      <c r="A619" s="44"/>
      <c r="B619" s="49"/>
      <c r="C619" s="49"/>
      <c r="D619" s="49"/>
      <c r="E619" s="49"/>
      <c r="F619" s="44"/>
      <c r="G619" s="44"/>
      <c r="H619" s="44"/>
    </row>
    <row r="620">
      <c r="A620" s="44"/>
      <c r="B620" s="49"/>
      <c r="C620" s="49"/>
      <c r="D620" s="49"/>
      <c r="E620" s="49"/>
      <c r="F620" s="44"/>
      <c r="G620" s="44"/>
      <c r="H620" s="44"/>
    </row>
    <row r="621">
      <c r="A621" s="44"/>
      <c r="B621" s="49"/>
      <c r="C621" s="49"/>
      <c r="D621" s="49"/>
      <c r="E621" s="49"/>
      <c r="F621" s="44"/>
      <c r="G621" s="44"/>
      <c r="H621" s="44"/>
    </row>
    <row r="622">
      <c r="A622" s="44"/>
      <c r="B622" s="49"/>
      <c r="C622" s="49"/>
      <c r="D622" s="49"/>
      <c r="E622" s="49"/>
      <c r="F622" s="44"/>
      <c r="G622" s="44"/>
      <c r="H622" s="44"/>
    </row>
    <row r="623">
      <c r="A623" s="44"/>
      <c r="B623" s="49"/>
      <c r="C623" s="49"/>
      <c r="D623" s="49"/>
      <c r="E623" s="49"/>
      <c r="F623" s="44"/>
      <c r="G623" s="44"/>
      <c r="H623" s="44"/>
    </row>
    <row r="624">
      <c r="A624" s="44"/>
      <c r="B624" s="49"/>
      <c r="C624" s="49"/>
      <c r="D624" s="49"/>
      <c r="E624" s="49"/>
      <c r="F624" s="44"/>
      <c r="G624" s="44"/>
      <c r="H624" s="44"/>
    </row>
    <row r="625">
      <c r="A625" s="44"/>
      <c r="B625" s="49"/>
      <c r="C625" s="49"/>
      <c r="D625" s="49"/>
      <c r="E625" s="49"/>
      <c r="F625" s="44"/>
      <c r="G625" s="44"/>
      <c r="H625" s="44"/>
    </row>
    <row r="626">
      <c r="A626" s="44"/>
      <c r="B626" s="49"/>
      <c r="C626" s="49"/>
      <c r="D626" s="49"/>
      <c r="E626" s="49"/>
      <c r="F626" s="44"/>
      <c r="G626" s="44"/>
      <c r="H626" s="44"/>
    </row>
    <row r="627">
      <c r="A627" s="44"/>
      <c r="B627" s="49"/>
      <c r="C627" s="49"/>
      <c r="D627" s="49"/>
      <c r="E627" s="49"/>
      <c r="F627" s="44"/>
      <c r="G627" s="44"/>
      <c r="H627" s="44"/>
    </row>
    <row r="628">
      <c r="A628" s="44"/>
      <c r="B628" s="49"/>
      <c r="C628" s="49"/>
      <c r="D628" s="49"/>
      <c r="E628" s="49"/>
      <c r="F628" s="44"/>
      <c r="G628" s="44"/>
      <c r="H628" s="44"/>
    </row>
    <row r="629">
      <c r="A629" s="44"/>
      <c r="B629" s="49"/>
      <c r="C629" s="49"/>
      <c r="D629" s="49"/>
      <c r="E629" s="49"/>
      <c r="F629" s="44"/>
      <c r="G629" s="44"/>
      <c r="H629" s="44"/>
    </row>
    <row r="630">
      <c r="A630" s="44"/>
      <c r="B630" s="49"/>
      <c r="C630" s="49"/>
      <c r="D630" s="49"/>
      <c r="E630" s="49"/>
      <c r="F630" s="44"/>
      <c r="G630" s="44"/>
      <c r="H630" s="44"/>
    </row>
    <row r="631">
      <c r="A631" s="44"/>
      <c r="B631" s="49"/>
      <c r="C631" s="49"/>
      <c r="D631" s="49"/>
      <c r="E631" s="49"/>
      <c r="F631" s="44"/>
      <c r="G631" s="44"/>
      <c r="H631" s="44"/>
    </row>
    <row r="632">
      <c r="A632" s="44"/>
      <c r="B632" s="49"/>
      <c r="C632" s="49"/>
      <c r="D632" s="49"/>
      <c r="E632" s="49"/>
      <c r="F632" s="44"/>
      <c r="G632" s="44"/>
      <c r="H632" s="44"/>
    </row>
    <row r="633">
      <c r="A633" s="44"/>
      <c r="B633" s="49"/>
      <c r="C633" s="49"/>
      <c r="D633" s="49"/>
      <c r="E633" s="49"/>
      <c r="F633" s="44"/>
      <c r="G633" s="44"/>
      <c r="H633" s="44"/>
    </row>
    <row r="634">
      <c r="A634" s="44"/>
      <c r="B634" s="49"/>
      <c r="C634" s="49"/>
      <c r="D634" s="49"/>
      <c r="E634" s="49"/>
      <c r="F634" s="44"/>
      <c r="G634" s="44"/>
      <c r="H634" s="44"/>
    </row>
    <row r="635">
      <c r="A635" s="44"/>
      <c r="B635" s="49"/>
      <c r="C635" s="49"/>
      <c r="D635" s="49"/>
      <c r="E635" s="49"/>
      <c r="F635" s="44"/>
      <c r="G635" s="44"/>
      <c r="H635" s="44"/>
    </row>
    <row r="636">
      <c r="A636" s="44"/>
      <c r="B636" s="49"/>
      <c r="C636" s="49"/>
      <c r="D636" s="49"/>
      <c r="E636" s="49"/>
      <c r="F636" s="44"/>
      <c r="G636" s="44"/>
      <c r="H636" s="44"/>
    </row>
    <row r="637">
      <c r="A637" s="44"/>
      <c r="B637" s="49"/>
      <c r="C637" s="49"/>
      <c r="D637" s="49"/>
      <c r="E637" s="49"/>
      <c r="F637" s="44"/>
      <c r="G637" s="44"/>
      <c r="H637" s="44"/>
    </row>
    <row r="638">
      <c r="A638" s="44"/>
      <c r="B638" s="49"/>
      <c r="C638" s="49"/>
      <c r="D638" s="49"/>
      <c r="E638" s="49"/>
      <c r="F638" s="44"/>
      <c r="G638" s="44"/>
      <c r="H638" s="44"/>
    </row>
    <row r="639">
      <c r="A639" s="44"/>
      <c r="B639" s="49"/>
      <c r="C639" s="49"/>
      <c r="D639" s="49"/>
      <c r="E639" s="49"/>
      <c r="F639" s="44"/>
      <c r="G639" s="44"/>
      <c r="H639" s="44"/>
    </row>
    <row r="640">
      <c r="A640" s="44"/>
      <c r="B640" s="49"/>
      <c r="C640" s="49"/>
      <c r="D640" s="49"/>
      <c r="E640" s="49"/>
      <c r="F640" s="44"/>
      <c r="G640" s="44"/>
      <c r="H640" s="44"/>
    </row>
    <row r="641">
      <c r="A641" s="44"/>
      <c r="B641" s="49"/>
      <c r="C641" s="49"/>
      <c r="D641" s="49"/>
      <c r="E641" s="49"/>
      <c r="F641" s="44"/>
      <c r="G641" s="44"/>
      <c r="H641" s="44"/>
    </row>
    <row r="642">
      <c r="A642" s="44"/>
      <c r="B642" s="49"/>
      <c r="C642" s="49"/>
      <c r="D642" s="49"/>
      <c r="E642" s="49"/>
      <c r="F642" s="44"/>
      <c r="G642" s="44"/>
      <c r="H642" s="44"/>
    </row>
    <row r="643">
      <c r="A643" s="44"/>
      <c r="B643" s="49"/>
      <c r="C643" s="49"/>
      <c r="D643" s="49"/>
      <c r="E643" s="49"/>
      <c r="F643" s="44"/>
      <c r="G643" s="44"/>
      <c r="H643" s="44"/>
    </row>
    <row r="644">
      <c r="A644" s="44"/>
      <c r="B644" s="49"/>
      <c r="C644" s="49"/>
      <c r="D644" s="49"/>
      <c r="E644" s="49"/>
      <c r="F644" s="44"/>
      <c r="G644" s="44"/>
      <c r="H644" s="44"/>
    </row>
    <row r="645">
      <c r="A645" s="44"/>
      <c r="B645" s="49"/>
      <c r="C645" s="49"/>
      <c r="D645" s="49"/>
      <c r="E645" s="49"/>
      <c r="F645" s="44"/>
      <c r="G645" s="44"/>
      <c r="H645" s="44"/>
    </row>
    <row r="646">
      <c r="A646" s="44"/>
      <c r="B646" s="49"/>
      <c r="C646" s="49"/>
      <c r="D646" s="49"/>
      <c r="E646" s="49"/>
      <c r="F646" s="44"/>
      <c r="G646" s="44"/>
      <c r="H646" s="44"/>
    </row>
    <row r="647">
      <c r="A647" s="44"/>
      <c r="B647" s="49"/>
      <c r="C647" s="49"/>
      <c r="D647" s="49"/>
      <c r="E647" s="49"/>
      <c r="F647" s="44"/>
      <c r="G647" s="44"/>
      <c r="H647" s="44"/>
    </row>
    <row r="648">
      <c r="A648" s="44"/>
      <c r="B648" s="49"/>
      <c r="C648" s="49"/>
      <c r="D648" s="49"/>
      <c r="E648" s="49"/>
      <c r="F648" s="44"/>
      <c r="G648" s="44"/>
      <c r="H648" s="44"/>
    </row>
    <row r="649">
      <c r="A649" s="44"/>
      <c r="B649" s="49"/>
      <c r="C649" s="49"/>
      <c r="D649" s="49"/>
      <c r="E649" s="49"/>
      <c r="F649" s="44"/>
      <c r="G649" s="44"/>
      <c r="H649" s="44"/>
    </row>
    <row r="650">
      <c r="A650" s="44"/>
      <c r="B650" s="49"/>
      <c r="C650" s="49"/>
      <c r="D650" s="49"/>
      <c r="E650" s="49"/>
      <c r="F650" s="44"/>
      <c r="G650" s="44"/>
      <c r="H650" s="44"/>
    </row>
    <row r="651">
      <c r="A651" s="44"/>
      <c r="B651" s="49"/>
      <c r="C651" s="49"/>
      <c r="D651" s="49"/>
      <c r="E651" s="49"/>
      <c r="F651" s="44"/>
      <c r="G651" s="44"/>
      <c r="H651" s="44"/>
    </row>
    <row r="652">
      <c r="A652" s="44"/>
      <c r="B652" s="49"/>
      <c r="C652" s="49"/>
      <c r="D652" s="49"/>
      <c r="E652" s="49"/>
      <c r="F652" s="44"/>
      <c r="G652" s="44"/>
      <c r="H652" s="44"/>
    </row>
    <row r="653">
      <c r="A653" s="44"/>
      <c r="B653" s="49"/>
      <c r="C653" s="49"/>
      <c r="D653" s="49"/>
      <c r="E653" s="49"/>
      <c r="F653" s="44"/>
      <c r="G653" s="44"/>
      <c r="H653" s="44"/>
    </row>
    <row r="654">
      <c r="A654" s="44"/>
      <c r="B654" s="49"/>
      <c r="C654" s="49"/>
      <c r="D654" s="49"/>
      <c r="E654" s="49"/>
      <c r="F654" s="44"/>
      <c r="G654" s="44"/>
      <c r="H654" s="44"/>
    </row>
    <row r="655">
      <c r="A655" s="44"/>
      <c r="B655" s="49"/>
      <c r="C655" s="49"/>
      <c r="D655" s="49"/>
      <c r="E655" s="49"/>
      <c r="F655" s="44"/>
      <c r="G655" s="44"/>
      <c r="H655" s="44"/>
    </row>
    <row r="656">
      <c r="A656" s="44"/>
      <c r="B656" s="49"/>
      <c r="C656" s="49"/>
      <c r="D656" s="49"/>
      <c r="E656" s="49"/>
      <c r="F656" s="44"/>
      <c r="G656" s="44"/>
      <c r="H656" s="44"/>
    </row>
    <row r="657">
      <c r="A657" s="44"/>
      <c r="B657" s="49"/>
      <c r="C657" s="49"/>
      <c r="D657" s="49"/>
      <c r="E657" s="49"/>
      <c r="F657" s="44"/>
      <c r="G657" s="44"/>
      <c r="H657" s="44"/>
    </row>
    <row r="658">
      <c r="A658" s="44"/>
      <c r="B658" s="49"/>
      <c r="C658" s="49"/>
      <c r="D658" s="49"/>
      <c r="E658" s="49"/>
      <c r="F658" s="44"/>
      <c r="G658" s="44"/>
      <c r="H658" s="44"/>
    </row>
    <row r="659">
      <c r="A659" s="44"/>
      <c r="B659" s="49"/>
      <c r="C659" s="49"/>
      <c r="D659" s="49"/>
      <c r="E659" s="49"/>
      <c r="F659" s="44"/>
      <c r="G659" s="44"/>
      <c r="H659" s="44"/>
    </row>
    <row r="660">
      <c r="A660" s="44"/>
      <c r="B660" s="49"/>
      <c r="C660" s="49"/>
      <c r="D660" s="49"/>
      <c r="E660" s="49"/>
      <c r="F660" s="44"/>
      <c r="G660" s="44"/>
      <c r="H660" s="44"/>
    </row>
    <row r="661">
      <c r="A661" s="44"/>
      <c r="B661" s="49"/>
      <c r="C661" s="49"/>
      <c r="D661" s="49"/>
      <c r="E661" s="49"/>
      <c r="F661" s="44"/>
      <c r="G661" s="44"/>
      <c r="H661" s="44"/>
    </row>
    <row r="662">
      <c r="A662" s="44"/>
      <c r="B662" s="49"/>
      <c r="C662" s="49"/>
      <c r="D662" s="49"/>
      <c r="E662" s="49"/>
      <c r="F662" s="44"/>
      <c r="G662" s="44"/>
      <c r="H662" s="44"/>
    </row>
    <row r="663">
      <c r="A663" s="44"/>
      <c r="B663" s="49"/>
      <c r="C663" s="49"/>
      <c r="D663" s="49"/>
      <c r="E663" s="49"/>
      <c r="F663" s="44"/>
      <c r="G663" s="44"/>
      <c r="H663" s="44"/>
    </row>
    <row r="664">
      <c r="A664" s="44"/>
      <c r="B664" s="49"/>
      <c r="C664" s="49"/>
      <c r="D664" s="49"/>
      <c r="E664" s="49"/>
      <c r="F664" s="44"/>
      <c r="G664" s="44"/>
      <c r="H664" s="44"/>
    </row>
    <row r="665">
      <c r="A665" s="44"/>
      <c r="B665" s="49"/>
      <c r="C665" s="49"/>
      <c r="D665" s="49"/>
      <c r="E665" s="49"/>
      <c r="F665" s="44"/>
      <c r="G665" s="44"/>
      <c r="H665" s="44"/>
    </row>
    <row r="666">
      <c r="A666" s="44"/>
      <c r="B666" s="49"/>
      <c r="C666" s="49"/>
      <c r="D666" s="49"/>
      <c r="E666" s="49"/>
      <c r="F666" s="44"/>
      <c r="G666" s="44"/>
      <c r="H666" s="44"/>
    </row>
    <row r="667">
      <c r="A667" s="44"/>
      <c r="B667" s="49"/>
      <c r="C667" s="49"/>
      <c r="D667" s="49"/>
      <c r="E667" s="49"/>
      <c r="F667" s="44"/>
      <c r="G667" s="44"/>
      <c r="H667" s="44"/>
    </row>
    <row r="668">
      <c r="A668" s="44"/>
      <c r="B668" s="49"/>
      <c r="C668" s="49"/>
      <c r="D668" s="49"/>
      <c r="E668" s="49"/>
      <c r="F668" s="44"/>
      <c r="G668" s="44"/>
      <c r="H668" s="44"/>
    </row>
    <row r="669">
      <c r="A669" s="44"/>
      <c r="B669" s="49"/>
      <c r="C669" s="49"/>
      <c r="D669" s="49"/>
      <c r="E669" s="49"/>
      <c r="F669" s="44"/>
      <c r="G669" s="44"/>
      <c r="H669" s="44"/>
    </row>
    <row r="670">
      <c r="A670" s="44"/>
      <c r="B670" s="49"/>
      <c r="C670" s="49"/>
      <c r="D670" s="49"/>
      <c r="E670" s="49"/>
      <c r="F670" s="44"/>
      <c r="G670" s="44"/>
      <c r="H670" s="44"/>
    </row>
    <row r="671">
      <c r="A671" s="44"/>
      <c r="B671" s="49"/>
      <c r="C671" s="49"/>
      <c r="D671" s="49"/>
      <c r="E671" s="49"/>
      <c r="F671" s="44"/>
      <c r="G671" s="44"/>
      <c r="H671" s="44"/>
    </row>
    <row r="672">
      <c r="A672" s="44"/>
      <c r="B672" s="49"/>
      <c r="C672" s="49"/>
      <c r="D672" s="49"/>
      <c r="E672" s="49"/>
      <c r="F672" s="44"/>
      <c r="G672" s="44"/>
      <c r="H672" s="44"/>
    </row>
    <row r="673">
      <c r="A673" s="44"/>
      <c r="B673" s="49"/>
      <c r="C673" s="49"/>
      <c r="D673" s="49"/>
      <c r="E673" s="49"/>
      <c r="F673" s="44"/>
      <c r="G673" s="44"/>
      <c r="H673" s="44"/>
    </row>
    <row r="674">
      <c r="A674" s="44"/>
      <c r="B674" s="49"/>
      <c r="C674" s="49"/>
      <c r="D674" s="49"/>
      <c r="E674" s="49"/>
      <c r="F674" s="44"/>
      <c r="G674" s="44"/>
      <c r="H674" s="44"/>
    </row>
    <row r="675">
      <c r="A675" s="44"/>
      <c r="B675" s="49"/>
      <c r="C675" s="49"/>
      <c r="D675" s="49"/>
      <c r="E675" s="49"/>
      <c r="F675" s="44"/>
      <c r="G675" s="44"/>
      <c r="H675" s="44"/>
    </row>
    <row r="676">
      <c r="A676" s="44"/>
      <c r="B676" s="49"/>
      <c r="C676" s="49"/>
      <c r="D676" s="49"/>
      <c r="E676" s="49"/>
      <c r="F676" s="44"/>
      <c r="G676" s="44"/>
      <c r="H676" s="44"/>
    </row>
    <row r="677">
      <c r="A677" s="44"/>
      <c r="B677" s="49"/>
      <c r="C677" s="49"/>
      <c r="D677" s="49"/>
      <c r="E677" s="49"/>
      <c r="F677" s="44"/>
      <c r="G677" s="44"/>
      <c r="H677" s="44"/>
    </row>
    <row r="678">
      <c r="A678" s="44"/>
      <c r="B678" s="49"/>
      <c r="C678" s="49"/>
      <c r="D678" s="49"/>
      <c r="E678" s="49"/>
      <c r="F678" s="44"/>
      <c r="G678" s="44"/>
      <c r="H678" s="44"/>
    </row>
    <row r="679">
      <c r="A679" s="44"/>
      <c r="B679" s="49"/>
      <c r="C679" s="49"/>
      <c r="D679" s="49"/>
      <c r="E679" s="49"/>
      <c r="F679" s="44"/>
      <c r="G679" s="44"/>
      <c r="H679" s="44"/>
    </row>
    <row r="680">
      <c r="A680" s="44"/>
      <c r="B680" s="49"/>
      <c r="C680" s="49"/>
      <c r="D680" s="49"/>
      <c r="E680" s="49"/>
      <c r="F680" s="44"/>
      <c r="G680" s="44"/>
      <c r="H680" s="44"/>
    </row>
    <row r="681">
      <c r="A681" s="44"/>
      <c r="B681" s="49"/>
      <c r="C681" s="49"/>
      <c r="D681" s="49"/>
      <c r="E681" s="49"/>
      <c r="F681" s="44"/>
      <c r="G681" s="44"/>
      <c r="H681" s="44"/>
    </row>
    <row r="682">
      <c r="A682" s="44"/>
      <c r="B682" s="49"/>
      <c r="C682" s="49"/>
      <c r="D682" s="49"/>
      <c r="E682" s="49"/>
      <c r="F682" s="44"/>
      <c r="G682" s="44"/>
      <c r="H682" s="44"/>
    </row>
    <row r="683">
      <c r="A683" s="44"/>
      <c r="B683" s="49"/>
      <c r="C683" s="49"/>
      <c r="D683" s="49"/>
      <c r="E683" s="49"/>
      <c r="F683" s="44"/>
      <c r="G683" s="44"/>
      <c r="H683" s="44"/>
    </row>
    <row r="684">
      <c r="A684" s="44"/>
      <c r="B684" s="49"/>
      <c r="C684" s="49"/>
      <c r="D684" s="49"/>
      <c r="E684" s="49"/>
      <c r="F684" s="44"/>
      <c r="G684" s="44"/>
      <c r="H684" s="44"/>
    </row>
    <row r="685">
      <c r="A685" s="44"/>
      <c r="B685" s="49"/>
      <c r="C685" s="49"/>
      <c r="D685" s="49"/>
      <c r="E685" s="49"/>
      <c r="F685" s="44"/>
      <c r="G685" s="44"/>
      <c r="H685" s="44"/>
    </row>
    <row r="686">
      <c r="A686" s="44"/>
      <c r="B686" s="49"/>
      <c r="C686" s="49"/>
      <c r="D686" s="49"/>
      <c r="E686" s="49"/>
      <c r="F686" s="44"/>
      <c r="G686" s="44"/>
      <c r="H686" s="44"/>
    </row>
    <row r="687">
      <c r="A687" s="44"/>
      <c r="B687" s="49"/>
      <c r="C687" s="49"/>
      <c r="D687" s="49"/>
      <c r="E687" s="49"/>
      <c r="F687" s="44"/>
      <c r="G687" s="44"/>
      <c r="H687" s="44"/>
    </row>
    <row r="688">
      <c r="A688" s="44"/>
      <c r="B688" s="49"/>
      <c r="C688" s="49"/>
      <c r="D688" s="49"/>
      <c r="E688" s="49"/>
      <c r="F688" s="44"/>
      <c r="G688" s="44"/>
      <c r="H688" s="44"/>
    </row>
    <row r="689">
      <c r="A689" s="44"/>
      <c r="B689" s="49"/>
      <c r="C689" s="49"/>
      <c r="D689" s="49"/>
      <c r="E689" s="49"/>
      <c r="F689" s="44"/>
      <c r="G689" s="44"/>
      <c r="H689" s="44"/>
    </row>
    <row r="690">
      <c r="A690" s="44"/>
      <c r="B690" s="49"/>
      <c r="C690" s="49"/>
      <c r="D690" s="49"/>
      <c r="E690" s="49"/>
      <c r="F690" s="44"/>
      <c r="G690" s="44"/>
      <c r="H690" s="44"/>
    </row>
    <row r="691">
      <c r="A691" s="44"/>
      <c r="B691" s="49"/>
      <c r="C691" s="49"/>
      <c r="D691" s="49"/>
      <c r="E691" s="49"/>
      <c r="F691" s="44"/>
      <c r="G691" s="44"/>
      <c r="H691" s="44"/>
    </row>
    <row r="692">
      <c r="A692" s="44"/>
      <c r="B692" s="49"/>
      <c r="C692" s="49"/>
      <c r="D692" s="49"/>
      <c r="E692" s="49"/>
      <c r="F692" s="44"/>
      <c r="G692" s="44"/>
      <c r="H692" s="44"/>
    </row>
    <row r="693">
      <c r="A693" s="44"/>
      <c r="B693" s="49"/>
      <c r="C693" s="49"/>
      <c r="D693" s="49"/>
      <c r="E693" s="49"/>
      <c r="F693" s="44"/>
      <c r="G693" s="44"/>
      <c r="H693" s="44"/>
    </row>
    <row r="694">
      <c r="A694" s="44"/>
      <c r="B694" s="49"/>
      <c r="C694" s="49"/>
      <c r="D694" s="49"/>
      <c r="E694" s="49"/>
      <c r="F694" s="44"/>
      <c r="G694" s="44"/>
      <c r="H694" s="44"/>
    </row>
    <row r="695">
      <c r="A695" s="44"/>
      <c r="B695" s="49"/>
      <c r="C695" s="49"/>
      <c r="D695" s="49"/>
      <c r="E695" s="49"/>
      <c r="F695" s="44"/>
      <c r="G695" s="44"/>
      <c r="H695" s="44"/>
    </row>
    <row r="696">
      <c r="A696" s="44"/>
      <c r="B696" s="49"/>
      <c r="C696" s="49"/>
      <c r="D696" s="49"/>
      <c r="E696" s="49"/>
      <c r="F696" s="44"/>
      <c r="G696" s="44"/>
      <c r="H696" s="44"/>
    </row>
    <row r="697">
      <c r="A697" s="44"/>
      <c r="B697" s="49"/>
      <c r="C697" s="49"/>
      <c r="D697" s="49"/>
      <c r="E697" s="49"/>
      <c r="F697" s="44"/>
      <c r="G697" s="44"/>
      <c r="H697" s="44"/>
    </row>
    <row r="698">
      <c r="A698" s="44"/>
      <c r="B698" s="49"/>
      <c r="C698" s="49"/>
      <c r="D698" s="49"/>
      <c r="E698" s="49"/>
      <c r="F698" s="44"/>
      <c r="G698" s="44"/>
      <c r="H698" s="44"/>
    </row>
    <row r="699">
      <c r="A699" s="44"/>
      <c r="B699" s="49"/>
      <c r="C699" s="49"/>
      <c r="D699" s="49"/>
      <c r="E699" s="49"/>
      <c r="F699" s="44"/>
      <c r="G699" s="44"/>
      <c r="H699" s="44"/>
    </row>
    <row r="700">
      <c r="A700" s="44"/>
      <c r="B700" s="49"/>
      <c r="C700" s="49"/>
      <c r="D700" s="49"/>
      <c r="E700" s="49"/>
      <c r="F700" s="44"/>
      <c r="G700" s="44"/>
      <c r="H700" s="44"/>
    </row>
    <row r="701">
      <c r="A701" s="44"/>
      <c r="B701" s="49"/>
      <c r="C701" s="49"/>
      <c r="D701" s="49"/>
      <c r="E701" s="49"/>
      <c r="F701" s="44"/>
      <c r="G701" s="44"/>
      <c r="H701" s="44"/>
    </row>
    <row r="702">
      <c r="A702" s="44"/>
      <c r="B702" s="49"/>
      <c r="C702" s="49"/>
      <c r="D702" s="49"/>
      <c r="E702" s="49"/>
      <c r="F702" s="44"/>
      <c r="G702" s="44"/>
      <c r="H702" s="44"/>
    </row>
    <row r="703">
      <c r="A703" s="44"/>
      <c r="B703" s="49"/>
      <c r="C703" s="49"/>
      <c r="D703" s="49"/>
      <c r="E703" s="49"/>
      <c r="F703" s="44"/>
      <c r="G703" s="44"/>
      <c r="H703" s="44"/>
    </row>
    <row r="704">
      <c r="A704" s="44"/>
      <c r="B704" s="49"/>
      <c r="C704" s="49"/>
      <c r="D704" s="49"/>
      <c r="E704" s="49"/>
      <c r="F704" s="44"/>
      <c r="G704" s="44"/>
      <c r="H704" s="44"/>
    </row>
    <row r="705">
      <c r="A705" s="44"/>
      <c r="B705" s="49"/>
      <c r="C705" s="49"/>
      <c r="D705" s="49"/>
      <c r="E705" s="49"/>
      <c r="F705" s="44"/>
      <c r="G705" s="44"/>
      <c r="H705" s="44"/>
    </row>
    <row r="706">
      <c r="A706" s="44"/>
      <c r="B706" s="49"/>
      <c r="C706" s="49"/>
      <c r="D706" s="49"/>
      <c r="E706" s="49"/>
      <c r="F706" s="44"/>
      <c r="G706" s="44"/>
      <c r="H706" s="44"/>
    </row>
    <row r="707">
      <c r="A707" s="44"/>
      <c r="B707" s="49"/>
      <c r="C707" s="49"/>
      <c r="D707" s="49"/>
      <c r="E707" s="49"/>
      <c r="F707" s="44"/>
      <c r="G707" s="44"/>
      <c r="H707" s="44"/>
    </row>
    <row r="708">
      <c r="A708" s="44"/>
      <c r="B708" s="49"/>
      <c r="C708" s="49"/>
      <c r="D708" s="49"/>
      <c r="E708" s="49"/>
      <c r="F708" s="44"/>
      <c r="G708" s="44"/>
      <c r="H708" s="44"/>
    </row>
    <row r="709">
      <c r="A709" s="44"/>
      <c r="B709" s="49"/>
      <c r="C709" s="49"/>
      <c r="D709" s="49"/>
      <c r="E709" s="49"/>
      <c r="F709" s="44"/>
      <c r="G709" s="44"/>
      <c r="H709" s="44"/>
    </row>
    <row r="710">
      <c r="A710" s="44"/>
      <c r="B710" s="49"/>
      <c r="C710" s="49"/>
      <c r="D710" s="49"/>
      <c r="E710" s="49"/>
      <c r="F710" s="44"/>
      <c r="G710" s="44"/>
      <c r="H710" s="44"/>
    </row>
    <row r="711">
      <c r="A711" s="44"/>
      <c r="B711" s="49"/>
      <c r="C711" s="49"/>
      <c r="D711" s="49"/>
      <c r="E711" s="49"/>
      <c r="F711" s="44"/>
      <c r="G711" s="44"/>
      <c r="H711" s="44"/>
    </row>
    <row r="712">
      <c r="A712" s="44"/>
      <c r="B712" s="49"/>
      <c r="C712" s="49"/>
      <c r="D712" s="49"/>
      <c r="E712" s="49"/>
      <c r="F712" s="44"/>
      <c r="G712" s="44"/>
      <c r="H712" s="44"/>
    </row>
    <row r="713">
      <c r="A713" s="44"/>
      <c r="B713" s="49"/>
      <c r="C713" s="49"/>
      <c r="D713" s="49"/>
      <c r="E713" s="49"/>
      <c r="F713" s="44"/>
      <c r="G713" s="44"/>
      <c r="H713" s="44"/>
    </row>
    <row r="714">
      <c r="A714" s="44"/>
      <c r="B714" s="49"/>
      <c r="C714" s="49"/>
      <c r="D714" s="49"/>
      <c r="E714" s="49"/>
      <c r="F714" s="44"/>
      <c r="G714" s="44"/>
      <c r="H714" s="44"/>
    </row>
    <row r="715">
      <c r="A715" s="44"/>
      <c r="B715" s="49"/>
      <c r="C715" s="49"/>
      <c r="D715" s="49"/>
      <c r="E715" s="49"/>
      <c r="F715" s="44"/>
      <c r="G715" s="44"/>
      <c r="H715" s="44"/>
    </row>
    <row r="716">
      <c r="A716" s="44"/>
      <c r="B716" s="49"/>
      <c r="C716" s="49"/>
      <c r="D716" s="49"/>
      <c r="E716" s="49"/>
      <c r="F716" s="44"/>
      <c r="G716" s="44"/>
      <c r="H716" s="44"/>
    </row>
    <row r="717">
      <c r="A717" s="44"/>
      <c r="B717" s="49"/>
      <c r="C717" s="49"/>
      <c r="D717" s="49"/>
      <c r="E717" s="49"/>
      <c r="F717" s="44"/>
      <c r="G717" s="44"/>
      <c r="H717" s="44"/>
    </row>
    <row r="718">
      <c r="A718" s="44"/>
      <c r="B718" s="49"/>
      <c r="C718" s="49"/>
      <c r="D718" s="49"/>
      <c r="E718" s="49"/>
      <c r="F718" s="44"/>
      <c r="G718" s="44"/>
      <c r="H718" s="44"/>
    </row>
    <row r="719">
      <c r="A719" s="44"/>
      <c r="B719" s="49"/>
      <c r="C719" s="49"/>
      <c r="D719" s="49"/>
      <c r="E719" s="49"/>
      <c r="F719" s="44"/>
      <c r="G719" s="44"/>
      <c r="H719" s="44"/>
    </row>
    <row r="720">
      <c r="A720" s="44"/>
      <c r="B720" s="49"/>
      <c r="C720" s="49"/>
      <c r="D720" s="49"/>
      <c r="E720" s="49"/>
      <c r="F720" s="44"/>
      <c r="G720" s="44"/>
      <c r="H720" s="44"/>
    </row>
    <row r="721">
      <c r="A721" s="44"/>
      <c r="B721" s="49"/>
      <c r="C721" s="49"/>
      <c r="D721" s="49"/>
      <c r="E721" s="49"/>
      <c r="F721" s="44"/>
      <c r="G721" s="44"/>
      <c r="H721" s="44"/>
    </row>
    <row r="722">
      <c r="A722" s="44"/>
      <c r="B722" s="49"/>
      <c r="C722" s="49"/>
      <c r="D722" s="49"/>
      <c r="E722" s="49"/>
      <c r="F722" s="44"/>
      <c r="G722" s="44"/>
      <c r="H722" s="44"/>
    </row>
    <row r="723">
      <c r="A723" s="44"/>
      <c r="B723" s="49"/>
      <c r="C723" s="49"/>
      <c r="D723" s="49"/>
      <c r="E723" s="49"/>
      <c r="F723" s="44"/>
      <c r="G723" s="44"/>
      <c r="H723" s="44"/>
    </row>
    <row r="724">
      <c r="A724" s="44"/>
      <c r="B724" s="49"/>
      <c r="C724" s="49"/>
      <c r="D724" s="49"/>
      <c r="E724" s="49"/>
      <c r="F724" s="44"/>
      <c r="G724" s="44"/>
      <c r="H724" s="44"/>
    </row>
    <row r="725">
      <c r="A725" s="44"/>
      <c r="B725" s="49"/>
      <c r="C725" s="49"/>
      <c r="D725" s="49"/>
      <c r="E725" s="49"/>
      <c r="F725" s="44"/>
      <c r="G725" s="44"/>
      <c r="H725" s="44"/>
    </row>
    <row r="726">
      <c r="A726" s="44"/>
      <c r="B726" s="49"/>
      <c r="C726" s="49"/>
      <c r="D726" s="49"/>
      <c r="E726" s="49"/>
      <c r="F726" s="44"/>
      <c r="G726" s="44"/>
      <c r="H726" s="44"/>
    </row>
    <row r="727">
      <c r="A727" s="44"/>
      <c r="B727" s="49"/>
      <c r="C727" s="49"/>
      <c r="D727" s="49"/>
      <c r="E727" s="49"/>
      <c r="F727" s="44"/>
      <c r="G727" s="44"/>
      <c r="H727" s="44"/>
    </row>
    <row r="728">
      <c r="A728" s="44"/>
      <c r="B728" s="49"/>
      <c r="C728" s="49"/>
      <c r="D728" s="49"/>
      <c r="E728" s="49"/>
      <c r="F728" s="44"/>
      <c r="G728" s="44"/>
      <c r="H728" s="44"/>
    </row>
    <row r="729">
      <c r="A729" s="44"/>
      <c r="B729" s="49"/>
      <c r="C729" s="49"/>
      <c r="D729" s="49"/>
      <c r="E729" s="49"/>
      <c r="F729" s="44"/>
      <c r="G729" s="44"/>
      <c r="H729" s="44"/>
    </row>
    <row r="730">
      <c r="A730" s="44"/>
      <c r="B730" s="49"/>
      <c r="C730" s="49"/>
      <c r="D730" s="49"/>
      <c r="E730" s="49"/>
      <c r="F730" s="44"/>
      <c r="G730" s="44"/>
      <c r="H730" s="44"/>
    </row>
    <row r="731">
      <c r="A731" s="44"/>
      <c r="B731" s="49"/>
      <c r="C731" s="49"/>
      <c r="D731" s="49"/>
      <c r="E731" s="49"/>
      <c r="F731" s="44"/>
      <c r="G731" s="44"/>
      <c r="H731" s="44"/>
    </row>
    <row r="732">
      <c r="A732" s="44"/>
      <c r="B732" s="49"/>
      <c r="C732" s="49"/>
      <c r="D732" s="49"/>
      <c r="E732" s="49"/>
      <c r="F732" s="44"/>
      <c r="G732" s="44"/>
      <c r="H732" s="44"/>
    </row>
    <row r="733">
      <c r="A733" s="44"/>
      <c r="B733" s="49"/>
      <c r="C733" s="49"/>
      <c r="D733" s="49"/>
      <c r="E733" s="49"/>
      <c r="F733" s="44"/>
      <c r="G733" s="44"/>
      <c r="H733" s="44"/>
    </row>
    <row r="734">
      <c r="A734" s="44"/>
      <c r="B734" s="49"/>
      <c r="C734" s="49"/>
      <c r="D734" s="49"/>
      <c r="E734" s="49"/>
      <c r="F734" s="44"/>
      <c r="G734" s="44"/>
      <c r="H734" s="44"/>
    </row>
    <row r="735">
      <c r="A735" s="44"/>
      <c r="B735" s="49"/>
      <c r="C735" s="49"/>
      <c r="D735" s="49"/>
      <c r="E735" s="49"/>
      <c r="F735" s="44"/>
      <c r="G735" s="44"/>
      <c r="H735" s="44"/>
    </row>
    <row r="736">
      <c r="A736" s="44"/>
      <c r="B736" s="49"/>
      <c r="C736" s="49"/>
      <c r="D736" s="49"/>
      <c r="E736" s="49"/>
      <c r="F736" s="44"/>
      <c r="G736" s="44"/>
      <c r="H736" s="44"/>
    </row>
    <row r="737">
      <c r="A737" s="44"/>
      <c r="B737" s="49"/>
      <c r="C737" s="49"/>
      <c r="D737" s="49"/>
      <c r="E737" s="49"/>
      <c r="F737" s="44"/>
      <c r="G737" s="44"/>
      <c r="H737" s="44"/>
    </row>
    <row r="738">
      <c r="A738" s="44"/>
      <c r="B738" s="49"/>
      <c r="C738" s="49"/>
      <c r="D738" s="49"/>
      <c r="E738" s="49"/>
      <c r="F738" s="44"/>
      <c r="G738" s="44"/>
      <c r="H738" s="44"/>
    </row>
    <row r="739">
      <c r="A739" s="44"/>
      <c r="B739" s="49"/>
      <c r="C739" s="49"/>
      <c r="D739" s="49"/>
      <c r="E739" s="49"/>
      <c r="F739" s="44"/>
      <c r="G739" s="44"/>
      <c r="H739" s="44"/>
    </row>
    <row r="740">
      <c r="A740" s="44"/>
      <c r="B740" s="49"/>
      <c r="C740" s="49"/>
      <c r="D740" s="49"/>
      <c r="E740" s="49"/>
      <c r="F740" s="44"/>
      <c r="G740" s="44"/>
      <c r="H740" s="44"/>
    </row>
    <row r="741">
      <c r="A741" s="44"/>
      <c r="B741" s="49"/>
      <c r="C741" s="49"/>
      <c r="D741" s="49"/>
      <c r="E741" s="49"/>
      <c r="F741" s="44"/>
      <c r="G741" s="44"/>
      <c r="H741" s="44"/>
    </row>
    <row r="742">
      <c r="A742" s="44"/>
      <c r="B742" s="49"/>
      <c r="C742" s="49"/>
      <c r="D742" s="49"/>
      <c r="E742" s="49"/>
      <c r="F742" s="44"/>
      <c r="G742" s="44"/>
      <c r="H742" s="44"/>
    </row>
    <row r="743">
      <c r="A743" s="44"/>
      <c r="B743" s="49"/>
      <c r="C743" s="49"/>
      <c r="D743" s="49"/>
      <c r="E743" s="49"/>
      <c r="F743" s="44"/>
      <c r="G743" s="44"/>
      <c r="H743" s="44"/>
    </row>
    <row r="744">
      <c r="A744" s="44"/>
      <c r="B744" s="49"/>
      <c r="C744" s="49"/>
      <c r="D744" s="49"/>
      <c r="E744" s="49"/>
      <c r="F744" s="44"/>
      <c r="G744" s="44"/>
      <c r="H744" s="44"/>
    </row>
    <row r="745">
      <c r="A745" s="44"/>
      <c r="B745" s="49"/>
      <c r="C745" s="49"/>
      <c r="D745" s="49"/>
      <c r="E745" s="49"/>
      <c r="F745" s="44"/>
      <c r="G745" s="44"/>
      <c r="H745" s="44"/>
    </row>
    <row r="746">
      <c r="A746" s="44"/>
      <c r="B746" s="49"/>
      <c r="C746" s="49"/>
      <c r="D746" s="49"/>
      <c r="E746" s="49"/>
      <c r="F746" s="44"/>
      <c r="G746" s="44"/>
      <c r="H746" s="44"/>
    </row>
    <row r="747">
      <c r="A747" s="44"/>
      <c r="B747" s="49"/>
      <c r="C747" s="49"/>
      <c r="D747" s="49"/>
      <c r="E747" s="49"/>
      <c r="F747" s="44"/>
      <c r="G747" s="44"/>
      <c r="H747" s="44"/>
    </row>
    <row r="748">
      <c r="A748" s="44"/>
      <c r="B748" s="49"/>
      <c r="C748" s="49"/>
      <c r="D748" s="49"/>
      <c r="E748" s="49"/>
      <c r="F748" s="44"/>
      <c r="G748" s="44"/>
      <c r="H748" s="44"/>
    </row>
    <row r="749">
      <c r="A749" s="44"/>
      <c r="B749" s="49"/>
      <c r="C749" s="49"/>
      <c r="D749" s="49"/>
      <c r="E749" s="49"/>
      <c r="F749" s="44"/>
      <c r="G749" s="44"/>
      <c r="H749" s="44"/>
    </row>
    <row r="750">
      <c r="A750" s="44"/>
      <c r="B750" s="49"/>
      <c r="C750" s="49"/>
      <c r="D750" s="49"/>
      <c r="E750" s="49"/>
      <c r="F750" s="44"/>
      <c r="G750" s="44"/>
      <c r="H750" s="44"/>
    </row>
    <row r="751">
      <c r="A751" s="44"/>
      <c r="B751" s="49"/>
      <c r="C751" s="49"/>
      <c r="D751" s="49"/>
      <c r="E751" s="49"/>
      <c r="F751" s="44"/>
      <c r="G751" s="44"/>
      <c r="H751" s="44"/>
    </row>
    <row r="752">
      <c r="A752" s="44"/>
      <c r="B752" s="49"/>
      <c r="C752" s="49"/>
      <c r="D752" s="49"/>
      <c r="E752" s="49"/>
      <c r="F752" s="44"/>
      <c r="G752" s="44"/>
      <c r="H752" s="44"/>
    </row>
    <row r="753">
      <c r="A753" s="44"/>
      <c r="B753" s="49"/>
      <c r="C753" s="49"/>
      <c r="D753" s="49"/>
      <c r="E753" s="49"/>
      <c r="F753" s="44"/>
      <c r="G753" s="44"/>
      <c r="H753" s="44"/>
    </row>
    <row r="754">
      <c r="A754" s="44"/>
      <c r="B754" s="49"/>
      <c r="C754" s="49"/>
      <c r="D754" s="49"/>
      <c r="E754" s="49"/>
      <c r="F754" s="44"/>
      <c r="G754" s="44"/>
      <c r="H754" s="44"/>
    </row>
    <row r="755">
      <c r="A755" s="44"/>
      <c r="B755" s="49"/>
      <c r="C755" s="49"/>
      <c r="D755" s="49"/>
      <c r="E755" s="49"/>
      <c r="F755" s="44"/>
      <c r="G755" s="44"/>
      <c r="H755" s="44"/>
    </row>
    <row r="756">
      <c r="A756" s="44"/>
      <c r="B756" s="49"/>
      <c r="C756" s="49"/>
      <c r="D756" s="49"/>
      <c r="E756" s="49"/>
      <c r="F756" s="44"/>
      <c r="G756" s="44"/>
      <c r="H756" s="44"/>
    </row>
    <row r="757">
      <c r="A757" s="44"/>
      <c r="B757" s="49"/>
      <c r="C757" s="49"/>
      <c r="D757" s="49"/>
      <c r="E757" s="49"/>
      <c r="F757" s="44"/>
      <c r="G757" s="44"/>
      <c r="H757" s="44"/>
    </row>
    <row r="758">
      <c r="A758" s="44"/>
      <c r="B758" s="49"/>
      <c r="C758" s="49"/>
      <c r="D758" s="49"/>
      <c r="E758" s="49"/>
      <c r="F758" s="44"/>
      <c r="G758" s="44"/>
      <c r="H758" s="44"/>
    </row>
    <row r="759">
      <c r="A759" s="44"/>
      <c r="B759" s="49"/>
      <c r="C759" s="49"/>
      <c r="D759" s="49"/>
      <c r="E759" s="49"/>
      <c r="F759" s="44"/>
      <c r="G759" s="44"/>
      <c r="H759" s="44"/>
    </row>
    <row r="760">
      <c r="A760" s="44"/>
      <c r="B760" s="49"/>
      <c r="C760" s="49"/>
      <c r="D760" s="49"/>
      <c r="E760" s="49"/>
      <c r="F760" s="44"/>
      <c r="G760" s="44"/>
      <c r="H760" s="44"/>
    </row>
    <row r="761">
      <c r="A761" s="44"/>
      <c r="B761" s="49"/>
      <c r="C761" s="49"/>
      <c r="D761" s="49"/>
      <c r="E761" s="49"/>
      <c r="F761" s="44"/>
      <c r="G761" s="44"/>
      <c r="H761" s="44"/>
    </row>
    <row r="762">
      <c r="A762" s="44"/>
      <c r="B762" s="49"/>
      <c r="C762" s="49"/>
      <c r="D762" s="49"/>
      <c r="E762" s="49"/>
      <c r="F762" s="44"/>
      <c r="G762" s="44"/>
      <c r="H762" s="44"/>
    </row>
    <row r="763">
      <c r="A763" s="44"/>
      <c r="B763" s="49"/>
      <c r="C763" s="49"/>
      <c r="D763" s="49"/>
      <c r="E763" s="49"/>
      <c r="F763" s="44"/>
      <c r="G763" s="44"/>
      <c r="H763" s="44"/>
    </row>
    <row r="764">
      <c r="A764" s="44"/>
      <c r="B764" s="49"/>
      <c r="C764" s="49"/>
      <c r="D764" s="49"/>
      <c r="E764" s="49"/>
      <c r="F764" s="44"/>
      <c r="G764" s="44"/>
      <c r="H764" s="44"/>
    </row>
    <row r="765">
      <c r="A765" s="44"/>
      <c r="B765" s="49"/>
      <c r="C765" s="49"/>
      <c r="D765" s="49"/>
      <c r="E765" s="49"/>
      <c r="F765" s="44"/>
      <c r="G765" s="44"/>
      <c r="H765" s="44"/>
    </row>
    <row r="766">
      <c r="A766" s="44"/>
      <c r="B766" s="49"/>
      <c r="C766" s="49"/>
      <c r="D766" s="49"/>
      <c r="E766" s="49"/>
      <c r="F766" s="44"/>
      <c r="G766" s="44"/>
      <c r="H766" s="44"/>
    </row>
    <row r="767">
      <c r="A767" s="44"/>
      <c r="B767" s="49"/>
      <c r="C767" s="49"/>
      <c r="D767" s="49"/>
      <c r="E767" s="49"/>
      <c r="F767" s="44"/>
      <c r="G767" s="44"/>
      <c r="H767" s="44"/>
    </row>
    <row r="768">
      <c r="A768" s="44"/>
      <c r="B768" s="49"/>
      <c r="C768" s="49"/>
      <c r="D768" s="49"/>
      <c r="E768" s="49"/>
      <c r="F768" s="44"/>
      <c r="G768" s="44"/>
      <c r="H768" s="44"/>
    </row>
    <row r="769">
      <c r="A769" s="44"/>
      <c r="B769" s="49"/>
      <c r="C769" s="49"/>
      <c r="D769" s="49"/>
      <c r="E769" s="49"/>
      <c r="F769" s="44"/>
      <c r="G769" s="44"/>
      <c r="H769" s="44"/>
    </row>
    <row r="770">
      <c r="A770" s="44"/>
      <c r="B770" s="49"/>
      <c r="C770" s="49"/>
      <c r="D770" s="49"/>
      <c r="E770" s="49"/>
      <c r="F770" s="44"/>
      <c r="G770" s="44"/>
      <c r="H770" s="44"/>
    </row>
    <row r="771">
      <c r="A771" s="44"/>
      <c r="B771" s="49"/>
      <c r="C771" s="49"/>
      <c r="D771" s="49"/>
      <c r="E771" s="49"/>
      <c r="F771" s="44"/>
      <c r="G771" s="44"/>
      <c r="H771" s="44"/>
    </row>
    <row r="772">
      <c r="A772" s="44"/>
      <c r="B772" s="49"/>
      <c r="C772" s="49"/>
      <c r="D772" s="49"/>
      <c r="E772" s="49"/>
      <c r="F772" s="44"/>
      <c r="G772" s="44"/>
      <c r="H772" s="44"/>
    </row>
    <row r="773">
      <c r="A773" s="44"/>
      <c r="B773" s="49"/>
      <c r="C773" s="49"/>
      <c r="D773" s="49"/>
      <c r="E773" s="49"/>
      <c r="F773" s="44"/>
      <c r="G773" s="44"/>
      <c r="H773" s="44"/>
    </row>
    <row r="774">
      <c r="A774" s="44"/>
      <c r="B774" s="49"/>
      <c r="C774" s="49"/>
      <c r="D774" s="49"/>
      <c r="E774" s="49"/>
      <c r="F774" s="44"/>
      <c r="G774" s="44"/>
      <c r="H774" s="44"/>
    </row>
    <row r="775">
      <c r="A775" s="44"/>
      <c r="B775" s="49"/>
      <c r="C775" s="49"/>
      <c r="D775" s="49"/>
      <c r="E775" s="49"/>
      <c r="F775" s="44"/>
      <c r="G775" s="44"/>
      <c r="H775" s="44"/>
    </row>
    <row r="776">
      <c r="A776" s="44"/>
      <c r="B776" s="49"/>
      <c r="C776" s="49"/>
      <c r="D776" s="49"/>
      <c r="E776" s="49"/>
      <c r="F776" s="44"/>
      <c r="G776" s="44"/>
      <c r="H776" s="44"/>
    </row>
    <row r="777">
      <c r="A777" s="44"/>
      <c r="B777" s="49"/>
      <c r="C777" s="49"/>
      <c r="D777" s="49"/>
      <c r="E777" s="49"/>
      <c r="F777" s="44"/>
      <c r="G777" s="44"/>
      <c r="H777" s="44"/>
    </row>
    <row r="778">
      <c r="A778" s="44"/>
      <c r="B778" s="49"/>
      <c r="C778" s="49"/>
      <c r="D778" s="49"/>
      <c r="E778" s="49"/>
      <c r="F778" s="44"/>
      <c r="G778" s="44"/>
      <c r="H778" s="44"/>
    </row>
    <row r="779">
      <c r="A779" s="44"/>
      <c r="B779" s="49"/>
      <c r="C779" s="49"/>
      <c r="D779" s="49"/>
      <c r="E779" s="49"/>
      <c r="F779" s="44"/>
      <c r="G779" s="44"/>
      <c r="H779" s="44"/>
    </row>
    <row r="780">
      <c r="A780" s="44"/>
      <c r="B780" s="49"/>
      <c r="C780" s="49"/>
      <c r="D780" s="49"/>
      <c r="E780" s="49"/>
      <c r="F780" s="44"/>
      <c r="G780" s="44"/>
      <c r="H780" s="44"/>
    </row>
    <row r="781">
      <c r="A781" s="44"/>
      <c r="B781" s="49"/>
      <c r="C781" s="49"/>
      <c r="D781" s="49"/>
      <c r="E781" s="49"/>
      <c r="F781" s="44"/>
      <c r="G781" s="44"/>
      <c r="H781" s="44"/>
    </row>
    <row r="782">
      <c r="A782" s="44"/>
      <c r="B782" s="49"/>
      <c r="C782" s="49"/>
      <c r="D782" s="49"/>
      <c r="E782" s="49"/>
      <c r="F782" s="44"/>
      <c r="G782" s="44"/>
      <c r="H782" s="44"/>
    </row>
    <row r="783">
      <c r="A783" s="44"/>
      <c r="B783" s="49"/>
      <c r="C783" s="49"/>
      <c r="D783" s="49"/>
      <c r="E783" s="49"/>
      <c r="F783" s="44"/>
      <c r="G783" s="44"/>
      <c r="H783" s="44"/>
    </row>
    <row r="784">
      <c r="A784" s="44"/>
      <c r="B784" s="49"/>
      <c r="C784" s="49"/>
      <c r="D784" s="49"/>
      <c r="E784" s="49"/>
      <c r="F784" s="44"/>
      <c r="G784" s="44"/>
      <c r="H784" s="44"/>
    </row>
    <row r="785">
      <c r="A785" s="44"/>
      <c r="B785" s="49"/>
      <c r="C785" s="49"/>
      <c r="D785" s="49"/>
      <c r="E785" s="49"/>
      <c r="F785" s="44"/>
      <c r="G785" s="44"/>
      <c r="H785" s="44"/>
    </row>
    <row r="786">
      <c r="A786" s="44"/>
      <c r="B786" s="49"/>
      <c r="C786" s="49"/>
      <c r="D786" s="49"/>
      <c r="E786" s="49"/>
      <c r="F786" s="44"/>
      <c r="G786" s="44"/>
      <c r="H786" s="44"/>
    </row>
    <row r="787">
      <c r="A787" s="44"/>
      <c r="B787" s="49"/>
      <c r="C787" s="49"/>
      <c r="D787" s="49"/>
      <c r="E787" s="49"/>
      <c r="F787" s="44"/>
      <c r="G787" s="44"/>
      <c r="H787" s="44"/>
    </row>
    <row r="788">
      <c r="A788" s="44"/>
      <c r="B788" s="49"/>
      <c r="C788" s="49"/>
      <c r="D788" s="49"/>
      <c r="E788" s="49"/>
      <c r="F788" s="44"/>
      <c r="G788" s="44"/>
      <c r="H788" s="44"/>
    </row>
    <row r="789">
      <c r="A789" s="44"/>
      <c r="B789" s="49"/>
      <c r="C789" s="49"/>
      <c r="D789" s="49"/>
      <c r="E789" s="49"/>
      <c r="F789" s="44"/>
      <c r="G789" s="44"/>
      <c r="H789" s="44"/>
    </row>
    <row r="790">
      <c r="A790" s="44"/>
      <c r="B790" s="49"/>
      <c r="C790" s="49"/>
      <c r="D790" s="49"/>
      <c r="E790" s="49"/>
      <c r="F790" s="44"/>
      <c r="G790" s="44"/>
      <c r="H790" s="44"/>
    </row>
    <row r="791">
      <c r="A791" s="44"/>
      <c r="B791" s="49"/>
      <c r="C791" s="49"/>
      <c r="D791" s="49"/>
      <c r="E791" s="49"/>
      <c r="F791" s="44"/>
      <c r="G791" s="44"/>
      <c r="H791" s="44"/>
    </row>
    <row r="792">
      <c r="A792" s="44"/>
      <c r="B792" s="49"/>
      <c r="C792" s="49"/>
      <c r="D792" s="49"/>
      <c r="E792" s="49"/>
      <c r="F792" s="44"/>
      <c r="G792" s="44"/>
      <c r="H792" s="44"/>
    </row>
    <row r="793">
      <c r="A793" s="44"/>
      <c r="B793" s="49"/>
      <c r="C793" s="49"/>
      <c r="D793" s="49"/>
      <c r="E793" s="49"/>
      <c r="F793" s="44"/>
      <c r="G793" s="44"/>
      <c r="H793" s="44"/>
    </row>
    <row r="794">
      <c r="A794" s="44"/>
      <c r="B794" s="49"/>
      <c r="C794" s="49"/>
      <c r="D794" s="49"/>
      <c r="E794" s="49"/>
      <c r="F794" s="44"/>
      <c r="G794" s="44"/>
      <c r="H794" s="44"/>
    </row>
    <row r="795">
      <c r="A795" s="44"/>
      <c r="B795" s="49"/>
      <c r="C795" s="49"/>
      <c r="D795" s="49"/>
      <c r="E795" s="49"/>
      <c r="F795" s="44"/>
      <c r="G795" s="44"/>
      <c r="H795" s="44"/>
    </row>
    <row r="796">
      <c r="A796" s="44"/>
      <c r="B796" s="49"/>
      <c r="C796" s="49"/>
      <c r="D796" s="49"/>
      <c r="E796" s="49"/>
      <c r="F796" s="44"/>
      <c r="G796" s="44"/>
      <c r="H796" s="44"/>
    </row>
    <row r="797">
      <c r="A797" s="44"/>
      <c r="B797" s="49"/>
      <c r="C797" s="49"/>
      <c r="D797" s="49"/>
      <c r="E797" s="49"/>
      <c r="F797" s="44"/>
      <c r="G797" s="44"/>
      <c r="H797" s="44"/>
    </row>
    <row r="798">
      <c r="A798" s="44"/>
      <c r="B798" s="49"/>
      <c r="C798" s="49"/>
      <c r="D798" s="49"/>
      <c r="E798" s="49"/>
      <c r="F798" s="44"/>
      <c r="G798" s="44"/>
      <c r="H798" s="44"/>
    </row>
    <row r="799">
      <c r="A799" s="44"/>
      <c r="B799" s="49"/>
      <c r="C799" s="49"/>
      <c r="D799" s="49"/>
      <c r="E799" s="49"/>
      <c r="F799" s="44"/>
      <c r="G799" s="44"/>
      <c r="H799" s="44"/>
    </row>
    <row r="800">
      <c r="A800" s="44"/>
      <c r="B800" s="49"/>
      <c r="C800" s="49"/>
      <c r="D800" s="49"/>
      <c r="E800" s="49"/>
      <c r="F800" s="44"/>
      <c r="G800" s="44"/>
      <c r="H800" s="44"/>
    </row>
    <row r="801">
      <c r="A801" s="44"/>
      <c r="B801" s="49"/>
      <c r="C801" s="49"/>
      <c r="D801" s="49"/>
      <c r="E801" s="49"/>
      <c r="F801" s="44"/>
      <c r="G801" s="44"/>
      <c r="H801" s="44"/>
    </row>
    <row r="802">
      <c r="A802" s="44"/>
      <c r="B802" s="49"/>
      <c r="C802" s="49"/>
      <c r="D802" s="49"/>
      <c r="E802" s="49"/>
      <c r="F802" s="44"/>
      <c r="G802" s="44"/>
      <c r="H802" s="44"/>
    </row>
    <row r="803">
      <c r="A803" s="44"/>
      <c r="B803" s="49"/>
      <c r="C803" s="49"/>
      <c r="D803" s="49"/>
      <c r="E803" s="49"/>
      <c r="F803" s="44"/>
      <c r="G803" s="44"/>
      <c r="H803" s="44"/>
    </row>
    <row r="804">
      <c r="A804" s="44"/>
      <c r="B804" s="49"/>
      <c r="C804" s="49"/>
      <c r="D804" s="49"/>
      <c r="E804" s="49"/>
      <c r="F804" s="44"/>
      <c r="G804" s="44"/>
      <c r="H804" s="44"/>
    </row>
    <row r="805">
      <c r="A805" s="44"/>
      <c r="B805" s="49"/>
      <c r="C805" s="49"/>
      <c r="D805" s="49"/>
      <c r="E805" s="49"/>
      <c r="F805" s="44"/>
      <c r="G805" s="44"/>
      <c r="H805" s="44"/>
    </row>
    <row r="806">
      <c r="A806" s="44"/>
      <c r="B806" s="49"/>
      <c r="C806" s="49"/>
      <c r="D806" s="49"/>
      <c r="E806" s="49"/>
      <c r="F806" s="44"/>
      <c r="G806" s="44"/>
      <c r="H806" s="44"/>
    </row>
    <row r="807">
      <c r="A807" s="44"/>
      <c r="B807" s="49"/>
      <c r="C807" s="49"/>
      <c r="D807" s="49"/>
      <c r="E807" s="49"/>
      <c r="F807" s="44"/>
      <c r="G807" s="44"/>
      <c r="H807" s="44"/>
    </row>
    <row r="808">
      <c r="A808" s="44"/>
      <c r="B808" s="49"/>
      <c r="C808" s="49"/>
      <c r="D808" s="49"/>
      <c r="E808" s="49"/>
      <c r="F808" s="44"/>
      <c r="G808" s="44"/>
      <c r="H808" s="44"/>
    </row>
    <row r="809">
      <c r="A809" s="44"/>
      <c r="B809" s="49"/>
      <c r="C809" s="49"/>
      <c r="D809" s="49"/>
      <c r="E809" s="49"/>
      <c r="F809" s="44"/>
      <c r="G809" s="44"/>
      <c r="H809" s="44"/>
    </row>
    <row r="810">
      <c r="A810" s="44"/>
      <c r="B810" s="49"/>
      <c r="C810" s="49"/>
      <c r="D810" s="49"/>
      <c r="E810" s="49"/>
      <c r="F810" s="44"/>
      <c r="G810" s="44"/>
      <c r="H810" s="44"/>
    </row>
    <row r="811">
      <c r="A811" s="44"/>
      <c r="B811" s="49"/>
      <c r="C811" s="49"/>
      <c r="D811" s="49"/>
      <c r="E811" s="49"/>
      <c r="F811" s="44"/>
      <c r="G811" s="44"/>
      <c r="H811" s="44"/>
    </row>
    <row r="812">
      <c r="A812" s="44"/>
      <c r="B812" s="49"/>
      <c r="C812" s="49"/>
      <c r="D812" s="49"/>
      <c r="E812" s="49"/>
      <c r="F812" s="44"/>
      <c r="G812" s="44"/>
      <c r="H812" s="44"/>
    </row>
    <row r="813">
      <c r="A813" s="44"/>
      <c r="B813" s="49"/>
      <c r="C813" s="49"/>
      <c r="D813" s="49"/>
      <c r="E813" s="49"/>
      <c r="F813" s="44"/>
      <c r="G813" s="44"/>
      <c r="H813" s="44"/>
    </row>
    <row r="814">
      <c r="A814" s="44"/>
      <c r="B814" s="49"/>
      <c r="C814" s="49"/>
      <c r="D814" s="49"/>
      <c r="E814" s="49"/>
      <c r="F814" s="44"/>
      <c r="G814" s="44"/>
      <c r="H814" s="44"/>
    </row>
    <row r="815">
      <c r="A815" s="44"/>
      <c r="B815" s="49"/>
      <c r="C815" s="49"/>
      <c r="D815" s="49"/>
      <c r="E815" s="49"/>
      <c r="F815" s="44"/>
      <c r="G815" s="44"/>
      <c r="H815" s="44"/>
    </row>
    <row r="816">
      <c r="A816" s="44"/>
      <c r="B816" s="49"/>
      <c r="C816" s="49"/>
      <c r="D816" s="49"/>
      <c r="E816" s="49"/>
      <c r="F816" s="44"/>
      <c r="G816" s="44"/>
      <c r="H816" s="44"/>
    </row>
    <row r="817">
      <c r="A817" s="44"/>
      <c r="B817" s="49"/>
      <c r="C817" s="49"/>
      <c r="D817" s="49"/>
      <c r="E817" s="49"/>
      <c r="F817" s="44"/>
      <c r="G817" s="44"/>
      <c r="H817" s="44"/>
    </row>
    <row r="818">
      <c r="A818" s="44"/>
      <c r="B818" s="49"/>
      <c r="C818" s="49"/>
      <c r="D818" s="49"/>
      <c r="E818" s="49"/>
      <c r="F818" s="44"/>
      <c r="G818" s="44"/>
      <c r="H818" s="44"/>
    </row>
    <row r="819">
      <c r="A819" s="44"/>
      <c r="B819" s="49"/>
      <c r="C819" s="49"/>
      <c r="D819" s="49"/>
      <c r="E819" s="49"/>
      <c r="F819" s="44"/>
      <c r="G819" s="44"/>
      <c r="H819" s="44"/>
    </row>
    <row r="820">
      <c r="A820" s="44"/>
      <c r="B820" s="49"/>
      <c r="C820" s="49"/>
      <c r="D820" s="49"/>
      <c r="E820" s="49"/>
      <c r="F820" s="44"/>
      <c r="G820" s="44"/>
      <c r="H820" s="44"/>
    </row>
    <row r="821">
      <c r="A821" s="44"/>
      <c r="B821" s="49"/>
      <c r="C821" s="49"/>
      <c r="D821" s="49"/>
      <c r="E821" s="49"/>
      <c r="F821" s="44"/>
      <c r="G821" s="44"/>
      <c r="H821" s="44"/>
    </row>
    <row r="822">
      <c r="A822" s="44"/>
      <c r="B822" s="49"/>
      <c r="C822" s="49"/>
      <c r="D822" s="49"/>
      <c r="E822" s="49"/>
      <c r="F822" s="44"/>
      <c r="G822" s="44"/>
      <c r="H822" s="44"/>
    </row>
    <row r="823">
      <c r="A823" s="44"/>
      <c r="B823" s="49"/>
      <c r="C823" s="49"/>
      <c r="D823" s="49"/>
      <c r="E823" s="49"/>
      <c r="F823" s="44"/>
      <c r="G823" s="44"/>
      <c r="H823" s="44"/>
    </row>
    <row r="824">
      <c r="A824" s="44"/>
      <c r="B824" s="49"/>
      <c r="C824" s="49"/>
      <c r="D824" s="49"/>
      <c r="E824" s="49"/>
      <c r="F824" s="44"/>
      <c r="G824" s="44"/>
      <c r="H824" s="44"/>
    </row>
    <row r="825">
      <c r="A825" s="44"/>
      <c r="B825" s="49"/>
      <c r="C825" s="49"/>
      <c r="D825" s="49"/>
      <c r="E825" s="49"/>
      <c r="F825" s="44"/>
      <c r="G825" s="44"/>
      <c r="H825" s="44"/>
    </row>
    <row r="826">
      <c r="A826" s="44"/>
      <c r="B826" s="49"/>
      <c r="C826" s="49"/>
      <c r="D826" s="49"/>
      <c r="E826" s="49"/>
      <c r="F826" s="44"/>
      <c r="G826" s="44"/>
      <c r="H826" s="44"/>
    </row>
    <row r="827">
      <c r="A827" s="44"/>
      <c r="B827" s="49"/>
      <c r="C827" s="49"/>
      <c r="D827" s="49"/>
      <c r="E827" s="49"/>
      <c r="F827" s="44"/>
      <c r="G827" s="44"/>
      <c r="H827" s="44"/>
    </row>
    <row r="828">
      <c r="A828" s="44"/>
      <c r="B828" s="49"/>
      <c r="C828" s="49"/>
      <c r="D828" s="49"/>
      <c r="E828" s="49"/>
      <c r="F828" s="44"/>
      <c r="G828" s="44"/>
      <c r="H828" s="44"/>
    </row>
    <row r="829">
      <c r="A829" s="44"/>
      <c r="B829" s="49"/>
      <c r="C829" s="49"/>
      <c r="D829" s="49"/>
      <c r="E829" s="49"/>
      <c r="F829" s="44"/>
      <c r="G829" s="44"/>
      <c r="H829" s="44"/>
    </row>
    <row r="830">
      <c r="A830" s="44"/>
      <c r="B830" s="49"/>
      <c r="C830" s="49"/>
      <c r="D830" s="49"/>
      <c r="E830" s="49"/>
      <c r="F830" s="44"/>
      <c r="G830" s="44"/>
      <c r="H830" s="44"/>
    </row>
    <row r="831">
      <c r="A831" s="44"/>
      <c r="B831" s="49"/>
      <c r="C831" s="49"/>
      <c r="D831" s="49"/>
      <c r="E831" s="49"/>
      <c r="F831" s="44"/>
      <c r="G831" s="44"/>
      <c r="H831" s="44"/>
    </row>
    <row r="832">
      <c r="A832" s="44"/>
      <c r="B832" s="49"/>
      <c r="C832" s="49"/>
      <c r="D832" s="49"/>
      <c r="E832" s="49"/>
      <c r="F832" s="44"/>
      <c r="G832" s="44"/>
      <c r="H832" s="44"/>
    </row>
    <row r="833">
      <c r="A833" s="44"/>
      <c r="B833" s="49"/>
      <c r="C833" s="49"/>
      <c r="D833" s="49"/>
      <c r="E833" s="49"/>
      <c r="F833" s="44"/>
      <c r="G833" s="44"/>
      <c r="H833" s="44"/>
    </row>
    <row r="834">
      <c r="A834" s="44"/>
      <c r="B834" s="49"/>
      <c r="C834" s="49"/>
      <c r="D834" s="49"/>
      <c r="E834" s="49"/>
      <c r="F834" s="44"/>
      <c r="G834" s="44"/>
      <c r="H834" s="44"/>
    </row>
    <row r="835">
      <c r="A835" s="44"/>
      <c r="B835" s="49"/>
      <c r="C835" s="49"/>
      <c r="D835" s="49"/>
      <c r="E835" s="49"/>
      <c r="F835" s="44"/>
      <c r="G835" s="44"/>
      <c r="H835" s="44"/>
    </row>
    <row r="836">
      <c r="A836" s="44"/>
      <c r="B836" s="49"/>
      <c r="C836" s="49"/>
      <c r="D836" s="49"/>
      <c r="E836" s="49"/>
      <c r="F836" s="44"/>
      <c r="G836" s="44"/>
      <c r="H836" s="44"/>
    </row>
    <row r="837">
      <c r="A837" s="44"/>
      <c r="B837" s="49"/>
      <c r="C837" s="49"/>
      <c r="D837" s="49"/>
      <c r="E837" s="49"/>
      <c r="F837" s="44"/>
      <c r="G837" s="44"/>
      <c r="H837" s="44"/>
    </row>
    <row r="838">
      <c r="A838" s="44"/>
      <c r="B838" s="49"/>
      <c r="C838" s="49"/>
      <c r="D838" s="49"/>
      <c r="E838" s="49"/>
      <c r="F838" s="44"/>
      <c r="G838" s="44"/>
      <c r="H838" s="44"/>
    </row>
    <row r="839">
      <c r="A839" s="44"/>
      <c r="B839" s="49"/>
      <c r="C839" s="49"/>
      <c r="D839" s="49"/>
      <c r="E839" s="49"/>
      <c r="F839" s="44"/>
      <c r="G839" s="44"/>
      <c r="H839" s="44"/>
    </row>
    <row r="840">
      <c r="A840" s="44"/>
      <c r="B840" s="49"/>
      <c r="C840" s="49"/>
      <c r="D840" s="49"/>
      <c r="E840" s="49"/>
      <c r="F840" s="44"/>
      <c r="G840" s="44"/>
      <c r="H840" s="44"/>
    </row>
    <row r="841">
      <c r="A841" s="44"/>
      <c r="B841" s="49"/>
      <c r="C841" s="49"/>
      <c r="D841" s="49"/>
      <c r="E841" s="49"/>
      <c r="F841" s="44"/>
      <c r="G841" s="44"/>
      <c r="H841" s="44"/>
    </row>
    <row r="842">
      <c r="A842" s="44"/>
      <c r="B842" s="49"/>
      <c r="C842" s="49"/>
      <c r="D842" s="49"/>
      <c r="E842" s="49"/>
      <c r="F842" s="44"/>
      <c r="G842" s="44"/>
      <c r="H842" s="44"/>
    </row>
    <row r="843">
      <c r="A843" s="44"/>
      <c r="B843" s="49"/>
      <c r="C843" s="49"/>
      <c r="D843" s="49"/>
      <c r="E843" s="49"/>
      <c r="F843" s="44"/>
      <c r="G843" s="44"/>
      <c r="H843" s="44"/>
    </row>
    <row r="844">
      <c r="A844" s="44"/>
      <c r="B844" s="49"/>
      <c r="C844" s="49"/>
      <c r="D844" s="49"/>
      <c r="E844" s="49"/>
      <c r="F844" s="44"/>
      <c r="G844" s="44"/>
      <c r="H844" s="44"/>
    </row>
    <row r="845">
      <c r="A845" s="44"/>
      <c r="B845" s="49"/>
      <c r="C845" s="49"/>
      <c r="D845" s="49"/>
      <c r="E845" s="49"/>
      <c r="F845" s="44"/>
      <c r="G845" s="44"/>
      <c r="H845" s="44"/>
    </row>
    <row r="846">
      <c r="A846" s="44"/>
      <c r="B846" s="49"/>
      <c r="C846" s="49"/>
      <c r="D846" s="49"/>
      <c r="E846" s="49"/>
      <c r="F846" s="44"/>
      <c r="G846" s="44"/>
      <c r="H846" s="44"/>
    </row>
    <row r="847">
      <c r="A847" s="44"/>
      <c r="B847" s="49"/>
      <c r="C847" s="49"/>
      <c r="D847" s="49"/>
      <c r="E847" s="49"/>
      <c r="F847" s="44"/>
      <c r="G847" s="44"/>
      <c r="H847" s="44"/>
    </row>
    <row r="848">
      <c r="A848" s="44"/>
      <c r="B848" s="49"/>
      <c r="C848" s="49"/>
      <c r="D848" s="49"/>
      <c r="E848" s="49"/>
      <c r="F848" s="44"/>
      <c r="G848" s="44"/>
      <c r="H848" s="44"/>
    </row>
    <row r="849">
      <c r="A849" s="44"/>
      <c r="B849" s="49"/>
      <c r="C849" s="49"/>
      <c r="D849" s="49"/>
      <c r="E849" s="49"/>
      <c r="F849" s="44"/>
      <c r="G849" s="44"/>
      <c r="H849" s="44"/>
    </row>
    <row r="850">
      <c r="A850" s="44"/>
      <c r="B850" s="49"/>
      <c r="C850" s="49"/>
      <c r="D850" s="49"/>
      <c r="E850" s="49"/>
      <c r="F850" s="44"/>
      <c r="G850" s="44"/>
      <c r="H850" s="44"/>
    </row>
    <row r="851">
      <c r="A851" s="44"/>
      <c r="B851" s="49"/>
      <c r="C851" s="49"/>
      <c r="D851" s="49"/>
      <c r="E851" s="49"/>
      <c r="F851" s="44"/>
      <c r="G851" s="44"/>
      <c r="H851" s="44"/>
    </row>
    <row r="852">
      <c r="A852" s="44"/>
      <c r="B852" s="49"/>
      <c r="C852" s="49"/>
      <c r="D852" s="49"/>
      <c r="E852" s="49"/>
      <c r="F852" s="44"/>
      <c r="G852" s="44"/>
      <c r="H852" s="44"/>
    </row>
    <row r="853">
      <c r="A853" s="44"/>
      <c r="B853" s="49"/>
      <c r="C853" s="49"/>
      <c r="D853" s="49"/>
      <c r="E853" s="49"/>
      <c r="F853" s="44"/>
      <c r="G853" s="44"/>
      <c r="H853" s="44"/>
    </row>
    <row r="854">
      <c r="A854" s="44"/>
      <c r="B854" s="49"/>
      <c r="C854" s="49"/>
      <c r="D854" s="49"/>
      <c r="E854" s="49"/>
      <c r="F854" s="44"/>
      <c r="G854" s="44"/>
      <c r="H854" s="44"/>
    </row>
    <row r="855">
      <c r="A855" s="44"/>
      <c r="B855" s="49"/>
      <c r="C855" s="49"/>
      <c r="D855" s="49"/>
      <c r="E855" s="49"/>
      <c r="F855" s="44"/>
      <c r="G855" s="44"/>
      <c r="H855" s="44"/>
    </row>
    <row r="856">
      <c r="A856" s="44"/>
      <c r="B856" s="49"/>
      <c r="C856" s="49"/>
      <c r="D856" s="49"/>
      <c r="E856" s="49"/>
      <c r="F856" s="44"/>
      <c r="G856" s="44"/>
      <c r="H856" s="44"/>
    </row>
    <row r="857">
      <c r="A857" s="44"/>
      <c r="B857" s="49"/>
      <c r="C857" s="49"/>
      <c r="D857" s="49"/>
      <c r="E857" s="49"/>
      <c r="F857" s="44"/>
      <c r="G857" s="44"/>
      <c r="H857" s="44"/>
    </row>
    <row r="858">
      <c r="A858" s="44"/>
      <c r="B858" s="49"/>
      <c r="C858" s="49"/>
      <c r="D858" s="49"/>
      <c r="E858" s="49"/>
      <c r="F858" s="44"/>
      <c r="G858" s="44"/>
      <c r="H858" s="44"/>
    </row>
    <row r="859">
      <c r="A859" s="44"/>
      <c r="B859" s="49"/>
      <c r="C859" s="49"/>
      <c r="D859" s="49"/>
      <c r="E859" s="49"/>
      <c r="F859" s="44"/>
      <c r="G859" s="44"/>
      <c r="H859" s="44"/>
    </row>
    <row r="860">
      <c r="A860" s="44"/>
      <c r="B860" s="49"/>
      <c r="C860" s="49"/>
      <c r="D860" s="49"/>
      <c r="E860" s="49"/>
      <c r="F860" s="44"/>
      <c r="G860" s="44"/>
      <c r="H860" s="44"/>
    </row>
    <row r="861">
      <c r="A861" s="44"/>
      <c r="B861" s="49"/>
      <c r="C861" s="49"/>
      <c r="D861" s="49"/>
      <c r="E861" s="49"/>
      <c r="F861" s="44"/>
      <c r="G861" s="44"/>
      <c r="H861" s="44"/>
    </row>
    <row r="862">
      <c r="A862" s="44"/>
      <c r="B862" s="49"/>
      <c r="C862" s="49"/>
      <c r="D862" s="49"/>
      <c r="E862" s="49"/>
      <c r="F862" s="44"/>
      <c r="G862" s="44"/>
      <c r="H862" s="44"/>
    </row>
    <row r="863">
      <c r="A863" s="44"/>
      <c r="B863" s="49"/>
      <c r="C863" s="49"/>
      <c r="D863" s="49"/>
      <c r="E863" s="49"/>
      <c r="F863" s="44"/>
      <c r="G863" s="44"/>
      <c r="H863" s="44"/>
    </row>
    <row r="864">
      <c r="A864" s="44"/>
      <c r="B864" s="49"/>
      <c r="C864" s="49"/>
      <c r="D864" s="49"/>
      <c r="E864" s="49"/>
      <c r="F864" s="44"/>
      <c r="G864" s="44"/>
      <c r="H864" s="44"/>
    </row>
    <row r="865">
      <c r="A865" s="44"/>
      <c r="B865" s="49"/>
      <c r="C865" s="49"/>
      <c r="D865" s="49"/>
      <c r="E865" s="49"/>
      <c r="F865" s="44"/>
      <c r="G865" s="44"/>
      <c r="H865" s="44"/>
    </row>
    <row r="866">
      <c r="A866" s="44"/>
      <c r="B866" s="49"/>
      <c r="C866" s="49"/>
      <c r="D866" s="49"/>
      <c r="E866" s="49"/>
      <c r="F866" s="44"/>
      <c r="G866" s="44"/>
      <c r="H866" s="44"/>
    </row>
    <row r="867">
      <c r="A867" s="44"/>
      <c r="B867" s="49"/>
      <c r="C867" s="49"/>
      <c r="D867" s="49"/>
      <c r="E867" s="49"/>
      <c r="F867" s="44"/>
      <c r="G867" s="44"/>
      <c r="H867" s="44"/>
    </row>
    <row r="868">
      <c r="A868" s="44"/>
      <c r="B868" s="49"/>
      <c r="C868" s="49"/>
      <c r="D868" s="49"/>
      <c r="E868" s="49"/>
      <c r="F868" s="44"/>
      <c r="G868" s="44"/>
      <c r="H868" s="44"/>
    </row>
    <row r="869">
      <c r="A869" s="44"/>
      <c r="B869" s="49"/>
      <c r="C869" s="49"/>
      <c r="D869" s="49"/>
      <c r="E869" s="49"/>
      <c r="F869" s="44"/>
      <c r="G869" s="44"/>
      <c r="H869" s="44"/>
    </row>
    <row r="870">
      <c r="A870" s="44"/>
      <c r="B870" s="49"/>
      <c r="C870" s="49"/>
      <c r="D870" s="49"/>
      <c r="E870" s="49"/>
      <c r="F870" s="44"/>
      <c r="G870" s="44"/>
      <c r="H870" s="44"/>
    </row>
    <row r="871">
      <c r="A871" s="44"/>
      <c r="B871" s="49"/>
      <c r="C871" s="49"/>
      <c r="D871" s="49"/>
      <c r="E871" s="49"/>
      <c r="F871" s="44"/>
      <c r="G871" s="44"/>
      <c r="H871" s="44"/>
    </row>
    <row r="872">
      <c r="A872" s="44"/>
      <c r="B872" s="49"/>
      <c r="C872" s="49"/>
      <c r="D872" s="49"/>
      <c r="E872" s="49"/>
      <c r="F872" s="44"/>
      <c r="G872" s="44"/>
      <c r="H872" s="44"/>
    </row>
    <row r="873">
      <c r="A873" s="44"/>
      <c r="B873" s="49"/>
      <c r="C873" s="49"/>
      <c r="D873" s="49"/>
      <c r="E873" s="49"/>
      <c r="F873" s="44"/>
      <c r="G873" s="44"/>
      <c r="H873" s="44"/>
    </row>
    <row r="874">
      <c r="A874" s="44"/>
      <c r="B874" s="49"/>
      <c r="C874" s="49"/>
      <c r="D874" s="49"/>
      <c r="E874" s="49"/>
      <c r="F874" s="44"/>
      <c r="G874" s="44"/>
      <c r="H874" s="44"/>
    </row>
    <row r="875">
      <c r="A875" s="44"/>
      <c r="B875" s="49"/>
      <c r="C875" s="49"/>
      <c r="D875" s="49"/>
      <c r="E875" s="49"/>
      <c r="F875" s="44"/>
      <c r="G875" s="44"/>
      <c r="H875" s="44"/>
    </row>
    <row r="876">
      <c r="A876" s="44"/>
      <c r="B876" s="49"/>
      <c r="C876" s="49"/>
      <c r="D876" s="49"/>
      <c r="E876" s="49"/>
      <c r="F876" s="44"/>
      <c r="G876" s="44"/>
      <c r="H876" s="44"/>
    </row>
    <row r="877">
      <c r="A877" s="44"/>
      <c r="B877" s="49"/>
      <c r="C877" s="49"/>
      <c r="D877" s="49"/>
      <c r="E877" s="49"/>
      <c r="F877" s="44"/>
      <c r="G877" s="44"/>
      <c r="H877" s="44"/>
    </row>
    <row r="878">
      <c r="A878" s="44"/>
      <c r="B878" s="49"/>
      <c r="C878" s="49"/>
      <c r="D878" s="49"/>
      <c r="E878" s="49"/>
      <c r="F878" s="44"/>
      <c r="G878" s="44"/>
      <c r="H878" s="44"/>
    </row>
    <row r="879">
      <c r="A879" s="44"/>
      <c r="B879" s="49"/>
      <c r="C879" s="49"/>
      <c r="D879" s="49"/>
      <c r="E879" s="49"/>
      <c r="F879" s="44"/>
      <c r="G879" s="44"/>
      <c r="H879" s="44"/>
    </row>
    <row r="880">
      <c r="A880" s="44"/>
      <c r="B880" s="49"/>
      <c r="C880" s="49"/>
      <c r="D880" s="49"/>
      <c r="E880" s="49"/>
      <c r="F880" s="44"/>
      <c r="G880" s="44"/>
      <c r="H880" s="44"/>
    </row>
    <row r="881">
      <c r="A881" s="44"/>
      <c r="B881" s="49"/>
      <c r="C881" s="49"/>
      <c r="D881" s="49"/>
      <c r="E881" s="49"/>
      <c r="F881" s="44"/>
      <c r="G881" s="44"/>
      <c r="H881" s="44"/>
    </row>
    <row r="882">
      <c r="A882" s="44"/>
      <c r="B882" s="49"/>
      <c r="C882" s="49"/>
      <c r="D882" s="49"/>
      <c r="E882" s="49"/>
      <c r="F882" s="44"/>
      <c r="G882" s="44"/>
      <c r="H882" s="44"/>
    </row>
    <row r="883">
      <c r="A883" s="44"/>
      <c r="B883" s="49"/>
      <c r="C883" s="49"/>
      <c r="D883" s="49"/>
      <c r="E883" s="49"/>
      <c r="F883" s="44"/>
      <c r="G883" s="44"/>
      <c r="H883" s="44"/>
    </row>
    <row r="884">
      <c r="A884" s="44"/>
      <c r="B884" s="49"/>
      <c r="C884" s="49"/>
      <c r="D884" s="49"/>
      <c r="E884" s="49"/>
      <c r="F884" s="44"/>
      <c r="G884" s="44"/>
      <c r="H884" s="44"/>
    </row>
    <row r="885">
      <c r="A885" s="44"/>
      <c r="B885" s="49"/>
      <c r="C885" s="49"/>
      <c r="D885" s="49"/>
      <c r="E885" s="49"/>
      <c r="F885" s="44"/>
      <c r="G885" s="44"/>
      <c r="H885" s="44"/>
    </row>
    <row r="886">
      <c r="A886" s="44"/>
      <c r="B886" s="49"/>
      <c r="C886" s="49"/>
      <c r="D886" s="49"/>
      <c r="E886" s="49"/>
      <c r="F886" s="44"/>
      <c r="G886" s="44"/>
      <c r="H886" s="44"/>
    </row>
    <row r="887">
      <c r="A887" s="44"/>
      <c r="B887" s="49"/>
      <c r="C887" s="49"/>
      <c r="D887" s="49"/>
      <c r="E887" s="49"/>
      <c r="F887" s="44"/>
      <c r="G887" s="44"/>
      <c r="H887" s="44"/>
    </row>
    <row r="888">
      <c r="A888" s="44"/>
      <c r="B888" s="49"/>
      <c r="C888" s="49"/>
      <c r="D888" s="49"/>
      <c r="E888" s="49"/>
      <c r="F888" s="44"/>
      <c r="G888" s="44"/>
      <c r="H888" s="44"/>
    </row>
    <row r="889">
      <c r="A889" s="44"/>
      <c r="B889" s="49"/>
      <c r="C889" s="49"/>
      <c r="D889" s="49"/>
      <c r="E889" s="49"/>
      <c r="F889" s="44"/>
      <c r="G889" s="44"/>
      <c r="H889" s="44"/>
    </row>
    <row r="890">
      <c r="A890" s="44"/>
      <c r="B890" s="49"/>
      <c r="C890" s="49"/>
      <c r="D890" s="49"/>
      <c r="E890" s="49"/>
      <c r="F890" s="44"/>
      <c r="G890" s="44"/>
      <c r="H890" s="44"/>
    </row>
    <row r="891">
      <c r="A891" s="44"/>
      <c r="B891" s="49"/>
      <c r="C891" s="49"/>
      <c r="D891" s="49"/>
      <c r="E891" s="49"/>
      <c r="F891" s="44"/>
      <c r="G891" s="44"/>
      <c r="H891" s="44"/>
    </row>
    <row r="892">
      <c r="A892" s="44"/>
      <c r="B892" s="49"/>
      <c r="C892" s="49"/>
      <c r="D892" s="49"/>
      <c r="E892" s="49"/>
      <c r="F892" s="44"/>
      <c r="G892" s="44"/>
      <c r="H892" s="44"/>
    </row>
    <row r="893">
      <c r="A893" s="44"/>
      <c r="B893" s="49"/>
      <c r="C893" s="49"/>
      <c r="D893" s="49"/>
      <c r="E893" s="49"/>
      <c r="F893" s="44"/>
      <c r="G893" s="44"/>
      <c r="H893" s="44"/>
    </row>
    <row r="894">
      <c r="A894" s="44"/>
      <c r="B894" s="49"/>
      <c r="C894" s="49"/>
      <c r="D894" s="49"/>
      <c r="E894" s="49"/>
      <c r="F894" s="44"/>
      <c r="G894" s="44"/>
      <c r="H894" s="44"/>
    </row>
    <row r="895">
      <c r="A895" s="44"/>
      <c r="B895" s="49"/>
      <c r="C895" s="49"/>
      <c r="D895" s="49"/>
      <c r="E895" s="49"/>
      <c r="F895" s="44"/>
      <c r="G895" s="44"/>
      <c r="H895" s="44"/>
    </row>
    <row r="896">
      <c r="A896" s="44"/>
      <c r="B896" s="49"/>
      <c r="C896" s="49"/>
      <c r="D896" s="49"/>
      <c r="E896" s="49"/>
      <c r="F896" s="44"/>
      <c r="G896" s="44"/>
      <c r="H896" s="44"/>
    </row>
    <row r="897">
      <c r="A897" s="44"/>
      <c r="B897" s="49"/>
      <c r="C897" s="49"/>
      <c r="D897" s="49"/>
      <c r="E897" s="49"/>
      <c r="F897" s="44"/>
      <c r="G897" s="44"/>
      <c r="H897" s="44"/>
    </row>
    <row r="898">
      <c r="A898" s="44"/>
      <c r="B898" s="49"/>
      <c r="C898" s="49"/>
      <c r="D898" s="49"/>
      <c r="E898" s="49"/>
      <c r="F898" s="44"/>
      <c r="G898" s="44"/>
      <c r="H898" s="44"/>
    </row>
    <row r="899">
      <c r="A899" s="44"/>
      <c r="B899" s="49"/>
      <c r="C899" s="49"/>
      <c r="D899" s="49"/>
      <c r="E899" s="49"/>
      <c r="F899" s="44"/>
      <c r="G899" s="44"/>
      <c r="H899" s="44"/>
    </row>
    <row r="900">
      <c r="A900" s="44"/>
      <c r="B900" s="49"/>
      <c r="C900" s="49"/>
      <c r="D900" s="49"/>
      <c r="E900" s="49"/>
      <c r="F900" s="44"/>
      <c r="G900" s="44"/>
      <c r="H900" s="44"/>
    </row>
    <row r="901">
      <c r="A901" s="44"/>
      <c r="B901" s="49"/>
      <c r="C901" s="49"/>
      <c r="D901" s="49"/>
      <c r="E901" s="49"/>
      <c r="F901" s="44"/>
      <c r="G901" s="44"/>
      <c r="H901" s="44"/>
    </row>
    <row r="902">
      <c r="A902" s="44"/>
      <c r="B902" s="49"/>
      <c r="C902" s="49"/>
      <c r="D902" s="49"/>
      <c r="E902" s="49"/>
      <c r="F902" s="44"/>
      <c r="G902" s="44"/>
      <c r="H902" s="44"/>
    </row>
    <row r="903">
      <c r="A903" s="44"/>
      <c r="B903" s="49"/>
      <c r="C903" s="49"/>
      <c r="D903" s="49"/>
      <c r="E903" s="49"/>
      <c r="F903" s="44"/>
      <c r="G903" s="44"/>
      <c r="H903" s="44"/>
    </row>
    <row r="904">
      <c r="A904" s="44"/>
      <c r="B904" s="49"/>
      <c r="C904" s="49"/>
      <c r="D904" s="49"/>
      <c r="E904" s="49"/>
      <c r="F904" s="44"/>
      <c r="G904" s="44"/>
      <c r="H904" s="44"/>
    </row>
    <row r="905">
      <c r="A905" s="44"/>
      <c r="B905" s="49"/>
      <c r="C905" s="49"/>
      <c r="D905" s="49"/>
      <c r="E905" s="49"/>
      <c r="F905" s="44"/>
      <c r="G905" s="44"/>
      <c r="H905" s="44"/>
    </row>
    <row r="906">
      <c r="A906" s="44"/>
      <c r="B906" s="49"/>
      <c r="C906" s="49"/>
      <c r="D906" s="49"/>
      <c r="E906" s="49"/>
      <c r="F906" s="44"/>
      <c r="G906" s="44"/>
      <c r="H906" s="44"/>
    </row>
    <row r="907">
      <c r="A907" s="44"/>
      <c r="B907" s="49"/>
      <c r="C907" s="49"/>
      <c r="D907" s="49"/>
      <c r="E907" s="49"/>
      <c r="F907" s="44"/>
      <c r="G907" s="44"/>
      <c r="H907" s="44"/>
    </row>
    <row r="908">
      <c r="A908" s="44"/>
      <c r="B908" s="49"/>
      <c r="C908" s="49"/>
      <c r="D908" s="49"/>
      <c r="E908" s="49"/>
      <c r="F908" s="44"/>
      <c r="G908" s="44"/>
      <c r="H908" s="44"/>
    </row>
    <row r="909">
      <c r="A909" s="44"/>
      <c r="B909" s="49"/>
      <c r="C909" s="49"/>
      <c r="D909" s="49"/>
      <c r="E909" s="49"/>
      <c r="F909" s="44"/>
      <c r="G909" s="44"/>
      <c r="H909" s="44"/>
    </row>
    <row r="910">
      <c r="A910" s="44"/>
      <c r="B910" s="49"/>
      <c r="C910" s="49"/>
      <c r="D910" s="49"/>
      <c r="E910" s="49"/>
      <c r="F910" s="44"/>
      <c r="G910" s="44"/>
      <c r="H910" s="44"/>
    </row>
    <row r="911">
      <c r="A911" s="44"/>
      <c r="B911" s="49"/>
      <c r="C911" s="49"/>
      <c r="D911" s="49"/>
      <c r="E911" s="49"/>
      <c r="F911" s="44"/>
      <c r="G911" s="44"/>
      <c r="H911" s="44"/>
    </row>
    <row r="912">
      <c r="A912" s="44"/>
      <c r="B912" s="49"/>
      <c r="C912" s="49"/>
      <c r="D912" s="49"/>
      <c r="E912" s="49"/>
      <c r="F912" s="44"/>
      <c r="G912" s="44"/>
      <c r="H912" s="44"/>
    </row>
    <row r="913">
      <c r="A913" s="44"/>
      <c r="B913" s="49"/>
      <c r="C913" s="49"/>
      <c r="D913" s="49"/>
      <c r="E913" s="49"/>
      <c r="F913" s="44"/>
      <c r="G913" s="44"/>
      <c r="H913" s="44"/>
    </row>
    <row r="914">
      <c r="A914" s="44"/>
      <c r="B914" s="49"/>
      <c r="C914" s="49"/>
      <c r="D914" s="49"/>
      <c r="E914" s="49"/>
      <c r="F914" s="44"/>
      <c r="G914" s="44"/>
      <c r="H914" s="44"/>
    </row>
    <row r="915">
      <c r="A915" s="44"/>
      <c r="B915" s="49"/>
      <c r="C915" s="49"/>
      <c r="D915" s="49"/>
      <c r="E915" s="49"/>
      <c r="F915" s="44"/>
      <c r="G915" s="44"/>
      <c r="H915" s="44"/>
    </row>
    <row r="916">
      <c r="A916" s="44"/>
      <c r="B916" s="49"/>
      <c r="C916" s="49"/>
      <c r="D916" s="49"/>
      <c r="E916" s="49"/>
      <c r="F916" s="44"/>
      <c r="G916" s="44"/>
      <c r="H916" s="44"/>
    </row>
    <row r="917">
      <c r="A917" s="44"/>
      <c r="B917" s="49"/>
      <c r="C917" s="49"/>
      <c r="D917" s="49"/>
      <c r="E917" s="49"/>
      <c r="F917" s="44"/>
      <c r="G917" s="44"/>
      <c r="H917" s="44"/>
    </row>
    <row r="918">
      <c r="A918" s="44"/>
      <c r="B918" s="49"/>
      <c r="C918" s="49"/>
      <c r="D918" s="49"/>
      <c r="E918" s="49"/>
      <c r="F918" s="44"/>
      <c r="G918" s="44"/>
      <c r="H918" s="44"/>
    </row>
    <row r="919">
      <c r="A919" s="44"/>
      <c r="B919" s="49"/>
      <c r="C919" s="49"/>
      <c r="D919" s="49"/>
      <c r="E919" s="49"/>
      <c r="F919" s="44"/>
      <c r="G919" s="44"/>
      <c r="H919" s="44"/>
    </row>
    <row r="920">
      <c r="A920" s="44"/>
      <c r="B920" s="49"/>
      <c r="C920" s="49"/>
      <c r="D920" s="49"/>
      <c r="E920" s="49"/>
      <c r="F920" s="44"/>
      <c r="G920" s="44"/>
      <c r="H920" s="44"/>
    </row>
    <row r="921">
      <c r="A921" s="44"/>
      <c r="B921" s="49"/>
      <c r="C921" s="49"/>
      <c r="D921" s="49"/>
      <c r="E921" s="49"/>
      <c r="F921" s="44"/>
      <c r="G921" s="44"/>
      <c r="H921" s="44"/>
    </row>
    <row r="922">
      <c r="A922" s="44"/>
      <c r="B922" s="49"/>
      <c r="C922" s="49"/>
      <c r="D922" s="49"/>
      <c r="E922" s="49"/>
      <c r="F922" s="44"/>
      <c r="G922" s="44"/>
      <c r="H922" s="44"/>
    </row>
    <row r="923">
      <c r="A923" s="44"/>
      <c r="B923" s="49"/>
      <c r="C923" s="49"/>
      <c r="D923" s="49"/>
      <c r="E923" s="49"/>
      <c r="F923" s="44"/>
      <c r="G923" s="44"/>
      <c r="H923" s="44"/>
    </row>
    <row r="924">
      <c r="A924" s="44"/>
      <c r="B924" s="49"/>
      <c r="C924" s="49"/>
      <c r="D924" s="49"/>
      <c r="E924" s="49"/>
      <c r="F924" s="44"/>
      <c r="G924" s="44"/>
      <c r="H924" s="44"/>
    </row>
    <row r="925">
      <c r="A925" s="44"/>
      <c r="B925" s="49"/>
      <c r="C925" s="49"/>
      <c r="D925" s="49"/>
      <c r="E925" s="49"/>
      <c r="F925" s="44"/>
      <c r="G925" s="44"/>
      <c r="H925" s="44"/>
    </row>
    <row r="926">
      <c r="A926" s="44"/>
      <c r="B926" s="49"/>
      <c r="C926" s="49"/>
      <c r="D926" s="49"/>
      <c r="E926" s="49"/>
      <c r="F926" s="44"/>
      <c r="G926" s="44"/>
      <c r="H926" s="44"/>
    </row>
    <row r="927">
      <c r="A927" s="44"/>
      <c r="B927" s="49"/>
      <c r="C927" s="49"/>
      <c r="D927" s="49"/>
      <c r="E927" s="49"/>
      <c r="F927" s="44"/>
      <c r="G927" s="44"/>
      <c r="H927" s="44"/>
    </row>
    <row r="928">
      <c r="A928" s="44"/>
      <c r="B928" s="49"/>
      <c r="C928" s="49"/>
      <c r="D928" s="49"/>
      <c r="E928" s="49"/>
      <c r="F928" s="44"/>
      <c r="G928" s="44"/>
      <c r="H928" s="44"/>
    </row>
    <row r="929">
      <c r="A929" s="44"/>
      <c r="B929" s="49"/>
      <c r="C929" s="49"/>
      <c r="D929" s="49"/>
      <c r="E929" s="49"/>
      <c r="F929" s="44"/>
      <c r="G929" s="44"/>
      <c r="H929" s="44"/>
    </row>
    <row r="930">
      <c r="A930" s="44"/>
      <c r="B930" s="49"/>
      <c r="C930" s="49"/>
      <c r="D930" s="49"/>
      <c r="E930" s="49"/>
      <c r="F930" s="44"/>
      <c r="G930" s="44"/>
      <c r="H930" s="44"/>
    </row>
    <row r="931">
      <c r="A931" s="44"/>
      <c r="B931" s="49"/>
      <c r="C931" s="49"/>
      <c r="D931" s="49"/>
      <c r="E931" s="49"/>
      <c r="F931" s="44"/>
      <c r="G931" s="44"/>
      <c r="H931" s="44"/>
    </row>
    <row r="932">
      <c r="A932" s="44"/>
      <c r="B932" s="49"/>
      <c r="C932" s="49"/>
      <c r="D932" s="49"/>
      <c r="E932" s="49"/>
      <c r="F932" s="44"/>
      <c r="G932" s="44"/>
      <c r="H932" s="44"/>
    </row>
    <row r="933">
      <c r="A933" s="44"/>
      <c r="B933" s="49"/>
      <c r="C933" s="49"/>
      <c r="D933" s="49"/>
      <c r="E933" s="49"/>
      <c r="F933" s="44"/>
      <c r="G933" s="44"/>
      <c r="H933" s="44"/>
    </row>
    <row r="934">
      <c r="A934" s="44"/>
      <c r="B934" s="49"/>
      <c r="C934" s="49"/>
      <c r="D934" s="49"/>
      <c r="E934" s="49"/>
      <c r="F934" s="44"/>
      <c r="G934" s="44"/>
      <c r="H934" s="44"/>
    </row>
    <row r="935">
      <c r="A935" s="44"/>
      <c r="B935" s="49"/>
      <c r="C935" s="49"/>
      <c r="D935" s="49"/>
      <c r="E935" s="49"/>
      <c r="F935" s="44"/>
      <c r="G935" s="44"/>
      <c r="H935" s="44"/>
    </row>
    <row r="936">
      <c r="A936" s="44"/>
      <c r="B936" s="49"/>
      <c r="C936" s="49"/>
      <c r="D936" s="49"/>
      <c r="E936" s="49"/>
      <c r="F936" s="44"/>
      <c r="G936" s="44"/>
      <c r="H936" s="44"/>
    </row>
    <row r="937">
      <c r="A937" s="44"/>
      <c r="B937" s="49"/>
      <c r="C937" s="49"/>
      <c r="D937" s="49"/>
      <c r="E937" s="49"/>
      <c r="F937" s="44"/>
      <c r="G937" s="44"/>
      <c r="H937" s="44"/>
    </row>
    <row r="938">
      <c r="A938" s="44"/>
      <c r="B938" s="49"/>
      <c r="C938" s="49"/>
      <c r="D938" s="49"/>
      <c r="E938" s="49"/>
      <c r="F938" s="44"/>
      <c r="G938" s="44"/>
      <c r="H938" s="44"/>
    </row>
    <row r="939">
      <c r="A939" s="44"/>
      <c r="B939" s="49"/>
      <c r="C939" s="49"/>
      <c r="D939" s="49"/>
      <c r="E939" s="49"/>
      <c r="F939" s="44"/>
      <c r="G939" s="44"/>
      <c r="H939" s="44"/>
    </row>
    <row r="940">
      <c r="A940" s="44"/>
      <c r="B940" s="49"/>
      <c r="C940" s="49"/>
      <c r="D940" s="49"/>
      <c r="E940" s="49"/>
      <c r="F940" s="44"/>
      <c r="G940" s="44"/>
      <c r="H940" s="44"/>
    </row>
    <row r="941">
      <c r="A941" s="44"/>
      <c r="B941" s="49"/>
      <c r="C941" s="49"/>
      <c r="D941" s="49"/>
      <c r="E941" s="49"/>
      <c r="F941" s="44"/>
      <c r="G941" s="44"/>
      <c r="H941" s="44"/>
    </row>
    <row r="942">
      <c r="A942" s="44"/>
      <c r="B942" s="49"/>
      <c r="C942" s="49"/>
      <c r="D942" s="49"/>
      <c r="E942" s="49"/>
      <c r="F942" s="44"/>
      <c r="G942" s="44"/>
      <c r="H942" s="44"/>
    </row>
    <row r="943">
      <c r="A943" s="44"/>
      <c r="B943" s="49"/>
      <c r="C943" s="49"/>
      <c r="D943" s="49"/>
      <c r="E943" s="49"/>
      <c r="F943" s="44"/>
      <c r="G943" s="44"/>
      <c r="H943" s="44"/>
    </row>
    <row r="944">
      <c r="A944" s="44"/>
      <c r="B944" s="49"/>
      <c r="C944" s="49"/>
      <c r="D944" s="49"/>
      <c r="E944" s="49"/>
      <c r="F944" s="44"/>
      <c r="G944" s="44"/>
      <c r="H944" s="44"/>
    </row>
    <row r="945">
      <c r="A945" s="44"/>
      <c r="B945" s="49"/>
      <c r="C945" s="49"/>
      <c r="D945" s="49"/>
      <c r="E945" s="49"/>
      <c r="F945" s="44"/>
      <c r="G945" s="44"/>
      <c r="H945" s="44"/>
    </row>
    <row r="946">
      <c r="A946" s="44"/>
      <c r="B946" s="49"/>
      <c r="C946" s="49"/>
      <c r="D946" s="49"/>
      <c r="E946" s="49"/>
      <c r="F946" s="44"/>
      <c r="G946" s="44"/>
      <c r="H946" s="44"/>
    </row>
    <row r="947">
      <c r="A947" s="44"/>
      <c r="B947" s="49"/>
      <c r="C947" s="49"/>
      <c r="D947" s="49"/>
      <c r="E947" s="49"/>
      <c r="F947" s="44"/>
      <c r="G947" s="44"/>
      <c r="H947" s="44"/>
    </row>
    <row r="948">
      <c r="A948" s="44"/>
      <c r="B948" s="49"/>
      <c r="C948" s="49"/>
      <c r="D948" s="49"/>
      <c r="E948" s="49"/>
      <c r="F948" s="44"/>
      <c r="G948" s="44"/>
      <c r="H948" s="44"/>
    </row>
    <row r="949">
      <c r="A949" s="44"/>
      <c r="B949" s="49"/>
      <c r="C949" s="49"/>
      <c r="D949" s="49"/>
      <c r="E949" s="49"/>
      <c r="F949" s="44"/>
      <c r="G949" s="44"/>
      <c r="H949" s="44"/>
    </row>
    <row r="950">
      <c r="A950" s="44"/>
      <c r="B950" s="49"/>
      <c r="C950" s="49"/>
      <c r="D950" s="49"/>
      <c r="E950" s="49"/>
      <c r="F950" s="44"/>
      <c r="G950" s="44"/>
      <c r="H950" s="44"/>
    </row>
    <row r="951">
      <c r="A951" s="44"/>
      <c r="B951" s="49"/>
      <c r="C951" s="49"/>
      <c r="D951" s="49"/>
      <c r="E951" s="49"/>
      <c r="F951" s="44"/>
      <c r="G951" s="44"/>
      <c r="H951" s="44"/>
    </row>
    <row r="952">
      <c r="A952" s="44"/>
      <c r="B952" s="49"/>
      <c r="C952" s="49"/>
      <c r="D952" s="49"/>
      <c r="E952" s="49"/>
      <c r="F952" s="44"/>
      <c r="G952" s="44"/>
      <c r="H952" s="44"/>
    </row>
    <row r="953">
      <c r="A953" s="44"/>
      <c r="B953" s="49"/>
      <c r="C953" s="49"/>
      <c r="D953" s="49"/>
      <c r="E953" s="49"/>
      <c r="F953" s="44"/>
      <c r="G953" s="44"/>
      <c r="H953" s="44"/>
    </row>
    <row r="954">
      <c r="A954" s="44"/>
      <c r="B954" s="49"/>
      <c r="C954" s="49"/>
      <c r="D954" s="49"/>
      <c r="E954" s="49"/>
      <c r="F954" s="44"/>
      <c r="G954" s="44"/>
      <c r="H954" s="44"/>
    </row>
    <row r="955">
      <c r="A955" s="44"/>
      <c r="B955" s="49"/>
      <c r="C955" s="49"/>
      <c r="D955" s="49"/>
      <c r="E955" s="49"/>
      <c r="F955" s="44"/>
      <c r="G955" s="44"/>
      <c r="H955" s="44"/>
    </row>
    <row r="956">
      <c r="A956" s="44"/>
      <c r="B956" s="49"/>
      <c r="C956" s="49"/>
      <c r="D956" s="49"/>
      <c r="E956" s="49"/>
      <c r="F956" s="44"/>
      <c r="G956" s="44"/>
      <c r="H956" s="44"/>
    </row>
    <row r="957">
      <c r="A957" s="44"/>
      <c r="B957" s="49"/>
      <c r="C957" s="49"/>
      <c r="D957" s="49"/>
      <c r="E957" s="49"/>
      <c r="F957" s="44"/>
      <c r="G957" s="44"/>
      <c r="H957" s="44"/>
    </row>
    <row r="958">
      <c r="A958" s="44"/>
      <c r="B958" s="49"/>
      <c r="C958" s="49"/>
      <c r="D958" s="49"/>
      <c r="E958" s="49"/>
      <c r="F958" s="44"/>
      <c r="G958" s="44"/>
      <c r="H958" s="44"/>
    </row>
    <row r="959">
      <c r="A959" s="44"/>
      <c r="B959" s="49"/>
      <c r="C959" s="49"/>
      <c r="D959" s="49"/>
      <c r="E959" s="49"/>
      <c r="F959" s="44"/>
      <c r="G959" s="44"/>
      <c r="H959" s="44"/>
    </row>
    <row r="960">
      <c r="A960" s="44"/>
      <c r="B960" s="49"/>
      <c r="C960" s="49"/>
      <c r="D960" s="49"/>
      <c r="E960" s="49"/>
      <c r="F960" s="44"/>
      <c r="G960" s="44"/>
      <c r="H960" s="44"/>
    </row>
    <row r="961">
      <c r="A961" s="44"/>
      <c r="B961" s="49"/>
      <c r="C961" s="49"/>
      <c r="D961" s="49"/>
      <c r="E961" s="49"/>
      <c r="F961" s="44"/>
      <c r="G961" s="44"/>
      <c r="H961" s="44"/>
    </row>
    <row r="962">
      <c r="A962" s="44"/>
      <c r="B962" s="49"/>
      <c r="C962" s="49"/>
      <c r="D962" s="49"/>
      <c r="E962" s="49"/>
      <c r="F962" s="44"/>
      <c r="G962" s="44"/>
      <c r="H962" s="44"/>
    </row>
    <row r="963">
      <c r="A963" s="44"/>
      <c r="B963" s="49"/>
      <c r="C963" s="49"/>
      <c r="D963" s="49"/>
      <c r="E963" s="49"/>
      <c r="F963" s="44"/>
      <c r="G963" s="44"/>
      <c r="H963" s="44"/>
    </row>
    <row r="964">
      <c r="A964" s="44"/>
      <c r="B964" s="49"/>
      <c r="C964" s="49"/>
      <c r="D964" s="49"/>
      <c r="E964" s="49"/>
      <c r="F964" s="44"/>
      <c r="G964" s="44"/>
      <c r="H964" s="44"/>
    </row>
    <row r="965">
      <c r="A965" s="44"/>
      <c r="B965" s="49"/>
      <c r="C965" s="49"/>
      <c r="D965" s="49"/>
      <c r="E965" s="49"/>
      <c r="F965" s="44"/>
      <c r="G965" s="44"/>
      <c r="H965" s="44"/>
    </row>
    <row r="966">
      <c r="A966" s="44"/>
      <c r="B966" s="49"/>
      <c r="C966" s="49"/>
      <c r="D966" s="49"/>
      <c r="E966" s="49"/>
      <c r="F966" s="44"/>
      <c r="G966" s="44"/>
      <c r="H966" s="44"/>
    </row>
    <row r="967">
      <c r="A967" s="44"/>
      <c r="B967" s="49"/>
      <c r="C967" s="49"/>
      <c r="D967" s="49"/>
      <c r="E967" s="49"/>
      <c r="F967" s="44"/>
      <c r="G967" s="44"/>
      <c r="H967" s="44"/>
    </row>
    <row r="968">
      <c r="A968" s="44"/>
      <c r="B968" s="49"/>
      <c r="C968" s="49"/>
      <c r="D968" s="49"/>
      <c r="E968" s="49"/>
      <c r="F968" s="44"/>
      <c r="G968" s="44"/>
      <c r="H968" s="44"/>
    </row>
    <row r="969">
      <c r="A969" s="44"/>
      <c r="B969" s="49"/>
      <c r="C969" s="49"/>
      <c r="D969" s="49"/>
      <c r="E969" s="49"/>
      <c r="F969" s="44"/>
      <c r="G969" s="44"/>
      <c r="H969" s="44"/>
    </row>
    <row r="970">
      <c r="A970" s="44"/>
      <c r="B970" s="49"/>
      <c r="C970" s="49"/>
      <c r="D970" s="49"/>
      <c r="E970" s="49"/>
      <c r="F970" s="44"/>
      <c r="G970" s="44"/>
      <c r="H970" s="44"/>
    </row>
    <row r="971">
      <c r="A971" s="44"/>
      <c r="B971" s="49"/>
      <c r="C971" s="49"/>
      <c r="D971" s="49"/>
      <c r="E971" s="49"/>
      <c r="F971" s="44"/>
      <c r="G971" s="44"/>
      <c r="H971" s="44"/>
    </row>
    <row r="972">
      <c r="A972" s="44"/>
      <c r="B972" s="49"/>
      <c r="C972" s="49"/>
      <c r="D972" s="49"/>
      <c r="E972" s="49"/>
      <c r="F972" s="44"/>
      <c r="G972" s="44"/>
      <c r="H972" s="44"/>
    </row>
    <row r="973">
      <c r="A973" s="44"/>
      <c r="B973" s="49"/>
      <c r="C973" s="49"/>
      <c r="D973" s="49"/>
      <c r="E973" s="49"/>
      <c r="F973" s="44"/>
      <c r="G973" s="44"/>
      <c r="H973" s="44"/>
    </row>
    <row r="974">
      <c r="A974" s="44"/>
      <c r="B974" s="49"/>
      <c r="C974" s="49"/>
      <c r="D974" s="49"/>
      <c r="E974" s="49"/>
      <c r="F974" s="44"/>
      <c r="G974" s="44"/>
      <c r="H974" s="44"/>
    </row>
    <row r="975">
      <c r="A975" s="44"/>
      <c r="B975" s="49"/>
      <c r="C975" s="49"/>
      <c r="D975" s="49"/>
      <c r="E975" s="49"/>
      <c r="F975" s="44"/>
      <c r="G975" s="44"/>
      <c r="H975" s="44"/>
    </row>
    <row r="976">
      <c r="A976" s="44"/>
      <c r="B976" s="49"/>
      <c r="C976" s="49"/>
      <c r="D976" s="49"/>
      <c r="E976" s="49"/>
      <c r="F976" s="44"/>
      <c r="G976" s="44"/>
      <c r="H976" s="44"/>
    </row>
    <row r="977">
      <c r="A977" s="44"/>
      <c r="B977" s="49"/>
      <c r="C977" s="49"/>
      <c r="D977" s="49"/>
      <c r="E977" s="49"/>
      <c r="F977" s="44"/>
      <c r="G977" s="44"/>
      <c r="H977" s="44"/>
    </row>
    <row r="978">
      <c r="A978" s="44"/>
      <c r="B978" s="49"/>
      <c r="C978" s="49"/>
      <c r="D978" s="49"/>
      <c r="E978" s="49"/>
      <c r="F978" s="44"/>
      <c r="G978" s="44"/>
      <c r="H978" s="44"/>
    </row>
    <row r="979">
      <c r="A979" s="44"/>
      <c r="B979" s="49"/>
      <c r="C979" s="49"/>
      <c r="D979" s="49"/>
      <c r="E979" s="49"/>
      <c r="F979" s="44"/>
      <c r="G979" s="44"/>
      <c r="H979" s="44"/>
    </row>
    <row r="980">
      <c r="A980" s="44"/>
      <c r="B980" s="49"/>
      <c r="C980" s="49"/>
      <c r="D980" s="49"/>
      <c r="E980" s="49"/>
      <c r="F980" s="44"/>
      <c r="G980" s="44"/>
      <c r="H980" s="44"/>
    </row>
    <row r="981">
      <c r="A981" s="44"/>
      <c r="B981" s="49"/>
      <c r="C981" s="49"/>
      <c r="D981" s="49"/>
      <c r="E981" s="49"/>
      <c r="F981" s="44"/>
      <c r="G981" s="44"/>
      <c r="H981" s="44"/>
    </row>
    <row r="982">
      <c r="A982" s="44"/>
      <c r="B982" s="49"/>
      <c r="C982" s="49"/>
      <c r="D982" s="49"/>
      <c r="E982" s="49"/>
      <c r="F982" s="44"/>
      <c r="G982" s="44"/>
      <c r="H982" s="44"/>
    </row>
    <row r="983">
      <c r="A983" s="44"/>
      <c r="B983" s="49"/>
      <c r="C983" s="49"/>
      <c r="D983" s="49"/>
      <c r="E983" s="49"/>
      <c r="F983" s="44"/>
      <c r="G983" s="44"/>
      <c r="H983" s="44"/>
    </row>
    <row r="984">
      <c r="A984" s="44"/>
      <c r="B984" s="49"/>
      <c r="C984" s="49"/>
      <c r="D984" s="49"/>
      <c r="E984" s="49"/>
      <c r="F984" s="44"/>
      <c r="G984" s="44"/>
      <c r="H984" s="44"/>
    </row>
    <row r="985">
      <c r="A985" s="44"/>
      <c r="B985" s="49"/>
      <c r="C985" s="49"/>
      <c r="D985" s="49"/>
      <c r="E985" s="49"/>
      <c r="F985" s="44"/>
      <c r="G985" s="44"/>
      <c r="H985" s="44"/>
    </row>
    <row r="986">
      <c r="A986" s="44"/>
      <c r="B986" s="49"/>
      <c r="C986" s="49"/>
      <c r="D986" s="49"/>
      <c r="E986" s="49"/>
      <c r="F986" s="44"/>
      <c r="G986" s="44"/>
      <c r="H986" s="44"/>
    </row>
    <row r="987">
      <c r="A987" s="44"/>
      <c r="B987" s="49"/>
      <c r="C987" s="49"/>
      <c r="D987" s="49"/>
      <c r="E987" s="49"/>
      <c r="F987" s="44"/>
      <c r="G987" s="44"/>
      <c r="H987" s="44"/>
    </row>
    <row r="988">
      <c r="A988" s="44"/>
      <c r="B988" s="49"/>
      <c r="C988" s="49"/>
      <c r="D988" s="49"/>
      <c r="E988" s="49"/>
      <c r="F988" s="44"/>
      <c r="G988" s="44"/>
      <c r="H988" s="44"/>
    </row>
    <row r="989">
      <c r="A989" s="44"/>
      <c r="B989" s="49"/>
      <c r="C989" s="49"/>
      <c r="D989" s="49"/>
      <c r="E989" s="49"/>
      <c r="F989" s="44"/>
      <c r="G989" s="44"/>
      <c r="H989" s="44"/>
    </row>
    <row r="990">
      <c r="A990" s="44"/>
      <c r="B990" s="49"/>
      <c r="C990" s="49"/>
      <c r="D990" s="49"/>
      <c r="E990" s="49"/>
      <c r="F990" s="44"/>
      <c r="G990" s="44"/>
      <c r="H990" s="44"/>
    </row>
    <row r="991">
      <c r="A991" s="44"/>
      <c r="B991" s="49"/>
      <c r="C991" s="49"/>
      <c r="D991" s="49"/>
      <c r="E991" s="49"/>
      <c r="F991" s="44"/>
      <c r="G991" s="44"/>
      <c r="H991" s="44"/>
    </row>
    <row r="992">
      <c r="A992" s="44"/>
      <c r="B992" s="49"/>
      <c r="C992" s="49"/>
      <c r="D992" s="49"/>
      <c r="E992" s="49"/>
      <c r="F992" s="44"/>
      <c r="G992" s="44"/>
      <c r="H992" s="44"/>
    </row>
    <row r="993">
      <c r="A993" s="44"/>
      <c r="B993" s="49"/>
      <c r="C993" s="49"/>
      <c r="D993" s="49"/>
      <c r="E993" s="49"/>
      <c r="F993" s="44"/>
      <c r="G993" s="44"/>
      <c r="H993" s="44"/>
    </row>
    <row r="994">
      <c r="A994" s="44"/>
      <c r="B994" s="49"/>
      <c r="C994" s="49"/>
      <c r="D994" s="49"/>
      <c r="E994" s="49"/>
      <c r="F994" s="44"/>
      <c r="G994" s="44"/>
      <c r="H994" s="44"/>
    </row>
    <row r="995">
      <c r="A995" s="44"/>
      <c r="B995" s="49"/>
      <c r="C995" s="49"/>
      <c r="D995" s="49"/>
      <c r="E995" s="49"/>
      <c r="F995" s="44"/>
      <c r="G995" s="44"/>
      <c r="H995" s="44"/>
    </row>
    <row r="996">
      <c r="A996" s="44"/>
      <c r="B996" s="49"/>
      <c r="C996" s="49"/>
      <c r="D996" s="49"/>
      <c r="E996" s="49"/>
      <c r="F996" s="44"/>
      <c r="G996" s="44"/>
      <c r="H996" s="44"/>
    </row>
    <row r="997">
      <c r="A997" s="44"/>
      <c r="B997" s="49"/>
      <c r="C997" s="49"/>
      <c r="D997" s="49"/>
      <c r="E997" s="49"/>
      <c r="F997" s="44"/>
      <c r="G997" s="44"/>
      <c r="H997" s="44"/>
    </row>
    <row r="998">
      <c r="A998" s="44"/>
      <c r="B998" s="49"/>
      <c r="C998" s="49"/>
      <c r="D998" s="49"/>
      <c r="E998" s="49"/>
      <c r="F998" s="44"/>
      <c r="G998" s="44"/>
      <c r="H998" s="44"/>
    </row>
    <row r="999">
      <c r="A999" s="44"/>
      <c r="B999" s="49"/>
      <c r="C999" s="49"/>
      <c r="D999" s="49"/>
      <c r="E999" s="49"/>
      <c r="F999" s="44"/>
      <c r="G999" s="44"/>
      <c r="H999" s="44"/>
    </row>
    <row r="1000">
      <c r="A1000" s="44"/>
      <c r="B1000" s="49"/>
      <c r="C1000" s="49"/>
      <c r="D1000" s="49"/>
      <c r="E1000" s="49"/>
      <c r="F1000" s="44"/>
      <c r="G1000" s="44"/>
      <c r="H1000" s="44"/>
    </row>
    <row r="1001">
      <c r="A1001" s="44"/>
      <c r="B1001" s="49"/>
      <c r="C1001" s="49"/>
      <c r="D1001" s="49"/>
      <c r="E1001" s="49"/>
      <c r="F1001" s="44"/>
      <c r="G1001" s="44"/>
      <c r="H1001" s="44"/>
    </row>
    <row r="1002">
      <c r="A1002" s="44"/>
      <c r="B1002" s="49"/>
      <c r="C1002" s="49"/>
      <c r="D1002" s="49"/>
      <c r="E1002" s="49"/>
      <c r="F1002" s="44"/>
      <c r="G1002" s="44"/>
      <c r="H1002" s="44"/>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