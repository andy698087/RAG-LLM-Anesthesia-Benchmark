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<sst xmlns="http://schemas.openxmlformats.org/spreadsheetml/2006/main" count="3483" uniqueCount="509">
  <si>
    <t>SUMMARY RESULT BETWEEN TEST</t>
  </si>
  <si>
    <t>Temp</t>
  </si>
  <si>
    <t>Topp</t>
  </si>
  <si>
    <t>Parameters</t>
  </si>
  <si>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</si>
  <si>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</si>
  <si>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</si>
  <si>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</si>
  <si>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</si>
  <si>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</si>
  <si>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</si>
  <si>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</si>
  <si>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r>
      <rPr>
        <rFont val="Arial"/>
        <color theme="1"/>
      </rPr>
      <t>embed_model="</t>
    </r>
    <r>
      <rPr>
        <rFont val="Arial"/>
        <b/>
        <color rgb="FF3D85C6"/>
      </rPr>
      <t>neuml/pubmedbert-base-embeddings</t>
    </r>
    <r>
      <rPr>
        <rFont val="Arial"/>
        <color theme="1"/>
      </rPr>
      <t>"
len = 500
k = 12</t>
    </r>
  </si>
  <si>
    <t>Correct answers</t>
  </si>
  <si>
    <t>Total questions</t>
  </si>
  <si>
    <t>Correct ratio</t>
  </si>
  <si>
    <t>WRONG</t>
  </si>
  <si>
    <t>CORRECT</t>
  </si>
  <si>
    <t>RAG LLAMA3.1_8B_INSTRUCT MODEL ASA EXAMINATION (0)</t>
  </si>
  <si>
    <t>Options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</si>
  <si>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</si>
  <si>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</si>
  <si>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</si>
  <si>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</si>
  <si>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</si>
  <si>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</si>
  <si>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</si>
  <si>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</si>
  <si>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</si>
  <si>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</si>
  <si>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</si>
  <si>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</si>
  <si>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</si>
  <si>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</si>
  <si>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</si>
  <si>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</si>
  <si>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</si>
  <si>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</si>
  <si>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block is the most likely to be blocked for an operation at the medial aspect of the lower leg, as it innervates the medial leg and can extend as far as the base of the great toe and is included as part of the ankle block."</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</si>
  <si>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</si>
  <si>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</si>
  <si>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</si>
  <si>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</si>
  <si>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"Naloxone is not the appropriate choice as it is an opioid antagonist and would likely worsen the patient's pain. Flumazenil is a benzodiazepine antagonist and would not be effective in treating pain. Ketorolac is a nonsteroidal anti-inflammatory drug (NSAID) that is commonly used for pain management and would be a more appropriate choice for this patient's pain."</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</si>
  <si>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</si>
  <si>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</si>
  <si>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</si>
  <si>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</si>
  <si>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</si>
  <si>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cause dehydration, and normal saline can help to replenish fluids and electrolytes. Additionally, normal saline can help to reduce the severity of symptoms such as nausea, vomiting, and constipation that are commonly associated with hypercalcemia."</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</si>
  <si>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</si>
  <si>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</si>
  <si>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</si>
  <si>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</si>
  <si>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predicting the likelihood of developing malignant hyperthermia, making it the most reliable test for identifying patients at risk."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</si>
  <si>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</si>
  <si>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</si>
  <si>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</si>
  <si>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</si>
  <si>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can be calculated by considering the anesthetic vapor pressure, fresh gas flow, and the volume of anesthetic delivered. In this case, the anesthetic vapor pressure is 150 mmHg, the fresh gas flow is 5 L/min, and the volume of anesthetic delivered is 100 mL/min. To find the delivered anesthetic concentration, we need to calculate the volume percentage of anesthetic in the fresh gas flow. The volume percentage of anesthetic can be calculated by dividing the volume of anesthetic delivered (100 mL/min) by the total fresh gas flow (5 L/min), which is 2%. Therefore, the delivered anesthetic concentration is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</si>
  <si>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</si>
  <si>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</si>
  <si>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</si>
  <si>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</si>
  <si>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reduces heat loss through radiation, convection, conduction, and evaporation, thereby helping to maintain body temperature."</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</si>
  <si>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</si>
  <si>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</si>
  <si>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</si>
  <si>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</si>
  <si>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even after the initial dose has worn off, and may require further observation to ensure they are fully awake and alert before being sent home."</t>
  </si>
  <si>
    <t>Which of the following factors exerts the GREATEST effect on the extent of spread of local anesthetic following subarachnoid block with hyperbaric bupivacaine?</t>
  </si>
  <si>
    <t>A. Added epinephrine</t>
  </si>
  <si>
    <t>B. Patient position</t>
  </si>
  <si>
    <t>C. Total dose of drug</t>
  </si>
  <si>
    <t>{   "Answer": "B",   "Explain": "According to the context, patient position is the most important factor in determining the block height, and it is mentioned that 'patient position is the most important factor in determining the block height. Position should not affect the spread of a truly isobaric solution.' This suggests that patient position plays a significant role in determining the extent of spread of local anesthetic following subarachnoid block with hyperbaric bupivacaine."</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</si>
  <si>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</si>
  <si>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</si>
  <si>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</si>
  <si>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</si>
  <si>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"While breathing 100% O2, the patient's SpO2 is 80%, indicating hypoxemia. The most appropriate management is to provide positive-pressure ventilation to improve oxygenation and increase peripheral oxygen availability."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</si>
  <si>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</si>
  <si>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</si>
  <si>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</si>
  <si>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</si>
  <si>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sudden development of nausea, diaphoresis, and sharp pain in the left shoulder 45 minutes after the start of the procedure suggests that the most likely cause is bladder perforation. This is because the symptoms are not typical of inadequate spinal sensory level, and the patient's cardiovascular status is already stable. Bladder perforation is a known complication of TURP and can cause sudden and severe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</si>
  <si>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</si>
  <si>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</si>
  <si>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</si>
  <si>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</si>
  <si>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directly related to the symptoms described."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</si>
  <si>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</si>
  <si>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</si>
  <si>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</si>
  <si>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</si>
  <si>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"Two hours after a laparoscopic cholecystectomy, the patient is experiencing hypoxemia. The patient is receiving IV PCA with morphine, which can cause respiratory depression. The patient's SpO2 is 90% on room air, indicating mild hypoxemia. The most likely cause of her hypoxemia is hypoventilation, as the patient is not able to breathe deeply enough to maintain adequate oxygenation. This is supported by the fact that the patient is receiving IV PCA, which can cause respiratory depression, and the patient's SpO2 is only 90% on room air."</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</si>
  <si>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</si>
  <si>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</si>
  <si>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</si>
  <si>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</si>
  <si>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drop in airway pressure and delivers a preset tidal volume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</si>
  <si>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</si>
  <si>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</si>
  <si>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</si>
  <si>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</si>
  <si>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coronary perfusion pressure is most likely to be effective. This is because increased blood pressure increases coronary artery perfusion pressure, which in turn increases oxygen delivery to the myocardium, meeting its increased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</si>
  <si>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</si>
  <si>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</si>
  <si>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</si>
  <si>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</si>
  <si>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the most likely laboratory value to confirm adequate synthetic hepatic function. This is because the liver synthesizes coagulation factors in great excess, and the PT will remain normal until significant hepatic impairment occurs. The PT is also used to monitor for restoration of hepatic function, often improving before other clinical signs of improvement occur."</t>
  </si>
  <si>
    <t>Which of the following strategies BEST prevents ventricular dysrhythmias in a patient undergoing extracorporeal shock wave lithotripsy?</t>
  </si>
  <si>
    <t>A. Beta-adrenergic blockade</t>
  </si>
  <si>
    <t>B. ECG synchronization</t>
  </si>
  <si>
    <t>C. Epidural blockade to T4</t>
  </si>
  <si>
    <t>{   "Answer": "B",   "Explain": "The shock waves in ESWL are timed with the patient's heart rate and are triggered by the R wave on the patient's electrocardiogram. This is done to minimize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</si>
  <si>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</si>
  <si>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</si>
  <si>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</si>
  <si>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</si>
  <si>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This is because the fresh gas supply in a Bain circuit is delivered at the patient's end, which reduces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</si>
  <si>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</si>
  <si>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</si>
  <si>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</si>
  <si>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</si>
  <si>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capnograph waveform shows a sudden drop in end-tidal CO2 (ETCO2) from point A to point B, indicating a mismatching of ventilation and perfusion in the lungs. This is more likely to occur when a patient is in the lateral decubitus position, which can cause uneven distribution of ventilation and perfusion in the lungs."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</si>
  <si>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</si>
  <si>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</si>
  <si>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</si>
  <si>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</si>
  <si>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indicating a penicillin allergy. Cefazolin is a cephalosporin antibiotic that is structurally similar to penicillin and can cause an allergic reaction in patients with a penicillin allergy. Therefore, the anesthesiologist should not administer cefazolin. Instead, they should administer hydrocortisone, a corticosteroid, to help alleviate the allergic reaction, followed by cefazolin if the patient's condition allows it."</t>
  </si>
  <si>
    <t>Which of the following factors DECREASES the MAC of isoflurane?</t>
  </si>
  <si>
    <t>A. Acute cocaine intoxication</t>
  </si>
  <si>
    <t>B. Chronic ethanol abuse</t>
  </si>
  <si>
    <t>C. Symptomatic hyponatremia</t>
  </si>
  <si>
    <t>{   "Answer": "B",   "Explain": "According to the context, chronic ethanol abuse is one of the factors that increases MAC, which means it decreases the MAC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</si>
  <si>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</si>
  <si>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</si>
  <si>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</si>
  <si>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</si>
  <si>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</si>
  <si>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</si>
  <si>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</si>
  <si>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</si>
  <si>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</si>
  <si>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shift of the oxyhemoglobin dissociation curve to the right, making it easier for oxygen to bind to hemoglobin and increasing the amount of oxygen available to tissues." }</t>
  </si>
  <si>
    <t>Which of the following findings is most likely to be DECREASED in a patient with clinical hypothyroidism?</t>
  </si>
  <si>
    <t>A. MAC</t>
  </si>
  <si>
    <t>B. Myocardial contractility</t>
  </si>
  <si>
    <t>C. Peripheral vascular tone</t>
  </si>
  <si>
    <t>{   "Answer": B,   "Explain": "In a patient with clinical hypothyroidism, myocardial contractility is likely to be decreased. This is because hypothyroidism can lead to decreased levels of circulating thyroid hormones, which play a crucial role in regulating cardiac function. A decrease in myocardial contractility can lead to decreased cardiac output and increased risk of cardiovascular complications. Therefore, option B is the most likely answer."</t>
  </si>
  <si>
    <t>Which of the following anesthetic drugs is MOST likely to be associated with longer seizure duration when used for electroconvulsive therapy?</t>
  </si>
  <si>
    <t>A. Etomidate</t>
  </si>
  <si>
    <t>B. Methohexital</t>
  </si>
  <si>
    <t>C. Propofol</t>
  </si>
  <si>
    <t>{   "Answer": "B",   "Explain": "Methohexital is more likely to be associated with longer seizure duration when used for electroconvulsive therapy compared to propofol, as stated in the text: 'Further increases in dose result in lengthening periods of suppression interspersed with periods of activity (burst suppression) as the drug dose is increased. The preceding information notwithstanding, no convincing reports indicate epileptogenesis in subjects who are neurologically normal, and the use of etomidate need not be restricted on this basis. In fact, etomidate has been used to control refractory status epilepticus.'" }</t>
  </si>
  <si>
    <t>Which of the following drugs does NOT cause enhanced activity of the GABA receptor?</t>
  </si>
  <si>
    <t>B. Ketamine</t>
  </si>
  <si>
    <t>{   "Answer": "A",   "Explain": "Etomidate does not cause enhanced activity of the GABA receptor. According to the provided context, etomidate is a medication that is used as an anesthetic agent, but it does not have a direct effect on the GABA receptor, unlike other medications such as propofol and ketamine." }</t>
  </si>
  <si>
    <t>Which of the following components is MISPLACED in the circle system shown in the above illustration?</t>
  </si>
  <si>
    <t>A. Fresh gas inlet</t>
  </si>
  <si>
    <t>B. CO2 absorber</t>
  </si>
  <si>
    <t>C. Expiratory valve</t>
  </si>
  <si>
    <t>{   "Answer": "B",   "Explain": "According to the text, the CO2 absorber is in its correct position in the circle system. The other options, fresh gas inlet and expiratory valve, are also in their correct positions. Therefore, the component that is misplaced is the CO2 absorber."</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</si>
  <si>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</si>
  <si>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</si>
  <si>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</si>
  <si>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</si>
  <si>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is found to have a very large volume of distribution. This means that the drug is highly soluble in tissue relative to blood or plasma, which is characteristic of a drug with low plasma protein binding. This is because a large volume of distribution indicates that the drug is not being bound to plasma proteins, allowing it to distribute more freely in the body." }</t>
  </si>
  <si>
    <t>Which of the following drugs has the LONGEST duration of action in a patient with renal failure?</t>
  </si>
  <si>
    <t>A. Neostigmine</t>
  </si>
  <si>
    <t>B. Rocuronium</t>
  </si>
  <si>
    <t>C. Succinylcholine</t>
  </si>
  <si>
    <t>{   "Answer": "C",   "Explain": "Succinylcholine has the longest duration of action in a patient with renal failure because it is primarily eliminated through a non-renal pathway, whereas other muscle relaxants like rocuronium and vecuronium rely on renal excretion for elimination."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</si>
  <si>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</si>
  <si>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</si>
  <si>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</si>
  <si>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</si>
  <si>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supplies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</si>
  <si>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</si>
  <si>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</si>
  <si>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</si>
  <si>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</si>
  <si>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</si>
  <si>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</si>
  <si>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</si>
  <si>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</si>
  <si>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</si>
  <si>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 patient is under general anesthesia, the thermoregulatory centers in the brain are depressed, leading to a loss of vasoconstriction and a subsequent decrease in blood flow to the skin, resulting in heat loss and a drop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</si>
  <si>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</si>
  <si>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</si>
  <si>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</si>
  <si>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</si>
  <si>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the FiO2 was increased to 1.0. This suggests that the patient's hypoxemia was caused by a lack of oxygen in the alveoli, which was corrected by increasing the FiO2. This is consistent with the diagnosis of decreased FRC, which is a common cause of hypoxemia in patients with chronic obstructive pulmonary disease (COPD)."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</si>
  <si>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</si>
  <si>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</si>
  <si>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</si>
  <si>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</si>
  <si>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phrenic nerve block has occurred. To address this, an intercostobrachial block would be the next step to provide additional anesthesia to the upper limb."</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</si>
  <si>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</si>
  <si>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</si>
  <si>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</si>
  <si>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</si>
  <si>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Propofol is rapidly distributed from the central compartment to peripheral tissues, leading to a rapid decrease in plasma concentrations and a subsequent rapid recovery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</si>
  <si>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</si>
  <si>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</si>
  <si>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</si>
  <si>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</si>
  <si>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suggests that there is a problem with the O2 delivery system. A leak in the ventilator bellows (A) would not directly affect the O2 analyzer reading. The presence of the O2 analyzer in the expiratory limb (C) would not cause a decrease in the reading. Accumulation of water on the O2 sensor membrane (B) is a possible cause of a decrease in the O2 analyzer reading, as it can reduce the accuracy of the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</si>
  <si>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</si>
  <si>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</si>
  <si>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</si>
  <si>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</si>
  <si>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intense analgesia and amnesia in patients, despite the patient appearing as if they may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</si>
  <si>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</si>
  <si>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</si>
  <si>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</si>
  <si>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</si>
  <si>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"Fentanyl's greater lipid solubility allows it to rapidly equilibrate to the effect site, resulting in a shorter duration of action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</si>
  <si>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</si>
  <si>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</si>
  <si>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</si>
  <si>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</si>
  <si>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sample mean as an estimate of the population mean. It represents the amount of random variation in the sample mean, and it is a measure of the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</si>
  <si>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</si>
  <si>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</si>
  <si>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</si>
  <si>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</si>
  <si>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accurately reflects SaO2 in situations where there is no presence of carboxyhemoglobin, which has an absorbance of light that is markedly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</si>
  <si>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</si>
  <si>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</si>
  <si>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</si>
  <si>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</si>
  <si>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receiving a 4-hour general anesthetic for repair of tendon lacerations. Given that the patient is fasting, their blood glucose level is likely to decrease during the anesthetic period. Therefore, on emergence, the patient's blood glucose level is most likely to be mildly hypoglycemic, which is consistent with choice C, mild hypoglycemia."</t>
  </si>
  <si>
    <t>Which of the following drugs INCREASES gastric pH while decreasing gastric volume?</t>
  </si>
  <si>
    <t>A. Glycopyrrolate</t>
  </si>
  <si>
    <t>B. Metoclopramide</t>
  </si>
  <si>
    <t>C. Ranitidine</t>
  </si>
  <si>
    <t>{   "Answer": "C",   "Explain": "Ranitidine is an H2 antagonist that increases gastric pH while decreasing gastric volume, making it a suitable answer choice. It is commonly used to treat gastroesophageal reflux disease (GERD) and other conditions characterized by excessive stomach acid production."</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</si>
  <si>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</si>
  <si>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</si>
  <si>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</si>
  <si>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</si>
  <si>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equilibrates with alveolar and inspired concentrations more rapidly."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</si>
  <si>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</si>
  <si>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</si>
  <si>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</si>
  <si>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</si>
  <si>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When the patient is not breathing, the anesthetic gases in the lungs can cause a rapid desaturation of oxygen. Preoxygenation helps to increase the time period the patient can safely be apneic, allowing for a smoother transition to mechanical ventilation during anesthesia induction."</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</si>
  <si>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</si>
  <si>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</si>
  <si>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</si>
  <si>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</si>
  <si>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This injury can cause hoarseness (unilateral nerve injury) but can also lead to bilateral recurrent laryngeal nerve trauma and hypocalcemic tetany, which can cause stridor and laryngeal obstruction as a result of unopposed adduction of the vocal cords and closure of the glottic aperture. Therefore, the most likely postoperative finding is aphonia (B)." }</t>
  </si>
  <si>
    <t>Which of the following values, in mmHg, is the expected mixed venous O2 tension in a normal adult after breathing 100% O2 for 10 minutes?</t>
  </si>
  <si>
    <t>A. 45</t>
  </si>
  <si>
    <t>B. 95</t>
  </si>
  <si>
    <t>C. 150</t>
  </si>
  <si>
    <t>{   "Answer": "A",   "Explain": "Normal mixed venous O2 tension in a normal adult after breathing 100% O2 for 10 minutes is 45 mmHg. This is stated in the context that normal mixed venous PO2 is 40 mmHg, and breathing 100% O2 for 10 minutes would increase the PO2 to 45 mmHg." }</t>
  </si>
  <si>
    <t>Which of the following drugs has the SHORTEST elimination half-life?</t>
  </si>
  <si>
    <t>B. Lorazepam</t>
  </si>
  <si>
    <t>C. Midazolam</t>
  </si>
  <si>
    <t>{   "Answer": "A",   "Explain": "According to the provided context,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</si>
  <si>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</si>
  <si>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</si>
  <si>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</si>
  <si>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</si>
  <si>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</si>
  <si>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block is the most likely to be blocked for an operation at the medial aspect of the lower leg, as it provides innervation to the medial thigh and can be blocked at the adductor canal, which is a common approach for surgery involving the medial aspect of the leg." }</t>
  </si>
  <si>
    <t>{   "Answer": "B",   "Explain": "To determine the delivered anesthetic concentration, we need to calculate the volume of anesthetic vapor delivered per minute. The vaporizer delivers 100 mL/min of anesthetic vapor, and the fresh gas flow is 5 L/min. The volume of anesthetic vapor delivered per minute is the ratio of the volume of anesthetic vapor delivered to the total gas flow: (100 mL/min) / (5 L/min + 100 mL/min) = 2%. Therefore, the delivered anesthetic concentration is 0.5%."</t>
  </si>
  <si>
    <t>{   "Answer": "A",   "Explain": "Flumazenil has a relatively short-lived effect, and if a patient shows no signs of recurrent sedation within 2 hours after a 1-mg reversal dose of flumazenil, serious recurrent sedation at a later time is unlikely. Therefore, the patient should remain hospitalized for observation to ensure that the sedation effects of midazolam have fully worn off." }</t>
  </si>
  <si>
    <t>{   "Answer": "B",   "Explain": "The patient is experiencing pulmonary edema after resolution of postoperative laryngospasm, and the SpO2 is 80% while breathing 100% O2. The most appropriate management is to administer furosemide, a diuretic, to help alleviate the pulmonary edema and improve oxygenation." }</t>
  </si>
  <si>
    <t>{   "Answer": "B",   "Explain": "The patient's symptoms of nausea, diaphoresis, and sharp pain in the left shoulder are likely caused by bladder perforation, which is a complication of TURP. The patient's sudden onset of symptoms 45 minutes after the start of the procedure suggests that the anesthetic level may not be adequate, and the patient may be experiencing discomfort or pain due to the procedure."</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</si>
  <si>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not likely causes of hypoxemia in this scenario."</t>
  </si>
  <si>
    <t>{   "Answer": "B",   "Explain": "Two hours after a laparoscopic cholecystectomy, the patient is receiving IV PCA with morphine, which can cause hypoventilation. Additionally, the patient's obesity can also contribute to hypoventilation. The patient's SpO2 is 90% on room air, which is not significantly low, but it is still a cause for concern. The alveolar gas equation demonstrates that hypoventilation alone is sufficient to cause arterial hypoxemia in a patient breathing room air. Therefore, the most likely cause of her hypoxemia is hypoventilation, which is supported by the patient's obesity and the use of morphine."</t>
  </si>
  <si>
    <t>{   "Answer": A,   "Explain": "In pressure support ventilation, pressure support breaths are triggered by a decrease in airway pressure, which means that the ventilator senses a drop in airway pressure and delivers a preset tidal volume to help the patient breathe more easily." }</t>
  </si>
  <si>
    <t>{   "Answer": B,   "Explain": "B. ECG synchronization is the best strategy to prevent ventricular dysrhythmias in a patient undergoing extracorporeal shock wave lithotripsy. According to the provided context, shock waves in ESWL are timed with the patient's heart rate and are triggered by the R wave on the patient's electrocardiogram, thus minimizing the risk of cardiac dysrhythmias."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</si>
  <si>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</si>
  <si>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</si>
  <si>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not the appropriate choice as it is an opioid antagonist and would worsen the patient's pain. Flumazenil is a benzodiazepine receptor antagonist and would not address the patient's pain. Ketorolac is a nonsteroidal anti-inflammatory drug (NSAID) that can be used for pain management, making it the most appropriate choice for this patient's symptoms."</t>
  </si>
  <si>
    <t>{   "Answer": "B",   "Explain": "Normal saline is the most appropriate initial management for a 68-year-old woman with primary hyperparathyroidism and a serum calcium concentration of 15 mg/dL. This is because hypercalcemia can cause dehydration, and normal saline can help to replenish fluids and electrolytes. Additionally, normal saline can help to dilute the serum calcium levels, which can help to alleviate symptoms such as muscle weakness, fatigue, and confusion."</t>
  </si>
  <si>
    <t>{   "Answer": "C",   "Explain": "The caffeine-halothane contracture test has the highest sensitivity and specificity for predicting the likelihood of developing malignant hyperthermia, making it the most reliable test for identifying patients at risk of developing this condition." }</t>
  </si>
  <si>
    <t>{   "Answer": "C",   "Explain": "Vasoconstriction is the most effective physiologic mechanism for maintaining body temperature in an adult patient with mild hypothermia anesthetized with 1 MAC of isoflurane. This is because vasoconstriction reduces heat loss through radiation, convection, conduction, and evaporation, thereby helping to maintain body temperature." }</t>
  </si>
  <si>
    <t>{   "Answer": "A",   "Explain": "Flumazenil has a relatively short duration of action of about 20 minutes, which means that the patient may still be sedated even after 1 hour, and it is not safe to send the patient home without proper observation." }</t>
  </si>
  <si>
    <t>{   "Answer": "B",   "Explain": "According to the context, patient position is the most important factor in determining the block height, and it is stated that 'patient position is the most important factor in determining the block height. Position should not affect the spread of a truly isobaric solution.'" }</t>
  </si>
  <si>
    <t>{   "Answer": "B",   "Explain": "Administration of furosemide is the most appropriate management strategy for the patient's pulmonary edema. The patient's SpO2 is 80% despite breathing 100% O2, indicating a need for further intervention to improve oxygenation. Furosemide is a diuretic that can help to reduce fluid overload and improve lung compliance, which may help to improve the patient's oxygenation and overall respiratory status."</t>
  </si>
  <si>
    <t>{   "Answer": "B",   "Explain": "The patient's sudden development of nausea, diaphoresis, and sharp pain in the left shoulder 45 minutes after the start of the procedure suggests that the most likely cause is bladder perforation. This is because the symptoms are not typical of angina pectoris, and the sensory level of spinal anesthesia is not high enough to cause such symptoms."</t>
  </si>
  <si>
    <t>{   "Answer": "C",   "Explain": "The patient's SpO2 decreased from 99% to 90% and the partial pressure of ETCO2 increased from 38 to 43 mmHg. This suggests that the endotracheal tube may not be in the trachea, which is a possible cause of hypoxemia. The other options, CO2 embolus and compression of the vena cava, are less likely causes of the patient's symptoms." }</t>
  </si>
  <si>
    <t>{   "Answer": "B",   "Explain": "Two hours after a laparoscopic cholecystectomy, the patient is receiving IV PCA with morphine, which can cause respiratory depression and hypoventilation. Additionally, the patient's obesity can also contribute to hypoventilation. The patient's SpO2 is 90% on room air, which is within the normal range, but it is still possible that the patient is hypoventilating. The alveolar gas equation shows that hypoventilation alone can cause arterial hypoxemia in a patient breathing room air, even with normal lungs. Therefore, the most likely cause of the patient's hypoxemia is hypoventilation, which is option B."</t>
  </si>
  <si>
    <t>{   "Answer": "B",   "Explain": "To satisfy the increased metabolic demand of the myocardium, the increased coronary perfusion pressure is necessary. When the heart rate increases, the duration of diastole decreases, which reduces the time available for coronary blood flow. Therefore, a higher coronary perfusion pressure is needed to maintain adequate oxygen delivery to the myocardium." }</t>
  </si>
  <si>
    <t>{   "Answer": B,   "Explain": "B. ECG synchronization is the best strategy to prevent ventricular dysrhythmias in a patient undergoing extracorporeal shock wave lithotripsy. The text states that shock waves in ESWL are timed with the patient's heart rate and are triggered by the R wave on the patient's electrocardiogram, thus minimizing the risk of cardiac dysrhythmias."</t>
  </si>
  <si>
    <t>{   Answer: "A",   "Explain": "Compared with a semiclosed circle system, a Bain circuit exhibits less rebreathing of CO2. This is because the fresh gas supply in a Bain circuit is delivered at the patient's end, whereas in a semiclosed circle system, the fresh gas supply is delivered at the Y-piece, allowing for rebreathing of exhaled gases." }</t>
  </si>
  <si>
    <t>{   "Answer": "C",   "Explain": "The capnograph waveform shows a sudden drop in end-tidal CO2 (ETCO2) from point A to point B, indicating a mismatching of ventilation and perfusion in the lungs. This is more likely to occur when a patient is in the lateral decubitus position, which can cause a mismatching of ventilation and perfusion in the lungs due to the dependent lung being more ventilated than the non-dependent lung." }</t>
  </si>
  <si>
    <t>{   "Answer": "B",   "Explain": "The patient had a rash with past administration of penicillin, indicating a penicillin allergy. Cefazolin is a cephalosporin antibiotic, which is structurally similar to penicillin. Therefore, it is not a suitable choice for this patient. Hydrocortisone, on the other hand, is a corticosteroid that can be used to treat allergic reactions, including anaphylaxis, which may occur in patients with a penicillin allergy. Therefore, administering hydrocortisone followed by cefazolin is the most appropriate course of action."</t>
  </si>
  <si>
    <t>{   "Answer": "C",   "Explain": "According to the context, hyperthermia is one of the factors that can cause a rightward shift in the oxyhemoglobin dissociation curve, which improves unloading of oxygen." }</t>
  </si>
  <si>
    <t>{   "Answer": B,   "Explain": "In clinical hypothyroidism, myocardial contractility is decreased, which is a characteristic feature of this condition. Therefore, option B is the most likely to be decreased in a patient with clinical hypothyroidism."</t>
  </si>
  <si>
    <t>{   "Answer": "B",   "Explain": "Methohexital is more likely to be associated with longer seizure duration when used for electroconvulsive therapy compared to propofol, as stated in the text: 'Further increases in dose result in lengthening periods of suppression interspersed with periods of activity (burst suppression) as the drug dose is increased. The preceding information notwithstanding, no convincing reports indicate epileptogenesis in subjects who are neurologically normal, and the use of etomidate need not be restricted on this basis. In fact, etomidate has been used to control refractory status epilepticus. However, systematic studies in humans, although identifying the occurrence of occasional dystonic and choreiform movements, have failed to confirm propofol as a proconvulsant. Furthermore, ECT seizures were shorter after induction with propofol than after induction with methohexital, which is more consistent with an anticonvulsant effect.'" }</t>
  </si>
  <si>
    <t>{   "Answer": "C",   "Explain": "A new IV anesthetic is found to have a very large volume of distribution. This means that the drug is highly soluble in tissue relative to blood or plasma, which is characteristic of a drug with low plasma protein binding. This is because a large volume of distribution indicates that the drug is not tightly bound to plasma proteins, allowing it to distribute more freely in the body." }</t>
  </si>
  <si>
    <t>{   "Answer": "A",   "Explain": "Gagging that occurs during awake intubation is best prevented by local anesthetic block of the superior laryngeal nerve." }</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</si>
  <si>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a subsequent loss of heat. As a result, the body's natural thermoregulatory mechanisms, such as vasoconstriction, are impaired, leading to a reduction in core temperature."</t>
  </si>
  <si>
    <t>{   "Answer": "A",   "Explain": "The patient's SpO2 decreased from 98% to 84% and then improved to 92% when the FiO2 was increased to 1.0. This suggests that the patient's hypoxemia was caused by a lack of oxygen in the alveoli, which was corrected by increasing the FiO2. This is consistent with the diagnosis of decreased FRC, which is a common cause of hypoxemia in the post-anesthesia care unit." }</t>
  </si>
  <si>
    <t>{   Answer: "B",   "Explain": "The patient has complete anesthesia in the median, radial, and ulnar nerve distributions after a supraclavicular block, which suggests that the phrenic nerve block has occurred. To address this, an intercostobrachial block would be the next step to provide additional anesthesia to the affected area."</t>
  </si>
  <si>
    <t>{   "Answer": B,   "Explain": "A decrease in O2 analyzer reading from 50% to 30% is likely caused by accumulation of water on the O2 sensor membrane. This is because the O2 sensor is prone to water accumulation, which can lead to a decrease in its sensitivity and accuracy. The other options, a leak in the ventilator bellows and the O2 analyzer being in the expiratory limb, are less likely causes of a decrease in O2 analyzer reading." }</t>
  </si>
  <si>
    <t>{   "Answer": "A",   "Explain": "Fentanyl's greater lipid solubility is the most likely explanation for its decreased duration of action compared to an IV dose of morphine. This is because fentanyl's high lipid solubility allows it to quickly cross the blood-brain barrier and reach its site of action in the brain, resulting in a rapid onset of effect. However, this also means that it is quickly distributed to peripheral tissues and metabolized, leading to a shorter duration of action." }</t>
  </si>
  <si>
    <t>{   "Answer": "B",   "Explain": "Pulse oximetry accurately reflects SaO2 in the presence of carboxyhemoglobinemia because carboxyhemoglobin has an absorbance of light that is markedly similar to oxyhemoglobin, leading to falsely high SpO2 readings." }</t>
  </si>
  <si>
    <t>{   "Answer": "C",   "Explain": "Nitrous oxide has a lower blood gas solubility compared to desflurane, which means it is more easily absorbed into the bloodstream and therefore equilibrates with alveolar and inspired concentrations more rapidly." }</t>
  </si>
  <si>
    <t>{   "Answer": "A",   "Explain": "The primary purpose of denitrogenation prior to anesthetic induction is to improve matching of ventilation and perfusion. This is because denitrogenation increases the time period the patient can safely be apneic, allowing for a smoother transition from spontaneous breathing to controlled ventilation during anesthesia induction." }</t>
  </si>
  <si>
    <t>{   "Answer": B,   "Explain": "Aphonia is the most likely postoperative finding in a patient who sustains an injury to the left recurrent laryngeal nerve during thyroidectomy, as bilateral recurrent laryngeal nerve trauma can cause stridor and laryngeal obstruction as a result of unopposed adduction of the vocal cords and closure of the glottic aperture, leading to a complete loss of voice."</t>
  </si>
  <si>
    <t xml:space="preserve"> </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</si>
  <si>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</si>
  <si>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</si>
  <si>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</si>
  <si>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</si>
  <si>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</si>
  <si>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"For an operation at the medial aspect of the lower leg, the tibial nerve block is the most likely choice. This is because the tibial nerve is responsible for innervation of the medial aspect of the leg, and blocking it would provide adequate anesthesia for the area."</t>
  </si>
  <si>
    <t>{   "Answer": "C",   "Explain": "Naloxone is not suitable for this patient's pain, as it is an opioid antagonist and would likely worsen the patient's pain. Flumazenil is a benzodiazepine antagonist and would not be effective in treating pain. Ketorolac is a nonsteroidal anti-inflammatory drug (NSAID) that is commonly used for pain management, and it would be the most appropriate choice for this patient's pain."</t>
  </si>
  <si>
    <t>{   "Answer": "B",   "Explain": "Normal saline is the most appropriate initial management for a 68-year-old woman with primary hyperparathyroidism and a serum calcium concentration of 15 mg/dL. This is because the patient has severe hypercalcemia, which can cause a range of symptoms including nausea, vomiting, and abdominal pain. Normal saline can help to correct the electrolyte imbalance and reduce the severity of the hypercalcemia, making it a crucial initial step in managing the patient's condition."</t>
  </si>
  <si>
    <t>{   "Answer": "C",   "Explain": "The caffeine-halothane contracture test has the highest sensitivity and specificity for predicting the likelihood of developing malignant hyperthermia, making it the most reliable test." }</t>
  </si>
  <si>
    <t>{   "Answer": "B",   "Explain": "To find the delivered anesthetic concentration, we need to consider the fresh gas flow (5 L/min) and the anesthetic vapor pressure (150 mmHg). The anesthetic concentration is directly proportional to the fresh gas flow and inversely proportional to the fresh gas flow rate. Since the fresh gas flow rate is 5 L/min, the anesthetic concentration will be 0.5% (150 mmHg / 300 mmHg, where 300 mmHg is the total pressure of the fresh gas flow and anesthetic vapor)." }</t>
  </si>
  <si>
    <t>{   "Answer": "C",   "Explain": "Vasoconstriction is the most effective physiologic mechanism for maintaining body temperature in an adult patient with mild hypothermia anesthetized with 1 MAC of isoflurane. This is because vasoconstriction reduces heat loss through radiation, convection, conduction, and evaporation, helping to preserve body heat and maintain normothermia."</t>
  </si>
  <si>
    <t>{   "Answer": "A",   "Explain": "Flumazenil has a relatively short-lived effect, so the patient may still be at risk for recurrent sedation after the initial dose. Therefore, it is recommended to keep the patient hospitalized for observation to ensure their safety and monitor for any signs of recurrent sedation." }</t>
  </si>
  <si>
    <t>{   "Answer": "B",   "Explain": "According to the provided context, patient position is the most important factor in determining the block height, which in turn affects the extent of spread of local anesthetic following subarachnoid block with hyperbaric bupivacaine. The text states that 'patient position is the most important factor in determining the block height' and that 'position should not affect the spread of a truly isobaric solution'. Therefore, patient position is the correct answer."</t>
  </si>
  <si>
    <t>{   "Answer": "B",   "Explain": "Administration of furosemide is the most appropriate management strategy for the 17-year-old boy who developed pulmonary edema after resolution of postoperative laryngospasm. This is because pulmonary edema is a complication of respiratory failure, and furosemide is a diuretic that can help to reduce fluid overload and alleviate respiratory distress." }</t>
  </si>
  <si>
    <t>{   "Answer": "B",   "Explain": "The patient's symptoms of nausea, diaphoresis, and sharp pain in the left shoulder suggest that the most likely cause is bladder perforation, which is a complication of TURP syndrome. The symptoms are not consistent with angina pectoris, and the spinal sensory level is not inadequate, as the patient is experiencing symptoms of pain and discomfort."</t>
  </si>
  <si>
    <t>{   "Answer": "C",   "Explain": "The patient's SpO2 has decreased from 99% to 90% and ETCO2 has increased from 38 to 43 mmHg. The FiO2 is 0.3 and all ventilator settings have been constant. The most likely cause of this is right mainstem endobronchial intubation, which would lead to hypoventilation of the dependent lung and shunting of CO2, resulting in an increase in ETCO2 and a decrease in SpO2."</t>
  </si>
  <si>
    <t>{   "Answer": "B",   "Explain": "The patient's SpO2 is 90% on room air, which is not significantly low. However, the question asks for the most likely cause of her hypoxemia. According to the text, atelectasis and alveolar hypoventilation are the most common causes of transient postoperative arterial hypoxemia in the immediate postoperative period. The patient has undergone laparoscopic cholecystectomy, which may lead to absorption of CO2 from the abdomen. However, the text does not mention this as a common cause of hypoxemia. Therefore, the most likely cause of her hypoxemia is alveolar hypoventilation, which is option B."</t>
  </si>
  <si>
    <t>{   "Answer": "A",   "Explain": "In pressure support ventilation, pressure support breaths are triggered by a decrease in airway pressure, which means that the ventilator will continue to deliver a preset tidal volume at its preset time regardless of the patient's effort." }</t>
  </si>
  <si>
    <t>{   "Answer": B,   "Explain": "To satisfy the increased metabolic demand of the myocardium, the increased coronary perfusion pressure is necessary. As the heart rate increases, the myocardium requires more oxygen to meet its increased metabolic demands. Increased coronary perfusion pressure ensures that the myocardium receives the necessary oxygen supply to meet its increased demands." }</t>
  </si>
  <si>
    <t>{   "Answer": "B",   "Explain": "The prothrombin time (PT) is a test that measures the liver's synthetic function, as it is the liver that synthesizes coagulation factors. The PT is often used to evaluate the synthetic function of the liver, and a prolonged PT can reflect acute liver failure more quickly than can albumin. It is also used to monitor for restoration of hepatic function, often improving before other clinical signs of improvement occur." }</t>
  </si>
  <si>
    <t>{   "Answer": B,   "Explain": "The shock waves in ESWL are timed with the patient's heart rate and are triggered by the R wave on the patient's electrocardiogram. This is done to minimize the risk of cardiac dysrhythmias, making option B, ECG synchronization, the best strategy to prevent ventricular dysrhythmias in a patient undergoing extracorporeal shock wave lithotripsy."</t>
  </si>
  <si>
    <t>{   Answer: "A",   "Explain": "Compared with a semiclosed circle system, a Bain circuit exhibits less rebreathing of CO2 because the fresh gas supply is delivered at the patient's end, rather than at the Y-piece, which allows for more efficient scavenging of waste gases and reduced rebreathing of exhaled gases." }</t>
  </si>
  <si>
    <t>{   "Answer": "C",   "Explain": "The capnograph waveform shows a significant decrease in end-tidal carbon dioxide (ETCO2) between points A and B, indicating that the patient's exhalation of alveolar gas is being compromised. This is likely due to the patient's position in the lateral decubitus position, which can cause mismatching of pulmonary ventilation-to-perfusion and lead to decreased alveolar ventilation and reduced ETCO2 levels."</t>
  </si>
  <si>
    <t>{   "Answer": "B",   "Explain": "The patient has a history of a rash with past administration of penicillin, indicating a penicillin allergy. Therefore, the surgeon should not administer cefazolin, which is a cephalosporin antibiotic related to penicillin. Instead, the anesthesiologist should administer hydrocortisone, a steroid, followed by cefazolin, to reduce the risk of an allergic reaction."</t>
  </si>
  <si>
    <t>{   "Answer": "B",   "Explain": "According to the context, chronic ethanol abuse is one of the factors that decreases MAC (minimum alveolar concentration) of isoflurane. This means that patients with a history of chronic ethanol abuse may require a higher concentration of isoflurane to achieve the same level of anesthesia as a patient without such a history."</t>
  </si>
  <si>
    <t>{   "Answer": "A",   "Explain": "Bupivacaine's primary toxic effect on the cardiovascular system is the blockade of norepinephrine release, which can lead to decreased cardiac contractility and blood pressure." }</t>
  </si>
  <si>
    <t>{   "Answer": C,   "Explain": "Hyperthermia causes a shift of the oxyhemoglobin dissociation curve to the right, which means that at a given partial pressure of oxygen, the hemoglobin is less likely to be saturated with oxygen. This is because the increased body temperature increases the affinity of hemoglobin for oxygen, making it more difficult for oxygen to bind to hemoglobin and be released to the tissues."</t>
  </si>
  <si>
    <t>{   "Answer": "B",   "Explain": "In a patient with clinical hypothyroidism, myocardial contractility is likely to be decreased, leading to decreased peripheral vascular tone and blood pressure. This is because hypothyroidism can cause decreased cardiac output and peripheral vasodilation, leading to decreased blood pressure." }</t>
  </si>
  <si>
    <t>{   "Answer": "B",   "Explain": "According to the context, propofol is more likely to be associated with longer seizure duration when used for electroconvulsive therapy. The document states that 'propofol should be used cautiously in small doses as seizures may portend cardiovascular toxicity that might be augmented by propofol's cardiovascular depression'."</t>
  </si>
  <si>
    <t>{   "Answer": "A",   "Explain": "Etomidate does not cause enhanced activity of the GABA receptor. According to the context, propofol and ketamine are both known to enhance the activity of the GABA receptor, but etomidate is not mentioned as having this effect." }</t>
  </si>
  <si>
    <t>{   "Answer": "B",   "Explain": "According to the provided context, the CO2 absorber is misplaced in the circle system. The correct placement of the CO2 absorber is between the expiratory valve and the patient, as stated in the text: 'The expiratory valve prevents rebreathing by not allowing flow to bypass the CO2 absorber.' In the given illustration, the CO2 absorber is not shown in this position, indicating that it is misplaced."</t>
  </si>
  <si>
    <t>{   "Answer": "C",   "Explain": "A new IV anesthetic is found to have a very large volume of distribution. This means that the drug is highly soluble in tissue relative to blood or plasma, which is characteristic of a low plasma protein binding. Therefore, the most likely property of this drug is low plasma protein binding."</t>
  </si>
  <si>
    <t>{   "Answer": "C",   "Explain": "Succinylcholine has the longest duration of action in a patient with renal failure because it is primarily eliminated through a non-renal pathway, whereas other muscle relaxants like neostigmine, rocuronium, and vecuronium rely on renal excretion for elimination." }</t>
  </si>
  <si>
    <t>{   "Answer": B,   "Explain": "Instillation of local anesthetic into the trachea via the cricothyroid membrane is most likely to block the internal branch of the superior laryngeal nerve, which provides sensory input from the lower pharynx and the upper part of the larynx, including the glottic surface of the epiglottis and the aryepiglottic folds." }</t>
  </si>
  <si>
    <t>{   "Answer": "A",   "Explain": "Gagging that occurs during awake intubation is BEST prevented by local anesthetic block of the superior laryngeal nerve, which is the afferent component of the gag reflex." }</t>
  </si>
  <si>
    <t>{   "Answer": "A",   "Explain": "Ablation of thermoregulatory vasoconstriction is the most likely explanation for the initial reduction in core temperature during general anesthesia. This is because general anesthesia causes a loss of thermoregulatory control, leading to a decrease in vasoconstriction and a subsequent increase in heat loss from the core to the periphery." }</t>
  </si>
  <si>
    <t>{   "Answer": "A",   "Explain": "The patient's SpO2 decreased from 98% to 84% and then improved to 92% when the FiO2 was increased to 1.0. This suggests that the patient's hypoxemia was caused by a lack of oxygen in the alveoli, which was corrected by increasing the FiO2. This is consistent with the diagnosis of decreased FRC, which is a common cause of hypoxemia in the post-anesthesia care unit (PACU)." }</t>
  </si>
  <si>
    <t>{   Answer: "B",   "Explain": "The patient has complete anesthesia in the median, radial, and ulnar nerve distributions after a supraclavicular block, which suggests that the phrenic nerve block has occurred. To address this, an intercostobrachial block is the next step, as it is the nerve that provides cutaneous innervation of the medial upper arm at the T2 dermatome, which is affected by the phrenic nerve block."</t>
  </si>
  <si>
    <t>{   "Answer": "A",   "Explain": "After a single dose of propofol, the primary mechanism responsible for emergence is redistribution. Propofol is rapidly distributed from the central compartment to peripheral tissues, leading to a rapid decrease in plasma concentrations and a subsequent decrease in its effects on the body." }</t>
  </si>
  <si>
    <t>{   "Answer": B,   "Explain": "A decrease in O2 analyzer reading from 50% to 30% is likely caused by the accumulation of water on the O2 sensor membrane. This is because the O2 sensor is not designed to handle high humidity and can be affected by water accumulation, leading to a decrease in its accuracy and sensitivity." }</t>
  </si>
  <si>
    <t>{   "Answer": "A",   "Explain": "Fentanyl has a greater lipid solubility than morphine, which allows it to rapidly equilibrate to the effect site, leading to a shorter duration of action." }</t>
  </si>
  <si>
    <t>{   "Answer": "A",   "Explain": "The standard error of the mean shows the precision of the sample mean as an estimate of the population mean. It represents the amount of random variation in the sample mean, and it is used to construct confidence intervals and perform hypothesis testing." }</t>
  </si>
  <si>
    <t>{   "Answer": "C",   "Explain": "A patient with a fasting blood glucose of 100 mg/dL is receiving a 4-hour general anesthetic for repair of tendon lacerations. The patient is not diabetic and is not taking any medications that would affect glucose levels. The patient is not experiencing any signs of hypoglycemia or hyperglycemia. Therefore, it is likely that the patient's blood glucose level will remain stable and may even decrease slightly due to the fasting state and the anesthetic. Therefore, the most likely expected blood glucose concentration on emergence is mild hypoglycemia (C)."</t>
  </si>
  <si>
    <t>{   "Answer": "C",   "Explain": "Ranitidine is an H2 antagonist that increases gastric pH while decreasing gastric volume, making it a suitable answer choice." }</t>
  </si>
  <si>
    <t>{   "Answer": "C",   "Explain": "Nitrous oxide has a lower blood gas solubility compared to desflurane, which means it can diffuse out of the blood and into the lungs more quickly, resulting in a more rapid equilibration of alveolar and inspired concentrations." }</t>
  </si>
  <si>
    <t>{   "Answer": "A",   "Explain": "The primary purpose of denitrogenation prior to anesthetic induction is to improve matching of ventilation and perfusion. When the patient is breathing room air, the lungs are already partially denitrogenated. Preoxygenation aims to further denitrogenate the functional residual capacity (FRC) to increase the time period the patient can safely be apneic, thereby reducing the risk of hypoxemia during the apnea that accompanies the induction of anesthesia."</t>
  </si>
  <si>
    <t>{   "Answer": "B",   "Explain": "A 32-year-old woman sustains an injury to the left recurrent laryngeal nerve during thyroidectomy. Unilateral recurrent laryngeal nerve injury often goes unnoticed because of compensatory overadduction of the uninvolved cord. However, we often test vocal cord function before and after this operation by asking the patient to say 'e' or'moon.' Unilateral nerve injury is characterized by hoarseness, whereas aphonia characterizes bilateral nerve injury. In this case, the patient is more likely to experience aphonia due to the injury to the left recurrent laryngeal nerve, making option B, Aphonia, the most likely postoperative finding."</t>
  </si>
  <si>
    <t>{   "Answer": A,   "Explain": "A normal mixed venous O2 tension in a normal adult after breathing 100% O2 for 10 minutes is expected to be around 45 mmHg. This is because the body's tissues and organs are still using up oxygen at a normal rate, and the increased oxygen in the blood is being delivered to the tissues and organs. The mixed venous O2 tension is a measure of the average O2 saturation of the blood returning from the body to the right heart, and it is influenced by the balance between global oxygen delivery and global oxygen uptake." }</t>
  </si>
  <si>
    <t>{   "Answer": "A",   "Explain": "According to the provided context, flumazenil has a very rapid clearance and short elimination half-life, which is stated as 'about 1 hour—it is the shortest lived of all benzodiazepines used in anesthetic practice.' This makes it the shortest elimination half-life among the given options, making choice A, flumazenil, the correct answer."</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</si>
  <si>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</si>
  <si>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</si>
  <si>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a femoral or saphenous nerve blockade is the most likely nerve to be blocked, as it innervates the medial leg and can be performed in addition to a popliteal nerve block to improve tourniquet tolerance and for surgery that involves the medial aspect of the leg." }</t>
  </si>
  <si>
    <t>{   "Answer": C,   "Explain": "Since the patient developed right upper quadrant abdominal pain and nausea 30 minutes after receiving premedication with morphine and midazolam, the most appropriate therapy for this patient's pain is ketorolac, a nonsteroidal anti-inflammatory drug (NSAID)." }</t>
  </si>
  <si>
    <t>{   "Answer": "B",   "Explain": "IV administration of normal saline is the most appropriate initial management for a 68-year-old woman with primary hyperparathyroidism and a serum calcium concentration of 15 mg/dL. This is because hyperparathyroidism can cause dehydration and electrolyte imbalances, and normal saline will help to replace lost fluids and electrolytes, thereby addressing these potential underlying issues." }</t>
  </si>
  <si>
    <t>{   "Answer": "C",   "Explain": "The caffeine-halothane contracture test has the highest sensitivity and specificity for predicting the likelihood of developing malignant hyperthermia, according to the provided text. This test involves testing the skeletal muscle biopsy in vitro for isometric contracture in response to exposure to caffeine or halothane or both."</t>
  </si>
  <si>
    <t>{   "Answer": "A",   "Explain": "The partial pressure of the anesthetic in the vaporizer is 150 mmHg, and the fresh gas flow is 5 L/min. The resulting delivered anesthetic concentration can be calculated as: (150 mmHg / 760 mmHg) x 100% = 19.7% inhaled agent. However, the question states that the desired delivered concentration is 0.25%, which is approximately 1/40th of the calculated value. It is reasonable to assume that the vaporizer is set at 1/40th of the maximum setting, so the correct answer is 0.25%."</t>
  </si>
  <si>
    <t>{   Answer: "C",   "Explain": "Vasoconstriction is the most effective physiologic mechanism for maintaining body temperature in a patient with mild hypothermia undergoing anesthesia, as it helps to reduce heat loss through the skin and maintain warmth internally." }</t>
  </si>
  <si>
    <t>{ "Answer": "A", "Explain": "Flumazenil has a short duration of action of only about 20 minutes, which requires that the patient be closely monitored after sedation reversal to ensure they do not experience recurring sedation, and therefore, the patient should remain hospitalized for observation." }</t>
  </si>
  <si>
    <t>{   "Answer": "C",   "Explain": "The total dose of drug is the most important factor that exerts the greatest effect on the extent of spread of local anesthetic following subarachnoid block with hyperbaric bupivacaine." }</t>
  </si>
  <si>
    <t>{   "Answer": "B",   "Explain": "The patient is experiencing pulmonary edema after resolution of postoperative laryngospasm. Given SpO2 of 80% while breathing 100% O2, the patient is likely suffering from hypoxemia. Treating hypoxemia with furosemide, a diuretic, may help improve peripheral oxygen availability and reduce pulmonary vascular resistance, which can help improve pulmonary edema." }</t>
  </si>
  <si>
    <t>{ "Answer": "B", "Explain": "The patient suddenly developed nausea, diaphoresis, and sharp pain in the left shoulder 45 minutes after the start of the procedure, which is an unlikely scenario for angina pectoris (A) or inadequate spinal sensory level (C). Bladder perforation (B) is a more plausible explanation, but the symptoms described are more consistent with a more generalizable complication such as TURP syndrome, which is indeed a complication of TURP procedure." }</t>
  </si>
  <si>
    <t>{   "Answer": C,   "Explain": "The patient's SpO2 has decreased and their ETCO2 has increased, indicating a possible respiratory problem. The fact that the FiO2 is 0.3 and ventilator settings have been constant suggests that the issue is not related to a low inspired oxygen concentration or a mechanical problem with the anesthesia circuit. The most likely cause of the decrease in SpO2 is compression of the vena cava, which is a possible complication of the Trendelenburg position, especially with CO2 insufflation. This is a more plausible explanation compared to a right mainstem endobronchial intubation, which would not be common during diagnostic laparoscopy. Similarly, a CO2 embolus is unlikely given the stable FiO2 and ventilator settings."}</t>
  </si>
  <si>
    <t>{   "Answer": "B",   "Explain": "Because the patient is hypoventilating, which is defined as insufficient breathing or inadequate gas exchange, and because respiratory acidosis as a complication of anesthesia is relatively common, particularly with excessive sedation, partial neuromuscular blockade, intraoperative hypoventilation, etc. The patient's minute ventilation should be dynamically adjusted intraoperatively to maintain etCO2 levels near baseline." }</t>
  </si>
  <si>
    <t>{   "Answer": A,   "Explain": "Pressure support breaths in a patient receiving pressure support ventilation are triggered by a decrease in airway pressure, meaning that when the patient exhales, the machine will sense the decrease in airway pressure and deliver a preset tidal volume to help support the patient's breathing."</t>
  </si>
  <si>
    <t>{   "Answer": "A",   "Explain": "Option A, decreased coronary artery resistance, increases oxygen delivery to the myocardium as coronary perfusion pressure decreases." }</t>
  </si>
  <si>
    <t>{   "Answer": B,   "Explain": "Hepatic synthetic function can also be assessed by measuring the levels of liver-derived coagulation factors. The liver synthesizes coagulation factors in great excess, thus the prothrombin time (PT) will remain normal until significant hepatic impairment occurs. Coagulation factors have shorter half-lives than albumin, ranging from 4 hours for factor VII to 4 days for fibrinogen. Therefore, the prothrombin time (PT) is a more sensitive indicator of impaired synthetic function than the serum albumin concentration." }</t>
  </si>
  <si>
    <t>{ "Answer": B, "Explain": "ESWL is timed with the patient’s heart rate and is triggered by the R wave on the patient's electrocardiogram. The shock waves are subsequently delivered during the refractory period of the heart muscle, thus minimizing the risk of cardiac dysrhythmias." }</t>
  </si>
  <si>
    <t>{     Answer: "A",     "Explain": "A Bain circuit exhibits less rebreathing of CO2 compared with a semiclosed circle system. This is because the fresher gas inflow in a Bain circuit enters the circuit near the patient's end, allowing for more carbon dioxide to be removed from the rebreathed gases."</t>
  </si>
  <si>
    <t>{   "Answer": "C",   "Explain": "The capnograph waveform shows a rapid decline in CO2 levels between point A and point B, which is consistent with patient positioning in the lateral decubitus position. As described in the document, when a patient is placed in the lateral decubitus position, there can be a mismatching of pulmonary ventilation-to-perfusion, leading to a decrease in CO2 levels in the expired air."</t>
  </si>
  <si>
    <t>{ "Answer": B, "Explain": "The patient has a history of penicillin rash, indicating that a cephalosporin antibiotic like cefazolin may not be appropriate for them. Therefore, it is best to administer hydrocortisone first, followed by cefazolin, to ensure the patient does not have an allergic reaction to the antibiotic."</t>
  </si>
  <si>
    <t>{   "Answer": "A",   "Explain": "According to the passage, 'Other factors that increase MAC include acute amphetamine use, cocaine, ephedrine, and chronic alcohol use.' This statement suggests that chronic ethanol abuse decreases MAC, which is the opposite of what is being asked for in the question. Therefore, the correct answer is A, Acute cocaine intoxication." }</t>
  </si>
  <si>
    <t>{   "Answer": "A",   "Explain": "Bupivacaine's primary toxic effect on the cardiovascular system is the blockade of norepinephrine release." }</t>
  </si>
  <si>
    <t>{   "Answer": "C",   "Explain": "According to the context, a right shift of the oxyhemoglobin dissociation curve is caused by hyperthermia, which has been highlighted in a graph and mentioned in the context under the topic 'Factors that shift the oxygen dissociation curve'. This makes option C, Hyperthermia, the most likely answer." }</t>
  </si>
  <si>
    <t>{   "Answer": B,   "Explain": "In hypothyroidism, clinical findings such as tachycardia, muscle wasting, and peripheral neuropathy are decreased. Myocardial contractility and peripheral vascular tone are also decreased, but the effects of this on vital signs are typically not as pronounced as in hyperthyroidism. As a result, myocardial contractility is likely to be decreased in a patient with clinical hypothyroidism, making option B the most likely answer." }</t>
  </si>
  <si>
    <t>{   "Answer": C,   "Explain": "According to the context, propofol has been demonstrated to cause seizures and opisthotonos and has been used to facilitate their induction. While propofol may cause seizures to be shorter in duration, it is generally more readily accessible for immediate administration and should be used cautiously in small doses as seizures may portend cardiovascular toxicity that might be augmented by its cardiovascular depression. Therefore, it is most likely to be associated with longer seizure duration when used for electroconvulsive therapy." }</t>
  </si>
  <si>
    <t>{   "Answer": "B",   "Explain": "Ketamine does not increase the activity of GABA receptors. It is known to produce unconsciousness and analgesia through its unique mechanism of action. It blocks the N-methyl-D-aspartate (NMDA) receptor and releases glutamate, causing an increase in the activity of the brain's default mode network. It is also known to produce its effects through its direct activation of alpha-amino-3-hydroxy-5-methyl-4-isoxazolepropionic acid (AMPA) receptors, which is different from its action on GABA receptors."</t>
  </si>
  <si>
    <t>{   "Answer": "C",   "Explain": "In Figure 22.33, during the early expiratory phase, the inspiratory unidirectional valve is expected to be closed. However, in the diagram, the expiratory valve is open, and the fresh gas inflow is entering the circuit between the expiratory valve and the patient. This is a mismatched component position, therefore the correct answer is C, Expiratory valve."</t>
  </si>
  <si>
    <t>{   "Answer": "C",   "Explain": "A new IV anesthetic is found to have a very large volume of distribution. This means that the anesthetic distributes extensively to peripheral tissues, and hence has a large volume of distribution. The answer that is most likely to have a large volume of distribution is C. Low plasma protein binding, as mentioned in the text, is characterized by the drug being distributed to peripheral tissues, resulting in a large volume of distribution."</t>
  </si>
  <si>
    <t>{   Answer: "C",   "Explain": "According to the provided context, rocunonium is mostly cleared from the plasma through the bile largely unchanged. About 30% of administered rocuronium is excreted renally. Large or repeated doses of rocuronium in patients with renal failure may theoretically produce prolonged effects of the drug, but this has not been seen clinically. Therefore, rocuronium has the longest duration of action among the three options, making it the correct answer." }</t>
  </si>
  <si>
    <t>{   "Answer": C,   "Explain": "Instillation of local anesthetic into the trachea via the cricothyroid membrane blocks the Recurrent Laryngeal Nerve, which provides sensory input from the glottic surface of the epiglottis and the aryepiglottic folds."</t>
  </si>
  <si>
    <t>{   "Answer": "A",   "Explain": "Gagging during awake intubation is best prevented by local anesthetic block of the superior laryngeal nerve, which is responsible for transmitting vagal stimuli to the brain." }</t>
  </si>
  <si>
    <t>{   "Answer": A,   "Explain": "Ablation of thermoregulatory vasoconstriction is the most likely explanation for the initial reduction in core temperature during general anesthesia. When anesthesia is induced, the normal thermoregulatory response to cold temperatures is impaired, leading to a decrease in vasoconstriction and an increase in blood flow to the skin, resulting in heat loss." }</t>
  </si>
  <si>
    <t>{   "Answer": A,   "Explain": "The patient's hypoxemia improved when the FiO2 was increased from 0.5 to 1.0, indicating that decreased FRC could not be the cause of his hypoxemia. Decreased FRC would not worsen with an increased FiO2. The patient's hypoxemia may be due to hyperventilation, as his tidal volume is 350 mL, which may not be enough to perfuse his lungs properly." }</t>
  </si>
  <si>
    <t>{   Answer: "B",   "Explain": "The patient in question has complete anesthesia in the median, radial, and ulnar nerve distributions, which suggests a block of the brachial plexus. Considering that tourniquet inflation is still in progress, it is likely that the phrenic nerve block is not the primary cause of the anesthesia. Therefore, the next step is to perform an intercostobrachial nerve block to augment anesthesia and alleviate any remaining paresthesia or numbness in the medial upper arm."}</t>
  </si>
  <si>
    <t>{   "Answer": "A",   "Explain": "The emergence after a single dose of propofol is primarily due to redistribution from peripheral tissues to the bloodstream. As described in the context, the initial distribution half-life of propofol is 2 to 8 minutes, which means that a significant portion of the administered dose is quickly distributed to the peripheral tissues, causing the plasma concentration to decline rapidly. As the drug redistributes back to the central circulation, the plasma concentration returns to baseline, leading to emergence from anesthesia."</t>
  </si>
  <si>
    <t>{ "Answer": B, "Explain": "A decrease in O2 analyzer reading from 50% to 30% is more likely due to accumulation of water on the O2 sensor membrane, as it takes 30 minutes of stable anesthesia for the sevoflurane to become effective. Water accumulation on the sensor membrane can cause a false low O2 reading, leading to a more likely cause of a decrease in oxygen analyzer reading."</t>
  </si>
  <si>
    <t>{     "Answer": "B",     "Explain": "An induction dose of ketamine is most likely to have a decrease in cerebral metabolic rate because of its NMDA antagonist effects, which increases CBF and CMRO2." }</t>
  </si>
  <si>
    <t>{   "Answer": C,   "Explain": "Fentanyl has a shorter duration of action than morphine because of its rapid redistribution to inactive tissue sites, leading to a rapid decrease in plasma concentration. The shorter elimination half-life of fentanyl also contributes to the shorter duration of action." }</t>
  </si>
  <si>
    <t>{   Answer: "A",   "Explain": "The standard error of the mean shows the precision of a sample mean as an estimate of a population mean. It represents the amount of randomness or luck involved in obtaining a particular sample mean, and it gives a sense of how much the sample mean might be expected to differ from the population mean if the experiment were repeated many times."</t>
  </si>
  <si>
    <t>{   "Answer": "B",   "Explain": "Pulse oximeters may have poorer performance in detecting the presence of carboxyhemoglobin, which has an absorbance of light that is similar to oxyhemoglobin, resulting in falsely high SpO2 readings when carboxyhemoglobin is present in a patient." }</t>
  </si>
  <si>
    <t>{   "Answer": "C",   "Explain": "A blood glucose level of 100 mg/dL is slightly elevated, but still within the normal range. In the absence of other evidence of hyperglycemia, a patient receiving a general anesthetic for a 4-hour procedure is unlikely to have a significant increase in blood glucose levels. A mild degree of hypoglycemia, C, is more likely in this scenario, as the patient is receiving a fasting state for the anesthetic."</t>
  </si>
  <si>
    <t>{ "Answer": "C", "Explain": "Ranitidine, a type of H2 antagonist, increases gastric pH by reducing the production of stomach acid. It also decreases gastric volume by reducing the amount of secreted mucus and inhibiting the release of gastrin, a hormone that stimulates gastric acid production." }</t>
  </si>
  <si>
    <t>{   "Answer": C,   "Explain": "Nitrous oxide has a lower blood gas solubility compared to desflurane, which means it can diffuse out of the blood and into the lungs more quickly. This results in a more rapid equilibration of alveolar and inspired concentrations of nitrous oxide compared to desflurane." }</t>
  </si>
  <si>
    <t>{   "Answer": "A",   "Explain": "Increasing matching of ventilation and perfusion, as denitrogenation prior to anesthetic induction aims to provide a buffer against potential respiratory complications during the induction period by improving the balance between oxygen delivery and consumption."</t>
  </si>
  <si>
    <t>{   "Answer": B,   "Explain": "Since only one recurrent nerve is affected, the patient may present with hoarseness due to unilateral loss of vocal cord abduction along with intact cricothyroid-mediated adduction, causing the affected vocal cord to assume a paramedian position. Hoarseness is not the immediate concern for airway compromise." }</t>
  </si>
  <si>
    <t>{   "Answer": "B",   "Explain": "A normal mixed venous O2 tension in a normal adult after breathing 100% O2 for 10 minutes is around 95 mmHg. According to 'CARDIAC OUTPUT' section, a normal mixed venous PO2 (Pvo2) is 40 mmHg, but the PaO2 after breathing 100% O2 for 10 minutes suggests that the SvO2 value is expected to be above the norm. This is because breathing 100% O2 increases the PaO2, which increases the saturation of the arterial blood. In normal adults, SvO2 values range between 65% to 70%, which translates to a mixed venous oxygen tension of around 75-85 mmHg. Therefore, an expected mixed venous O2 tension after breathing 100% O2 for 10 minutes is around 95 mmHg, which is the closest to the options available."</t>
  </si>
  <si>
    <t>{   "Answer": "A",   "Explain": "According to the documents, flumazenil has a very rapid clearance and short elimination half-life of about 1 hour, making it the drug with the shortest elimination half-life among the given options, A. Lorazepam and midazolam have a longer elimination half-life."</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</si>
  <si>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</si>
  <si>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</si>
  <si>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capnograph waveform shows a sudden drop in end-tidal CO2 (ETCO2) from point A to point B, indicating a mismatching of ventilation and perfusion in the lungs. This is more likely to occur when a patient is in the lateral decubitus position, which can cause a significant mismatching of ventilation and perfusion in the lungs due to the dependent lung being more ventilated than the non-dependent lung." }</t>
  </si>
  <si>
    <t>{   "Answer": "A",   "Explain": "The patient's SpO2 decreased from 98% to 84% and then improved to 92% when the FiO2 was increased to 1.0. This suggests that the patient's hypoxemia was caused by a decrease in alveolar ventilation, which is consistent with alveolar hypoventilation. Alveolar hypoventilation is a common cause of postoperative hypoxemia, especially in older patients, and is often caused by decreased respiratory drive or increased dead space ventilation." }</t>
  </si>
  <si>
    <t>{   "Answer": "C",   "Explain": "Nitrous oxide has a lower blood gas solubility compared to desflurane, which means it is more easily absorbed into the bloodstream and therefore equilibrates with its alveolar and inspired concentrations more rapidly." }</t>
  </si>
  <si>
    <t>{   "Answer": "A",   "Explain": "The primary purpose of denitrogenation prior to anesthetic induction is to improve matching of ventilation and perfusion. When the patient is not breathing, the alveoli are not being ventilated, and the blood in the lungs is not being oxygenated. By denitrogenating the patient's functional residual capacity, the anesthesiologist can increase the time period the patient can safely be apneic, reducing the risk of hypoxemia during the induction of anesthesia."</t>
  </si>
  <si>
    <t>{   "Answer": "B",   "Explain": "A 32-year-old woman sustains an injury to the left recurrent laryngeal nerve during thyroidectomy. This injury can cause hoarseness (unilateral nerve injury) but not aphonia (bilateral nerve injury). Aphonia is characterized by the complete loss of voice, which is not consistent with the unilateral injury described in this scenario. Therefore, the most likely postoperative finding is hoarseness, which is option B."</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</si>
  <si>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</si>
  <si>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</si>
  <si>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"For an operation at the medial aspect of the lower leg, a tibial nerve block is the most likely nerve to be blocked. This is because the tibial nerve is responsible for innervation of the medial aspect of the leg, including the medial aspect of the foot, ankle, and leg." }</t>
  </si>
  <si>
    <t>{   "Answer": "B",   "Explain": "Ketorolac is the most appropriate therapy for the patient's pain. The patient had premedication with morphine and midazolam, and then developed sudden onset of right upper quadrant abdominal pain and nausea 30 minutes later. Ketorolac is a nonsteroidal anti-inflammatory drug (NSAID) that is commonly used for analgesia and is suitable for treating acute pain. Given the patient's current situation, ketorolac would be a reasonable choice to manage their pain."</t>
  </si>
  <si>
    <t>{   "Answer": "B",   "Explain": "Normal saline is the most appropriate initial management for a 68-year-old woman with primary hyperparathyroidism and a serum calcium concentration of 15 mg/dL. According to the text, normal saline is often used to treat hypercalcemia, and the goal is to bring the symptoms under control before surgery and anesthesia."</t>
  </si>
  <si>
    <t>{   "Answer": "C",   "Explain": "The Caffeine-halothane contracture test has the highest sensitivity and specificity for predicting the likelihood of developing malignant hyperthermia. It is a reliable method for identifying individuals with malignant hyperthermia susceptibility, and it is the definitive diagnostic test for this condition." }</t>
  </si>
  <si>
    <t>{   "Answer": "A",   "Explain": "O2 is bubbled through a vaporizer containing an anesthetic with a vapor pressure of 150 mmHg, and this mixture is added to a fresh gas flow of 5 L/min. To find the delivered anesthetic concentration, we need to find the fraction of the fresh gas flow that is actually anesthetic. The volume percent of the anesthetic is equal to the ratio of the vapor pressure of the anesthetic to the total pressure in the vaporizer. Therefore, the volume percent of the anesthetic is 150 mmHg / (150 mmHg + 760 mmHg) = 0.2%. The delivered anesthetic concentration is 0.25%, which is the correct answer."}</t>
  </si>
  <si>
    <t>{   "Answer": "C",   "Explain": "Vasoconstriction is the most effective physiologic mechanism for maintaining body temperature in an adult patient with mild hypothermia who is anesthetized with 1 MAC of isoflurane. This is because vasodilation is a natural response to anesthesia, and vasoconstriction helps to counteract this effect and maintain heat conservation. Additionally, vasoconstriction can also increase the body's ability to rewarm itself, making it a more effective mechanism for maintaining normothermia compared to shivering or nonshivering thermogenesis."</t>
  </si>
  <si>
    <t>{   "Answer": "A",   "Explain": "Midazolam has a longer duration of action than flumazenil, which means that the effects of midazolam may not have fully worn off after 1 hour, making it possible for the patient to relapse into sedation. Flumazenil, on the other hand, has a relatively short-lived effect, and its effects are likely to have already worn off after 1 hour, making it safe for the patient to be sent home."</t>
  </si>
  <si>
    <t>{   "Answer": "B",   "Explain": "According to the context, 'Patient position is the most important factor in determining the block height' (Procedure Factors, Document(metadata={'file_path': '/home/ubuntu/LLM_RAG_ASA/Llama3_bare_model/data/Test_Docs/millers-anesthesia-2-2-9nbsped-9780323612654-9780323612647_compress.pdf','source': '1684', 'total_pages': 3336}, page_content='...') which suggests that patient position has the greatest effect on the extent of spread of local anesthetic following subarachnoid block with hyperbaric bupivacaine."}</t>
  </si>
  <si>
    <t>{   "Answer": "B",   "Explain": "Since the patient has developed pulmonary edema after resolution of postoperative laryngospasm and is hypoxic with an SpO2 of 80% despite receiving 100% O2, the next step in management is to address potential causes of hypoxemia, such as fluid overload. Furosemide, a diuretic, can be used to treat pulmonary edema by increasing urine production and reducing fluid volume. Therefore, administration of furosemide is the most appropriate management strategy at this point."</t>
  </si>
  <si>
    <t>{ "Answer": "B", "Explain": "The patient's sudden development of nausea, diaphoresis, and sharp pain in the left shoulder 45 minutes after the start of the procedure is most likely due to bladder perforation. According to the context, higher sensory levels of spinal anesthesia can mask the symptoms of accidental perforation of the bladder or prostatic capsule in an awake patient."</t>
  </si>
  <si>
    <t>{   "Answer": "C",   "Explain": "Right mainstem endobronchial intubation can cause a rapid decrease in inspired oxygen saturation due to obstruction of the other lung. With FiO2 set at 0.3, the decrease in oxygen saturation from 99% to 90% suggests that the tube may not be properly placed in the trachea." }</t>
  </si>
  <si>
    <t>{   "Answer": "B",   "Explain": "Hypoventilation is the most likely cause of hypoxemia in this patient because even a patient with normal lungs will become hypoxic if they hypoventilate while breathing room air. The patient's minute ventilation increases linearly by approximately 2 L/min for every 1-mm Hg increase in Paco2, and the residual effects of inhaled anesthetics, opioids, and sedative-hypnotics can significantly depress this ventilatory response to carbon dioxide."</t>
  </si>
  <si>
    <t>{   "Answer": A,   "Explain": "In pressure support ventilation, pressure support breaths are triggered by a decrease in airway pressure, meaning that when the patient exhales, the ventilator senses the drop in airway pressure and delivers a preset tidal volume to help the patient meet their respiratory needs."</t>
  </si>
  <si>
    <t>{   "Answer": B,   "Explain": "An increase in heart rate from 60 to 120 bpm will not increase oxygen demand as much as an increase in afterload, preload or increased myocardial contractility. An increase in coronary perfusion pressure would help satisfy the increased metabolic demand of the myocardium during tachycardia."</t>
  </si>
  <si>
    <t>{   "Answer": "B",   "Explain": "Hepatic synthetic function can be assessed by measuring the prothrombin time (PT), which is a marker of liver-derived coagulation factors. The liver synthesizes coagulation factors in great excess, so the PT will remain normal until significant hepatic impairment occurs. Therefore, a prolonged PT can confirm inadequate synthetic hepatic function." }</t>
  </si>
  <si>
    <t>{   "Answer": B,   "Explain": "The question asks which strategy BEST prevents ventricular dysrhythmias in a patient undergoing extracorporeal shock wave lithotripsy. According to the context, 'What are the shock waves timed with during ESWL to avoid cardiac dysrhythmias?' and the answer is 'the R wave on the patient's electrocardiogram.' Therefore, option B, ECG synchronization, is the best answer."</t>
  </si>
  <si>
    <t>{   Answer: A,   "Explain": Compared with a semiclosed circle system, a Bain circuit exhibits less rebreathing of CO2 because it has a coaxial design that allows fresh gas to enter the circuit at the patient's end, preventing the mixing of fresh and expired gases and reducing the likelihood of rebreathing. }</t>
  </si>
  <si>
    <t>{   "Answer": "C",   "Explain": "Patient position can cause the lungs to not be matched in terms of ventilation and perfusion, leading to decreased CO2 in one lung (e.g. in this case, the lung in the supine position)." }</t>
  </si>
  <si>
    <t>{   "Answer": "B",   "Explain": "The patient had a previous rash with penicillin administration, so cefazolin is not an option. Instead, hydrocortisone should be administered before cefazolin to reduce the risk of an allergic reaction. This is a common practice in patients with a history of penicillin allergy." }</t>
  </si>
  <si>
    <t>{   "Answer": "B",   "Explain": "According to the provided context, chronic ethanol abuse is one of the factors that increases MAC. Therefore, it decreases MAC, making option B the correct answer." }</t>
  </si>
  <si>
    <t>{   "Answer": "A",   "Explain": "Bupivacaine is more cardiotoxic than lidocaine because of its ability to depress the rapid phase of depolarization (Vmax) in Purkinje fibers and ventricular muscle to a greater extent, and the slow rate of recovery from a use-dependent block." }</t>
  </si>
  <si>
    <t>{   "Answer": "C",   "Explain": "Hyperthermia causes a rightward shift of the oxyhemoglobin dissociation curve, making it easier for oxygen to bind to hemoglobin and reducing the amount of free oxygen available to tissues. This is in contrast to acidosis and hypercapnia, which cause a leftward shift and make it more difficult for oxygen to bind to hemoglobin." }</t>
  </si>
  <si>
    <t>{   "Answer": B,   "Explain": "In hypothyroidism, there is a decrease in sympathetic nervous system activity, which can lead to a decrease in myocardial contractility. This can further decrease cardiac output and increase peripheral vascular resistance, which may lead to a decrease in blood pressure. Hence, myocardial contractility is decreased in patients with hypothyroidism, making option B the most likely answer."</t>
  </si>
  <si>
    <t>{   "Answer": "B",   "Explain": "According to the context, 'Propofol... should be used cautiously in small doses as seizures may portend cardiovascular toxicity that might be augmented by propofol's cardiovascular depression.' This suggests that seizures associated with the use of propofol can last longer and are more likely to occur with cardiovascular toxicity, making it more likely to be associated with longer seizure duration."</t>
  </si>
  <si>
    <t>{   "Answer": "A",   "Explain": "Etomidate does not cause enhanced activity of the GABA receptor, whereas propofol and ketamine do. Etomidate is a cardiac-stabilizing agent that causes sedation and hypnosis through mechanisms other than activating GABA receptors."</t>
  </si>
  <si>
    <t>{   "Answer": "B",   "Explain": "According to the diagram provided (Fig. 22.32), the CO2 absorber is located in the circle breathing system, which is a critical component that prevents rebreathing of CO2. Therefore, it cannot be misplaced in the circle system."</t>
  </si>
  <si>
    <t>{   "Answer": "C",   "Explain": "A large volume of distribution indicates that the drug distributes itself to many parts of the body, not just the bloodstream. This is due to its high solubility in tissue relative to blood or plasma. A drug with a large volume of distribution, like fentanyl, is likely to have low plasma protein binding, as it is not bound to proteins in the bloodstream, allowing it to distribute itself freely throughout the body." }</t>
  </si>
  <si>
    <t>{ "Answer": "A", "Explain": "Neostigmine has the longest duration of action among the given options. The text states that renal failure increases the elimination half-life of neostigmine by 500% and reduces total plasma clearance. This means that neostigmine would take longer to clear from the system in patients with renal failure, making it the longest-lasting option among the three choices."}</t>
  </si>
  <si>
    <t>{   "Answer": C,   "Explain": "Instillation of local anesthetic into the trachea via the cricothyroid membrane is most likely to block the Recurrent laryngeal nerve." }</t>
  </si>
  <si>
    <t>{ "Answer": "A", "Explain": "Gagging that occurs during awake intubation is BEST prevented by local anesthetic block of the superior laryngeal nerve."</t>
  </si>
  <si>
    <t>{   "Answer": "A",   "Explain": "Anesthesia-induced vasodilation is a primary explanation for the initial reduction in core temperature during general anesthesia. As a result of vasodilation, heat is redistributed from the core to the periphery, leading to a temporary decrease in core temperature." }</t>
  </si>
  <si>
    <t>{   "Answer": "A",   "Explain": "A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The most likely cause of his hypoxemia is alveolar hypoventilation, as a decreased tidal volume and increased dead space ventilation are less likely causes. Alveolar hypoventilation leads to a decreased partial pressure of oxygen in the alveoli, resulting in hypoxemia. Therefore, option A is the most likely cause of his hypoxemia."</t>
  </si>
  <si>
    <t>{   Answer: "B",   "Explain": "The intercostobrachial nerve provides cutaneous innervation of the medial upper arm at the T2 dermatome. Two hours of tourniquet inflation have already been required, and therefore, blocking the T2 dermatome can help decrease tourniquet pain. This makes an intercostobrachial block a suitable choice for further anesthesia." }</t>
  </si>
  <si>
    <t>{   "Answer": "A",   "Explain": "The primary mechanism responsible for emergence after a single dose of propofol is redistribution. According to the document, after a single bolus dose, whole blood propofol levels decrease rapidly as a result of redistribution and elimination (Figure 23.2). The initial distribution half-life of propofol is 2 to 8 minutes, indicating that the drug quickly moves from the bloodstream to peripheral tissues."</t>
  </si>
  <si>
    <t>{   "Answer": "B",   "Explain": "The oxygen analyzer reading has decreased from 50% to 30%. A leak in the ventilator bellows (choice A) or the presence of the O2 analyzer in the expiratory limb (choice C) would not affect the O2 analyzer reading. On the other hand, the oxygen sensor membrane of the O2 analyzer (choice B) could accumulate water, which would lead to an inaccurate reading, resulting in a decrease in the O2 analyzer reading."</t>
  </si>
  <si>
    <t>{   "Answer": "A",   "Explain": "Ketamine, as an induction dose, provides an intense analgesia and amnesia in patients, making it likely to have an effect on the analgesic level."</t>
  </si>
  <si>
    <t>{   "Answer": "A",   "Explain": "Fentanyl's greater lipid solubility is a significant factor contributing to its decreased duration of action compared to an IV dose of morphine. Higher lipid solubility enables fentanyl to quickly and easily cross the blood-brain barrier, which allows for a more rapid onset of effects. However, this same characteristic also results in a shorter duration of action as fentanyl is rapidly redistributed to inactive tissue sites and is cleared from the body more quickly." }</t>
  </si>
  <si>
    <t>{   "Answer": "A",   "Explain": "The standard error of the mean shows the precision of the sample mean as an estimate of the population mean, and it represents the degree of uncertainty associated with that estimate." }</t>
  </si>
  <si>
    <t>{   "Answer": "B",   "Explain": "Pulse oximetry accurately reflects SaO2 in the presence of carboxyhemoglobinemia, as mentioned in page content: '...in a patient with carbon monoxide poisoning, the SpO2 will be falsely elevated'."</t>
  </si>
  <si>
    <t>{   "Answer": "C",   "Explain": "Given that the patient's fasting blood glucose is 100 mg/dL and is receiving a 4-hour general anesthetic for tendon lacerations, it is likely that their blood glucose concentration will not significantly change during the procedure. Therefore, it is reasonable to expect mild hypoglycemia, which is within the normal range for the patient, and option C is the most likely outcome."</t>
  </si>
  <si>
    <t>{     "Answer": "C",     "Explain": "Ranitidine increases gastric pH while decreasing gastric volume, making it a suitable answer among the given options."</t>
  </si>
  <si>
    <t>{   "Answer": "C",   "Explain": "Lower blood gas solubility means that the amount of nitrous oxide dissolved in blood is less, allowing it to be taken up more rapidly and increasing its rate of elimination. This results in alveolar and inspired concentrations of nitrous oxide equilibrating more rapidly than those of desflurane, which has a higher blood gas solubility."</t>
  </si>
  <si>
    <t>{   "Answer": "A",   "Explain": "The primary purpose of denitrogenation prior to anesthetic induction is to increase the oxygen reserve in the functional residual capacity (FRC) of the lungs, allowing the patient to survive longer without breathing before oxygen desaturation occurs during the induction of anesthesia." }</t>
  </si>
  <si>
    <t>{   "Answer": "B",   "Explain": "Bilateral recurrent laryngeal nerve injury is the most likely outcome for a 32-year-old woman who sustained an injury to the left recurrent laryngeal nerve during thyroidectomy. According to the text, bilateral recurrent laryngeal nerve injury causes stridor and laryngeal obstruction due to unopposed adduction of the vocal cords and closure of the glottic aperture, leading to inspiratory airway obstruction, which can be life-threatening."</t>
  </si>
  <si>
    <t>{   "Answer": "A",   "Explain": "Normal mixed venous O2 tension in a normal adult after breathing 100% O2 for 10 minutes is 45 mmHg, as stated in Document #1540. This is because when a person breathes 100% O2, their body is taking in a lot of extra oxygen, which can increase the oxygen content of their mixed venous blood. As a result, the mixed venous O2 tension, which is the average O2 saturation of the blood returning from the body to the right heart, would decrease, resulting in a lower value of 45 mmHg."</t>
  </si>
  <si>
    <t>{   "Answer": "A",   "Explain": "According to the provided context, it is stated that 'About 1 hour—it is the shortest lived of all benzodiazepines used in anesthetic practice. The rapid blood clearance of flumazenil approaches hepatic blood flow, a finding that indicates that liver clearance partially depends on hepatic blood flow.' and 'Compared with other benzodiazepines, flumazenil has a very rapid clearance and short elimination half-life. Only remimazolam has a more rapid clearance and shorter half-life. The plasma half-life of flumazenil is...'. This suggests that flumazenil has the shortest elimination half-life among the options."</t>
  </si>
  <si>
    <r>
      <rPr>
        <rFont val="Arial"/>
        <color theme="1"/>
      </rPr>
      <t>embed_model="</t>
    </r>
    <r>
      <rPr>
        <rFont val="Arial"/>
        <b/>
        <color rgb="FF3D85C6"/>
      </rPr>
      <t>neuml/pubmedbert-base-embeddings</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</si>
  <si>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</si>
  <si>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{"Answer": "C",  "Explain": "The answer is C) Tibial nerve as it seems to be the nerve that is being blocked along the medial aspect of the lower leg. According to the context, 'For procedures that also involve the medial aspect of the leg, the femoral nerve can be blocked, commonly at the adductor canal, at the level of the knee...the saphenous (and) sciatic and peroneal blocks'." As the question asked specifically about blocking along the medial aspect of the lower leg, tibial nerve seems to be the most fitting option, being one of the several branches of the sciatic nerve and providing innervation to the medial part of the leg."}</t>
  </si>
  <si>
    <t>{ "Answer”: C,  "This medication regimen would work best and be most appropriate among the choices listed for immediate administration since morphine and midazolam were involved in pre-procedure premedication. The best selection from A: Flumazenil as inverse agonist, which doesn’t act to counter any given effects of pain. We must rule Naloxone(C), in view, the patient developed right upper quadruple quadrant abdominal.</t>
  </si>
  <si>
    <t>{   "Answer":  "B",   "Explaning": "To restore physiological balance, hydration with isotonic saline is a proper initial management for a patient scheduled to undergo paralysis for primary hyperparathyroidism due to elevated serum calcium levels, indicating IV infusion to decrease elevated serum Ca++. Normal saline could be a safe choice."</t>
  </si>
  <si>
    <t>{     "Answer": C,     "Explain": "Option C- "Caffeine-halothane contracture test". Although all the options can predict malignant hyperthermia susceptibility, this test has the "the definitive diagnosis of a patient\'s susceptibility"."}</t>
  </si>
  <si>
    <t>{   "Answer": B,   "Explain": "To find the delivered anesthetic concentration, first add the constant supply of 100 mL/min of anesthetic mix with 150mm of vapor pressure to the fresh gas flow of 5 L/min making a total of 5.1L/min input flow then since 1% represents approximately 22 ml/min so delivery concentration as a whole in vapor form is: (150/4600 ml/min /18*0.1) *24 is similar percentage of one per cc, 6 *0.5, or half percent. Which corresponds perfectly to Choice B".</t>
  </si>
  <si>
    <t>{   "Answer": "C",   "Explain": "Maintaining patients' intrinsic physiological response to heat loss such as hyperemesis. As hypothermid triggers the shivering reflex which is mediated by cutters to reduce convulsive disorders. When patient’s hypobiosis shivering ceases they could become unconscious and go into shock. Therefore, to prevent this serious medical side. That the shivering reflex occurs is used in certain procedures. For example. They try of anesthesia as an intervention because it can trigger some shivering, the body. "}</t>
  </si>
  <si>
    <t>{   "Answer": "A",    "Explain": Because if the hospital staff is unsure if further sedation recovery has occurred after midazolam, the patient should remain hospitalized for further observation until it's safe to take them home. }</t>
  </si>
  <si>
    <t>{   Answer: "B",   "Explain": "According to patient-centered studies, patient position has been highlighted as most crucially affecting the extension of local anesthetic followed by subaachnoid inject; studies even indicate a significant influence of variations of body positioning and position-based movements."</t>
  </si>
  <si>
    <t>{         "Answer": "C",         "Explain": "The patient is still post-cardioturgical, which can cause residual inflammation, and increasing Fi O2 alone would not resolve his severe hypoxemia. Establishing mechanical ventilation through assisted CPR to maintain a tidal volume of 10% higher than baseline until pulmonary edema reduces fluid shift to the lungs and improving CO2 exchange with air flow restriction is more advisable than increasing ventilation strategies such as inhalation sedation."</t>
  </si>
  <si>
    <t>{\"Answer\": B, "Explain\": \"The patient rapidly developed nausea, diaphoresis and severe painful that suggest a syndrome often caused by the overdose of the localized local anestation or extravisation of irritante solution from the spinal anetal area, known as POUR syndrome; it may also suggest also angle of a blood flow imbalance.\`}</t>
  </si>
  <si>
    <t>{ "Answer": A, "Explain": "Because the patient's endotracheal tube (ETT) was improperly placed resulting in unventanted patient, hence their pneumograph continues to decline with increasing partial pressure of ETCO2; indicating poor mask seal and lack of airflow to patients. As a result, low Oxygen Saturation Percentage is seen (SpO2 - 90%)."</t>
  </si>
  <si>
    <t>{    "Answer": "B",   "Explain': "For two hours after laparoscopic cholecystectomy, a patient receiving IV PCA with morphe, their primary complication of hypo-xia-5'02.</t>
  </si>
  <si>
    <t>{   "Answer": A,   "Explain": "In pressure support ventilation, breaths are triggered when inspiratory pause or patient activation exceeds some percent increase in the predetermined critical sensory information airway resistance as inspired pressure falls. That is, inspired tidal volume must vary inversely with breath-by-breath ( inspirated into the lungs). When a critical portion that must support respiration, which is in turn dependent upon expiratory muscles, as in these instances they're at rest or less active during breathing; instead, this must have already gone from a closed or weak situation. When the inspiration of that inspiratio and is in the latter situation, an air flow greater pressure within the closed system."</t>
  </si>
  <si>
    <t>{   "Answer": B,   "Explain": "After increasing metabolic demand due to increased heart rate, increasing oxygen extraction by the myocardium would not meet the demand because it cannot overcome the limited supply of oxygen. On the other hand, increasing coronary perfusion pressure would help maintain a balance between oxygen supply and demand, making it the most effective way to respond to increased cardiac workload."</t>
  </si>
  <si>
    <t>{     "Answer": "B",     "Explain": "Prethrombin time (PT) is measured as a blood clot, or euglobin lysis and has changed. It measures synththic activities of the liver. Any prolonged prothmbin time in comparison with the  normal value suggests liver impairment even though. However this tests are  not precise or acute change they give insight which of other tests can liver dysfunction by testing factors from  IV into a vessel PT tests reflect activities of proca" }</t>
  </si>
  <si>
    <t>{     "Answer": "B,     Explain: "The desired solution to prevent ventricular dysrhythmias in extracorporeal shockwave lithotropy is (as) the energy source."</t>
  </si>
  <si>
    <t>{    "Answer": B,    "Explain": Compared with a semiclosed circle system, a Bain circuit exhibits the "B." The Bain circuit enables less rebreathing of carbon dioxide.</t>
  </si>
  <si>
    <t>{   Answer: "C",    "Explain": "As stated in Document [23,] when a patient is in the lateral decubitus position, placement of fitted rubber solutions could minimize venous pooling in the lower extremities and ensure a patient undergoing hip surgery is given an ideal position, which does not have any effect at exhalation resulting to (Point A to point E) or have carbon dioxide in their expired gas, instead, resulting to barotrama."</t>
  </si>
  <si>
    <t>{   "Answer": B,   "Explain": "The question asks which action is most suitable to take before administering cefazolin to a 67-year-old post-trauma-pen users patients undergoing orthopedic procedures undergoing femur replacement following cardiac procedures. The main implication of prior treatment was the medication is a case contraindicator to the beta-lactam antibiotic used due to its mechanism and thus Ceph. Since patient's penicillase allergy does present specific situation, The best management would administering 50-100 mg of hydrocortisone. Therefore we administer hydrocortisone followed by c efazolin".</t>
  </si>
  <si>
    <t>[   "Answer":"C",    "Explain": "According to chapter 8-5 millers anesthesia: chronic alkaline intoxication actually decreasees MAC in humans, but hyperhermia doesn't seem to effect it, onotherwise stated. C, therefore, would decrease MAC. I only found some relevant information for answer B, according too millers' An-esthesi-Ology: it has nothing do with decreasing muscle acidity".]</t>
  </si>
  <si>
    <t>{   "Answer": "A",   "Explain": "The primary toxic effect of bupivacaine on the cardiovascular system is the blockade of norepinephrine_release_, which directly leads to a marked decrease in systemic vascular resistance and hypotension.,'"</t>
  </si>
  <si>
    <t>Here is the exact solution  {   Answer: "C",   "Explain": "Hyperthermia shifts the oxyhemoglobin dissociation curve to the right, making more oxygen available and allowing for improved oxygen supply to tissues." }</t>
  </si>
  <si>
    <t>{   "Answer": B,   "Explain": "Per clinical guidelines, clinical hypo-thyroidism is commonly treated before operating treatment and may necessitate modification of other disease treatments. The patient undergo thyroid hormones hormone substitution when thyroid-stimulatory, to stimulate and treat the issue effectively; it’s better practice before surgery than intravitreal inoperatively in an attempt reduce side effects during surgical ana"</t>
  </si>
  <si>
    <t>{   "Answer": C,   "Explain": "According to multiple studies, methohexital and not the other listed options has demonstrated a consistent increased seizeu, as mentioned on page51 of file1.pdf (the first reference under 'infiltrative regional anaesthesia' paragraph) where seizures of considerable durated with its administration after  electroconvolive threpy (1095.pdf).</t>
  </si>
  <si>
    <t>{"Answer": "A", "Explain": "Etomidate, among other listed drugs, does NOT cause enhanced activity of GABA receptor, which is a distinctive feature of ketamine."}  Etetimae</t>
  </si>
  <si>
    <t>{ "Answer": "B", "Explain":  "All the above-mentioned places the CO2 absorber, which should be situated  only after inspiration and between the fresh gas inflow and the Y-shaped junction." } Note: A and C seems unlikely to misplace considering the passages’ flow of breathing circle which, B is clearly highlighted for concern over the positioning with explanation given about one-way valves in the previous page context. One possible error may make by reading only one part the book context so this kind of information doesn't appear at previous given book; This explain was added as step-by-part explanations were asked JSON format. However, all details and passages are from Miller's 1.Anesthesia - Second Asia)</t>
  </si>
  <si>
    <t>{ "type: single-answer", "Aquwer": B, "Lemplation ""A large volume of volume of distribution of the drug does not imply automatically low plasmic protein binding However, such findings were commonly associated woth that because this association made common pharmacodynamic and pharmacohhetic modeling practice and that some clinicians may infer that fentanyl, a large volume of the distribution has little effect on plasma proteins binding.""}\xe2\x91\x95""}\e2" Drug administration should occur for therapeutic benefit"</t>
  </si>
  <si>
    <t>{ _x0001_"Answer": "A", _x0001_"Do you have an elevated likelihood of having issues after a prolonged illness, considering there could be a possible influence of disease on renal excretion of this specific drug?": _x0001_"When studying how diseases can impact renal drug removal has been performed numerous times for medications and is typically done because pharmacokinetics is very important and it has to be studied carefully in diverse circumstances and for patients, in conclusion a study of renal medication disposal in diseaset is vital and it could result. To make clear what we mean then; it is also very hard due that pharmacology can influence, so even.":</t>
  </si>
  <si>
    <t>{     Answer: "B",     Explain: "In patients considered for surgical procedure with localanesthetic at bedside, anesthesia providers performinstalltion procedure, anesthetic medication through crico- throat membrane area (CTM)"  }</t>
  </si>
  <si>
    <t>{          "Answer": "B",          "Explain": "Gagning that occurs during awake intubation is best prevented by local anesthetic block of the glossopharyngeal nerve"       }</t>
  </si>
  <si>
    <t>Answer: "A", "Explain": "During anesthesia induction, many patients' body temperatures are unintentionously decreased resulting to approximately 1-4˚C by intraoperative passive cooling. This rapid decrease in core body temperature also called athermia is due to the effects on cardiovascular factors such as thermoregulatory constriction, with vasodilation and increased heat dispersion away from the core causing the temperature to drop."</t>
  </si>
  <si>
    <t>{   "Answer": "A",   "Explain": "The presence of increased FiO2 to a level where saturation improves (from 84% to 92% before correcting back to an original amount), but ultimately it was increased again before another correction and was stabilized without further changes, but did nothing to raise and maintain the normal range of saturated blood oxygen indicates initial decreased function of tidal volume as a cause of the temporary partial respiratory insufficiency resulting alveolar." }</t>
  </si>
  <si>
    <t>None</t>
  </si>
  <si>
    <t>{   "Action": "1A10 Supraclavicular Block\n2397\nthe more so as very small amounts of local anesthetic (miller@lancetausa.com"). A blockage or compression of only one or another of these nerves would then produce local effects similar but  slightly different; therefore some confusion naturally is possible in case not enough time could have for the anesthesia, and to be  to distinguish and  nerve fibers nerve block, from the action  a block brachial Numbness, tingling numb ness, paraesthesia, paresthesias brachial pain shoulder. Therefore to block nerves it's advisable the other nerves 4,7, median (C. \u0160ember 2022. All rights reserved.', "Explain" "When the desired area of anesthesia are at this point the same problem must not  for \npossible complications from nerve injuries nerve block can  result. It be. Anesthesia with more the to of nerve with be an a block brachial pain be anesthesiologists  with  brachial injury by trauma and with nerve  be with or with no  evidence  brachial anesthesias that the first day day in addition block more than inThe block block\nfrom the subclavin \nblock more of be 4. This nerves at of of be at brachial block from by at from axillary} the one in which nerves and arteries and veins nerve}\nder the brachialexists". They  at this place nerve  of have  are at level\nit are at the and\nit are the The\nThe are The", Answer: {"name of " }, as: \nthe nerve plexuses}. }</t>
  </si>
  <si>
    <t>{   "Answer": "A",   "Explain": "Single doses of propofol lead to very rapid emergence from anesthesia in the form of fast redistribution back into the deep organs."</t>
  </si>
  <si>
    <t>{     Answer: "A",     "Explain": "A leak in the ventilator bellows can result in a decrease of O2 analyzer reading if gas mixtures not intended to support a proper O2 analysis were inadvertently sent to it. Since before this 30-minute observation period, the gases and cylinders used on the anesthesia machine are stable, and there is a possibility of contamination with a different gas, Option A can be the logical starting point when investigating a sudden drop in the O2 analyzer reading." }</t>
  </si>
  <si>
    <t>{   "Answer": "B",   "Explain": "After  a brief contextual analysis of the provided texts associated with general anesthetics, particularly ketamine. Here’s a brief insight into how it will answer this question: An induction dose of ketamine is very  likely to **broadcaster of CBF and CMRO2 increases."}  Please let me know when you would like me stop providing the details and explain if not sufficient further answers.</t>
  </si>
  <si>
    <t>{ "A, "Explain": "Fentanyl has greater lipid solubility,which allows it to quickly equilibrium between plasma and the effect site."</t>
  </si>
  <si>
    <t>{   "Answer": "A",   "Explain": "The standard error of the mean (SED) shows the precision of the sample mean as an estimator of the population mean, capturing the variation expected when repeated Samples are drawn from the same population." }</t>
  </si>
  <si>
    <t>{   "Answer": "B",   "Explain": "The explanation lies in this specific condition only because, according to different parts of the text, it is stipulated carboxyhemoglobin in the subject has an absorbance of light similar to oxyhemoglobin. In that context and this condition (B), it leads directly to inaccurate readings that accurately reflect in the SAO2 and can mistakenly raise arterial oxygensati'</t>
  </si>
  <si>
    <t>{     "Answer": "C",     "Explain": "According to the information, during the period of general anesthesia repair of tendon lacerations patients experience insulin suppression leading to serum glucose levels, given the patient's pre-operatively normal plasma glucose levels the only most logical explanation is that during the anesthesia period there wouldn't precipitant dramatic fluctuations. So the expected postanesthetic glycemia would be close to what the an already stable and controlled blood concentration with some mild drop due to surgery."</t>
  </si>
  <si>
    <t>{   "Answer": C,   "Explain": "Metoclopramide and erythromycin have been used to increase gastric motility and to prevent delayed emptying syndrome due to their gastroudenal prosthetic activity resulting in rapid gastric motility within approximately 1 hour. However, not all the given options fulfill this criteria. Among the choice options presented hereonly Ranitidine, an H2blocker, inhibits both basal acid secretion directly while simultaneously relaxing the muscle fibers, it willdecrease the output of saliva, causing mouth drynessand may inhibit gastrointestinal and liver enzymes. While also reducing the release ofhistamine; while Glycopyrollate and metoprotidine antagonize nicotine; they do have gastrostimulants proprprieties, unlike metoclopramides actionand they prevent relavex, and prevent or reduce pain byrelaxed inactivation. Furthermoremetroclemopriade inhibittesthe central action of histammine release. Hereby selecting the only answer 'C.'" }</t>
  </si>
  <si>
    <t>{ "Answer": c, "Explain": "Because of its lower blood and gas solubility compared to N2O",   Desflurane. That's right! I'd recommend it!)</t>
  </si>
  <si>
    <t>{   Answer: "B',   "Explain": 'The goal after adding nasal tubes to maximize oxygen entry is improving that oxygen flow so it may be absorbed. But it can become difficult to improve even because then 25p%' and also then it could not be done anymore.'').</t>
  </si>
  <si>
    <t>{   "Answer": "B",   "Explain ): A wound caused by a traumatic laryngeal or pharyngealous nerve and tracheoscopic thyroid surgery often experienced that causes hoarseness that is different from an understu." }</t>
  </si>
  <si>
    <t>{   "Answer": "A",   "Explain": A mixed venous PO2 of 47-62 mmHg has several limitations as it not always directly reflects what\'s happening in the peripheral organ. Nevertheless it is a useful measure that indicates the balance between oxyge supply ad oxygen demand and provides info about the functioning of various physiological conditions.  Also Cardiologists regularly monitor mixed-venous saturated oxygen levels as they play an especially strong influence, because that signal coming from within the lung is always 89%\  because.</t>
  </si>
  <si>
    <t>Here is the answer formatted according to the requested format:  {   "Answer": "A",   "Explain": "According to the context, flumazenil has the shortest elimination half-life among the options, which is about 1 hour. It rapidly clearence the liver due to its limited duration. Its metabolic end products were mentioned to have little-to-no pharmacological activity."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</si>
</sst>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vertical="center"/>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4" numFmtId="0" xfId="0" applyAlignment="1" applyFont="1">
      <alignment readingOrder="0"/>
    </xf>
    <xf borderId="0" fillId="0" fontId="3" numFmtId="0" xfId="0" applyAlignment="1" applyFont="1">
      <alignment horizontal="center" readingOrder="0"/>
    </xf>
    <xf borderId="4" fillId="0" fontId="6" numFmtId="0" xfId="0" applyAlignment="1" applyBorder="1" applyFont="1">
      <alignment horizontal="lef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29</v>
      </c>
      <c r="C5" s="14">
        <f t="shared" si="1"/>
        <v>28</v>
      </c>
      <c r="D5" s="14">
        <f t="shared" si="1"/>
        <v>27</v>
      </c>
      <c r="E5" s="14">
        <f t="shared" si="1"/>
        <v>28</v>
      </c>
      <c r="F5" s="14">
        <f t="shared" si="1"/>
        <v>26</v>
      </c>
      <c r="G5" s="14">
        <f t="shared" si="1"/>
        <v>25</v>
      </c>
      <c r="H5" s="14">
        <f t="shared" si="1"/>
        <v>27</v>
      </c>
      <c r="I5" s="14">
        <f t="shared" si="1"/>
        <v>26</v>
      </c>
      <c r="J5" s="14">
        <f t="shared" si="1"/>
        <v>26</v>
      </c>
    </row>
    <row r="6">
      <c r="A6" s="13" t="s">
        <v>14</v>
      </c>
      <c r="B6" s="13">
        <v>46.0</v>
      </c>
      <c r="C6" s="13">
        <v>46.0</v>
      </c>
      <c r="D6" s="13">
        <v>46.0</v>
      </c>
      <c r="E6" s="13">
        <v>46.0</v>
      </c>
      <c r="F6" s="13">
        <v>46.0</v>
      </c>
      <c r="G6" s="13">
        <v>46.0</v>
      </c>
      <c r="H6" s="13">
        <v>46.0</v>
      </c>
      <c r="I6" s="13">
        <v>46.0</v>
      </c>
      <c r="J6" s="13">
        <v>46.0</v>
      </c>
    </row>
    <row r="7">
      <c r="A7" s="15" t="s">
        <v>15</v>
      </c>
      <c r="B7" s="16">
        <f t="shared" ref="B7:J7" si="2">B5/B6</f>
        <v>0.6304347826</v>
      </c>
      <c r="C7" s="16">
        <f t="shared" si="2"/>
        <v>0.6086956522</v>
      </c>
      <c r="D7" s="17">
        <f t="shared" si="2"/>
        <v>0.5869565217</v>
      </c>
      <c r="E7" s="17">
        <f t="shared" si="2"/>
        <v>0.6086956522</v>
      </c>
      <c r="F7" s="17">
        <f t="shared" si="2"/>
        <v>0.5652173913</v>
      </c>
      <c r="G7" s="17">
        <f t="shared" si="2"/>
        <v>0.5434782609</v>
      </c>
      <c r="H7" s="17">
        <f t="shared" si="2"/>
        <v>0.5869565217</v>
      </c>
      <c r="I7" s="17">
        <f t="shared" si="2"/>
        <v>0.5652173913</v>
      </c>
      <c r="J7" s="17">
        <f t="shared" si="2"/>
        <v>0.5652173913</v>
      </c>
      <c r="K7" s="18"/>
    </row>
    <row r="8">
      <c r="A8" s="19">
        <v>1.0</v>
      </c>
      <c r="B8" s="20" t="s">
        <v>16</v>
      </c>
      <c r="C8" s="21" t="s">
        <v>17</v>
      </c>
      <c r="D8" s="22" t="s">
        <v>16</v>
      </c>
      <c r="E8" s="23" t="s">
        <v>17</v>
      </c>
      <c r="F8" s="23" t="s">
        <v>16</v>
      </c>
      <c r="G8" s="23" t="s">
        <v>17</v>
      </c>
      <c r="H8" s="24" t="s">
        <v>16</v>
      </c>
      <c r="I8" s="23" t="s">
        <v>16</v>
      </c>
      <c r="J8" s="23" t="s">
        <v>16</v>
      </c>
    </row>
    <row r="9">
      <c r="A9" s="19">
        <v>2.0</v>
      </c>
      <c r="B9" s="20" t="s">
        <v>17</v>
      </c>
      <c r="C9" s="21" t="s">
        <v>17</v>
      </c>
      <c r="D9" s="25" t="s">
        <v>17</v>
      </c>
      <c r="E9" s="26" t="s">
        <v>17</v>
      </c>
      <c r="F9" s="26" t="s">
        <v>17</v>
      </c>
      <c r="G9" s="26" t="s">
        <v>17</v>
      </c>
      <c r="H9" s="27" t="s">
        <v>17</v>
      </c>
      <c r="I9" s="26" t="s">
        <v>16</v>
      </c>
      <c r="J9" s="26" t="s">
        <v>17</v>
      </c>
    </row>
    <row r="10">
      <c r="A10" s="19">
        <v>3.0</v>
      </c>
      <c r="B10" s="20" t="s">
        <v>17</v>
      </c>
      <c r="C10" s="21" t="s">
        <v>17</v>
      </c>
      <c r="D10" s="25" t="s">
        <v>17</v>
      </c>
      <c r="E10" s="26" t="s">
        <v>17</v>
      </c>
      <c r="F10" s="26" t="s">
        <v>17</v>
      </c>
      <c r="G10" s="26" t="s">
        <v>17</v>
      </c>
      <c r="H10" s="27" t="s">
        <v>17</v>
      </c>
      <c r="I10" s="26" t="s">
        <v>17</v>
      </c>
      <c r="J10" s="26" t="s">
        <v>17</v>
      </c>
    </row>
    <row r="11">
      <c r="A11" s="19">
        <v>4.0</v>
      </c>
      <c r="B11" s="20" t="s">
        <v>17</v>
      </c>
      <c r="C11" s="21" t="s">
        <v>17</v>
      </c>
      <c r="D11" s="25" t="s">
        <v>17</v>
      </c>
      <c r="E11" s="26" t="s">
        <v>17</v>
      </c>
      <c r="F11" s="26" t="s">
        <v>17</v>
      </c>
      <c r="G11" s="26" t="s">
        <v>17</v>
      </c>
      <c r="H11" s="27" t="s">
        <v>17</v>
      </c>
      <c r="I11" s="26" t="s">
        <v>17</v>
      </c>
      <c r="J11" s="26" t="s">
        <v>17</v>
      </c>
    </row>
    <row r="12">
      <c r="A12" s="19">
        <v>5.0</v>
      </c>
      <c r="B12" s="20" t="s">
        <v>17</v>
      </c>
      <c r="C12" s="21" t="s">
        <v>17</v>
      </c>
      <c r="D12" s="25" t="s">
        <v>17</v>
      </c>
      <c r="E12" s="26" t="s">
        <v>17</v>
      </c>
      <c r="F12" s="26" t="s">
        <v>17</v>
      </c>
      <c r="G12" s="26" t="s">
        <v>16</v>
      </c>
      <c r="H12" s="27" t="s">
        <v>17</v>
      </c>
      <c r="I12" s="26" t="s">
        <v>16</v>
      </c>
      <c r="J12" s="26" t="s">
        <v>17</v>
      </c>
    </row>
    <row r="13">
      <c r="A13" s="19">
        <v>6.0</v>
      </c>
      <c r="B13" s="20" t="s">
        <v>17</v>
      </c>
      <c r="C13" s="21" t="s">
        <v>17</v>
      </c>
      <c r="D13" s="25" t="s">
        <v>17</v>
      </c>
      <c r="E13" s="26" t="s">
        <v>17</v>
      </c>
      <c r="F13" s="26" t="s">
        <v>17</v>
      </c>
      <c r="G13" s="26" t="s">
        <v>17</v>
      </c>
      <c r="H13" s="27" t="s">
        <v>17</v>
      </c>
      <c r="I13" s="26" t="s">
        <v>17</v>
      </c>
      <c r="J13" s="26" t="s">
        <v>17</v>
      </c>
    </row>
    <row r="14">
      <c r="A14" s="19">
        <v>7.0</v>
      </c>
      <c r="B14" s="20" t="s">
        <v>17</v>
      </c>
      <c r="C14" s="21" t="s">
        <v>16</v>
      </c>
      <c r="D14" s="25" t="s">
        <v>16</v>
      </c>
      <c r="E14" s="26" t="s">
        <v>16</v>
      </c>
      <c r="F14" s="26" t="s">
        <v>16</v>
      </c>
      <c r="G14" s="26" t="s">
        <v>16</v>
      </c>
      <c r="H14" s="27" t="s">
        <v>16</v>
      </c>
      <c r="I14" s="26" t="s">
        <v>16</v>
      </c>
      <c r="J14" s="26" t="s">
        <v>16</v>
      </c>
    </row>
    <row r="15">
      <c r="A15" s="19">
        <v>8.0</v>
      </c>
      <c r="B15" s="20" t="s">
        <v>17</v>
      </c>
      <c r="C15" s="21" t="s">
        <v>17</v>
      </c>
      <c r="D15" s="25" t="s">
        <v>17</v>
      </c>
      <c r="E15" s="26" t="s">
        <v>17</v>
      </c>
      <c r="F15" s="26" t="s">
        <v>17</v>
      </c>
      <c r="G15" s="26" t="s">
        <v>16</v>
      </c>
      <c r="H15" s="27" t="s">
        <v>17</v>
      </c>
      <c r="I15" s="26" t="s">
        <v>17</v>
      </c>
      <c r="J15" s="26" t="s">
        <v>17</v>
      </c>
    </row>
    <row r="16">
      <c r="A16" s="19">
        <v>9.0</v>
      </c>
      <c r="B16" s="20" t="s">
        <v>17</v>
      </c>
      <c r="C16" s="21" t="s">
        <v>16</v>
      </c>
      <c r="D16" s="25" t="s">
        <v>16</v>
      </c>
      <c r="E16" s="26" t="s">
        <v>16</v>
      </c>
      <c r="F16" s="26" t="s">
        <v>16</v>
      </c>
      <c r="G16" s="26" t="s">
        <v>16</v>
      </c>
      <c r="H16" s="27" t="s">
        <v>16</v>
      </c>
      <c r="I16" s="26" t="s">
        <v>16</v>
      </c>
      <c r="J16" s="26" t="s">
        <v>17</v>
      </c>
    </row>
    <row r="17">
      <c r="A17" s="19">
        <v>10.0</v>
      </c>
      <c r="B17" s="20" t="s">
        <v>17</v>
      </c>
      <c r="C17" s="21" t="s">
        <v>17</v>
      </c>
      <c r="D17" s="25" t="s">
        <v>17</v>
      </c>
      <c r="E17" s="26" t="s">
        <v>17</v>
      </c>
      <c r="F17" s="26" t="s">
        <v>17</v>
      </c>
      <c r="G17" s="26" t="s">
        <v>17</v>
      </c>
      <c r="H17" s="27" t="s">
        <v>17</v>
      </c>
      <c r="I17" s="26" t="s">
        <v>17</v>
      </c>
      <c r="J17" s="26" t="s">
        <v>17</v>
      </c>
    </row>
    <row r="18">
      <c r="A18" s="19">
        <v>11.0</v>
      </c>
      <c r="B18" s="20" t="s">
        <v>17</v>
      </c>
      <c r="C18" s="21" t="s">
        <v>17</v>
      </c>
      <c r="D18" s="25" t="s">
        <v>17</v>
      </c>
      <c r="E18" s="26" t="s">
        <v>17</v>
      </c>
      <c r="F18" s="26" t="s">
        <v>17</v>
      </c>
      <c r="G18" s="26" t="s">
        <v>17</v>
      </c>
      <c r="H18" s="27" t="s">
        <v>17</v>
      </c>
      <c r="I18" s="26" t="s">
        <v>17</v>
      </c>
      <c r="J18" s="26" t="s">
        <v>16</v>
      </c>
    </row>
    <row r="19">
      <c r="A19" s="19">
        <v>12.0</v>
      </c>
      <c r="B19" s="20" t="s">
        <v>17</v>
      </c>
      <c r="C19" s="21" t="s">
        <v>17</v>
      </c>
      <c r="D19" s="25" t="s">
        <v>17</v>
      </c>
      <c r="E19" s="26" t="s">
        <v>17</v>
      </c>
      <c r="F19" s="26" t="s">
        <v>17</v>
      </c>
      <c r="G19" s="26" t="s">
        <v>17</v>
      </c>
      <c r="H19" s="27" t="s">
        <v>17</v>
      </c>
      <c r="I19" s="26" t="s">
        <v>17</v>
      </c>
      <c r="J19" s="26" t="s">
        <v>17</v>
      </c>
    </row>
    <row r="20">
      <c r="A20" s="19">
        <v>13.0</v>
      </c>
      <c r="B20" s="20" t="s">
        <v>17</v>
      </c>
      <c r="C20" s="21" t="s">
        <v>17</v>
      </c>
      <c r="D20" s="25" t="s">
        <v>17</v>
      </c>
      <c r="E20" s="26" t="s">
        <v>17</v>
      </c>
      <c r="F20" s="26" t="s">
        <v>17</v>
      </c>
      <c r="G20" s="26" t="s">
        <v>17</v>
      </c>
      <c r="H20" s="27" t="s">
        <v>17</v>
      </c>
      <c r="I20" s="26" t="s">
        <v>17</v>
      </c>
      <c r="J20" s="26" t="s">
        <v>17</v>
      </c>
    </row>
    <row r="21">
      <c r="A21" s="19">
        <v>14.0</v>
      </c>
      <c r="B21" s="20" t="s">
        <v>16</v>
      </c>
      <c r="C21" s="21" t="s">
        <v>16</v>
      </c>
      <c r="D21" s="25" t="s">
        <v>16</v>
      </c>
      <c r="E21" s="26" t="s">
        <v>16</v>
      </c>
      <c r="F21" s="26" t="s">
        <v>16</v>
      </c>
      <c r="G21" s="26" t="s">
        <v>17</v>
      </c>
      <c r="H21" s="27" t="s">
        <v>16</v>
      </c>
      <c r="I21" s="26" t="s">
        <v>16</v>
      </c>
      <c r="J21" s="26" t="s">
        <v>16</v>
      </c>
    </row>
    <row r="22">
      <c r="A22" s="19">
        <v>15.0</v>
      </c>
      <c r="B22" s="20" t="s">
        <v>17</v>
      </c>
      <c r="C22" s="21" t="s">
        <v>17</v>
      </c>
      <c r="D22" s="25" t="s">
        <v>17</v>
      </c>
      <c r="E22" s="26" t="s">
        <v>17</v>
      </c>
      <c r="F22" s="26" t="s">
        <v>17</v>
      </c>
      <c r="G22" s="26" t="s">
        <v>17</v>
      </c>
      <c r="H22" s="27" t="s">
        <v>17</v>
      </c>
      <c r="I22" s="26" t="s">
        <v>17</v>
      </c>
      <c r="J22" s="26" t="s">
        <v>17</v>
      </c>
    </row>
    <row r="23">
      <c r="A23" s="19">
        <v>16.0</v>
      </c>
      <c r="B23" s="20" t="s">
        <v>17</v>
      </c>
      <c r="C23" s="21" t="s">
        <v>17</v>
      </c>
      <c r="D23" s="25" t="s">
        <v>17</v>
      </c>
      <c r="E23" s="26" t="s">
        <v>17</v>
      </c>
      <c r="F23" s="26" t="s">
        <v>17</v>
      </c>
      <c r="G23" s="26" t="s">
        <v>17</v>
      </c>
      <c r="H23" s="27" t="s">
        <v>17</v>
      </c>
      <c r="I23" s="26" t="s">
        <v>17</v>
      </c>
      <c r="J23" s="26" t="s">
        <v>17</v>
      </c>
    </row>
    <row r="24">
      <c r="A24" s="19">
        <v>17.0</v>
      </c>
      <c r="B24" s="20" t="s">
        <v>16</v>
      </c>
      <c r="C24" s="21" t="s">
        <v>16</v>
      </c>
      <c r="D24" s="25" t="s">
        <v>16</v>
      </c>
      <c r="E24" s="26" t="s">
        <v>16</v>
      </c>
      <c r="F24" s="26" t="s">
        <v>16</v>
      </c>
      <c r="G24" s="26" t="s">
        <v>16</v>
      </c>
      <c r="H24" s="27" t="s">
        <v>16</v>
      </c>
      <c r="I24" s="26" t="s">
        <v>16</v>
      </c>
      <c r="J24" s="26" t="s">
        <v>16</v>
      </c>
    </row>
    <row r="25">
      <c r="A25" s="19">
        <v>18.0</v>
      </c>
      <c r="B25" s="20" t="s">
        <v>17</v>
      </c>
      <c r="C25" s="21" t="s">
        <v>17</v>
      </c>
      <c r="D25" s="25" t="s">
        <v>17</v>
      </c>
      <c r="E25" s="26" t="s">
        <v>17</v>
      </c>
      <c r="F25" s="26" t="s">
        <v>17</v>
      </c>
      <c r="G25" s="26" t="s">
        <v>17</v>
      </c>
      <c r="H25" s="27" t="s">
        <v>17</v>
      </c>
      <c r="I25" s="26" t="s">
        <v>17</v>
      </c>
      <c r="J25" s="26" t="s">
        <v>17</v>
      </c>
    </row>
    <row r="26">
      <c r="A26" s="19">
        <v>19.0</v>
      </c>
      <c r="B26" s="20" t="s">
        <v>16</v>
      </c>
      <c r="C26" s="21" t="s">
        <v>16</v>
      </c>
      <c r="D26" s="25" t="s">
        <v>16</v>
      </c>
      <c r="E26" s="26" t="s">
        <v>16</v>
      </c>
      <c r="F26" s="26" t="s">
        <v>16</v>
      </c>
      <c r="G26" s="26" t="s">
        <v>16</v>
      </c>
      <c r="H26" s="27" t="s">
        <v>16</v>
      </c>
      <c r="I26" s="26" t="s">
        <v>16</v>
      </c>
      <c r="J26" s="26" t="s">
        <v>16</v>
      </c>
    </row>
    <row r="27">
      <c r="A27" s="19">
        <v>20.0</v>
      </c>
      <c r="B27" s="20" t="s">
        <v>16</v>
      </c>
      <c r="C27" s="21" t="s">
        <v>16</v>
      </c>
      <c r="D27" s="25" t="s">
        <v>16</v>
      </c>
      <c r="E27" s="26" t="s">
        <v>16</v>
      </c>
      <c r="F27" s="26" t="s">
        <v>16</v>
      </c>
      <c r="G27" s="26" t="s">
        <v>16</v>
      </c>
      <c r="H27" s="27" t="s">
        <v>16</v>
      </c>
      <c r="I27" s="26" t="s">
        <v>16</v>
      </c>
      <c r="J27" s="26" t="s">
        <v>17</v>
      </c>
    </row>
    <row r="28">
      <c r="A28" s="19">
        <v>21.0</v>
      </c>
      <c r="B28" s="20" t="s">
        <v>16</v>
      </c>
      <c r="C28" s="21" t="s">
        <v>16</v>
      </c>
      <c r="D28" s="25" t="s">
        <v>16</v>
      </c>
      <c r="E28" s="26" t="s">
        <v>16</v>
      </c>
      <c r="F28" s="26" t="s">
        <v>16</v>
      </c>
      <c r="G28" s="26" t="s">
        <v>16</v>
      </c>
      <c r="H28" s="27" t="s">
        <v>16</v>
      </c>
      <c r="I28" s="26" t="s">
        <v>16</v>
      </c>
      <c r="J28" s="26" t="s">
        <v>16</v>
      </c>
    </row>
    <row r="29">
      <c r="A29" s="19">
        <v>22.0</v>
      </c>
      <c r="B29" s="20" t="s">
        <v>17</v>
      </c>
      <c r="C29" s="21" t="s">
        <v>17</v>
      </c>
      <c r="D29" s="25" t="s">
        <v>17</v>
      </c>
      <c r="E29" s="26" t="s">
        <v>17</v>
      </c>
      <c r="F29" s="26" t="s">
        <v>17</v>
      </c>
      <c r="G29" s="26" t="s">
        <v>17</v>
      </c>
      <c r="H29" s="27" t="s">
        <v>17</v>
      </c>
      <c r="I29" s="26" t="s">
        <v>17</v>
      </c>
      <c r="J29" s="26" t="s">
        <v>17</v>
      </c>
    </row>
    <row r="30">
      <c r="A30" s="19">
        <v>23.0</v>
      </c>
      <c r="B30" s="20" t="s">
        <v>17</v>
      </c>
      <c r="C30" s="21" t="s">
        <v>17</v>
      </c>
      <c r="D30" s="25" t="s">
        <v>17</v>
      </c>
      <c r="E30" s="26" t="s">
        <v>17</v>
      </c>
      <c r="F30" s="26" t="s">
        <v>17</v>
      </c>
      <c r="G30" s="26" t="s">
        <v>17</v>
      </c>
      <c r="H30" s="27" t="s">
        <v>17</v>
      </c>
      <c r="I30" s="26" t="s">
        <v>17</v>
      </c>
      <c r="J30" s="26" t="s">
        <v>17</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17</v>
      </c>
      <c r="H32" s="27" t="s">
        <v>16</v>
      </c>
      <c r="I32" s="26" t="s">
        <v>16</v>
      </c>
      <c r="J32" s="26" t="s">
        <v>16</v>
      </c>
    </row>
    <row r="33">
      <c r="A33" s="19">
        <v>26.0</v>
      </c>
      <c r="B33" s="20" t="s">
        <v>16</v>
      </c>
      <c r="C33" s="21" t="s">
        <v>16</v>
      </c>
      <c r="D33" s="25" t="s">
        <v>16</v>
      </c>
      <c r="E33" s="26" t="s">
        <v>16</v>
      </c>
      <c r="F33" s="26" t="s">
        <v>16</v>
      </c>
      <c r="G33" s="26" t="s">
        <v>16</v>
      </c>
      <c r="H33" s="27" t="s">
        <v>16</v>
      </c>
      <c r="I33" s="26" t="s">
        <v>16</v>
      </c>
      <c r="J33" s="26" t="s">
        <v>16</v>
      </c>
    </row>
    <row r="34">
      <c r="A34" s="19">
        <v>27.0</v>
      </c>
      <c r="B34" s="20" t="s">
        <v>17</v>
      </c>
      <c r="C34" s="21" t="s">
        <v>17</v>
      </c>
      <c r="D34" s="25" t="s">
        <v>17</v>
      </c>
      <c r="E34" s="26" t="s">
        <v>17</v>
      </c>
      <c r="F34" s="26" t="s">
        <v>17</v>
      </c>
      <c r="G34" s="26" t="s">
        <v>17</v>
      </c>
      <c r="H34" s="27" t="s">
        <v>17</v>
      </c>
      <c r="I34" s="26" t="s">
        <v>17</v>
      </c>
      <c r="J34" s="26" t="s">
        <v>16</v>
      </c>
    </row>
    <row r="35">
      <c r="A35" s="19">
        <v>28.0</v>
      </c>
      <c r="B35" s="20" t="s">
        <v>16</v>
      </c>
      <c r="C35" s="21" t="s">
        <v>16</v>
      </c>
      <c r="D35" s="25" t="s">
        <v>16</v>
      </c>
      <c r="E35" s="26" t="s">
        <v>16</v>
      </c>
      <c r="F35" s="26" t="s">
        <v>16</v>
      </c>
      <c r="G35" s="26" t="s">
        <v>16</v>
      </c>
      <c r="H35" s="27" t="s">
        <v>16</v>
      </c>
      <c r="I35" s="26" t="s">
        <v>17</v>
      </c>
      <c r="J35" s="26" t="s">
        <v>17</v>
      </c>
    </row>
    <row r="36">
      <c r="A36" s="19">
        <v>29.0</v>
      </c>
      <c r="B36" s="20" t="s">
        <v>17</v>
      </c>
      <c r="C36" s="21" t="s">
        <v>17</v>
      </c>
      <c r="D36" s="25" t="s">
        <v>17</v>
      </c>
      <c r="E36" s="26" t="s">
        <v>17</v>
      </c>
      <c r="F36" s="26" t="s">
        <v>16</v>
      </c>
      <c r="G36" s="26" t="s">
        <v>17</v>
      </c>
      <c r="H36" s="27" t="s">
        <v>17</v>
      </c>
      <c r="I36" s="26" t="s">
        <v>17</v>
      </c>
      <c r="J36" s="26" t="s">
        <v>16</v>
      </c>
    </row>
    <row r="37">
      <c r="A37" s="19">
        <v>30.0</v>
      </c>
      <c r="B37" s="20" t="s">
        <v>16</v>
      </c>
      <c r="C37" s="21" t="s">
        <v>16</v>
      </c>
      <c r="D37" s="25" t="s">
        <v>16</v>
      </c>
      <c r="E37" s="26" t="s">
        <v>16</v>
      </c>
      <c r="F37" s="26" t="s">
        <v>16</v>
      </c>
      <c r="G37" s="26" t="s">
        <v>16</v>
      </c>
      <c r="H37" s="27" t="s">
        <v>16</v>
      </c>
      <c r="I37" s="26" t="s">
        <v>16</v>
      </c>
      <c r="J37" s="26" t="s">
        <v>17</v>
      </c>
    </row>
    <row r="38">
      <c r="A38" s="19">
        <v>31.0</v>
      </c>
      <c r="B38" s="20" t="s">
        <v>16</v>
      </c>
      <c r="C38" s="21" t="s">
        <v>16</v>
      </c>
      <c r="D38" s="25" t="s">
        <v>16</v>
      </c>
      <c r="E38" s="26" t="s">
        <v>16</v>
      </c>
      <c r="F38" s="26" t="s">
        <v>16</v>
      </c>
      <c r="G38" s="26" t="s">
        <v>16</v>
      </c>
      <c r="H38" s="27" t="s">
        <v>16</v>
      </c>
      <c r="I38" s="26" t="s">
        <v>16</v>
      </c>
      <c r="J38" s="26" t="s">
        <v>16</v>
      </c>
    </row>
    <row r="39">
      <c r="A39" s="19">
        <v>32.0</v>
      </c>
      <c r="B39" s="20" t="s">
        <v>17</v>
      </c>
      <c r="C39" s="21" t="s">
        <v>17</v>
      </c>
      <c r="D39" s="25" t="s">
        <v>17</v>
      </c>
      <c r="E39" s="26" t="s">
        <v>17</v>
      </c>
      <c r="F39" s="26" t="s">
        <v>17</v>
      </c>
      <c r="G39" s="26" t="s">
        <v>17</v>
      </c>
      <c r="H39" s="27" t="s">
        <v>17</v>
      </c>
      <c r="I39" s="26" t="s">
        <v>17</v>
      </c>
      <c r="J39" s="26" t="s">
        <v>17</v>
      </c>
    </row>
    <row r="40">
      <c r="A40" s="19">
        <v>33.0</v>
      </c>
      <c r="B40" s="20" t="s">
        <v>17</v>
      </c>
      <c r="C40" s="21" t="s">
        <v>17</v>
      </c>
      <c r="D40" s="25" t="s">
        <v>17</v>
      </c>
      <c r="E40" s="26" t="s">
        <v>17</v>
      </c>
      <c r="F40" s="26" t="s">
        <v>17</v>
      </c>
      <c r="G40" s="26" t="s">
        <v>17</v>
      </c>
      <c r="H40" s="27" t="s">
        <v>17</v>
      </c>
      <c r="I40" s="26" t="s">
        <v>17</v>
      </c>
      <c r="J40" s="26" t="s">
        <v>16</v>
      </c>
    </row>
    <row r="41">
      <c r="A41" s="19">
        <v>34.0</v>
      </c>
      <c r="B41" s="20" t="s">
        <v>17</v>
      </c>
      <c r="C41" s="21" t="s">
        <v>17</v>
      </c>
      <c r="D41" s="25" t="s">
        <v>17</v>
      </c>
      <c r="E41" s="26" t="s">
        <v>17</v>
      </c>
      <c r="F41" s="26" t="s">
        <v>17</v>
      </c>
      <c r="G41" s="26" t="s">
        <v>17</v>
      </c>
      <c r="H41" s="27" t="s">
        <v>17</v>
      </c>
      <c r="I41" s="26" t="s">
        <v>17</v>
      </c>
      <c r="J41" s="26" t="s">
        <v>17</v>
      </c>
    </row>
    <row r="42">
      <c r="A42" s="19">
        <v>35.0</v>
      </c>
      <c r="B42" s="20" t="s">
        <v>17</v>
      </c>
      <c r="C42" s="21" t="s">
        <v>17</v>
      </c>
      <c r="D42" s="25" t="s">
        <v>17</v>
      </c>
      <c r="E42" s="26" t="s">
        <v>17</v>
      </c>
      <c r="F42" s="26" t="s">
        <v>17</v>
      </c>
      <c r="G42" s="26" t="s">
        <v>17</v>
      </c>
      <c r="H42" s="27" t="s">
        <v>17</v>
      </c>
      <c r="I42" s="26" t="s">
        <v>17</v>
      </c>
      <c r="J42" s="26" t="s">
        <v>16</v>
      </c>
    </row>
    <row r="43">
      <c r="A43" s="19">
        <v>36.0</v>
      </c>
      <c r="B43" s="20" t="s">
        <v>17</v>
      </c>
      <c r="C43" s="21" t="s">
        <v>17</v>
      </c>
      <c r="D43" s="25" t="s">
        <v>17</v>
      </c>
      <c r="E43" s="26" t="s">
        <v>17</v>
      </c>
      <c r="F43" s="26" t="s">
        <v>17</v>
      </c>
      <c r="G43" s="26" t="s">
        <v>16</v>
      </c>
      <c r="H43" s="27" t="s">
        <v>17</v>
      </c>
      <c r="I43" s="26" t="s">
        <v>17</v>
      </c>
      <c r="J43" s="26" t="s">
        <v>16</v>
      </c>
    </row>
    <row r="44">
      <c r="A44" s="19">
        <v>37.0</v>
      </c>
      <c r="B44" s="20" t="s">
        <v>17</v>
      </c>
      <c r="C44" s="21" t="s">
        <v>17</v>
      </c>
      <c r="D44" s="25" t="s">
        <v>17</v>
      </c>
      <c r="E44" s="26" t="s">
        <v>17</v>
      </c>
      <c r="F44" s="26" t="s">
        <v>17</v>
      </c>
      <c r="G44" s="26" t="s">
        <v>16</v>
      </c>
      <c r="H44" s="27" t="s">
        <v>17</v>
      </c>
      <c r="I44" s="26" t="s">
        <v>17</v>
      </c>
      <c r="J44" s="26" t="s">
        <v>17</v>
      </c>
    </row>
    <row r="45">
      <c r="A45" s="19">
        <v>38.0</v>
      </c>
      <c r="B45" s="20" t="s">
        <v>17</v>
      </c>
      <c r="C45" s="21" t="s">
        <v>17</v>
      </c>
      <c r="D45" s="25" t="s">
        <v>17</v>
      </c>
      <c r="E45" s="26" t="s">
        <v>17</v>
      </c>
      <c r="F45" s="26" t="s">
        <v>17</v>
      </c>
      <c r="G45" s="26" t="s">
        <v>17</v>
      </c>
      <c r="H45" s="27" t="s">
        <v>17</v>
      </c>
      <c r="I45" s="26" t="s">
        <v>17</v>
      </c>
      <c r="J45" s="26" t="s">
        <v>17</v>
      </c>
    </row>
    <row r="46">
      <c r="A46" s="19">
        <v>39.0</v>
      </c>
      <c r="B46" s="20" t="s">
        <v>16</v>
      </c>
      <c r="C46" s="21" t="s">
        <v>16</v>
      </c>
      <c r="D46" s="25" t="s">
        <v>16</v>
      </c>
      <c r="E46" s="26" t="s">
        <v>16</v>
      </c>
      <c r="F46" s="26" t="s">
        <v>16</v>
      </c>
      <c r="G46" s="26" t="s">
        <v>16</v>
      </c>
      <c r="H46" s="27" t="s">
        <v>16</v>
      </c>
      <c r="I46" s="26" t="s">
        <v>16</v>
      </c>
      <c r="J46" s="26" t="s">
        <v>16</v>
      </c>
    </row>
    <row r="47">
      <c r="A47" s="19">
        <v>40.0</v>
      </c>
      <c r="B47" s="20" t="s">
        <v>16</v>
      </c>
      <c r="C47" s="21" t="s">
        <v>16</v>
      </c>
      <c r="D47" s="25" t="s">
        <v>16</v>
      </c>
      <c r="E47" s="26" t="s">
        <v>16</v>
      </c>
      <c r="F47" s="26" t="s">
        <v>16</v>
      </c>
      <c r="G47" s="26" t="s">
        <v>16</v>
      </c>
      <c r="H47" s="27" t="s">
        <v>16</v>
      </c>
      <c r="I47" s="26" t="s">
        <v>16</v>
      </c>
      <c r="J47" s="26" t="s">
        <v>16</v>
      </c>
    </row>
    <row r="48">
      <c r="A48" s="19">
        <v>41.0</v>
      </c>
      <c r="B48" s="20" t="s">
        <v>17</v>
      </c>
      <c r="C48" s="21" t="s">
        <v>17</v>
      </c>
      <c r="D48" s="25" t="s">
        <v>17</v>
      </c>
      <c r="E48" s="26" t="s">
        <v>17</v>
      </c>
      <c r="F48" s="26" t="s">
        <v>17</v>
      </c>
      <c r="G48" s="26" t="s">
        <v>17</v>
      </c>
      <c r="H48" s="27" t="s">
        <v>17</v>
      </c>
      <c r="I48" s="26" t="s">
        <v>17</v>
      </c>
      <c r="J48" s="26" t="s">
        <v>17</v>
      </c>
    </row>
    <row r="49">
      <c r="A49" s="19">
        <v>42.0</v>
      </c>
      <c r="B49" s="20" t="s">
        <v>16</v>
      </c>
      <c r="C49" s="21" t="s">
        <v>16</v>
      </c>
      <c r="D49" s="25" t="s">
        <v>16</v>
      </c>
      <c r="E49" s="26" t="s">
        <v>16</v>
      </c>
      <c r="F49" s="26" t="s">
        <v>16</v>
      </c>
      <c r="G49" s="26" t="s">
        <v>16</v>
      </c>
      <c r="H49" s="27" t="s">
        <v>16</v>
      </c>
      <c r="I49" s="26" t="s">
        <v>16</v>
      </c>
      <c r="J49" s="26" t="s">
        <v>16</v>
      </c>
    </row>
    <row r="50">
      <c r="A50" s="19">
        <v>43.0</v>
      </c>
      <c r="B50" s="20" t="s">
        <v>16</v>
      </c>
      <c r="C50" s="21" t="s">
        <v>16</v>
      </c>
      <c r="D50" s="25" t="s">
        <v>16</v>
      </c>
      <c r="E50" s="26" t="s">
        <v>16</v>
      </c>
      <c r="F50" s="26" t="s">
        <v>16</v>
      </c>
      <c r="G50" s="26" t="s">
        <v>16</v>
      </c>
      <c r="H50" s="27" t="s">
        <v>16</v>
      </c>
      <c r="I50" s="26" t="s">
        <v>16</v>
      </c>
      <c r="J50" s="26" t="s">
        <v>17</v>
      </c>
    </row>
    <row r="51">
      <c r="A51" s="19">
        <v>44.0</v>
      </c>
      <c r="B51" s="20" t="s">
        <v>16</v>
      </c>
      <c r="C51" s="21" t="s">
        <v>16</v>
      </c>
      <c r="D51" s="25" t="s">
        <v>16</v>
      </c>
      <c r="E51" s="26" t="s">
        <v>16</v>
      </c>
      <c r="F51" s="26" t="s">
        <v>16</v>
      </c>
      <c r="G51" s="26" t="s">
        <v>16</v>
      </c>
      <c r="H51" s="27" t="s">
        <v>16</v>
      </c>
      <c r="I51" s="26" t="s">
        <v>16</v>
      </c>
      <c r="J51" s="26" t="s">
        <v>16</v>
      </c>
    </row>
    <row r="52">
      <c r="A52" s="19">
        <v>45.0</v>
      </c>
      <c r="B52" s="20" t="s">
        <v>17</v>
      </c>
      <c r="C52" s="21" t="s">
        <v>17</v>
      </c>
      <c r="D52" s="25" t="s">
        <v>17</v>
      </c>
      <c r="E52" s="26" t="s">
        <v>17</v>
      </c>
      <c r="F52" s="26" t="s">
        <v>17</v>
      </c>
      <c r="G52" s="26" t="s">
        <v>16</v>
      </c>
      <c r="H52" s="27" t="s">
        <v>17</v>
      </c>
      <c r="I52" s="26" t="s">
        <v>17</v>
      </c>
      <c r="J52" s="26" t="s">
        <v>17</v>
      </c>
    </row>
    <row r="53">
      <c r="A53" s="19">
        <v>46.0</v>
      </c>
      <c r="B53" s="28" t="s">
        <v>17</v>
      </c>
      <c r="C53" s="21" t="s">
        <v>17</v>
      </c>
      <c r="D53" s="29" t="s">
        <v>17</v>
      </c>
      <c r="E53" s="30" t="s">
        <v>17</v>
      </c>
      <c r="F53" s="30" t="s">
        <v>17</v>
      </c>
      <c r="G53" s="30" t="s">
        <v>17</v>
      </c>
      <c r="H53" s="31" t="s">
        <v>17</v>
      </c>
      <c r="I53" s="30" t="s">
        <v>17</v>
      </c>
      <c r="J53" s="30" t="s">
        <v>17</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3">
        <v>31004.0</v>
      </c>
    </row>
    <row r="5" ht="60.0" customHeight="1">
      <c r="A5" s="39">
        <v>2.0</v>
      </c>
      <c r="B5" s="40" t="s">
        <v>39</v>
      </c>
      <c r="C5" s="40" t="s">
        <v>40</v>
      </c>
      <c r="D5" s="40" t="s">
        <v>41</v>
      </c>
      <c r="E5" s="40" t="s">
        <v>42</v>
      </c>
      <c r="F5" s="39" t="str">
        <f t="shared" si="1"/>
        <v>CORRECT</v>
      </c>
      <c r="G5" s="39" t="s">
        <v>37</v>
      </c>
      <c r="H5" s="41" t="s">
        <v>37</v>
      </c>
      <c r="I5" s="42" t="s">
        <v>43</v>
      </c>
      <c r="J5" s="43">
        <v>43162.0</v>
      </c>
    </row>
    <row r="6" ht="60.0" customHeight="1">
      <c r="A6" s="39">
        <v>3.0</v>
      </c>
      <c r="B6" s="40" t="s">
        <v>44</v>
      </c>
      <c r="C6" s="40" t="s">
        <v>45</v>
      </c>
      <c r="D6" s="40" t="s">
        <v>46</v>
      </c>
      <c r="E6" s="40" t="s">
        <v>47</v>
      </c>
      <c r="F6" s="39" t="str">
        <f t="shared" si="1"/>
        <v>CORRECT</v>
      </c>
      <c r="G6" s="39" t="s">
        <v>48</v>
      </c>
      <c r="H6" s="41" t="s">
        <v>48</v>
      </c>
      <c r="I6" s="42" t="s">
        <v>49</v>
      </c>
      <c r="J6" s="43">
        <v>43520.0</v>
      </c>
    </row>
    <row r="7" ht="60.0" customHeight="1">
      <c r="A7" s="39">
        <v>4.0</v>
      </c>
      <c r="B7" s="40" t="s">
        <v>50</v>
      </c>
      <c r="C7" s="40" t="s">
        <v>51</v>
      </c>
      <c r="D7" s="40" t="s">
        <v>52</v>
      </c>
      <c r="E7" s="40" t="s">
        <v>53</v>
      </c>
      <c r="F7" s="39" t="str">
        <f t="shared" si="1"/>
        <v>CORRECT</v>
      </c>
      <c r="G7" s="39" t="s">
        <v>37</v>
      </c>
      <c r="H7" s="41" t="s">
        <v>37</v>
      </c>
      <c r="I7" s="42" t="s">
        <v>54</v>
      </c>
      <c r="J7" s="43">
        <v>23298.0</v>
      </c>
    </row>
    <row r="8" ht="60.0" customHeight="1">
      <c r="A8" s="39">
        <v>5.0</v>
      </c>
      <c r="B8" s="40" t="s">
        <v>55</v>
      </c>
      <c r="C8" s="40" t="s">
        <v>56</v>
      </c>
      <c r="D8" s="40" t="s">
        <v>57</v>
      </c>
      <c r="E8" s="40" t="s">
        <v>58</v>
      </c>
      <c r="F8" s="39" t="str">
        <f t="shared" si="1"/>
        <v>CORRECT</v>
      </c>
      <c r="G8" s="39" t="s">
        <v>48</v>
      </c>
      <c r="H8" s="41" t="s">
        <v>48</v>
      </c>
      <c r="I8" s="42" t="s">
        <v>59</v>
      </c>
      <c r="J8" s="43">
        <v>67183.0</v>
      </c>
    </row>
    <row r="9" ht="60.0" customHeight="1">
      <c r="A9" s="39">
        <v>6.0</v>
      </c>
      <c r="B9" s="40" t="s">
        <v>60</v>
      </c>
      <c r="C9" s="40" t="s">
        <v>61</v>
      </c>
      <c r="D9" s="40" t="s">
        <v>62</v>
      </c>
      <c r="E9" s="40" t="s">
        <v>63</v>
      </c>
      <c r="F9" s="39" t="str">
        <f t="shared" si="1"/>
        <v>CORRECT</v>
      </c>
      <c r="G9" s="39" t="s">
        <v>37</v>
      </c>
      <c r="H9" s="41" t="s">
        <v>37</v>
      </c>
      <c r="I9" s="42" t="s">
        <v>64</v>
      </c>
      <c r="J9" s="43">
        <v>36725.0</v>
      </c>
    </row>
    <row r="10" ht="60.0" customHeight="1">
      <c r="A10" s="39">
        <v>7.0</v>
      </c>
      <c r="B10" s="40" t="s">
        <v>65</v>
      </c>
      <c r="C10" s="40" t="s">
        <v>66</v>
      </c>
      <c r="D10" s="40" t="s">
        <v>67</v>
      </c>
      <c r="E10" s="40" t="s">
        <v>68</v>
      </c>
      <c r="F10" s="39" t="str">
        <f t="shared" si="1"/>
        <v>CORRECT</v>
      </c>
      <c r="G10" s="39" t="s">
        <v>37</v>
      </c>
      <c r="H10" s="41" t="s">
        <v>37</v>
      </c>
      <c r="I10" s="42" t="s">
        <v>69</v>
      </c>
      <c r="J10" s="43">
        <v>29192.0</v>
      </c>
    </row>
    <row r="11" ht="60.0" customHeight="1">
      <c r="A11" s="39">
        <v>8.0</v>
      </c>
      <c r="B11" s="40" t="s">
        <v>70</v>
      </c>
      <c r="C11" s="40" t="s">
        <v>71</v>
      </c>
      <c r="D11" s="40" t="s">
        <v>72</v>
      </c>
      <c r="E11" s="40" t="s">
        <v>73</v>
      </c>
      <c r="F11" s="39" t="str">
        <f t="shared" si="1"/>
        <v>CORRECT</v>
      </c>
      <c r="G11" s="39" t="s">
        <v>48</v>
      </c>
      <c r="H11" s="41" t="s">
        <v>48</v>
      </c>
      <c r="I11" s="42" t="s">
        <v>74</v>
      </c>
      <c r="J11" s="43">
        <v>44460.0</v>
      </c>
    </row>
    <row r="12" ht="60.0" customHeight="1">
      <c r="A12" s="39">
        <v>9.0</v>
      </c>
      <c r="B12" s="40" t="s">
        <v>75</v>
      </c>
      <c r="C12" s="40" t="s">
        <v>76</v>
      </c>
      <c r="D12" s="40" t="s">
        <v>77</v>
      </c>
      <c r="E12" s="40" t="s">
        <v>78</v>
      </c>
      <c r="F12" s="39" t="str">
        <f t="shared" si="1"/>
        <v>CORRECT</v>
      </c>
      <c r="G12" s="39" t="s">
        <v>37</v>
      </c>
      <c r="H12" s="43" t="s">
        <v>37</v>
      </c>
      <c r="I12" s="42" t="s">
        <v>79</v>
      </c>
      <c r="J12" s="43">
        <v>25184.0</v>
      </c>
    </row>
    <row r="13" ht="60.0" customHeight="1">
      <c r="A13" s="39">
        <v>10.0</v>
      </c>
      <c r="B13" s="40" t="s">
        <v>80</v>
      </c>
      <c r="C13" s="40" t="s">
        <v>81</v>
      </c>
      <c r="D13" s="40" t="s">
        <v>82</v>
      </c>
      <c r="E13" s="40" t="s">
        <v>83</v>
      </c>
      <c r="F13" s="39" t="str">
        <f t="shared" si="1"/>
        <v>CORRECT</v>
      </c>
      <c r="G13" s="39" t="s">
        <v>48</v>
      </c>
      <c r="H13" s="41" t="s">
        <v>48</v>
      </c>
      <c r="I13" s="42" t="s">
        <v>84</v>
      </c>
      <c r="J13" s="43">
        <v>42268.0</v>
      </c>
    </row>
    <row r="14" ht="60.0" customHeight="1">
      <c r="A14" s="39">
        <v>11.0</v>
      </c>
      <c r="B14" s="40" t="s">
        <v>85</v>
      </c>
      <c r="C14" s="40" t="s">
        <v>86</v>
      </c>
      <c r="D14" s="40" t="s">
        <v>87</v>
      </c>
      <c r="E14" s="40" t="s">
        <v>88</v>
      </c>
      <c r="F14" s="39" t="str">
        <f t="shared" si="1"/>
        <v>CORRECT</v>
      </c>
      <c r="G14" s="39" t="s">
        <v>37</v>
      </c>
      <c r="H14" s="41" t="s">
        <v>37</v>
      </c>
      <c r="I14" s="42" t="s">
        <v>89</v>
      </c>
      <c r="J14" s="43">
        <v>44918.0</v>
      </c>
    </row>
    <row r="15" ht="60.0" customHeight="1">
      <c r="A15" s="39">
        <v>12.0</v>
      </c>
      <c r="B15" s="40" t="s">
        <v>90</v>
      </c>
      <c r="C15" s="40" t="s">
        <v>91</v>
      </c>
      <c r="D15" s="40" t="s">
        <v>92</v>
      </c>
      <c r="E15" s="40" t="s">
        <v>93</v>
      </c>
      <c r="F15" s="39" t="str">
        <f t="shared" si="1"/>
        <v>CORRECT</v>
      </c>
      <c r="G15" s="39" t="s">
        <v>48</v>
      </c>
      <c r="H15" s="41" t="s">
        <v>48</v>
      </c>
      <c r="I15" s="42" t="s">
        <v>94</v>
      </c>
      <c r="J15" s="43">
        <v>58440.0</v>
      </c>
    </row>
    <row r="16" ht="60.0" customHeight="1">
      <c r="A16" s="39">
        <v>13.0</v>
      </c>
      <c r="B16" s="40" t="s">
        <v>95</v>
      </c>
      <c r="C16" s="40" t="s">
        <v>96</v>
      </c>
      <c r="D16" s="40" t="s">
        <v>97</v>
      </c>
      <c r="E16" s="40" t="s">
        <v>98</v>
      </c>
      <c r="F16" s="39" t="str">
        <f t="shared" si="1"/>
        <v>CORRECT</v>
      </c>
      <c r="G16" s="39" t="s">
        <v>36</v>
      </c>
      <c r="H16" s="43" t="s">
        <v>36</v>
      </c>
      <c r="I16" s="42" t="s">
        <v>99</v>
      </c>
      <c r="J16" s="43">
        <v>27070.0</v>
      </c>
    </row>
    <row r="17" ht="60.0" customHeight="1">
      <c r="A17" s="39">
        <v>14.0</v>
      </c>
      <c r="B17" s="40" t="s">
        <v>100</v>
      </c>
      <c r="C17" s="40" t="s">
        <v>101</v>
      </c>
      <c r="D17" s="40" t="s">
        <v>102</v>
      </c>
      <c r="E17" s="40" t="s">
        <v>103</v>
      </c>
      <c r="F17" s="39" t="str">
        <f t="shared" si="1"/>
        <v>WRONG</v>
      </c>
      <c r="G17" s="39" t="s">
        <v>36</v>
      </c>
      <c r="H17" s="41" t="s">
        <v>48</v>
      </c>
      <c r="I17" s="42" t="s">
        <v>104</v>
      </c>
      <c r="J17" s="43">
        <v>30328.0</v>
      </c>
    </row>
    <row r="18" ht="60.0" customHeight="1">
      <c r="A18" s="39">
        <v>15.0</v>
      </c>
      <c r="B18" s="40" t="s">
        <v>105</v>
      </c>
      <c r="C18" s="40" t="s">
        <v>106</v>
      </c>
      <c r="D18" s="40" t="s">
        <v>107</v>
      </c>
      <c r="E18" s="40" t="s">
        <v>108</v>
      </c>
      <c r="F18" s="39" t="str">
        <f t="shared" si="1"/>
        <v>CORRECT</v>
      </c>
      <c r="G18" s="39" t="s">
        <v>48</v>
      </c>
      <c r="H18" s="41" t="s">
        <v>48</v>
      </c>
      <c r="I18" s="42" t="s">
        <v>109</v>
      </c>
      <c r="J18" s="43">
        <v>38780.0</v>
      </c>
    </row>
    <row r="19" ht="60.0" customHeight="1">
      <c r="A19" s="39">
        <v>16.0</v>
      </c>
      <c r="B19" s="40" t="s">
        <v>110</v>
      </c>
      <c r="C19" s="40" t="s">
        <v>111</v>
      </c>
      <c r="D19" s="40" t="s">
        <v>112</v>
      </c>
      <c r="E19" s="40" t="s">
        <v>113</v>
      </c>
      <c r="F19" s="39" t="str">
        <f t="shared" si="1"/>
        <v>CORRECT</v>
      </c>
      <c r="G19" s="39" t="s">
        <v>48</v>
      </c>
      <c r="H19" s="41" t="s">
        <v>48</v>
      </c>
      <c r="I19" s="42" t="s">
        <v>114</v>
      </c>
      <c r="J19" s="43">
        <v>26285.0</v>
      </c>
    </row>
    <row r="20" ht="60.0" customHeight="1">
      <c r="A20" s="39">
        <v>17.0</v>
      </c>
      <c r="B20" s="40" t="s">
        <v>115</v>
      </c>
      <c r="C20" s="40" t="s">
        <v>116</v>
      </c>
      <c r="D20" s="40" t="s">
        <v>117</v>
      </c>
      <c r="E20" s="40" t="s">
        <v>118</v>
      </c>
      <c r="F20" s="39" t="str">
        <f t="shared" si="1"/>
        <v>WRONG</v>
      </c>
      <c r="G20" s="39" t="s">
        <v>37</v>
      </c>
      <c r="H20" s="41" t="s">
        <v>36</v>
      </c>
      <c r="I20" s="42" t="s">
        <v>119</v>
      </c>
      <c r="J20" s="43">
        <v>29299.0</v>
      </c>
    </row>
    <row r="21" ht="60.0" customHeight="1">
      <c r="A21" s="39">
        <v>18.0</v>
      </c>
      <c r="B21" s="40" t="s">
        <v>120</v>
      </c>
      <c r="C21" s="40" t="s">
        <v>121</v>
      </c>
      <c r="D21" s="40" t="s">
        <v>122</v>
      </c>
      <c r="E21" s="40" t="s">
        <v>123</v>
      </c>
      <c r="F21" s="39" t="str">
        <f t="shared" si="1"/>
        <v>CORRECT</v>
      </c>
      <c r="G21" s="39" t="s">
        <v>37</v>
      </c>
      <c r="H21" s="43" t="s">
        <v>37</v>
      </c>
      <c r="I21" s="42" t="s">
        <v>124</v>
      </c>
      <c r="J21" s="43">
        <v>37646.0</v>
      </c>
    </row>
    <row r="22" ht="60.0" customHeight="1">
      <c r="A22" s="39">
        <v>19.0</v>
      </c>
      <c r="B22" s="40" t="s">
        <v>125</v>
      </c>
      <c r="C22" s="40" t="s">
        <v>126</v>
      </c>
      <c r="D22" s="40" t="s">
        <v>127</v>
      </c>
      <c r="E22" s="40" t="s">
        <v>128</v>
      </c>
      <c r="F22" s="39" t="str">
        <f t="shared" si="1"/>
        <v>WRONG</v>
      </c>
      <c r="G22" s="39" t="s">
        <v>36</v>
      </c>
      <c r="H22" s="41" t="s">
        <v>48</v>
      </c>
      <c r="I22" s="42" t="s">
        <v>129</v>
      </c>
      <c r="J22" s="43">
        <v>54253.0</v>
      </c>
    </row>
    <row r="23" ht="60.0" customHeight="1">
      <c r="A23" s="39">
        <v>20.0</v>
      </c>
      <c r="B23" s="40" t="s">
        <v>130</v>
      </c>
      <c r="C23" s="40" t="s">
        <v>131</v>
      </c>
      <c r="D23" s="40" t="s">
        <v>132</v>
      </c>
      <c r="E23" s="40" t="s">
        <v>133</v>
      </c>
      <c r="F23" s="39" t="str">
        <f t="shared" si="1"/>
        <v>WRONG</v>
      </c>
      <c r="G23" s="39" t="s">
        <v>37</v>
      </c>
      <c r="H23" s="43" t="s">
        <v>48</v>
      </c>
      <c r="I23" s="42" t="s">
        <v>134</v>
      </c>
      <c r="J23" s="43">
        <v>20088.0</v>
      </c>
    </row>
    <row r="24" ht="60.0" customHeight="1">
      <c r="A24" s="39">
        <v>21.0</v>
      </c>
      <c r="B24" s="40" t="s">
        <v>135</v>
      </c>
      <c r="C24" s="40" t="s">
        <v>136</v>
      </c>
      <c r="D24" s="40" t="s">
        <v>137</v>
      </c>
      <c r="E24" s="40" t="s">
        <v>138</v>
      </c>
      <c r="F24" s="39" t="str">
        <f t="shared" si="1"/>
        <v>WRONG</v>
      </c>
      <c r="G24" s="39" t="s">
        <v>37</v>
      </c>
      <c r="H24" s="43" t="s">
        <v>36</v>
      </c>
      <c r="I24" s="42" t="s">
        <v>139</v>
      </c>
      <c r="J24" s="43">
        <v>24321.0</v>
      </c>
    </row>
    <row r="25" ht="60.0" customHeight="1">
      <c r="A25" s="39">
        <v>22.0</v>
      </c>
      <c r="B25" s="40" t="s">
        <v>140</v>
      </c>
      <c r="C25" s="40" t="s">
        <v>141</v>
      </c>
      <c r="D25" s="40" t="s">
        <v>142</v>
      </c>
      <c r="E25" s="40" t="s">
        <v>143</v>
      </c>
      <c r="F25" s="39" t="str">
        <f t="shared" si="1"/>
        <v>CORRECT</v>
      </c>
      <c r="G25" s="39" t="s">
        <v>37</v>
      </c>
      <c r="H25" s="41" t="s">
        <v>37</v>
      </c>
      <c r="I25" s="42" t="s">
        <v>144</v>
      </c>
      <c r="J25" s="43">
        <v>23791.0</v>
      </c>
    </row>
    <row r="26" ht="60.0" customHeight="1">
      <c r="A26" s="39">
        <v>23.0</v>
      </c>
      <c r="B26" s="40" t="s">
        <v>145</v>
      </c>
      <c r="C26" s="40" t="s">
        <v>146</v>
      </c>
      <c r="D26" s="40" t="s">
        <v>147</v>
      </c>
      <c r="E26" s="40" t="s">
        <v>148</v>
      </c>
      <c r="F26" s="39" t="str">
        <f t="shared" si="1"/>
        <v>CORRECT</v>
      </c>
      <c r="G26" s="39" t="s">
        <v>48</v>
      </c>
      <c r="H26" s="41" t="s">
        <v>48</v>
      </c>
      <c r="I26" s="42" t="s">
        <v>149</v>
      </c>
      <c r="J26" s="43">
        <v>39863.0</v>
      </c>
    </row>
    <row r="27" ht="60.0" customHeight="1">
      <c r="A27" s="39">
        <v>24.0</v>
      </c>
      <c r="B27" s="40" t="s">
        <v>150</v>
      </c>
      <c r="C27" s="40" t="s">
        <v>151</v>
      </c>
      <c r="D27" s="40" t="s">
        <v>152</v>
      </c>
      <c r="E27" s="40" t="s">
        <v>153</v>
      </c>
      <c r="F27" s="39" t="str">
        <f t="shared" si="1"/>
        <v>WRONG</v>
      </c>
      <c r="G27" s="39" t="s">
        <v>36</v>
      </c>
      <c r="H27" s="41" t="s">
        <v>48</v>
      </c>
      <c r="I27" s="42" t="s">
        <v>154</v>
      </c>
      <c r="J27" s="43">
        <v>56818.0</v>
      </c>
    </row>
    <row r="28" ht="60.0" customHeight="1">
      <c r="A28" s="39">
        <v>25.0</v>
      </c>
      <c r="B28" s="40" t="s">
        <v>155</v>
      </c>
      <c r="C28" s="40" t="s">
        <v>151</v>
      </c>
      <c r="D28" s="40" t="s">
        <v>156</v>
      </c>
      <c r="E28" s="40" t="s">
        <v>153</v>
      </c>
      <c r="F28" s="39" t="str">
        <f t="shared" si="1"/>
        <v>WRONG</v>
      </c>
      <c r="G28" s="39" t="s">
        <v>48</v>
      </c>
      <c r="H28" s="41" t="s">
        <v>36</v>
      </c>
      <c r="I28" s="42" t="s">
        <v>157</v>
      </c>
      <c r="J28" s="43">
        <v>33288.0</v>
      </c>
    </row>
    <row r="29" ht="60.0" customHeight="1">
      <c r="A29" s="39">
        <v>26.0</v>
      </c>
      <c r="B29" s="40" t="s">
        <v>158</v>
      </c>
      <c r="C29" s="40" t="s">
        <v>159</v>
      </c>
      <c r="D29" s="40" t="s">
        <v>160</v>
      </c>
      <c r="E29" s="40" t="s">
        <v>161</v>
      </c>
      <c r="F29" s="39" t="str">
        <f t="shared" si="1"/>
        <v>WRONG</v>
      </c>
      <c r="G29" s="39" t="s">
        <v>36</v>
      </c>
      <c r="H29" s="41" t="s">
        <v>48</v>
      </c>
      <c r="I29" s="42" t="s">
        <v>162</v>
      </c>
      <c r="J29" s="43">
        <v>30141.0</v>
      </c>
    </row>
    <row r="30" ht="60.0" customHeight="1">
      <c r="A30" s="39">
        <v>27.0</v>
      </c>
      <c r="B30" s="40" t="s">
        <v>163</v>
      </c>
      <c r="C30" s="40" t="s">
        <v>164</v>
      </c>
      <c r="D30" s="40" t="s">
        <v>165</v>
      </c>
      <c r="E30" s="40" t="s">
        <v>166</v>
      </c>
      <c r="F30" s="39" t="str">
        <f t="shared" si="1"/>
        <v>CORRECT</v>
      </c>
      <c r="G30" s="39" t="s">
        <v>37</v>
      </c>
      <c r="H30" s="43" t="s">
        <v>37</v>
      </c>
      <c r="I30" s="42" t="s">
        <v>167</v>
      </c>
      <c r="J30" s="43">
        <v>37935.0</v>
      </c>
    </row>
    <row r="31" ht="60.0" customHeight="1">
      <c r="A31" s="39">
        <v>28.0</v>
      </c>
      <c r="B31" s="40" t="s">
        <v>168</v>
      </c>
      <c r="C31" s="40" t="s">
        <v>169</v>
      </c>
      <c r="D31" s="40" t="s">
        <v>170</v>
      </c>
      <c r="E31" s="40" t="s">
        <v>171</v>
      </c>
      <c r="F31" s="39" t="str">
        <f t="shared" si="1"/>
        <v>WRONG</v>
      </c>
      <c r="G31" s="39" t="s">
        <v>36</v>
      </c>
      <c r="H31" s="41" t="s">
        <v>37</v>
      </c>
      <c r="I31" s="42" t="s">
        <v>172</v>
      </c>
      <c r="J31" s="43">
        <v>29279.0</v>
      </c>
    </row>
    <row r="32" ht="60.0" customHeight="1">
      <c r="A32" s="39">
        <v>29.0</v>
      </c>
      <c r="B32" s="40" t="s">
        <v>173</v>
      </c>
      <c r="C32" s="40" t="s">
        <v>174</v>
      </c>
      <c r="D32" s="40" t="s">
        <v>175</v>
      </c>
      <c r="E32" s="40" t="s">
        <v>176</v>
      </c>
      <c r="F32" s="39" t="str">
        <f t="shared" si="1"/>
        <v>CORRECT</v>
      </c>
      <c r="G32" s="39" t="s">
        <v>37</v>
      </c>
      <c r="H32" s="41" t="s">
        <v>37</v>
      </c>
      <c r="I32" s="42" t="s">
        <v>177</v>
      </c>
      <c r="J32" s="43">
        <v>38476.0</v>
      </c>
    </row>
    <row r="33" ht="60.0" customHeight="1">
      <c r="A33" s="39">
        <v>30.0</v>
      </c>
      <c r="B33" s="40" t="s">
        <v>178</v>
      </c>
      <c r="C33" s="40" t="s">
        <v>179</v>
      </c>
      <c r="D33" s="40" t="s">
        <v>180</v>
      </c>
      <c r="E33" s="40" t="s">
        <v>181</v>
      </c>
      <c r="F33" s="39" t="str">
        <f t="shared" si="1"/>
        <v>WRONG</v>
      </c>
      <c r="G33" s="39" t="s">
        <v>48</v>
      </c>
      <c r="H33" s="43" t="s">
        <v>36</v>
      </c>
      <c r="I33" s="42" t="s">
        <v>182</v>
      </c>
      <c r="J33" s="43">
        <v>18889.0</v>
      </c>
    </row>
    <row r="34" ht="60.0" customHeight="1">
      <c r="A34" s="39">
        <v>31.0</v>
      </c>
      <c r="B34" s="40" t="s">
        <v>183</v>
      </c>
      <c r="C34" s="40" t="s">
        <v>184</v>
      </c>
      <c r="D34" s="40" t="s">
        <v>185</v>
      </c>
      <c r="E34" s="40" t="s">
        <v>186</v>
      </c>
      <c r="F34" s="39" t="str">
        <f t="shared" si="1"/>
        <v>WRONG</v>
      </c>
      <c r="G34" s="39" t="s">
        <v>37</v>
      </c>
      <c r="H34" s="41" t="s">
        <v>36</v>
      </c>
      <c r="I34" s="42" t="s">
        <v>187</v>
      </c>
      <c r="J34" s="43">
        <v>40177.0</v>
      </c>
    </row>
    <row r="35" ht="60.0" customHeight="1">
      <c r="A35" s="39">
        <v>32.0</v>
      </c>
      <c r="B35" s="40" t="s">
        <v>188</v>
      </c>
      <c r="C35" s="40" t="s">
        <v>189</v>
      </c>
      <c r="D35" s="40" t="s">
        <v>190</v>
      </c>
      <c r="E35" s="40" t="s">
        <v>191</v>
      </c>
      <c r="F35" s="39" t="str">
        <f t="shared" si="1"/>
        <v>CORRECT</v>
      </c>
      <c r="G35" s="39" t="s">
        <v>36</v>
      </c>
      <c r="H35" s="43" t="s">
        <v>36</v>
      </c>
      <c r="I35" s="42" t="s">
        <v>192</v>
      </c>
      <c r="J35" s="43">
        <v>49732.0</v>
      </c>
    </row>
    <row r="36" ht="60.0" customHeight="1">
      <c r="A36" s="39">
        <v>33.0</v>
      </c>
      <c r="B36" s="40" t="s">
        <v>193</v>
      </c>
      <c r="C36" s="40" t="s">
        <v>194</v>
      </c>
      <c r="D36" s="40" t="s">
        <v>195</v>
      </c>
      <c r="E36" s="40" t="s">
        <v>196</v>
      </c>
      <c r="F36" s="39" t="str">
        <f t="shared" si="1"/>
        <v>CORRECT</v>
      </c>
      <c r="G36" s="39" t="s">
        <v>48</v>
      </c>
      <c r="H36" s="41" t="s">
        <v>48</v>
      </c>
      <c r="I36" s="42" t="s">
        <v>197</v>
      </c>
      <c r="J36" s="43">
        <v>32924.0</v>
      </c>
    </row>
    <row r="37" ht="60.0" customHeight="1">
      <c r="A37" s="39">
        <v>34.0</v>
      </c>
      <c r="B37" s="40" t="s">
        <v>198</v>
      </c>
      <c r="C37" s="40" t="s">
        <v>199</v>
      </c>
      <c r="D37" s="40" t="s">
        <v>200</v>
      </c>
      <c r="E37" s="40" t="s">
        <v>201</v>
      </c>
      <c r="F37" s="39" t="str">
        <f t="shared" si="1"/>
        <v>CORRECT</v>
      </c>
      <c r="G37" s="39" t="s">
        <v>36</v>
      </c>
      <c r="H37" s="41" t="s">
        <v>36</v>
      </c>
      <c r="I37" s="42" t="s">
        <v>202</v>
      </c>
      <c r="J37" s="43">
        <v>27359.0</v>
      </c>
    </row>
    <row r="38" ht="60.0" customHeight="1">
      <c r="A38" s="39">
        <v>35.0</v>
      </c>
      <c r="B38" s="40" t="s">
        <v>203</v>
      </c>
      <c r="C38" s="40" t="s">
        <v>204</v>
      </c>
      <c r="D38" s="40" t="s">
        <v>205</v>
      </c>
      <c r="E38" s="40" t="s">
        <v>206</v>
      </c>
      <c r="F38" s="39" t="str">
        <f t="shared" si="1"/>
        <v>CORRECT</v>
      </c>
      <c r="G38" s="39" t="s">
        <v>48</v>
      </c>
      <c r="H38" s="41" t="s">
        <v>48</v>
      </c>
      <c r="I38" s="42" t="s">
        <v>207</v>
      </c>
      <c r="J38" s="43">
        <v>53440.0</v>
      </c>
    </row>
    <row r="39" ht="60.0" customHeight="1">
      <c r="A39" s="39">
        <v>36.0</v>
      </c>
      <c r="B39" s="40" t="s">
        <v>208</v>
      </c>
      <c r="C39" s="40" t="s">
        <v>209</v>
      </c>
      <c r="D39" s="40" t="s">
        <v>210</v>
      </c>
      <c r="E39" s="40" t="s">
        <v>211</v>
      </c>
      <c r="F39" s="39" t="str">
        <f t="shared" si="1"/>
        <v>CORRECT</v>
      </c>
      <c r="G39" s="39" t="s">
        <v>36</v>
      </c>
      <c r="H39" s="43" t="s">
        <v>36</v>
      </c>
      <c r="I39" s="42" t="s">
        <v>212</v>
      </c>
      <c r="J39" s="43">
        <v>21752.0</v>
      </c>
    </row>
    <row r="40" ht="60.0" customHeight="1">
      <c r="A40" s="39">
        <v>37.0</v>
      </c>
      <c r="B40" s="40" t="s">
        <v>213</v>
      </c>
      <c r="C40" s="40" t="s">
        <v>214</v>
      </c>
      <c r="D40" s="40" t="s">
        <v>215</v>
      </c>
      <c r="E40" s="40" t="s">
        <v>216</v>
      </c>
      <c r="F40" s="39" t="str">
        <f t="shared" si="1"/>
        <v>CORRECT</v>
      </c>
      <c r="G40" s="39" t="s">
        <v>36</v>
      </c>
      <c r="H40" s="43" t="s">
        <v>36</v>
      </c>
      <c r="I40" s="42" t="s">
        <v>217</v>
      </c>
      <c r="J40" s="43">
        <v>21352.0</v>
      </c>
    </row>
    <row r="41" ht="60.0" customHeight="1">
      <c r="A41" s="39">
        <v>38.0</v>
      </c>
      <c r="B41" s="40" t="s">
        <v>218</v>
      </c>
      <c r="C41" s="40" t="s">
        <v>219</v>
      </c>
      <c r="D41" s="40" t="s">
        <v>220</v>
      </c>
      <c r="E41" s="40" t="s">
        <v>221</v>
      </c>
      <c r="F41" s="39" t="str">
        <f t="shared" si="1"/>
        <v>CORRECT</v>
      </c>
      <c r="G41" s="39" t="s">
        <v>36</v>
      </c>
      <c r="H41" s="43" t="s">
        <v>36</v>
      </c>
      <c r="I41" s="42" t="s">
        <v>222</v>
      </c>
      <c r="J41" s="43">
        <v>29857.0</v>
      </c>
    </row>
    <row r="42" ht="60.0" customHeight="1">
      <c r="A42" s="39">
        <v>39.0</v>
      </c>
      <c r="B42" s="40" t="s">
        <v>223</v>
      </c>
      <c r="C42" s="40" t="s">
        <v>224</v>
      </c>
      <c r="D42" s="40" t="s">
        <v>225</v>
      </c>
      <c r="E42" s="40" t="s">
        <v>226</v>
      </c>
      <c r="F42" s="39" t="str">
        <f t="shared" si="1"/>
        <v>WRONG</v>
      </c>
      <c r="G42" s="39" t="s">
        <v>37</v>
      </c>
      <c r="H42" s="43" t="s">
        <v>48</v>
      </c>
      <c r="I42" s="42" t="s">
        <v>227</v>
      </c>
      <c r="J42" s="43">
        <v>29906.0</v>
      </c>
    </row>
    <row r="43" ht="60.0" customHeight="1">
      <c r="A43" s="39">
        <v>40.0</v>
      </c>
      <c r="B43" s="40" t="s">
        <v>228</v>
      </c>
      <c r="C43" s="40" t="s">
        <v>229</v>
      </c>
      <c r="D43" s="40" t="s">
        <v>230</v>
      </c>
      <c r="E43" s="40" t="s">
        <v>231</v>
      </c>
      <c r="F43" s="39" t="str">
        <f t="shared" si="1"/>
        <v>WRONG</v>
      </c>
      <c r="G43" s="39" t="s">
        <v>48</v>
      </c>
      <c r="H43" s="41" t="s">
        <v>37</v>
      </c>
      <c r="I43" s="42" t="s">
        <v>232</v>
      </c>
      <c r="J43" s="43">
        <v>45895.0</v>
      </c>
    </row>
    <row r="44" ht="60.0" customHeight="1">
      <c r="A44" s="39">
        <v>41.0</v>
      </c>
      <c r="B44" s="40" t="s">
        <v>233</v>
      </c>
      <c r="C44" s="40" t="s">
        <v>234</v>
      </c>
      <c r="D44" s="40" t="s">
        <v>235</v>
      </c>
      <c r="E44" s="40" t="s">
        <v>236</v>
      </c>
      <c r="F44" s="39" t="str">
        <f t="shared" si="1"/>
        <v>CORRECT</v>
      </c>
      <c r="G44" s="39" t="s">
        <v>37</v>
      </c>
      <c r="H44" s="41" t="s">
        <v>37</v>
      </c>
      <c r="I44" s="42" t="s">
        <v>237</v>
      </c>
      <c r="J44" s="43">
        <v>30320.0</v>
      </c>
    </row>
    <row r="45" ht="60.0" customHeight="1">
      <c r="A45" s="39">
        <v>42.0</v>
      </c>
      <c r="B45" s="40" t="s">
        <v>238</v>
      </c>
      <c r="C45" s="40" t="s">
        <v>239</v>
      </c>
      <c r="D45" s="40" t="s">
        <v>240</v>
      </c>
      <c r="E45" s="40" t="s">
        <v>241</v>
      </c>
      <c r="F45" s="39" t="str">
        <f t="shared" si="1"/>
        <v>WRONG</v>
      </c>
      <c r="G45" s="39" t="s">
        <v>36</v>
      </c>
      <c r="H45" s="43" t="s">
        <v>37</v>
      </c>
      <c r="I45" s="42" t="s">
        <v>242</v>
      </c>
      <c r="J45" s="43">
        <v>27242.0</v>
      </c>
    </row>
    <row r="46" ht="60.0" customHeight="1">
      <c r="A46" s="39">
        <v>43.0</v>
      </c>
      <c r="B46" s="40" t="s">
        <v>243</v>
      </c>
      <c r="C46" s="40" t="s">
        <v>244</v>
      </c>
      <c r="D46" s="40" t="s">
        <v>245</v>
      </c>
      <c r="E46" s="40" t="s">
        <v>246</v>
      </c>
      <c r="F46" s="39" t="str">
        <f t="shared" si="1"/>
        <v>WRONG</v>
      </c>
      <c r="G46" s="39" t="s">
        <v>48</v>
      </c>
      <c r="H46" s="41" t="s">
        <v>36</v>
      </c>
      <c r="I46" s="42" t="s">
        <v>247</v>
      </c>
      <c r="J46" s="43">
        <v>43878.0</v>
      </c>
    </row>
    <row r="47" ht="60.0" customHeight="1">
      <c r="A47" s="39">
        <v>44.0</v>
      </c>
      <c r="B47" s="40" t="s">
        <v>248</v>
      </c>
      <c r="C47" s="40" t="s">
        <v>249</v>
      </c>
      <c r="D47" s="40" t="s">
        <v>250</v>
      </c>
      <c r="E47" s="40" t="s">
        <v>251</v>
      </c>
      <c r="F47" s="39" t="str">
        <f t="shared" si="1"/>
        <v>WRONG</v>
      </c>
      <c r="G47" s="39" t="s">
        <v>36</v>
      </c>
      <c r="H47" s="41" t="s">
        <v>48</v>
      </c>
      <c r="I47" s="42" t="s">
        <v>252</v>
      </c>
      <c r="J47" s="43">
        <v>51377.0</v>
      </c>
    </row>
    <row r="48" ht="60.0" customHeight="1">
      <c r="A48" s="39">
        <v>45.0</v>
      </c>
      <c r="B48" s="40" t="s">
        <v>253</v>
      </c>
      <c r="C48" s="40" t="s">
        <v>254</v>
      </c>
      <c r="D48" s="40" t="s">
        <v>255</v>
      </c>
      <c r="E48" s="40" t="s">
        <v>256</v>
      </c>
      <c r="F48" s="39" t="str">
        <f t="shared" si="1"/>
        <v>CORRECT</v>
      </c>
      <c r="G48" s="39" t="s">
        <v>36</v>
      </c>
      <c r="H48" s="41" t="s">
        <v>36</v>
      </c>
      <c r="I48" s="42" t="s">
        <v>257</v>
      </c>
      <c r="J48" s="43">
        <v>37952.0</v>
      </c>
    </row>
    <row r="49" ht="60.0" customHeight="1">
      <c r="A49" s="39">
        <v>46.0</v>
      </c>
      <c r="B49" s="40" t="s">
        <v>258</v>
      </c>
      <c r="C49" s="40" t="s">
        <v>40</v>
      </c>
      <c r="D49" s="40" t="s">
        <v>259</v>
      </c>
      <c r="E49" s="40" t="s">
        <v>260</v>
      </c>
      <c r="F49" s="39" t="str">
        <f t="shared" si="1"/>
        <v>CORRECT</v>
      </c>
      <c r="G49" s="39" t="s">
        <v>36</v>
      </c>
      <c r="H49" s="43" t="s">
        <v>36</v>
      </c>
      <c r="I49" s="42" t="s">
        <v>261</v>
      </c>
      <c r="J49" s="43">
        <v>29000.0</v>
      </c>
    </row>
    <row r="50">
      <c r="A50" s="44" t="s">
        <v>262</v>
      </c>
      <c r="B50" s="2"/>
      <c r="C50" s="2"/>
      <c r="D50" s="2"/>
      <c r="E50" s="3"/>
      <c r="F50" s="45">
        <f>COUNTIFS(F4:F49,"CORRECT")</f>
        <v>29</v>
      </c>
      <c r="G50" s="46"/>
      <c r="H50" s="46"/>
      <c r="J50" s="47">
        <f>AVERAGE(J4:J49)</f>
        <v>36044.93478</v>
      </c>
    </row>
    <row r="51">
      <c r="A51" s="48" t="s">
        <v>263</v>
      </c>
      <c r="B51" s="2"/>
      <c r="C51" s="2"/>
      <c r="D51" s="2"/>
      <c r="E51" s="3"/>
      <c r="F51" s="49">
        <v>46.0</v>
      </c>
      <c r="G51" s="46"/>
      <c r="H51" s="46"/>
    </row>
    <row r="52">
      <c r="A52" s="44" t="s">
        <v>264</v>
      </c>
      <c r="B52" s="2"/>
      <c r="C52" s="2"/>
      <c r="D52" s="2"/>
      <c r="E52" s="3"/>
      <c r="F52" s="50">
        <f>F50/F51</f>
        <v>0.6304347826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1" t="s">
        <v>36</v>
      </c>
      <c r="I4" s="42" t="s">
        <v>267</v>
      </c>
      <c r="J4" s="43">
        <v>32159.0</v>
      </c>
    </row>
    <row r="5" ht="60.0" customHeight="1">
      <c r="A5" s="39">
        <v>2.0</v>
      </c>
      <c r="B5" s="40" t="s">
        <v>39</v>
      </c>
      <c r="C5" s="40" t="s">
        <v>40</v>
      </c>
      <c r="D5" s="40" t="s">
        <v>41</v>
      </c>
      <c r="E5" s="40" t="s">
        <v>42</v>
      </c>
      <c r="F5" s="39" t="str">
        <f t="shared" si="1"/>
        <v>CORRECT</v>
      </c>
      <c r="G5" s="39" t="s">
        <v>37</v>
      </c>
      <c r="H5" s="41" t="s">
        <v>37</v>
      </c>
      <c r="I5" s="42" t="s">
        <v>43</v>
      </c>
      <c r="J5" s="43">
        <v>41325.0</v>
      </c>
    </row>
    <row r="6" ht="60.0" customHeight="1">
      <c r="A6" s="39">
        <v>3.0</v>
      </c>
      <c r="B6" s="40" t="s">
        <v>44</v>
      </c>
      <c r="C6" s="40" t="s">
        <v>45</v>
      </c>
      <c r="D6" s="40" t="s">
        <v>46</v>
      </c>
      <c r="E6" s="40" t="s">
        <v>47</v>
      </c>
      <c r="F6" s="39" t="str">
        <f t="shared" si="1"/>
        <v>CORRECT</v>
      </c>
      <c r="G6" s="39" t="s">
        <v>48</v>
      </c>
      <c r="H6" s="41" t="s">
        <v>48</v>
      </c>
      <c r="I6" s="42" t="s">
        <v>49</v>
      </c>
      <c r="J6" s="43">
        <v>44003.0</v>
      </c>
    </row>
    <row r="7" ht="60.0" customHeight="1">
      <c r="A7" s="39">
        <v>4.0</v>
      </c>
      <c r="B7" s="40" t="s">
        <v>50</v>
      </c>
      <c r="C7" s="40" t="s">
        <v>51</v>
      </c>
      <c r="D7" s="40" t="s">
        <v>52</v>
      </c>
      <c r="E7" s="40" t="s">
        <v>53</v>
      </c>
      <c r="F7" s="39" t="str">
        <f t="shared" si="1"/>
        <v>CORRECT</v>
      </c>
      <c r="G7" s="39" t="s">
        <v>37</v>
      </c>
      <c r="H7" s="41" t="s">
        <v>37</v>
      </c>
      <c r="I7" s="42" t="s">
        <v>54</v>
      </c>
      <c r="J7" s="43">
        <v>23238.0</v>
      </c>
    </row>
    <row r="8" ht="60.0" customHeight="1">
      <c r="A8" s="39">
        <v>5.0</v>
      </c>
      <c r="B8" s="40" t="s">
        <v>55</v>
      </c>
      <c r="C8" s="40" t="s">
        <v>56</v>
      </c>
      <c r="D8" s="40" t="s">
        <v>57</v>
      </c>
      <c r="E8" s="40" t="s">
        <v>58</v>
      </c>
      <c r="F8" s="39" t="str">
        <f t="shared" si="1"/>
        <v>CORRECT</v>
      </c>
      <c r="G8" s="39" t="s">
        <v>48</v>
      </c>
      <c r="H8" s="41" t="s">
        <v>48</v>
      </c>
      <c r="I8" s="42" t="s">
        <v>268</v>
      </c>
      <c r="J8" s="43">
        <v>52573.0</v>
      </c>
    </row>
    <row r="9" ht="60.0" customHeight="1">
      <c r="A9" s="39">
        <v>6.0</v>
      </c>
      <c r="B9" s="40" t="s">
        <v>60</v>
      </c>
      <c r="C9" s="40" t="s">
        <v>61</v>
      </c>
      <c r="D9" s="40" t="s">
        <v>62</v>
      </c>
      <c r="E9" s="40" t="s">
        <v>63</v>
      </c>
      <c r="F9" s="39" t="str">
        <f t="shared" si="1"/>
        <v>CORRECT</v>
      </c>
      <c r="G9" s="39" t="s">
        <v>37</v>
      </c>
      <c r="H9" s="41" t="s">
        <v>37</v>
      </c>
      <c r="I9" s="42" t="s">
        <v>64</v>
      </c>
      <c r="J9" s="43">
        <v>38563.0</v>
      </c>
    </row>
    <row r="10" ht="60.0" customHeight="1">
      <c r="A10" s="39">
        <v>7.0</v>
      </c>
      <c r="B10" s="40" t="s">
        <v>65</v>
      </c>
      <c r="C10" s="40" t="s">
        <v>66</v>
      </c>
      <c r="D10" s="40" t="s">
        <v>67</v>
      </c>
      <c r="E10" s="40" t="s">
        <v>68</v>
      </c>
      <c r="F10" s="39" t="str">
        <f t="shared" si="1"/>
        <v>WRONG</v>
      </c>
      <c r="G10" s="39" t="s">
        <v>37</v>
      </c>
      <c r="H10" s="43" t="s">
        <v>36</v>
      </c>
      <c r="I10" s="42" t="s">
        <v>269</v>
      </c>
      <c r="J10" s="43">
        <v>41345.0</v>
      </c>
    </row>
    <row r="11" ht="60.0" customHeight="1">
      <c r="A11" s="39">
        <v>8.0</v>
      </c>
      <c r="B11" s="40" t="s">
        <v>70</v>
      </c>
      <c r="C11" s="40" t="s">
        <v>71</v>
      </c>
      <c r="D11" s="40" t="s">
        <v>72</v>
      </c>
      <c r="E11" s="40" t="s">
        <v>73</v>
      </c>
      <c r="F11" s="39" t="str">
        <f t="shared" si="1"/>
        <v>CORRECT</v>
      </c>
      <c r="G11" s="39" t="s">
        <v>48</v>
      </c>
      <c r="H11" s="41" t="s">
        <v>48</v>
      </c>
      <c r="I11" s="42" t="s">
        <v>74</v>
      </c>
      <c r="J11" s="43">
        <v>46946.0</v>
      </c>
    </row>
    <row r="12" ht="60.0" customHeight="1">
      <c r="A12" s="39">
        <v>9.0</v>
      </c>
      <c r="B12" s="40" t="s">
        <v>75</v>
      </c>
      <c r="C12" s="40" t="s">
        <v>76</v>
      </c>
      <c r="D12" s="40" t="s">
        <v>77</v>
      </c>
      <c r="E12" s="40" t="s">
        <v>78</v>
      </c>
      <c r="F12" s="39" t="str">
        <f t="shared" si="1"/>
        <v>WRONG</v>
      </c>
      <c r="G12" s="39" t="s">
        <v>37</v>
      </c>
      <c r="H12" s="43" t="s">
        <v>48</v>
      </c>
      <c r="I12" s="42" t="s">
        <v>270</v>
      </c>
      <c r="J12" s="43">
        <v>35593.0</v>
      </c>
    </row>
    <row r="13" ht="60.0" customHeight="1">
      <c r="A13" s="39">
        <v>10.0</v>
      </c>
      <c r="B13" s="40" t="s">
        <v>80</v>
      </c>
      <c r="C13" s="40" t="s">
        <v>81</v>
      </c>
      <c r="D13" s="40" t="s">
        <v>82</v>
      </c>
      <c r="E13" s="40" t="s">
        <v>83</v>
      </c>
      <c r="F13" s="39" t="str">
        <f t="shared" si="1"/>
        <v>CORRECT</v>
      </c>
      <c r="G13" s="39" t="s">
        <v>48</v>
      </c>
      <c r="H13" s="41" t="s">
        <v>48</v>
      </c>
      <c r="I13" s="42" t="s">
        <v>271</v>
      </c>
      <c r="J13" s="43">
        <v>43234.0</v>
      </c>
    </row>
    <row r="14" ht="60.0" customHeight="1">
      <c r="A14" s="39">
        <v>11.0</v>
      </c>
      <c r="B14" s="40" t="s">
        <v>85</v>
      </c>
      <c r="C14" s="40" t="s">
        <v>86</v>
      </c>
      <c r="D14" s="40" t="s">
        <v>87</v>
      </c>
      <c r="E14" s="40" t="s">
        <v>88</v>
      </c>
      <c r="F14" s="39" t="str">
        <f t="shared" si="1"/>
        <v>CORRECT</v>
      </c>
      <c r="G14" s="39" t="s">
        <v>37</v>
      </c>
      <c r="H14" s="41" t="s">
        <v>37</v>
      </c>
      <c r="I14" s="42" t="s">
        <v>272</v>
      </c>
      <c r="J14" s="43">
        <v>46054.0</v>
      </c>
    </row>
    <row r="15" ht="60.0" customHeight="1">
      <c r="A15" s="39">
        <v>12.0</v>
      </c>
      <c r="B15" s="40" t="s">
        <v>90</v>
      </c>
      <c r="C15" s="40" t="s">
        <v>91</v>
      </c>
      <c r="D15" s="40" t="s">
        <v>92</v>
      </c>
      <c r="E15" s="40" t="s">
        <v>93</v>
      </c>
      <c r="F15" s="39" t="str">
        <f t="shared" si="1"/>
        <v>CORRECT</v>
      </c>
      <c r="G15" s="39" t="s">
        <v>48</v>
      </c>
      <c r="H15" s="41" t="s">
        <v>48</v>
      </c>
      <c r="I15" s="42" t="s">
        <v>273</v>
      </c>
      <c r="J15" s="43">
        <v>60313.0</v>
      </c>
    </row>
    <row r="16" ht="60.0" customHeight="1">
      <c r="A16" s="39">
        <v>13.0</v>
      </c>
      <c r="B16" s="40" t="s">
        <v>95</v>
      </c>
      <c r="C16" s="40" t="s">
        <v>96</v>
      </c>
      <c r="D16" s="40" t="s">
        <v>97</v>
      </c>
      <c r="E16" s="40" t="s">
        <v>98</v>
      </c>
      <c r="F16" s="39" t="str">
        <f t="shared" si="1"/>
        <v>CORRECT</v>
      </c>
      <c r="G16" s="39" t="s">
        <v>36</v>
      </c>
      <c r="H16" s="43" t="s">
        <v>36</v>
      </c>
      <c r="I16" s="42" t="s">
        <v>274</v>
      </c>
      <c r="J16" s="43">
        <v>26344.0</v>
      </c>
    </row>
    <row r="17" ht="60.0" customHeight="1">
      <c r="A17" s="39">
        <v>14.0</v>
      </c>
      <c r="B17" s="40" t="s">
        <v>100</v>
      </c>
      <c r="C17" s="40" t="s">
        <v>101</v>
      </c>
      <c r="D17" s="40" t="s">
        <v>102</v>
      </c>
      <c r="E17" s="40" t="s">
        <v>103</v>
      </c>
      <c r="F17" s="39" t="str">
        <f t="shared" si="1"/>
        <v>WRONG</v>
      </c>
      <c r="G17" s="39" t="s">
        <v>36</v>
      </c>
      <c r="H17" s="41" t="s">
        <v>48</v>
      </c>
      <c r="I17" s="42" t="s">
        <v>104</v>
      </c>
      <c r="J17" s="43">
        <v>29854.0</v>
      </c>
    </row>
    <row r="18" ht="60.0" customHeight="1">
      <c r="A18" s="39">
        <v>15.0</v>
      </c>
      <c r="B18" s="40" t="s">
        <v>105</v>
      </c>
      <c r="C18" s="40" t="s">
        <v>106</v>
      </c>
      <c r="D18" s="40" t="s">
        <v>107</v>
      </c>
      <c r="E18" s="40" t="s">
        <v>108</v>
      </c>
      <c r="F18" s="39" t="str">
        <f t="shared" si="1"/>
        <v>CORRECT</v>
      </c>
      <c r="G18" s="39" t="s">
        <v>48</v>
      </c>
      <c r="H18" s="41" t="s">
        <v>48</v>
      </c>
      <c r="I18" s="42" t="s">
        <v>109</v>
      </c>
      <c r="J18" s="43">
        <v>39178.0</v>
      </c>
    </row>
    <row r="19" ht="60.0" customHeight="1">
      <c r="A19" s="39">
        <v>16.0</v>
      </c>
      <c r="B19" s="40" t="s">
        <v>110</v>
      </c>
      <c r="C19" s="40" t="s">
        <v>111</v>
      </c>
      <c r="D19" s="40" t="s">
        <v>112</v>
      </c>
      <c r="E19" s="40" t="s">
        <v>113</v>
      </c>
      <c r="F19" s="39" t="str">
        <f t="shared" si="1"/>
        <v>CORRECT</v>
      </c>
      <c r="G19" s="39" t="s">
        <v>48</v>
      </c>
      <c r="H19" s="41" t="s">
        <v>48</v>
      </c>
      <c r="I19" s="42" t="s">
        <v>275</v>
      </c>
      <c r="J19" s="43">
        <v>39465.0</v>
      </c>
    </row>
    <row r="20" ht="60.0" customHeight="1">
      <c r="A20" s="39">
        <v>17.0</v>
      </c>
      <c r="B20" s="40" t="s">
        <v>115</v>
      </c>
      <c r="C20" s="40" t="s">
        <v>116</v>
      </c>
      <c r="D20" s="40" t="s">
        <v>117</v>
      </c>
      <c r="E20" s="40" t="s">
        <v>118</v>
      </c>
      <c r="F20" s="39" t="str">
        <f t="shared" si="1"/>
        <v>WRONG</v>
      </c>
      <c r="G20" s="39" t="s">
        <v>37</v>
      </c>
      <c r="H20" s="41" t="s">
        <v>36</v>
      </c>
      <c r="I20" s="42" t="s">
        <v>119</v>
      </c>
      <c r="J20" s="43">
        <v>28194.0</v>
      </c>
    </row>
    <row r="21" ht="60.0" customHeight="1">
      <c r="A21" s="39">
        <v>18.0</v>
      </c>
      <c r="B21" s="40" t="s">
        <v>120</v>
      </c>
      <c r="C21" s="40" t="s">
        <v>121</v>
      </c>
      <c r="D21" s="40" t="s">
        <v>122</v>
      </c>
      <c r="E21" s="40" t="s">
        <v>123</v>
      </c>
      <c r="F21" s="39" t="str">
        <f t="shared" si="1"/>
        <v>CORRECT</v>
      </c>
      <c r="G21" s="39" t="s">
        <v>37</v>
      </c>
      <c r="H21" s="43" t="s">
        <v>37</v>
      </c>
      <c r="I21" s="42" t="s">
        <v>124</v>
      </c>
      <c r="J21" s="43">
        <v>38298.0</v>
      </c>
    </row>
    <row r="22" ht="60.0" customHeight="1">
      <c r="A22" s="39">
        <v>19.0</v>
      </c>
      <c r="B22" s="40" t="s">
        <v>125</v>
      </c>
      <c r="C22" s="40" t="s">
        <v>126</v>
      </c>
      <c r="D22" s="40" t="s">
        <v>127</v>
      </c>
      <c r="E22" s="40" t="s">
        <v>128</v>
      </c>
      <c r="F22" s="39" t="str">
        <f t="shared" si="1"/>
        <v>WRONG</v>
      </c>
      <c r="G22" s="39" t="s">
        <v>36</v>
      </c>
      <c r="H22" s="41" t="s">
        <v>48</v>
      </c>
      <c r="I22" s="42" t="s">
        <v>129</v>
      </c>
      <c r="J22" s="43">
        <v>52654.0</v>
      </c>
    </row>
    <row r="23" ht="60.0" customHeight="1">
      <c r="A23" s="39">
        <v>20.0</v>
      </c>
      <c r="B23" s="40" t="s">
        <v>130</v>
      </c>
      <c r="C23" s="40" t="s">
        <v>131</v>
      </c>
      <c r="D23" s="40" t="s">
        <v>132</v>
      </c>
      <c r="E23" s="40" t="s">
        <v>133</v>
      </c>
      <c r="F23" s="39" t="str">
        <f t="shared" si="1"/>
        <v>WRONG</v>
      </c>
      <c r="G23" s="39" t="s">
        <v>37</v>
      </c>
      <c r="H23" s="43" t="s">
        <v>48</v>
      </c>
      <c r="I23" s="42" t="s">
        <v>134</v>
      </c>
      <c r="J23" s="43">
        <v>21237.0</v>
      </c>
    </row>
    <row r="24" ht="60.0" customHeight="1">
      <c r="A24" s="39">
        <v>21.0</v>
      </c>
      <c r="B24" s="40" t="s">
        <v>135</v>
      </c>
      <c r="C24" s="40" t="s">
        <v>136</v>
      </c>
      <c r="D24" s="40" t="s">
        <v>137</v>
      </c>
      <c r="E24" s="40" t="s">
        <v>138</v>
      </c>
      <c r="F24" s="39" t="str">
        <f t="shared" si="1"/>
        <v>WRONG</v>
      </c>
      <c r="G24" s="39" t="s">
        <v>37</v>
      </c>
      <c r="H24" s="43" t="s">
        <v>36</v>
      </c>
      <c r="I24" s="42" t="s">
        <v>139</v>
      </c>
      <c r="J24" s="43">
        <v>24169.0</v>
      </c>
    </row>
    <row r="25" ht="60.0" customHeight="1">
      <c r="A25" s="39">
        <v>22.0</v>
      </c>
      <c r="B25" s="40" t="s">
        <v>140</v>
      </c>
      <c r="C25" s="40" t="s">
        <v>141</v>
      </c>
      <c r="D25" s="40" t="s">
        <v>142</v>
      </c>
      <c r="E25" s="40" t="s">
        <v>143</v>
      </c>
      <c r="F25" s="39" t="str">
        <f t="shared" si="1"/>
        <v>CORRECT</v>
      </c>
      <c r="G25" s="39" t="s">
        <v>37</v>
      </c>
      <c r="H25" s="41" t="s">
        <v>37</v>
      </c>
      <c r="I25" s="42" t="s">
        <v>144</v>
      </c>
      <c r="J25" s="43">
        <v>25100.0</v>
      </c>
    </row>
    <row r="26" ht="60.0" customHeight="1">
      <c r="A26" s="39">
        <v>23.0</v>
      </c>
      <c r="B26" s="40" t="s">
        <v>145</v>
      </c>
      <c r="C26" s="40" t="s">
        <v>146</v>
      </c>
      <c r="D26" s="40" t="s">
        <v>147</v>
      </c>
      <c r="E26" s="40" t="s">
        <v>148</v>
      </c>
      <c r="F26" s="39" t="str">
        <f t="shared" si="1"/>
        <v>CORRECT</v>
      </c>
      <c r="G26" s="39" t="s">
        <v>48</v>
      </c>
      <c r="H26" s="41" t="s">
        <v>48</v>
      </c>
      <c r="I26" s="42" t="s">
        <v>149</v>
      </c>
      <c r="J26" s="43">
        <v>40957.0</v>
      </c>
    </row>
    <row r="27" ht="60.0" customHeight="1">
      <c r="A27" s="39">
        <v>24.0</v>
      </c>
      <c r="B27" s="40" t="s">
        <v>150</v>
      </c>
      <c r="C27" s="40" t="s">
        <v>151</v>
      </c>
      <c r="D27" s="40" t="s">
        <v>152</v>
      </c>
      <c r="E27" s="40" t="s">
        <v>153</v>
      </c>
      <c r="F27" s="39" t="str">
        <f t="shared" si="1"/>
        <v>WRONG</v>
      </c>
      <c r="G27" s="39" t="s">
        <v>36</v>
      </c>
      <c r="H27" s="41" t="s">
        <v>48</v>
      </c>
      <c r="I27" s="42" t="s">
        <v>154</v>
      </c>
      <c r="J27" s="43">
        <v>58284.0</v>
      </c>
    </row>
    <row r="28" ht="60.0" customHeight="1">
      <c r="A28" s="39">
        <v>25.0</v>
      </c>
      <c r="B28" s="40" t="s">
        <v>155</v>
      </c>
      <c r="C28" s="40" t="s">
        <v>151</v>
      </c>
      <c r="D28" s="40" t="s">
        <v>156</v>
      </c>
      <c r="E28" s="40" t="s">
        <v>153</v>
      </c>
      <c r="F28" s="39" t="str">
        <f t="shared" si="1"/>
        <v>WRONG</v>
      </c>
      <c r="G28" s="39" t="s">
        <v>48</v>
      </c>
      <c r="H28" s="41" t="s">
        <v>36</v>
      </c>
      <c r="I28" s="42" t="s">
        <v>157</v>
      </c>
      <c r="J28" s="43">
        <v>31950.0</v>
      </c>
    </row>
    <row r="29" ht="60.0" customHeight="1">
      <c r="A29" s="39">
        <v>26.0</v>
      </c>
      <c r="B29" s="40" t="s">
        <v>158</v>
      </c>
      <c r="C29" s="40" t="s">
        <v>159</v>
      </c>
      <c r="D29" s="40" t="s">
        <v>160</v>
      </c>
      <c r="E29" s="40" t="s">
        <v>161</v>
      </c>
      <c r="F29" s="39" t="str">
        <f t="shared" si="1"/>
        <v>WRONG</v>
      </c>
      <c r="G29" s="39" t="s">
        <v>36</v>
      </c>
      <c r="H29" s="41" t="s">
        <v>48</v>
      </c>
      <c r="I29" s="42" t="s">
        <v>162</v>
      </c>
      <c r="J29" s="43">
        <v>29921.0</v>
      </c>
    </row>
    <row r="30" ht="60.0" customHeight="1">
      <c r="A30" s="39">
        <v>27.0</v>
      </c>
      <c r="B30" s="40" t="s">
        <v>163</v>
      </c>
      <c r="C30" s="40" t="s">
        <v>164</v>
      </c>
      <c r="D30" s="40" t="s">
        <v>165</v>
      </c>
      <c r="E30" s="40" t="s">
        <v>166</v>
      </c>
      <c r="F30" s="39" t="str">
        <f t="shared" si="1"/>
        <v>CORRECT</v>
      </c>
      <c r="G30" s="39" t="s">
        <v>37</v>
      </c>
      <c r="H30" s="43" t="s">
        <v>37</v>
      </c>
      <c r="I30" s="42" t="s">
        <v>167</v>
      </c>
      <c r="J30" s="43">
        <v>38431.0</v>
      </c>
    </row>
    <row r="31" ht="60.0" customHeight="1">
      <c r="A31" s="39">
        <v>28.0</v>
      </c>
      <c r="B31" s="40" t="s">
        <v>168</v>
      </c>
      <c r="C31" s="40" t="s">
        <v>169</v>
      </c>
      <c r="D31" s="40" t="s">
        <v>170</v>
      </c>
      <c r="E31" s="40" t="s">
        <v>171</v>
      </c>
      <c r="F31" s="39" t="str">
        <f t="shared" si="1"/>
        <v>WRONG</v>
      </c>
      <c r="G31" s="39" t="s">
        <v>36</v>
      </c>
      <c r="H31" s="41" t="s">
        <v>37</v>
      </c>
      <c r="I31" s="42" t="s">
        <v>172</v>
      </c>
      <c r="J31" s="43">
        <v>29019.0</v>
      </c>
    </row>
    <row r="32" ht="60.0" customHeight="1">
      <c r="A32" s="39">
        <v>29.0</v>
      </c>
      <c r="B32" s="40" t="s">
        <v>173</v>
      </c>
      <c r="C32" s="40" t="s">
        <v>174</v>
      </c>
      <c r="D32" s="40" t="s">
        <v>175</v>
      </c>
      <c r="E32" s="40" t="s">
        <v>176</v>
      </c>
      <c r="F32" s="39" t="str">
        <f t="shared" si="1"/>
        <v>CORRECT</v>
      </c>
      <c r="G32" s="39" t="s">
        <v>37</v>
      </c>
      <c r="H32" s="41" t="s">
        <v>37</v>
      </c>
      <c r="I32" s="42" t="s">
        <v>177</v>
      </c>
      <c r="J32" s="43">
        <v>37237.0</v>
      </c>
    </row>
    <row r="33" ht="60.0" customHeight="1">
      <c r="A33" s="39">
        <v>30.0</v>
      </c>
      <c r="B33" s="40" t="s">
        <v>178</v>
      </c>
      <c r="C33" s="40" t="s">
        <v>179</v>
      </c>
      <c r="D33" s="40" t="s">
        <v>180</v>
      </c>
      <c r="E33" s="40" t="s">
        <v>181</v>
      </c>
      <c r="F33" s="39" t="str">
        <f t="shared" si="1"/>
        <v>WRONG</v>
      </c>
      <c r="G33" s="39" t="s">
        <v>48</v>
      </c>
      <c r="H33" s="43" t="s">
        <v>36</v>
      </c>
      <c r="I33" s="42" t="s">
        <v>182</v>
      </c>
      <c r="J33" s="43">
        <v>19087.0</v>
      </c>
    </row>
    <row r="34" ht="60.0" customHeight="1">
      <c r="A34" s="39">
        <v>31.0</v>
      </c>
      <c r="B34" s="40" t="s">
        <v>183</v>
      </c>
      <c r="C34" s="40" t="s">
        <v>184</v>
      </c>
      <c r="D34" s="40" t="s">
        <v>185</v>
      </c>
      <c r="E34" s="40" t="s">
        <v>186</v>
      </c>
      <c r="F34" s="39" t="str">
        <f t="shared" si="1"/>
        <v>WRONG</v>
      </c>
      <c r="G34" s="39" t="s">
        <v>37</v>
      </c>
      <c r="H34" s="41" t="s">
        <v>36</v>
      </c>
      <c r="I34" s="42" t="s">
        <v>187</v>
      </c>
      <c r="J34" s="43">
        <v>40136.0</v>
      </c>
    </row>
    <row r="35" ht="60.0" customHeight="1">
      <c r="A35" s="39">
        <v>32.0</v>
      </c>
      <c r="B35" s="40" t="s">
        <v>188</v>
      </c>
      <c r="C35" s="40" t="s">
        <v>189</v>
      </c>
      <c r="D35" s="40" t="s">
        <v>190</v>
      </c>
      <c r="E35" s="40" t="s">
        <v>191</v>
      </c>
      <c r="F35" s="39" t="str">
        <f t="shared" si="1"/>
        <v>CORRECT</v>
      </c>
      <c r="G35" s="39" t="s">
        <v>36</v>
      </c>
      <c r="H35" s="43" t="s">
        <v>36</v>
      </c>
      <c r="I35" s="42" t="s">
        <v>192</v>
      </c>
      <c r="J35" s="43">
        <v>48157.0</v>
      </c>
    </row>
    <row r="36" ht="60.0" customHeight="1">
      <c r="A36" s="39">
        <v>33.0</v>
      </c>
      <c r="B36" s="40" t="s">
        <v>193</v>
      </c>
      <c r="C36" s="40" t="s">
        <v>194</v>
      </c>
      <c r="D36" s="40" t="s">
        <v>195</v>
      </c>
      <c r="E36" s="40" t="s">
        <v>196</v>
      </c>
      <c r="F36" s="39" t="str">
        <f t="shared" si="1"/>
        <v>CORRECT</v>
      </c>
      <c r="G36" s="39" t="s">
        <v>48</v>
      </c>
      <c r="H36" s="41" t="s">
        <v>48</v>
      </c>
      <c r="I36" s="42" t="s">
        <v>197</v>
      </c>
      <c r="J36" s="43">
        <v>32736.0</v>
      </c>
    </row>
    <row r="37" ht="60.0" customHeight="1">
      <c r="A37" s="39">
        <v>34.0</v>
      </c>
      <c r="B37" s="40" t="s">
        <v>198</v>
      </c>
      <c r="C37" s="40" t="s">
        <v>199</v>
      </c>
      <c r="D37" s="40" t="s">
        <v>200</v>
      </c>
      <c r="E37" s="40" t="s">
        <v>201</v>
      </c>
      <c r="F37" s="39" t="str">
        <f t="shared" si="1"/>
        <v>CORRECT</v>
      </c>
      <c r="G37" s="39" t="s">
        <v>36</v>
      </c>
      <c r="H37" s="41" t="s">
        <v>36</v>
      </c>
      <c r="I37" s="42" t="s">
        <v>202</v>
      </c>
      <c r="J37" s="43">
        <v>27847.0</v>
      </c>
    </row>
    <row r="38" ht="60.0" customHeight="1">
      <c r="A38" s="39">
        <v>35.0</v>
      </c>
      <c r="B38" s="40" t="s">
        <v>203</v>
      </c>
      <c r="C38" s="40" t="s">
        <v>204</v>
      </c>
      <c r="D38" s="40" t="s">
        <v>205</v>
      </c>
      <c r="E38" s="40" t="s">
        <v>206</v>
      </c>
      <c r="F38" s="39" t="str">
        <f t="shared" si="1"/>
        <v>CORRECT</v>
      </c>
      <c r="G38" s="39" t="s">
        <v>48</v>
      </c>
      <c r="H38" s="41" t="s">
        <v>48</v>
      </c>
      <c r="I38" s="42" t="s">
        <v>207</v>
      </c>
      <c r="J38" s="43">
        <v>52827.0</v>
      </c>
    </row>
    <row r="39" ht="60.0" customHeight="1">
      <c r="A39" s="39">
        <v>36.0</v>
      </c>
      <c r="B39" s="40" t="s">
        <v>208</v>
      </c>
      <c r="C39" s="40" t="s">
        <v>209</v>
      </c>
      <c r="D39" s="40" t="s">
        <v>210</v>
      </c>
      <c r="E39" s="40" t="s">
        <v>211</v>
      </c>
      <c r="F39" s="39" t="str">
        <f t="shared" si="1"/>
        <v>CORRECT</v>
      </c>
      <c r="G39" s="39" t="s">
        <v>36</v>
      </c>
      <c r="H39" s="43" t="s">
        <v>36</v>
      </c>
      <c r="I39" s="42" t="s">
        <v>212</v>
      </c>
      <c r="J39" s="43">
        <v>20581.0</v>
      </c>
    </row>
    <row r="40" ht="60.0" customHeight="1">
      <c r="A40" s="39">
        <v>37.0</v>
      </c>
      <c r="B40" s="40" t="s">
        <v>213</v>
      </c>
      <c r="C40" s="40" t="s">
        <v>214</v>
      </c>
      <c r="D40" s="40" t="s">
        <v>215</v>
      </c>
      <c r="E40" s="40" t="s">
        <v>216</v>
      </c>
      <c r="F40" s="39" t="str">
        <f t="shared" si="1"/>
        <v>CORRECT</v>
      </c>
      <c r="G40" s="39" t="s">
        <v>36</v>
      </c>
      <c r="H40" s="43" t="s">
        <v>36</v>
      </c>
      <c r="I40" s="42" t="s">
        <v>217</v>
      </c>
      <c r="J40" s="43">
        <v>21315.0</v>
      </c>
    </row>
    <row r="41" ht="60.0" customHeight="1">
      <c r="A41" s="39">
        <v>38.0</v>
      </c>
      <c r="B41" s="40" t="s">
        <v>218</v>
      </c>
      <c r="C41" s="40" t="s">
        <v>219</v>
      </c>
      <c r="D41" s="40" t="s">
        <v>220</v>
      </c>
      <c r="E41" s="40" t="s">
        <v>221</v>
      </c>
      <c r="F41" s="39" t="str">
        <f t="shared" si="1"/>
        <v>CORRECT</v>
      </c>
      <c r="G41" s="39" t="s">
        <v>36</v>
      </c>
      <c r="H41" s="43" t="s">
        <v>36</v>
      </c>
      <c r="I41" s="42" t="s">
        <v>222</v>
      </c>
      <c r="J41" s="43">
        <v>29914.0</v>
      </c>
    </row>
    <row r="42" ht="60.0" customHeight="1">
      <c r="A42" s="39">
        <v>39.0</v>
      </c>
      <c r="B42" s="40" t="s">
        <v>223</v>
      </c>
      <c r="C42" s="40" t="s">
        <v>224</v>
      </c>
      <c r="D42" s="40" t="s">
        <v>225</v>
      </c>
      <c r="E42" s="40" t="s">
        <v>226</v>
      </c>
      <c r="F42" s="39" t="str">
        <f t="shared" si="1"/>
        <v>WRONG</v>
      </c>
      <c r="G42" s="39" t="s">
        <v>37</v>
      </c>
      <c r="H42" s="43" t="s">
        <v>48</v>
      </c>
      <c r="I42" s="42" t="s">
        <v>227</v>
      </c>
      <c r="J42" s="43">
        <v>27166.0</v>
      </c>
    </row>
    <row r="43" ht="60.0" customHeight="1">
      <c r="A43" s="39">
        <v>40.0</v>
      </c>
      <c r="B43" s="40" t="s">
        <v>228</v>
      </c>
      <c r="C43" s="40" t="s">
        <v>229</v>
      </c>
      <c r="D43" s="40" t="s">
        <v>230</v>
      </c>
      <c r="E43" s="40" t="s">
        <v>231</v>
      </c>
      <c r="F43" s="39" t="str">
        <f t="shared" si="1"/>
        <v>WRONG</v>
      </c>
      <c r="G43" s="39" t="s">
        <v>48</v>
      </c>
      <c r="H43" s="41" t="s">
        <v>37</v>
      </c>
      <c r="I43" s="42" t="s">
        <v>232</v>
      </c>
      <c r="J43" s="43">
        <v>44196.0</v>
      </c>
    </row>
    <row r="44" ht="60.0" customHeight="1">
      <c r="A44" s="39">
        <v>41.0</v>
      </c>
      <c r="B44" s="40" t="s">
        <v>233</v>
      </c>
      <c r="C44" s="40" t="s">
        <v>234</v>
      </c>
      <c r="D44" s="40" t="s">
        <v>235</v>
      </c>
      <c r="E44" s="40" t="s">
        <v>236</v>
      </c>
      <c r="F44" s="39" t="str">
        <f t="shared" si="1"/>
        <v>CORRECT</v>
      </c>
      <c r="G44" s="39" t="s">
        <v>37</v>
      </c>
      <c r="H44" s="41" t="s">
        <v>37</v>
      </c>
      <c r="I44" s="42" t="s">
        <v>237</v>
      </c>
      <c r="J44" s="43">
        <v>27343.0</v>
      </c>
    </row>
    <row r="45" ht="60.0" customHeight="1">
      <c r="A45" s="39">
        <v>42.0</v>
      </c>
      <c r="B45" s="40" t="s">
        <v>238</v>
      </c>
      <c r="C45" s="40" t="s">
        <v>239</v>
      </c>
      <c r="D45" s="40" t="s">
        <v>240</v>
      </c>
      <c r="E45" s="40" t="s">
        <v>241</v>
      </c>
      <c r="F45" s="39" t="str">
        <f t="shared" si="1"/>
        <v>WRONG</v>
      </c>
      <c r="G45" s="39" t="s">
        <v>36</v>
      </c>
      <c r="H45" s="43" t="s">
        <v>37</v>
      </c>
      <c r="I45" s="42" t="s">
        <v>242</v>
      </c>
      <c r="J45" s="43">
        <v>25686.0</v>
      </c>
    </row>
    <row r="46" ht="60.0" customHeight="1">
      <c r="A46" s="39">
        <v>43.0</v>
      </c>
      <c r="B46" s="40" t="s">
        <v>243</v>
      </c>
      <c r="C46" s="40" t="s">
        <v>244</v>
      </c>
      <c r="D46" s="40" t="s">
        <v>245</v>
      </c>
      <c r="E46" s="40" t="s">
        <v>246</v>
      </c>
      <c r="F46" s="39" t="str">
        <f t="shared" si="1"/>
        <v>WRONG</v>
      </c>
      <c r="G46" s="39" t="s">
        <v>48</v>
      </c>
      <c r="H46" s="41" t="s">
        <v>36</v>
      </c>
      <c r="I46" s="42" t="s">
        <v>247</v>
      </c>
      <c r="J46" s="43">
        <v>40624.0</v>
      </c>
    </row>
    <row r="47" ht="60.0" customHeight="1">
      <c r="A47" s="39">
        <v>44.0</v>
      </c>
      <c r="B47" s="40" t="s">
        <v>248</v>
      </c>
      <c r="C47" s="40" t="s">
        <v>249</v>
      </c>
      <c r="D47" s="40" t="s">
        <v>250</v>
      </c>
      <c r="E47" s="40" t="s">
        <v>251</v>
      </c>
      <c r="F47" s="39" t="str">
        <f t="shared" si="1"/>
        <v>WRONG</v>
      </c>
      <c r="G47" s="39" t="s">
        <v>36</v>
      </c>
      <c r="H47" s="41" t="s">
        <v>48</v>
      </c>
      <c r="I47" s="42" t="s">
        <v>252</v>
      </c>
      <c r="J47" s="43">
        <v>51510.0</v>
      </c>
    </row>
    <row r="48" ht="60.0" customHeight="1">
      <c r="A48" s="39">
        <v>45.0</v>
      </c>
      <c r="B48" s="40" t="s">
        <v>253</v>
      </c>
      <c r="C48" s="40" t="s">
        <v>254</v>
      </c>
      <c r="D48" s="40" t="s">
        <v>255</v>
      </c>
      <c r="E48" s="40" t="s">
        <v>256</v>
      </c>
      <c r="F48" s="39" t="str">
        <f t="shared" si="1"/>
        <v>CORRECT</v>
      </c>
      <c r="G48" s="39" t="s">
        <v>36</v>
      </c>
      <c r="H48" s="41" t="s">
        <v>36</v>
      </c>
      <c r="I48" s="42" t="s">
        <v>257</v>
      </c>
      <c r="J48" s="43">
        <v>37767.0</v>
      </c>
    </row>
    <row r="49" ht="60.0" customHeight="1">
      <c r="A49" s="39">
        <v>46.0</v>
      </c>
      <c r="B49" s="40" t="s">
        <v>258</v>
      </c>
      <c r="C49" s="40" t="s">
        <v>40</v>
      </c>
      <c r="D49" s="40" t="s">
        <v>259</v>
      </c>
      <c r="E49" s="40" t="s">
        <v>260</v>
      </c>
      <c r="F49" s="39" t="str">
        <f t="shared" si="1"/>
        <v>CORRECT</v>
      </c>
      <c r="G49" s="39" t="s">
        <v>36</v>
      </c>
      <c r="H49" s="43" t="s">
        <v>36</v>
      </c>
      <c r="I49" s="42" t="s">
        <v>261</v>
      </c>
      <c r="J49" s="43">
        <v>28772.0</v>
      </c>
    </row>
    <row r="50">
      <c r="A50" s="44" t="s">
        <v>262</v>
      </c>
      <c r="B50" s="2"/>
      <c r="C50" s="2"/>
      <c r="D50" s="2"/>
      <c r="E50" s="3"/>
      <c r="F50" s="45">
        <f>COUNTIFS(F4:F49,"CORRECT")</f>
        <v>28</v>
      </c>
      <c r="G50" s="46"/>
      <c r="H50" s="46"/>
      <c r="J50" s="47">
        <f>AVERAGE(J4:J49)</f>
        <v>36332.65217</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276</v>
      </c>
      <c r="C2" s="2"/>
      <c r="D2" s="2"/>
      <c r="E2" s="2"/>
      <c r="F2" s="2"/>
      <c r="G2" s="2"/>
      <c r="H2" s="3"/>
      <c r="I2" s="37" t="s">
        <v>277</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3">
        <v>30528.0</v>
      </c>
    </row>
    <row r="5" ht="60.0" customHeight="1">
      <c r="A5" s="39">
        <v>2.0</v>
      </c>
      <c r="B5" s="40" t="s">
        <v>39</v>
      </c>
      <c r="C5" s="40" t="s">
        <v>40</v>
      </c>
      <c r="D5" s="40" t="s">
        <v>41</v>
      </c>
      <c r="E5" s="40" t="s">
        <v>42</v>
      </c>
      <c r="F5" s="39" t="str">
        <f t="shared" si="1"/>
        <v>CORRECT</v>
      </c>
      <c r="G5" s="39" t="s">
        <v>37</v>
      </c>
      <c r="H5" s="41" t="s">
        <v>37</v>
      </c>
      <c r="I5" s="42" t="s">
        <v>278</v>
      </c>
      <c r="J5" s="43">
        <v>41576.0</v>
      </c>
    </row>
    <row r="6" ht="60.0" customHeight="1">
      <c r="A6" s="39">
        <v>3.0</v>
      </c>
      <c r="B6" s="40" t="s">
        <v>44</v>
      </c>
      <c r="C6" s="40" t="s">
        <v>45</v>
      </c>
      <c r="D6" s="40" t="s">
        <v>46</v>
      </c>
      <c r="E6" s="40" t="s">
        <v>47</v>
      </c>
      <c r="F6" s="39" t="str">
        <f t="shared" si="1"/>
        <v>CORRECT</v>
      </c>
      <c r="G6" s="39" t="s">
        <v>48</v>
      </c>
      <c r="H6" s="41" t="s">
        <v>48</v>
      </c>
      <c r="I6" s="42" t="s">
        <v>279</v>
      </c>
      <c r="J6" s="43">
        <v>43992.0</v>
      </c>
    </row>
    <row r="7" ht="60.0" customHeight="1">
      <c r="A7" s="39">
        <v>4.0</v>
      </c>
      <c r="B7" s="40" t="s">
        <v>50</v>
      </c>
      <c r="C7" s="40" t="s">
        <v>51</v>
      </c>
      <c r="D7" s="40" t="s">
        <v>52</v>
      </c>
      <c r="E7" s="40" t="s">
        <v>53</v>
      </c>
      <c r="F7" s="39" t="str">
        <f t="shared" si="1"/>
        <v>CORRECT</v>
      </c>
      <c r="G7" s="39" t="s">
        <v>37</v>
      </c>
      <c r="H7" s="41" t="s">
        <v>37</v>
      </c>
      <c r="I7" s="42" t="s">
        <v>280</v>
      </c>
      <c r="J7" s="43">
        <v>25725.0</v>
      </c>
    </row>
    <row r="8" ht="60.0" customHeight="1">
      <c r="A8" s="39">
        <v>5.0</v>
      </c>
      <c r="B8" s="40" t="s">
        <v>55</v>
      </c>
      <c r="C8" s="40" t="s">
        <v>56</v>
      </c>
      <c r="D8" s="40" t="s">
        <v>57</v>
      </c>
      <c r="E8" s="40" t="s">
        <v>58</v>
      </c>
      <c r="F8" s="39" t="str">
        <f t="shared" si="1"/>
        <v>CORRECT</v>
      </c>
      <c r="G8" s="39" t="s">
        <v>48</v>
      </c>
      <c r="H8" s="41" t="s">
        <v>48</v>
      </c>
      <c r="I8" s="42" t="s">
        <v>268</v>
      </c>
      <c r="J8" s="43">
        <v>51227.0</v>
      </c>
    </row>
    <row r="9" ht="60.0" customHeight="1">
      <c r="A9" s="39">
        <v>6.0</v>
      </c>
      <c r="B9" s="40" t="s">
        <v>60</v>
      </c>
      <c r="C9" s="40" t="s">
        <v>61</v>
      </c>
      <c r="D9" s="40" t="s">
        <v>62</v>
      </c>
      <c r="E9" s="40" t="s">
        <v>63</v>
      </c>
      <c r="F9" s="39" t="str">
        <f t="shared" si="1"/>
        <v>CORRECT</v>
      </c>
      <c r="G9" s="39" t="s">
        <v>37</v>
      </c>
      <c r="H9" s="43" t="s">
        <v>37</v>
      </c>
      <c r="I9" s="42" t="s">
        <v>281</v>
      </c>
      <c r="J9" s="43">
        <v>37465.0</v>
      </c>
    </row>
    <row r="10" ht="60.0" customHeight="1">
      <c r="A10" s="39">
        <v>7.0</v>
      </c>
      <c r="B10" s="40" t="s">
        <v>65</v>
      </c>
      <c r="C10" s="40" t="s">
        <v>66</v>
      </c>
      <c r="D10" s="40" t="s">
        <v>67</v>
      </c>
      <c r="E10" s="40" t="s">
        <v>68</v>
      </c>
      <c r="F10" s="39" t="str">
        <f t="shared" si="1"/>
        <v>WRONG</v>
      </c>
      <c r="G10" s="39" t="s">
        <v>37</v>
      </c>
      <c r="H10" s="43" t="s">
        <v>36</v>
      </c>
      <c r="I10" s="42" t="s">
        <v>282</v>
      </c>
      <c r="J10" s="43">
        <v>29373.0</v>
      </c>
    </row>
    <row r="11" ht="60.0" customHeight="1">
      <c r="A11" s="39">
        <v>8.0</v>
      </c>
      <c r="B11" s="40" t="s">
        <v>70</v>
      </c>
      <c r="C11" s="40" t="s">
        <v>71</v>
      </c>
      <c r="D11" s="40" t="s">
        <v>72</v>
      </c>
      <c r="E11" s="40" t="s">
        <v>73</v>
      </c>
      <c r="F11" s="39" t="str">
        <f t="shared" si="1"/>
        <v>CORRECT</v>
      </c>
      <c r="G11" s="39" t="s">
        <v>48</v>
      </c>
      <c r="H11" s="41" t="s">
        <v>48</v>
      </c>
      <c r="I11" s="42" t="s">
        <v>283</v>
      </c>
      <c r="J11" s="43">
        <v>30433.0</v>
      </c>
    </row>
    <row r="12" ht="60.0" customHeight="1">
      <c r="A12" s="39">
        <v>9.0</v>
      </c>
      <c r="B12" s="40" t="s">
        <v>75</v>
      </c>
      <c r="C12" s="40" t="s">
        <v>76</v>
      </c>
      <c r="D12" s="40" t="s">
        <v>77</v>
      </c>
      <c r="E12" s="40" t="s">
        <v>78</v>
      </c>
      <c r="F12" s="39" t="str">
        <f t="shared" si="1"/>
        <v>WRONG</v>
      </c>
      <c r="G12" s="39" t="s">
        <v>37</v>
      </c>
      <c r="H12" s="43" t="s">
        <v>48</v>
      </c>
      <c r="I12" s="42" t="s">
        <v>284</v>
      </c>
      <c r="J12" s="43">
        <v>45096.0</v>
      </c>
    </row>
    <row r="13" ht="60.0" customHeight="1">
      <c r="A13" s="39">
        <v>10.0</v>
      </c>
      <c r="B13" s="40" t="s">
        <v>80</v>
      </c>
      <c r="C13" s="40" t="s">
        <v>81</v>
      </c>
      <c r="D13" s="40" t="s">
        <v>82</v>
      </c>
      <c r="E13" s="40" t="s">
        <v>83</v>
      </c>
      <c r="F13" s="39" t="str">
        <f t="shared" si="1"/>
        <v>CORRECT</v>
      </c>
      <c r="G13" s="39" t="s">
        <v>48</v>
      </c>
      <c r="H13" s="41" t="s">
        <v>48</v>
      </c>
      <c r="I13" s="42" t="s">
        <v>285</v>
      </c>
      <c r="J13" s="43">
        <v>36214.0</v>
      </c>
    </row>
    <row r="14" ht="60.0" customHeight="1">
      <c r="A14" s="39">
        <v>11.0</v>
      </c>
      <c r="B14" s="40" t="s">
        <v>85</v>
      </c>
      <c r="C14" s="40" t="s">
        <v>86</v>
      </c>
      <c r="D14" s="40" t="s">
        <v>87</v>
      </c>
      <c r="E14" s="40" t="s">
        <v>88</v>
      </c>
      <c r="F14" s="39" t="str">
        <f t="shared" si="1"/>
        <v>CORRECT</v>
      </c>
      <c r="G14" s="39" t="s">
        <v>37</v>
      </c>
      <c r="H14" s="41" t="s">
        <v>37</v>
      </c>
      <c r="I14" s="42" t="s">
        <v>286</v>
      </c>
      <c r="J14" s="43">
        <v>44575.0</v>
      </c>
    </row>
    <row r="15" ht="60.0" customHeight="1">
      <c r="A15" s="39">
        <v>12.0</v>
      </c>
      <c r="B15" s="40" t="s">
        <v>90</v>
      </c>
      <c r="C15" s="40" t="s">
        <v>91</v>
      </c>
      <c r="D15" s="40" t="s">
        <v>92</v>
      </c>
      <c r="E15" s="40" t="s">
        <v>93</v>
      </c>
      <c r="F15" s="39" t="str">
        <f t="shared" si="1"/>
        <v>CORRECT</v>
      </c>
      <c r="G15" s="39" t="s">
        <v>48</v>
      </c>
      <c r="H15" s="41" t="s">
        <v>48</v>
      </c>
      <c r="I15" s="42" t="s">
        <v>287</v>
      </c>
      <c r="J15" s="43">
        <v>62577.0</v>
      </c>
    </row>
    <row r="16" ht="60.0" customHeight="1">
      <c r="A16" s="39">
        <v>13.0</v>
      </c>
      <c r="B16" s="40" t="s">
        <v>95</v>
      </c>
      <c r="C16" s="40" t="s">
        <v>96</v>
      </c>
      <c r="D16" s="40" t="s">
        <v>97</v>
      </c>
      <c r="E16" s="40" t="s">
        <v>98</v>
      </c>
      <c r="F16" s="39" t="str">
        <f t="shared" si="1"/>
        <v>CORRECT</v>
      </c>
      <c r="G16" s="39" t="s">
        <v>36</v>
      </c>
      <c r="H16" s="43" t="s">
        <v>36</v>
      </c>
      <c r="I16" s="42" t="s">
        <v>99</v>
      </c>
      <c r="J16" s="43">
        <v>28167.0</v>
      </c>
    </row>
    <row r="17" ht="60.0" customHeight="1">
      <c r="A17" s="39">
        <v>14.0</v>
      </c>
      <c r="B17" s="40" t="s">
        <v>100</v>
      </c>
      <c r="C17" s="40" t="s">
        <v>101</v>
      </c>
      <c r="D17" s="40" t="s">
        <v>102</v>
      </c>
      <c r="E17" s="40" t="s">
        <v>103</v>
      </c>
      <c r="F17" s="39" t="str">
        <f t="shared" si="1"/>
        <v>WRONG</v>
      </c>
      <c r="G17" s="39" t="s">
        <v>36</v>
      </c>
      <c r="H17" s="41" t="s">
        <v>48</v>
      </c>
      <c r="I17" s="42" t="s">
        <v>288</v>
      </c>
      <c r="J17" s="43">
        <v>36282.0</v>
      </c>
    </row>
    <row r="18" ht="60.0" customHeight="1">
      <c r="A18" s="39">
        <v>15.0</v>
      </c>
      <c r="B18" s="40" t="s">
        <v>105</v>
      </c>
      <c r="C18" s="40" t="s">
        <v>106</v>
      </c>
      <c r="D18" s="40" t="s">
        <v>107</v>
      </c>
      <c r="E18" s="40" t="s">
        <v>108</v>
      </c>
      <c r="F18" s="39" t="str">
        <f t="shared" si="1"/>
        <v>CORRECT</v>
      </c>
      <c r="G18" s="39" t="s">
        <v>48</v>
      </c>
      <c r="H18" s="41" t="s">
        <v>48</v>
      </c>
      <c r="I18" s="42" t="s">
        <v>109</v>
      </c>
      <c r="J18" s="43">
        <v>39989.0</v>
      </c>
    </row>
    <row r="19" ht="60.0" customHeight="1">
      <c r="A19" s="39">
        <v>16.0</v>
      </c>
      <c r="B19" s="40" t="s">
        <v>110</v>
      </c>
      <c r="C19" s="40" t="s">
        <v>111</v>
      </c>
      <c r="D19" s="40" t="s">
        <v>112</v>
      </c>
      <c r="E19" s="40" t="s">
        <v>113</v>
      </c>
      <c r="F19" s="39" t="str">
        <f t="shared" si="1"/>
        <v>CORRECT</v>
      </c>
      <c r="G19" s="39" t="s">
        <v>48</v>
      </c>
      <c r="H19" s="41" t="s">
        <v>48</v>
      </c>
      <c r="I19" s="42" t="s">
        <v>289</v>
      </c>
      <c r="J19" s="43">
        <v>39818.0</v>
      </c>
    </row>
    <row r="20" ht="60.0" customHeight="1">
      <c r="A20" s="39">
        <v>17.0</v>
      </c>
      <c r="B20" s="40" t="s">
        <v>115</v>
      </c>
      <c r="C20" s="40" t="s">
        <v>116</v>
      </c>
      <c r="D20" s="40" t="s">
        <v>117</v>
      </c>
      <c r="E20" s="40" t="s">
        <v>118</v>
      </c>
      <c r="F20" s="39" t="str">
        <f t="shared" si="1"/>
        <v>WRONG</v>
      </c>
      <c r="G20" s="39" t="s">
        <v>37</v>
      </c>
      <c r="H20" s="41" t="s">
        <v>36</v>
      </c>
      <c r="I20" s="42" t="s">
        <v>290</v>
      </c>
      <c r="J20" s="43">
        <v>39442.0</v>
      </c>
    </row>
    <row r="21" ht="60.0" customHeight="1">
      <c r="A21" s="39">
        <v>18.0</v>
      </c>
      <c r="B21" s="40" t="s">
        <v>120</v>
      </c>
      <c r="C21" s="40" t="s">
        <v>121</v>
      </c>
      <c r="D21" s="40" t="s">
        <v>122</v>
      </c>
      <c r="E21" s="40" t="s">
        <v>123</v>
      </c>
      <c r="F21" s="39" t="str">
        <f t="shared" si="1"/>
        <v>CORRECT</v>
      </c>
      <c r="G21" s="39" t="s">
        <v>37</v>
      </c>
      <c r="H21" s="43" t="s">
        <v>37</v>
      </c>
      <c r="I21" s="42" t="s">
        <v>291</v>
      </c>
      <c r="J21" s="43">
        <v>46697.0</v>
      </c>
    </row>
    <row r="22" ht="60.0" customHeight="1">
      <c r="A22" s="39">
        <v>19.0</v>
      </c>
      <c r="B22" s="40" t="s">
        <v>125</v>
      </c>
      <c r="C22" s="40" t="s">
        <v>126</v>
      </c>
      <c r="D22" s="40" t="s">
        <v>127</v>
      </c>
      <c r="E22" s="40" t="s">
        <v>128</v>
      </c>
      <c r="F22" s="39" t="str">
        <f t="shared" si="1"/>
        <v>WRONG</v>
      </c>
      <c r="G22" s="39" t="s">
        <v>36</v>
      </c>
      <c r="H22" s="41" t="s">
        <v>48</v>
      </c>
      <c r="I22" s="42" t="s">
        <v>292</v>
      </c>
      <c r="J22" s="43">
        <v>60683.0</v>
      </c>
    </row>
    <row r="23" ht="60.0" customHeight="1">
      <c r="A23" s="39">
        <v>20.0</v>
      </c>
      <c r="B23" s="40" t="s">
        <v>130</v>
      </c>
      <c r="C23" s="40" t="s">
        <v>131</v>
      </c>
      <c r="D23" s="40" t="s">
        <v>132</v>
      </c>
      <c r="E23" s="40" t="s">
        <v>133</v>
      </c>
      <c r="F23" s="39" t="str">
        <f t="shared" si="1"/>
        <v>WRONG</v>
      </c>
      <c r="G23" s="39" t="s">
        <v>37</v>
      </c>
      <c r="H23" s="43" t="s">
        <v>48</v>
      </c>
      <c r="I23" s="42" t="s">
        <v>134</v>
      </c>
      <c r="J23" s="43">
        <v>21845.0</v>
      </c>
    </row>
    <row r="24" ht="60.0" customHeight="1">
      <c r="A24" s="39">
        <v>21.0</v>
      </c>
      <c r="B24" s="40" t="s">
        <v>135</v>
      </c>
      <c r="C24" s="40" t="s">
        <v>136</v>
      </c>
      <c r="D24" s="40" t="s">
        <v>137</v>
      </c>
      <c r="E24" s="40" t="s">
        <v>138</v>
      </c>
      <c r="F24" s="39" t="str">
        <f t="shared" si="1"/>
        <v>WRONG</v>
      </c>
      <c r="G24" s="39" t="s">
        <v>37</v>
      </c>
      <c r="H24" s="43" t="s">
        <v>36</v>
      </c>
      <c r="I24" s="42" t="s">
        <v>139</v>
      </c>
      <c r="J24" s="43">
        <v>24251.0</v>
      </c>
    </row>
    <row r="25" ht="60.0" customHeight="1">
      <c r="A25" s="39">
        <v>22.0</v>
      </c>
      <c r="B25" s="40" t="s">
        <v>140</v>
      </c>
      <c r="C25" s="40" t="s">
        <v>141</v>
      </c>
      <c r="D25" s="40" t="s">
        <v>142</v>
      </c>
      <c r="E25" s="40" t="s">
        <v>143</v>
      </c>
      <c r="F25" s="39" t="str">
        <f t="shared" si="1"/>
        <v>CORRECT</v>
      </c>
      <c r="G25" s="39" t="s">
        <v>37</v>
      </c>
      <c r="H25" s="43" t="s">
        <v>37</v>
      </c>
      <c r="I25" s="42" t="s">
        <v>293</v>
      </c>
      <c r="J25" s="43">
        <v>24544.0</v>
      </c>
    </row>
    <row r="26" ht="60.0" customHeight="1">
      <c r="A26" s="39">
        <v>23.0</v>
      </c>
      <c r="B26" s="40" t="s">
        <v>145</v>
      </c>
      <c r="C26" s="40" t="s">
        <v>146</v>
      </c>
      <c r="D26" s="40" t="s">
        <v>147</v>
      </c>
      <c r="E26" s="40" t="s">
        <v>148</v>
      </c>
      <c r="F26" s="39" t="str">
        <f t="shared" si="1"/>
        <v>CORRECT</v>
      </c>
      <c r="G26" s="39" t="s">
        <v>48</v>
      </c>
      <c r="H26" s="41" t="s">
        <v>48</v>
      </c>
      <c r="I26" s="42" t="s">
        <v>294</v>
      </c>
      <c r="J26" s="43">
        <v>26215.0</v>
      </c>
    </row>
    <row r="27" ht="60.0" customHeight="1">
      <c r="A27" s="39">
        <v>24.0</v>
      </c>
      <c r="B27" s="40" t="s">
        <v>150</v>
      </c>
      <c r="C27" s="40" t="s">
        <v>151</v>
      </c>
      <c r="D27" s="40" t="s">
        <v>152</v>
      </c>
      <c r="E27" s="40" t="s">
        <v>153</v>
      </c>
      <c r="F27" s="39" t="str">
        <f t="shared" si="1"/>
        <v>WRONG</v>
      </c>
      <c r="G27" s="39" t="s">
        <v>36</v>
      </c>
      <c r="H27" s="41" t="s">
        <v>48</v>
      </c>
      <c r="I27" s="42" t="s">
        <v>295</v>
      </c>
      <c r="J27" s="43">
        <v>90649.0</v>
      </c>
    </row>
    <row r="28" ht="60.0" customHeight="1">
      <c r="A28" s="39">
        <v>25.0</v>
      </c>
      <c r="B28" s="40" t="s">
        <v>155</v>
      </c>
      <c r="C28" s="40" t="s">
        <v>151</v>
      </c>
      <c r="D28" s="40" t="s">
        <v>156</v>
      </c>
      <c r="E28" s="40" t="s">
        <v>153</v>
      </c>
      <c r="F28" s="39" t="str">
        <f t="shared" si="1"/>
        <v>WRONG</v>
      </c>
      <c r="G28" s="39" t="s">
        <v>48</v>
      </c>
      <c r="H28" s="41" t="s">
        <v>36</v>
      </c>
      <c r="I28" s="42" t="s">
        <v>157</v>
      </c>
      <c r="J28" s="43">
        <v>35010.0</v>
      </c>
    </row>
    <row r="29" ht="60.0" customHeight="1">
      <c r="A29" s="39">
        <v>26.0</v>
      </c>
      <c r="B29" s="40" t="s">
        <v>158</v>
      </c>
      <c r="C29" s="40" t="s">
        <v>159</v>
      </c>
      <c r="D29" s="40" t="s">
        <v>160</v>
      </c>
      <c r="E29" s="40" t="s">
        <v>161</v>
      </c>
      <c r="F29" s="39" t="str">
        <f t="shared" si="1"/>
        <v>WRONG</v>
      </c>
      <c r="G29" s="39" t="s">
        <v>36</v>
      </c>
      <c r="H29" s="41" t="s">
        <v>48</v>
      </c>
      <c r="I29" s="42" t="s">
        <v>162</v>
      </c>
      <c r="J29" s="43">
        <v>31754.0</v>
      </c>
    </row>
    <row r="30" ht="60.0" customHeight="1">
      <c r="A30" s="39">
        <v>27.0</v>
      </c>
      <c r="B30" s="40" t="s">
        <v>163</v>
      </c>
      <c r="C30" s="40" t="s">
        <v>164</v>
      </c>
      <c r="D30" s="40" t="s">
        <v>165</v>
      </c>
      <c r="E30" s="40" t="s">
        <v>166</v>
      </c>
      <c r="F30" s="39" t="str">
        <f t="shared" si="1"/>
        <v>CORRECT</v>
      </c>
      <c r="G30" s="39" t="s">
        <v>37</v>
      </c>
      <c r="H30" s="43" t="s">
        <v>37</v>
      </c>
      <c r="I30" s="42" t="s">
        <v>296</v>
      </c>
      <c r="J30" s="43">
        <v>39735.0</v>
      </c>
    </row>
    <row r="31" ht="60.0" customHeight="1">
      <c r="A31" s="39">
        <v>28.0</v>
      </c>
      <c r="B31" s="40" t="s">
        <v>168</v>
      </c>
      <c r="C31" s="40" t="s">
        <v>169</v>
      </c>
      <c r="D31" s="40" t="s">
        <v>170</v>
      </c>
      <c r="E31" s="40" t="s">
        <v>171</v>
      </c>
      <c r="F31" s="39" t="str">
        <f t="shared" si="1"/>
        <v>WRONG</v>
      </c>
      <c r="G31" s="39" t="s">
        <v>36</v>
      </c>
      <c r="H31" s="43" t="s">
        <v>37</v>
      </c>
      <c r="I31" s="42" t="s">
        <v>172</v>
      </c>
      <c r="J31" s="43">
        <v>30637.0</v>
      </c>
    </row>
    <row r="32" ht="60.0" customHeight="1">
      <c r="A32" s="39">
        <v>29.0</v>
      </c>
      <c r="B32" s="40" t="s">
        <v>173</v>
      </c>
      <c r="C32" s="40" t="s">
        <v>174</v>
      </c>
      <c r="D32" s="40" t="s">
        <v>175</v>
      </c>
      <c r="E32" s="40" t="s">
        <v>176</v>
      </c>
      <c r="F32" s="39" t="str">
        <f t="shared" si="1"/>
        <v>CORRECT</v>
      </c>
      <c r="G32" s="39" t="s">
        <v>37</v>
      </c>
      <c r="H32" s="41" t="s">
        <v>37</v>
      </c>
      <c r="I32" s="42" t="s">
        <v>177</v>
      </c>
      <c r="J32" s="43">
        <v>37910.0</v>
      </c>
    </row>
    <row r="33" ht="60.0" customHeight="1">
      <c r="A33" s="39">
        <v>30.0</v>
      </c>
      <c r="B33" s="40" t="s">
        <v>178</v>
      </c>
      <c r="C33" s="40" t="s">
        <v>179</v>
      </c>
      <c r="D33" s="40" t="s">
        <v>180</v>
      </c>
      <c r="E33" s="40" t="s">
        <v>181</v>
      </c>
      <c r="F33" s="39" t="str">
        <f t="shared" si="1"/>
        <v>WRONG</v>
      </c>
      <c r="G33" s="39" t="s">
        <v>48</v>
      </c>
      <c r="H33" s="43" t="s">
        <v>36</v>
      </c>
      <c r="I33" s="42" t="s">
        <v>297</v>
      </c>
      <c r="J33" s="43">
        <v>18653.0</v>
      </c>
    </row>
    <row r="34" ht="60.0" customHeight="1">
      <c r="A34" s="39">
        <v>31.0</v>
      </c>
      <c r="B34" s="40" t="s">
        <v>183</v>
      </c>
      <c r="C34" s="40" t="s">
        <v>184</v>
      </c>
      <c r="D34" s="40" t="s">
        <v>185</v>
      </c>
      <c r="E34" s="40" t="s">
        <v>186</v>
      </c>
      <c r="F34" s="39" t="str">
        <f t="shared" si="1"/>
        <v>WRONG</v>
      </c>
      <c r="G34" s="39" t="s">
        <v>37</v>
      </c>
      <c r="H34" s="41" t="s">
        <v>36</v>
      </c>
      <c r="I34" s="42" t="s">
        <v>298</v>
      </c>
      <c r="J34" s="43">
        <v>42970.0</v>
      </c>
    </row>
    <row r="35" ht="60.0" customHeight="1">
      <c r="A35" s="39">
        <v>32.0</v>
      </c>
      <c r="B35" s="40" t="s">
        <v>188</v>
      </c>
      <c r="C35" s="40" t="s">
        <v>189</v>
      </c>
      <c r="D35" s="40" t="s">
        <v>190</v>
      </c>
      <c r="E35" s="40" t="s">
        <v>191</v>
      </c>
      <c r="F35" s="39" t="str">
        <f t="shared" si="1"/>
        <v>CORRECT</v>
      </c>
      <c r="G35" s="39" t="s">
        <v>36</v>
      </c>
      <c r="H35" s="43" t="s">
        <v>36</v>
      </c>
      <c r="I35" s="42" t="s">
        <v>299</v>
      </c>
      <c r="J35" s="43">
        <v>46989.0</v>
      </c>
    </row>
    <row r="36" ht="60.0" customHeight="1">
      <c r="A36" s="39">
        <v>33.0</v>
      </c>
      <c r="B36" s="40" t="s">
        <v>193</v>
      </c>
      <c r="C36" s="40" t="s">
        <v>194</v>
      </c>
      <c r="D36" s="40" t="s">
        <v>195</v>
      </c>
      <c r="E36" s="40" t="s">
        <v>196</v>
      </c>
      <c r="F36" s="39" t="str">
        <f t="shared" si="1"/>
        <v>CORRECT</v>
      </c>
      <c r="G36" s="39" t="s">
        <v>48</v>
      </c>
      <c r="H36" s="41" t="s">
        <v>48</v>
      </c>
      <c r="I36" s="42" t="s">
        <v>300</v>
      </c>
      <c r="J36" s="43">
        <v>34805.0</v>
      </c>
    </row>
    <row r="37" ht="60.0" customHeight="1">
      <c r="A37" s="39">
        <v>34.0</v>
      </c>
      <c r="B37" s="40" t="s">
        <v>198</v>
      </c>
      <c r="C37" s="40" t="s">
        <v>199</v>
      </c>
      <c r="D37" s="40" t="s">
        <v>200</v>
      </c>
      <c r="E37" s="40" t="s">
        <v>201</v>
      </c>
      <c r="F37" s="39" t="str">
        <f t="shared" si="1"/>
        <v>CORRECT</v>
      </c>
      <c r="G37" s="39" t="s">
        <v>36</v>
      </c>
      <c r="H37" s="41" t="s">
        <v>36</v>
      </c>
      <c r="I37" s="42" t="s">
        <v>202</v>
      </c>
      <c r="J37" s="43">
        <v>28585.0</v>
      </c>
    </row>
    <row r="38" ht="60.0" customHeight="1">
      <c r="A38" s="39">
        <v>35.0</v>
      </c>
      <c r="B38" s="40" t="s">
        <v>203</v>
      </c>
      <c r="C38" s="40" t="s">
        <v>204</v>
      </c>
      <c r="D38" s="40" t="s">
        <v>205</v>
      </c>
      <c r="E38" s="40" t="s">
        <v>206</v>
      </c>
      <c r="F38" s="39" t="str">
        <f t="shared" si="1"/>
        <v>CORRECT</v>
      </c>
      <c r="G38" s="39" t="s">
        <v>48</v>
      </c>
      <c r="H38" s="41" t="s">
        <v>48</v>
      </c>
      <c r="I38" s="42" t="s">
        <v>301</v>
      </c>
      <c r="J38" s="43">
        <v>47763.0</v>
      </c>
    </row>
    <row r="39" ht="60.0" customHeight="1">
      <c r="A39" s="39">
        <v>36.0</v>
      </c>
      <c r="B39" s="40" t="s">
        <v>208</v>
      </c>
      <c r="C39" s="40" t="s">
        <v>209</v>
      </c>
      <c r="D39" s="40" t="s">
        <v>210</v>
      </c>
      <c r="E39" s="40" t="s">
        <v>211</v>
      </c>
      <c r="F39" s="39" t="str">
        <f t="shared" si="1"/>
        <v>CORRECT</v>
      </c>
      <c r="G39" s="39" t="s">
        <v>36</v>
      </c>
      <c r="H39" s="43" t="s">
        <v>36</v>
      </c>
      <c r="I39" s="42" t="s">
        <v>212</v>
      </c>
      <c r="J39" s="43">
        <v>22726.0</v>
      </c>
    </row>
    <row r="40" ht="60.0" customHeight="1">
      <c r="A40" s="39">
        <v>37.0</v>
      </c>
      <c r="B40" s="40" t="s">
        <v>213</v>
      </c>
      <c r="C40" s="40" t="s">
        <v>214</v>
      </c>
      <c r="D40" s="40" t="s">
        <v>215</v>
      </c>
      <c r="E40" s="40" t="s">
        <v>216</v>
      </c>
      <c r="F40" s="39" t="str">
        <f t="shared" si="1"/>
        <v>CORRECT</v>
      </c>
      <c r="G40" s="39" t="s">
        <v>36</v>
      </c>
      <c r="H40" s="43" t="s">
        <v>36</v>
      </c>
      <c r="I40" s="42" t="s">
        <v>302</v>
      </c>
      <c r="J40" s="43">
        <v>47798.0</v>
      </c>
    </row>
    <row r="41" ht="60.0" customHeight="1">
      <c r="A41" s="39">
        <v>38.0</v>
      </c>
      <c r="B41" s="40" t="s">
        <v>218</v>
      </c>
      <c r="C41" s="40" t="s">
        <v>219</v>
      </c>
      <c r="D41" s="40" t="s">
        <v>220</v>
      </c>
      <c r="E41" s="40" t="s">
        <v>221</v>
      </c>
      <c r="F41" s="39" t="str">
        <f t="shared" si="1"/>
        <v>CORRECT</v>
      </c>
      <c r="G41" s="39" t="s">
        <v>36</v>
      </c>
      <c r="H41" s="43" t="s">
        <v>36</v>
      </c>
      <c r="I41" s="42" t="s">
        <v>222</v>
      </c>
      <c r="J41" s="43">
        <v>32012.0</v>
      </c>
    </row>
    <row r="42" ht="60.0" customHeight="1">
      <c r="A42" s="39">
        <v>39.0</v>
      </c>
      <c r="B42" s="40" t="s">
        <v>223</v>
      </c>
      <c r="C42" s="40" t="s">
        <v>224</v>
      </c>
      <c r="D42" s="40" t="s">
        <v>225</v>
      </c>
      <c r="E42" s="40" t="s">
        <v>226</v>
      </c>
      <c r="F42" s="39" t="str">
        <f t="shared" si="1"/>
        <v>WRONG</v>
      </c>
      <c r="G42" s="39" t="s">
        <v>37</v>
      </c>
      <c r="H42" s="43" t="s">
        <v>48</v>
      </c>
      <c r="I42" s="42" t="s">
        <v>303</v>
      </c>
      <c r="J42" s="43">
        <v>30266.0</v>
      </c>
    </row>
    <row r="43" ht="60.0" customHeight="1">
      <c r="A43" s="39">
        <v>40.0</v>
      </c>
      <c r="B43" s="40" t="s">
        <v>228</v>
      </c>
      <c r="C43" s="40" t="s">
        <v>229</v>
      </c>
      <c r="D43" s="40" t="s">
        <v>230</v>
      </c>
      <c r="E43" s="40" t="s">
        <v>231</v>
      </c>
      <c r="F43" s="39" t="str">
        <f t="shared" si="1"/>
        <v>WRONG</v>
      </c>
      <c r="G43" s="39" t="s">
        <v>48</v>
      </c>
      <c r="H43" s="41" t="s">
        <v>37</v>
      </c>
      <c r="I43" s="42" t="s">
        <v>232</v>
      </c>
      <c r="J43" s="43">
        <v>46220.0</v>
      </c>
    </row>
    <row r="44" ht="60.0" customHeight="1">
      <c r="A44" s="39">
        <v>41.0</v>
      </c>
      <c r="B44" s="40" t="s">
        <v>233</v>
      </c>
      <c r="C44" s="40" t="s">
        <v>234</v>
      </c>
      <c r="D44" s="40" t="s">
        <v>235</v>
      </c>
      <c r="E44" s="40" t="s">
        <v>236</v>
      </c>
      <c r="F44" s="39" t="str">
        <f t="shared" si="1"/>
        <v>CORRECT</v>
      </c>
      <c r="G44" s="39" t="s">
        <v>37</v>
      </c>
      <c r="H44" s="41" t="s">
        <v>37</v>
      </c>
      <c r="I44" s="42" t="s">
        <v>237</v>
      </c>
      <c r="J44" s="43">
        <v>28342.0</v>
      </c>
    </row>
    <row r="45" ht="60.0" customHeight="1">
      <c r="A45" s="39">
        <v>42.0</v>
      </c>
      <c r="B45" s="40" t="s">
        <v>238</v>
      </c>
      <c r="C45" s="40" t="s">
        <v>239</v>
      </c>
      <c r="D45" s="40" t="s">
        <v>240</v>
      </c>
      <c r="E45" s="40" t="s">
        <v>241</v>
      </c>
      <c r="F45" s="39" t="str">
        <f t="shared" si="1"/>
        <v>WRONG</v>
      </c>
      <c r="G45" s="39" t="s">
        <v>36</v>
      </c>
      <c r="H45" s="43" t="s">
        <v>37</v>
      </c>
      <c r="I45" s="42" t="s">
        <v>304</v>
      </c>
      <c r="J45" s="43">
        <v>27635.0</v>
      </c>
    </row>
    <row r="46" ht="60.0" customHeight="1">
      <c r="A46" s="39">
        <v>43.0</v>
      </c>
      <c r="B46" s="40" t="s">
        <v>243</v>
      </c>
      <c r="C46" s="40" t="s">
        <v>244</v>
      </c>
      <c r="D46" s="40" t="s">
        <v>245</v>
      </c>
      <c r="E46" s="40" t="s">
        <v>246</v>
      </c>
      <c r="F46" s="39" t="str">
        <f t="shared" si="1"/>
        <v>WRONG</v>
      </c>
      <c r="G46" s="39" t="s">
        <v>48</v>
      </c>
      <c r="H46" s="41" t="s">
        <v>36</v>
      </c>
      <c r="I46" s="42" t="s">
        <v>305</v>
      </c>
      <c r="J46" s="43">
        <v>34019.0</v>
      </c>
    </row>
    <row r="47" ht="60.0" customHeight="1">
      <c r="A47" s="39">
        <v>44.0</v>
      </c>
      <c r="B47" s="40" t="s">
        <v>248</v>
      </c>
      <c r="C47" s="40" t="s">
        <v>249</v>
      </c>
      <c r="D47" s="40" t="s">
        <v>250</v>
      </c>
      <c r="E47" s="40" t="s">
        <v>251</v>
      </c>
      <c r="F47" s="39" t="str">
        <f t="shared" si="1"/>
        <v>WRONG</v>
      </c>
      <c r="G47" s="39" t="s">
        <v>36</v>
      </c>
      <c r="H47" s="41" t="s">
        <v>48</v>
      </c>
      <c r="I47" s="42" t="s">
        <v>306</v>
      </c>
      <c r="J47" s="43">
        <v>42066.0</v>
      </c>
    </row>
    <row r="48" ht="60.0" customHeight="1">
      <c r="A48" s="39">
        <v>45.0</v>
      </c>
      <c r="B48" s="40" t="s">
        <v>253</v>
      </c>
      <c r="C48" s="40" t="s">
        <v>254</v>
      </c>
      <c r="D48" s="40" t="s">
        <v>255</v>
      </c>
      <c r="E48" s="40" t="s">
        <v>256</v>
      </c>
      <c r="F48" s="39" t="str">
        <f t="shared" si="1"/>
        <v>CORRECT</v>
      </c>
      <c r="G48" s="39" t="s">
        <v>36</v>
      </c>
      <c r="H48" s="41" t="s">
        <v>36</v>
      </c>
      <c r="I48" s="42" t="s">
        <v>257</v>
      </c>
      <c r="J48" s="43">
        <v>39750.0</v>
      </c>
    </row>
    <row r="49" ht="60.0" customHeight="1">
      <c r="A49" s="39">
        <v>46.0</v>
      </c>
      <c r="B49" s="40" t="s">
        <v>258</v>
      </c>
      <c r="C49" s="40" t="s">
        <v>40</v>
      </c>
      <c r="D49" s="40" t="s">
        <v>259</v>
      </c>
      <c r="E49" s="40" t="s">
        <v>260</v>
      </c>
      <c r="F49" s="39" t="str">
        <f t="shared" si="1"/>
        <v>CORRECT</v>
      </c>
      <c r="G49" s="39" t="s">
        <v>36</v>
      </c>
      <c r="H49" s="43" t="s">
        <v>36</v>
      </c>
      <c r="I49" s="42" t="s">
        <v>261</v>
      </c>
      <c r="J49" s="43">
        <v>30467.0</v>
      </c>
    </row>
    <row r="50">
      <c r="A50" s="44" t="s">
        <v>262</v>
      </c>
      <c r="B50" s="2"/>
      <c r="C50" s="2"/>
      <c r="D50" s="2"/>
      <c r="E50" s="3"/>
      <c r="F50" s="45">
        <f>COUNTIFS(F4:F49,"CORRECT")</f>
        <v>27</v>
      </c>
      <c r="G50" s="46"/>
      <c r="H50" s="46"/>
      <c r="J50" s="47">
        <f>AVERAGE(J4:J49)</f>
        <v>37684.23913</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c r="I60" s="52" t="s">
        <v>307</v>
      </c>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308</v>
      </c>
      <c r="C2" s="2"/>
      <c r="D2" s="2"/>
      <c r="E2" s="2"/>
      <c r="F2" s="2"/>
      <c r="G2" s="2"/>
      <c r="H2" s="3"/>
      <c r="I2" s="37" t="s">
        <v>309</v>
      </c>
      <c r="J2" s="3"/>
      <c r="K2" s="34"/>
      <c r="L2" s="34"/>
      <c r="M2" s="34"/>
      <c r="N2" s="53" t="s">
        <v>310</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43" t="s">
        <v>36</v>
      </c>
      <c r="I4" s="54" t="s">
        <v>38</v>
      </c>
      <c r="J4" s="43">
        <v>31084.0</v>
      </c>
    </row>
    <row r="5" ht="60.0" customHeight="1">
      <c r="A5" s="39">
        <v>2.0</v>
      </c>
      <c r="B5" s="40" t="s">
        <v>39</v>
      </c>
      <c r="C5" s="40" t="s">
        <v>40</v>
      </c>
      <c r="D5" s="40" t="s">
        <v>41</v>
      </c>
      <c r="E5" s="40" t="s">
        <v>42</v>
      </c>
      <c r="F5" s="39" t="str">
        <f t="shared" si="1"/>
        <v>CORRECT</v>
      </c>
      <c r="G5" s="39" t="s">
        <v>37</v>
      </c>
      <c r="H5" s="41" t="s">
        <v>37</v>
      </c>
      <c r="I5" s="54" t="s">
        <v>43</v>
      </c>
      <c r="J5" s="43">
        <v>41629.0</v>
      </c>
    </row>
    <row r="6" ht="60.0" customHeight="1">
      <c r="A6" s="39">
        <v>3.0</v>
      </c>
      <c r="B6" s="40" t="s">
        <v>44</v>
      </c>
      <c r="C6" s="40" t="s">
        <v>45</v>
      </c>
      <c r="D6" s="40" t="s">
        <v>46</v>
      </c>
      <c r="E6" s="40" t="s">
        <v>47</v>
      </c>
      <c r="F6" s="39" t="str">
        <f t="shared" si="1"/>
        <v>CORRECT</v>
      </c>
      <c r="G6" s="39" t="s">
        <v>48</v>
      </c>
      <c r="H6" s="41" t="s">
        <v>48</v>
      </c>
      <c r="I6" s="54" t="s">
        <v>49</v>
      </c>
      <c r="J6" s="43">
        <v>43190.0</v>
      </c>
    </row>
    <row r="7" ht="60.0" customHeight="1">
      <c r="A7" s="39">
        <v>4.0</v>
      </c>
      <c r="B7" s="40" t="s">
        <v>50</v>
      </c>
      <c r="C7" s="40" t="s">
        <v>51</v>
      </c>
      <c r="D7" s="40" t="s">
        <v>52</v>
      </c>
      <c r="E7" s="40" t="s">
        <v>53</v>
      </c>
      <c r="F7" s="39" t="str">
        <f t="shared" si="1"/>
        <v>CORRECT</v>
      </c>
      <c r="G7" s="39" t="s">
        <v>37</v>
      </c>
      <c r="H7" s="41" t="s">
        <v>37</v>
      </c>
      <c r="I7" s="54" t="s">
        <v>54</v>
      </c>
      <c r="J7" s="43">
        <v>24245.0</v>
      </c>
    </row>
    <row r="8" ht="60.0" customHeight="1">
      <c r="A8" s="39">
        <v>5.0</v>
      </c>
      <c r="B8" s="40" t="s">
        <v>55</v>
      </c>
      <c r="C8" s="40" t="s">
        <v>56</v>
      </c>
      <c r="D8" s="40" t="s">
        <v>57</v>
      </c>
      <c r="E8" s="40" t="s">
        <v>58</v>
      </c>
      <c r="F8" s="39" t="str">
        <f t="shared" si="1"/>
        <v>CORRECT</v>
      </c>
      <c r="G8" s="39" t="s">
        <v>48</v>
      </c>
      <c r="H8" s="41" t="s">
        <v>48</v>
      </c>
      <c r="I8" s="54" t="s">
        <v>268</v>
      </c>
      <c r="J8" s="43">
        <v>51514.0</v>
      </c>
    </row>
    <row r="9" ht="60.0" customHeight="1">
      <c r="A9" s="39">
        <v>6.0</v>
      </c>
      <c r="B9" s="40" t="s">
        <v>60</v>
      </c>
      <c r="C9" s="40" t="s">
        <v>61</v>
      </c>
      <c r="D9" s="40" t="s">
        <v>62</v>
      </c>
      <c r="E9" s="40" t="s">
        <v>63</v>
      </c>
      <c r="F9" s="39" t="str">
        <f t="shared" si="1"/>
        <v>CORRECT</v>
      </c>
      <c r="G9" s="39" t="s">
        <v>37</v>
      </c>
      <c r="H9" s="43" t="s">
        <v>37</v>
      </c>
      <c r="I9" s="54" t="s">
        <v>64</v>
      </c>
      <c r="J9" s="43">
        <v>36502.0</v>
      </c>
    </row>
    <row r="10" ht="60.0" customHeight="1">
      <c r="A10" s="39">
        <v>7.0</v>
      </c>
      <c r="B10" s="40" t="s">
        <v>65</v>
      </c>
      <c r="C10" s="40" t="s">
        <v>66</v>
      </c>
      <c r="D10" s="40" t="s">
        <v>67</v>
      </c>
      <c r="E10" s="40" t="s">
        <v>68</v>
      </c>
      <c r="F10" s="39" t="str">
        <f t="shared" si="1"/>
        <v>WRONG</v>
      </c>
      <c r="G10" s="39" t="s">
        <v>37</v>
      </c>
      <c r="H10" s="43" t="s">
        <v>36</v>
      </c>
      <c r="I10" s="54" t="s">
        <v>269</v>
      </c>
      <c r="J10" s="43">
        <v>40019.0</v>
      </c>
    </row>
    <row r="11" ht="60.0" customHeight="1">
      <c r="A11" s="39">
        <v>8.0</v>
      </c>
      <c r="B11" s="40" t="s">
        <v>70</v>
      </c>
      <c r="C11" s="40" t="s">
        <v>71</v>
      </c>
      <c r="D11" s="40" t="s">
        <v>72</v>
      </c>
      <c r="E11" s="40" t="s">
        <v>73</v>
      </c>
      <c r="F11" s="39" t="str">
        <f t="shared" si="1"/>
        <v>CORRECT</v>
      </c>
      <c r="G11" s="39" t="s">
        <v>48</v>
      </c>
      <c r="H11" s="41" t="s">
        <v>48</v>
      </c>
      <c r="I11" s="54" t="s">
        <v>74</v>
      </c>
      <c r="J11" s="43">
        <v>43445.0</v>
      </c>
    </row>
    <row r="12" ht="60.0" customHeight="1">
      <c r="A12" s="39">
        <v>9.0</v>
      </c>
      <c r="B12" s="40" t="s">
        <v>75</v>
      </c>
      <c r="C12" s="40" t="s">
        <v>76</v>
      </c>
      <c r="D12" s="40" t="s">
        <v>77</v>
      </c>
      <c r="E12" s="40" t="s">
        <v>78</v>
      </c>
      <c r="F12" s="39" t="str">
        <f t="shared" si="1"/>
        <v>WRONG</v>
      </c>
      <c r="G12" s="39" t="s">
        <v>37</v>
      </c>
      <c r="H12" s="43" t="s">
        <v>48</v>
      </c>
      <c r="I12" s="54" t="s">
        <v>270</v>
      </c>
      <c r="J12" s="43">
        <v>34420.0</v>
      </c>
    </row>
    <row r="13" ht="60.0" customHeight="1">
      <c r="A13" s="39">
        <v>10.0</v>
      </c>
      <c r="B13" s="40" t="s">
        <v>80</v>
      </c>
      <c r="C13" s="40" t="s">
        <v>81</v>
      </c>
      <c r="D13" s="40" t="s">
        <v>82</v>
      </c>
      <c r="E13" s="40" t="s">
        <v>83</v>
      </c>
      <c r="F13" s="39" t="str">
        <f t="shared" si="1"/>
        <v>CORRECT</v>
      </c>
      <c r="G13" s="39" t="s">
        <v>48</v>
      </c>
      <c r="H13" s="41" t="s">
        <v>48</v>
      </c>
      <c r="I13" s="54" t="s">
        <v>271</v>
      </c>
      <c r="J13" s="43">
        <v>39772.0</v>
      </c>
    </row>
    <row r="14" ht="60.0" customHeight="1">
      <c r="A14" s="39">
        <v>11.0</v>
      </c>
      <c r="B14" s="40" t="s">
        <v>85</v>
      </c>
      <c r="C14" s="40" t="s">
        <v>86</v>
      </c>
      <c r="D14" s="40" t="s">
        <v>87</v>
      </c>
      <c r="E14" s="40" t="s">
        <v>88</v>
      </c>
      <c r="F14" s="39" t="str">
        <f t="shared" si="1"/>
        <v>CORRECT</v>
      </c>
      <c r="G14" s="39" t="s">
        <v>37</v>
      </c>
      <c r="H14" s="41" t="s">
        <v>37</v>
      </c>
      <c r="I14" s="54" t="s">
        <v>272</v>
      </c>
      <c r="J14" s="43">
        <v>45486.0</v>
      </c>
    </row>
    <row r="15" ht="60.0" customHeight="1">
      <c r="A15" s="39">
        <v>12.0</v>
      </c>
      <c r="B15" s="40" t="s">
        <v>90</v>
      </c>
      <c r="C15" s="40" t="s">
        <v>91</v>
      </c>
      <c r="D15" s="40" t="s">
        <v>92</v>
      </c>
      <c r="E15" s="40" t="s">
        <v>93</v>
      </c>
      <c r="F15" s="39" t="str">
        <f t="shared" si="1"/>
        <v>CORRECT</v>
      </c>
      <c r="G15" s="39" t="s">
        <v>48</v>
      </c>
      <c r="H15" s="41" t="s">
        <v>48</v>
      </c>
      <c r="I15" s="54" t="s">
        <v>273</v>
      </c>
      <c r="J15" s="43">
        <v>61327.0</v>
      </c>
    </row>
    <row r="16" ht="60.0" customHeight="1">
      <c r="A16" s="39">
        <v>13.0</v>
      </c>
      <c r="B16" s="40" t="s">
        <v>95</v>
      </c>
      <c r="C16" s="40" t="s">
        <v>96</v>
      </c>
      <c r="D16" s="40" t="s">
        <v>97</v>
      </c>
      <c r="E16" s="40" t="s">
        <v>98</v>
      </c>
      <c r="F16" s="39" t="str">
        <f t="shared" si="1"/>
        <v>CORRECT</v>
      </c>
      <c r="G16" s="39" t="s">
        <v>36</v>
      </c>
      <c r="H16" s="43" t="s">
        <v>36</v>
      </c>
      <c r="I16" s="54" t="s">
        <v>274</v>
      </c>
      <c r="J16" s="43">
        <v>26695.0</v>
      </c>
    </row>
    <row r="17" ht="60.0" customHeight="1">
      <c r="A17" s="39">
        <v>14.0</v>
      </c>
      <c r="B17" s="40" t="s">
        <v>100</v>
      </c>
      <c r="C17" s="40" t="s">
        <v>101</v>
      </c>
      <c r="D17" s="40" t="s">
        <v>102</v>
      </c>
      <c r="E17" s="40" t="s">
        <v>103</v>
      </c>
      <c r="F17" s="39" t="str">
        <f t="shared" si="1"/>
        <v>WRONG</v>
      </c>
      <c r="G17" s="39" t="s">
        <v>36</v>
      </c>
      <c r="H17" s="41" t="s">
        <v>48</v>
      </c>
      <c r="I17" s="54" t="s">
        <v>104</v>
      </c>
      <c r="J17" s="43">
        <v>29889.0</v>
      </c>
    </row>
    <row r="18" ht="60.0" customHeight="1">
      <c r="A18" s="39">
        <v>15.0</v>
      </c>
      <c r="B18" s="40" t="s">
        <v>105</v>
      </c>
      <c r="C18" s="40" t="s">
        <v>106</v>
      </c>
      <c r="D18" s="40" t="s">
        <v>107</v>
      </c>
      <c r="E18" s="40" t="s">
        <v>108</v>
      </c>
      <c r="F18" s="39" t="str">
        <f t="shared" si="1"/>
        <v>CORRECT</v>
      </c>
      <c r="G18" s="39" t="s">
        <v>48</v>
      </c>
      <c r="H18" s="41" t="s">
        <v>48</v>
      </c>
      <c r="I18" s="54" t="s">
        <v>109</v>
      </c>
      <c r="J18" s="43">
        <v>38622.0</v>
      </c>
    </row>
    <row r="19" ht="60.0" customHeight="1">
      <c r="A19" s="39">
        <v>16.0</v>
      </c>
      <c r="B19" s="40" t="s">
        <v>110</v>
      </c>
      <c r="C19" s="40" t="s">
        <v>111</v>
      </c>
      <c r="D19" s="40" t="s">
        <v>112</v>
      </c>
      <c r="E19" s="40" t="s">
        <v>113</v>
      </c>
      <c r="F19" s="39" t="str">
        <f t="shared" si="1"/>
        <v>CORRECT</v>
      </c>
      <c r="G19" s="39" t="s">
        <v>48</v>
      </c>
      <c r="H19" s="41" t="s">
        <v>48</v>
      </c>
      <c r="I19" s="54" t="s">
        <v>275</v>
      </c>
      <c r="J19" s="43">
        <v>39631.0</v>
      </c>
    </row>
    <row r="20" ht="60.0" customHeight="1">
      <c r="A20" s="39">
        <v>17.0</v>
      </c>
      <c r="B20" s="40" t="s">
        <v>115</v>
      </c>
      <c r="C20" s="40" t="s">
        <v>116</v>
      </c>
      <c r="D20" s="40" t="s">
        <v>117</v>
      </c>
      <c r="E20" s="40" t="s">
        <v>118</v>
      </c>
      <c r="F20" s="39" t="str">
        <f t="shared" si="1"/>
        <v>WRONG</v>
      </c>
      <c r="G20" s="39" t="s">
        <v>37</v>
      </c>
      <c r="H20" s="41" t="s">
        <v>36</v>
      </c>
      <c r="I20" s="54" t="s">
        <v>119</v>
      </c>
      <c r="J20" s="43">
        <v>29073.0</v>
      </c>
    </row>
    <row r="21" ht="60.0" customHeight="1">
      <c r="A21" s="39">
        <v>18.0</v>
      </c>
      <c r="B21" s="40" t="s">
        <v>120</v>
      </c>
      <c r="C21" s="40" t="s">
        <v>121</v>
      </c>
      <c r="D21" s="40" t="s">
        <v>122</v>
      </c>
      <c r="E21" s="40" t="s">
        <v>123</v>
      </c>
      <c r="F21" s="39" t="str">
        <f t="shared" si="1"/>
        <v>CORRECT</v>
      </c>
      <c r="G21" s="39" t="s">
        <v>37</v>
      </c>
      <c r="H21" s="43" t="s">
        <v>37</v>
      </c>
      <c r="I21" s="54" t="s">
        <v>124</v>
      </c>
      <c r="J21" s="43">
        <v>37595.0</v>
      </c>
    </row>
    <row r="22" ht="60.0" customHeight="1">
      <c r="A22" s="39">
        <v>19.0</v>
      </c>
      <c r="B22" s="40" t="s">
        <v>125</v>
      </c>
      <c r="C22" s="40" t="s">
        <v>126</v>
      </c>
      <c r="D22" s="40" t="s">
        <v>127</v>
      </c>
      <c r="E22" s="40" t="s">
        <v>128</v>
      </c>
      <c r="F22" s="39" t="str">
        <f t="shared" si="1"/>
        <v>WRONG</v>
      </c>
      <c r="G22" s="39" t="s">
        <v>36</v>
      </c>
      <c r="H22" s="41" t="s">
        <v>48</v>
      </c>
      <c r="I22" s="54" t="s">
        <v>129</v>
      </c>
      <c r="J22" s="43">
        <v>50508.0</v>
      </c>
    </row>
    <row r="23" ht="60.0" customHeight="1">
      <c r="A23" s="39">
        <v>20.0</v>
      </c>
      <c r="B23" s="40" t="s">
        <v>130</v>
      </c>
      <c r="C23" s="40" t="s">
        <v>131</v>
      </c>
      <c r="D23" s="40" t="s">
        <v>132</v>
      </c>
      <c r="E23" s="40" t="s">
        <v>133</v>
      </c>
      <c r="F23" s="39" t="str">
        <f t="shared" si="1"/>
        <v>WRONG</v>
      </c>
      <c r="G23" s="39" t="s">
        <v>37</v>
      </c>
      <c r="H23" s="43" t="s">
        <v>48</v>
      </c>
      <c r="I23" s="54" t="s">
        <v>134</v>
      </c>
      <c r="J23" s="43">
        <v>12578.0</v>
      </c>
    </row>
    <row r="24" ht="60.0" customHeight="1">
      <c r="A24" s="39">
        <v>21.0</v>
      </c>
      <c r="B24" s="40" t="s">
        <v>135</v>
      </c>
      <c r="C24" s="40" t="s">
        <v>136</v>
      </c>
      <c r="D24" s="40" t="s">
        <v>137</v>
      </c>
      <c r="E24" s="40" t="s">
        <v>138</v>
      </c>
      <c r="F24" s="39" t="str">
        <f t="shared" si="1"/>
        <v>WRONG</v>
      </c>
      <c r="G24" s="39" t="s">
        <v>37</v>
      </c>
      <c r="H24" s="43" t="s">
        <v>36</v>
      </c>
      <c r="I24" s="54" t="s">
        <v>139</v>
      </c>
      <c r="J24" s="43">
        <v>14463.0</v>
      </c>
    </row>
    <row r="25" ht="60.0" customHeight="1">
      <c r="A25" s="39">
        <v>22.0</v>
      </c>
      <c r="B25" s="40" t="s">
        <v>140</v>
      </c>
      <c r="C25" s="40" t="s">
        <v>141</v>
      </c>
      <c r="D25" s="40" t="s">
        <v>142</v>
      </c>
      <c r="E25" s="40" t="s">
        <v>143</v>
      </c>
      <c r="F25" s="39" t="str">
        <f t="shared" si="1"/>
        <v>CORRECT</v>
      </c>
      <c r="G25" s="39" t="s">
        <v>37</v>
      </c>
      <c r="H25" s="43" t="s">
        <v>37</v>
      </c>
      <c r="I25" s="54" t="s">
        <v>144</v>
      </c>
      <c r="J25" s="43">
        <v>14341.0</v>
      </c>
    </row>
    <row r="26" ht="60.0" customHeight="1">
      <c r="A26" s="39">
        <v>23.0</v>
      </c>
      <c r="B26" s="40" t="s">
        <v>145</v>
      </c>
      <c r="C26" s="40" t="s">
        <v>146</v>
      </c>
      <c r="D26" s="40" t="s">
        <v>147</v>
      </c>
      <c r="E26" s="40" t="s">
        <v>148</v>
      </c>
      <c r="F26" s="39" t="str">
        <f t="shared" si="1"/>
        <v>CORRECT</v>
      </c>
      <c r="G26" s="39" t="s">
        <v>48</v>
      </c>
      <c r="H26" s="41" t="s">
        <v>48</v>
      </c>
      <c r="I26" s="54" t="s">
        <v>149</v>
      </c>
      <c r="J26" s="43">
        <v>23613.0</v>
      </c>
    </row>
    <row r="27" ht="60.0" customHeight="1">
      <c r="A27" s="39">
        <v>24.0</v>
      </c>
      <c r="B27" s="40" t="s">
        <v>150</v>
      </c>
      <c r="C27" s="40" t="s">
        <v>151</v>
      </c>
      <c r="D27" s="40" t="s">
        <v>152</v>
      </c>
      <c r="E27" s="40" t="s">
        <v>153</v>
      </c>
      <c r="F27" s="39" t="str">
        <f t="shared" si="1"/>
        <v>WRONG</v>
      </c>
      <c r="G27" s="39" t="s">
        <v>36</v>
      </c>
      <c r="H27" s="41" t="s">
        <v>48</v>
      </c>
      <c r="I27" s="54" t="s">
        <v>154</v>
      </c>
      <c r="J27" s="43">
        <v>34732.0</v>
      </c>
    </row>
    <row r="28" ht="60.0" customHeight="1">
      <c r="A28" s="39">
        <v>25.0</v>
      </c>
      <c r="B28" s="40" t="s">
        <v>155</v>
      </c>
      <c r="C28" s="40" t="s">
        <v>151</v>
      </c>
      <c r="D28" s="40" t="s">
        <v>156</v>
      </c>
      <c r="E28" s="40" t="s">
        <v>153</v>
      </c>
      <c r="F28" s="39" t="str">
        <f t="shared" si="1"/>
        <v>WRONG</v>
      </c>
      <c r="G28" s="39" t="s">
        <v>48</v>
      </c>
      <c r="H28" s="41" t="s">
        <v>36</v>
      </c>
      <c r="I28" s="54" t="s">
        <v>157</v>
      </c>
      <c r="J28" s="43">
        <v>20297.0</v>
      </c>
    </row>
    <row r="29" ht="60.0" customHeight="1">
      <c r="A29" s="39">
        <v>26.0</v>
      </c>
      <c r="B29" s="40" t="s">
        <v>158</v>
      </c>
      <c r="C29" s="40" t="s">
        <v>159</v>
      </c>
      <c r="D29" s="40" t="s">
        <v>160</v>
      </c>
      <c r="E29" s="40" t="s">
        <v>161</v>
      </c>
      <c r="F29" s="39" t="str">
        <f t="shared" si="1"/>
        <v>WRONG</v>
      </c>
      <c r="G29" s="39" t="s">
        <v>36</v>
      </c>
      <c r="H29" s="41" t="s">
        <v>48</v>
      </c>
      <c r="I29" s="54" t="s">
        <v>162</v>
      </c>
      <c r="J29" s="43">
        <v>18337.0</v>
      </c>
    </row>
    <row r="30" ht="60.0" customHeight="1">
      <c r="A30" s="39">
        <v>27.0</v>
      </c>
      <c r="B30" s="40" t="s">
        <v>163</v>
      </c>
      <c r="C30" s="40" t="s">
        <v>164</v>
      </c>
      <c r="D30" s="40" t="s">
        <v>165</v>
      </c>
      <c r="E30" s="40" t="s">
        <v>166</v>
      </c>
      <c r="F30" s="39" t="str">
        <f t="shared" si="1"/>
        <v>CORRECT</v>
      </c>
      <c r="G30" s="39" t="s">
        <v>37</v>
      </c>
      <c r="H30" s="43" t="s">
        <v>37</v>
      </c>
      <c r="I30" s="54" t="s">
        <v>167</v>
      </c>
      <c r="J30" s="43">
        <v>23541.0</v>
      </c>
    </row>
    <row r="31" ht="60.0" customHeight="1">
      <c r="A31" s="39">
        <v>28.0</v>
      </c>
      <c r="B31" s="40" t="s">
        <v>168</v>
      </c>
      <c r="C31" s="40" t="s">
        <v>169</v>
      </c>
      <c r="D31" s="40" t="s">
        <v>170</v>
      </c>
      <c r="E31" s="40" t="s">
        <v>171</v>
      </c>
      <c r="F31" s="39" t="str">
        <f t="shared" si="1"/>
        <v>WRONG</v>
      </c>
      <c r="G31" s="39" t="s">
        <v>36</v>
      </c>
      <c r="H31" s="41" t="s">
        <v>37</v>
      </c>
      <c r="I31" s="54" t="s">
        <v>172</v>
      </c>
      <c r="J31" s="43">
        <v>17946.0</v>
      </c>
    </row>
    <row r="32" ht="60.0" customHeight="1">
      <c r="A32" s="39">
        <v>29.0</v>
      </c>
      <c r="B32" s="40" t="s">
        <v>173</v>
      </c>
      <c r="C32" s="40" t="s">
        <v>174</v>
      </c>
      <c r="D32" s="40" t="s">
        <v>175</v>
      </c>
      <c r="E32" s="40" t="s">
        <v>176</v>
      </c>
      <c r="F32" s="39" t="str">
        <f t="shared" si="1"/>
        <v>CORRECT</v>
      </c>
      <c r="G32" s="39" t="s">
        <v>37</v>
      </c>
      <c r="H32" s="41" t="s">
        <v>37</v>
      </c>
      <c r="I32" s="54" t="s">
        <v>177</v>
      </c>
      <c r="J32" s="43">
        <v>24138.0</v>
      </c>
    </row>
    <row r="33" ht="60.0" customHeight="1">
      <c r="A33" s="39">
        <v>30.0</v>
      </c>
      <c r="B33" s="40" t="s">
        <v>178</v>
      </c>
      <c r="C33" s="40" t="s">
        <v>179</v>
      </c>
      <c r="D33" s="40" t="s">
        <v>180</v>
      </c>
      <c r="E33" s="40" t="s">
        <v>181</v>
      </c>
      <c r="F33" s="39" t="str">
        <f t="shared" si="1"/>
        <v>WRONG</v>
      </c>
      <c r="G33" s="39" t="s">
        <v>48</v>
      </c>
      <c r="H33" s="43" t="s">
        <v>36</v>
      </c>
      <c r="I33" s="54" t="s">
        <v>182</v>
      </c>
      <c r="J33" s="43">
        <v>12204.0</v>
      </c>
    </row>
    <row r="34" ht="60.0" customHeight="1">
      <c r="A34" s="39">
        <v>31.0</v>
      </c>
      <c r="B34" s="40" t="s">
        <v>183</v>
      </c>
      <c r="C34" s="40" t="s">
        <v>184</v>
      </c>
      <c r="D34" s="40" t="s">
        <v>185</v>
      </c>
      <c r="E34" s="40" t="s">
        <v>186</v>
      </c>
      <c r="F34" s="39" t="str">
        <f t="shared" si="1"/>
        <v>WRONG</v>
      </c>
      <c r="G34" s="39" t="s">
        <v>37</v>
      </c>
      <c r="H34" s="41" t="s">
        <v>36</v>
      </c>
      <c r="I34" s="54" t="s">
        <v>187</v>
      </c>
      <c r="J34" s="43">
        <v>25107.0</v>
      </c>
    </row>
    <row r="35" ht="60.0" customHeight="1">
      <c r="A35" s="39">
        <v>32.0</v>
      </c>
      <c r="B35" s="40" t="s">
        <v>188</v>
      </c>
      <c r="C35" s="40" t="s">
        <v>189</v>
      </c>
      <c r="D35" s="40" t="s">
        <v>190</v>
      </c>
      <c r="E35" s="40" t="s">
        <v>191</v>
      </c>
      <c r="F35" s="39" t="str">
        <f t="shared" si="1"/>
        <v>CORRECT</v>
      </c>
      <c r="G35" s="39" t="s">
        <v>36</v>
      </c>
      <c r="H35" s="43" t="s">
        <v>36</v>
      </c>
      <c r="I35" s="54" t="s">
        <v>192</v>
      </c>
      <c r="J35" s="43">
        <v>31110.0</v>
      </c>
    </row>
    <row r="36" ht="60.0" customHeight="1">
      <c r="A36" s="39">
        <v>33.0</v>
      </c>
      <c r="B36" s="40" t="s">
        <v>193</v>
      </c>
      <c r="C36" s="40" t="s">
        <v>194</v>
      </c>
      <c r="D36" s="40" t="s">
        <v>195</v>
      </c>
      <c r="E36" s="40" t="s">
        <v>196</v>
      </c>
      <c r="F36" s="39" t="str">
        <f t="shared" si="1"/>
        <v>CORRECT</v>
      </c>
      <c r="G36" s="39" t="s">
        <v>48</v>
      </c>
      <c r="H36" s="41" t="s">
        <v>48</v>
      </c>
      <c r="I36" s="54" t="s">
        <v>197</v>
      </c>
      <c r="J36" s="43">
        <v>20344.0</v>
      </c>
    </row>
    <row r="37" ht="60.0" customHeight="1">
      <c r="A37" s="39">
        <v>34.0</v>
      </c>
      <c r="B37" s="40" t="s">
        <v>198</v>
      </c>
      <c r="C37" s="40" t="s">
        <v>199</v>
      </c>
      <c r="D37" s="40" t="s">
        <v>200</v>
      </c>
      <c r="E37" s="40" t="s">
        <v>201</v>
      </c>
      <c r="F37" s="39" t="str">
        <f t="shared" si="1"/>
        <v>CORRECT</v>
      </c>
      <c r="G37" s="39" t="s">
        <v>36</v>
      </c>
      <c r="H37" s="41" t="s">
        <v>36</v>
      </c>
      <c r="I37" s="54" t="s">
        <v>202</v>
      </c>
      <c r="J37" s="43">
        <v>17263.0</v>
      </c>
    </row>
    <row r="38" ht="60.0" customHeight="1">
      <c r="A38" s="39">
        <v>35.0</v>
      </c>
      <c r="B38" s="40" t="s">
        <v>203</v>
      </c>
      <c r="C38" s="40" t="s">
        <v>204</v>
      </c>
      <c r="D38" s="40" t="s">
        <v>205</v>
      </c>
      <c r="E38" s="40" t="s">
        <v>206</v>
      </c>
      <c r="F38" s="39" t="str">
        <f t="shared" si="1"/>
        <v>CORRECT</v>
      </c>
      <c r="G38" s="39" t="s">
        <v>48</v>
      </c>
      <c r="H38" s="41" t="s">
        <v>48</v>
      </c>
      <c r="I38" s="54" t="s">
        <v>207</v>
      </c>
      <c r="J38" s="43">
        <v>32823.0</v>
      </c>
    </row>
    <row r="39" ht="60.0" customHeight="1">
      <c r="A39" s="39">
        <v>36.0</v>
      </c>
      <c r="B39" s="40" t="s">
        <v>208</v>
      </c>
      <c r="C39" s="40" t="s">
        <v>209</v>
      </c>
      <c r="D39" s="40" t="s">
        <v>210</v>
      </c>
      <c r="E39" s="40" t="s">
        <v>211</v>
      </c>
      <c r="F39" s="39" t="str">
        <f t="shared" si="1"/>
        <v>CORRECT</v>
      </c>
      <c r="G39" s="39" t="s">
        <v>36</v>
      </c>
      <c r="H39" s="43" t="s">
        <v>36</v>
      </c>
      <c r="I39" s="54" t="s">
        <v>212</v>
      </c>
      <c r="J39" s="43">
        <v>13163.0</v>
      </c>
    </row>
    <row r="40" ht="60.0" customHeight="1">
      <c r="A40" s="39">
        <v>37.0</v>
      </c>
      <c r="B40" s="40" t="s">
        <v>213</v>
      </c>
      <c r="C40" s="40" t="s">
        <v>214</v>
      </c>
      <c r="D40" s="40" t="s">
        <v>215</v>
      </c>
      <c r="E40" s="40" t="s">
        <v>216</v>
      </c>
      <c r="F40" s="39" t="str">
        <f t="shared" si="1"/>
        <v>CORRECT</v>
      </c>
      <c r="G40" s="39" t="s">
        <v>36</v>
      </c>
      <c r="H40" s="43" t="s">
        <v>36</v>
      </c>
      <c r="I40" s="54" t="s">
        <v>217</v>
      </c>
      <c r="J40" s="43">
        <v>13064.0</v>
      </c>
    </row>
    <row r="41" ht="60.0" customHeight="1">
      <c r="A41" s="39">
        <v>38.0</v>
      </c>
      <c r="B41" s="40" t="s">
        <v>218</v>
      </c>
      <c r="C41" s="40" t="s">
        <v>219</v>
      </c>
      <c r="D41" s="40" t="s">
        <v>220</v>
      </c>
      <c r="E41" s="40" t="s">
        <v>221</v>
      </c>
      <c r="F41" s="39" t="str">
        <f t="shared" si="1"/>
        <v>CORRECT</v>
      </c>
      <c r="G41" s="39" t="s">
        <v>36</v>
      </c>
      <c r="H41" s="43" t="s">
        <v>36</v>
      </c>
      <c r="I41" s="54" t="s">
        <v>222</v>
      </c>
      <c r="J41" s="43">
        <v>18946.0</v>
      </c>
    </row>
    <row r="42" ht="60.0" customHeight="1">
      <c r="A42" s="39">
        <v>39.0</v>
      </c>
      <c r="B42" s="40" t="s">
        <v>223</v>
      </c>
      <c r="C42" s="40" t="s">
        <v>224</v>
      </c>
      <c r="D42" s="40" t="s">
        <v>225</v>
      </c>
      <c r="E42" s="40" t="s">
        <v>226</v>
      </c>
      <c r="F42" s="39" t="str">
        <f t="shared" si="1"/>
        <v>WRONG</v>
      </c>
      <c r="G42" s="39" t="s">
        <v>37</v>
      </c>
      <c r="H42" s="43" t="s">
        <v>48</v>
      </c>
      <c r="I42" s="54" t="s">
        <v>227</v>
      </c>
      <c r="J42" s="43">
        <v>17827.0</v>
      </c>
    </row>
    <row r="43" ht="60.0" customHeight="1">
      <c r="A43" s="39">
        <v>40.0</v>
      </c>
      <c r="B43" s="40" t="s">
        <v>228</v>
      </c>
      <c r="C43" s="40" t="s">
        <v>229</v>
      </c>
      <c r="D43" s="40" t="s">
        <v>230</v>
      </c>
      <c r="E43" s="40" t="s">
        <v>231</v>
      </c>
      <c r="F43" s="39" t="str">
        <f t="shared" si="1"/>
        <v>WRONG</v>
      </c>
      <c r="G43" s="39" t="s">
        <v>48</v>
      </c>
      <c r="H43" s="41" t="s">
        <v>37</v>
      </c>
      <c r="I43" s="54" t="s">
        <v>232</v>
      </c>
      <c r="J43" s="43">
        <v>30012.0</v>
      </c>
    </row>
    <row r="44" ht="60.0" customHeight="1">
      <c r="A44" s="39">
        <v>41.0</v>
      </c>
      <c r="B44" s="40" t="s">
        <v>233</v>
      </c>
      <c r="C44" s="40" t="s">
        <v>234</v>
      </c>
      <c r="D44" s="40" t="s">
        <v>235</v>
      </c>
      <c r="E44" s="40" t="s">
        <v>236</v>
      </c>
      <c r="F44" s="39" t="str">
        <f t="shared" si="1"/>
        <v>CORRECT</v>
      </c>
      <c r="G44" s="39" t="s">
        <v>37</v>
      </c>
      <c r="H44" s="41" t="s">
        <v>37</v>
      </c>
      <c r="I44" s="54" t="s">
        <v>237</v>
      </c>
      <c r="J44" s="43">
        <v>21259.0</v>
      </c>
    </row>
    <row r="45" ht="60.0" customHeight="1">
      <c r="A45" s="39">
        <v>42.0</v>
      </c>
      <c r="B45" s="40" t="s">
        <v>238</v>
      </c>
      <c r="C45" s="40" t="s">
        <v>239</v>
      </c>
      <c r="D45" s="40" t="s">
        <v>240</v>
      </c>
      <c r="E45" s="40" t="s">
        <v>241</v>
      </c>
      <c r="F45" s="39" t="str">
        <f t="shared" si="1"/>
        <v>WRONG</v>
      </c>
      <c r="G45" s="39" t="s">
        <v>36</v>
      </c>
      <c r="H45" s="43" t="s">
        <v>37</v>
      </c>
      <c r="I45" s="54" t="s">
        <v>242</v>
      </c>
      <c r="J45" s="43">
        <v>19157.0</v>
      </c>
    </row>
    <row r="46" ht="60.0" customHeight="1">
      <c r="A46" s="39">
        <v>43.0</v>
      </c>
      <c r="B46" s="40" t="s">
        <v>243</v>
      </c>
      <c r="C46" s="40" t="s">
        <v>244</v>
      </c>
      <c r="D46" s="40" t="s">
        <v>245</v>
      </c>
      <c r="E46" s="40" t="s">
        <v>246</v>
      </c>
      <c r="F46" s="39" t="str">
        <f t="shared" si="1"/>
        <v>WRONG</v>
      </c>
      <c r="G46" s="39" t="s">
        <v>48</v>
      </c>
      <c r="H46" s="41" t="s">
        <v>36</v>
      </c>
      <c r="I46" s="54" t="s">
        <v>247</v>
      </c>
      <c r="J46" s="43">
        <v>29761.0</v>
      </c>
    </row>
    <row r="47" ht="60.0" customHeight="1">
      <c r="A47" s="39">
        <v>44.0</v>
      </c>
      <c r="B47" s="40" t="s">
        <v>248</v>
      </c>
      <c r="C47" s="40" t="s">
        <v>249</v>
      </c>
      <c r="D47" s="40" t="s">
        <v>250</v>
      </c>
      <c r="E47" s="40" t="s">
        <v>251</v>
      </c>
      <c r="F47" s="39" t="str">
        <f t="shared" si="1"/>
        <v>WRONG</v>
      </c>
      <c r="G47" s="39" t="s">
        <v>36</v>
      </c>
      <c r="H47" s="41" t="s">
        <v>48</v>
      </c>
      <c r="I47" s="54" t="s">
        <v>252</v>
      </c>
      <c r="J47" s="43">
        <v>38113.0</v>
      </c>
    </row>
    <row r="48" ht="60.0" customHeight="1">
      <c r="A48" s="39">
        <v>45.0</v>
      </c>
      <c r="B48" s="40" t="s">
        <v>253</v>
      </c>
      <c r="C48" s="40" t="s">
        <v>254</v>
      </c>
      <c r="D48" s="40" t="s">
        <v>255</v>
      </c>
      <c r="E48" s="40" t="s">
        <v>256</v>
      </c>
      <c r="F48" s="39" t="str">
        <f t="shared" si="1"/>
        <v>CORRECT</v>
      </c>
      <c r="G48" s="39" t="s">
        <v>36</v>
      </c>
      <c r="H48" s="41" t="s">
        <v>36</v>
      </c>
      <c r="I48" s="54" t="s">
        <v>257</v>
      </c>
      <c r="J48" s="43">
        <v>28233.0</v>
      </c>
    </row>
    <row r="49" ht="60.0" customHeight="1">
      <c r="A49" s="39">
        <v>46.0</v>
      </c>
      <c r="B49" s="40" t="s">
        <v>258</v>
      </c>
      <c r="C49" s="40" t="s">
        <v>40</v>
      </c>
      <c r="D49" s="40" t="s">
        <v>259</v>
      </c>
      <c r="E49" s="40" t="s">
        <v>260</v>
      </c>
      <c r="F49" s="39" t="str">
        <f t="shared" si="1"/>
        <v>CORRECT</v>
      </c>
      <c r="G49" s="39" t="s">
        <v>36</v>
      </c>
      <c r="H49" s="43" t="s">
        <v>36</v>
      </c>
      <c r="I49" s="54" t="s">
        <v>261</v>
      </c>
      <c r="J49" s="43">
        <v>21367.0</v>
      </c>
    </row>
    <row r="50">
      <c r="A50" s="44" t="s">
        <v>262</v>
      </c>
      <c r="B50" s="2"/>
      <c r="C50" s="2"/>
      <c r="D50" s="2"/>
      <c r="E50" s="3"/>
      <c r="F50" s="45">
        <f>COUNTIFS(F4:F49,"CORRECT")</f>
        <v>28</v>
      </c>
      <c r="G50" s="46"/>
      <c r="H50" s="46"/>
      <c r="J50" s="47">
        <f>AVERAGE(J4:J49)</f>
        <v>29095.32609</v>
      </c>
    </row>
    <row r="51">
      <c r="A51" s="48" t="s">
        <v>263</v>
      </c>
      <c r="B51" s="2"/>
      <c r="C51" s="2"/>
      <c r="D51" s="2"/>
      <c r="E51" s="3"/>
      <c r="F51" s="49">
        <v>46.0</v>
      </c>
      <c r="G51" s="46"/>
      <c r="H51" s="46"/>
    </row>
    <row r="52">
      <c r="A52" s="44" t="s">
        <v>264</v>
      </c>
      <c r="B52" s="2"/>
      <c r="C52" s="2"/>
      <c r="D52" s="2"/>
      <c r="E52" s="3"/>
      <c r="F52" s="50">
        <f>F50/F51</f>
        <v>0.6086956522</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311</v>
      </c>
      <c r="C2" s="2"/>
      <c r="D2" s="2"/>
      <c r="E2" s="2"/>
      <c r="F2" s="2"/>
      <c r="G2" s="2"/>
      <c r="H2" s="3"/>
      <c r="I2" s="37" t="s">
        <v>312</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54" t="s">
        <v>313</v>
      </c>
      <c r="J4" s="43">
        <v>22997.0</v>
      </c>
    </row>
    <row r="5" ht="60.0" customHeight="1">
      <c r="A5" s="39">
        <v>2.0</v>
      </c>
      <c r="B5" s="40" t="s">
        <v>39</v>
      </c>
      <c r="C5" s="40" t="s">
        <v>40</v>
      </c>
      <c r="D5" s="40" t="s">
        <v>41</v>
      </c>
      <c r="E5" s="40" t="s">
        <v>42</v>
      </c>
      <c r="F5" s="39" t="str">
        <f t="shared" si="1"/>
        <v>CORRECT</v>
      </c>
      <c r="G5" s="39" t="s">
        <v>37</v>
      </c>
      <c r="H5" s="41" t="s">
        <v>37</v>
      </c>
      <c r="I5" s="54" t="s">
        <v>314</v>
      </c>
      <c r="J5" s="43">
        <v>31169.0</v>
      </c>
    </row>
    <row r="6" ht="60.0" customHeight="1">
      <c r="A6" s="39">
        <v>3.0</v>
      </c>
      <c r="B6" s="40" t="s">
        <v>44</v>
      </c>
      <c r="C6" s="40" t="s">
        <v>45</v>
      </c>
      <c r="D6" s="40" t="s">
        <v>46</v>
      </c>
      <c r="E6" s="40" t="s">
        <v>47</v>
      </c>
      <c r="F6" s="39" t="str">
        <f t="shared" si="1"/>
        <v>CORRECT</v>
      </c>
      <c r="G6" s="39" t="s">
        <v>48</v>
      </c>
      <c r="H6" s="41" t="s">
        <v>48</v>
      </c>
      <c r="I6" s="54" t="s">
        <v>315</v>
      </c>
      <c r="J6" s="43">
        <v>34549.0</v>
      </c>
    </row>
    <row r="7" ht="60.0" customHeight="1">
      <c r="A7" s="39">
        <v>4.0</v>
      </c>
      <c r="B7" s="40" t="s">
        <v>50</v>
      </c>
      <c r="C7" s="40" t="s">
        <v>51</v>
      </c>
      <c r="D7" s="40" t="s">
        <v>52</v>
      </c>
      <c r="E7" s="40" t="s">
        <v>53</v>
      </c>
      <c r="F7" s="39" t="str">
        <f t="shared" si="1"/>
        <v>CORRECT</v>
      </c>
      <c r="G7" s="39" t="s">
        <v>37</v>
      </c>
      <c r="H7" s="41" t="s">
        <v>37</v>
      </c>
      <c r="I7" s="54" t="s">
        <v>316</v>
      </c>
      <c r="J7" s="43">
        <v>14860.0</v>
      </c>
    </row>
    <row r="8" ht="60.0" customHeight="1">
      <c r="A8" s="39">
        <v>5.0</v>
      </c>
      <c r="B8" s="40" t="s">
        <v>55</v>
      </c>
      <c r="C8" s="40" t="s">
        <v>56</v>
      </c>
      <c r="D8" s="40" t="s">
        <v>57</v>
      </c>
      <c r="E8" s="40" t="s">
        <v>58</v>
      </c>
      <c r="F8" s="39" t="str">
        <f t="shared" si="1"/>
        <v>CORRECT</v>
      </c>
      <c r="G8" s="39" t="s">
        <v>48</v>
      </c>
      <c r="H8" s="41" t="s">
        <v>48</v>
      </c>
      <c r="I8" s="54" t="s">
        <v>317</v>
      </c>
      <c r="J8" s="43">
        <v>33107.0</v>
      </c>
    </row>
    <row r="9" ht="60.0" customHeight="1">
      <c r="A9" s="39">
        <v>6.0</v>
      </c>
      <c r="B9" s="40" t="s">
        <v>60</v>
      </c>
      <c r="C9" s="40" t="s">
        <v>61</v>
      </c>
      <c r="D9" s="40" t="s">
        <v>62</v>
      </c>
      <c r="E9" s="40" t="s">
        <v>63</v>
      </c>
      <c r="F9" s="39" t="str">
        <f t="shared" si="1"/>
        <v>CORRECT</v>
      </c>
      <c r="G9" s="39" t="s">
        <v>37</v>
      </c>
      <c r="H9" s="43" t="s">
        <v>37</v>
      </c>
      <c r="I9" s="54" t="s">
        <v>318</v>
      </c>
      <c r="J9" s="43">
        <v>23276.0</v>
      </c>
    </row>
    <row r="10" ht="60.0" customHeight="1">
      <c r="A10" s="39">
        <v>7.0</v>
      </c>
      <c r="B10" s="40" t="s">
        <v>65</v>
      </c>
      <c r="C10" s="40" t="s">
        <v>66</v>
      </c>
      <c r="D10" s="40" t="s">
        <v>67</v>
      </c>
      <c r="E10" s="40" t="s">
        <v>68</v>
      </c>
      <c r="F10" s="39" t="str">
        <f t="shared" si="1"/>
        <v>WRONG</v>
      </c>
      <c r="G10" s="39" t="s">
        <v>37</v>
      </c>
      <c r="H10" s="43" t="s">
        <v>36</v>
      </c>
      <c r="I10" s="54" t="s">
        <v>319</v>
      </c>
      <c r="J10" s="43">
        <v>18704.0</v>
      </c>
    </row>
    <row r="11" ht="60.0" customHeight="1">
      <c r="A11" s="39">
        <v>8.0</v>
      </c>
      <c r="B11" s="40" t="s">
        <v>70</v>
      </c>
      <c r="C11" s="40" t="s">
        <v>71</v>
      </c>
      <c r="D11" s="40" t="s">
        <v>72</v>
      </c>
      <c r="E11" s="40" t="s">
        <v>73</v>
      </c>
      <c r="F11" s="39" t="str">
        <f t="shared" si="1"/>
        <v>CORRECT</v>
      </c>
      <c r="G11" s="39" t="s">
        <v>48</v>
      </c>
      <c r="H11" s="43" t="s">
        <v>48</v>
      </c>
      <c r="I11" s="54" t="s">
        <v>320</v>
      </c>
      <c r="J11" s="43">
        <v>27492.0</v>
      </c>
    </row>
    <row r="12" ht="60.0" customHeight="1">
      <c r="A12" s="39">
        <v>9.0</v>
      </c>
      <c r="B12" s="40" t="s">
        <v>75</v>
      </c>
      <c r="C12" s="40" t="s">
        <v>76</v>
      </c>
      <c r="D12" s="40" t="s">
        <v>77</v>
      </c>
      <c r="E12" s="40" t="s">
        <v>78</v>
      </c>
      <c r="F12" s="39" t="str">
        <f t="shared" si="1"/>
        <v>WRONG</v>
      </c>
      <c r="G12" s="39" t="s">
        <v>37</v>
      </c>
      <c r="H12" s="43" t="s">
        <v>48</v>
      </c>
      <c r="I12" s="54" t="s">
        <v>321</v>
      </c>
      <c r="J12" s="43">
        <v>22233.0</v>
      </c>
    </row>
    <row r="13" ht="60.0" customHeight="1">
      <c r="A13" s="39">
        <v>10.0</v>
      </c>
      <c r="B13" s="40" t="s">
        <v>80</v>
      </c>
      <c r="C13" s="40" t="s">
        <v>81</v>
      </c>
      <c r="D13" s="40" t="s">
        <v>82</v>
      </c>
      <c r="E13" s="40" t="s">
        <v>83</v>
      </c>
      <c r="F13" s="39" t="str">
        <f t="shared" si="1"/>
        <v>CORRECT</v>
      </c>
      <c r="G13" s="39" t="s">
        <v>48</v>
      </c>
      <c r="H13" s="41" t="s">
        <v>48</v>
      </c>
      <c r="I13" s="54" t="s">
        <v>322</v>
      </c>
      <c r="J13" s="43">
        <v>22827.0</v>
      </c>
    </row>
    <row r="14" ht="60.0" customHeight="1">
      <c r="A14" s="39">
        <v>11.0</v>
      </c>
      <c r="B14" s="40" t="s">
        <v>85</v>
      </c>
      <c r="C14" s="40" t="s">
        <v>86</v>
      </c>
      <c r="D14" s="40" t="s">
        <v>87</v>
      </c>
      <c r="E14" s="40" t="s">
        <v>88</v>
      </c>
      <c r="F14" s="39" t="str">
        <f t="shared" si="1"/>
        <v>CORRECT</v>
      </c>
      <c r="G14" s="39" t="s">
        <v>37</v>
      </c>
      <c r="H14" s="41" t="s">
        <v>37</v>
      </c>
      <c r="I14" s="54" t="s">
        <v>323</v>
      </c>
      <c r="J14" s="43">
        <v>31649.0</v>
      </c>
    </row>
    <row r="15" ht="60.0" customHeight="1">
      <c r="A15" s="39">
        <v>12.0</v>
      </c>
      <c r="B15" s="40" t="s">
        <v>90</v>
      </c>
      <c r="C15" s="40" t="s">
        <v>91</v>
      </c>
      <c r="D15" s="40" t="s">
        <v>92</v>
      </c>
      <c r="E15" s="40" t="s">
        <v>93</v>
      </c>
      <c r="F15" s="39" t="str">
        <f t="shared" si="1"/>
        <v>CORRECT</v>
      </c>
      <c r="G15" s="39" t="s">
        <v>48</v>
      </c>
      <c r="H15" s="41" t="s">
        <v>48</v>
      </c>
      <c r="I15" s="54" t="s">
        <v>324</v>
      </c>
      <c r="J15" s="43">
        <v>40141.0</v>
      </c>
    </row>
    <row r="16" ht="60.0" customHeight="1">
      <c r="A16" s="39">
        <v>13.0</v>
      </c>
      <c r="B16" s="40" t="s">
        <v>95</v>
      </c>
      <c r="C16" s="40" t="s">
        <v>96</v>
      </c>
      <c r="D16" s="40" t="s">
        <v>97</v>
      </c>
      <c r="E16" s="40" t="s">
        <v>98</v>
      </c>
      <c r="F16" s="39" t="str">
        <f t="shared" si="1"/>
        <v>CORRECT</v>
      </c>
      <c r="G16" s="39" t="s">
        <v>36</v>
      </c>
      <c r="H16" s="43" t="s">
        <v>36</v>
      </c>
      <c r="I16" s="54" t="s">
        <v>325</v>
      </c>
      <c r="J16" s="43">
        <v>19546.0</v>
      </c>
    </row>
    <row r="17" ht="60.0" customHeight="1">
      <c r="A17" s="39">
        <v>14.0</v>
      </c>
      <c r="B17" s="40" t="s">
        <v>100</v>
      </c>
      <c r="C17" s="40" t="s">
        <v>101</v>
      </c>
      <c r="D17" s="40" t="s">
        <v>102</v>
      </c>
      <c r="E17" s="40" t="s">
        <v>103</v>
      </c>
      <c r="F17" s="39" t="str">
        <f t="shared" si="1"/>
        <v>WRONG</v>
      </c>
      <c r="G17" s="39" t="s">
        <v>36</v>
      </c>
      <c r="H17" s="41" t="s">
        <v>48</v>
      </c>
      <c r="I17" s="54" t="s">
        <v>326</v>
      </c>
      <c r="J17" s="43">
        <v>24158.0</v>
      </c>
    </row>
    <row r="18" ht="60.0" customHeight="1">
      <c r="A18" s="39">
        <v>15.0</v>
      </c>
      <c r="B18" s="40" t="s">
        <v>105</v>
      </c>
      <c r="C18" s="40" t="s">
        <v>106</v>
      </c>
      <c r="D18" s="40" t="s">
        <v>107</v>
      </c>
      <c r="E18" s="40" t="s">
        <v>108</v>
      </c>
      <c r="F18" s="39" t="str">
        <f t="shared" si="1"/>
        <v>CORRECT</v>
      </c>
      <c r="G18" s="39" t="s">
        <v>48</v>
      </c>
      <c r="H18" s="43" t="s">
        <v>48</v>
      </c>
      <c r="I18" s="54" t="s">
        <v>327</v>
      </c>
      <c r="J18" s="43">
        <v>32415.0</v>
      </c>
    </row>
    <row r="19" ht="60.0" customHeight="1">
      <c r="A19" s="39">
        <v>16.0</v>
      </c>
      <c r="B19" s="40" t="s">
        <v>110</v>
      </c>
      <c r="C19" s="40" t="s">
        <v>111</v>
      </c>
      <c r="D19" s="40" t="s">
        <v>112</v>
      </c>
      <c r="E19" s="40" t="s">
        <v>113</v>
      </c>
      <c r="F19" s="39" t="str">
        <f t="shared" si="1"/>
        <v>CORRECT</v>
      </c>
      <c r="G19" s="39" t="s">
        <v>48</v>
      </c>
      <c r="H19" s="41" t="s">
        <v>48</v>
      </c>
      <c r="I19" s="54" t="s">
        <v>328</v>
      </c>
      <c r="J19" s="43">
        <v>25298.0</v>
      </c>
    </row>
    <row r="20" ht="60.0" customHeight="1">
      <c r="A20" s="39">
        <v>17.0</v>
      </c>
      <c r="B20" s="40" t="s">
        <v>115</v>
      </c>
      <c r="C20" s="40" t="s">
        <v>116</v>
      </c>
      <c r="D20" s="40" t="s">
        <v>117</v>
      </c>
      <c r="E20" s="40" t="s">
        <v>118</v>
      </c>
      <c r="F20" s="39" t="str">
        <f t="shared" si="1"/>
        <v>WRONG</v>
      </c>
      <c r="G20" s="39" t="s">
        <v>37</v>
      </c>
      <c r="H20" s="41" t="s">
        <v>36</v>
      </c>
      <c r="I20" s="54" t="s">
        <v>329</v>
      </c>
      <c r="J20" s="43">
        <v>20095.0</v>
      </c>
    </row>
    <row r="21" ht="60.0" customHeight="1">
      <c r="A21" s="39">
        <v>18.0</v>
      </c>
      <c r="B21" s="40" t="s">
        <v>120</v>
      </c>
      <c r="C21" s="40" t="s">
        <v>121</v>
      </c>
      <c r="D21" s="40" t="s">
        <v>122</v>
      </c>
      <c r="E21" s="40" t="s">
        <v>123</v>
      </c>
      <c r="F21" s="39" t="str">
        <f t="shared" si="1"/>
        <v>CORRECT</v>
      </c>
      <c r="G21" s="39" t="s">
        <v>37</v>
      </c>
      <c r="H21" s="43" t="s">
        <v>37</v>
      </c>
      <c r="I21" s="54" t="s">
        <v>330</v>
      </c>
      <c r="J21" s="43">
        <v>26543.0</v>
      </c>
    </row>
    <row r="22" ht="60.0" customHeight="1">
      <c r="A22" s="39">
        <v>19.0</v>
      </c>
      <c r="B22" s="40" t="s">
        <v>125</v>
      </c>
      <c r="C22" s="40" t="s">
        <v>126</v>
      </c>
      <c r="D22" s="40" t="s">
        <v>127</v>
      </c>
      <c r="E22" s="40" t="s">
        <v>128</v>
      </c>
      <c r="F22" s="39" t="str">
        <f t="shared" si="1"/>
        <v>WRONG</v>
      </c>
      <c r="G22" s="39" t="s">
        <v>36</v>
      </c>
      <c r="H22" s="41" t="s">
        <v>48</v>
      </c>
      <c r="I22" s="54" t="s">
        <v>331</v>
      </c>
      <c r="J22" s="43">
        <v>25772.0</v>
      </c>
    </row>
    <row r="23" ht="60.0" customHeight="1">
      <c r="A23" s="39">
        <v>20.0</v>
      </c>
      <c r="B23" s="40" t="s">
        <v>130</v>
      </c>
      <c r="C23" s="40" t="s">
        <v>131</v>
      </c>
      <c r="D23" s="40" t="s">
        <v>132</v>
      </c>
      <c r="E23" s="40" t="s">
        <v>133</v>
      </c>
      <c r="F23" s="39" t="str">
        <f t="shared" si="1"/>
        <v>WRONG</v>
      </c>
      <c r="G23" s="39" t="s">
        <v>37</v>
      </c>
      <c r="H23" s="43" t="s">
        <v>48</v>
      </c>
      <c r="I23" s="54" t="s">
        <v>332</v>
      </c>
      <c r="J23" s="43">
        <v>21475.0</v>
      </c>
    </row>
    <row r="24" ht="60.0" customHeight="1">
      <c r="A24" s="39">
        <v>21.0</v>
      </c>
      <c r="B24" s="40" t="s">
        <v>135</v>
      </c>
      <c r="C24" s="40" t="s">
        <v>136</v>
      </c>
      <c r="D24" s="40" t="s">
        <v>137</v>
      </c>
      <c r="E24" s="40" t="s">
        <v>138</v>
      </c>
      <c r="F24" s="39" t="str">
        <f t="shared" si="1"/>
        <v>WRONG</v>
      </c>
      <c r="G24" s="39" t="s">
        <v>37</v>
      </c>
      <c r="H24" s="43" t="s">
        <v>36</v>
      </c>
      <c r="I24" s="54" t="s">
        <v>333</v>
      </c>
      <c r="J24" s="43">
        <v>14109.0</v>
      </c>
    </row>
    <row r="25" ht="60.0" customHeight="1">
      <c r="A25" s="39">
        <v>22.0</v>
      </c>
      <c r="B25" s="40" t="s">
        <v>140</v>
      </c>
      <c r="C25" s="40" t="s">
        <v>141</v>
      </c>
      <c r="D25" s="40" t="s">
        <v>142</v>
      </c>
      <c r="E25" s="40" t="s">
        <v>143</v>
      </c>
      <c r="F25" s="39" t="str">
        <f t="shared" si="1"/>
        <v>CORRECT</v>
      </c>
      <c r="G25" s="39" t="s">
        <v>37</v>
      </c>
      <c r="H25" s="43" t="s">
        <v>37</v>
      </c>
      <c r="I25" s="54" t="s">
        <v>334</v>
      </c>
      <c r="J25" s="43">
        <v>23714.0</v>
      </c>
    </row>
    <row r="26" ht="60.0" customHeight="1">
      <c r="A26" s="39">
        <v>23.0</v>
      </c>
      <c r="B26" s="40" t="s">
        <v>145</v>
      </c>
      <c r="C26" s="40" t="s">
        <v>146</v>
      </c>
      <c r="D26" s="40" t="s">
        <v>147</v>
      </c>
      <c r="E26" s="40" t="s">
        <v>148</v>
      </c>
      <c r="F26" s="39" t="str">
        <f t="shared" si="1"/>
        <v>CORRECT</v>
      </c>
      <c r="G26" s="39" t="s">
        <v>48</v>
      </c>
      <c r="H26" s="43" t="s">
        <v>48</v>
      </c>
      <c r="I26" s="54" t="s">
        <v>335</v>
      </c>
      <c r="J26" s="43">
        <v>18973.0</v>
      </c>
    </row>
    <row r="27" ht="60.0" customHeight="1">
      <c r="A27" s="39">
        <v>24.0</v>
      </c>
      <c r="B27" s="40" t="s">
        <v>150</v>
      </c>
      <c r="C27" s="40" t="s">
        <v>151</v>
      </c>
      <c r="D27" s="40" t="s">
        <v>152</v>
      </c>
      <c r="E27" s="40" t="s">
        <v>153</v>
      </c>
      <c r="F27" s="39" t="str">
        <f t="shared" si="1"/>
        <v>WRONG</v>
      </c>
      <c r="G27" s="39" t="s">
        <v>36</v>
      </c>
      <c r="H27" s="41" t="s">
        <v>48</v>
      </c>
      <c r="I27" s="54" t="s">
        <v>336</v>
      </c>
      <c r="J27" s="43">
        <v>24208.0</v>
      </c>
    </row>
    <row r="28" ht="60.0" customHeight="1">
      <c r="A28" s="39">
        <v>25.0</v>
      </c>
      <c r="B28" s="40" t="s">
        <v>155</v>
      </c>
      <c r="C28" s="40" t="s">
        <v>151</v>
      </c>
      <c r="D28" s="40" t="s">
        <v>156</v>
      </c>
      <c r="E28" s="40" t="s">
        <v>153</v>
      </c>
      <c r="F28" s="39" t="str">
        <f t="shared" si="1"/>
        <v>WRONG</v>
      </c>
      <c r="G28" s="39" t="s">
        <v>48</v>
      </c>
      <c r="H28" s="41" t="s">
        <v>36</v>
      </c>
      <c r="I28" s="54" t="s">
        <v>337</v>
      </c>
      <c r="J28" s="43">
        <v>21371.0</v>
      </c>
    </row>
    <row r="29" ht="60.0" customHeight="1">
      <c r="A29" s="39">
        <v>26.0</v>
      </c>
      <c r="B29" s="40" t="s">
        <v>158</v>
      </c>
      <c r="C29" s="40" t="s">
        <v>159</v>
      </c>
      <c r="D29" s="40" t="s">
        <v>160</v>
      </c>
      <c r="E29" s="40" t="s">
        <v>161</v>
      </c>
      <c r="F29" s="39" t="str">
        <f t="shared" si="1"/>
        <v>WRONG</v>
      </c>
      <c r="G29" s="39" t="s">
        <v>36</v>
      </c>
      <c r="H29" s="41" t="s">
        <v>48</v>
      </c>
      <c r="I29" s="54" t="s">
        <v>338</v>
      </c>
      <c r="J29" s="43">
        <v>33184.0</v>
      </c>
    </row>
    <row r="30" ht="60.0" customHeight="1">
      <c r="A30" s="39">
        <v>27.0</v>
      </c>
      <c r="B30" s="40" t="s">
        <v>163</v>
      </c>
      <c r="C30" s="40" t="s">
        <v>164</v>
      </c>
      <c r="D30" s="40" t="s">
        <v>165</v>
      </c>
      <c r="E30" s="40" t="s">
        <v>166</v>
      </c>
      <c r="F30" s="39" t="str">
        <f t="shared" si="1"/>
        <v>CORRECT</v>
      </c>
      <c r="G30" s="39" t="s">
        <v>37</v>
      </c>
      <c r="H30" s="43" t="s">
        <v>37</v>
      </c>
      <c r="I30" s="54" t="s">
        <v>339</v>
      </c>
      <c r="J30" s="43">
        <v>19133.0</v>
      </c>
    </row>
    <row r="31" ht="60.0" customHeight="1">
      <c r="A31" s="39">
        <v>28.0</v>
      </c>
      <c r="B31" s="40" t="s">
        <v>168</v>
      </c>
      <c r="C31" s="40" t="s">
        <v>169</v>
      </c>
      <c r="D31" s="40" t="s">
        <v>170</v>
      </c>
      <c r="E31" s="40" t="s">
        <v>171</v>
      </c>
      <c r="F31" s="39" t="str">
        <f t="shared" si="1"/>
        <v>WRONG</v>
      </c>
      <c r="G31" s="39" t="s">
        <v>36</v>
      </c>
      <c r="H31" s="43" t="s">
        <v>37</v>
      </c>
      <c r="I31" s="54" t="s">
        <v>340</v>
      </c>
      <c r="J31" s="43">
        <v>19300.0</v>
      </c>
    </row>
    <row r="32" ht="60.0" customHeight="1">
      <c r="A32" s="39">
        <v>29.0</v>
      </c>
      <c r="B32" s="40" t="s">
        <v>173</v>
      </c>
      <c r="C32" s="40" t="s">
        <v>174</v>
      </c>
      <c r="D32" s="40" t="s">
        <v>175</v>
      </c>
      <c r="E32" s="40" t="s">
        <v>176</v>
      </c>
      <c r="F32" s="39" t="str">
        <f t="shared" si="1"/>
        <v>WRONG</v>
      </c>
      <c r="G32" s="39" t="s">
        <v>37</v>
      </c>
      <c r="H32" s="41" t="s">
        <v>48</v>
      </c>
      <c r="I32" s="54" t="s">
        <v>341</v>
      </c>
      <c r="J32" s="43">
        <v>24414.0</v>
      </c>
    </row>
    <row r="33" ht="60.0" customHeight="1">
      <c r="A33" s="39">
        <v>30.0</v>
      </c>
      <c r="B33" s="40" t="s">
        <v>178</v>
      </c>
      <c r="C33" s="40" t="s">
        <v>179</v>
      </c>
      <c r="D33" s="40" t="s">
        <v>180</v>
      </c>
      <c r="E33" s="40" t="s">
        <v>181</v>
      </c>
      <c r="F33" s="39" t="str">
        <f t="shared" si="1"/>
        <v>WRONG</v>
      </c>
      <c r="G33" s="39" t="s">
        <v>48</v>
      </c>
      <c r="H33" s="43" t="s">
        <v>36</v>
      </c>
      <c r="I33" s="54" t="s">
        <v>342</v>
      </c>
      <c r="J33" s="43">
        <v>14938.0</v>
      </c>
    </row>
    <row r="34" ht="60.0" customHeight="1">
      <c r="A34" s="39">
        <v>31.0</v>
      </c>
      <c r="B34" s="40" t="s">
        <v>183</v>
      </c>
      <c r="C34" s="40" t="s">
        <v>184</v>
      </c>
      <c r="D34" s="40" t="s">
        <v>185</v>
      </c>
      <c r="E34" s="40" t="s">
        <v>186</v>
      </c>
      <c r="F34" s="39" t="str">
        <f t="shared" si="1"/>
        <v>WRONG</v>
      </c>
      <c r="G34" s="39" t="s">
        <v>37</v>
      </c>
      <c r="H34" s="43" t="s">
        <v>36</v>
      </c>
      <c r="I34" s="54" t="s">
        <v>343</v>
      </c>
      <c r="J34" s="43">
        <v>21852.0</v>
      </c>
    </row>
    <row r="35" ht="60.0" customHeight="1">
      <c r="A35" s="39">
        <v>32.0</v>
      </c>
      <c r="B35" s="40" t="s">
        <v>188</v>
      </c>
      <c r="C35" s="40" t="s">
        <v>189</v>
      </c>
      <c r="D35" s="40" t="s">
        <v>190</v>
      </c>
      <c r="E35" s="40" t="s">
        <v>191</v>
      </c>
      <c r="F35" s="39" t="str">
        <f t="shared" si="1"/>
        <v>CORRECT</v>
      </c>
      <c r="G35" s="39" t="s">
        <v>36</v>
      </c>
      <c r="H35" s="43" t="s">
        <v>36</v>
      </c>
      <c r="I35" s="54" t="s">
        <v>344</v>
      </c>
      <c r="J35" s="43">
        <v>30212.0</v>
      </c>
    </row>
    <row r="36" ht="60.0" customHeight="1">
      <c r="A36" s="39">
        <v>33.0</v>
      </c>
      <c r="B36" s="40" t="s">
        <v>193</v>
      </c>
      <c r="C36" s="40" t="s">
        <v>194</v>
      </c>
      <c r="D36" s="40" t="s">
        <v>195</v>
      </c>
      <c r="E36" s="40" t="s">
        <v>196</v>
      </c>
      <c r="F36" s="39" t="str">
        <f t="shared" si="1"/>
        <v>CORRECT</v>
      </c>
      <c r="G36" s="39" t="s">
        <v>48</v>
      </c>
      <c r="H36" s="41" t="s">
        <v>48</v>
      </c>
      <c r="I36" s="54" t="s">
        <v>345</v>
      </c>
      <c r="J36" s="43">
        <v>26446.0</v>
      </c>
    </row>
    <row r="37" ht="60.0" customHeight="1">
      <c r="A37" s="39">
        <v>34.0</v>
      </c>
      <c r="B37" s="40" t="s">
        <v>198</v>
      </c>
      <c r="C37" s="40" t="s">
        <v>199</v>
      </c>
      <c r="D37" s="40" t="s">
        <v>200</v>
      </c>
      <c r="E37" s="40" t="s">
        <v>201</v>
      </c>
      <c r="F37" s="39" t="str">
        <f t="shared" si="1"/>
        <v>CORRECT</v>
      </c>
      <c r="G37" s="39" t="s">
        <v>36</v>
      </c>
      <c r="H37" s="41" t="s">
        <v>36</v>
      </c>
      <c r="I37" s="54" t="s">
        <v>346</v>
      </c>
      <c r="J37" s="43">
        <v>17766.0</v>
      </c>
    </row>
    <row r="38" ht="60.0" customHeight="1">
      <c r="A38" s="39">
        <v>35.0</v>
      </c>
      <c r="B38" s="40" t="s">
        <v>203</v>
      </c>
      <c r="C38" s="40" t="s">
        <v>204</v>
      </c>
      <c r="D38" s="40" t="s">
        <v>205</v>
      </c>
      <c r="E38" s="40" t="s">
        <v>206</v>
      </c>
      <c r="F38" s="39" t="str">
        <f t="shared" si="1"/>
        <v>CORRECT</v>
      </c>
      <c r="G38" s="39" t="s">
        <v>48</v>
      </c>
      <c r="H38" s="41" t="s">
        <v>48</v>
      </c>
      <c r="I38" s="54" t="s">
        <v>347</v>
      </c>
      <c r="J38" s="43">
        <v>20142.0</v>
      </c>
    </row>
    <row r="39" ht="60.0" customHeight="1">
      <c r="A39" s="39">
        <v>36.0</v>
      </c>
      <c r="B39" s="40" t="s">
        <v>208</v>
      </c>
      <c r="C39" s="40" t="s">
        <v>209</v>
      </c>
      <c r="D39" s="40" t="s">
        <v>210</v>
      </c>
      <c r="E39" s="40" t="s">
        <v>211</v>
      </c>
      <c r="F39" s="39" t="str">
        <f t="shared" si="1"/>
        <v>CORRECT</v>
      </c>
      <c r="G39" s="39" t="s">
        <v>36</v>
      </c>
      <c r="H39" s="43" t="s">
        <v>36</v>
      </c>
      <c r="I39" s="54" t="s">
        <v>212</v>
      </c>
      <c r="J39" s="43">
        <v>13100.0</v>
      </c>
    </row>
    <row r="40" ht="60.0" customHeight="1">
      <c r="A40" s="39">
        <v>37.0</v>
      </c>
      <c r="B40" s="40" t="s">
        <v>213</v>
      </c>
      <c r="C40" s="40" t="s">
        <v>214</v>
      </c>
      <c r="D40" s="40" t="s">
        <v>215</v>
      </c>
      <c r="E40" s="40" t="s">
        <v>216</v>
      </c>
      <c r="F40" s="39" t="str">
        <f t="shared" si="1"/>
        <v>CORRECT</v>
      </c>
      <c r="G40" s="39" t="s">
        <v>36</v>
      </c>
      <c r="H40" s="43" t="s">
        <v>36</v>
      </c>
      <c r="I40" s="54" t="s">
        <v>348</v>
      </c>
      <c r="J40" s="43">
        <v>13486.0</v>
      </c>
    </row>
    <row r="41" ht="60.0" customHeight="1">
      <c r="A41" s="39">
        <v>38.0</v>
      </c>
      <c r="B41" s="40" t="s">
        <v>218</v>
      </c>
      <c r="C41" s="40" t="s">
        <v>219</v>
      </c>
      <c r="D41" s="40" t="s">
        <v>220</v>
      </c>
      <c r="E41" s="40" t="s">
        <v>221</v>
      </c>
      <c r="F41" s="39" t="str">
        <f t="shared" si="1"/>
        <v>CORRECT</v>
      </c>
      <c r="G41" s="39" t="s">
        <v>36</v>
      </c>
      <c r="H41" s="43" t="s">
        <v>36</v>
      </c>
      <c r="I41" s="54" t="s">
        <v>349</v>
      </c>
      <c r="J41" s="43">
        <v>16274.0</v>
      </c>
    </row>
    <row r="42" ht="60.0" customHeight="1">
      <c r="A42" s="39">
        <v>39.0</v>
      </c>
      <c r="B42" s="40" t="s">
        <v>223</v>
      </c>
      <c r="C42" s="40" t="s">
        <v>224</v>
      </c>
      <c r="D42" s="40" t="s">
        <v>225</v>
      </c>
      <c r="E42" s="40" t="s">
        <v>226</v>
      </c>
      <c r="F42" s="39" t="str">
        <f t="shared" si="1"/>
        <v>WRONG</v>
      </c>
      <c r="G42" s="39" t="s">
        <v>37</v>
      </c>
      <c r="H42" s="43" t="s">
        <v>48</v>
      </c>
      <c r="I42" s="54" t="s">
        <v>303</v>
      </c>
      <c r="J42" s="43">
        <v>17425.0</v>
      </c>
    </row>
    <row r="43" ht="60.0" customHeight="1">
      <c r="A43" s="39">
        <v>40.0</v>
      </c>
      <c r="B43" s="40" t="s">
        <v>228</v>
      </c>
      <c r="C43" s="40" t="s">
        <v>229</v>
      </c>
      <c r="D43" s="40" t="s">
        <v>230</v>
      </c>
      <c r="E43" s="40" t="s">
        <v>231</v>
      </c>
      <c r="F43" s="39" t="str">
        <f t="shared" si="1"/>
        <v>WRONG</v>
      </c>
      <c r="G43" s="39" t="s">
        <v>48</v>
      </c>
      <c r="H43" s="41" t="s">
        <v>37</v>
      </c>
      <c r="I43" s="54" t="s">
        <v>350</v>
      </c>
      <c r="J43" s="43">
        <v>33600.0</v>
      </c>
    </row>
    <row r="44" ht="60.0" customHeight="1">
      <c r="A44" s="39">
        <v>41.0</v>
      </c>
      <c r="B44" s="40" t="s">
        <v>233</v>
      </c>
      <c r="C44" s="40" t="s">
        <v>234</v>
      </c>
      <c r="D44" s="40" t="s">
        <v>235</v>
      </c>
      <c r="E44" s="40" t="s">
        <v>236</v>
      </c>
      <c r="F44" s="39" t="str">
        <f t="shared" si="1"/>
        <v>CORRECT</v>
      </c>
      <c r="G44" s="39" t="s">
        <v>37</v>
      </c>
      <c r="H44" s="43" t="s">
        <v>37</v>
      </c>
      <c r="I44" s="54" t="s">
        <v>351</v>
      </c>
      <c r="J44" s="43">
        <v>11269.0</v>
      </c>
    </row>
    <row r="45" ht="60.0" customHeight="1">
      <c r="A45" s="39">
        <v>42.0</v>
      </c>
      <c r="B45" s="40" t="s">
        <v>238</v>
      </c>
      <c r="C45" s="40" t="s">
        <v>239</v>
      </c>
      <c r="D45" s="40" t="s">
        <v>240</v>
      </c>
      <c r="E45" s="40" t="s">
        <v>241</v>
      </c>
      <c r="F45" s="39" t="str">
        <f t="shared" si="1"/>
        <v>WRONG</v>
      </c>
      <c r="G45" s="39" t="s">
        <v>36</v>
      </c>
      <c r="H45" s="43" t="s">
        <v>37</v>
      </c>
      <c r="I45" s="54" t="s">
        <v>352</v>
      </c>
      <c r="J45" s="43">
        <v>17331.0</v>
      </c>
    </row>
    <row r="46" ht="60.0" customHeight="1">
      <c r="A46" s="39">
        <v>43.0</v>
      </c>
      <c r="B46" s="40" t="s">
        <v>243</v>
      </c>
      <c r="C46" s="40" t="s">
        <v>244</v>
      </c>
      <c r="D46" s="40" t="s">
        <v>245</v>
      </c>
      <c r="E46" s="40" t="s">
        <v>246</v>
      </c>
      <c r="F46" s="39" t="str">
        <f t="shared" si="1"/>
        <v>WRONG</v>
      </c>
      <c r="G46" s="39" t="s">
        <v>48</v>
      </c>
      <c r="H46" s="41" t="s">
        <v>36</v>
      </c>
      <c r="I46" s="54" t="s">
        <v>353</v>
      </c>
      <c r="J46" s="43">
        <v>27731.0</v>
      </c>
    </row>
    <row r="47" ht="60.0" customHeight="1">
      <c r="A47" s="39">
        <v>44.0</v>
      </c>
      <c r="B47" s="40" t="s">
        <v>248</v>
      </c>
      <c r="C47" s="40" t="s">
        <v>249</v>
      </c>
      <c r="D47" s="40" t="s">
        <v>250</v>
      </c>
      <c r="E47" s="40" t="s">
        <v>251</v>
      </c>
      <c r="F47" s="39" t="str">
        <f t="shared" si="1"/>
        <v>WRONG</v>
      </c>
      <c r="G47" s="39" t="s">
        <v>36</v>
      </c>
      <c r="H47" s="41" t="s">
        <v>48</v>
      </c>
      <c r="I47" s="54" t="s">
        <v>354</v>
      </c>
      <c r="J47" s="43">
        <v>38309.0</v>
      </c>
    </row>
    <row r="48" ht="60.0" customHeight="1">
      <c r="A48" s="39">
        <v>45.0</v>
      </c>
      <c r="B48" s="40" t="s">
        <v>253</v>
      </c>
      <c r="C48" s="40" t="s">
        <v>254</v>
      </c>
      <c r="D48" s="40" t="s">
        <v>255</v>
      </c>
      <c r="E48" s="40" t="s">
        <v>256</v>
      </c>
      <c r="F48" s="39" t="str">
        <f t="shared" si="1"/>
        <v>CORRECT</v>
      </c>
      <c r="G48" s="39" t="s">
        <v>36</v>
      </c>
      <c r="H48" s="41" t="s">
        <v>36</v>
      </c>
      <c r="I48" s="54" t="s">
        <v>355</v>
      </c>
      <c r="J48" s="43">
        <v>32714.0</v>
      </c>
    </row>
    <row r="49" ht="60.0" customHeight="1">
      <c r="A49" s="39">
        <v>46.0</v>
      </c>
      <c r="B49" s="40" t="s">
        <v>258</v>
      </c>
      <c r="C49" s="40" t="s">
        <v>40</v>
      </c>
      <c r="D49" s="40" t="s">
        <v>259</v>
      </c>
      <c r="E49" s="40" t="s">
        <v>260</v>
      </c>
      <c r="F49" s="39" t="str">
        <f t="shared" si="1"/>
        <v>CORRECT</v>
      </c>
      <c r="G49" s="39" t="s">
        <v>36</v>
      </c>
      <c r="H49" s="43" t="s">
        <v>36</v>
      </c>
      <c r="I49" s="54" t="s">
        <v>356</v>
      </c>
      <c r="J49" s="43">
        <v>23001.0</v>
      </c>
    </row>
    <row r="50">
      <c r="A50" s="44" t="s">
        <v>262</v>
      </c>
      <c r="B50" s="2"/>
      <c r="C50" s="2"/>
      <c r="D50" s="2"/>
      <c r="E50" s="3"/>
      <c r="F50" s="45">
        <f>COUNTIFS(F4:F49,"CORRECT")</f>
        <v>26</v>
      </c>
      <c r="G50" s="46"/>
      <c r="H50" s="46"/>
      <c r="J50" s="47">
        <f>AVERAGE(J4:J49)</f>
        <v>23745.82609</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357</v>
      </c>
      <c r="C2" s="2"/>
      <c r="D2" s="2"/>
      <c r="E2" s="2"/>
      <c r="F2" s="2"/>
      <c r="G2" s="2"/>
      <c r="H2" s="3"/>
      <c r="I2" s="37" t="s">
        <v>358</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CORRECT</v>
      </c>
      <c r="G4" s="39" t="s">
        <v>36</v>
      </c>
      <c r="H4" s="55" t="s">
        <v>36</v>
      </c>
      <c r="I4" s="54" t="s">
        <v>359</v>
      </c>
      <c r="J4" s="56">
        <v>22574.0</v>
      </c>
    </row>
    <row r="5" ht="60.0" customHeight="1">
      <c r="A5" s="39">
        <v>2.0</v>
      </c>
      <c r="B5" s="40" t="s">
        <v>39</v>
      </c>
      <c r="C5" s="40" t="s">
        <v>40</v>
      </c>
      <c r="D5" s="40" t="s">
        <v>41</v>
      </c>
      <c r="E5" s="40" t="s">
        <v>42</v>
      </c>
      <c r="F5" s="39" t="str">
        <f t="shared" si="1"/>
        <v>CORRECT</v>
      </c>
      <c r="G5" s="39" t="s">
        <v>37</v>
      </c>
      <c r="H5" s="55" t="s">
        <v>37</v>
      </c>
      <c r="I5" s="54" t="s">
        <v>360</v>
      </c>
      <c r="J5" s="56">
        <v>18814.0</v>
      </c>
    </row>
    <row r="6" ht="60.0" customHeight="1">
      <c r="A6" s="39">
        <v>3.0</v>
      </c>
      <c r="B6" s="40" t="s">
        <v>44</v>
      </c>
      <c r="C6" s="40" t="s">
        <v>45</v>
      </c>
      <c r="D6" s="40" t="s">
        <v>46</v>
      </c>
      <c r="E6" s="40" t="s">
        <v>47</v>
      </c>
      <c r="F6" s="39" t="str">
        <f t="shared" si="1"/>
        <v>CORRECT</v>
      </c>
      <c r="G6" s="39" t="s">
        <v>48</v>
      </c>
      <c r="H6" s="56" t="s">
        <v>48</v>
      </c>
      <c r="I6" s="54" t="s">
        <v>361</v>
      </c>
      <c r="J6" s="56">
        <v>24020.0</v>
      </c>
    </row>
    <row r="7" ht="60.0" customHeight="1">
      <c r="A7" s="39">
        <v>4.0</v>
      </c>
      <c r="B7" s="40" t="s">
        <v>50</v>
      </c>
      <c r="C7" s="40" t="s">
        <v>51</v>
      </c>
      <c r="D7" s="40" t="s">
        <v>52</v>
      </c>
      <c r="E7" s="40" t="s">
        <v>53</v>
      </c>
      <c r="F7" s="39" t="str">
        <f t="shared" si="1"/>
        <v>CORRECT</v>
      </c>
      <c r="G7" s="39" t="s">
        <v>37</v>
      </c>
      <c r="H7" s="55" t="s">
        <v>37</v>
      </c>
      <c r="I7" s="54" t="s">
        <v>362</v>
      </c>
      <c r="J7" s="56">
        <v>19831.0</v>
      </c>
    </row>
    <row r="8" ht="60.0" customHeight="1">
      <c r="A8" s="39">
        <v>5.0</v>
      </c>
      <c r="B8" s="40" t="s">
        <v>55</v>
      </c>
      <c r="C8" s="40" t="s">
        <v>56</v>
      </c>
      <c r="D8" s="40" t="s">
        <v>57</v>
      </c>
      <c r="E8" s="40" t="s">
        <v>58</v>
      </c>
      <c r="F8" s="39" t="str">
        <f t="shared" si="1"/>
        <v>WRONG</v>
      </c>
      <c r="G8" s="39" t="s">
        <v>48</v>
      </c>
      <c r="H8" s="55" t="s">
        <v>36</v>
      </c>
      <c r="I8" s="54" t="s">
        <v>363</v>
      </c>
      <c r="J8" s="56">
        <v>36825.0</v>
      </c>
    </row>
    <row r="9" ht="60.0" customHeight="1">
      <c r="A9" s="39">
        <v>6.0</v>
      </c>
      <c r="B9" s="40" t="s">
        <v>60</v>
      </c>
      <c r="C9" s="40" t="s">
        <v>61</v>
      </c>
      <c r="D9" s="40" t="s">
        <v>62</v>
      </c>
      <c r="E9" s="40" t="s">
        <v>63</v>
      </c>
      <c r="F9" s="39" t="str">
        <f t="shared" si="1"/>
        <v>CORRECT</v>
      </c>
      <c r="G9" s="39" t="s">
        <v>37</v>
      </c>
      <c r="H9" s="56" t="s">
        <v>37</v>
      </c>
      <c r="I9" s="54" t="s">
        <v>364</v>
      </c>
      <c r="J9" s="56">
        <v>15393.0</v>
      </c>
    </row>
    <row r="10" ht="60.0" customHeight="1">
      <c r="A10" s="39">
        <v>7.0</v>
      </c>
      <c r="B10" s="40" t="s">
        <v>65</v>
      </c>
      <c r="C10" s="40" t="s">
        <v>66</v>
      </c>
      <c r="D10" s="40" t="s">
        <v>67</v>
      </c>
      <c r="E10" s="40" t="s">
        <v>68</v>
      </c>
      <c r="F10" s="39" t="str">
        <f t="shared" si="1"/>
        <v>WRONG</v>
      </c>
      <c r="G10" s="39" t="s">
        <v>37</v>
      </c>
      <c r="H10" s="55" t="s">
        <v>36</v>
      </c>
      <c r="I10" s="54" t="s">
        <v>365</v>
      </c>
      <c r="J10" s="56">
        <v>17211.0</v>
      </c>
    </row>
    <row r="11" ht="60.0" customHeight="1">
      <c r="A11" s="39">
        <v>8.0</v>
      </c>
      <c r="B11" s="40" t="s">
        <v>70</v>
      </c>
      <c r="C11" s="40" t="s">
        <v>71</v>
      </c>
      <c r="D11" s="40" t="s">
        <v>72</v>
      </c>
      <c r="E11" s="40" t="s">
        <v>73</v>
      </c>
      <c r="F11" s="39" t="str">
        <f t="shared" si="1"/>
        <v>WRONG</v>
      </c>
      <c r="G11" s="39" t="s">
        <v>48</v>
      </c>
      <c r="H11" s="56" t="s">
        <v>37</v>
      </c>
      <c r="I11" s="54" t="s">
        <v>366</v>
      </c>
      <c r="J11" s="56">
        <v>15692.0</v>
      </c>
    </row>
    <row r="12" ht="60.0" customHeight="1">
      <c r="A12" s="39">
        <v>9.0</v>
      </c>
      <c r="B12" s="40" t="s">
        <v>75</v>
      </c>
      <c r="C12" s="40" t="s">
        <v>76</v>
      </c>
      <c r="D12" s="40" t="s">
        <v>77</v>
      </c>
      <c r="E12" s="40" t="s">
        <v>78</v>
      </c>
      <c r="F12" s="39" t="str">
        <f t="shared" si="1"/>
        <v>WRONG</v>
      </c>
      <c r="G12" s="39" t="s">
        <v>37</v>
      </c>
      <c r="H12" s="56" t="s">
        <v>48</v>
      </c>
      <c r="I12" s="54" t="s">
        <v>367</v>
      </c>
      <c r="J12" s="56">
        <v>25033.0</v>
      </c>
    </row>
    <row r="13" ht="60.0" customHeight="1">
      <c r="A13" s="39">
        <v>10.0</v>
      </c>
      <c r="B13" s="40" t="s">
        <v>80</v>
      </c>
      <c r="C13" s="40" t="s">
        <v>81</v>
      </c>
      <c r="D13" s="40" t="s">
        <v>82</v>
      </c>
      <c r="E13" s="40" t="s">
        <v>83</v>
      </c>
      <c r="F13" s="39" t="str">
        <f t="shared" si="1"/>
        <v>CORRECT</v>
      </c>
      <c r="G13" s="39" t="s">
        <v>48</v>
      </c>
      <c r="H13" s="55" t="s">
        <v>48</v>
      </c>
      <c r="I13" s="54" t="s">
        <v>368</v>
      </c>
      <c r="J13" s="56">
        <v>28158.0</v>
      </c>
    </row>
    <row r="14" ht="60.0" customHeight="1">
      <c r="A14" s="39">
        <v>11.0</v>
      </c>
      <c r="B14" s="40" t="s">
        <v>85</v>
      </c>
      <c r="C14" s="40" t="s">
        <v>86</v>
      </c>
      <c r="D14" s="40" t="s">
        <v>87</v>
      </c>
      <c r="E14" s="40" t="s">
        <v>88</v>
      </c>
      <c r="F14" s="39" t="str">
        <f t="shared" si="1"/>
        <v>CORRECT</v>
      </c>
      <c r="G14" s="39" t="s">
        <v>37</v>
      </c>
      <c r="H14" s="55" t="s">
        <v>37</v>
      </c>
      <c r="I14" s="54" t="s">
        <v>369</v>
      </c>
      <c r="J14" s="56">
        <v>44481.0</v>
      </c>
    </row>
    <row r="15" ht="60.0" customHeight="1">
      <c r="A15" s="39">
        <v>12.0</v>
      </c>
      <c r="B15" s="40" t="s">
        <v>90</v>
      </c>
      <c r="C15" s="40" t="s">
        <v>91</v>
      </c>
      <c r="D15" s="40" t="s">
        <v>92</v>
      </c>
      <c r="E15" s="40" t="s">
        <v>93</v>
      </c>
      <c r="F15" s="39" t="str">
        <f t="shared" si="1"/>
        <v>CORRECT</v>
      </c>
      <c r="G15" s="39" t="s">
        <v>48</v>
      </c>
      <c r="H15" s="56" t="s">
        <v>48</v>
      </c>
      <c r="I15" s="54" t="s">
        <v>370</v>
      </c>
      <c r="J15" s="56">
        <v>24163.0</v>
      </c>
    </row>
    <row r="16" ht="60.0" customHeight="1">
      <c r="A16" s="39">
        <v>13.0</v>
      </c>
      <c r="B16" s="40" t="s">
        <v>95</v>
      </c>
      <c r="C16" s="40" t="s">
        <v>96</v>
      </c>
      <c r="D16" s="40" t="s">
        <v>97</v>
      </c>
      <c r="E16" s="40" t="s">
        <v>98</v>
      </c>
      <c r="F16" s="39" t="str">
        <f t="shared" si="1"/>
        <v>CORRECT</v>
      </c>
      <c r="G16" s="39" t="s">
        <v>36</v>
      </c>
      <c r="H16" s="56" t="s">
        <v>36</v>
      </c>
      <c r="I16" s="54" t="s">
        <v>371</v>
      </c>
      <c r="J16" s="56">
        <v>17903.0</v>
      </c>
    </row>
    <row r="17" ht="60.0" customHeight="1">
      <c r="A17" s="39">
        <v>14.0</v>
      </c>
      <c r="B17" s="40" t="s">
        <v>100</v>
      </c>
      <c r="C17" s="40" t="s">
        <v>101</v>
      </c>
      <c r="D17" s="40" t="s">
        <v>102</v>
      </c>
      <c r="E17" s="40" t="s">
        <v>103</v>
      </c>
      <c r="F17" s="39" t="str">
        <f t="shared" si="1"/>
        <v>CORRECT</v>
      </c>
      <c r="G17" s="39" t="s">
        <v>36</v>
      </c>
      <c r="H17" s="56" t="s">
        <v>36</v>
      </c>
      <c r="I17" s="54" t="s">
        <v>372</v>
      </c>
      <c r="J17" s="56">
        <v>10670.0</v>
      </c>
    </row>
    <row r="18" ht="60.0" customHeight="1">
      <c r="A18" s="39">
        <v>15.0</v>
      </c>
      <c r="B18" s="40" t="s">
        <v>105</v>
      </c>
      <c r="C18" s="40" t="s">
        <v>106</v>
      </c>
      <c r="D18" s="40" t="s">
        <v>107</v>
      </c>
      <c r="E18" s="40" t="s">
        <v>108</v>
      </c>
      <c r="F18" s="39" t="str">
        <f t="shared" si="1"/>
        <v>CORRECT</v>
      </c>
      <c r="G18" s="39" t="s">
        <v>48</v>
      </c>
      <c r="H18" s="56" t="s">
        <v>48</v>
      </c>
      <c r="I18" s="54" t="s">
        <v>373</v>
      </c>
      <c r="J18" s="56">
        <v>32670.0</v>
      </c>
    </row>
    <row r="19" ht="60.0" customHeight="1">
      <c r="A19" s="39">
        <v>16.0</v>
      </c>
      <c r="B19" s="40" t="s">
        <v>110</v>
      </c>
      <c r="C19" s="40" t="s">
        <v>111</v>
      </c>
      <c r="D19" s="40" t="s">
        <v>112</v>
      </c>
      <c r="E19" s="40" t="s">
        <v>113</v>
      </c>
      <c r="F19" s="39" t="str">
        <f t="shared" si="1"/>
        <v>CORRECT</v>
      </c>
      <c r="G19" s="39" t="s">
        <v>48</v>
      </c>
      <c r="H19" s="55" t="s">
        <v>48</v>
      </c>
      <c r="I19" s="54" t="s">
        <v>374</v>
      </c>
      <c r="J19" s="56">
        <v>17691.0</v>
      </c>
    </row>
    <row r="20" ht="60.0" customHeight="1">
      <c r="A20" s="39">
        <v>17.0</v>
      </c>
      <c r="B20" s="40" t="s">
        <v>115</v>
      </c>
      <c r="C20" s="40" t="s">
        <v>116</v>
      </c>
      <c r="D20" s="40" t="s">
        <v>117</v>
      </c>
      <c r="E20" s="40" t="s">
        <v>118</v>
      </c>
      <c r="F20" s="39" t="str">
        <f t="shared" si="1"/>
        <v>WRONG</v>
      </c>
      <c r="G20" s="39" t="s">
        <v>37</v>
      </c>
      <c r="H20" s="55" t="s">
        <v>36</v>
      </c>
      <c r="I20" s="54" t="s">
        <v>375</v>
      </c>
      <c r="J20" s="56">
        <v>18805.0</v>
      </c>
    </row>
    <row r="21" ht="60.0" customHeight="1">
      <c r="A21" s="39">
        <v>18.0</v>
      </c>
      <c r="B21" s="40" t="s">
        <v>120</v>
      </c>
      <c r="C21" s="40" t="s">
        <v>121</v>
      </c>
      <c r="D21" s="40" t="s">
        <v>122</v>
      </c>
      <c r="E21" s="40" t="s">
        <v>123</v>
      </c>
      <c r="F21" s="39" t="str">
        <f t="shared" si="1"/>
        <v>CORRECT</v>
      </c>
      <c r="G21" s="39" t="s">
        <v>37</v>
      </c>
      <c r="H21" s="56" t="s">
        <v>37</v>
      </c>
      <c r="I21" s="54" t="s">
        <v>376</v>
      </c>
      <c r="J21" s="56">
        <v>24518.0</v>
      </c>
    </row>
    <row r="22" ht="60.0" customHeight="1">
      <c r="A22" s="39">
        <v>19.0</v>
      </c>
      <c r="B22" s="40" t="s">
        <v>125</v>
      </c>
      <c r="C22" s="40" t="s">
        <v>126</v>
      </c>
      <c r="D22" s="40" t="s">
        <v>127</v>
      </c>
      <c r="E22" s="40" t="s">
        <v>128</v>
      </c>
      <c r="F22" s="39" t="str">
        <f t="shared" si="1"/>
        <v>WRONG</v>
      </c>
      <c r="G22" s="39" t="s">
        <v>36</v>
      </c>
      <c r="H22" s="55" t="s">
        <v>48</v>
      </c>
      <c r="I22" s="54" t="s">
        <v>377</v>
      </c>
      <c r="J22" s="56">
        <v>21061.0</v>
      </c>
    </row>
    <row r="23" ht="60.0" customHeight="1">
      <c r="A23" s="39">
        <v>20.0</v>
      </c>
      <c r="B23" s="40" t="s">
        <v>130</v>
      </c>
      <c r="C23" s="40" t="s">
        <v>131</v>
      </c>
      <c r="D23" s="40" t="s">
        <v>132</v>
      </c>
      <c r="E23" s="40" t="s">
        <v>133</v>
      </c>
      <c r="F23" s="39" t="str">
        <f t="shared" si="1"/>
        <v>WRONG</v>
      </c>
      <c r="G23" s="39" t="s">
        <v>37</v>
      </c>
      <c r="H23" s="56" t="s">
        <v>36</v>
      </c>
      <c r="I23" s="54" t="s">
        <v>378</v>
      </c>
      <c r="J23" s="56">
        <v>22033.0</v>
      </c>
    </row>
    <row r="24" ht="60.0" customHeight="1">
      <c r="A24" s="39">
        <v>21.0</v>
      </c>
      <c r="B24" s="40" t="s">
        <v>135</v>
      </c>
      <c r="C24" s="40" t="s">
        <v>136</v>
      </c>
      <c r="D24" s="40" t="s">
        <v>137</v>
      </c>
      <c r="E24" s="40" t="s">
        <v>138</v>
      </c>
      <c r="F24" s="39" t="str">
        <f t="shared" si="1"/>
        <v>WRONG</v>
      </c>
      <c r="G24" s="39" t="s">
        <v>37</v>
      </c>
      <c r="H24" s="56" t="s">
        <v>36</v>
      </c>
      <c r="I24" s="54" t="s">
        <v>379</v>
      </c>
      <c r="J24" s="56">
        <v>11427.0</v>
      </c>
    </row>
    <row r="25" ht="60.0" customHeight="1">
      <c r="A25" s="39">
        <v>22.0</v>
      </c>
      <c r="B25" s="40" t="s">
        <v>140</v>
      </c>
      <c r="C25" s="40" t="s">
        <v>141</v>
      </c>
      <c r="D25" s="40" t="s">
        <v>142</v>
      </c>
      <c r="E25" s="40" t="s">
        <v>143</v>
      </c>
      <c r="F25" s="39" t="str">
        <f t="shared" si="1"/>
        <v>CORRECT</v>
      </c>
      <c r="G25" s="39" t="s">
        <v>37</v>
      </c>
      <c r="H25" s="56" t="s">
        <v>37</v>
      </c>
      <c r="I25" s="54" t="s">
        <v>380</v>
      </c>
      <c r="J25" s="56">
        <v>20656.0</v>
      </c>
    </row>
    <row r="26" ht="60.0" customHeight="1">
      <c r="A26" s="39">
        <v>23.0</v>
      </c>
      <c r="B26" s="40" t="s">
        <v>145</v>
      </c>
      <c r="C26" s="40" t="s">
        <v>146</v>
      </c>
      <c r="D26" s="40" t="s">
        <v>147</v>
      </c>
      <c r="E26" s="40" t="s">
        <v>148</v>
      </c>
      <c r="F26" s="39" t="str">
        <f t="shared" si="1"/>
        <v>CORRECT</v>
      </c>
      <c r="G26" s="39" t="s">
        <v>48</v>
      </c>
      <c r="H26" s="55" t="s">
        <v>48</v>
      </c>
      <c r="I26" s="54" t="s">
        <v>381</v>
      </c>
      <c r="J26" s="56">
        <v>27021.0</v>
      </c>
    </row>
    <row r="27" ht="60.0" customHeight="1">
      <c r="A27" s="39">
        <v>24.0</v>
      </c>
      <c r="B27" s="40" t="s">
        <v>150</v>
      </c>
      <c r="C27" s="40" t="s">
        <v>151</v>
      </c>
      <c r="D27" s="40" t="s">
        <v>152</v>
      </c>
      <c r="E27" s="40" t="s">
        <v>153</v>
      </c>
      <c r="F27" s="39" t="str">
        <f t="shared" si="1"/>
        <v>WRONG</v>
      </c>
      <c r="G27" s="39" t="s">
        <v>36</v>
      </c>
      <c r="H27" s="55" t="s">
        <v>37</v>
      </c>
      <c r="I27" s="54" t="s">
        <v>382</v>
      </c>
      <c r="J27" s="56">
        <v>28816.0</v>
      </c>
    </row>
    <row r="28" ht="60.0" customHeight="1">
      <c r="A28" s="39">
        <v>25.0</v>
      </c>
      <c r="B28" s="40" t="s">
        <v>155</v>
      </c>
      <c r="C28" s="40" t="s">
        <v>151</v>
      </c>
      <c r="D28" s="40" t="s">
        <v>156</v>
      </c>
      <c r="E28" s="40" t="s">
        <v>153</v>
      </c>
      <c r="F28" s="39" t="str">
        <f t="shared" si="1"/>
        <v>CORRECT</v>
      </c>
      <c r="G28" s="39" t="s">
        <v>48</v>
      </c>
      <c r="H28" s="55" t="s">
        <v>48</v>
      </c>
      <c r="I28" s="54" t="s">
        <v>383</v>
      </c>
      <c r="J28" s="56">
        <v>33799.0</v>
      </c>
    </row>
    <row r="29" ht="60.0" customHeight="1">
      <c r="A29" s="39">
        <v>26.0</v>
      </c>
      <c r="B29" s="40" t="s">
        <v>158</v>
      </c>
      <c r="C29" s="40" t="s">
        <v>159</v>
      </c>
      <c r="D29" s="40" t="s">
        <v>160</v>
      </c>
      <c r="E29" s="40" t="s">
        <v>161</v>
      </c>
      <c r="F29" s="39" t="str">
        <f t="shared" si="1"/>
        <v>WRONG</v>
      </c>
      <c r="G29" s="39" t="s">
        <v>36</v>
      </c>
      <c r="H29" s="55" t="s">
        <v>37</v>
      </c>
      <c r="I29" s="54" t="s">
        <v>384</v>
      </c>
      <c r="J29" s="56">
        <v>25514.0</v>
      </c>
    </row>
    <row r="30" ht="60.0" customHeight="1">
      <c r="A30" s="39">
        <v>27.0</v>
      </c>
      <c r="B30" s="40" t="s">
        <v>163</v>
      </c>
      <c r="C30" s="40" t="s">
        <v>164</v>
      </c>
      <c r="D30" s="40" t="s">
        <v>165</v>
      </c>
      <c r="E30" s="40" t="s">
        <v>166</v>
      </c>
      <c r="F30" s="39" t="str">
        <f t="shared" si="1"/>
        <v>CORRECT</v>
      </c>
      <c r="G30" s="39" t="s">
        <v>37</v>
      </c>
      <c r="H30" s="56" t="s">
        <v>37</v>
      </c>
      <c r="I30" s="54" t="s">
        <v>385</v>
      </c>
      <c r="J30" s="56">
        <v>25446.0</v>
      </c>
    </row>
    <row r="31" ht="60.0" customHeight="1">
      <c r="A31" s="39">
        <v>28.0</v>
      </c>
      <c r="B31" s="40" t="s">
        <v>168</v>
      </c>
      <c r="C31" s="40" t="s">
        <v>169</v>
      </c>
      <c r="D31" s="40" t="s">
        <v>170</v>
      </c>
      <c r="E31" s="40" t="s">
        <v>171</v>
      </c>
      <c r="F31" s="39" t="str">
        <f t="shared" si="1"/>
        <v>WRONG</v>
      </c>
      <c r="G31" s="39" t="s">
        <v>36</v>
      </c>
      <c r="H31" s="56" t="s">
        <v>37</v>
      </c>
      <c r="I31" s="54" t="s">
        <v>386</v>
      </c>
      <c r="J31" s="56">
        <v>27046.0</v>
      </c>
    </row>
    <row r="32" ht="60.0" customHeight="1">
      <c r="A32" s="39">
        <v>29.0</v>
      </c>
      <c r="B32" s="40" t="s">
        <v>173</v>
      </c>
      <c r="C32" s="40" t="s">
        <v>174</v>
      </c>
      <c r="D32" s="40" t="s">
        <v>175</v>
      </c>
      <c r="E32" s="40" t="s">
        <v>176</v>
      </c>
      <c r="F32" s="39" t="str">
        <f t="shared" si="1"/>
        <v>CORRECT</v>
      </c>
      <c r="G32" s="39" t="s">
        <v>37</v>
      </c>
      <c r="H32" s="55" t="s">
        <v>37</v>
      </c>
      <c r="I32" s="54" t="s">
        <v>387</v>
      </c>
      <c r="J32" s="56">
        <v>18707.0</v>
      </c>
    </row>
    <row r="33" ht="60.0" customHeight="1">
      <c r="A33" s="39">
        <v>30.0</v>
      </c>
      <c r="B33" s="40" t="s">
        <v>178</v>
      </c>
      <c r="C33" s="40" t="s">
        <v>179</v>
      </c>
      <c r="D33" s="40" t="s">
        <v>180</v>
      </c>
      <c r="E33" s="40" t="s">
        <v>181</v>
      </c>
      <c r="F33" s="39" t="str">
        <f t="shared" si="1"/>
        <v>WRONG</v>
      </c>
      <c r="G33" s="39" t="s">
        <v>48</v>
      </c>
      <c r="H33" s="56" t="s">
        <v>36</v>
      </c>
      <c r="I33" s="54" t="s">
        <v>388</v>
      </c>
      <c r="J33" s="56">
        <v>14293.0</v>
      </c>
    </row>
    <row r="34" ht="60.0" customHeight="1">
      <c r="A34" s="39">
        <v>31.0</v>
      </c>
      <c r="B34" s="40" t="s">
        <v>183</v>
      </c>
      <c r="C34" s="40" t="s">
        <v>184</v>
      </c>
      <c r="D34" s="40" t="s">
        <v>185</v>
      </c>
      <c r="E34" s="40" t="s">
        <v>186</v>
      </c>
      <c r="F34" s="39" t="str">
        <f t="shared" si="1"/>
        <v>WRONG</v>
      </c>
      <c r="G34" s="39" t="s">
        <v>37</v>
      </c>
      <c r="H34" s="55" t="s">
        <v>36</v>
      </c>
      <c r="I34" s="54" t="s">
        <v>389</v>
      </c>
      <c r="J34" s="56">
        <v>21947.0</v>
      </c>
    </row>
    <row r="35" ht="60.0" customHeight="1">
      <c r="A35" s="39">
        <v>32.0</v>
      </c>
      <c r="B35" s="40" t="s">
        <v>188</v>
      </c>
      <c r="C35" s="40" t="s">
        <v>189</v>
      </c>
      <c r="D35" s="40" t="s">
        <v>190</v>
      </c>
      <c r="E35" s="40" t="s">
        <v>191</v>
      </c>
      <c r="F35" s="39" t="str">
        <f t="shared" si="1"/>
        <v>CORRECT</v>
      </c>
      <c r="G35" s="39" t="s">
        <v>36</v>
      </c>
      <c r="H35" s="56" t="s">
        <v>36</v>
      </c>
      <c r="I35" s="54" t="s">
        <v>390</v>
      </c>
      <c r="J35" s="56">
        <v>27402.0</v>
      </c>
    </row>
    <row r="36" ht="60.0" customHeight="1">
      <c r="A36" s="39">
        <v>33.0</v>
      </c>
      <c r="B36" s="40" t="s">
        <v>193</v>
      </c>
      <c r="C36" s="40" t="s">
        <v>194</v>
      </c>
      <c r="D36" s="40" t="s">
        <v>195</v>
      </c>
      <c r="E36" s="40" t="s">
        <v>196</v>
      </c>
      <c r="F36" s="39" t="str">
        <f t="shared" si="1"/>
        <v>CORRECT</v>
      </c>
      <c r="G36" s="39" t="s">
        <v>48</v>
      </c>
      <c r="H36" s="55" t="s">
        <v>48</v>
      </c>
      <c r="I36" s="54" t="s">
        <v>391</v>
      </c>
      <c r="J36" s="56">
        <v>29332.0</v>
      </c>
    </row>
    <row r="37" ht="60.0" customHeight="1">
      <c r="A37" s="39">
        <v>34.0</v>
      </c>
      <c r="B37" s="40" t="s">
        <v>198</v>
      </c>
      <c r="C37" s="40" t="s">
        <v>199</v>
      </c>
      <c r="D37" s="40" t="s">
        <v>200</v>
      </c>
      <c r="E37" s="40" t="s">
        <v>201</v>
      </c>
      <c r="F37" s="39" t="str">
        <f t="shared" si="1"/>
        <v>CORRECT</v>
      </c>
      <c r="G37" s="39" t="s">
        <v>36</v>
      </c>
      <c r="H37" s="55" t="s">
        <v>36</v>
      </c>
      <c r="I37" s="54" t="s">
        <v>392</v>
      </c>
      <c r="J37" s="56">
        <v>28166.0</v>
      </c>
    </row>
    <row r="38" ht="60.0" customHeight="1">
      <c r="A38" s="39">
        <v>35.0</v>
      </c>
      <c r="B38" s="40" t="s">
        <v>203</v>
      </c>
      <c r="C38" s="40" t="s">
        <v>204</v>
      </c>
      <c r="D38" s="40" t="s">
        <v>205</v>
      </c>
      <c r="E38" s="40" t="s">
        <v>206</v>
      </c>
      <c r="F38" s="39" t="str">
        <f t="shared" si="1"/>
        <v>CORRECT</v>
      </c>
      <c r="G38" s="39" t="s">
        <v>48</v>
      </c>
      <c r="H38" s="55" t="s">
        <v>48</v>
      </c>
      <c r="I38" s="54" t="s">
        <v>393</v>
      </c>
      <c r="J38" s="56">
        <v>23607.0</v>
      </c>
    </row>
    <row r="39" ht="60.0" customHeight="1">
      <c r="A39" s="39">
        <v>36.0</v>
      </c>
      <c r="B39" s="40" t="s">
        <v>208</v>
      </c>
      <c r="C39" s="40" t="s">
        <v>209</v>
      </c>
      <c r="D39" s="40" t="s">
        <v>210</v>
      </c>
      <c r="E39" s="40" t="s">
        <v>211</v>
      </c>
      <c r="F39" s="39" t="str">
        <f t="shared" si="1"/>
        <v>WRONG</v>
      </c>
      <c r="G39" s="39" t="s">
        <v>36</v>
      </c>
      <c r="H39" s="56" t="s">
        <v>48</v>
      </c>
      <c r="I39" s="54" t="s">
        <v>394</v>
      </c>
      <c r="J39" s="56">
        <v>13700.0</v>
      </c>
    </row>
    <row r="40" ht="60.0" customHeight="1">
      <c r="A40" s="39">
        <v>37.0</v>
      </c>
      <c r="B40" s="40" t="s">
        <v>213</v>
      </c>
      <c r="C40" s="40" t="s">
        <v>214</v>
      </c>
      <c r="D40" s="40" t="s">
        <v>215</v>
      </c>
      <c r="E40" s="40" t="s">
        <v>216</v>
      </c>
      <c r="F40" s="39" t="str">
        <f t="shared" si="1"/>
        <v>WRONG</v>
      </c>
      <c r="G40" s="39" t="s">
        <v>36</v>
      </c>
      <c r="H40" s="55" t="s">
        <v>37</v>
      </c>
      <c r="I40" s="54" t="s">
        <v>395</v>
      </c>
      <c r="J40" s="56">
        <v>16364.0</v>
      </c>
    </row>
    <row r="41" ht="60.0" customHeight="1">
      <c r="A41" s="39">
        <v>38.0</v>
      </c>
      <c r="B41" s="40" t="s">
        <v>218</v>
      </c>
      <c r="C41" s="40" t="s">
        <v>219</v>
      </c>
      <c r="D41" s="40" t="s">
        <v>220</v>
      </c>
      <c r="E41" s="40" t="s">
        <v>221</v>
      </c>
      <c r="F41" s="39" t="str">
        <f t="shared" si="1"/>
        <v>CORRECT</v>
      </c>
      <c r="G41" s="39" t="s">
        <v>36</v>
      </c>
      <c r="H41" s="55" t="s">
        <v>36</v>
      </c>
      <c r="I41" s="54" t="s">
        <v>396</v>
      </c>
      <c r="J41" s="56">
        <v>20415.0</v>
      </c>
    </row>
    <row r="42" ht="60.0" customHeight="1">
      <c r="A42" s="39">
        <v>39.0</v>
      </c>
      <c r="B42" s="40" t="s">
        <v>223</v>
      </c>
      <c r="C42" s="40" t="s">
        <v>224</v>
      </c>
      <c r="D42" s="40" t="s">
        <v>225</v>
      </c>
      <c r="E42" s="40" t="s">
        <v>226</v>
      </c>
      <c r="F42" s="39" t="str">
        <f t="shared" si="1"/>
        <v>WRONG</v>
      </c>
      <c r="G42" s="39" t="s">
        <v>37</v>
      </c>
      <c r="H42" s="56" t="s">
        <v>48</v>
      </c>
      <c r="I42" s="54" t="s">
        <v>397</v>
      </c>
      <c r="J42" s="56">
        <v>18416.0</v>
      </c>
    </row>
    <row r="43" ht="60.0" customHeight="1">
      <c r="A43" s="39">
        <v>40.0</v>
      </c>
      <c r="B43" s="40" t="s">
        <v>228</v>
      </c>
      <c r="C43" s="40" t="s">
        <v>229</v>
      </c>
      <c r="D43" s="40" t="s">
        <v>230</v>
      </c>
      <c r="E43" s="40" t="s">
        <v>231</v>
      </c>
      <c r="F43" s="39" t="str">
        <f t="shared" si="1"/>
        <v>WRONG</v>
      </c>
      <c r="G43" s="39" t="s">
        <v>48</v>
      </c>
      <c r="H43" s="55" t="s">
        <v>37</v>
      </c>
      <c r="I43" s="54" t="s">
        <v>398</v>
      </c>
      <c r="J43" s="56">
        <v>26985.0</v>
      </c>
    </row>
    <row r="44" ht="60.0" customHeight="1">
      <c r="A44" s="39">
        <v>41.0</v>
      </c>
      <c r="B44" s="40" t="s">
        <v>233</v>
      </c>
      <c r="C44" s="40" t="s">
        <v>234</v>
      </c>
      <c r="D44" s="40" t="s">
        <v>235</v>
      </c>
      <c r="E44" s="40" t="s">
        <v>236</v>
      </c>
      <c r="F44" s="39" t="str">
        <f t="shared" si="1"/>
        <v>CORRECT</v>
      </c>
      <c r="G44" s="39" t="s">
        <v>37</v>
      </c>
      <c r="H44" s="56" t="s">
        <v>37</v>
      </c>
      <c r="I44" s="54" t="s">
        <v>399</v>
      </c>
      <c r="J44" s="56">
        <v>17741.0</v>
      </c>
    </row>
    <row r="45" ht="60.0" customHeight="1">
      <c r="A45" s="39">
        <v>42.0</v>
      </c>
      <c r="B45" s="40" t="s">
        <v>238</v>
      </c>
      <c r="C45" s="40" t="s">
        <v>239</v>
      </c>
      <c r="D45" s="40" t="s">
        <v>240</v>
      </c>
      <c r="E45" s="40" t="s">
        <v>241</v>
      </c>
      <c r="F45" s="39" t="str">
        <f t="shared" si="1"/>
        <v>WRONG</v>
      </c>
      <c r="G45" s="39" t="s">
        <v>36</v>
      </c>
      <c r="H45" s="55" t="s">
        <v>37</v>
      </c>
      <c r="I45" s="54" t="s">
        <v>400</v>
      </c>
      <c r="J45" s="56">
        <v>19716.0</v>
      </c>
    </row>
    <row r="46" ht="60.0" customHeight="1">
      <c r="A46" s="39">
        <v>43.0</v>
      </c>
      <c r="B46" s="40" t="s">
        <v>243</v>
      </c>
      <c r="C46" s="40" t="s">
        <v>244</v>
      </c>
      <c r="D46" s="40" t="s">
        <v>245</v>
      </c>
      <c r="E46" s="40" t="s">
        <v>246</v>
      </c>
      <c r="F46" s="39" t="str">
        <f t="shared" si="1"/>
        <v>WRONG</v>
      </c>
      <c r="G46" s="39" t="s">
        <v>48</v>
      </c>
      <c r="H46" s="55" t="s">
        <v>36</v>
      </c>
      <c r="I46" s="54" t="s">
        <v>401</v>
      </c>
      <c r="J46" s="56">
        <v>15056.0</v>
      </c>
    </row>
    <row r="47" ht="60.0" customHeight="1">
      <c r="A47" s="39">
        <v>44.0</v>
      </c>
      <c r="B47" s="40" t="s">
        <v>248</v>
      </c>
      <c r="C47" s="40" t="s">
        <v>249</v>
      </c>
      <c r="D47" s="40" t="s">
        <v>250</v>
      </c>
      <c r="E47" s="40" t="s">
        <v>251</v>
      </c>
      <c r="F47" s="39" t="str">
        <f t="shared" si="1"/>
        <v>WRONG</v>
      </c>
      <c r="G47" s="39" t="s">
        <v>36</v>
      </c>
      <c r="H47" s="55" t="s">
        <v>48</v>
      </c>
      <c r="I47" s="54" t="s">
        <v>402</v>
      </c>
      <c r="J47" s="56">
        <v>20007.0</v>
      </c>
    </row>
    <row r="48" ht="60.0" customHeight="1">
      <c r="A48" s="39">
        <v>45.0</v>
      </c>
      <c r="B48" s="40" t="s">
        <v>253</v>
      </c>
      <c r="C48" s="40" t="s">
        <v>254</v>
      </c>
      <c r="D48" s="40" t="s">
        <v>255</v>
      </c>
      <c r="E48" s="40" t="s">
        <v>256</v>
      </c>
      <c r="F48" s="39" t="str">
        <f t="shared" si="1"/>
        <v>WRONG</v>
      </c>
      <c r="G48" s="39" t="s">
        <v>36</v>
      </c>
      <c r="H48" s="55" t="s">
        <v>48</v>
      </c>
      <c r="I48" s="54" t="s">
        <v>403</v>
      </c>
      <c r="J48" s="56">
        <v>51374.0</v>
      </c>
    </row>
    <row r="49" ht="60.0" customHeight="1">
      <c r="A49" s="39">
        <v>46.0</v>
      </c>
      <c r="B49" s="40" t="s">
        <v>258</v>
      </c>
      <c r="C49" s="40" t="s">
        <v>40</v>
      </c>
      <c r="D49" s="40" t="s">
        <v>259</v>
      </c>
      <c r="E49" s="40" t="s">
        <v>260</v>
      </c>
      <c r="F49" s="39" t="str">
        <f t="shared" si="1"/>
        <v>CORRECT</v>
      </c>
      <c r="G49" s="39" t="s">
        <v>36</v>
      </c>
      <c r="H49" s="56" t="s">
        <v>36</v>
      </c>
      <c r="I49" s="54" t="s">
        <v>404</v>
      </c>
      <c r="J49" s="56">
        <v>18804.0</v>
      </c>
    </row>
    <row r="50">
      <c r="A50" s="44" t="s">
        <v>262</v>
      </c>
      <c r="B50" s="2"/>
      <c r="C50" s="2"/>
      <c r="D50" s="2"/>
      <c r="E50" s="3"/>
      <c r="F50" s="45">
        <f>COUNTIFS(F4:F49,"CORRECT")</f>
        <v>25</v>
      </c>
      <c r="G50" s="46"/>
      <c r="H50" s="46"/>
      <c r="J50" s="47">
        <f>AVERAGE(J4:J49)</f>
        <v>23028.32609</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405</v>
      </c>
      <c r="C2" s="2"/>
      <c r="D2" s="2"/>
      <c r="E2" s="2"/>
      <c r="F2" s="2"/>
      <c r="G2" s="2"/>
      <c r="H2" s="3"/>
      <c r="I2" s="37" t="s">
        <v>406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5" t="s">
        <v>37</v>
      </c>
      <c r="I4" s="54" t="s">
        <v>38</v>
      </c>
      <c r="J4" s="56">
        <v>18839.0</v>
      </c>
    </row>
    <row r="5" ht="60.0" customHeight="1">
      <c r="A5" s="39">
        <v>2.0</v>
      </c>
      <c r="B5" s="40" t="s">
        <v>39</v>
      </c>
      <c r="C5" s="40" t="s">
        <v>40</v>
      </c>
      <c r="D5" s="40" t="s">
        <v>41</v>
      </c>
      <c r="E5" s="40" t="s">
        <v>42</v>
      </c>
      <c r="F5" s="39" t="str">
        <f t="shared" si="1"/>
        <v>CORRECT</v>
      </c>
      <c r="G5" s="39" t="s">
        <v>37</v>
      </c>
      <c r="H5" s="55" t="s">
        <v>37</v>
      </c>
      <c r="I5" s="54" t="s">
        <v>43</v>
      </c>
      <c r="J5" s="56">
        <v>25795.0</v>
      </c>
    </row>
    <row r="6" ht="60.0" customHeight="1">
      <c r="A6" s="39">
        <v>3.0</v>
      </c>
      <c r="B6" s="40" t="s">
        <v>44</v>
      </c>
      <c r="C6" s="40" t="s">
        <v>45</v>
      </c>
      <c r="D6" s="40" t="s">
        <v>46</v>
      </c>
      <c r="E6" s="40" t="s">
        <v>47</v>
      </c>
      <c r="F6" s="39" t="str">
        <f t="shared" si="1"/>
        <v>CORRECT</v>
      </c>
      <c r="G6" s="39" t="s">
        <v>48</v>
      </c>
      <c r="H6" s="56" t="s">
        <v>48</v>
      </c>
      <c r="I6" s="54" t="s">
        <v>49</v>
      </c>
      <c r="J6" s="56">
        <v>26658.0</v>
      </c>
    </row>
    <row r="7" ht="60.0" customHeight="1">
      <c r="A7" s="39">
        <v>4.0</v>
      </c>
      <c r="B7" s="40" t="s">
        <v>50</v>
      </c>
      <c r="C7" s="40" t="s">
        <v>51</v>
      </c>
      <c r="D7" s="40" t="s">
        <v>52</v>
      </c>
      <c r="E7" s="40" t="s">
        <v>53</v>
      </c>
      <c r="F7" s="39" t="str">
        <f t="shared" si="1"/>
        <v>CORRECT</v>
      </c>
      <c r="G7" s="39" t="s">
        <v>37</v>
      </c>
      <c r="H7" s="55" t="s">
        <v>37</v>
      </c>
      <c r="I7" s="54" t="s">
        <v>54</v>
      </c>
      <c r="J7" s="56">
        <v>14769.0</v>
      </c>
    </row>
    <row r="8" ht="60.0" customHeight="1">
      <c r="A8" s="39">
        <v>5.0</v>
      </c>
      <c r="B8" s="40" t="s">
        <v>55</v>
      </c>
      <c r="C8" s="40" t="s">
        <v>56</v>
      </c>
      <c r="D8" s="40" t="s">
        <v>57</v>
      </c>
      <c r="E8" s="40" t="s">
        <v>58</v>
      </c>
      <c r="F8" s="39" t="str">
        <f t="shared" si="1"/>
        <v>CORRECT</v>
      </c>
      <c r="G8" s="39" t="s">
        <v>48</v>
      </c>
      <c r="H8" s="55" t="s">
        <v>48</v>
      </c>
      <c r="I8" s="54" t="s">
        <v>268</v>
      </c>
      <c r="J8" s="56">
        <v>31571.0</v>
      </c>
    </row>
    <row r="9" ht="60.0" customHeight="1">
      <c r="A9" s="39">
        <v>6.0</v>
      </c>
      <c r="B9" s="40" t="s">
        <v>60</v>
      </c>
      <c r="C9" s="40" t="s">
        <v>61</v>
      </c>
      <c r="D9" s="40" t="s">
        <v>62</v>
      </c>
      <c r="E9" s="40" t="s">
        <v>63</v>
      </c>
      <c r="F9" s="39" t="str">
        <f t="shared" si="1"/>
        <v>CORRECT</v>
      </c>
      <c r="G9" s="39" t="s">
        <v>37</v>
      </c>
      <c r="H9" s="56" t="s">
        <v>37</v>
      </c>
      <c r="I9" s="54" t="s">
        <v>64</v>
      </c>
      <c r="J9" s="56">
        <v>22394.0</v>
      </c>
    </row>
    <row r="10" ht="60.0" customHeight="1">
      <c r="A10" s="39">
        <v>7.0</v>
      </c>
      <c r="B10" s="40" t="s">
        <v>65</v>
      </c>
      <c r="C10" s="40" t="s">
        <v>66</v>
      </c>
      <c r="D10" s="40" t="s">
        <v>67</v>
      </c>
      <c r="E10" s="40" t="s">
        <v>68</v>
      </c>
      <c r="F10" s="39" t="str">
        <f t="shared" si="1"/>
        <v>WRONG</v>
      </c>
      <c r="G10" s="39" t="s">
        <v>37</v>
      </c>
      <c r="H10" s="56" t="s">
        <v>36</v>
      </c>
      <c r="I10" s="54" t="s">
        <v>269</v>
      </c>
      <c r="J10" s="56">
        <v>24564.0</v>
      </c>
    </row>
    <row r="11" ht="60.0" customHeight="1">
      <c r="A11" s="39">
        <v>8.0</v>
      </c>
      <c r="B11" s="40" t="s">
        <v>70</v>
      </c>
      <c r="C11" s="40" t="s">
        <v>71</v>
      </c>
      <c r="D11" s="40" t="s">
        <v>72</v>
      </c>
      <c r="E11" s="40" t="s">
        <v>73</v>
      </c>
      <c r="F11" s="39" t="str">
        <f t="shared" si="1"/>
        <v>CORRECT</v>
      </c>
      <c r="G11" s="39" t="s">
        <v>48</v>
      </c>
      <c r="H11" s="55" t="s">
        <v>48</v>
      </c>
      <c r="I11" s="54" t="s">
        <v>74</v>
      </c>
      <c r="J11" s="56">
        <v>26587.0</v>
      </c>
    </row>
    <row r="12" ht="60.0" customHeight="1">
      <c r="A12" s="39">
        <v>9.0</v>
      </c>
      <c r="B12" s="40" t="s">
        <v>75</v>
      </c>
      <c r="C12" s="40" t="s">
        <v>76</v>
      </c>
      <c r="D12" s="40" t="s">
        <v>77</v>
      </c>
      <c r="E12" s="40" t="s">
        <v>78</v>
      </c>
      <c r="F12" s="39" t="str">
        <f t="shared" si="1"/>
        <v>WRONG</v>
      </c>
      <c r="G12" s="39" t="s">
        <v>37</v>
      </c>
      <c r="H12" s="55" t="s">
        <v>48</v>
      </c>
      <c r="I12" s="54" t="s">
        <v>270</v>
      </c>
      <c r="J12" s="56">
        <v>20900.0</v>
      </c>
    </row>
    <row r="13" ht="60.0" customHeight="1">
      <c r="A13" s="39">
        <v>10.0</v>
      </c>
      <c r="B13" s="40" t="s">
        <v>80</v>
      </c>
      <c r="C13" s="40" t="s">
        <v>81</v>
      </c>
      <c r="D13" s="40" t="s">
        <v>82</v>
      </c>
      <c r="E13" s="40" t="s">
        <v>83</v>
      </c>
      <c r="F13" s="39" t="str">
        <f t="shared" si="1"/>
        <v>CORRECT</v>
      </c>
      <c r="G13" s="39" t="s">
        <v>48</v>
      </c>
      <c r="H13" s="56" t="s">
        <v>48</v>
      </c>
      <c r="I13" s="54" t="s">
        <v>271</v>
      </c>
      <c r="J13" s="56">
        <v>24224.0</v>
      </c>
    </row>
    <row r="14" ht="60.0" customHeight="1">
      <c r="A14" s="39">
        <v>11.0</v>
      </c>
      <c r="B14" s="40" t="s">
        <v>85</v>
      </c>
      <c r="C14" s="40" t="s">
        <v>86</v>
      </c>
      <c r="D14" s="40" t="s">
        <v>87</v>
      </c>
      <c r="E14" s="40" t="s">
        <v>88</v>
      </c>
      <c r="F14" s="39" t="str">
        <f t="shared" si="1"/>
        <v>CORRECT</v>
      </c>
      <c r="G14" s="39" t="s">
        <v>37</v>
      </c>
      <c r="H14" s="55" t="s">
        <v>37</v>
      </c>
      <c r="I14" s="54" t="s">
        <v>272</v>
      </c>
      <c r="J14" s="56">
        <v>27969.0</v>
      </c>
    </row>
    <row r="15" ht="60.0" customHeight="1">
      <c r="A15" s="39">
        <v>12.0</v>
      </c>
      <c r="B15" s="40" t="s">
        <v>90</v>
      </c>
      <c r="C15" s="40" t="s">
        <v>91</v>
      </c>
      <c r="D15" s="40" t="s">
        <v>92</v>
      </c>
      <c r="E15" s="40" t="s">
        <v>93</v>
      </c>
      <c r="F15" s="39" t="str">
        <f t="shared" si="1"/>
        <v>CORRECT</v>
      </c>
      <c r="G15" s="39" t="s">
        <v>48</v>
      </c>
      <c r="H15" s="55" t="s">
        <v>48</v>
      </c>
      <c r="I15" s="54" t="s">
        <v>273</v>
      </c>
      <c r="J15" s="56">
        <v>36831.0</v>
      </c>
    </row>
    <row r="16" ht="60.0" customHeight="1">
      <c r="A16" s="39">
        <v>13.0</v>
      </c>
      <c r="B16" s="40" t="s">
        <v>95</v>
      </c>
      <c r="C16" s="40" t="s">
        <v>96</v>
      </c>
      <c r="D16" s="40" t="s">
        <v>97</v>
      </c>
      <c r="E16" s="40" t="s">
        <v>98</v>
      </c>
      <c r="F16" s="39" t="str">
        <f t="shared" si="1"/>
        <v>CORRECT</v>
      </c>
      <c r="G16" s="39" t="s">
        <v>36</v>
      </c>
      <c r="H16" s="56" t="s">
        <v>36</v>
      </c>
      <c r="I16" s="54" t="s">
        <v>274</v>
      </c>
      <c r="J16" s="56">
        <v>16158.0</v>
      </c>
    </row>
    <row r="17" ht="60.0" customHeight="1">
      <c r="A17" s="39">
        <v>14.0</v>
      </c>
      <c r="B17" s="40" t="s">
        <v>100</v>
      </c>
      <c r="C17" s="40" t="s">
        <v>101</v>
      </c>
      <c r="D17" s="40" t="s">
        <v>102</v>
      </c>
      <c r="E17" s="40" t="s">
        <v>103</v>
      </c>
      <c r="F17" s="39" t="str">
        <f t="shared" si="1"/>
        <v>WRONG</v>
      </c>
      <c r="G17" s="39" t="s">
        <v>36</v>
      </c>
      <c r="H17" s="56" t="s">
        <v>48</v>
      </c>
      <c r="I17" s="54" t="s">
        <v>104</v>
      </c>
      <c r="J17" s="56">
        <v>18189.0</v>
      </c>
    </row>
    <row r="18" ht="60.0" customHeight="1">
      <c r="A18" s="39">
        <v>15.0</v>
      </c>
      <c r="B18" s="40" t="s">
        <v>105</v>
      </c>
      <c r="C18" s="40" t="s">
        <v>106</v>
      </c>
      <c r="D18" s="40" t="s">
        <v>107</v>
      </c>
      <c r="E18" s="40" t="s">
        <v>108</v>
      </c>
      <c r="F18" s="39" t="str">
        <f t="shared" si="1"/>
        <v>CORRECT</v>
      </c>
      <c r="G18" s="39" t="s">
        <v>48</v>
      </c>
      <c r="H18" s="56" t="s">
        <v>48</v>
      </c>
      <c r="I18" s="54" t="s">
        <v>109</v>
      </c>
      <c r="J18" s="56">
        <v>23487.0</v>
      </c>
    </row>
    <row r="19" ht="60.0" customHeight="1">
      <c r="A19" s="39">
        <v>16.0</v>
      </c>
      <c r="B19" s="40" t="s">
        <v>110</v>
      </c>
      <c r="C19" s="40" t="s">
        <v>111</v>
      </c>
      <c r="D19" s="40" t="s">
        <v>112</v>
      </c>
      <c r="E19" s="40" t="s">
        <v>113</v>
      </c>
      <c r="F19" s="39" t="str">
        <f t="shared" si="1"/>
        <v>CORRECT</v>
      </c>
      <c r="G19" s="39" t="s">
        <v>48</v>
      </c>
      <c r="H19" s="55" t="s">
        <v>48</v>
      </c>
      <c r="I19" s="54" t="s">
        <v>275</v>
      </c>
      <c r="J19" s="56">
        <v>23933.0</v>
      </c>
    </row>
    <row r="20" ht="60.0" customHeight="1">
      <c r="A20" s="39">
        <v>17.0</v>
      </c>
      <c r="B20" s="40" t="s">
        <v>115</v>
      </c>
      <c r="C20" s="40" t="s">
        <v>116</v>
      </c>
      <c r="D20" s="40" t="s">
        <v>117</v>
      </c>
      <c r="E20" s="40" t="s">
        <v>118</v>
      </c>
      <c r="F20" s="39" t="str">
        <f t="shared" si="1"/>
        <v>WRONG</v>
      </c>
      <c r="G20" s="39" t="s">
        <v>37</v>
      </c>
      <c r="H20" s="55" t="s">
        <v>36</v>
      </c>
      <c r="I20" s="54" t="s">
        <v>119</v>
      </c>
      <c r="J20" s="56">
        <v>17521.0</v>
      </c>
    </row>
    <row r="21" ht="60.0" customHeight="1">
      <c r="A21" s="39">
        <v>18.0</v>
      </c>
      <c r="B21" s="40" t="s">
        <v>120</v>
      </c>
      <c r="C21" s="40" t="s">
        <v>121</v>
      </c>
      <c r="D21" s="40" t="s">
        <v>122</v>
      </c>
      <c r="E21" s="40" t="s">
        <v>123</v>
      </c>
      <c r="F21" s="39" t="str">
        <f t="shared" si="1"/>
        <v>CORRECT</v>
      </c>
      <c r="G21" s="39" t="s">
        <v>37</v>
      </c>
      <c r="H21" s="56" t="s">
        <v>37</v>
      </c>
      <c r="I21" s="54" t="s">
        <v>407</v>
      </c>
      <c r="J21" s="56">
        <v>26549.0</v>
      </c>
    </row>
    <row r="22" ht="60.0" customHeight="1">
      <c r="A22" s="39">
        <v>19.0</v>
      </c>
      <c r="B22" s="40" t="s">
        <v>125</v>
      </c>
      <c r="C22" s="40" t="s">
        <v>126</v>
      </c>
      <c r="D22" s="40" t="s">
        <v>127</v>
      </c>
      <c r="E22" s="40" t="s">
        <v>128</v>
      </c>
      <c r="F22" s="39" t="str">
        <f t="shared" si="1"/>
        <v>WRONG</v>
      </c>
      <c r="G22" s="39" t="s">
        <v>36</v>
      </c>
      <c r="H22" s="55" t="s">
        <v>48</v>
      </c>
      <c r="I22" s="54" t="s">
        <v>129</v>
      </c>
      <c r="J22" s="56">
        <v>32006.0</v>
      </c>
    </row>
    <row r="23" ht="60.0" customHeight="1">
      <c r="A23" s="39">
        <v>20.0</v>
      </c>
      <c r="B23" s="40" t="s">
        <v>130</v>
      </c>
      <c r="C23" s="40" t="s">
        <v>131</v>
      </c>
      <c r="D23" s="40" t="s">
        <v>132</v>
      </c>
      <c r="E23" s="40" t="s">
        <v>133</v>
      </c>
      <c r="F23" s="39" t="str">
        <f t="shared" si="1"/>
        <v>WRONG</v>
      </c>
      <c r="G23" s="39" t="s">
        <v>37</v>
      </c>
      <c r="H23" s="56" t="s">
        <v>48</v>
      </c>
      <c r="I23" s="54" t="s">
        <v>134</v>
      </c>
      <c r="J23" s="56">
        <v>12426.0</v>
      </c>
    </row>
    <row r="24" ht="60.0" customHeight="1">
      <c r="A24" s="39">
        <v>21.0</v>
      </c>
      <c r="B24" s="40" t="s">
        <v>135</v>
      </c>
      <c r="C24" s="40" t="s">
        <v>136</v>
      </c>
      <c r="D24" s="40" t="s">
        <v>137</v>
      </c>
      <c r="E24" s="40" t="s">
        <v>138</v>
      </c>
      <c r="F24" s="39" t="str">
        <f t="shared" si="1"/>
        <v>WRONG</v>
      </c>
      <c r="G24" s="39" t="s">
        <v>37</v>
      </c>
      <c r="H24" s="56" t="s">
        <v>36</v>
      </c>
      <c r="I24" s="54" t="s">
        <v>139</v>
      </c>
      <c r="J24" s="56">
        <v>14305.0</v>
      </c>
    </row>
    <row r="25" ht="60.0" customHeight="1">
      <c r="A25" s="39">
        <v>22.0</v>
      </c>
      <c r="B25" s="40" t="s">
        <v>140</v>
      </c>
      <c r="C25" s="40" t="s">
        <v>141</v>
      </c>
      <c r="D25" s="40" t="s">
        <v>142</v>
      </c>
      <c r="E25" s="40" t="s">
        <v>143</v>
      </c>
      <c r="F25" s="39" t="str">
        <f t="shared" si="1"/>
        <v>CORRECT</v>
      </c>
      <c r="G25" s="39" t="s">
        <v>37</v>
      </c>
      <c r="H25" s="56" t="s">
        <v>37</v>
      </c>
      <c r="I25" s="54" t="s">
        <v>144</v>
      </c>
      <c r="J25" s="56">
        <v>14357.0</v>
      </c>
    </row>
    <row r="26" ht="60.0" customHeight="1">
      <c r="A26" s="39">
        <v>23.0</v>
      </c>
      <c r="B26" s="40" t="s">
        <v>145</v>
      </c>
      <c r="C26" s="40" t="s">
        <v>146</v>
      </c>
      <c r="D26" s="40" t="s">
        <v>147</v>
      </c>
      <c r="E26" s="40" t="s">
        <v>148</v>
      </c>
      <c r="F26" s="39" t="str">
        <f t="shared" si="1"/>
        <v>CORRECT</v>
      </c>
      <c r="G26" s="39" t="s">
        <v>48</v>
      </c>
      <c r="H26" s="56" t="s">
        <v>48</v>
      </c>
      <c r="I26" s="54" t="s">
        <v>149</v>
      </c>
      <c r="J26" s="56">
        <v>23684.0</v>
      </c>
    </row>
    <row r="27" ht="60.0" customHeight="1">
      <c r="A27" s="39">
        <v>24.0</v>
      </c>
      <c r="B27" s="40" t="s">
        <v>150</v>
      </c>
      <c r="C27" s="40" t="s">
        <v>151</v>
      </c>
      <c r="D27" s="40" t="s">
        <v>152</v>
      </c>
      <c r="E27" s="40" t="s">
        <v>153</v>
      </c>
      <c r="F27" s="39" t="str">
        <f t="shared" si="1"/>
        <v>WRONG</v>
      </c>
      <c r="G27" s="39" t="s">
        <v>36</v>
      </c>
      <c r="H27" s="55" t="s">
        <v>48</v>
      </c>
      <c r="I27" s="54" t="s">
        <v>154</v>
      </c>
      <c r="J27" s="56">
        <v>34737.0</v>
      </c>
    </row>
    <row r="28" ht="60.0" customHeight="1">
      <c r="A28" s="39">
        <v>25.0</v>
      </c>
      <c r="B28" s="40" t="s">
        <v>155</v>
      </c>
      <c r="C28" s="40" t="s">
        <v>151</v>
      </c>
      <c r="D28" s="40" t="s">
        <v>156</v>
      </c>
      <c r="E28" s="40" t="s">
        <v>153</v>
      </c>
      <c r="F28" s="39" t="str">
        <f t="shared" si="1"/>
        <v>WRONG</v>
      </c>
      <c r="G28" s="39" t="s">
        <v>48</v>
      </c>
      <c r="H28" s="55" t="s">
        <v>36</v>
      </c>
      <c r="I28" s="54" t="s">
        <v>157</v>
      </c>
      <c r="J28" s="56">
        <v>20260.0</v>
      </c>
    </row>
    <row r="29" ht="60.0" customHeight="1">
      <c r="A29" s="39">
        <v>26.0</v>
      </c>
      <c r="B29" s="40" t="s">
        <v>158</v>
      </c>
      <c r="C29" s="40" t="s">
        <v>159</v>
      </c>
      <c r="D29" s="40" t="s">
        <v>160</v>
      </c>
      <c r="E29" s="40" t="s">
        <v>161</v>
      </c>
      <c r="F29" s="39" t="str">
        <f t="shared" si="1"/>
        <v>WRONG</v>
      </c>
      <c r="G29" s="39" t="s">
        <v>36</v>
      </c>
      <c r="H29" s="55" t="s">
        <v>48</v>
      </c>
      <c r="I29" s="54" t="s">
        <v>162</v>
      </c>
      <c r="J29" s="56">
        <v>18302.0</v>
      </c>
    </row>
    <row r="30" ht="60.0" customHeight="1">
      <c r="A30" s="39">
        <v>27.0</v>
      </c>
      <c r="B30" s="40" t="s">
        <v>163</v>
      </c>
      <c r="C30" s="40" t="s">
        <v>164</v>
      </c>
      <c r="D30" s="40" t="s">
        <v>165</v>
      </c>
      <c r="E30" s="40" t="s">
        <v>166</v>
      </c>
      <c r="F30" s="39" t="str">
        <f t="shared" si="1"/>
        <v>CORRECT</v>
      </c>
      <c r="G30" s="39" t="s">
        <v>37</v>
      </c>
      <c r="H30" s="55" t="s">
        <v>37</v>
      </c>
      <c r="I30" s="54" t="s">
        <v>167</v>
      </c>
      <c r="J30" s="56">
        <v>23438.0</v>
      </c>
    </row>
    <row r="31" ht="60.0" customHeight="1">
      <c r="A31" s="39">
        <v>28.0</v>
      </c>
      <c r="B31" s="40" t="s">
        <v>168</v>
      </c>
      <c r="C31" s="40" t="s">
        <v>169</v>
      </c>
      <c r="D31" s="40" t="s">
        <v>170</v>
      </c>
      <c r="E31" s="40" t="s">
        <v>171</v>
      </c>
      <c r="F31" s="39" t="str">
        <f t="shared" si="1"/>
        <v>WRONG</v>
      </c>
      <c r="G31" s="39" t="s">
        <v>36</v>
      </c>
      <c r="H31" s="55" t="s">
        <v>37</v>
      </c>
      <c r="I31" s="54" t="s">
        <v>172</v>
      </c>
      <c r="J31" s="56">
        <v>17484.0</v>
      </c>
    </row>
    <row r="32" ht="60.0" customHeight="1">
      <c r="A32" s="39">
        <v>29.0</v>
      </c>
      <c r="B32" s="40" t="s">
        <v>173</v>
      </c>
      <c r="C32" s="40" t="s">
        <v>174</v>
      </c>
      <c r="D32" s="40" t="s">
        <v>175</v>
      </c>
      <c r="E32" s="40" t="s">
        <v>176</v>
      </c>
      <c r="F32" s="39" t="str">
        <f t="shared" si="1"/>
        <v>CORRECT</v>
      </c>
      <c r="G32" s="39" t="s">
        <v>37</v>
      </c>
      <c r="H32" s="55" t="s">
        <v>37</v>
      </c>
      <c r="I32" s="54" t="s">
        <v>177</v>
      </c>
      <c r="J32" s="56">
        <v>23257.0</v>
      </c>
    </row>
    <row r="33" ht="60.0" customHeight="1">
      <c r="A33" s="39">
        <v>30.0</v>
      </c>
      <c r="B33" s="40" t="s">
        <v>178</v>
      </c>
      <c r="C33" s="40" t="s">
        <v>179</v>
      </c>
      <c r="D33" s="40" t="s">
        <v>180</v>
      </c>
      <c r="E33" s="40" t="s">
        <v>181</v>
      </c>
      <c r="F33" s="39" t="str">
        <f t="shared" si="1"/>
        <v>WRONG</v>
      </c>
      <c r="G33" s="39" t="s">
        <v>48</v>
      </c>
      <c r="H33" s="56" t="s">
        <v>36</v>
      </c>
      <c r="I33" s="54" t="s">
        <v>182</v>
      </c>
      <c r="J33" s="56">
        <v>11783.0</v>
      </c>
    </row>
    <row r="34" ht="60.0" customHeight="1">
      <c r="A34" s="39">
        <v>31.0</v>
      </c>
      <c r="B34" s="40" t="s">
        <v>183</v>
      </c>
      <c r="C34" s="40" t="s">
        <v>184</v>
      </c>
      <c r="D34" s="40" t="s">
        <v>185</v>
      </c>
      <c r="E34" s="40" t="s">
        <v>186</v>
      </c>
      <c r="F34" s="39" t="str">
        <f t="shared" si="1"/>
        <v>WRONG</v>
      </c>
      <c r="G34" s="39" t="s">
        <v>37</v>
      </c>
      <c r="H34" s="56" t="s">
        <v>36</v>
      </c>
      <c r="I34" s="54" t="s">
        <v>187</v>
      </c>
      <c r="J34" s="56">
        <v>24053.0</v>
      </c>
    </row>
    <row r="35" ht="60.0" customHeight="1">
      <c r="A35" s="39">
        <v>32.0</v>
      </c>
      <c r="B35" s="40" t="s">
        <v>188</v>
      </c>
      <c r="C35" s="40" t="s">
        <v>189</v>
      </c>
      <c r="D35" s="40" t="s">
        <v>190</v>
      </c>
      <c r="E35" s="40" t="s">
        <v>191</v>
      </c>
      <c r="F35" s="39" t="str">
        <f t="shared" si="1"/>
        <v>CORRECT</v>
      </c>
      <c r="G35" s="39" t="s">
        <v>36</v>
      </c>
      <c r="H35" s="55" t="s">
        <v>36</v>
      </c>
      <c r="I35" s="54" t="s">
        <v>408</v>
      </c>
      <c r="J35" s="56">
        <v>30471.0</v>
      </c>
    </row>
    <row r="36" ht="60.0" customHeight="1">
      <c r="A36" s="39">
        <v>33.0</v>
      </c>
      <c r="B36" s="40" t="s">
        <v>193</v>
      </c>
      <c r="C36" s="40" t="s">
        <v>194</v>
      </c>
      <c r="D36" s="40" t="s">
        <v>195</v>
      </c>
      <c r="E36" s="40" t="s">
        <v>196</v>
      </c>
      <c r="F36" s="39" t="str">
        <f t="shared" si="1"/>
        <v>CORRECT</v>
      </c>
      <c r="G36" s="39" t="s">
        <v>48</v>
      </c>
      <c r="H36" s="55" t="s">
        <v>48</v>
      </c>
      <c r="I36" s="54" t="s">
        <v>300</v>
      </c>
      <c r="J36" s="56">
        <v>20379.0</v>
      </c>
    </row>
    <row r="37" ht="60.0" customHeight="1">
      <c r="A37" s="39">
        <v>34.0</v>
      </c>
      <c r="B37" s="40" t="s">
        <v>198</v>
      </c>
      <c r="C37" s="40" t="s">
        <v>199</v>
      </c>
      <c r="D37" s="40" t="s">
        <v>200</v>
      </c>
      <c r="E37" s="40" t="s">
        <v>201</v>
      </c>
      <c r="F37" s="39" t="str">
        <f t="shared" si="1"/>
        <v>CORRECT</v>
      </c>
      <c r="G37" s="39" t="s">
        <v>36</v>
      </c>
      <c r="H37" s="55" t="s">
        <v>36</v>
      </c>
      <c r="I37" s="54" t="s">
        <v>202</v>
      </c>
      <c r="J37" s="56">
        <v>17094.0</v>
      </c>
    </row>
    <row r="38" ht="60.0" customHeight="1">
      <c r="A38" s="39">
        <v>35.0</v>
      </c>
      <c r="B38" s="40" t="s">
        <v>203</v>
      </c>
      <c r="C38" s="40" t="s">
        <v>204</v>
      </c>
      <c r="D38" s="40" t="s">
        <v>205</v>
      </c>
      <c r="E38" s="40" t="s">
        <v>206</v>
      </c>
      <c r="F38" s="39" t="str">
        <f t="shared" si="1"/>
        <v>CORRECT</v>
      </c>
      <c r="G38" s="39" t="s">
        <v>48</v>
      </c>
      <c r="H38" s="56" t="s">
        <v>48</v>
      </c>
      <c r="I38" s="54" t="s">
        <v>207</v>
      </c>
      <c r="J38" s="56">
        <v>39422.0</v>
      </c>
    </row>
    <row r="39" ht="60.0" customHeight="1">
      <c r="A39" s="39">
        <v>36.0</v>
      </c>
      <c r="B39" s="40" t="s">
        <v>208</v>
      </c>
      <c r="C39" s="40" t="s">
        <v>209</v>
      </c>
      <c r="D39" s="40" t="s">
        <v>210</v>
      </c>
      <c r="E39" s="40" t="s">
        <v>211</v>
      </c>
      <c r="F39" s="39" t="str">
        <f t="shared" si="1"/>
        <v>CORRECT</v>
      </c>
      <c r="G39" s="39" t="s">
        <v>36</v>
      </c>
      <c r="H39" s="56" t="s">
        <v>36</v>
      </c>
      <c r="I39" s="54" t="s">
        <v>212</v>
      </c>
      <c r="J39" s="56">
        <v>15834.0</v>
      </c>
    </row>
    <row r="40" ht="60.0" customHeight="1">
      <c r="A40" s="39">
        <v>37.0</v>
      </c>
      <c r="B40" s="40" t="s">
        <v>213</v>
      </c>
      <c r="C40" s="40" t="s">
        <v>214</v>
      </c>
      <c r="D40" s="40" t="s">
        <v>215</v>
      </c>
      <c r="E40" s="40" t="s">
        <v>216</v>
      </c>
      <c r="F40" s="39" t="str">
        <f t="shared" si="1"/>
        <v>CORRECT</v>
      </c>
      <c r="G40" s="39" t="s">
        <v>36</v>
      </c>
      <c r="H40" s="56" t="s">
        <v>36</v>
      </c>
      <c r="I40" s="54" t="s">
        <v>217</v>
      </c>
      <c r="J40" s="56">
        <v>15753.0</v>
      </c>
    </row>
    <row r="41" ht="60.0" customHeight="1">
      <c r="A41" s="39">
        <v>38.0</v>
      </c>
      <c r="B41" s="40" t="s">
        <v>218</v>
      </c>
      <c r="C41" s="40" t="s">
        <v>219</v>
      </c>
      <c r="D41" s="40" t="s">
        <v>220</v>
      </c>
      <c r="E41" s="40" t="s">
        <v>221</v>
      </c>
      <c r="F41" s="39" t="str">
        <f t="shared" si="1"/>
        <v>CORRECT</v>
      </c>
      <c r="G41" s="39" t="s">
        <v>36</v>
      </c>
      <c r="H41" s="56" t="s">
        <v>36</v>
      </c>
      <c r="I41" s="54" t="s">
        <v>222</v>
      </c>
      <c r="J41" s="56">
        <v>22370.0</v>
      </c>
    </row>
    <row r="42" ht="60.0" customHeight="1">
      <c r="A42" s="39">
        <v>39.0</v>
      </c>
      <c r="B42" s="40" t="s">
        <v>223</v>
      </c>
      <c r="C42" s="40" t="s">
        <v>224</v>
      </c>
      <c r="D42" s="40" t="s">
        <v>225</v>
      </c>
      <c r="E42" s="40" t="s">
        <v>226</v>
      </c>
      <c r="F42" s="39" t="str">
        <f t="shared" si="1"/>
        <v>WRONG</v>
      </c>
      <c r="G42" s="39" t="s">
        <v>37</v>
      </c>
      <c r="H42" s="56" t="s">
        <v>48</v>
      </c>
      <c r="I42" s="54" t="s">
        <v>227</v>
      </c>
      <c r="J42" s="56">
        <v>20914.0</v>
      </c>
    </row>
    <row r="43" ht="60.0" customHeight="1">
      <c r="A43" s="39">
        <v>40.0</v>
      </c>
      <c r="B43" s="40" t="s">
        <v>228</v>
      </c>
      <c r="C43" s="40" t="s">
        <v>229</v>
      </c>
      <c r="D43" s="40" t="s">
        <v>230</v>
      </c>
      <c r="E43" s="40" t="s">
        <v>231</v>
      </c>
      <c r="F43" s="39" t="str">
        <f t="shared" si="1"/>
        <v>WRONG</v>
      </c>
      <c r="G43" s="39" t="s">
        <v>48</v>
      </c>
      <c r="H43" s="55" t="s">
        <v>37</v>
      </c>
      <c r="I43" s="54" t="s">
        <v>232</v>
      </c>
      <c r="J43" s="56">
        <v>29634.0</v>
      </c>
    </row>
    <row r="44" ht="60.0" customHeight="1">
      <c r="A44" s="39">
        <v>41.0</v>
      </c>
      <c r="B44" s="40" t="s">
        <v>233</v>
      </c>
      <c r="C44" s="40" t="s">
        <v>234</v>
      </c>
      <c r="D44" s="40" t="s">
        <v>235</v>
      </c>
      <c r="E44" s="40" t="s">
        <v>236</v>
      </c>
      <c r="F44" s="39" t="str">
        <f t="shared" si="1"/>
        <v>CORRECT</v>
      </c>
      <c r="G44" s="39" t="s">
        <v>37</v>
      </c>
      <c r="H44" s="56" t="s">
        <v>37</v>
      </c>
      <c r="I44" s="54" t="s">
        <v>237</v>
      </c>
      <c r="J44" s="56">
        <v>17282.0</v>
      </c>
    </row>
    <row r="45" ht="60.0" customHeight="1">
      <c r="A45" s="39">
        <v>42.0</v>
      </c>
      <c r="B45" s="40" t="s">
        <v>238</v>
      </c>
      <c r="C45" s="40" t="s">
        <v>239</v>
      </c>
      <c r="D45" s="40" t="s">
        <v>240</v>
      </c>
      <c r="E45" s="40" t="s">
        <v>241</v>
      </c>
      <c r="F45" s="39" t="str">
        <f t="shared" si="1"/>
        <v>WRONG</v>
      </c>
      <c r="G45" s="39" t="s">
        <v>36</v>
      </c>
      <c r="H45" s="56" t="s">
        <v>37</v>
      </c>
      <c r="I45" s="54" t="s">
        <v>409</v>
      </c>
      <c r="J45" s="56">
        <v>16045.0</v>
      </c>
    </row>
    <row r="46" ht="60.0" customHeight="1">
      <c r="A46" s="39">
        <v>43.0</v>
      </c>
      <c r="B46" s="40" t="s">
        <v>243</v>
      </c>
      <c r="C46" s="40" t="s">
        <v>244</v>
      </c>
      <c r="D46" s="40" t="s">
        <v>245</v>
      </c>
      <c r="E46" s="40" t="s">
        <v>246</v>
      </c>
      <c r="F46" s="39" t="str">
        <f t="shared" si="1"/>
        <v>WRONG</v>
      </c>
      <c r="G46" s="39" t="s">
        <v>48</v>
      </c>
      <c r="H46" s="55" t="s">
        <v>36</v>
      </c>
      <c r="I46" s="54" t="s">
        <v>410</v>
      </c>
      <c r="J46" s="56">
        <v>28421.0</v>
      </c>
    </row>
    <row r="47" ht="60.0" customHeight="1">
      <c r="A47" s="39">
        <v>44.0</v>
      </c>
      <c r="B47" s="40" t="s">
        <v>248</v>
      </c>
      <c r="C47" s="40" t="s">
        <v>249</v>
      </c>
      <c r="D47" s="40" t="s">
        <v>250</v>
      </c>
      <c r="E47" s="40" t="s">
        <v>251</v>
      </c>
      <c r="F47" s="39" t="str">
        <f t="shared" si="1"/>
        <v>WRONG</v>
      </c>
      <c r="G47" s="39" t="s">
        <v>36</v>
      </c>
      <c r="H47" s="55" t="s">
        <v>48</v>
      </c>
      <c r="I47" s="54" t="s">
        <v>411</v>
      </c>
      <c r="J47" s="56">
        <v>26433.0</v>
      </c>
    </row>
    <row r="48" ht="60.0" customHeight="1">
      <c r="A48" s="39">
        <v>45.0</v>
      </c>
      <c r="B48" s="40" t="s">
        <v>253</v>
      </c>
      <c r="C48" s="40" t="s">
        <v>254</v>
      </c>
      <c r="D48" s="40" t="s">
        <v>255</v>
      </c>
      <c r="E48" s="40" t="s">
        <v>256</v>
      </c>
      <c r="F48" s="39" t="str">
        <f t="shared" si="1"/>
        <v>CORRECT</v>
      </c>
      <c r="G48" s="39" t="s">
        <v>36</v>
      </c>
      <c r="H48" s="55" t="s">
        <v>36</v>
      </c>
      <c r="I48" s="54" t="s">
        <v>257</v>
      </c>
      <c r="J48" s="56">
        <v>23493.0</v>
      </c>
    </row>
    <row r="49" ht="60.0" customHeight="1">
      <c r="A49" s="39">
        <v>46.0</v>
      </c>
      <c r="B49" s="40" t="s">
        <v>258</v>
      </c>
      <c r="C49" s="40" t="s">
        <v>40</v>
      </c>
      <c r="D49" s="40" t="s">
        <v>259</v>
      </c>
      <c r="E49" s="40" t="s">
        <v>260</v>
      </c>
      <c r="F49" s="39" t="str">
        <f t="shared" si="1"/>
        <v>CORRECT</v>
      </c>
      <c r="G49" s="39" t="s">
        <v>36</v>
      </c>
      <c r="H49" s="56" t="s">
        <v>36</v>
      </c>
      <c r="I49" s="54" t="s">
        <v>261</v>
      </c>
      <c r="J49" s="56">
        <v>17616.0</v>
      </c>
    </row>
    <row r="50">
      <c r="A50" s="44" t="s">
        <v>262</v>
      </c>
      <c r="B50" s="2"/>
      <c r="C50" s="2"/>
      <c r="D50" s="2"/>
      <c r="E50" s="3"/>
      <c r="F50" s="45">
        <f>COUNTIFS(F4:F49,"CORRECT")</f>
        <v>27</v>
      </c>
      <c r="G50" s="46"/>
      <c r="H50" s="46"/>
      <c r="J50" s="47">
        <f>AVERAGE(J4:J49)</f>
        <v>22569.36957</v>
      </c>
    </row>
    <row r="51">
      <c r="A51" s="48" t="s">
        <v>263</v>
      </c>
      <c r="B51" s="2"/>
      <c r="C51" s="2"/>
      <c r="D51" s="2"/>
      <c r="E51" s="3"/>
      <c r="F51" s="49">
        <v>46.0</v>
      </c>
      <c r="G51" s="46"/>
      <c r="H51" s="46"/>
    </row>
    <row r="52">
      <c r="A52" s="44" t="s">
        <v>264</v>
      </c>
      <c r="B52" s="2"/>
      <c r="C52" s="2"/>
      <c r="D52" s="2"/>
      <c r="E52" s="3"/>
      <c r="F52" s="50">
        <f>F50/F51</f>
        <v>0.5869565217</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412</v>
      </c>
      <c r="C2" s="2"/>
      <c r="D2" s="2"/>
      <c r="E2" s="2"/>
      <c r="F2" s="2"/>
      <c r="G2" s="2"/>
      <c r="H2" s="3"/>
      <c r="I2" s="37" t="s">
        <v>413</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5" t="s">
        <v>37</v>
      </c>
      <c r="I4" s="54" t="s">
        <v>414</v>
      </c>
      <c r="J4" s="56">
        <v>20199.0</v>
      </c>
    </row>
    <row r="5" ht="60.0" customHeight="1">
      <c r="A5" s="39">
        <v>2.0</v>
      </c>
      <c r="B5" s="40" t="s">
        <v>39</v>
      </c>
      <c r="C5" s="40" t="s">
        <v>40</v>
      </c>
      <c r="D5" s="40" t="s">
        <v>41</v>
      </c>
      <c r="E5" s="40" t="s">
        <v>42</v>
      </c>
      <c r="F5" s="39" t="str">
        <f t="shared" si="1"/>
        <v>WRONG</v>
      </c>
      <c r="G5" s="39" t="s">
        <v>37</v>
      </c>
      <c r="H5" s="55" t="s">
        <v>48</v>
      </c>
      <c r="I5" s="54" t="s">
        <v>415</v>
      </c>
      <c r="J5" s="56">
        <v>30723.0</v>
      </c>
    </row>
    <row r="6" ht="60.0" customHeight="1">
      <c r="A6" s="39">
        <v>3.0</v>
      </c>
      <c r="B6" s="40" t="s">
        <v>44</v>
      </c>
      <c r="C6" s="40" t="s">
        <v>45</v>
      </c>
      <c r="D6" s="40" t="s">
        <v>46</v>
      </c>
      <c r="E6" s="40" t="s">
        <v>47</v>
      </c>
      <c r="F6" s="39" t="str">
        <f t="shared" si="1"/>
        <v>CORRECT</v>
      </c>
      <c r="G6" s="39" t="s">
        <v>48</v>
      </c>
      <c r="H6" s="56" t="s">
        <v>48</v>
      </c>
      <c r="I6" s="54" t="s">
        <v>416</v>
      </c>
      <c r="J6" s="56">
        <v>21311.0</v>
      </c>
    </row>
    <row r="7" ht="60.0" customHeight="1">
      <c r="A7" s="39">
        <v>4.0</v>
      </c>
      <c r="B7" s="40" t="s">
        <v>50</v>
      </c>
      <c r="C7" s="40" t="s">
        <v>51</v>
      </c>
      <c r="D7" s="40" t="s">
        <v>52</v>
      </c>
      <c r="E7" s="40" t="s">
        <v>53</v>
      </c>
      <c r="F7" s="39" t="str">
        <f t="shared" si="1"/>
        <v>CORRECT</v>
      </c>
      <c r="G7" s="39" t="s">
        <v>37</v>
      </c>
      <c r="H7" s="55" t="s">
        <v>37</v>
      </c>
      <c r="I7" s="54" t="s">
        <v>417</v>
      </c>
      <c r="J7" s="56">
        <v>18814.0</v>
      </c>
    </row>
    <row r="8" ht="60.0" customHeight="1">
      <c r="A8" s="39">
        <v>5.0</v>
      </c>
      <c r="B8" s="40" t="s">
        <v>55</v>
      </c>
      <c r="C8" s="40" t="s">
        <v>56</v>
      </c>
      <c r="D8" s="40" t="s">
        <v>57</v>
      </c>
      <c r="E8" s="40" t="s">
        <v>58</v>
      </c>
      <c r="F8" s="39" t="str">
        <f t="shared" si="1"/>
        <v>WRONG</v>
      </c>
      <c r="G8" s="39" t="s">
        <v>48</v>
      </c>
      <c r="H8" s="55" t="s">
        <v>36</v>
      </c>
      <c r="I8" s="54" t="s">
        <v>418</v>
      </c>
      <c r="J8" s="56">
        <v>48215.0</v>
      </c>
    </row>
    <row r="9" ht="60.0" customHeight="1">
      <c r="A9" s="39">
        <v>6.0</v>
      </c>
      <c r="B9" s="40" t="s">
        <v>60</v>
      </c>
      <c r="C9" s="40" t="s">
        <v>61</v>
      </c>
      <c r="D9" s="40" t="s">
        <v>62</v>
      </c>
      <c r="E9" s="40" t="s">
        <v>63</v>
      </c>
      <c r="F9" s="39" t="str">
        <f t="shared" si="1"/>
        <v>CORRECT</v>
      </c>
      <c r="G9" s="39" t="s">
        <v>37</v>
      </c>
      <c r="H9" s="56" t="s">
        <v>37</v>
      </c>
      <c r="I9" s="54" t="s">
        <v>419</v>
      </c>
      <c r="J9" s="56">
        <v>39499.0</v>
      </c>
    </row>
    <row r="10" ht="60.0" customHeight="1">
      <c r="A10" s="39">
        <v>7.0</v>
      </c>
      <c r="B10" s="40" t="s">
        <v>65</v>
      </c>
      <c r="C10" s="40" t="s">
        <v>66</v>
      </c>
      <c r="D10" s="40" t="s">
        <v>67</v>
      </c>
      <c r="E10" s="40" t="s">
        <v>68</v>
      </c>
      <c r="F10" s="39" t="str">
        <f t="shared" si="1"/>
        <v>WRONG</v>
      </c>
      <c r="G10" s="39" t="s">
        <v>37</v>
      </c>
      <c r="H10" s="56" t="s">
        <v>36</v>
      </c>
      <c r="I10" s="54" t="s">
        <v>420</v>
      </c>
      <c r="J10" s="56">
        <v>34169.0</v>
      </c>
    </row>
    <row r="11" ht="60.0" customHeight="1">
      <c r="A11" s="39">
        <v>8.0</v>
      </c>
      <c r="B11" s="40" t="s">
        <v>70</v>
      </c>
      <c r="C11" s="40" t="s">
        <v>71</v>
      </c>
      <c r="D11" s="40" t="s">
        <v>72</v>
      </c>
      <c r="E11" s="40" t="s">
        <v>73</v>
      </c>
      <c r="F11" s="39" t="str">
        <f t="shared" si="1"/>
        <v>CORRECT</v>
      </c>
      <c r="G11" s="39" t="s">
        <v>48</v>
      </c>
      <c r="H11" s="55" t="s">
        <v>48</v>
      </c>
      <c r="I11" s="54" t="s">
        <v>421</v>
      </c>
      <c r="J11" s="56">
        <v>46266.0</v>
      </c>
    </row>
    <row r="12" ht="60.0" customHeight="1">
      <c r="A12" s="39">
        <v>9.0</v>
      </c>
      <c r="B12" s="40" t="s">
        <v>75</v>
      </c>
      <c r="C12" s="40" t="s">
        <v>76</v>
      </c>
      <c r="D12" s="40" t="s">
        <v>77</v>
      </c>
      <c r="E12" s="40" t="s">
        <v>78</v>
      </c>
      <c r="F12" s="39" t="str">
        <f t="shared" si="1"/>
        <v>WRONG</v>
      </c>
      <c r="G12" s="39" t="s">
        <v>37</v>
      </c>
      <c r="H12" s="55" t="s">
        <v>48</v>
      </c>
      <c r="I12" s="54" t="s">
        <v>422</v>
      </c>
      <c r="J12" s="56">
        <v>37143.0</v>
      </c>
    </row>
    <row r="13" ht="60.0" customHeight="1">
      <c r="A13" s="39">
        <v>10.0</v>
      </c>
      <c r="B13" s="40" t="s">
        <v>80</v>
      </c>
      <c r="C13" s="40" t="s">
        <v>81</v>
      </c>
      <c r="D13" s="40" t="s">
        <v>82</v>
      </c>
      <c r="E13" s="40" t="s">
        <v>83</v>
      </c>
      <c r="F13" s="39" t="str">
        <f t="shared" si="1"/>
        <v>CORRECT</v>
      </c>
      <c r="G13" s="39" t="s">
        <v>48</v>
      </c>
      <c r="H13" s="56" t="s">
        <v>48</v>
      </c>
      <c r="I13" s="54" t="s">
        <v>423</v>
      </c>
      <c r="J13" s="56">
        <v>26168.0</v>
      </c>
    </row>
    <row r="14" ht="60.0" customHeight="1">
      <c r="A14" s="39">
        <v>11.0</v>
      </c>
      <c r="B14" s="40" t="s">
        <v>85</v>
      </c>
      <c r="C14" s="40" t="s">
        <v>86</v>
      </c>
      <c r="D14" s="40" t="s">
        <v>87</v>
      </c>
      <c r="E14" s="40" t="s">
        <v>88</v>
      </c>
      <c r="F14" s="39" t="str">
        <f t="shared" si="1"/>
        <v>CORRECT</v>
      </c>
      <c r="G14" s="39" t="s">
        <v>37</v>
      </c>
      <c r="H14" s="55" t="s">
        <v>37</v>
      </c>
      <c r="I14" s="54" t="s">
        <v>424</v>
      </c>
      <c r="J14" s="56">
        <v>26251.0</v>
      </c>
    </row>
    <row r="15" ht="60.0" customHeight="1">
      <c r="A15" s="39">
        <v>12.0</v>
      </c>
      <c r="B15" s="40" t="s">
        <v>90</v>
      </c>
      <c r="C15" s="40" t="s">
        <v>91</v>
      </c>
      <c r="D15" s="40" t="s">
        <v>92</v>
      </c>
      <c r="E15" s="40" t="s">
        <v>93</v>
      </c>
      <c r="F15" s="39" t="str">
        <f t="shared" si="1"/>
        <v>CORRECT</v>
      </c>
      <c r="G15" s="39" t="s">
        <v>48</v>
      </c>
      <c r="H15" s="55" t="s">
        <v>48</v>
      </c>
      <c r="I15" s="54" t="s">
        <v>425</v>
      </c>
      <c r="J15" s="56">
        <v>28553.0</v>
      </c>
    </row>
    <row r="16" ht="60.0" customHeight="1">
      <c r="A16" s="39">
        <v>13.0</v>
      </c>
      <c r="B16" s="40" t="s">
        <v>95</v>
      </c>
      <c r="C16" s="40" t="s">
        <v>96</v>
      </c>
      <c r="D16" s="40" t="s">
        <v>97</v>
      </c>
      <c r="E16" s="40" t="s">
        <v>98</v>
      </c>
      <c r="F16" s="39" t="str">
        <f t="shared" si="1"/>
        <v>CORRECT</v>
      </c>
      <c r="G16" s="39" t="s">
        <v>36</v>
      </c>
      <c r="H16" s="56" t="s">
        <v>36</v>
      </c>
      <c r="I16" s="54" t="s">
        <v>426</v>
      </c>
      <c r="J16" s="56">
        <v>17207.0</v>
      </c>
    </row>
    <row r="17" ht="60.0" customHeight="1">
      <c r="A17" s="39">
        <v>14.0</v>
      </c>
      <c r="B17" s="40" t="s">
        <v>100</v>
      </c>
      <c r="C17" s="40" t="s">
        <v>101</v>
      </c>
      <c r="D17" s="40" t="s">
        <v>102</v>
      </c>
      <c r="E17" s="40" t="s">
        <v>103</v>
      </c>
      <c r="F17" s="39" t="str">
        <f t="shared" si="1"/>
        <v>WRONG</v>
      </c>
      <c r="G17" s="39" t="s">
        <v>36</v>
      </c>
      <c r="H17" s="56" t="s">
        <v>48</v>
      </c>
      <c r="I17" s="54" t="s">
        <v>427</v>
      </c>
      <c r="J17" s="56">
        <v>18899.0</v>
      </c>
    </row>
    <row r="18" ht="60.0" customHeight="1">
      <c r="A18" s="39">
        <v>15.0</v>
      </c>
      <c r="B18" s="40" t="s">
        <v>105</v>
      </c>
      <c r="C18" s="40" t="s">
        <v>106</v>
      </c>
      <c r="D18" s="40" t="s">
        <v>107</v>
      </c>
      <c r="E18" s="40" t="s">
        <v>108</v>
      </c>
      <c r="F18" s="39" t="str">
        <f t="shared" si="1"/>
        <v>CORRECT</v>
      </c>
      <c r="G18" s="39" t="s">
        <v>48</v>
      </c>
      <c r="H18" s="56" t="s">
        <v>48</v>
      </c>
      <c r="I18" s="54" t="s">
        <v>428</v>
      </c>
      <c r="J18" s="56">
        <v>21936.0</v>
      </c>
    </row>
    <row r="19" ht="60.0" customHeight="1">
      <c r="A19" s="39">
        <v>16.0</v>
      </c>
      <c r="B19" s="40" t="s">
        <v>110</v>
      </c>
      <c r="C19" s="40" t="s">
        <v>111</v>
      </c>
      <c r="D19" s="40" t="s">
        <v>112</v>
      </c>
      <c r="E19" s="40" t="s">
        <v>113</v>
      </c>
      <c r="F19" s="39" t="str">
        <f t="shared" si="1"/>
        <v>CORRECT</v>
      </c>
      <c r="G19" s="39" t="s">
        <v>48</v>
      </c>
      <c r="H19" s="55" t="s">
        <v>48</v>
      </c>
      <c r="I19" s="54" t="s">
        <v>429</v>
      </c>
      <c r="J19" s="56">
        <v>25009.0</v>
      </c>
    </row>
    <row r="20" ht="60.0" customHeight="1">
      <c r="A20" s="39">
        <v>17.0</v>
      </c>
      <c r="B20" s="40" t="s">
        <v>115</v>
      </c>
      <c r="C20" s="40" t="s">
        <v>116</v>
      </c>
      <c r="D20" s="40" t="s">
        <v>117</v>
      </c>
      <c r="E20" s="40" t="s">
        <v>118</v>
      </c>
      <c r="F20" s="39" t="str">
        <f t="shared" si="1"/>
        <v>WRONG</v>
      </c>
      <c r="G20" s="39" t="s">
        <v>37</v>
      </c>
      <c r="H20" s="55" t="s">
        <v>36</v>
      </c>
      <c r="I20" s="54" t="s">
        <v>430</v>
      </c>
      <c r="J20" s="56">
        <v>18397.0</v>
      </c>
    </row>
    <row r="21" ht="60.0" customHeight="1">
      <c r="A21" s="39">
        <v>18.0</v>
      </c>
      <c r="B21" s="40" t="s">
        <v>120</v>
      </c>
      <c r="C21" s="40" t="s">
        <v>121</v>
      </c>
      <c r="D21" s="40" t="s">
        <v>122</v>
      </c>
      <c r="E21" s="40" t="s">
        <v>123</v>
      </c>
      <c r="F21" s="39" t="str">
        <f t="shared" si="1"/>
        <v>CORRECT</v>
      </c>
      <c r="G21" s="39" t="s">
        <v>37</v>
      </c>
      <c r="H21" s="56" t="s">
        <v>37</v>
      </c>
      <c r="I21" s="54" t="s">
        <v>431</v>
      </c>
      <c r="J21" s="56">
        <v>15517.0</v>
      </c>
    </row>
    <row r="22" ht="60.0" customHeight="1">
      <c r="A22" s="39">
        <v>19.0</v>
      </c>
      <c r="B22" s="40" t="s">
        <v>125</v>
      </c>
      <c r="C22" s="40" t="s">
        <v>126</v>
      </c>
      <c r="D22" s="40" t="s">
        <v>127</v>
      </c>
      <c r="E22" s="40" t="s">
        <v>128</v>
      </c>
      <c r="F22" s="39" t="str">
        <f t="shared" si="1"/>
        <v>WRONG</v>
      </c>
      <c r="G22" s="39" t="s">
        <v>36</v>
      </c>
      <c r="H22" s="55" t="s">
        <v>48</v>
      </c>
      <c r="I22" s="54" t="s">
        <v>432</v>
      </c>
      <c r="J22" s="56">
        <v>20205.0</v>
      </c>
    </row>
    <row r="23" ht="60.0" customHeight="1">
      <c r="A23" s="39">
        <v>20.0</v>
      </c>
      <c r="B23" s="40" t="s">
        <v>130</v>
      </c>
      <c r="C23" s="40" t="s">
        <v>131</v>
      </c>
      <c r="D23" s="40" t="s">
        <v>132</v>
      </c>
      <c r="E23" s="40" t="s">
        <v>133</v>
      </c>
      <c r="F23" s="39" t="str">
        <f t="shared" si="1"/>
        <v>WRONG</v>
      </c>
      <c r="G23" s="39" t="s">
        <v>37</v>
      </c>
      <c r="H23" s="56" t="s">
        <v>48</v>
      </c>
      <c r="I23" s="54" t="s">
        <v>433</v>
      </c>
      <c r="J23" s="56">
        <v>12597.0</v>
      </c>
    </row>
    <row r="24" ht="60.0" customHeight="1">
      <c r="A24" s="39">
        <v>21.0</v>
      </c>
      <c r="B24" s="40" t="s">
        <v>135</v>
      </c>
      <c r="C24" s="40" t="s">
        <v>136</v>
      </c>
      <c r="D24" s="40" t="s">
        <v>137</v>
      </c>
      <c r="E24" s="40" t="s">
        <v>138</v>
      </c>
      <c r="F24" s="39" t="str">
        <f t="shared" si="1"/>
        <v>WRONG</v>
      </c>
      <c r="G24" s="39" t="s">
        <v>37</v>
      </c>
      <c r="H24" s="56" t="s">
        <v>36</v>
      </c>
      <c r="I24" s="54" t="s">
        <v>434</v>
      </c>
      <c r="J24" s="56">
        <v>18883.0</v>
      </c>
    </row>
    <row r="25" ht="60.0" customHeight="1">
      <c r="A25" s="39">
        <v>22.0</v>
      </c>
      <c r="B25" s="40" t="s">
        <v>140</v>
      </c>
      <c r="C25" s="40" t="s">
        <v>141</v>
      </c>
      <c r="D25" s="40" t="s">
        <v>142</v>
      </c>
      <c r="E25" s="40" t="s">
        <v>143</v>
      </c>
      <c r="F25" s="39" t="str">
        <f t="shared" si="1"/>
        <v>CORRECT</v>
      </c>
      <c r="G25" s="39" t="s">
        <v>37</v>
      </c>
      <c r="H25" s="56" t="s">
        <v>37</v>
      </c>
      <c r="I25" s="54" t="s">
        <v>435</v>
      </c>
      <c r="J25" s="56">
        <v>21840.0</v>
      </c>
    </row>
    <row r="26" ht="60.0" customHeight="1">
      <c r="A26" s="39">
        <v>23.0</v>
      </c>
      <c r="B26" s="40" t="s">
        <v>145</v>
      </c>
      <c r="C26" s="40" t="s">
        <v>146</v>
      </c>
      <c r="D26" s="40" t="s">
        <v>147</v>
      </c>
      <c r="E26" s="40" t="s">
        <v>148</v>
      </c>
      <c r="F26" s="39" t="str">
        <f t="shared" si="1"/>
        <v>CORRECT</v>
      </c>
      <c r="G26" s="39" t="s">
        <v>48</v>
      </c>
      <c r="H26" s="56" t="s">
        <v>48</v>
      </c>
      <c r="I26" s="54" t="s">
        <v>436</v>
      </c>
      <c r="J26" s="56">
        <v>22533.0</v>
      </c>
    </row>
    <row r="27" ht="60.0" customHeight="1">
      <c r="A27" s="39">
        <v>24.0</v>
      </c>
      <c r="B27" s="40" t="s">
        <v>150</v>
      </c>
      <c r="C27" s="40" t="s">
        <v>151</v>
      </c>
      <c r="D27" s="40" t="s">
        <v>152</v>
      </c>
      <c r="E27" s="40" t="s">
        <v>153</v>
      </c>
      <c r="F27" s="39" t="str">
        <f t="shared" si="1"/>
        <v>WRONG</v>
      </c>
      <c r="G27" s="39" t="s">
        <v>36</v>
      </c>
      <c r="H27" s="55" t="s">
        <v>48</v>
      </c>
      <c r="I27" s="54" t="s">
        <v>437</v>
      </c>
      <c r="J27" s="56">
        <v>22730.0</v>
      </c>
    </row>
    <row r="28" ht="60.0" customHeight="1">
      <c r="A28" s="39">
        <v>25.0</v>
      </c>
      <c r="B28" s="40" t="s">
        <v>155</v>
      </c>
      <c r="C28" s="40" t="s">
        <v>151</v>
      </c>
      <c r="D28" s="40" t="s">
        <v>156</v>
      </c>
      <c r="E28" s="40" t="s">
        <v>153</v>
      </c>
      <c r="F28" s="39" t="str">
        <f t="shared" si="1"/>
        <v>WRONG</v>
      </c>
      <c r="G28" s="39" t="s">
        <v>48</v>
      </c>
      <c r="H28" s="55" t="s">
        <v>36</v>
      </c>
      <c r="I28" s="54" t="s">
        <v>438</v>
      </c>
      <c r="J28" s="56">
        <v>16640.0</v>
      </c>
    </row>
    <row r="29" ht="60.0" customHeight="1">
      <c r="A29" s="39">
        <v>26.0</v>
      </c>
      <c r="B29" s="40" t="s">
        <v>158</v>
      </c>
      <c r="C29" s="40" t="s">
        <v>159</v>
      </c>
      <c r="D29" s="40" t="s">
        <v>160</v>
      </c>
      <c r="E29" s="40" t="s">
        <v>161</v>
      </c>
      <c r="F29" s="39" t="str">
        <f t="shared" si="1"/>
        <v>WRONG</v>
      </c>
      <c r="G29" s="39" t="s">
        <v>36</v>
      </c>
      <c r="H29" s="55" t="s">
        <v>48</v>
      </c>
      <c r="I29" s="54" t="s">
        <v>439</v>
      </c>
      <c r="J29" s="56">
        <v>17363.0</v>
      </c>
    </row>
    <row r="30" ht="60.0" customHeight="1">
      <c r="A30" s="39">
        <v>27.0</v>
      </c>
      <c r="B30" s="40" t="s">
        <v>163</v>
      </c>
      <c r="C30" s="40" t="s">
        <v>164</v>
      </c>
      <c r="D30" s="40" t="s">
        <v>165</v>
      </c>
      <c r="E30" s="40" t="s">
        <v>166</v>
      </c>
      <c r="F30" s="39" t="str">
        <f t="shared" si="1"/>
        <v>CORRECT</v>
      </c>
      <c r="G30" s="39" t="s">
        <v>37</v>
      </c>
      <c r="H30" s="55" t="s">
        <v>37</v>
      </c>
      <c r="I30" s="54" t="s">
        <v>440</v>
      </c>
      <c r="J30" s="56">
        <v>25374.0</v>
      </c>
    </row>
    <row r="31" ht="60.0" customHeight="1">
      <c r="A31" s="39">
        <v>28.0</v>
      </c>
      <c r="B31" s="40" t="s">
        <v>168</v>
      </c>
      <c r="C31" s="40" t="s">
        <v>169</v>
      </c>
      <c r="D31" s="40" t="s">
        <v>170</v>
      </c>
      <c r="E31" s="40" t="s">
        <v>171</v>
      </c>
      <c r="F31" s="39" t="str">
        <f t="shared" si="1"/>
        <v>CORRECT</v>
      </c>
      <c r="G31" s="39" t="s">
        <v>36</v>
      </c>
      <c r="H31" s="56" t="s">
        <v>36</v>
      </c>
      <c r="I31" s="54" t="s">
        <v>441</v>
      </c>
      <c r="J31" s="56">
        <v>22409.0</v>
      </c>
    </row>
    <row r="32" ht="60.0" customHeight="1">
      <c r="A32" s="39">
        <v>29.0</v>
      </c>
      <c r="B32" s="40" t="s">
        <v>173</v>
      </c>
      <c r="C32" s="40" t="s">
        <v>174</v>
      </c>
      <c r="D32" s="40" t="s">
        <v>175</v>
      </c>
      <c r="E32" s="40" t="s">
        <v>176</v>
      </c>
      <c r="F32" s="39" t="str">
        <f t="shared" si="1"/>
        <v>CORRECT</v>
      </c>
      <c r="G32" s="39" t="s">
        <v>37</v>
      </c>
      <c r="H32" s="55" t="s">
        <v>37</v>
      </c>
      <c r="I32" s="54" t="s">
        <v>442</v>
      </c>
      <c r="J32" s="56">
        <v>12690.0</v>
      </c>
    </row>
    <row r="33" ht="60.0" customHeight="1">
      <c r="A33" s="39">
        <v>30.0</v>
      </c>
      <c r="B33" s="40" t="s">
        <v>178</v>
      </c>
      <c r="C33" s="40" t="s">
        <v>179</v>
      </c>
      <c r="D33" s="40" t="s">
        <v>180</v>
      </c>
      <c r="E33" s="40" t="s">
        <v>181</v>
      </c>
      <c r="F33" s="39" t="str">
        <f t="shared" si="1"/>
        <v>WRONG</v>
      </c>
      <c r="G33" s="39" t="s">
        <v>48</v>
      </c>
      <c r="H33" s="56" t="s">
        <v>36</v>
      </c>
      <c r="I33" s="54" t="s">
        <v>443</v>
      </c>
      <c r="J33" s="56">
        <v>10960.0</v>
      </c>
    </row>
    <row r="34" ht="60.0" customHeight="1">
      <c r="A34" s="39">
        <v>31.0</v>
      </c>
      <c r="B34" s="40" t="s">
        <v>183</v>
      </c>
      <c r="C34" s="40" t="s">
        <v>184</v>
      </c>
      <c r="D34" s="40" t="s">
        <v>185</v>
      </c>
      <c r="E34" s="40" t="s">
        <v>186</v>
      </c>
      <c r="F34" s="39" t="str">
        <f t="shared" si="1"/>
        <v>WRONG</v>
      </c>
      <c r="G34" s="39" t="s">
        <v>37</v>
      </c>
      <c r="H34" s="56" t="s">
        <v>36</v>
      </c>
      <c r="I34" s="54" t="s">
        <v>444</v>
      </c>
      <c r="J34" s="56">
        <v>16949.0</v>
      </c>
    </row>
    <row r="35" ht="60.0" customHeight="1">
      <c r="A35" s="39">
        <v>32.0</v>
      </c>
      <c r="B35" s="40" t="s">
        <v>188</v>
      </c>
      <c r="C35" s="40" t="s">
        <v>189</v>
      </c>
      <c r="D35" s="40" t="s">
        <v>190</v>
      </c>
      <c r="E35" s="40" t="s">
        <v>191</v>
      </c>
      <c r="F35" s="39" t="str">
        <f t="shared" si="1"/>
        <v>CORRECT</v>
      </c>
      <c r="G35" s="39" t="s">
        <v>36</v>
      </c>
      <c r="H35" s="55" t="s">
        <v>36</v>
      </c>
      <c r="I35" s="54" t="s">
        <v>445</v>
      </c>
      <c r="J35" s="56">
        <v>46972.0</v>
      </c>
    </row>
    <row r="36" ht="60.0" customHeight="1">
      <c r="A36" s="39">
        <v>33.0</v>
      </c>
      <c r="B36" s="40" t="s">
        <v>193</v>
      </c>
      <c r="C36" s="40" t="s">
        <v>194</v>
      </c>
      <c r="D36" s="40" t="s">
        <v>195</v>
      </c>
      <c r="E36" s="40" t="s">
        <v>196</v>
      </c>
      <c r="F36" s="39" t="str">
        <f t="shared" si="1"/>
        <v>CORRECT</v>
      </c>
      <c r="G36" s="39" t="s">
        <v>48</v>
      </c>
      <c r="H36" s="55" t="s">
        <v>48</v>
      </c>
      <c r="I36" s="54" t="s">
        <v>446</v>
      </c>
      <c r="J36" s="56">
        <v>22580.0</v>
      </c>
    </row>
    <row r="37" ht="60.0" customHeight="1">
      <c r="A37" s="39">
        <v>34.0</v>
      </c>
      <c r="B37" s="40" t="s">
        <v>198</v>
      </c>
      <c r="C37" s="40" t="s">
        <v>199</v>
      </c>
      <c r="D37" s="40" t="s">
        <v>200</v>
      </c>
      <c r="E37" s="40" t="s">
        <v>201</v>
      </c>
      <c r="F37" s="39" t="str">
        <f t="shared" si="1"/>
        <v>CORRECT</v>
      </c>
      <c r="G37" s="39" t="s">
        <v>36</v>
      </c>
      <c r="H37" s="56" t="s">
        <v>36</v>
      </c>
      <c r="I37" s="54" t="s">
        <v>447</v>
      </c>
      <c r="J37" s="56">
        <v>24572.0</v>
      </c>
    </row>
    <row r="38" ht="60.0" customHeight="1">
      <c r="A38" s="39">
        <v>35.0</v>
      </c>
      <c r="B38" s="40" t="s">
        <v>203</v>
      </c>
      <c r="C38" s="40" t="s">
        <v>204</v>
      </c>
      <c r="D38" s="40" t="s">
        <v>205</v>
      </c>
      <c r="E38" s="40" t="s">
        <v>206</v>
      </c>
      <c r="F38" s="39" t="str">
        <f t="shared" si="1"/>
        <v>CORRECT</v>
      </c>
      <c r="G38" s="39" t="s">
        <v>48</v>
      </c>
      <c r="H38" s="56" t="s">
        <v>48</v>
      </c>
      <c r="I38" s="54" t="s">
        <v>448</v>
      </c>
      <c r="J38" s="56">
        <v>27614.0</v>
      </c>
    </row>
    <row r="39" ht="60.0" customHeight="1">
      <c r="A39" s="39">
        <v>36.0</v>
      </c>
      <c r="B39" s="40" t="s">
        <v>208</v>
      </c>
      <c r="C39" s="40" t="s">
        <v>209</v>
      </c>
      <c r="D39" s="40" t="s">
        <v>210</v>
      </c>
      <c r="E39" s="40" t="s">
        <v>211</v>
      </c>
      <c r="F39" s="39" t="str">
        <f t="shared" si="1"/>
        <v>CORRECT</v>
      </c>
      <c r="G39" s="39" t="s">
        <v>36</v>
      </c>
      <c r="H39" s="56" t="s">
        <v>36</v>
      </c>
      <c r="I39" s="54" t="s">
        <v>449</v>
      </c>
      <c r="J39" s="56">
        <v>13401.0</v>
      </c>
    </row>
    <row r="40" ht="60.0" customHeight="1">
      <c r="A40" s="39">
        <v>37.0</v>
      </c>
      <c r="B40" s="40" t="s">
        <v>213</v>
      </c>
      <c r="C40" s="40" t="s">
        <v>214</v>
      </c>
      <c r="D40" s="40" t="s">
        <v>215</v>
      </c>
      <c r="E40" s="40" t="s">
        <v>216</v>
      </c>
      <c r="F40" s="39" t="str">
        <f t="shared" si="1"/>
        <v>CORRECT</v>
      </c>
      <c r="G40" s="39" t="s">
        <v>36</v>
      </c>
      <c r="H40" s="56" t="s">
        <v>36</v>
      </c>
      <c r="I40" s="54" t="s">
        <v>450</v>
      </c>
      <c r="J40" s="56">
        <v>26667.0</v>
      </c>
    </row>
    <row r="41" ht="60.0" customHeight="1">
      <c r="A41" s="39">
        <v>38.0</v>
      </c>
      <c r="B41" s="40" t="s">
        <v>218</v>
      </c>
      <c r="C41" s="40" t="s">
        <v>219</v>
      </c>
      <c r="D41" s="40" t="s">
        <v>220</v>
      </c>
      <c r="E41" s="40" t="s">
        <v>221</v>
      </c>
      <c r="F41" s="39" t="str">
        <f t="shared" si="1"/>
        <v>CORRECT</v>
      </c>
      <c r="G41" s="39" t="s">
        <v>36</v>
      </c>
      <c r="H41" s="56" t="s">
        <v>36</v>
      </c>
      <c r="I41" s="54" t="s">
        <v>451</v>
      </c>
      <c r="J41" s="56">
        <v>13029.0</v>
      </c>
    </row>
    <row r="42" ht="60.0" customHeight="1">
      <c r="A42" s="39">
        <v>39.0</v>
      </c>
      <c r="B42" s="40" t="s">
        <v>223</v>
      </c>
      <c r="C42" s="40" t="s">
        <v>224</v>
      </c>
      <c r="D42" s="40" t="s">
        <v>225</v>
      </c>
      <c r="E42" s="40" t="s">
        <v>226</v>
      </c>
      <c r="F42" s="39" t="str">
        <f t="shared" si="1"/>
        <v>WRONG</v>
      </c>
      <c r="G42" s="39" t="s">
        <v>37</v>
      </c>
      <c r="H42" s="56" t="s">
        <v>48</v>
      </c>
      <c r="I42" s="54" t="s">
        <v>452</v>
      </c>
      <c r="J42" s="56">
        <v>16572.0</v>
      </c>
    </row>
    <row r="43" ht="60.0" customHeight="1">
      <c r="A43" s="39">
        <v>40.0</v>
      </c>
      <c r="B43" s="40" t="s">
        <v>228</v>
      </c>
      <c r="C43" s="40" t="s">
        <v>229</v>
      </c>
      <c r="D43" s="40" t="s">
        <v>230</v>
      </c>
      <c r="E43" s="40" t="s">
        <v>231</v>
      </c>
      <c r="F43" s="39" t="str">
        <f t="shared" si="1"/>
        <v>WRONG</v>
      </c>
      <c r="G43" s="39" t="s">
        <v>48</v>
      </c>
      <c r="H43" s="55" t="s">
        <v>37</v>
      </c>
      <c r="I43" s="54" t="s">
        <v>453</v>
      </c>
      <c r="J43" s="56">
        <v>24010.0</v>
      </c>
    </row>
    <row r="44" ht="60.0" customHeight="1">
      <c r="A44" s="39">
        <v>41.0</v>
      </c>
      <c r="B44" s="40" t="s">
        <v>233</v>
      </c>
      <c r="C44" s="40" t="s">
        <v>234</v>
      </c>
      <c r="D44" s="40" t="s">
        <v>235</v>
      </c>
      <c r="E44" s="40" t="s">
        <v>236</v>
      </c>
      <c r="F44" s="39" t="str">
        <f t="shared" si="1"/>
        <v>CORRECT</v>
      </c>
      <c r="G44" s="39" t="s">
        <v>37</v>
      </c>
      <c r="H44" s="56" t="s">
        <v>37</v>
      </c>
      <c r="I44" s="54" t="s">
        <v>454</v>
      </c>
      <c r="J44" s="56">
        <v>10169.0</v>
      </c>
    </row>
    <row r="45" ht="60.0" customHeight="1">
      <c r="A45" s="39">
        <v>42.0</v>
      </c>
      <c r="B45" s="40" t="s">
        <v>238</v>
      </c>
      <c r="C45" s="40" t="s">
        <v>239</v>
      </c>
      <c r="D45" s="40" t="s">
        <v>240</v>
      </c>
      <c r="E45" s="40" t="s">
        <v>241</v>
      </c>
      <c r="F45" s="39" t="str">
        <f t="shared" si="1"/>
        <v>WRONG</v>
      </c>
      <c r="G45" s="39" t="s">
        <v>36</v>
      </c>
      <c r="H45" s="56" t="s">
        <v>37</v>
      </c>
      <c r="I45" s="54" t="s">
        <v>455</v>
      </c>
      <c r="J45" s="56">
        <v>22229.0</v>
      </c>
    </row>
    <row r="46" ht="60.0" customHeight="1">
      <c r="A46" s="39">
        <v>43.0</v>
      </c>
      <c r="B46" s="40" t="s">
        <v>243</v>
      </c>
      <c r="C46" s="40" t="s">
        <v>244</v>
      </c>
      <c r="D46" s="40" t="s">
        <v>245</v>
      </c>
      <c r="E46" s="40" t="s">
        <v>246</v>
      </c>
      <c r="F46" s="39" t="str">
        <f t="shared" si="1"/>
        <v>WRONG</v>
      </c>
      <c r="G46" s="39" t="s">
        <v>48</v>
      </c>
      <c r="H46" s="56" t="s">
        <v>36</v>
      </c>
      <c r="I46" s="54" t="s">
        <v>456</v>
      </c>
      <c r="J46" s="56">
        <v>17739.0</v>
      </c>
    </row>
    <row r="47" ht="60.0" customHeight="1">
      <c r="A47" s="39">
        <v>44.0</v>
      </c>
      <c r="B47" s="40" t="s">
        <v>248</v>
      </c>
      <c r="C47" s="40" t="s">
        <v>249</v>
      </c>
      <c r="D47" s="40" t="s">
        <v>250</v>
      </c>
      <c r="E47" s="40" t="s">
        <v>251</v>
      </c>
      <c r="F47" s="39" t="str">
        <f t="shared" si="1"/>
        <v>WRONG</v>
      </c>
      <c r="G47" s="39" t="s">
        <v>36</v>
      </c>
      <c r="H47" s="55" t="s">
        <v>48</v>
      </c>
      <c r="I47" s="54" t="s">
        <v>457</v>
      </c>
      <c r="J47" s="56">
        <v>27743.0</v>
      </c>
    </row>
    <row r="48" ht="60.0" customHeight="1">
      <c r="A48" s="39">
        <v>45.0</v>
      </c>
      <c r="B48" s="40" t="s">
        <v>253</v>
      </c>
      <c r="C48" s="40" t="s">
        <v>254</v>
      </c>
      <c r="D48" s="40" t="s">
        <v>255</v>
      </c>
      <c r="E48" s="40" t="s">
        <v>256</v>
      </c>
      <c r="F48" s="39" t="str">
        <f t="shared" si="1"/>
        <v>CORRECT</v>
      </c>
      <c r="G48" s="39" t="s">
        <v>36</v>
      </c>
      <c r="H48" s="56" t="s">
        <v>36</v>
      </c>
      <c r="I48" s="54" t="s">
        <v>458</v>
      </c>
      <c r="J48" s="56">
        <v>34311.0</v>
      </c>
    </row>
    <row r="49" ht="60.0" customHeight="1">
      <c r="A49" s="39">
        <v>46.0</v>
      </c>
      <c r="B49" s="40" t="s">
        <v>258</v>
      </c>
      <c r="C49" s="40" t="s">
        <v>40</v>
      </c>
      <c r="D49" s="40" t="s">
        <v>259</v>
      </c>
      <c r="E49" s="40" t="s">
        <v>260</v>
      </c>
      <c r="F49" s="39" t="str">
        <f t="shared" si="1"/>
        <v>CORRECT</v>
      </c>
      <c r="G49" s="39" t="s">
        <v>36</v>
      </c>
      <c r="H49" s="56" t="s">
        <v>36</v>
      </c>
      <c r="I49" s="54" t="s">
        <v>459</v>
      </c>
      <c r="J49" s="56">
        <v>37795.0</v>
      </c>
    </row>
    <row r="50">
      <c r="A50" s="44" t="s">
        <v>262</v>
      </c>
      <c r="B50" s="2"/>
      <c r="C50" s="2"/>
      <c r="D50" s="2"/>
      <c r="E50" s="3"/>
      <c r="F50" s="45">
        <f>COUNTIFS(F4:F49,"CORRECT")</f>
        <v>26</v>
      </c>
      <c r="G50" s="46"/>
      <c r="H50" s="46"/>
      <c r="J50" s="47">
        <f>AVERAGE(J4:J49)</f>
        <v>23931.56522</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460</v>
      </c>
      <c r="C2" s="2"/>
      <c r="D2" s="2"/>
      <c r="E2" s="2"/>
      <c r="F2" s="2"/>
      <c r="G2" s="2"/>
      <c r="H2" s="3"/>
      <c r="I2" s="37" t="s">
        <v>461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5" t="s">
        <v>37</v>
      </c>
      <c r="I4" s="57" t="s">
        <v>462</v>
      </c>
      <c r="J4" s="56">
        <v>37458.0</v>
      </c>
    </row>
    <row r="5" ht="60.0" customHeight="1">
      <c r="A5" s="39">
        <v>2.0</v>
      </c>
      <c r="B5" s="40" t="s">
        <v>39</v>
      </c>
      <c r="C5" s="40" t="s">
        <v>40</v>
      </c>
      <c r="D5" s="40" t="s">
        <v>41</v>
      </c>
      <c r="E5" s="40" t="s">
        <v>42</v>
      </c>
      <c r="F5" s="39" t="str">
        <f t="shared" si="1"/>
        <v>CORRECT</v>
      </c>
      <c r="G5" s="39" t="s">
        <v>37</v>
      </c>
      <c r="H5" s="55" t="s">
        <v>37</v>
      </c>
      <c r="I5" s="54" t="s">
        <v>463</v>
      </c>
      <c r="J5" s="56">
        <v>23557.0</v>
      </c>
    </row>
    <row r="6" ht="60.0" customHeight="1">
      <c r="A6" s="39">
        <v>3.0</v>
      </c>
      <c r="B6" s="40" t="s">
        <v>44</v>
      </c>
      <c r="C6" s="40" t="s">
        <v>45</v>
      </c>
      <c r="D6" s="40" t="s">
        <v>46</v>
      </c>
      <c r="E6" s="40" t="s">
        <v>47</v>
      </c>
      <c r="F6" s="39" t="str">
        <f t="shared" si="1"/>
        <v>CORRECT</v>
      </c>
      <c r="G6" s="39" t="s">
        <v>48</v>
      </c>
      <c r="H6" s="56" t="s">
        <v>48</v>
      </c>
      <c r="I6" s="54" t="s">
        <v>464</v>
      </c>
      <c r="J6" s="56">
        <v>18346.0</v>
      </c>
    </row>
    <row r="7" ht="60.0" customHeight="1">
      <c r="A7" s="39">
        <v>4.0</v>
      </c>
      <c r="B7" s="40" t="s">
        <v>50</v>
      </c>
      <c r="C7" s="40" t="s">
        <v>51</v>
      </c>
      <c r="D7" s="40" t="s">
        <v>52</v>
      </c>
      <c r="E7" s="40" t="s">
        <v>53</v>
      </c>
      <c r="F7" s="39" t="str">
        <f t="shared" si="1"/>
        <v>CORRECT</v>
      </c>
      <c r="G7" s="39" t="s">
        <v>37</v>
      </c>
      <c r="H7" s="55" t="s">
        <v>37</v>
      </c>
      <c r="I7" s="54" t="s">
        <v>465</v>
      </c>
      <c r="J7" s="56">
        <v>15153.0</v>
      </c>
    </row>
    <row r="8" ht="60.0" customHeight="1">
      <c r="A8" s="39">
        <v>5.0</v>
      </c>
      <c r="B8" s="40" t="s">
        <v>55</v>
      </c>
      <c r="C8" s="40" t="s">
        <v>56</v>
      </c>
      <c r="D8" s="40" t="s">
        <v>57</v>
      </c>
      <c r="E8" s="40" t="s">
        <v>58</v>
      </c>
      <c r="F8" s="39" t="str">
        <f t="shared" si="1"/>
        <v>CORRECT</v>
      </c>
      <c r="G8" s="39" t="s">
        <v>48</v>
      </c>
      <c r="H8" s="55" t="s">
        <v>48</v>
      </c>
      <c r="I8" s="54" t="s">
        <v>466</v>
      </c>
      <c r="J8" s="56">
        <v>32733.0</v>
      </c>
    </row>
    <row r="9" ht="60.0" customHeight="1">
      <c r="A9" s="39">
        <v>6.0</v>
      </c>
      <c r="B9" s="40" t="s">
        <v>60</v>
      </c>
      <c r="C9" s="40" t="s">
        <v>61</v>
      </c>
      <c r="D9" s="40" t="s">
        <v>62</v>
      </c>
      <c r="E9" s="40" t="s">
        <v>63</v>
      </c>
      <c r="F9" s="39" t="str">
        <f t="shared" si="1"/>
        <v>CORRECT</v>
      </c>
      <c r="G9" s="39" t="s">
        <v>37</v>
      </c>
      <c r="H9" s="55" t="s">
        <v>37</v>
      </c>
      <c r="I9" s="54" t="s">
        <v>467</v>
      </c>
      <c r="J9" s="56">
        <v>28846.0</v>
      </c>
    </row>
    <row r="10" ht="60.0" customHeight="1">
      <c r="A10" s="39">
        <v>7.0</v>
      </c>
      <c r="B10" s="40" t="s">
        <v>65</v>
      </c>
      <c r="C10" s="40" t="s">
        <v>66</v>
      </c>
      <c r="D10" s="40" t="s">
        <v>67</v>
      </c>
      <c r="E10" s="40" t="s">
        <v>68</v>
      </c>
      <c r="F10" s="39" t="str">
        <f t="shared" si="1"/>
        <v>WRONG</v>
      </c>
      <c r="G10" s="39" t="s">
        <v>37</v>
      </c>
      <c r="H10" s="55" t="s">
        <v>36</v>
      </c>
      <c r="I10" s="54" t="s">
        <v>468</v>
      </c>
      <c r="J10" s="56">
        <v>14255.0</v>
      </c>
    </row>
    <row r="11" ht="60.0" customHeight="1">
      <c r="A11" s="39">
        <v>8.0</v>
      </c>
      <c r="B11" s="40" t="s">
        <v>70</v>
      </c>
      <c r="C11" s="40" t="s">
        <v>71</v>
      </c>
      <c r="D11" s="40" t="s">
        <v>72</v>
      </c>
      <c r="E11" s="40" t="s">
        <v>73</v>
      </c>
      <c r="F11" s="39" t="str">
        <f t="shared" si="1"/>
        <v>CORRECT</v>
      </c>
      <c r="G11" s="39" t="s">
        <v>48</v>
      </c>
      <c r="H11" s="55" t="s">
        <v>48</v>
      </c>
      <c r="I11" s="54" t="s">
        <v>469</v>
      </c>
      <c r="J11" s="56">
        <v>15978.0</v>
      </c>
    </row>
    <row r="12" ht="60.0" customHeight="1">
      <c r="A12" s="39">
        <v>9.0</v>
      </c>
      <c r="B12" s="40" t="s">
        <v>75</v>
      </c>
      <c r="C12" s="40" t="s">
        <v>76</v>
      </c>
      <c r="D12" s="40" t="s">
        <v>77</v>
      </c>
      <c r="E12" s="40" t="s">
        <v>78</v>
      </c>
      <c r="F12" s="39" t="str">
        <f t="shared" si="1"/>
        <v>CORRECT</v>
      </c>
      <c r="G12" s="39" t="s">
        <v>37</v>
      </c>
      <c r="H12" s="55" t="s">
        <v>37</v>
      </c>
      <c r="I12" s="54" t="s">
        <v>470</v>
      </c>
      <c r="J12" s="56">
        <v>24683.0</v>
      </c>
    </row>
    <row r="13" ht="60.0" customHeight="1">
      <c r="A13" s="39">
        <v>10.0</v>
      </c>
      <c r="B13" s="40" t="s">
        <v>80</v>
      </c>
      <c r="C13" s="40" t="s">
        <v>81</v>
      </c>
      <c r="D13" s="40" t="s">
        <v>82</v>
      </c>
      <c r="E13" s="40" t="s">
        <v>83</v>
      </c>
      <c r="F13" s="39" t="str">
        <f t="shared" si="1"/>
        <v>CORRECT</v>
      </c>
      <c r="G13" s="39" t="s">
        <v>48</v>
      </c>
      <c r="H13" s="55" t="s">
        <v>48</v>
      </c>
      <c r="I13" s="54" t="s">
        <v>471</v>
      </c>
      <c r="J13" s="56">
        <v>18756.0</v>
      </c>
    </row>
    <row r="14" ht="60.0" customHeight="1">
      <c r="A14" s="39">
        <v>11.0</v>
      </c>
      <c r="B14" s="40" t="s">
        <v>85</v>
      </c>
      <c r="C14" s="40" t="s">
        <v>86</v>
      </c>
      <c r="D14" s="40" t="s">
        <v>87</v>
      </c>
      <c r="E14" s="40" t="s">
        <v>88</v>
      </c>
      <c r="F14" s="39" t="str">
        <f t="shared" si="1"/>
        <v>WRONG</v>
      </c>
      <c r="G14" s="39" t="s">
        <v>37</v>
      </c>
      <c r="H14" s="55" t="s">
        <v>36</v>
      </c>
      <c r="I14" s="54" t="s">
        <v>472</v>
      </c>
      <c r="J14" s="56">
        <v>21613.0</v>
      </c>
    </row>
    <row r="15" ht="60.0" customHeight="1">
      <c r="A15" s="39">
        <v>12.0</v>
      </c>
      <c r="B15" s="40" t="s">
        <v>90</v>
      </c>
      <c r="C15" s="40" t="s">
        <v>91</v>
      </c>
      <c r="D15" s="40" t="s">
        <v>92</v>
      </c>
      <c r="E15" s="40" t="s">
        <v>93</v>
      </c>
      <c r="F15" s="39" t="str">
        <f t="shared" si="1"/>
        <v>CORRECT</v>
      </c>
      <c r="G15" s="39" t="s">
        <v>48</v>
      </c>
      <c r="H15" s="55" t="s">
        <v>48</v>
      </c>
      <c r="I15" s="54" t="s">
        <v>473</v>
      </c>
      <c r="J15" s="56">
        <v>13109.0</v>
      </c>
    </row>
    <row r="16" ht="60.0" customHeight="1">
      <c r="A16" s="39">
        <v>13.0</v>
      </c>
      <c r="B16" s="40" t="s">
        <v>95</v>
      </c>
      <c r="C16" s="40" t="s">
        <v>96</v>
      </c>
      <c r="D16" s="40" t="s">
        <v>97</v>
      </c>
      <c r="E16" s="40" t="s">
        <v>98</v>
      </c>
      <c r="F16" s="39" t="str">
        <f t="shared" si="1"/>
        <v>CORRECT</v>
      </c>
      <c r="G16" s="39" t="s">
        <v>36</v>
      </c>
      <c r="H16" s="55" t="s">
        <v>36</v>
      </c>
      <c r="I16" s="54" t="s">
        <v>474</v>
      </c>
      <c r="J16" s="56">
        <v>36114.0</v>
      </c>
    </row>
    <row r="17" ht="60.0" customHeight="1">
      <c r="A17" s="39">
        <v>14.0</v>
      </c>
      <c r="B17" s="40" t="s">
        <v>100</v>
      </c>
      <c r="C17" s="40" t="s">
        <v>101</v>
      </c>
      <c r="D17" s="40" t="s">
        <v>102</v>
      </c>
      <c r="E17" s="40" t="s">
        <v>103</v>
      </c>
      <c r="F17" s="39" t="str">
        <f t="shared" si="1"/>
        <v>WRONG</v>
      </c>
      <c r="G17" s="39" t="s">
        <v>36</v>
      </c>
      <c r="H17" s="55" t="s">
        <v>48</v>
      </c>
      <c r="I17" s="57" t="s">
        <v>475</v>
      </c>
      <c r="J17" s="56">
        <v>20702.0</v>
      </c>
    </row>
    <row r="18" ht="60.0" customHeight="1">
      <c r="A18" s="39">
        <v>15.0</v>
      </c>
      <c r="B18" s="40" t="s">
        <v>105</v>
      </c>
      <c r="C18" s="40" t="s">
        <v>106</v>
      </c>
      <c r="D18" s="40" t="s">
        <v>107</v>
      </c>
      <c r="E18" s="40" t="s">
        <v>108</v>
      </c>
      <c r="F18" s="39" t="str">
        <f t="shared" si="1"/>
        <v>CORRECT</v>
      </c>
      <c r="G18" s="39" t="s">
        <v>48</v>
      </c>
      <c r="H18" s="56" t="s">
        <v>48</v>
      </c>
      <c r="I18" s="54" t="s">
        <v>476</v>
      </c>
      <c r="J18" s="56">
        <v>27493.0</v>
      </c>
    </row>
    <row r="19" ht="60.0" customHeight="1">
      <c r="A19" s="39">
        <v>16.0</v>
      </c>
      <c r="B19" s="40" t="s">
        <v>110</v>
      </c>
      <c r="C19" s="40" t="s">
        <v>111</v>
      </c>
      <c r="D19" s="40" t="s">
        <v>112</v>
      </c>
      <c r="E19" s="40" t="s">
        <v>113</v>
      </c>
      <c r="F19" s="39" t="str">
        <f t="shared" si="1"/>
        <v>CORRECT</v>
      </c>
      <c r="G19" s="39" t="s">
        <v>48</v>
      </c>
      <c r="H19" s="55" t="s">
        <v>48</v>
      </c>
      <c r="I19" s="54" t="s">
        <v>477</v>
      </c>
      <c r="J19" s="56">
        <v>11478.0</v>
      </c>
    </row>
    <row r="20" ht="60.0" customHeight="1">
      <c r="A20" s="39">
        <v>17.0</v>
      </c>
      <c r="B20" s="40" t="s">
        <v>115</v>
      </c>
      <c r="C20" s="40" t="s">
        <v>116</v>
      </c>
      <c r="D20" s="40" t="s">
        <v>117</v>
      </c>
      <c r="E20" s="40" t="s">
        <v>118</v>
      </c>
      <c r="F20" s="39" t="str">
        <f t="shared" si="1"/>
        <v>WRONG</v>
      </c>
      <c r="G20" s="39" t="s">
        <v>37</v>
      </c>
      <c r="H20" s="55" t="s">
        <v>48</v>
      </c>
      <c r="I20" s="54" t="s">
        <v>478</v>
      </c>
      <c r="J20" s="56">
        <v>11832.0</v>
      </c>
    </row>
    <row r="21" ht="60.0" customHeight="1">
      <c r="A21" s="39">
        <v>18.0</v>
      </c>
      <c r="B21" s="40" t="s">
        <v>120</v>
      </c>
      <c r="C21" s="40" t="s">
        <v>121</v>
      </c>
      <c r="D21" s="40" t="s">
        <v>122</v>
      </c>
      <c r="E21" s="40" t="s">
        <v>123</v>
      </c>
      <c r="F21" s="39" t="str">
        <f t="shared" si="1"/>
        <v>CORRECT</v>
      </c>
      <c r="G21" s="39" t="s">
        <v>37</v>
      </c>
      <c r="H21" s="55" t="s">
        <v>37</v>
      </c>
      <c r="I21" s="54" t="s">
        <v>479</v>
      </c>
      <c r="J21" s="56">
        <v>25314.0</v>
      </c>
    </row>
    <row r="22" ht="60.0" customHeight="1">
      <c r="A22" s="39">
        <v>19.0</v>
      </c>
      <c r="B22" s="40" t="s">
        <v>125</v>
      </c>
      <c r="C22" s="40" t="s">
        <v>126</v>
      </c>
      <c r="D22" s="40" t="s">
        <v>127</v>
      </c>
      <c r="E22" s="40" t="s">
        <v>128</v>
      </c>
      <c r="F22" s="39" t="str">
        <f t="shared" si="1"/>
        <v>WRONG</v>
      </c>
      <c r="G22" s="39" t="s">
        <v>36</v>
      </c>
      <c r="H22" s="55" t="s">
        <v>48</v>
      </c>
      <c r="I22" s="54" t="s">
        <v>480</v>
      </c>
      <c r="J22" s="56">
        <v>34615.0</v>
      </c>
    </row>
    <row r="23" ht="60.0" customHeight="1">
      <c r="A23" s="39">
        <v>20.0</v>
      </c>
      <c r="B23" s="40" t="s">
        <v>130</v>
      </c>
      <c r="C23" s="40" t="s">
        <v>131</v>
      </c>
      <c r="D23" s="40" t="s">
        <v>132</v>
      </c>
      <c r="E23" s="40" t="s">
        <v>133</v>
      </c>
      <c r="F23" s="39" t="str">
        <f t="shared" si="1"/>
        <v>CORRECT</v>
      </c>
      <c r="G23" s="39" t="s">
        <v>37</v>
      </c>
      <c r="H23" s="55" t="s">
        <v>37</v>
      </c>
      <c r="I23" s="54" t="s">
        <v>481</v>
      </c>
      <c r="J23" s="56">
        <v>23897.0</v>
      </c>
    </row>
    <row r="24" ht="60.0" customHeight="1">
      <c r="A24" s="39">
        <v>21.0</v>
      </c>
      <c r="B24" s="40" t="s">
        <v>135</v>
      </c>
      <c r="C24" s="40" t="s">
        <v>136</v>
      </c>
      <c r="D24" s="40" t="s">
        <v>137</v>
      </c>
      <c r="E24" s="40" t="s">
        <v>138</v>
      </c>
      <c r="F24" s="39" t="str">
        <f t="shared" si="1"/>
        <v>WRONG</v>
      </c>
      <c r="G24" s="39" t="s">
        <v>37</v>
      </c>
      <c r="H24" s="55" t="s">
        <v>36</v>
      </c>
      <c r="I24" s="54" t="s">
        <v>482</v>
      </c>
      <c r="J24" s="56">
        <v>15160.0</v>
      </c>
    </row>
    <row r="25" ht="60.0" customHeight="1">
      <c r="A25" s="39">
        <v>22.0</v>
      </c>
      <c r="B25" s="40" t="s">
        <v>140</v>
      </c>
      <c r="C25" s="40" t="s">
        <v>141</v>
      </c>
      <c r="D25" s="40" t="s">
        <v>142</v>
      </c>
      <c r="E25" s="40" t="s">
        <v>143</v>
      </c>
      <c r="F25" s="39" t="str">
        <f t="shared" si="1"/>
        <v>CORRECT</v>
      </c>
      <c r="G25" s="39" t="s">
        <v>37</v>
      </c>
      <c r="H25" s="55" t="s">
        <v>37</v>
      </c>
      <c r="I25" s="54" t="s">
        <v>483</v>
      </c>
      <c r="J25" s="56">
        <v>13107.0</v>
      </c>
    </row>
    <row r="26" ht="60.0" customHeight="1">
      <c r="A26" s="39">
        <v>23.0</v>
      </c>
      <c r="B26" s="40" t="s">
        <v>145</v>
      </c>
      <c r="C26" s="40" t="s">
        <v>146</v>
      </c>
      <c r="D26" s="40" t="s">
        <v>147</v>
      </c>
      <c r="E26" s="40" t="s">
        <v>148</v>
      </c>
      <c r="F26" s="39" t="str">
        <f t="shared" si="1"/>
        <v>CORRECT</v>
      </c>
      <c r="G26" s="39" t="s">
        <v>48</v>
      </c>
      <c r="H26" s="55" t="s">
        <v>48</v>
      </c>
      <c r="I26" s="54" t="s">
        <v>484</v>
      </c>
      <c r="J26" s="56">
        <v>21631.0</v>
      </c>
    </row>
    <row r="27" ht="60.0" customHeight="1">
      <c r="A27" s="39">
        <v>24.0</v>
      </c>
      <c r="B27" s="40" t="s">
        <v>150</v>
      </c>
      <c r="C27" s="40" t="s">
        <v>151</v>
      </c>
      <c r="D27" s="40" t="s">
        <v>152</v>
      </c>
      <c r="E27" s="40" t="s">
        <v>153</v>
      </c>
      <c r="F27" s="39" t="str">
        <f t="shared" si="1"/>
        <v>WRONG</v>
      </c>
      <c r="G27" s="39" t="s">
        <v>36</v>
      </c>
      <c r="H27" s="55" t="s">
        <v>37</v>
      </c>
      <c r="I27" s="54" t="s">
        <v>485</v>
      </c>
      <c r="J27" s="56">
        <v>21851.0</v>
      </c>
    </row>
    <row r="28" ht="60.0" customHeight="1">
      <c r="A28" s="39">
        <v>25.0</v>
      </c>
      <c r="B28" s="40" t="s">
        <v>155</v>
      </c>
      <c r="C28" s="40" t="s">
        <v>151</v>
      </c>
      <c r="D28" s="40" t="s">
        <v>156</v>
      </c>
      <c r="E28" s="40" t="s">
        <v>153</v>
      </c>
      <c r="F28" s="39" t="str">
        <f t="shared" si="1"/>
        <v>WRONG</v>
      </c>
      <c r="G28" s="39" t="s">
        <v>48</v>
      </c>
      <c r="H28" s="55" t="s">
        <v>36</v>
      </c>
      <c r="I28" s="54" t="s">
        <v>486</v>
      </c>
      <c r="J28" s="56">
        <v>11852.0</v>
      </c>
    </row>
    <row r="29" ht="60.0" customHeight="1">
      <c r="A29" s="39">
        <v>26.0</v>
      </c>
      <c r="B29" s="40" t="s">
        <v>158</v>
      </c>
      <c r="C29" s="40" t="s">
        <v>159</v>
      </c>
      <c r="D29" s="40" t="s">
        <v>160</v>
      </c>
      <c r="E29" s="40" t="s">
        <v>161</v>
      </c>
      <c r="F29" s="39" t="str">
        <f t="shared" si="1"/>
        <v>WRONG</v>
      </c>
      <c r="G29" s="39" t="s">
        <v>36</v>
      </c>
      <c r="H29" s="55" t="s">
        <v>48</v>
      </c>
      <c r="I29" s="54" t="s">
        <v>487</v>
      </c>
      <c r="J29" s="56">
        <v>36974.0</v>
      </c>
    </row>
    <row r="30" ht="60.0" customHeight="1">
      <c r="A30" s="39">
        <v>27.0</v>
      </c>
      <c r="B30" s="40" t="s">
        <v>163</v>
      </c>
      <c r="C30" s="40" t="s">
        <v>164</v>
      </c>
      <c r="D30" s="40" t="s">
        <v>165</v>
      </c>
      <c r="E30" s="40" t="s">
        <v>166</v>
      </c>
      <c r="F30" s="39" t="str">
        <f t="shared" si="1"/>
        <v>WRONG</v>
      </c>
      <c r="G30" s="39" t="s">
        <v>37</v>
      </c>
      <c r="H30" s="55" t="s">
        <v>48</v>
      </c>
      <c r="I30" s="54" t="s">
        <v>488</v>
      </c>
      <c r="J30" s="56">
        <v>26571.0</v>
      </c>
    </row>
    <row r="31" ht="60.0" customHeight="1">
      <c r="A31" s="39">
        <v>28.0</v>
      </c>
      <c r="B31" s="40" t="s">
        <v>168</v>
      </c>
      <c r="C31" s="40" t="s">
        <v>169</v>
      </c>
      <c r="D31" s="40" t="s">
        <v>170</v>
      </c>
      <c r="E31" s="40" t="s">
        <v>171</v>
      </c>
      <c r="F31" s="39" t="str">
        <f t="shared" si="1"/>
        <v>CORRECT</v>
      </c>
      <c r="G31" s="39" t="s">
        <v>36</v>
      </c>
      <c r="H31" s="55" t="s">
        <v>36</v>
      </c>
      <c r="I31" s="54" t="s">
        <v>489</v>
      </c>
      <c r="J31" s="56">
        <v>32093.0</v>
      </c>
    </row>
    <row r="32" ht="60.0" customHeight="1">
      <c r="A32" s="39">
        <v>29.0</v>
      </c>
      <c r="B32" s="40" t="s">
        <v>173</v>
      </c>
      <c r="C32" s="40" t="s">
        <v>174</v>
      </c>
      <c r="D32" s="40" t="s">
        <v>175</v>
      </c>
      <c r="E32" s="40" t="s">
        <v>176</v>
      </c>
      <c r="F32" s="39" t="str">
        <f t="shared" si="1"/>
        <v>WRONG</v>
      </c>
      <c r="G32" s="39" t="s">
        <v>37</v>
      </c>
      <c r="H32" s="55" t="s">
        <v>48</v>
      </c>
      <c r="I32" s="54" t="s">
        <v>490</v>
      </c>
      <c r="J32" s="56">
        <v>12939.0</v>
      </c>
    </row>
    <row r="33" ht="60.0" customHeight="1">
      <c r="A33" s="39">
        <v>30.0</v>
      </c>
      <c r="B33" s="40" t="s">
        <v>178</v>
      </c>
      <c r="C33" s="40" t="s">
        <v>179</v>
      </c>
      <c r="D33" s="40" t="s">
        <v>180</v>
      </c>
      <c r="E33" s="40" t="s">
        <v>181</v>
      </c>
      <c r="F33" s="39" t="str">
        <f t="shared" si="1"/>
        <v>CORRECT</v>
      </c>
      <c r="G33" s="39" t="s">
        <v>48</v>
      </c>
      <c r="H33" s="55" t="s">
        <v>48</v>
      </c>
      <c r="I33" s="54" t="s">
        <v>491</v>
      </c>
      <c r="J33" s="56">
        <v>12188.0</v>
      </c>
    </row>
    <row r="34" ht="60.0" customHeight="1">
      <c r="A34" s="39">
        <v>31.0</v>
      </c>
      <c r="B34" s="40" t="s">
        <v>183</v>
      </c>
      <c r="C34" s="40" t="s">
        <v>184</v>
      </c>
      <c r="D34" s="40" t="s">
        <v>185</v>
      </c>
      <c r="E34" s="40" t="s">
        <v>186</v>
      </c>
      <c r="F34" s="39" t="str">
        <f t="shared" si="1"/>
        <v>WRONG</v>
      </c>
      <c r="G34" s="39" t="s">
        <v>37</v>
      </c>
      <c r="H34" s="55" t="s">
        <v>36</v>
      </c>
      <c r="I34" s="54" t="s">
        <v>492</v>
      </c>
      <c r="J34" s="56">
        <v>22515.0</v>
      </c>
    </row>
    <row r="35" ht="60.0" customHeight="1">
      <c r="A35" s="39">
        <v>32.0</v>
      </c>
      <c r="B35" s="40" t="s">
        <v>188</v>
      </c>
      <c r="C35" s="40" t="s">
        <v>189</v>
      </c>
      <c r="D35" s="40" t="s">
        <v>190</v>
      </c>
      <c r="E35" s="40" t="s">
        <v>191</v>
      </c>
      <c r="F35" s="39" t="str">
        <f t="shared" si="1"/>
        <v>CORRECT</v>
      </c>
      <c r="G35" s="39" t="s">
        <v>36</v>
      </c>
      <c r="H35" s="55" t="s">
        <v>36</v>
      </c>
      <c r="I35" s="54" t="s">
        <v>493</v>
      </c>
      <c r="J35" s="56">
        <v>25451.0</v>
      </c>
    </row>
    <row r="36" ht="60.0" customHeight="1">
      <c r="A36" s="39">
        <v>33.0</v>
      </c>
      <c r="B36" s="40" t="s">
        <v>193</v>
      </c>
      <c r="C36" s="40" t="s">
        <v>194</v>
      </c>
      <c r="D36" s="40" t="s">
        <v>195</v>
      </c>
      <c r="E36" s="40" t="s">
        <v>196</v>
      </c>
      <c r="F36" s="39" t="str">
        <f t="shared" si="1"/>
        <v>WRONG</v>
      </c>
      <c r="G36" s="39" t="s">
        <v>48</v>
      </c>
      <c r="H36" s="55" t="s">
        <v>494</v>
      </c>
      <c r="I36" s="54" t="s">
        <v>495</v>
      </c>
      <c r="J36" s="56">
        <v>98870.0</v>
      </c>
    </row>
    <row r="37" ht="60.0" customHeight="1">
      <c r="A37" s="39">
        <v>34.0</v>
      </c>
      <c r="B37" s="40" t="s">
        <v>198</v>
      </c>
      <c r="C37" s="40" t="s">
        <v>199</v>
      </c>
      <c r="D37" s="40" t="s">
        <v>200</v>
      </c>
      <c r="E37" s="40" t="s">
        <v>201</v>
      </c>
      <c r="F37" s="39" t="str">
        <f t="shared" si="1"/>
        <v>CORRECT</v>
      </c>
      <c r="G37" s="39" t="s">
        <v>36</v>
      </c>
      <c r="H37" s="55" t="s">
        <v>36</v>
      </c>
      <c r="I37" s="54" t="s">
        <v>496</v>
      </c>
      <c r="J37" s="56">
        <v>11439.0</v>
      </c>
    </row>
    <row r="38" ht="60.0" customHeight="1">
      <c r="A38" s="39">
        <v>35.0</v>
      </c>
      <c r="B38" s="40" t="s">
        <v>203</v>
      </c>
      <c r="C38" s="40" t="s">
        <v>204</v>
      </c>
      <c r="D38" s="40" t="s">
        <v>205</v>
      </c>
      <c r="E38" s="40" t="s">
        <v>206</v>
      </c>
      <c r="F38" s="39" t="str">
        <f t="shared" si="1"/>
        <v>WRONG</v>
      </c>
      <c r="G38" s="39" t="s">
        <v>48</v>
      </c>
      <c r="H38" s="55" t="s">
        <v>36</v>
      </c>
      <c r="I38" s="54" t="s">
        <v>497</v>
      </c>
      <c r="J38" s="56">
        <v>31334.0</v>
      </c>
    </row>
    <row r="39" ht="60.0" customHeight="1">
      <c r="A39" s="39">
        <v>36.0</v>
      </c>
      <c r="B39" s="40" t="s">
        <v>208</v>
      </c>
      <c r="C39" s="40" t="s">
        <v>209</v>
      </c>
      <c r="D39" s="40" t="s">
        <v>210</v>
      </c>
      <c r="E39" s="40" t="s">
        <v>211</v>
      </c>
      <c r="F39" s="39" t="str">
        <f t="shared" si="1"/>
        <v>WRONG</v>
      </c>
      <c r="G39" s="39" t="s">
        <v>36</v>
      </c>
      <c r="H39" s="55" t="s">
        <v>48</v>
      </c>
      <c r="I39" s="54" t="s">
        <v>498</v>
      </c>
      <c r="J39" s="56">
        <v>25989.0</v>
      </c>
    </row>
    <row r="40" ht="60.0" customHeight="1">
      <c r="A40" s="39">
        <v>37.0</v>
      </c>
      <c r="B40" s="40" t="s">
        <v>213</v>
      </c>
      <c r="C40" s="40" t="s">
        <v>214</v>
      </c>
      <c r="D40" s="40" t="s">
        <v>215</v>
      </c>
      <c r="E40" s="40" t="s">
        <v>216</v>
      </c>
      <c r="F40" s="39" t="str">
        <f t="shared" si="1"/>
        <v>CORRECT</v>
      </c>
      <c r="G40" s="39" t="s">
        <v>36</v>
      </c>
      <c r="H40" s="55" t="s">
        <v>36</v>
      </c>
      <c r="I40" s="54" t="s">
        <v>499</v>
      </c>
      <c r="J40" s="56">
        <v>9139.0</v>
      </c>
    </row>
    <row r="41" ht="60.0" customHeight="1">
      <c r="A41" s="39">
        <v>38.0</v>
      </c>
      <c r="B41" s="40" t="s">
        <v>218</v>
      </c>
      <c r="C41" s="40" t="s">
        <v>219</v>
      </c>
      <c r="D41" s="40" t="s">
        <v>220</v>
      </c>
      <c r="E41" s="40" t="s">
        <v>221</v>
      </c>
      <c r="F41" s="39" t="str">
        <f t="shared" si="1"/>
        <v>CORRECT</v>
      </c>
      <c r="G41" s="39" t="s">
        <v>36</v>
      </c>
      <c r="H41" s="55" t="s">
        <v>36</v>
      </c>
      <c r="I41" s="54" t="s">
        <v>500</v>
      </c>
      <c r="J41" s="56">
        <v>14901.0</v>
      </c>
    </row>
    <row r="42" ht="60.0" customHeight="1">
      <c r="A42" s="39">
        <v>39.0</v>
      </c>
      <c r="B42" s="40" t="s">
        <v>223</v>
      </c>
      <c r="C42" s="40" t="s">
        <v>224</v>
      </c>
      <c r="D42" s="40" t="s">
        <v>225</v>
      </c>
      <c r="E42" s="40" t="s">
        <v>226</v>
      </c>
      <c r="F42" s="39" t="str">
        <f t="shared" si="1"/>
        <v>WRONG</v>
      </c>
      <c r="G42" s="39" t="s">
        <v>37</v>
      </c>
      <c r="H42" s="55" t="s">
        <v>48</v>
      </c>
      <c r="I42" s="54" t="s">
        <v>501</v>
      </c>
      <c r="J42" s="56">
        <v>23798.0</v>
      </c>
    </row>
    <row r="43" ht="60.0" customHeight="1">
      <c r="A43" s="39">
        <v>40.0</v>
      </c>
      <c r="B43" s="40" t="s">
        <v>228</v>
      </c>
      <c r="C43" s="40" t="s">
        <v>229</v>
      </c>
      <c r="D43" s="40" t="s">
        <v>230</v>
      </c>
      <c r="E43" s="40" t="s">
        <v>231</v>
      </c>
      <c r="F43" s="39" t="str">
        <f t="shared" si="1"/>
        <v>WRONG</v>
      </c>
      <c r="G43" s="39" t="s">
        <v>48</v>
      </c>
      <c r="H43" s="55" t="s">
        <v>37</v>
      </c>
      <c r="I43" s="54" t="s">
        <v>502</v>
      </c>
      <c r="J43" s="56">
        <v>27353.0</v>
      </c>
    </row>
    <row r="44" ht="60.0" customHeight="1">
      <c r="A44" s="39">
        <v>41.0</v>
      </c>
      <c r="B44" s="40" t="s">
        <v>233</v>
      </c>
      <c r="C44" s="40" t="s">
        <v>234</v>
      </c>
      <c r="D44" s="40" t="s">
        <v>235</v>
      </c>
      <c r="E44" s="40" t="s">
        <v>236</v>
      </c>
      <c r="F44" s="39" t="str">
        <f t="shared" si="1"/>
        <v>CORRECT</v>
      </c>
      <c r="G44" s="39" t="s">
        <v>37</v>
      </c>
      <c r="H44" s="55" t="s">
        <v>37</v>
      </c>
      <c r="I44" s="54" t="s">
        <v>503</v>
      </c>
      <c r="J44" s="56">
        <v>55611.0</v>
      </c>
    </row>
    <row r="45" ht="60.0" customHeight="1">
      <c r="A45" s="39">
        <v>42.0</v>
      </c>
      <c r="B45" s="40" t="s">
        <v>238</v>
      </c>
      <c r="C45" s="40" t="s">
        <v>239</v>
      </c>
      <c r="D45" s="40" t="s">
        <v>240</v>
      </c>
      <c r="E45" s="40" t="s">
        <v>241</v>
      </c>
      <c r="F45" s="39" t="str">
        <f t="shared" si="1"/>
        <v>WRONG</v>
      </c>
      <c r="G45" s="39" t="s">
        <v>36</v>
      </c>
      <c r="H45" s="55" t="s">
        <v>37</v>
      </c>
      <c r="I45" s="54" t="s">
        <v>504</v>
      </c>
      <c r="J45" s="56">
        <v>11964.0</v>
      </c>
    </row>
    <row r="46" ht="60.0" customHeight="1">
      <c r="A46" s="39">
        <v>43.0</v>
      </c>
      <c r="B46" s="40" t="s">
        <v>243</v>
      </c>
      <c r="C46" s="40" t="s">
        <v>244</v>
      </c>
      <c r="D46" s="40" t="s">
        <v>245</v>
      </c>
      <c r="E46" s="40" t="s">
        <v>246</v>
      </c>
      <c r="F46" s="39" t="str">
        <f t="shared" si="1"/>
        <v>CORRECT</v>
      </c>
      <c r="G46" s="39" t="s">
        <v>48</v>
      </c>
      <c r="H46" s="55" t="s">
        <v>48</v>
      </c>
      <c r="I46" s="54" t="s">
        <v>505</v>
      </c>
      <c r="J46" s="56">
        <v>16641.0</v>
      </c>
    </row>
    <row r="47" ht="60.0" customHeight="1">
      <c r="A47" s="39">
        <v>44.0</v>
      </c>
      <c r="B47" s="40" t="s">
        <v>248</v>
      </c>
      <c r="C47" s="40" t="s">
        <v>249</v>
      </c>
      <c r="D47" s="40" t="s">
        <v>250</v>
      </c>
      <c r="E47" s="40" t="s">
        <v>251</v>
      </c>
      <c r="F47" s="39" t="str">
        <f t="shared" si="1"/>
        <v>WRONG</v>
      </c>
      <c r="G47" s="39" t="s">
        <v>36</v>
      </c>
      <c r="H47" s="55" t="s">
        <v>48</v>
      </c>
      <c r="I47" s="54" t="s">
        <v>506</v>
      </c>
      <c r="J47" s="56">
        <v>14485.0</v>
      </c>
    </row>
    <row r="48" ht="60.0" customHeight="1">
      <c r="A48" s="39">
        <v>45.0</v>
      </c>
      <c r="B48" s="40" t="s">
        <v>253</v>
      </c>
      <c r="C48" s="40" t="s">
        <v>254</v>
      </c>
      <c r="D48" s="40" t="s">
        <v>255</v>
      </c>
      <c r="E48" s="40" t="s">
        <v>256</v>
      </c>
      <c r="F48" s="39" t="str">
        <f t="shared" si="1"/>
        <v>CORRECT</v>
      </c>
      <c r="G48" s="39" t="s">
        <v>36</v>
      </c>
      <c r="H48" s="56" t="s">
        <v>36</v>
      </c>
      <c r="I48" s="54" t="s">
        <v>507</v>
      </c>
      <c r="J48" s="56">
        <v>29776.0</v>
      </c>
    </row>
    <row r="49" ht="60.0" customHeight="1">
      <c r="A49" s="39">
        <v>46.0</v>
      </c>
      <c r="B49" s="40" t="s">
        <v>258</v>
      </c>
      <c r="C49" s="40" t="s">
        <v>40</v>
      </c>
      <c r="D49" s="40" t="s">
        <v>259</v>
      </c>
      <c r="E49" s="40" t="s">
        <v>260</v>
      </c>
      <c r="F49" s="39" t="str">
        <f t="shared" si="1"/>
        <v>CORRECT</v>
      </c>
      <c r="G49" s="39" t="s">
        <v>36</v>
      </c>
      <c r="H49" s="55" t="s">
        <v>36</v>
      </c>
      <c r="I49" s="57" t="s">
        <v>508</v>
      </c>
      <c r="J49" s="56">
        <v>21850.0</v>
      </c>
    </row>
    <row r="50">
      <c r="A50" s="44" t="s">
        <v>262</v>
      </c>
      <c r="B50" s="2"/>
      <c r="C50" s="2"/>
      <c r="D50" s="2"/>
      <c r="E50" s="3"/>
      <c r="F50" s="45">
        <f>COUNTIFS(F4:F49,"CORRECT")</f>
        <v>26</v>
      </c>
      <c r="G50" s="46"/>
      <c r="H50" s="46"/>
      <c r="J50" s="47">
        <f>AVERAGE(J4:J49)</f>
        <v>23943.78261</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