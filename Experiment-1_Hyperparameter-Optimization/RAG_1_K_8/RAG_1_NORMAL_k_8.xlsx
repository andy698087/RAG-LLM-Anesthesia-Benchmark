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seed10_temp0.1_top0.1" sheetId="2" r:id="rId6"/>
    <sheet state="visible" name="seed10_temp0.1_top0.5" sheetId="3" r:id="rId7"/>
    <sheet state="visible" name="seed10_temp0.1_top1.0" sheetId="4" r:id="rId8"/>
    <sheet state="visible" name="seed10_temp1.0_top0.1" sheetId="5" r:id="rId9"/>
    <sheet state="visible" name="seed10_temp1.0_top0.5" sheetId="6" r:id="rId10"/>
    <sheet state="visible" name="seed10_temp1.0_top1.0" sheetId="7" r:id="rId11"/>
    <sheet state="visible" name="seed10_temp2.0_top0.1" sheetId="8" r:id="rId12"/>
    <sheet state="visible" name="seed10_temp2.0_top0.5" sheetId="9" r:id="rId13"/>
    <sheet state="visible" name="seed10_temp2.0_top1.0" sheetId="10" r:id="rId14"/>
  </sheets>
  <definedNames/>
  <calcPr/>
</workbook>
</file>

<file path=xl/sharedStrings.xml><?xml version="1.0" encoding="utf-8"?>
<sst xmlns="http://schemas.openxmlformats.org/spreadsheetml/2006/main" count="3482" uniqueCount="516">
  <si>
    <t>SUMMARY RESULT BETWEEN TEST</t>
  </si>
  <si>
    <t>Temp</t>
  </si>
  <si>
    <t>Topp</t>
  </si>
  <si>
    <t>Parameters</t>
  </si>
  <si>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</si>
  <si>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</si>
  <si>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</si>
  <si>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</si>
  <si>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</si>
  <si>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</si>
  <si>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</si>
  <si>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</si>
  <si>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r>
      <rPr>
        <rFont val="Arial"/>
        <color theme="1"/>
      </rPr>
      <t>embed_model="</t>
    </r>
    <r>
      <rPr>
        <rFont val="Arial"/>
        <b/>
        <color rgb="FF4285F4"/>
      </rPr>
      <t>pritamdeka/BioBERT-mnli-snli-scinli-scitail-mednli-stsb</t>
    </r>
    <r>
      <rPr>
        <rFont val="Arial"/>
        <color theme="1"/>
      </rPr>
      <t>"
max_new_tokens = 500
k = 8</t>
    </r>
  </si>
  <si>
    <t>Correct answers</t>
  </si>
  <si>
    <t>Total questions</t>
  </si>
  <si>
    <t>Correct ratio</t>
  </si>
  <si>
    <t>WRONG</t>
  </si>
  <si>
    <t>CORRECT</t>
  </si>
  <si>
    <t>RAG LLAMA3.1_8B_INSTRUCT MODEL ASA EXAMINATION (0)</t>
  </si>
  <si>
    <t>Options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</si>
  <si>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</si>
  <si>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</si>
  <si>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</si>
  <si>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</si>
  <si>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</si>
  <si>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</si>
  <si>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</si>
  <si>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CHECKING</t>
  </si>
  <si>
    <t>Answer</t>
  </si>
  <si>
    <t>Gen_Answer</t>
  </si>
  <si>
    <t>Gen_Explain</t>
  </si>
  <si>
    <t>Exe Time (ms)</t>
  </si>
  <si>
    <t>Which of the following nerves should MOST likely be blocked for an operation at the medial aspect of the lower leg?</t>
  </si>
  <si>
    <t>A. Femoral</t>
  </si>
  <si>
    <t>B. Common peroneal</t>
  </si>
  <si>
    <t>C. Tibial</t>
  </si>
  <si>
    <t>A</t>
  </si>
  <si>
    <t>C</t>
  </si>
  <si>
    <t>{   "Answer": "C",   "Explain": "The tibial nerve is located at the medial aspect of the lower leg, making it the most likely nerve to be blocked for an operation in this area." }</t>
  </si>
  <si>
    <t>A patient is scheduled to undergo laparoscopic cholecystectomy. Thirty minutes after receiving premedication with morphine and midazolam, she suddenly develops right upper quadrant abdominal pain and nausea. Which of the following drugs is the MOST appropriate therapy for this patient’s pain?</t>
  </si>
  <si>
    <t>A. Flumazenil</t>
  </si>
  <si>
    <t>B. Ketorolac</t>
  </si>
  <si>
    <t>C. Naloxone</t>
  </si>
  <si>
    <t>{   "Answer": "C",   "Explain": "The patient is experiencing opioid-induced side effects, specifically nausea and right upper quadrant abdominal pain, 30 minutes after receiving morphine and midazolam. Naloxone is the most appropriate therapy to reverse the effects of morphine and alleviate the patient's symptoms." }</t>
  </si>
  <si>
    <t>A 68-year-old woman with primary hyperparathyroidism is scheduled to undergo parathyroidectomy. Her serum calcium concentration is 15 mg/dL. IV administration of which of the following substances is the MOST appropriate initial management?</t>
  </si>
  <si>
    <t>A.Magnesium sulfate</t>
  </si>
  <si>
    <t>B. Normal saline</t>
  </si>
  <si>
    <t>C. Methylprednisolone</t>
  </si>
  <si>
    <t>B</t>
  </si>
  <si>
    <t>{   "Answer": "B",   "Explain": "The patient's serum calcium concentration is 15 mg/dL, which is significantly elevated. Magnesium sulfate is often used to treat hypercalcemia, but in this case, it is not the most appropriate initial management. Normal saline is a more suitable choice to help correct the hypercalcemia and reduce the risk of cardiac arrhythmias and other complications." }</t>
  </si>
  <si>
    <t>Which of the following tests MOST reliably predicts the likelihood that a patient will develop malignant hyperthermia?</t>
  </si>
  <si>
    <t>A. Calcium uptake assay in skeletal muscle biopsy</t>
  </si>
  <si>
    <t>B. Genetic testing of the ryanodine receptor</t>
  </si>
  <si>
    <t>C. Caffeine-halothane contracture test</t>
  </si>
  <si>
    <t>{   "Answer": "C",   "Explain": "The caffeine-halothane contracture test is the most reliable test for predicting the likelihood of developing malignant hyperthermia. This test involves exposing a muscle biopsy sample to caffeine and halothane, and measuring the contraction response. It has the highest sensitivity and specificity for diagnosing malignant hyperthermia susceptibility."</t>
  </si>
  <si>
    <t>O2 100 mL/min is bubbled through a vaporizer containing an anesthetic with a vapor pressure of 150 mmHg, and this mixture is added to a fresh gas flow of 5 L/min. Which of the following values BEST represents the delivered anesthetic concentration?</t>
  </si>
  <si>
    <t>A. 0.25%</t>
  </si>
  <si>
    <t>B. 0.5%</t>
  </si>
  <si>
    <t>C. 2.5%</t>
  </si>
  <si>
    <t>{   "Answer": "B",   "Explain": "To find the delivered anesthetic concentration, we need to calculate the volume of anesthetic vapor in the gas mixture. The vaporizer is set to deliver 150 mmHg of anesthetic vapor, and the fresh gas flow is 5 L/min. The oxygen flow is 100 mL/min, which is negligible compared to the fresh gas flow. Therefore, the volume of anesthetic vapor in the gas mixture is 150 mmHg / 760 mmHg (atmospheric pressure) = 0.197 L/min. The total gas flow is 5 L/min, so the delivered anesthetic concentration is 0.197 L/min / 5 L/min = 0.0394, or 3.94%. However, this is not one of the options. The closest option is 0.5%, which is approximately 12.5% of the actual delivered concentration."</t>
  </si>
  <si>
    <t>An adult patient with mild hypothermia is anesthetized with 1 MAC of isoflurane. Which of the following physiologic mechanisms is MOST effective for maintaining body temperature in this patient?</t>
  </si>
  <si>
    <t>A. Nonshivering thermogenesis</t>
  </si>
  <si>
    <t>B. Shivering thermogenesis</t>
  </si>
  <si>
    <t>C. Vasoconstriction</t>
  </si>
  <si>
    <t>{   "Answer": "C",   "Explain": "Vasoconstriction is the most effective physiologic mechanism for maintaining body temperature in an adult patient with mild hypothermia, as it helps to reduce heat loss through radiation and conduction." }</t>
  </si>
  <si>
    <t>A 72-year-old man has just received midazolam for an endoscopic procedure of the upper gastrointestinal tract. Sedation is easily antagonized by flumazenil. Although the endoscopist asks to send the patient home in 1 hour, which of the following factors BEST explains why this patient should remain hospitalized for observation?</t>
  </si>
  <si>
    <t>A. Flumazenil has low affinity for benzodiazepine receptors</t>
  </si>
  <si>
    <t>B. Flumazenil has moderate intrinsic agonist activity</t>
  </si>
  <si>
    <t>C. Midazolam has a longer duration of action than flumazenil</t>
  </si>
  <si>
    <t>{   "Answer": "C",   "Explain": "Although the endoscopist asks to send the patient home in 1 hour, the patient should remain hospitalized for observation because midazolam has a longer duration of action than flumazenil, and the patient may still be sedated and at risk of respiratory depression even after the procedure is completed." }</t>
  </si>
  <si>
    <t>Which of the following factors exerts the GREATEST effect on the extent of spread of local anesthetic following subarachnoid block with hyperbaric bupivacaine?</t>
  </si>
  <si>
    <t>A. Added epinephrine</t>
  </si>
  <si>
    <t>B. Patient position</t>
  </si>
  <si>
    <t>C. Total dose of drug</t>
  </si>
  <si>
    <t>{   "Answer": "B",   "Explain": "The patient's position exerts the greatest effect on the extent of spread of local anesthetic following subarachnoid block with hyperbaric bupivacaine. This is because the position of the patient can affect the distribution of the anesthetic solution in the cerebrospinal fluid, which in turn affects the extent of the block."</t>
  </si>
  <si>
    <t>A 17-year-old boy develops pulmonary edema after resolution of postoperative laryngospasm. While breathing 100% O2, SpO2 is 80%. Which of the following strategies is the MOST appropriate management?</t>
  </si>
  <si>
    <t>A. Administration of albuterol</t>
  </si>
  <si>
    <t>B. Administration of furosemide</t>
  </si>
  <si>
    <t>C. Positive-pressure ventilation</t>
  </si>
  <si>
    <t>{   "Answer": "B",   "Explain": "The patient is developing pulmonary edema after resolution of postoperative laryngospasm, and the SpO2 is 80% while breathing 100% O2. Furosemide is a diuretic that can help alleviate pulmonary edema by reducing fluid accumulation in the lungs. Administration of furosemide is the most appropriate management strategy in this situation." }</t>
  </si>
  <si>
    <t>A 61-year-old man receives a spinal anesthetic for transurethral resection of the prostate (TURP). Forty-five minutes after the start of the procedure, he suddenly develops nausea, diaphoresis, and sharp pain in the left shoulder. Which of the following etiologies is the MOST likely cause?</t>
  </si>
  <si>
    <t>A. Angina pectoris</t>
  </si>
  <si>
    <t>B. Bladder perforation</t>
  </si>
  <si>
    <t>C. Inadequate spinal sensory level</t>
  </si>
  <si>
    <t>{   "Answer": "B",   "Explain": "The patient's symptoms of nausea, diaphoresis, and sharp pain in the left shoulder 45 minutes after the start of the procedure suggest a sudden and severe sympathetic response, which is consistent with bladder perforation, a life-threatening complication of TURP." }</t>
  </si>
  <si>
    <t>A 36-year-old woman is receiving general anesthesia for a diagnostic laparoscopy in the Trendelenburg position with CO2 insufflation. During a 15-minute period after induction, her SpO2 decreases from 99% to 90% and the partial pressure of ETCO2 increases from 38 to 43 3mmHg. FiO2 is 0.3 and all ventilator settings have been constant. Which of the following etiologies is the MOST likely cause of the decrease in SpO2?</t>
  </si>
  <si>
    <t>A. CO2 embolus</t>
  </si>
  <si>
    <t>B. Compression of the vena cava</t>
  </si>
  <si>
    <t>C. Right mainstem endobronchial intubation</t>
  </si>
  <si>
    <t>{   "Answer": "B",   "Explain": "The decrease in SpO2 from 99% to 90% and the increase in ETCO2 from 38 to 43 mmHg suggest that the etiology is related to hypoventilation rather than hypoxia. Compression of the vena cava, which is caused by the Trendelenburg position, is a likely cause of hypoventilation, leading to decreased oxygen saturation." }</t>
  </si>
  <si>
    <t>Two hours after a laparoscopic cholecystectomy, a 45-year-old woman with obesity is receiving IV PCA with morphine. Her SpO2 is 90% on room air. Which of the following etiologies is the MOST likely cause of her hypoxemia?</t>
  </si>
  <si>
    <t>A. Absorption of CO2 from the abdomen</t>
  </si>
  <si>
    <t>B. Hypoventilation</t>
  </si>
  <si>
    <t>C. Increased dead space</t>
  </si>
  <si>
    <t>{   "Answer": "A",   "Explain": "Two hours after a laparoscopic cholecystectomy, the patient is still under the influence of the anesthetic gases absorbed from the abdomen, which can cause respiratory depression and hypoxemia. The patient's SpO2 is 90% on room air, indicating mild hypoxemia. The most likely cause of this hypoxemia is the absorption of CO2 from the abdomen, which can lead to respiratory acidosis and decreased respiratory drive, resulting in hypoventilation and hypoxemia."</t>
  </si>
  <si>
    <t>In a patient receiving pressure support ventilation, pressure support breaths are triggered by which of the following preset factors?</t>
  </si>
  <si>
    <t>A. A decrease in airway pressure</t>
  </si>
  <si>
    <t>B. An increase in airway pressure</t>
  </si>
  <si>
    <t>C. An increase in inspiratory flow rate</t>
  </si>
  <si>
    <t>{   "Answer": "A",   "Explain": "In pressure support ventilation, pressure support breaths are triggered by a decrease in airway pressure, which allows the patient to initiate a breath and the ventilator to support it with a preset pressure." }</t>
  </si>
  <si>
    <t>A healthy 42-year-old man has an increase in heart rate from 60 bpm to 120 bpm during induction of anesthesia. Which of the following factors is MOST likely to satisfy the increased metabolic demand of the myocardium?</t>
  </si>
  <si>
    <t>A. Decreased coronary artery resistance</t>
  </si>
  <si>
    <t>B. Increased coronary perfusion pressure</t>
  </si>
  <si>
    <t>C. Increased O2 extraction by the myocardium</t>
  </si>
  <si>
    <t>{   Answer: "B",   "Explain": "When a patient's heart rate increases from 60 to 120 bpm during anesthesia induction, it is likely due to an increase in sympathetic tone and peripheral vasoconstriction. To satisfy the increased metabolic demand of the myocardium, the body needs to increase coronary perfusion pressure. This is achieved by increasing blood pressure, which in turn increases coronary perfusion pressure, allowing the heart to meet the increased oxygen demand." }</t>
  </si>
  <si>
    <t>Which of the following laboratory values is MOST likely to confirm adequate synthetic hepatic function?</t>
  </si>
  <si>
    <t>A. Partial thromboplastin time</t>
  </si>
  <si>
    <t>B. Prothrombin time</t>
  </si>
  <si>
    <t>C. Serum alanine aminotransferase concentration</t>
  </si>
  <si>
    <t>{   "Answer": "B",   "Explain": "The prothrombin time (PT) is the most likely laboratory value to confirm adequate synthetic hepatic function. This is because the PT measures the liver's ability to synthesize clotting factors, which is an important aspect of synthetic liver function." }</t>
  </si>
  <si>
    <t>Which of the following strategies BEST prevents ventricular dysrhythmias in a patient undergoing extracorporeal shock wave lithotripsy?</t>
  </si>
  <si>
    <t>A. Beta-adrenergic blockade</t>
  </si>
  <si>
    <t>B. ECG synchronization</t>
  </si>
  <si>
    <t>C. Epidural blockade to T4</t>
  </si>
  <si>
    <t>{   "Answer": "B",   "Explain": "ECG synchronization is the best strategy to prevent ventricular dysrhythmias in a patient undergoing extracorporeal shock wave lithotripsy, as it ensures that the electrical shock is delivered during the R-wave of the QRS complex, reducing the risk of ventricular fibrillation." }</t>
  </si>
  <si>
    <t>Compared with a semiclosed circle system, a Bain circuit exhibits which of the following characteristics?</t>
  </si>
  <si>
    <t>A. Less rebreathing of CO2</t>
  </si>
  <si>
    <t>B. A lower fresh gas flow requirement</t>
  </si>
  <si>
    <t>C. More rapid change in inspired gas concentration</t>
  </si>
  <si>
    <t>{   "Answer": A,   "Explain": "Compared to a semiclosed circle system, a Bain circuit exhibits less rebreathing of CO2 because it is an open circuit that does not recirculate exhaled gases, instead, it allows fresh gas to flow in and out of the circuit, reducing the concentration of CO2 in the circuit." }</t>
  </si>
  <si>
    <t>The capnograph waveform shown above was obtained from a patient undergoing hip surgery in the lateral position. Which of the following BEST explains the findings between point A and point B?</t>
  </si>
  <si>
    <t>A. Excessive tidal volume</t>
  </si>
  <si>
    <t>B. Incompetent expiratory valve</t>
  </si>
  <si>
    <t>C. Patient position</t>
  </si>
  <si>
    <t>{   "Answer": "C",   "Explain": "The patient is in the lateral position, which can cause the end-tidal CO2 (ETCO2) to decrease due to the increased dead space and decreased lung volume. This can result in a decrease in the capnograph waveform between points A and B, indicating a decrease in tidal volume." }</t>
  </si>
  <si>
    <t>A 67-year-old man who developed a rash with past administration of penicillin is undergoing open reduction of a femur fracture. The surgeon asks if cefazolin can be administered to this patient. Which of the following actions is MOST appropriate for the anesthesiologist to perform?</t>
  </si>
  <si>
    <t>A. Administer cefazolin</t>
  </si>
  <si>
    <t>B. Administer hydrocortisone, followed by cefazolin</t>
  </si>
  <si>
    <t>C. Administer vancomycin instead of cefazolin</t>
  </si>
  <si>
    <t>{   "Answer": "B",   "Explain": "The patient has a history of a rash with past penicillin administration, so cefazolin, a cephalosporin, is not a suitable option. Instead, the anesthesiologist should administer hydrocortisone, followed by cefazolin, to ensure the patient receives appropriate antibiotic prophylaxis."</t>
  </si>
  <si>
    <t>Which of the following factors DECREASES the MAC of isoflurane?</t>
  </si>
  <si>
    <t>A. Acute cocaine intoxication</t>
  </si>
  <si>
    <t>B. Chronic ethanol abuse</t>
  </si>
  <si>
    <t>C. Symptomatic hyponatremia</t>
  </si>
  <si>
    <t>{   "Answer": "B",   "Explain": "Chronic ethanol abuse decreases the MAC of isoflurane by increasing the activity of cytochrome P450 2E1, which is a key enzyme involved in the metabolism of isoflurane. This increased activity can lead to a decrease in the amount of isoflurane available to produce anesthesia, resulting in a lower MAC."</t>
  </si>
  <si>
    <t>Which of the following outcomes BEST describes the primary toxic effect of bupivacaine on the cardiovascular system?</t>
  </si>
  <si>
    <t>A. Blockade of norepinephrine release</t>
  </si>
  <si>
    <t>B. Coronary vasoconstriction</t>
  </si>
  <si>
    <t>C. Delay of ventricular repolarization</t>
  </si>
  <si>
    <t>{   "Answer": "A",   "Explain": "Bupivacaine's primary toxic effect on the cardiovascular system is the blockade of norepinephrine release, which can lead to a decrease in blood pressure and cardiac output." }</t>
  </si>
  <si>
    <t>Which of the following conditions MOST likely causes a rightward shift in the oxyhemoglobin dissociation curve?</t>
  </si>
  <si>
    <t>A. Carboxyhemoglobinemia</t>
  </si>
  <si>
    <t>B. Decreased 2,3-diphosphoglycerate concentration</t>
  </si>
  <si>
    <t>C. Hyperthermia</t>
  </si>
  <si>
    <t>{   "Answer": "C",   "Explain": "Hyperthermia causes a rightward shift of the oxyhemoglobin dissociation curve, meaning that at a given PaO2, the hemoglobin is less likely to release oxygen to the tissues, leading to decreased tissue oxygenation." }</t>
  </si>
  <si>
    <t>Which of the following findings is most likely to be DECREASED in a patient with clinical hypothyroidism?</t>
  </si>
  <si>
    <t>A. MAC</t>
  </si>
  <si>
    <t>B. Myocardial contractility</t>
  </si>
  <si>
    <t>C. Peripheral vascular tone</t>
  </si>
  <si>
    <t>{   "Answer": "B",   "Explain": "In clinical hypothyroidism, myocardial contractility is decreased, leading to decreased cardiac output and blood pressure. This is in contrast to other options, where MAC (anesthetic depth) and peripheral vascular tone are not directly affected by hypothyroidism."</t>
  </si>
  <si>
    <t>Which of the following anesthetic drugs is MOST likely to be associated with longer seizure duration when used for electroconvulsive therapy?</t>
  </si>
  <si>
    <t>A. Etomidate</t>
  </si>
  <si>
    <t>B. Methohexital</t>
  </si>
  <si>
    <t>C. Propofol</t>
  </si>
  <si>
    <t>{   "Answer": "B",   "Explain": "Methohexital is most likely to be associated with longer seizure duration when used for electroconvulsive therapy because of its longer context-sensitive half-time compared to other anesthetics, making it a less suitable choice for this specific application." }</t>
  </si>
  <si>
    <t>Which of the following drugs does NOT cause enhanced activity of the GABA receptor?</t>
  </si>
  <si>
    <t>B. Ketamine</t>
  </si>
  <si>
    <t>{   "Answer": "A",   "Explain": "Etomidate does not cause enhanced activity of the GABA receptor, whereas ketamine and propofol have been shown to have GABAergic effects, with ketamine being a NMDA receptor antagonist and propofol being a GABA receptor agonist." }</t>
  </si>
  <si>
    <t>Which of the following components is MISPLACED in the circle system shown in the above illustration?</t>
  </si>
  <si>
    <t>A. Fresh gas inlet</t>
  </si>
  <si>
    <t>B. CO2 absorber</t>
  </si>
  <si>
    <t>C. Expiratory valve</t>
  </si>
  <si>
    <t>{   "Answer": "B",   "Explain": "The CO2 absorber is misplaced in the circle system because it is typically located after the expiratory valve, not in its current position. The CO2 absorber is responsible for removing CO2 from the rebreathed gases, and its correct placement is essential to prevent rebreathing of CO2."</t>
  </si>
  <si>
    <t>A new IV anesthetic is found to have a very large volume of distribution. This drug is MOST likely to have which of the following properties?</t>
  </si>
  <si>
    <t>A. Low lipid solubility</t>
  </si>
  <si>
    <t>B. High rate of ionization</t>
  </si>
  <si>
    <t>C. Low plasma protein binding</t>
  </si>
  <si>
    <t>{   "Answer": "C",   "Explain": "A new IV anesthetic with a very large volume of distribution is most likely to have low plasma protein binding. This is because a large volume of distribution indicates that the anesthetic is distributed throughout the body, including tissues and organs, rather than being confined to the bloodstream. As a result, it is likely that the anesthetic is not strongly bound to plasma proteins, allowing it to be distributed more widely throughout the body." }</t>
  </si>
  <si>
    <t>Which of the following drugs has the LONGEST duration of action in a patient with renal failure?</t>
  </si>
  <si>
    <t>A. Neostigmine</t>
  </si>
  <si>
    <t>B. Rocuronium</t>
  </si>
  <si>
    <t>C. Succinylcholine</t>
  </si>
  <si>
    <t>{   "Answer": "A",   "Explain": "Neostigmine has the longest duration of action in a patient with renal failure because it is excreted primarily through the kidneys, and its clearance is significantly reduced in patients with renal impairment. In contrast, rocuronium and succinylcholine are excreted primarily through the liver and are not significantly affected by renal failure."</t>
  </si>
  <si>
    <t>Instillation of local anesthetic into the trachea via the cricothyroid membrane is MOST likely to block which of the following nerves?</t>
  </si>
  <si>
    <t>A. Hypoglossal</t>
  </si>
  <si>
    <t>B. Internal branch of the superior laryngeal</t>
  </si>
  <si>
    <t>C. Recurrent laryngeal</t>
  </si>
  <si>
    <t>{   "Answer": "C",   "Explain": "Instillation of local anesthetic into the trachea via the cricothyroid membrane is most likely to block the Recurrent laryngeal nerve, which is located in the trachea and innervates the larynx." }</t>
  </si>
  <si>
    <t>Gagging that occurs during awake intubation is BEST prevented by local anesthetic block of which of the following nerves?</t>
  </si>
  <si>
    <t>A. Superior laryngeal</t>
  </si>
  <si>
    <t>B. Glossopharyngeal</t>
  </si>
  <si>
    <t>C. Hypoglossal</t>
  </si>
  <si>
    <t>{   "Answer": "A",   "Explain": "Gagging that occurs during awake intubation is BEST prevented by local anesthetic block of the superior laryngeal nerve, which supplies sensory innervation to the epiglottis and the upper part of the larynx, and is the afferent component of the gag reflex." }</t>
  </si>
  <si>
    <t>Which of the following factors is the MOST likely explanation for the initial reduction in core temperature during general anesthesia?</t>
  </si>
  <si>
    <t>A. Ablation of thermoregulatory vasoconstriction</t>
  </si>
  <si>
    <t>B. Evaporative heat loss in the respiratory tract</t>
  </si>
  <si>
    <t>C. Redistribution of heat from the core to the periphery</t>
  </si>
  <si>
    <t>{   "Answer": "A",   "Explain": "Ablation of thermoregulatory vasoconstriction is the most likely explanation for the initial reduction in core temperature during general anesthesia. This is because the vasoconstrictive sympathetic response, which normally helps to protect the body from heat loss, is impaired during anesthesia, leading to a reduction in blood flow to the core and a subsequent drop in core temperature."</t>
  </si>
  <si>
    <t>A 65-kg, 70-year-old man in the PACU is breathing spontaneously at 20 breaths/minute through an ETT connected to a T-piece with a fresh gas flow of 5 L/min and an FiO2 of 0.5. His tidal volume is 350 mL. Over 1 hour, his SpO2 decreases from 98% to 84%, and then improves to 92% when FiO2 is increased to 1.0. Which of the following etiologies is the MOST likely cause of his hypoxemia?</t>
  </si>
  <si>
    <t>A. Decreased FRC</t>
  </si>
  <si>
    <t>B. Increased dead space ventilation</t>
  </si>
  <si>
    <t>C. Room air admixture during inspiration</t>
  </si>
  <si>
    <t>{   "Answer": "A",   "Explain": "The patient's SpO2 decreased from 98% to 84% over 1 hour, indicating a decrease in alveolar ventilation. The increase in FiO2 to 1.0 improved SpO2 to 92%, suggesting that the patient's hypoxemia was caused by a decrease in alveolar ventilation, which is consistent with decreased FRC (functional residual capacity)."</t>
  </si>
  <si>
    <t>A 40-year-old man who is scheduled for repair of a tendon laceration of the left hand has complete anesthesia in the median, radial, and ulnar nerve distributions after supraclavicular block. Two hours of tourniquet inflation are required for completion of the procedure. The most appropriate NEXT step is an additional block of which of the following nerves?</t>
  </si>
  <si>
    <t>A. Axillary</t>
  </si>
  <si>
    <t>B. Intercostobrachial</t>
  </si>
  <si>
    <t>C. Musculocutaneous</t>
  </si>
  <si>
    <t>{   "Answer": "B",   "Explain": "The patient has complete anesthesia in the median, radial, and ulnar nerve distributions after a supraclavicular block, which suggests that the block is effective for the C5-T1 nerve roots. However, the patient still requires 2 hours of tourniquet inflation, which may cause discomfort in the intercostobrachial distribution. Therefore, an additional block of the intercostobrachial nerve would be the most appropriate next step to provide adequate anesthesia for the patient."</t>
  </si>
  <si>
    <t>Which of the following mechanisms is PRIMARILY responsible for emergence after a single dose of propofol?</t>
  </si>
  <si>
    <t>A. Redistribution</t>
  </si>
  <si>
    <t>B. Metabolism</t>
  </si>
  <si>
    <t>C. Excretion</t>
  </si>
  <si>
    <t>{   "Answer": "A",   "Explain": "After a single dose of propofol, the primary mechanism responsible for emergence is redistribution, which is the movement of the drug from the brain and other highly perfused tissues to less perfused tissues, leading to a decrease in its concentration in the brain and a subsequent decrease in its anesthetic effect." }</t>
  </si>
  <si>
    <t>An anesthesia machine is set to deliver O2 2 L/min, nitrous oxide 2 L/min, and sevoflurane. After 30 minutes of stable anesthesia, which of the following complications is the most likely cause of a DECREASE in the O2 analyzer reading from 50% to 30%?</t>
  </si>
  <si>
    <t>A. A leak in the ventilator bellows</t>
  </si>
  <si>
    <t>B. Accumulation of water on the O2 sensor membrane</t>
  </si>
  <si>
    <t>C. Presence of the O2 analyzer in the expiratory limb</t>
  </si>
  <si>
    <t>{   "Answer": "B",   "Explain": "After 30 minutes of stable anesthesia, the O2 analyzer reading decreased from 50% to 30%. This could be due to the accumulation of water on the O2 sensor membrane, which would cause a false reading. As the anesthesia machine is set to deliver O2 2 L/min, it is unlikely that there is a leak in the ventilator bellows or that the O2 analyzer is in the expiratory limb, which would cause a sudden and significant decrease in the O2 reading." }</t>
  </si>
  <si>
    <t>An induction dose of ketamine is MOST likely to have which of the following effects?</t>
  </si>
  <si>
    <t>A. Analgesia</t>
  </si>
  <si>
    <t>B. Decreased cerebral metabolic rate</t>
  </si>
  <si>
    <t>C. Preservation of laryngeal reflexes</t>
  </si>
  <si>
    <t>{   "Answer": "A",   "Explain": "An induction dose of ketamine is most likely to have analgesic effects, as it is a dissociative anesthetic agent that can produce a sense of detachment from pain and discomfort." }</t>
  </si>
  <si>
    <t>As compared with an IV dose of morphine, which of the following factors is the most likely explanation for the DECREASED duration of action of an IV dose of fentanyl?</t>
  </si>
  <si>
    <t>A. Greater lipid solubility</t>
  </si>
  <si>
    <t>B. Increased hepatic metabolism</t>
  </si>
  <si>
    <t>C. Shorter elimination half-life</t>
  </si>
  <si>
    <t>{   "Answer": "C",   "Explain": "Fentanyl has a shorter elimination half-life compared to morphine, which means it is metabolized and eliminated from the body more quickly. This shorter half-life contributes to a decreased duration of action compared to morphine." }</t>
  </si>
  <si>
    <t>Which of the following definitions BEST describes what the standard error of the mean shows?</t>
  </si>
  <si>
    <t>A. The precision of the population mean</t>
  </si>
  <si>
    <t>B. The range of the sample values</t>
  </si>
  <si>
    <t>C. The deviation about the median of the study group</t>
  </si>
  <si>
    <t>{   "Answer": "A",   "Explain": "The standard error of the mean (SEM) shows the precision of the population mean, which is the average of a large number of measurements. It is a measure of the amount of random variation in a sample of data from a population. The SEM is calculated as the standard deviation of the sample mean, and it represents the amount of error that is expected to occur when estimating the population mean from a sample of data." }</t>
  </si>
  <si>
    <t>Pulse oximetry accurately reflects SaO2 in which of the following situations?</t>
  </si>
  <si>
    <t>A. Administration of indocyanine green</t>
  </si>
  <si>
    <t>B. Carboxyhemoglobinemia</t>
  </si>
  <si>
    <t>C. 40% fetal hemoglobin concentration</t>
  </si>
  <si>
    <t>{   "Answer": "C",   "Explain": "Pulse oximetry accurately reflects SaO2 in a 40% fetal hemoglobin concentration because fetal hemoglobin has a higher affinity for oxygen than adult hemoglobin, which means it releases oxygen more readily. As a result, the pulse oximeter reading will be closer to the actual arterial oxygen saturation." }</t>
  </si>
  <si>
    <t>A patient with a fasting blood glucose of 100 mg/dL is receiving a 4-hour general anesthetic for repair of tendon lacerations. Which of the following blood glucose concentrations is MOST likely expected on emergence?</t>
  </si>
  <si>
    <t>A. Marked hypoglycemia</t>
  </si>
  <si>
    <t>B. Mild hyperglycemia</t>
  </si>
  <si>
    <t>C. Mild hypoglycemia</t>
  </si>
  <si>
    <t>{   "Answer": "C",   "Explain": "The patient's fasting blood glucose level is 100 mg/dL, which is within the normal range. During anesthesia, the patient's blood glucose level may decrease due to the effects of anesthetics and decreased glucose production. However, the decrease is usually mild and self-limiting. Therefore, on emergence from anesthesia, the patient's blood glucose level is most likely to be mildly hypoglycemic, which is category C." }</t>
  </si>
  <si>
    <t>Which of the following drugs INCREASES gastric pH while decreasing gastric volume?</t>
  </si>
  <si>
    <t>A. Glycopyrrolate</t>
  </si>
  <si>
    <t>B. Metoclopramide</t>
  </si>
  <si>
    <t>C. Ranitidine</t>
  </si>
  <si>
    <t>{   "Answer": "A",   "Explain": "Glycopyrrolate is a peripheral-acting anticholinergic agent that increases gastric pH while decreasing gastric volume, making it a suitable choice for this purpose." }</t>
  </si>
  <si>
    <t>Which of the following characteristics of nitrous oxide MOST likely explains why its alveolar and inspired concentrations equilibrate more rapidly than those of desflurane?</t>
  </si>
  <si>
    <t>A. Delivery at a higher inspired concentration</t>
  </si>
  <si>
    <t>B. Creation of a second gas effect</t>
  </si>
  <si>
    <t>C. Lower blood gas solubility</t>
  </si>
  <si>
    <t>{   "Answer": "C",   "Explain": "Nitrous oxide has a lower blood gas solubility compared to desflurane, which means it can diffuse more easily across the alveolar-capillary membrane and into the bloodstream, leading to a more rapid equilibration of alveolar and inspired concentrations." }</t>
  </si>
  <si>
    <t>Which of the following goals is the PRIMARY purpose of denitrogenation prior to anesthetic induction?</t>
  </si>
  <si>
    <t>A. Improving matching of ventilation and perfusion</t>
  </si>
  <si>
    <t>B. Increasing O2 reserve in the FRC</t>
  </si>
  <si>
    <t>C. Maximizing arterial O2 content</t>
  </si>
  <si>
    <t>{   "Answer": "A",   "Explain": "The primary purpose of denitrogenation prior to anesthetic induction is to improve matching of ventilation and perfusion, ensuring that the patient's body is adequately oxygenated before anesthesia." }</t>
  </si>
  <si>
    <t>A 32-year-old woman sustains an injury to the left recurrent laryngeal nerve during thyroidectomy. Which of the following postoperative findings is MOST likely in this patient?</t>
  </si>
  <si>
    <t>A. Adduction of the left vocal cord at rest</t>
  </si>
  <si>
    <t>B. Aphonia</t>
  </si>
  <si>
    <t>C. Aspiration caused by glottic incompetency</t>
  </si>
  <si>
    <t>{   "Answer": "B",   "Explain": "A 32-year-old woman sustains an injury to the left recurrent laryngeal nerve during thyroidectomy, which is likely to cause paralysis of the left vocal cord. As a result, she is likely to experience aphonia, or the inability to speak, as the paralyzed vocal cord does not move to produce sound."</t>
  </si>
  <si>
    <t>Which of the following values, in mmHg, is the expected mixed venous O2 tension in a normal adult after breathing 100% O2 for 10 minutes?</t>
  </si>
  <si>
    <t>A. 45</t>
  </si>
  <si>
    <t>B. 95</t>
  </si>
  <si>
    <t>C. 150</t>
  </si>
  <si>
    <t>{   "Answer": "A",   "Explain": "After breathing 100% O2 for 10 minutes, the mixed venous O2 tension in a normal adult is expected to be around 45 mmHg, as the body's tissues and organs are adapted to use oxygen more efficiently and the increased oxygen delivery from the high FiO2 helps to reduce the body's oxygen demand." }</t>
  </si>
  <si>
    <t>Which of the following drugs has the SHORTEST elimination half-life?</t>
  </si>
  <si>
    <t>B. Lorazepam</t>
  </si>
  <si>
    <t>C. Midazolam</t>
  </si>
  <si>
    <t>{   "Answer": "A",   "Explain": "Flumazenil has a shorter elimination half-life compared to lorazepam and midazolam, with a typical duration of 1-2 hours." }</t>
  </si>
  <si>
    <t>TOTAL CORRECT ANSWERS</t>
  </si>
  <si>
    <t>TOTAL QUESTIONS</t>
  </si>
  <si>
    <t>RATIO</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</si>
  <si>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</si>
  <si>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</si>
  <si>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"B",   "Explain": "The patient's serum calcium concentration is 15 mg/dL, which is significantly elevated. Magnesium sulfate is often used to treat hypercalcemia, but in this case, it is not the most appropriate initial management. Normal saline is a more suitable choice to help correct the electrolyte imbalance and reduce the risk of cardiac arrhythmias." }</t>
  </si>
  <si>
    <t>{   "Answer": "C",   "Explain": "The Caffeine-halothane contracture test is considered the most reliable test for predicting the likelihood of developing malignant hyperthermia. This test involves exposing a patient's skeletal muscle tissue to caffeine and halothane, and measuring the muscle's response. If the muscle contracts excessively, it may indicate a susceptibility to malignant hyperthermia." }</t>
  </si>
  <si>
    <t>{   "Answer": "A",   "Explain": "Flumazenil has low affinity for benzodiazepine receptors, which means it can easily reverse the effects of midazolam without causing any additional sedation or side effects, making it a suitable choice for antagonizing midazolam's effects." }</t>
  </si>
  <si>
    <t>{   "Answer": "B",   "Explain": "The patient is developing pulmonary edema after resolution of postoperative laryngospasm, and the SpO2 is 80% despite breathing 100% O2. Furosemide is a diuretic that can help alleviate pulmonary edema by increasing urine production and reducing fluid overload. Therefore, administration of furosemide is the most appropriate management strategy in this situation." }</t>
  </si>
  <si>
    <t>{   "Answer": "B",   "Explain": "The patient's symptoms of nausea, diaphoresis, and sharp pain in the left shoulder 45 minutes after the start of the procedure suggest a sudden and severe sympathetic response, which is consistent with bladder perforation, a life-threatening complication of TURP. This etiology is more likely than angina pectoris or inadequate spinal sensory level."</t>
  </si>
  <si>
    <t>{   "Answer": "B",   "Explain": "The decrease in SpO2 from 99% to 90% and the increase in ETCO2 from 38 to 43 mmHg suggest that the etiology is related to hypoventilation. Compression of the vena cava, which is caused by the Trendelenburg position, is a likely cause of hypoventilation, as it can reduce lung volume and increase the work of breathing. This is more likely than a CO2 embolus, which would cause a sudden and severe decrease in SpO2, or right mainstem endobronchial intubation, which would not cause an increase in ETCO2."</t>
  </si>
  <si>
    <t>{   "Answer": "A",   "Explain": "The patient's SpO2 is 90% on room air, which suggests that the hypoxemia is mild. Absorption of CO2 from the abdomen is a common phenomenon during laparoscopic procedures, and it can cause respiratory acidosis and hypoxemia. This is the most likely cause of the patient's hypoxemia, especially since the patient is receiving IV PCA with morphine, which can also cause respiratory depression." }</t>
  </si>
  <si>
    <t>{   Answer: "B",   "Explain": "When a patient's heart rate increases from 60 to 120 bpm during anesthesia induction, their metabolic demand for oxygen increases. To satisfy this increased demand, the body needs to increase coronary perfusion pressure to deliver more oxygen to the myocardium. This is because the increased heart rate and blood pressure require more oxygen to be delivered to the heart muscle to maintain its function. Therefore, increased coronary perfusion pressure is the most likely factor to satisfy the increased metabolic demand of the myocardium."</t>
  </si>
  <si>
    <t>{   "Answer": "B",   "Explain": "The prothrombin time (PT) is a laboratory value that is most likely to confirm adequate synthetic hepatic function. This is because the PT measures the time it takes for a clot to form in the blood, which is influenced by the liver's ability to synthesize clotting factors. A prolonged PT can indicate liver dysfunction, while a normal PT suggests adequate liver function." }</t>
  </si>
  <si>
    <t>{   "Answer": "B",   "Explain": "ECG synchronization is the best strategy to prevent ventricular dysrhythmias in a patient undergoing extracorporeal shock wave lithotripsy, as it ensures that the electrical shock is delivered at the peak of the T wave, reducing the risk of ventricular fibrillation." }</t>
  </si>
  <si>
    <t>{   "Answer": A,   "Explain": "A Bain circuit exhibits less rebreathing of CO2 compared with a semiclosed circle system because it is designed to have a higher fresh gas flow requirement, which helps to flush out exhaled gases and reduce the amount of CO2 that is rebreathed." }</t>
  </si>
  <si>
    <t>{   "Answer": "B",   "Explain": "Chronic ethanol abuse decreases the MAC of isoflurane by increasing the activity of cytochrome P450 2E1, which is a major enzyme involved in the metabolism of isoflurane. This increased activity can lead to a decrease in the amount of isoflurane available to produce anesthesia, resulting in a lower MAC."</t>
  </si>
  <si>
    <t>{   "Answer": "C",   "Explain": "Hyperthermia causes a rightward shift of the oxyhemoglobin dissociation curve, meaning that at a given partial pressure of oxygen, the hemoglobin is less likely to release oxygen to the tissues. This is because high temperatures increase the affinity of hemoglobin for oxygen, making it more difficult for oxygen to be released from hemoglobin to the tissues." }</t>
  </si>
  <si>
    <t>{   "Answer": "B",   "Explain": "Methohexital is most likely to be associated with longer seizure duration when used for electroconvulsive therapy because of its longer context-sensitive half-time compared to other anesthetics, making it a less suitable choice for this procedure." }</t>
  </si>
  <si>
    <t>{   "Answer": "A",   "Explain": "Neostigmine has a longer duration of action in patients with renal failure compared to other options because it is primarily metabolized by the liver and excreted by the kidneys, but it has a longer half-life, which allows it to maintain its effects for a longer period even in patients with impaired renal function." }</t>
  </si>
  <si>
    <t>{   "Answer": "A",   "Explain": "Gagging that occurs during awake intubation is BEST prevented by local anesthetic block of the superior laryngeal nerve, which supplies sensory innervation to the epiglottis and the upper part of the larynx, and is a key component of the gag reflex." }</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</si>
  <si>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</si>
  <si>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</si>
  <si>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patient is experiencing opioid-induced adverse effects, specifically nausea and right upper quadrant abdominal pain, 30 minutes after receiving morphine and midazolam. Naloxone is the most appropriate therapy to reverse the effects of morphine, as it is an opioid antagonist that can bind to opioid receptors and reverse the effects of morphine."</t>
  </si>
  <si>
    <t>{   "Answer": "C",   "Explain": "The caffeine-halothane contracture test is the most reliable test for predicting the likelihood of developing malignant hyperthermia. This test involves exposing a muscle biopsy sample to caffeine and halothane, and measuring the contraction response. It has the highest sensitivity and specificity for diagnosing malignant hyperthermia susceptibility." }</t>
  </si>
  <si>
    <t>{   "Answer": "B",   "Explain": "To find the delivered anesthetic concentration, we need to calculate the volume of anesthetic vapor in the mixture. The vaporizer is set to deliver 150 mmHg of anesthetic vapor, and the fresh gas flow is 5 L/min. The oxygen flow is 100 mL/min, which is negligible compared to the fresh gas flow. Therefore, the volume of anesthetic vapor in the mixture is 150 mmHg / 760 mmHg (atmospheric pressure) = 0.197 L/min. The total gas flow is 5 L/min, so the percentage of anesthetic vapor in the mixture is 0.197 L/min / 5 L/min = 0.0394 or 3.94%. Since the anesthetic vapor is 2.5 times the saturated vapor pressure of water at body temperature, the delivered anesthetic concentration is 0.5%."</t>
  </si>
  <si>
    <t>{   "Answer": "A",   "Explain": "Flumazenil has low affinity for benzodiazepine receptors, which means it can easily antagonize the effects of midazolam, allowing the patient to quickly recover from sedation. This is in contrast to other factors, such as flumazenil having moderate intrinsic agonist activity or midazolam having a longer duration of action, which would not explain why the patient should remain hospitalized for observation."</t>
  </si>
  <si>
    <t>{   "Answer": "B",   "Explain": "The patient's position exerts the greatest effect on the extent of spread of local anesthetic following subarachnoid block with hyperbaric bupivacaine. This is because the position of the patient can affect the distribution of the anesthetic solution in the cerebrospinal fluid, which in turn affects the spread of the block." }</t>
  </si>
  <si>
    <t>{   "Answer": "B",   "Explain": "The patient is developing pulmonary edema after resolution of postoperative laryngospasm, indicating a possible cardiac output issue. Furosemide is a diuretic that can help alleviate pulmonary edema by increasing urine output and reducing fluid overload. Administration of albuterol may not be effective in this situation, and positive-pressure ventilation may worsen the situation by causing further fluid shift to the lungs." }</t>
  </si>
  <si>
    <t>{   "Answer": "B",   "Explain": "The patient's symptoms of nausea, diaphoresis, and sharp pain in the left shoulder 45 minutes after the start of the procedure suggest a sudden and severe sympathetic response, which is consistent with bladder perforation, a complication of TURP. This etiology is more likely than angina pectoris or inadequate spinal sensory level."</t>
  </si>
  <si>
    <t>{   "Answer": "B",   "Explain": "The patient's SpO2 decreased from 99% to 90% and the partial pressure of ETCO2 increased from 38 to 43 mmHg, which suggests that the etiology is related to the Trendelenburg position and CO2 insufflation, causing compression of the vena cava, leading to decreased venous return and hypoxemia."</t>
  </si>
  <si>
    <t>{   "Answer": "A",   "Explain": "The patient's SpO2 is 90% on room air, which is within normal limits. Absorption of CO2 from the abdomen is a common phenomenon during laparoscopic procedures, and it can cause respiratory acidosis and hypoxemia. In this case, the patient's SpO2 is not significantly decreased, suggesting that absorption of CO2 from the abdomen is the most likely cause of her hypoxemia."</t>
  </si>
  <si>
    <t>{   "Answer": "A",   "Explain": "In pressure support ventilation, pressure support breaths are triggered by a decrease in airway pressure, which means that the ventilator provides additional breaths to help the patient breathe more comfortably." }</t>
  </si>
  <si>
    <t>{   "Answer": B,   "Explain": "When a patient's heart rate increases from 60 to 120 bpm during anesthesia induction, it is likely due to an increase in metabolic demand. To satisfy this increased demand, the most likely factor is an increase in coronary perfusion pressure. This is because increased blood flow to the heart is necessary to meet the increased oxygen demands of the myocardium. An increase in coronary artery resistance would actually decrease blood flow to the heart, making it less likely to satisfy the increased demand. Increased O2 extraction by the myocardium would also not be sufficient to meet the increased demand, as it would not increase the overall blood flow to the heart."</t>
  </si>
  <si>
    <t>{   "Answer": "B",   "Explain": "The prothrombin time (PT) is the most likely laboratory value to confirm adequate synthetic hepatic function. This is because the PT measures the liver's ability to synthesize clotting factors, which is an important indicator of liver synthetic function." }</t>
  </si>
  <si>
    <t>{   "Answer": "C",   "Explain": "The patient is in the lateral position, which can cause the end-tidal CO2 (ETCO2) to decrease due to the increased dead space and decreased functional residual capacity. This can lead to a decrease in the capnograph waveform between points A and B, indicating a decrease in CO2 levels." }</t>
  </si>
  <si>
    <t>{   "Answer": "B",   "Explain": "Chronic ethanol abuse decreases the metabolism of isoflurane by inhibiting the activity of cytochrome P450 enzymes, particularly CYP2E1, which is involved in the oxidative metabolism of halogenated anesthetics like isoflurane." }</t>
  </si>
  <si>
    <t>{   "Answer": "B",   "Explain": "In clinical hypothyroidism, myocardial contractility is decreased, leading to decreased cardiac output and blood pressure. Therefore, option B is the most likely to be decreased in a patient with clinical hypothyroidism."</t>
  </si>
  <si>
    <t>{   "Answer": "B",   "Explain": "The CO2 absorber is misplaced in the circle system because it is typically located after the expiratory valve, not in its current position. The CO2 absorber is responsible for removing CO2 from the rebreathed gases, and its correct placement is crucial to prevent rebreathing of CO2."</t>
  </si>
  <si>
    <t>{   "Answer": "C",   "Explain": "A new IV anesthetic with a large volume of distribution is most likely to have low plasma protein binding. This is because a large volume of distribution indicates that the anesthetic is distributed throughout the body, including tissues and organs, rather than being confined to the bloodstream. As a result, it is likely that the anesthetic is not strongly bound to plasma proteins, allowing it to be distributed more widely throughout the body."</t>
  </si>
  <si>
    <t>{   "Answer": "A",   "Explain": "Neostigmine has a longer duration of action in patients with renal failure because it is excreted primarily through the kidneys, and in patients with impaired renal function, its clearance is significantly reduced, leading to prolonged neuromuscular blockade." }</t>
  </si>
  <si>
    <t>{   "Answer": "C",   "Explain": "Instillation of local anesthetic into the trachea via the cricothyroid membrane is most likely to block the recurrent laryngeal nerve, which is located in the trachea and innervates the larynx." }</t>
  </si>
  <si>
    <t>{   "Answer": "A",   "Explain": "Gagging that occurs during awake intubation is BEST prevented by local anesthetic block of the superior laryngeal nerve, which supplies sensory innervation to the epiglottis and the upper part of the trachea, and is the afferent component of the gag reflex." }</t>
  </si>
  <si>
    <t>{   "Answer": "A",   "Explain": "Ablation of thermoregulatory vasoconstriction is the most likely explanation for the initial reduction in core temperature during general anesthesia. This is because the vasoconstrictive sympathetic response, which normally helps to conserve heat, is impaired during anesthesia, leading to a reduction in blood flow to the core and a subsequent drop in core temperature." }</t>
  </si>
  <si>
    <t>{   "Answer": "A",   "Explain": "The patient's SpO2 decreased from 98% to 84% over 1 hour, indicating a gradual decrease in oxygenation. This is consistent with a decreased functional residual capacity (FRC), which is a common cause of hypoxemia in elderly patients. The improvement in SpO2 to 92% when FiO2 is increased to 1.0 suggests that the patient's hypoxemia was primarily due to a decreased FRC, which was corrected with increased oxygen supplementation."</t>
  </si>
  <si>
    <t>{   "Answer": "A",   "Explain": "After a single dose of propofol, the primary mechanism responsible for emergence is redistribution, which is the movement of the drug from the brain and other tissues back to the bloodstream, leading to a decrease in its concentration and a subsequent decrease in its effects." }</t>
  </si>
  <si>
    <t>{   "Answer": "A",   "Explain": "An induction dose of ketamine is most likely to have analgesic effects, as it is a dissociative anesthetic that can produce a sense of detachment from pain and discomfort." }</t>
  </si>
  <si>
    <t>{   "Answer": "C",   "Explain": "Fentanyl has a shorter elimination half-life compared to morphine, which means it is metabolized and eliminated from the body more quickly. This shorter half-life contributes to a shorter duration of action compared to morphine." }</t>
  </si>
  <si>
    <t>{   "Answer": "A",   "Explain": "The standard error of the mean (SEM) shows the precision of the population mean, which is the average of a large number of measurements. It is a measure of the amount of random variation in a sample of data from a population. The SEM is calculated as the standard deviation of the sample mean, and it is used to construct confidence intervals and to test hypotheses about the population mean." }</t>
  </si>
  <si>
    <t>{   "Answer": "C",   "Explain": "The patient's fasting blood glucose level is 100 mg/dL, which is within the normal range. During anesthesia, the patient's blood glucose level may decrease due to the effects of anesthetics and decreased glucose production. However, the decrease is usually mild and self-limiting. Therefore, on emergence from anesthesia, the patient's blood glucose level is most likely to be mildly hypoglycemic, which is category C."</t>
  </si>
  <si>
    <t>{   "Answer": "A",   "Explain": "Glycopyrrolate is a medication that increases gastric pH while decreasing gastric volume, making it a suitable answer choice. According to the provided context, glycopyrrolate is a peripheral-acting anticholinergic agent that is used to attenuate the cardiac muscarinic effects of anticholinesterases, and it is also used to treat intraoperative bronchospasm. Its mechanism of action involves blocking muscarinic receptors in the heart, which increases gastric pH and decreases gastric volume."</t>
  </si>
  <si>
    <t>{   "Answer": "B",   "Explain": "A 32-year-old woman sustains an injury to the left recurrent laryngeal nerve during thyroidectomy, which is likely to cause paralysis of the left vocal cord. As a result, she is likely to experience aphonia, which is the inability to speak or make sounds due to the paralysis of the vocal cords."</t>
  </si>
  <si>
    <t>{   "Answer": "A",   "Explain": "After breathing 100% O2 for 10 minutes, the mixed venous O2 tension in a normal adult is expected to be around 45 mmHg, as the oxygen-rich blood from the lungs is being circulated throughout the body, increasing the oxygen saturation of the blood." }</t>
  </si>
  <si>
    <t>{   "Answer": "A",   "Explain": "Flumazenil has a shorter elimination half-life compared to lorazepam and midazolam, with a typical duration of action of 1-2 hours." }</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</si>
  <si>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</si>
  <si>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</si>
  <si>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s</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</si>
  <si>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</si>
  <si>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</si>
  <si>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"Since the patient is experiencing right upper quadrant abdominal pain and nausea 30 minutes after receiving morphine and midazolam, it is likely that the morphine is causing the adverse effects. Naloxone is an opioid antagonist that can reverse the effects of morphine, making it the most appropriate therapy for this patient's pain." }</t>
  </si>
  <si>
    <t>{   "Answer": "B",   "Explain": "The patient's serum calcium concentration is 15 mg/dL, which is significantly elevated. Magnesium sulfate is often used to help control hypercalcemia, but in this case, it is not the most appropriate initial management. Normal saline is a more appropriate choice as it can help to dilute the excess calcium in the blood and reduce its effects." }</t>
  </si>
  <si>
    <t>{   "Answer": "C",   "Explain": "The Caffeine-halothane contracture test is considered the most reliable test for predicting the likelihood of developing malignant hyperthermia. This test involves exposing a patient's skeletal muscle tissue to caffeine and halothane, and observing for muscle contractions. If the muscle tissue contracts, it is a sign that the patient is susceptible to malignant hyperthermia." }</t>
  </si>
  <si>
    <t>{   "Answer": "B",   "Explain": "To find the delivered anesthetic concentration, we need to calculate the total volume of anesthetic vapor in the gas mixture. The vaporizer is set to deliver 150 mmHg of anesthetic vapor, and the fresh gas flow is 5 L/min. Since the vaporizer is set to deliver 150 mmHg, the volume of anesthetic vapor delivered per minute is 150 mmHg x 100 mL/min = 15,000 microliters per minute. The total gas flow is 5 L/min, and the anesthetic vapor makes up 15,000 microliters per minute out of the total gas flow. To find the percentage of anesthetic vapor in the gas mixture, we divide the volume of anesthetic vapor by the total gas flow and multiply by 100. 15,000 microliters per minute / 500,000 microliters per minute = 0.03, or 3%. Therefore, the delivered anesthetic concentration is 0.5%."</t>
  </si>
  <si>
    <t>{   "Answer": "C",   "Explain": "Vasoconstriction is the most effective physiologic mechanism for maintaining body temperature in an adult patient with mild hypothermia anesthetized with 1 MAC of isoflurane. This is because vasoconstriction helps to reduce heat loss by decreasing blood flow to the skin and extremities, thereby conserving heat and maintaining a stable body temperature." }</t>
  </si>
  <si>
    <t>{   "Answer": "A",   "Explain": "Flumazenil has low affinity for benzodiazepine receptors, which means it is easily antagonized by midazolam, making it important to remain hospitalized for observation to ensure the patient's sedation is fully reversed and they are stable before being sent home." }</t>
  </si>
  <si>
    <t>{   "Answer": "B",   "Explain": "The patient's position exerts the greatest effect on the extent of spread of local anesthetic following subarachnoid block with hyperbaric bupivacaine. This is because the position of the patient can alter the distribution of the anesthetic solution in the cerebrospinal fluid, leading to changes in the extent of spread." }</t>
  </si>
  <si>
    <t>{   "Answer": "B",   "Explain": "The patient is experiencing pulmonary edema after resolution of postoperative laryngospasm, and their SpO2 is 80% despite breathing 100% O2. Furosemide is a diuretic that can help reduce fluid overload and alleviate pulmonary edema, making it the most appropriate management strategy in this situation." }</t>
  </si>
  <si>
    <t>{   "Answer": "B",   "Explain": "The patient is experiencing sudden onset of nausea, diaphoresis, and sharp pain in the left shoulder, which is an unusual presentation for spinal anesthesia. The most likely cause is bladder perforation, as this can lead to sudden and severe pain, nausea, and diaphoresis." }</t>
  </si>
  <si>
    <t>{   "Answer": "B",   "Explain": "The decrease in SpO2 from 99% to 90% and the increase in ETCO2 from 38 to 43 mmHg suggest that the etiology is related to the patient's position and the use of CO2 insufflation. Compression of the vena cava is a likely cause of this decrease in SpO2, as it can lead to decreased venous return and hypoxemia." }</t>
  </si>
  <si>
    <t>{   "Answer": "A",   "Explain": "The patient is experiencing hypoxemia two hours after laparoscopic cholecystectomy, which is a common complication of laparoscopic surgery. Absorption of CO2 from the abdomen is a known cause of respiratory depression and hypoxemia, especially in obese patients. The patient's SpO2 is 90% on room air, which suggests that there may be some degree of respiratory depression. Therefore, absorption of CO2 from the abdomen is the most likely cause of the patient's hypoxemia."</t>
  </si>
  <si>
    <t>{   "Answer": "A",   "Explain": "In pressure support ventilation, pressure support breaths are triggered by a decrease in airway pressure, which means that the ventilator provides additional pressure to help the patient breathe more easily." }</t>
  </si>
  <si>
    <t>{   Answer: "B",   "Explain": "During anesthesia induction, the increased heart rate from 60 bpm to 120 bpm indicates an increase in cardiac demand. To satisfy this increased demand, the myocardium needs increased perfusion pressure to deliver more oxygen and nutrients. Therefore, increased coronary perfusion pressure is the most likely factor to satisfy the increased metabolic demand of the myocardium." }</t>
  </si>
  <si>
    <t>{   "Answer": "B",   "Explain": "The prothrombin time (PT) is a laboratory value that is most likely to confirm adequate synthetic hepatic function. The PT measures the time it takes for a clot to form in the blood, and is affected by the liver's ability to synthesize clotting factors. A prolonged PT can indicate liver dysfunction, while a normal PT suggests adequate liver function." }</t>
  </si>
  <si>
    <t>{   "Answer": "B",   "Explain": "ECG synchronization is the best strategy to prevent ventricular dysrhythmias in a patient undergoing extracorporeal shock wave lithotripsy, as it ensures that the electrical shock is delivered at the optimal moment to terminate the arrhythmia and prevent further complications."</t>
  </si>
  <si>
    <t>{   "Answer": A,   "Explain": "A Bain circuit exhibits less rebreathing of CO2 compared with a semiclosed circle system because it is designed to have a lower exchange volume and is used with high fresh-gas flows, allowing for rapid changes in inspired gas concentrations and minimizing rebreathing of exhaled gases." }</t>
  </si>
  <si>
    <t>{   "Answer": "C",   "Explain": "The patient is in the lateral position, which can cause the end-tidal CO2 (ETCO2) to decrease due to the reduced lung volume and altered respiratory mechanics. This decrease in ETCO2 can cause the capnograph waveform to appear as a flat line or a decreased amplitude between points A and B."</t>
  </si>
  <si>
    <t>{   "Answer": "B",   "Explain": "The patient has a history of penicillin allergy, so the anesthesiologist should not administer cefazolin. Instead, they should administer hydrocortisone, followed by cefazolin, as vancomycin is an alternative option for patients with penicillin allergies."</t>
  </si>
  <si>
    <t>{   "Answer": "B",   "Explain": "Chronic ethanol abuse decreases the metabolism of isoflurane by inhibiting the activity of cytochrome P450 2E1, which is responsible for the metabolism of isoflurane." }</t>
  </si>
  <si>
    <t>{   "Answer": "A",   "Explain": "Bupivacaine's primary toxic effect on the cardiovascular system is the blockade of norepinephrine release, which can lead to cardiovascular depression and potentially life-threatening complications." }</t>
  </si>
  <si>
    <t>{   "Answer": "C",   "Explain": "Hyperthermia causes a rightward shift of the oxyhemoglobin dissociation curve, meaning that at a given partial pressure of oxygen, the hemoglobin is less able to release oxygen to the tissues." }</t>
  </si>
  <si>
    <t>{   "Answer": "B",   "Explain": "In clinical hypothyroidism, there is a decrease in cardiac contractility, which is reflected in decreased myocardial contractility. This is because hypothyroidism can lead to decreased levels of thyroxine (T4) and triiodothyronine (T3), which are essential for normal cardiac function." }</t>
  </si>
  <si>
    <t>{   "Answer": "B",   "Explain": "Methohexital is most likely to be associated with longer seizure duration when used for electroconvulsive therapy due to its shorter duration of action and more rapid awakening compared to other anesthetics, making it a less suitable choice for this procedure." }</t>
  </si>
  <si>
    <t>{   "Answer": "A",   "Explain": "Etomidate does not cause enhanced activity of the GABA receptor, whereas ketamine and propofol have been shown to have GABAergic effects, making them the incorrect choices." }</t>
  </si>
  <si>
    <t>{   "Answer": "B",   "Explain": "The CO2 absorber is misplaced in the circle system. According to the description, the circle system prevents rebreathing of carbon dioxide by chemical neutralization of carbon dioxide with carbon dioxide absorbents. Therefore, the CO2 absorber should be placed after the patient's exhalation, not in the circle system as shown in the illustration."</t>
  </si>
  <si>
    <t>{   "Answer": "C",   "Explain": "A new IV anesthetic with a very large volume of distribution is most likely to have low plasma protein binding. This is because a large volume of distribution indicates that the anesthetic is widely distributed throughout the body, and low plasma protein binding means that the anesthetic is not tightly bound to plasma proteins, allowing it to be more easily distributed to other tissues and organs." }</t>
  </si>
  <si>
    <t>{   "Answer": "A",   "Explain": "Neostigmine has a long duration of action in patients with renal failure because it is excreted by the kidneys, but it is not significantly affected by renal impairment. Its duration of action is typically 4-6 hours, making it a suitable choice for patients with renal failure." }</t>
  </si>
  <si>
    <t>{   "Answer": "C",   "Explain": "Instillation of local anesthetic into the trachea via the cricothyroid membrane is most likely to block the Recurrent laryngeal nerve, which innervates the larynx and is responsible for sensation and movement of the vocal cords." }</t>
  </si>
  <si>
    <t>{   "Answer": "A",   "Explain": "Gagging that occurs during awake intubation is BEST prevented by local anesthetic block of the superior laryngeal nerve, which supplies sensory innervation to the epiglottis and the laryngeal structures."</t>
  </si>
  <si>
    <t>{   "Answer": "A",   "Explain": "Ablation of thermoregulatory vasoconstriction is the most likely explanation for the initial reduction in core temperature during general anesthesia. This is because the vasoconstrictive sympathetic response, which normally helps to conserve heat, is impaired during anesthesia, leading to a reduction in blood flow to the core and a subsequent drop in core temperature."</t>
  </si>
  <si>
    <t>{   "Answer": "A",   "Explain": "The patient's SpO2 decreased from 98% to 84% and then improved to 92% when FiO2 was increased to 1.0. This suggests that the patient's hypoxemia was due to a low inspired oxygen concentration, which was resolved by increasing the FiO2. This is consistent with decreased FRC being the most likely cause of hypoxemia." }</t>
  </si>
  <si>
    <t>{   "Answer": "B",   "Explain": "The patient has complete anesthesia in the median, radial, and ulnar nerve distributions after a supraclavicular block, which suggests that the block is effective for the brachial plexus. However, the procedure requires an additional 2 hours of tourniquet inflation, which may cause discomfort in the patient. The intercostobrachial nerve is a branch of the brachial plexus that supplies sensation to the upper arm and axilla, and blocking it may help to reduce the discomfort caused by the tourniquet."</t>
  </si>
  <si>
    <t>{   "Answer": "A",   "Explain": "The primary mechanism responsible for emergence after a single dose of propofol is redistribution, which is the movement of the drug from the central nervous system and other tissues back to the bloodstream, where it can be metabolized and excreted." }</t>
  </si>
  <si>
    <t>{   "Answer": "B",   "Explain": "After 30 minutes of stable anesthesia, the O2 analyzer reading decreased from 50% to 30%. This could be due to the accumulation of water on the O2 sensor membrane, which can cause a decrease in the accuracy of the reading." }</t>
  </si>
  <si>
    <t>{   "Answer": "A",   "Explain": "An induction dose of ketamine is most likely to have analgesic effects, as it is a dissociative anesthetic agent that can induce a state of dissociation between the patient's consciousness and their perception of pain." }</t>
  </si>
  <si>
    <t>{   "Answer": "C",   "Explain": "Fentanyl has a shorter elimination half-life compared to morphine, which means it is cleared from the body more quickly. This shorter duration of action is the most likely explanation for the decreased duration of action of an IV dose of fentanyl compared to morphine." }</t>
  </si>
  <si>
    <t>{   "Answer": "A",   "Explain": "The standard error of the mean (SEM) shows the precision of the population mean, which is the average of a large number of measurements. It is a measure of the amount of random variation in a sample of data from a population. In other words, it represents the amount of uncertainty or error in the sample mean, and it is used to construct confidence intervals and make inferences about the population mean." }</t>
  </si>
  <si>
    <t>{   "Answer": "B",   "Explain": "Pulse oximetry does not accurately reflect SaO2 in the presence of carboxyhemoglobinemia, as carboxyhemoglobin can be mistaken for oxygenated hemoglobin, leading to inaccurate readings." }</t>
  </si>
  <si>
    <t>{   "Answer": "C",   "Explain": "A patient with a fasting blood glucose of 100 mg/dL is receiving a 4-hour general anesthetic for repair of tendon lacerations. During the anesthetic, the patient will likely receive fluids and medications that can cause an increase in blood glucose levels. Therefore, it is unlikely that the patient's blood glucose level will decrease significantly, making mild hypoglycemia (C) the most likely expected outcome on emergence."</t>
  </si>
  <si>
    <t>{   "Answer": "A",   "Explain": "Glycopyrrolate is given to increase gastric pH while decreasing gastric volume, making it a suitable answer choice. It is a peripheral-acting anticholinergic agent that selectively blocks the muscarinic effects of acetylcholine, thereby increasing gastric pH and decreasing gastric volume." }</t>
  </si>
  <si>
    <t>{   "Answer": "C",   "Explain": "Nitrous oxide has a lower blood gas solubility compared to desflurane, which means it can diffuse more easily out of the bloodstream and into the lungs, allowing for more rapid equilibration of alveolar and inspired concentrations." }</t>
  </si>
  <si>
    <t>{   "Answer": "A",   "Explain": "The primary purpose of denitrogenation prior to anesthetic induction is to improve matching of ventilation and perfusion, ensuring that the patient's body is well-oxygenated and prepared for anesthesia." }</t>
  </si>
  <si>
    <t>{   "Answer": "A",   "Explain": "After breathing 100% O2 for 10 minutes, the mixed venous O2 tension in a normal adult is expected to be around 45 mmHg, as the O2 saturation of the blood increases and the O2 delivery to the tissues increases, leading to a decrease in the mixed venous O2 tension." }</t>
  </si>
  <si>
    <t>{   "Answer": "A",   "Explain": "Flumazenil has a shorter elimination half-life compared to lorazepam and midazolam, with a median duration of 1-2 hours, making it the shortest among the three options." }</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</si>
  <si>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</si>
  <si>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</si>
  <si>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"As you are performing an operation at the medial aspect of the lower leg, you should most likely block the tibial nerve, which is located in this area." }</t>
  </si>
  <si>
    <t>{   Answer: "C",   "Explain": "The patient is experiencing abdominal pain and nausea, which are potential adverse effects of morpheine and midazolam. Naloxone is an opioid antagonist that can reverse opioid-induced respiratory depression, nausea, and vomiting. It is the most appropriate therapy to manage the patient's symptoms in this situation." }</t>
  </si>
  <si>
    <t>{   "Answer": "B",   "Explain": "The initial management of the 68-year-old woman's hypercalcemia secondary to primary hyperparathyroidism before surgery is to decrease her serum calcium concentration. Normal saline can help to dilute the excess calcium and reduce its concentration, which is the most appropriate initial management." }</t>
  </si>
  <si>
    <t>{   "Answer": "C",   "Explain": "The caffeine-halothane contracture test is considered the most reliable test to predict the likelihood of developing malignant hyperthermia, as it tests the muscle's response to caffeine and halothane, both known triggers of the condition." }</t>
  </si>
  <si>
    <t>{   Answer: "A",   "Explain": "The anesthetic vapor pressure is 150 mmHg, and the fresh gas flow is 5 L/min. Since the fresh gas flow is much higher than the minimal fresh gas flow needed to deliver a saturated vapor pressure, the delivered anesthetic concentration will be in direct proportion to the fresh gas flow and anesthetic vapor pressure. 150 mmHg * (100 ml/min) / (5L/min) = 3%, so the delivered anesthetic concentration is 3%. However, the problem states that the flow of O2 is 100 mL/min, so the correct delivered anesthetic concentration is 0.25% or 1/4%." }</t>
  </si>
  <si>
    <t>Here's a possible JSON answer based on the context you provided:  {   "Answer": C,   "Explain": "Vasoconstriction is most effective for maintaining body temperature in this patient with mild hypothermia, as it helps to conserve heat by reducing blood flow to the extremities and increasing blood flow to vital organs. As the patient is already anesthetized with 1 MAC of isoflurane, other mechanisms such as nonshivering thermogenesis (option A) and shivering thermogenesis (option B) are less effective." }</t>
  </si>
  <si>
    <t>{   "Answer": "A",   "Explain": "The patient may experience a rapid arousal from sedation, which can be accompanied by increased sympathetic nervous activity leading to tachycardia, hypertension, and potential cardiovascular complications. Monitoring in a hospital setting for at least 1 hour allows for close observation and management of these potential complications."</t>
  </si>
  <si>
    <t>{   "Answer": "C",   "Explain": "The total dose of drug has the greatest effect on the extent of spread of local anesthetic following subarachnoid block with hyperbaric bupivacaine. The dose of the anesthetic influences the amount of the anesthetic that is distributed throughout the cerebrospinal fluid and the speed at which it is absorbed and metabolized." }</t>
  </si>
  <si>
    <t>{   "Answer": B,   "Explain": "Furosemide, a diuretic, is used to treat pulmonary edema. In this scenario, the patient has developed pulmonary edema after resolution of postoperative laryngospasm, and increasing airway pressure may worsen the edema, while furosemide can help to reduce it. Administering furosemide is the most appropriate management strategy in this situation."</t>
  </si>
  <si>
    <t>{     "Answer": "B",     "Explain": "The patient's symptoms of nausea, diaphoresis, and sharp pain in the left shoulder are similar to those described in the document as potentially presenting soon after the administration of a spinal anesthetic. The document specifically mentions that factors associated with developing nausea or vomiting after spinal anesthesia include peak block height greater than or equal to T5, which could be relevant in this case. Therefore, the most likely cause is bladder perforation (B)." }</t>
  </si>
  <si>
    <t>{   "Answer": B,   "Explain": "The patient's SpO2 is decreasing while her FiO2 and ventilator settings have been constant, indicating a non-anesthesia-related cause. The rise in ETCO2 is not caused by apneic drive as it is not increasing further, making it unlikely to be CO2 embolus (A) or right mainstem endobronchial intubation (C). The compression of the vena cava due to the Trendelenburg position in the anesthetic table is the most likely cause of the decrease in oxygen saturation (B)." }</t>
  </si>
  <si>
    <t>{   "Answer": B,   "Explain": "After 2 hours of laparoscopic cholecystectomy, the patient's SpO2 is 90% on room air, suggesting hypoventilation as the likely cause of her hypoxemia. Morphine, a sedative and respiratory depressant, may contribute to hypoventilation. The patient's obesity also predisposes her to ventilation-perfusion mismatch, which can worsen hypoxemia." }</t>
  </si>
  <si>
    <t>{   "Answer": "A",   "Explain": "In pressure support ventilation, pressure support breaths are triggered by a decrease in airway pressure, meaning that the ventilator delivers a preset pressure support level to the patient based on the patient's spontaneous breathing effort." }</t>
  </si>
  <si>
    <t>{     Answer: A,     Explain: "To increase the cardiac output and satisfy increased metabolic demands, it is necessary to increase blood pressure, which in turn will increase coronary pressure and perfusion, option C is incorrect. Increased coronary perfusion pressure is already present and it is not increasing. The factors that might increase cardiac output and satisfy increased metabolic demand are those that can increase blood pressure, such as vasoconstriction, which increases cardiac afterload and output, option B is not the correct answer. Instead, decreasing coronary artery resistance through vasodilation could increase blood flow to the myocardium and satisfy the increased metabolic demands, allowing for a higher heart rate." }</t>
  </si>
  <si>
    <t>{   "Answer": B,   "Explain": "The prothrombin time (PT) is most likely to confirm adequate synthetic hepatic function as it measures the liver's ability to synthesize clotting factors, such as factors II, VII, IX, and X, and is an indicator of the liver's synthetic function." }</t>
  </si>
  <si>
    <t>{     "Answer": "B",     "Explain": "Cardioversion requires synchronization with the QRS complex to minimize the risk of provoking a worsening arrhythmia. Therefore, ECG synchronization is crucial in preventing ventricular dysrhythmias during cardioversion."</t>
  </si>
  <si>
    <t>{     Answer: "A",     "Explain": "Compared with a semiclosed circle system, a Bain circuit exhibits less rebreathing of CO2 because a Bain circuit is designed to maintain a low CO2 concentration in the gas entering the circuit, which reduces the amount of CO2 re-enters the circuit and minimizes rebreathing of exhaled gases." }</t>
  </si>
  <si>
    <t>{     Answer: "C",     "Explain": "The patient was in the lateral position, which can cause a decrease in functional residual capacity (FRC) leading to a smaller tidal volume, resulting in a plateau (point A) and a more gradual slope on the capnograph waveform (point B)".</t>
  </si>
  <si>
    <t>{ "Answer": "B", "Explain": "As the patient has a known allergy to penicillin, it is not advisable to administer cefazolin. Instead, according to the guidelines, vancomycin can be administered within 2 hours of incision as an alternative." }</t>
  </si>
  <si>
    <t>{   "Answer": "A",   "Explain": "Acute cocaine intoxication decreases the MAC of isoflurane by increasing the activity of cytochrome P450 2D6, which is involved in the metabolism of volatile anesthetics." }</t>
  </si>
  <si>
    <t>{     "Answer": "A",     "Explain": "Bupivacaine's primary toxic effect on the cardiovascular system is the blockade of norepinephrine release, which can lead to a decrease in blood pressure and cardiac depression."</t>
  </si>
  <si>
    <t>{   "Answer": "C",   "Explain": "Hyperthermia causes a rightward shift of the oxyhemoglobin dissociation curve because increased body temperature allows for more efficient release of oxygen from hemoglobin, making it easier for oxygen to dissociate from hemoglobin." }</t>
  </si>
  <si>
    <t>{     Answer: "B",     "Explain": "In a patient with clinical hypothyroidism, myocardial contractility and peripheral vascular tone may be increased, but cardiac output may not be affected. Therefore, anesthetic management should focus on monitoring and managing cardiac output, rather than simply decreasing cardiovascular tonus or contractility."</t>
  </si>
  <si>
    <t>{     "Answer": "B",     "Explain": "Methohexital has a shorter context-sensitive half-time compared to other intravenous anesthetics, making it more likely to have a longer seizure duration when used for electroconvulsive therapy." }</t>
  </si>
  <si>
    <t>{   "Answer": A,   "Explain": "Etomidate does not cause enhanced activity of the GABA receptor." }</t>
  </si>
  <si>
    <t>{   "Answer": B,   "Explain": "The CO2 absorber is misplaced in the circle system. According to the diagram, the correct location is not shown, whereas in a typical circle system, the CO2 absorber is located between the exhalation valve and the inspiratory limb of the breathing circuit." }</t>
  </si>
  <si>
    <t>{   "Answer": "A",   "Explain": "A new IV anesthetic is found to have a very large volume of distribution, which means it spreads out all over the body quickly. This is likely due to its low lipid solubility, as it wouldn't be easily absorbed into lipids in the body and would instead distribute into the bloodstream and other tissues." }</t>
  </si>
  <si>
    <t>{     "Answer": "A",     "Explain": "Among the given options, neostigmine has the longest duration of action, with a peak clinical effect lasting 1-2 hours, followed by a slow decline over several hours. It is a non-selective cholinesterase inhibitor that works by increasing the levels of acetylcholine in the nervous system, which in turn counteracts the actions of muscle relaxants like succinylcholine and rocuronium."</t>
  </si>
  <si>
    <t>{   "Answer": "B",   "Explain": "Instillation of local anesthetic into the trachea via the cricothyroid membrane is most likely to block the internal branch of the superior laryngeal nerve."</t>
  </si>
  <si>
    <t>{   "Answer": "A",   "Explain": "Gagging that occurs during awake intubation is best prevented by local anesthetic block of the superior laryngeal nerve, which supplies sensory innervation to the epiglottis and trachea, and plays a crucial role in triggering the gag reflex."</t>
  </si>
  <si>
    <t>{   "Answer": "A",   "Explain": "The thermal heat loss from the core to the periphery is reduced once anesthetic medications take effect, leading to a decrease in heat dissipation and thus a decrease in core body temperature." }</t>
  </si>
  <si>
    <t>Here is the answer in JSON format:  {   "Answer": "A",   "Explain": "Since the patient's SpO2 decreased from 98% to 84% over 1 hour without any changes in his tidal volume, it suggests that his functional residual capacity (FRC) has decreased, leading to a decrease in the tidal volume's contribution to oxygenation, making option A, 'Decreased FRC', the most likely cause of his hypoxemia." }</t>
  </si>
  <si>
    <t>{   "Answer": "B",   "Explain": "The patient has a complete anesthesia in the median, radial, and ulnar nerve distributions, which suggests that the block is inadequate. Adding a block of the intercostobrachial nerve will provide additional anesthesia to the upper arm and help to complete the sensory block."</t>
  </si>
  <si>
    <t>{   "Answer": "A",   "Explain": "Emergence after a single dose of propofol is primarily responsible for redistribution, as propofol is rapidly distributed from the bloodstream to the tissues, including adipose and lung tissue, causing a decrease in its plasma concentration." }</t>
  </si>
  <si>
    <t>{   Answer: "B",   "Explain": "After 30 minutes of stable anesthesia, the most likely cause of a decrease in O2 analyzer reading from 50% to 30% is the accumulation of water on the O2 sensor membrane. As the anesthesia machine delivers oxygen and other gases, moisture from the inspired gases, anesthetic agents, and expired gases can accumulate on the oxygen sensor membrane, reducing its sensitivity and accuracy. This can lead to a decrease in the O2 analyzer reading, ultimately causing a false reading of a lower oxygen concentration."</t>
  </si>
  <si>
    <t>Here is your answer in JSON format:  {   "Answer": "A",   "Explain": "An induction dose of ketamine is most likely to have analgesic effects, which is one of its primary characteristics as an anesthetic agent. It is commonly used as an induction agent to relieve pain and induce anesthesia." }</t>
  </si>
  <si>
    <t>{   "Answer": "C",   "Explain": "Fentanyl's shorter elimination half-life is the most likely explanation for its decreased duration of action compared to an IV dose of morphine, as it is rapidly cleared from the body through de-esterification." }</t>
  </si>
  <si>
    <t>{     "Answer": "A",     "Explain": "The standard error of the mean (SEM) is a measure of the precision of the sample mean as an estimate of the population mean. It represents the range within which the sample mean is likely to lie, providing a sense of the degree of precision of the sample mean as a measure of the population mean."</t>
  </si>
  <si>
    <t>{     "Answer": "C",     "Explain": "The answer is choice C. Pulse oximetry accurately reflects Sao2 in a 40% fetal hemoglobin (HbF) concentration, without significant interference from fetal hemoglobin, which is different from the other options. Indocyanine green (A) and carboxyhemoglobin (B) can interfere with pulse oximetry readings."</t>
  </si>
  <si>
    <t>{   "Answer": "C",   "Explain": "Because the patient is receiving a 4-hour general anesthetic for a minor procedure like tendon lacerations, which typically do not require large amounts of blood sugar to be broken down, and the fasting blood glucose of 100 mg/dL is not significantly abnormal, it is likely that the blood glucose on emergence will be slightly decreased, likely in the range of mild hypoglycemia." }</t>
  </si>
  <si>
    <t>{ "Answer": "A", "Explain": "Glycopyrrolate increases gastric pH by directly stimulating the secretagogue hormones gastrin and cholecystokinin to increase bicarbonate production, while also decreasing gastric volume by slowing gastric contractions through its anticholinergic properties."</t>
  </si>
  <si>
    <t>{     "Answer": "C",     "Explain": "Nitrous oxide has a lower blood gas solubility compared to desflurane, which means it is more easily dissolved in the bloodstream and transported to the alveoli, resulting in a faster equilibration of alveolar and inspired concentrations." }</t>
  </si>
  <si>
    <t>{   "Answer": "A",   "Explain": "Denitrogenation prior to anesthetic induction is primarily aimed at improving matching of ventilation and perfusion by reducing the amount of nitrogen in the lungs, allowing for better filling of alveoli and enhancing the lungs' ability to take in and deliver oxygen." }</t>
  </si>
  <si>
    <t>{   "Answer": B,   "Explain": "A 32-year-old woman sustains an injury to the left recurrent laryngeal nerve during thyroidectomy, which is likely to cause paralysis of the left vocal cord. As a result, the patient is likely to develop aphonia due to the loss of the ability to move the left vocal cord, leading to a lack of phonation."</t>
  </si>
  <si>
    <t>{   "Answer": B,   "Explain": "After breathing 100% O2 for 10 minutes, the expected mixed venous O2 tension in a normal adult is approximately 95 mmHg, as oxygen therapy causes an increase in mixed venous O2 levels, reducing the body's demand for O2." }</t>
  </si>
  <si>
    <t>{   "Answer": "A",   "Explain": "Flumazenil has a shorter elimination half-life as compared to Lorazepam and Midazolam, making it a more rapidly clearing drug." }</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</si>
  <si>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</si>
  <si>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</si>
  <si>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"A",   "Explain": "In pressure support ventilation, pressure support breaths are triggered by a decrease in airway pressure, which allows the patient to initiate a breath and receive a preset pressure support to augment their inspiratory efforts." }</t>
  </si>
  <si>
    <t>{   "Answer": "A",   "Explain": "The patient's SpO2 decreased from 98% to 84% over 1 hour, indicating a gradual decrease in oxygenation. This is consistent with a decreased functional residual capacity (FRC), which is the most likely cause of hypoxemia in this scenario. The increase in FiO2 to 1.0 improved oxygenation, further supporting this diagnosis." }</t>
  </si>
  <si>
    <t>{   "Answer": "A",   "Explain": "After breathing 100% O2 for 10 minutes, the mixed venous O2 tension in a normal adult is expected to be around 45 mmHg, as the body's tissues and organs are adapted to use oxygen more efficiently and the oxygen demand is reduced." }</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</si>
  <si>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</si>
  <si>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</si>
  <si>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     "Answer": "C",     "Explain": "The tibial nerve is most likely to be blocked for an operation at the medial aspect of the lower leg because it is a peripheral nerve that innervates the posteromedial part of the lower leg and ankle." }</t>
  </si>
  <si>
    <t>{   "Answer": "C",   "Explain": "Naloxone is a competitive antagonist of morphine and other opioids, which makes it the most appropriate therapy for this patient's opioid-induced nausea and pain, given the sudden development of right upper quadrant abdominal pain and nausea after receiving premedication with morphine and midazolam." }</t>
  </si>
  <si>
    <t>{   "Answer": "B",   "Explain": "For a 68-year-old woman with primary hyperparathyroidism and a serum calcium concentration of 15 mg/dL, the most appropriate initial management would be IV administration of normal saline to help restore electrolyte balance and prevent further exacerbation of the condition."</t>
  </si>
  <si>
    <t>{ "Answer": "B", "Explain": "Genetic testing of the ryanodine receptor is the most reliable test for predicting the likelihood of developing malignant hyperthermia. This is because genetic mutations in the ryanodine receptor are the main cause of the condition and genetic testing can identify these mutations. This test is highly specific, but not as sensitive as the caffeine-halothane contracture test, which involves testing the muscle's response to these anesthetic agents."</t>
  </si>
  <si>
    <t>{   "Answer": "A",   "Explain": "To determine the delivered anesthetic concentration, we need to first calculate the amount of anesthetic delivered in 100 mL of O2 (100 mL x 150 mmHg/760 mmHg = 15.79 mmHg). Then, we add this amount to the fresh gas flow (5 L/min) and calculate the total anesthetic concentration in the gas mixture. 15.79 mmHg / (100 mmHg + 760 mmHg) = 0.02%, which is equivalent to 0.2% (0.02 x 100%). The closest option to this value is 0.25% (A)."</t>
  </si>
  <si>
    <t>{   "Answer": "C",   "Explain": "As an adult patient with mild hypothermia is already anesthetized with 1 MAC of isoflurane, vasoconstriction is the most effective physiologic mechanism to maintain body temperature. This is because vasoconstriction reduces heat loss through radiation, convection, and conduction, which are the primary mechanisms of heat loss in the anesthetized patient."</t>
  </si>
  <si>
    <t>{   "Answer": "A",   "Explain": "Flumazenil has low affinity for benzodiazepine receptors, but as a competitive antagonist, it can still bind to these receptors and reverse the effects of midazolam. This makes it a suitable choice for sedation reversal in a patient who received midazolam." }</t>
  </si>
  <si>
    <t>{   "Answer": "C",   "Explain": "The total dose of the drug has the greatest effect on the extent of spread of local anesthetic following subarachnoid block with hyperbaric bupivacaine. This is because the total dose of the drug directly influences the amount of anesthetic agent available to spread and affect the desired therapeutic effect." }</t>
  </si>
  <si>
    <t>{   "Answer": "B",   "Explain": "The patient has developed pulmonary edema after resolution of postoperative laryngospasm and is still experiencing a low SpO2 of 80% despite breathing 100% O2. The most appropriate management strategy would be to administer furosemide to treat the acute respiratory distress syndrome and to reduce pulmonary edema." }</t>
  </si>
  <si>
    <t>{     "Answer": "B",     "Explain": "The 61-year-old man develops sharp pain in the left shoulder, which is an unusual presentation for spinal anesthesia. The most likely cause is bladder perforation, as sudden severe pain can occur when the epidural space is accessed, and this can lead to damage to surrounding structures such as the bladder."</t>
  </si>
  <si>
    <t>{   "Answer": "B",   "Explain": "Compression of the vena cava is the most likely cause of the decrease in SpO2 and increase in ETCO2. When a patient is placed in the Trendelenburg position, there is increased risk of compression of the vena cava, which can impede venous return and lead to hypoxemia and hypercapnia." }</t>
  </si>
  <si>
    <t>{   "Answer": "A",   "Explain": "Absorption of CO2 from the laparoscopic cholecystectomy can cause hypocapnia, leading to respiratory acidosis, which can further cause hypoventilation. This, in turn, can lead to a decrease in oxygenation, resulting in hypoxemia. In this case, the patient's SpO2 is 90% on room air, which suggests that her oxygenation is being affected. The other options, hypoventilation and increased dead space, may also contribute to hypoxemia, but absorption of CO2 from the abdomen is the most likely cause given the context of laparoscopic surgery."</t>
  </si>
  <si>
    <t>{   "Answer": "A",   "Explain": "In pressure support ventilation, the pressure support breaths are triggered by a decrease in airway pressure, which allows the patient to breathe at their own rate and depth while still receiving assistance from the ventilator." }</t>
  </si>
  <si>
    <t>{     "Answer": B,     "Explain": "To satisfy the increased metabolic demand of the myocardium during a heart rate increase from 60 to 120 bpm during anesthesia induction, it is most likely that an increase in coronary perfusion pressure will do so. This is because increased blood pressure ensures increased blood flow to the heart, which in turn increases oxygen delivery to the myocardium, satisfying its increased demand." }</t>
  </si>
  <si>
    <t>{   "Answer": "B",   "Explain": "The answer is prothrombin time. Prothrombin time (PT) is often used as an evaluation of the synthetic function of the liver. It measures the time it takes for a specific protein to be converted into another protein, and it is affected by the liver's ability to produce and process clotting factors." }</t>
  </si>
  <si>
    <t>{   "Answer": "B",   "Explain": "Synchronized cardioversion with a shock of 100 to 200 J (biphasic) is the recommended treatment for narrow-complex tachycardias, especially in hemodynamically unstable patients. ECG synchronization is crucial to ensure safe and effective cardioversion." }</t>
  </si>
  <si>
    <t>{   "Answer": A,   "Explain": "A Bain circuit exhibits less rebreathing of CO2 compared with a semiclosed circle system, which is prone to rebreathing of gases." }</t>
  </si>
  <si>
    <t>{   "Answer": "C",   "Explain": "The patient is in the lateral position, which can cause the respiratory pressure waveform to shift towards the vertical axis, resulting in a more rapid rise and fall of the pressure tracing between points A and B." }</t>
  </si>
  <si>
    <t>{   "Answer": "B",   "Explain": "As the patient has a known allergic reaction to penicillin, cefazolin is not an option. Instead, hydrocortisone can be administered followed by cefazolin, as the guidelines recommend using a cephalosporin in patients who are allergic to penicillin."</t>
  </si>
  <si>
    <t>{   "Answer": "B",   "Explain": "Chronic ethanol abuse decreases the MAC of isoflurane because chronic alcohol consumption can induce cytochrome P450 2E1, which can increase the biotransformation of isoflurane, resulting in increased levels of its inactive metabolites and decreased anesthetic potency." }</t>
  </si>
  <si>
    <t>{   "Answer": "A",   "Explain": "The text does not directly mention that bupivacaine's primary toxic effect on the cardiovascular system is 'Blockade of norepinephrine release'. However, it does discuss that 'Bupivacaine can cause rapid and profound cardiovascular depression' and that it has a lower CC/CNS ratio than lidocaine, indicating a greater risk of cardiovascular toxicity. This suggests that bupivacaine's toxic effect on the cardiovascular system may involve blocking the action of norepinephrine, a neurotransmitter that plays a crucial role in the body's fight-or-flight response."</t>
  </si>
  <si>
    <t>{   "Answer": "C",   "Explain": "Hyperthermia causes a rightward shift of the oxyhemoglobin dissociation curve by decreasing the affinity of hemoglobin for oxygen, making it easier for oxygen to dissociate from hemoglobin and be released to tissues." }</t>
  </si>
  <si>
    <t>{   "Answer": B,   "Explain": "Myocardial contractility is typically decreased in patients with clinical hypothyroidism due to reduced thyroxine levels, leading to decreased contractility and decreased cardiac output." }</t>
  </si>
  <si>
    <t>{   "Answer": "B",   "Explain": "Methohexital is more likely to be associated with longer seizure duration during electroconvulsive therapy due to its shorter duration of action and more rapid awakening, which may lead to a higher likelihood of seizures persisting for a longer period of time." }</t>
  </si>
  <si>
    <t>{   "Answer": "A",   "Explain": "Etomidate is the only anesthetic among the options that does not enhance activity of the GABA receptor. The other two options, ketamine and propofol, are known to modulate GABA receptor activity, with ketamine being a NMDA receptor antagonist and propofol slowing deactivation and desensitization of GABA receptors."</t>
  </si>
  <si>
    <t>{   "Answer": "C",   "Explain": "The CO2 absorber is not misplaced in the circle system as it is an essential component that prevents rebreathing of CO2 in the circle system." }</t>
  </si>
  <si>
    <t>{   "Answer": "C",   "Explain": "A large volume of distribution suggests that the drug is distributed to many tissues and organs in the body, making it difficult to predict its effects. This is likely due to a low plasma protein binding, which allows the drug to freely distribute itself to various parts of the body, making its effects unpredictable." }</t>
  </si>
  <si>
    <t>{   "Answer": "A",   "Explain": "Neostigmine has the longest duration of action in a patient with renal failure because it is not primarily metabolized by the kidneys and its clearance is not significantly affected by kidney disease." }</t>
  </si>
  <si>
    <t>{   "Answer": "C",   "Explain": "Instillation of local anesthetic into the trachea via the cricothyroid membrane is most likely to block the recurrent laryngeal nerve, which supplies sensation to the larynx and is responsible for the sensation of pain and discomfort in the trachea." }</t>
  </si>
  <si>
    <t>{     "Answer": "A",     "Explain": "Gagging that occurs during awake intubation is best prevented by local anesthetic block of the superior laryngeal nerve, which is responsible for sensory innervation of the posterior third of the tongue, vallecula, and the anterior surface of the epiglottis."</t>
  </si>
  <si>
    <t>{   "Answer": "A",   "Explain": "Ablation of thermoregulatory vasoconstriction is the most likely explanation for the initial reduction in core temperature during general anesthesia. This is because the thermoregulatory vasoconstriction response is diminished under anesthesia, allowing for increased heat loss from the core to the periphery, resulting in a drop in core temperature." }</t>
  </si>
  <si>
    <t>{   "Answer": "A",   "Explain": "A 65-kg, 70-year-old man in the PACU is breathing spontaneously at 20 breaths/minute through an ETT connected to a T-piece with a fresh gas flow of 5 L/min and an FiO2 of 0.5. His tidal volume is 350 mL. The most likely cause of his hypoxemia is a decreased functional residual capacity (FRC) due to age-related decline in lung function, leading to a reduced oxygen reserve and increased dead space ventilation. The patient's oxygen saturation decreases from 98% to 84% before improving to 92% when the FiO2 is increased to 1.0, indicating a hypoxic ventilation response. Decreased FRC is the most likely etiology of his hypoxemia."</t>
  </si>
  <si>
    <t>{   "Answer": "B",   "Explain": "A musculocutaneous block is not the next step because the median, radial, and ulnar nerves are already blocked, and the musculocutaneous nerve is not needed for this surgery. An axillary block would not address the complete lack of sensation in the entire upper limb. Therefore, an intercostobrachial block, which would anesthetize the posterior upper arm and forearm, is the most likely next step."</t>
  </si>
  <si>
    <t>{   "Answer": "A",   "Explain": "After a single dose of propofol, emergence is primarily due to redistribution of the drug from the brain to other parts of the body, rather than metabolism or excretion. This is because propofol has a relatively short half-life in the brain, which allows it to quickly be removed from its site of action and redistribute to other areas of the body, resulting in a rapid emergence from anesthesia." }</t>
  </si>
  <si>
    <t>{   "Answer": "B",   "Explain": "As explained in the context, during stable anesthesia, there is a decreased tissue uptake of nitrous oxide, but the uptake of oxygen remains unchanged. This can lead to a decreased concentration of oxygen in the alveoli. Over time, water may accumulate on the O2 sensor membrane, which can cause a reading error, decreasing the O2 analyzer reading from 50% to 30%. This is the most likely cause of the decreased O2 analyzer reading." }</t>
  </si>
  <si>
    <t>{   "Answer": "A",   "Explain": "An induction dose of ketamine is most likely to have analgesic effects. As mentioned in the context, ketamine can be used as a supplement or an adjunct to regional anesthesia, extending the useful ness of the primary (local anesthetic) form of anesthesia. It also has analgesic effects, making it a good choice for induction of anesthesia." }</t>
  </si>
  <si>
    <t>{   "Answer": "C",   "Explain": "Fentanyl has a shorter elimination half-life compared to morphine, which means it is broken down and removed from the body more quickly. This shorter duration of action is the most likely explanation for the decreased duration of action of an IV dose of fentanyl compared to an IV dose of morphine." }</t>
  </si>
  <si>
    <t>{   "Answer": "A",   "Explain": "The standard error of the mean (SEM) shows the precision of the population mean, representing the variability of the sample mean around the true population mean. It measures the degree of uncertainty surrounding the population mean and is calculated as the standard deviation of the sampling distribution of the sample means." }</t>
  </si>
  <si>
    <t>{   "Answer": "C",   "Explain": "A 40% fetal hemoglobin concentration does not affect the accuracy of pulse oximetry." }</t>
  </si>
  <si>
    <t>{   "Answer": "B",   "Explain": "A patient with a fasting blood glucose of 100 mg/dL is not considered diabetic, and during a 4-hour general anesthetic, it is likely that the glucose levels will increase slightly due to the body's stress response. This is expected, and a mild hyperglycemia is the most likely outcome on emergence." }</t>
  </si>
  <si>
    <t>{     "Answer": "A",     "Explain": "Glycopyrrolate is given when neuromuscular blockade is reversed with the anticholinesterase drugs to decrease gastric volume and increase gastric fluid pH, as it is a peripheral-acting anticholinergic that selectively blocks the muscarinic effects of acetylcholine, bronchospasm, hyperperistalsis, and tachycardia, leaving the nicotinic effects (neuromuscular junction) intact."</t>
  </si>
  <si>
    <t>{   "Answer": "C",   "Explain": "The alveolar and inspired concentrations of nitrous oxide equilibrate more rapidly because of its lower blood gas solubility compared to desflurane. As a result, the amount of nitrous oxide that is absorbed into the bloodstream is greater, leading to a faster equilibrium between the inspired and alveolar concentrations." }</t>
  </si>
  <si>
    <t>{     "Answer": "B",     "Explain": "Denitrogenation prior to anesthetic induction is primarily done to increase O2 reserve in the Functional Residual Capacity (FRC). This is because the goal of preoxygenation is to maximize the patient's end-tidal oxygen fraction (ETT02) to ensure that they can maintain an adequate arterial oxygenation even if respiratory or cardiovascular failure occurs during general anesthesia."</t>
  </si>
  <si>
    <t>{   "Answer": "B",   "Explain": "After an injury to the left recurrent laryngeal nerve, the patient is most likely to experience aphonia, or the inability to speak, due to unopposed adduction of the left vocal cord and its failure to move laterally." }</t>
  </si>
  <si>
    <t>{   "Answer": "A",   "Explain": "After breathing 100% O2 for 10 minutes, the expected mixed venous O2 tension in a normal adult is typically 45 mmHg, as the excess oxygen in the lungs and systemic circulation has not yet reached the tissues." }</t>
  </si>
  <si>
    <t>{   "Answer": "A",   "Explain": "Flumazenil, a benzodiazepine receptor antagonist, has a very short elimination half-life of approximately 1-2 hours, which makes it an ideal choice for emergency situations." }</t>
  </si>
  <si>
    <r>
      <rPr>
        <rFont val="Arial"/>
        <color theme="1"/>
      </rPr>
      <t>embed_model="</t>
    </r>
    <r>
      <rPr>
        <rFont val="Arial"/>
        <b/>
        <color rgb="FF4285F4"/>
      </rPr>
      <t>pritamdeka/BioBERT-mnli-snli-scinli-scitail-mednli-stsb</t>
    </r>
    <r>
      <rPr>
        <rFont val="Arial"/>
        <color theme="1"/>
      </rPr>
      <t>"
max_new_tokens = 500
k = 8</t>
    </r>
  </si>
  <si>
    <r>
      <rPr>
        <rFont val="Arial"/>
        <b/>
        <color theme="1"/>
      </rPr>
      <t xml:space="preserve">Prompt Format:   </t>
    </r>
    <r>
      <rPr>
        <rFont val="Arial"/>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</si>
  <si>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Here is the answer in JSON format:  {   "Answer": "C",   "Explain": "Among options choice A, B, and C, only C, which is Tubial, forms the best target for ankle block procedure at the medial aspect of the lower leg during surgical process; given that previous anesthesiological practice usually applies nerve blockade as needed on lower extremity with regard to desired outcome and patient conditions." }</t>
  </si>
  <si>
    <t>{   Answer: "C",   Explain: "30 minutes has passed, so we can rule out initial morphine effects. Flumazenil will target GABA's effects, similar to what midazolam is doing. There is most correlation seen here regarding fentanyl reversal through nalbuphine; given symptoms suggest opiate analgesic excess thus this medication choice best countermeasure."</t>
  </si>
  <si>
    <t>{   Answer: "B",   "Explan": "IV normal saline may help prevent cardiac adverse effects of increased cardiac output" }</t>
  </si>
  <si>
    <t>{     "Answer": "B",     "Explain": "According to the textbook information on the diagnosis and treatment of malignant hyperthermia, it cites research indicating that 'the definitive diagnosis of a patient's susceptibility to malignant hyperthermia requires a skeletal muscle biopsy.' Genetic testing for the ryanodine receptor abnormality (RYR1 mutation) has also been suggested, noting that 'this test is not as sensitive as the contracture test' and therefore it 'is highly specific', indicating option 'Caf-FHT is commonly used to identify persons at high risk for this disorder.)"}}";</t>
  </si>
  <si>
    <t xml:space="preserve">  {   Answer": A,   "Explain": "The vapour at the vapour pressure given produces a total gas input of O2 as (0.15*2.02mol/l*L-50/60 L)*0,1 L = O1mgO O = approximately 12.85Oml and an FiCO/totalflow ratio - I have already given FiA for that to see which I shall need approximately more than O4 per COo flow I gave so this means what we are now to give (o2 +F i co)* I now I have just calculated FICO as a ratio from FiI for the CO  of FICO but it was in O1000L, how I gave it for the desired pressure and volume so FiCO volume will actually change" }</t>
  </si>
  <si>
    <t>A.</t>
  </si>
  <si>
    <t>{   "Answer": "A.",   "Explain": "Nonshivering thermogenesis is the most effective physiologic mechanism in preserving body heat for managing pediatric patients with hypothermia when sedators or tranquilized but not necessarily cold but rather still warm by other factors so let’s define another thing it must maintain by default or without moving or exercising to avoid more heat loss to improve patient condition." }</t>
  </si>
  <si>
    <t>{   "Answer": "B",   "Explain": "““The reversal of antagonism of benzodiazepines from flumazenil could produce an unintended and unpredictable effect if the previous midazolam is not completely antagonized leading to severe cardiovascular effects such as sinus node and AV (atrioventricular node).” therefore, the patient should remaxillate, rather stay at home”"</t>
  </si>
  <si>
    <t>{     "Answer": "B",     "Explain": "The patient's back is likely a key predictor due to natural curves and contours that influence spread. Bupivacaine, although not exclusively mentioned in this document still affects CSF which plays its part as previously talked about."</t>
  </si>
  <si>
    <t>{     Answer: C,     "Explain": "Considering the postoperative laryngospasm has resolved after 100% O2 supplement and ongoing significant bleeding, the 17-year-old boy presents with symptoms of pulmonary edema, manifesting with a SpO2 of 80. The appropriate management is to transition patient to mechanical ventilation (positive-pressure ventilation). This approach will help improve alveolic oxygenation and expand lung surfaces, aiding in reversing edema formation."</t>
  </si>
  <si>
    <t>{     Answer: "B",     "Explain": "As there are reports of nausea that may happen when a bladder catheter is placed during procedures, and 45 minutes have elapsed since the start of the procedure making a sudden nausea quite unusual." }󠁧ː&gt;</t>
  </si>
  <si>
    <t>{   "Answer": "B",   "Explain": "Due to the patient being in the trendelenburg position with CO2 insufflation, compression of the vena cava caused the decrease in SpO2, indicating that right ventricular workload reduction is necessary to restore SaO2 to recommended levels." }</t>
  </si>
  <si>
    <t>{     "Answer": B,"Explain": After 2 hours, absorption of inhaled CO2 is less likely to be significant. Morphine IVPCA can cause hypoventilation as a central depressive effect. Respiratory drive may be impaired, leading to inadequate CO2 removal from the brain. As the woman in question has a body mass index consistent with obesity, respiratory compliance may be decreased. Hence, the most likely cause of her hypoxemia is absorption anoxia due to her hypoventilation.</t>
  </si>
  <si>
    <t>{   "Answer": "A",   "Explain": "In pressuresupport ventilation a pressure level, in P, is presetso that whenever the triggered breathing patterns (T,TP). Whenever breathing signals occur as above preset levels (breat in. "</t>
  </si>
  <si>
    <t>{   "Answer": B,   "Explain": "When the heart rate of a healthy 42-year-old man doubles from 60-120 bpm during anesthesia induction, the heart needs to satisfy this increased workload by ensuring a proportional increase in cardiac output. Coronary perfusion pressure (answer B) is most directly affected as a surge in systemic vascular resistance (from anesthesia induction) demands increased pumping to overcome raised downstream resistance and fill the perfused vessels simultaneously. In response, myocardial oxygen extraction stays relatively unchanged to meet O2 needs despite potentially reduced availability (from altered CO2/O2 partial pressure due to air bag-induced apnea/hypovea)" }</t>
  </si>
  <si>
    <t>{   "Answer": "B ",   "Explain": "The prothrombin time is evaluated preoperatively by examining its sensitivity to vitamin K deficiency, noting that an acute elevation may only be reversible and sensitive to rapid normalization due to liver regeneration once significant damage to perioperative injury has ceased, rather than an abnormal bilirubin level."</t>
  </si>
  <si>
    <t>{   "Answer": "B",   "Explain": "ECG synchronization is necessary to prevent ventricular dysrhythmias during extracorporeal shock wave lithotripsy (ESWI). Syncing the electrical energy with the natural contractions and impulses of the heart can prevent further rhythm changes and unwanted arrhythmic consequences."</t>
  </si>
  <si>
    <t>{   Answer: C,   "Explain": "A Bain (closed circuit/SEMIMORE) compared with open breathing circulating in comparison with opened, Bain the closed respiratory Circuit. This type of circuit maintains the CO-Flow II during the expi-exhaled gases breathed gases, CO2 back absorbed by the gas absorb in the expiritory end."</t>
  </si>
  <si>
    <t>{   "Answer": "C",    "Explain": "Point A represents a steeper decrease in peak in the trachet trace (capnoexhale), causing the tracing to merge with the isoelectric line. This could relate to a patient who has slipped onto his side in the tilted position, displacing the nasopharynx orifice downwards and increasing both the respiratory frequency breath sound amplitude by shifting his/her mandibe vertically which will lead also affect capnograms signal and can best answer and also for C which will give proper results about the position . Given these changes, which we see also can conclude or consider the possibility that C: patients with some hip conditions like, a very steep inclinee at point B and therefore it is recommended." }</t>
  </si>
  <si>
    <t>{   "'Answer': C,    'Explain': 'Because the patient developed a rash with past administration of penicillin, they are likely allergic and penicillin-related cephalosporins would not be safe for this patient. Therefore, aztreonam or vancomycin would be other alternative options instead of cefazolin.'"</t>
  </si>
  <si>
    <t>{   "Answer": "C",   "Explain": "Phenanthrobosco writes about “DEATH FROM SUppressants,” stating that the drug may cause hyperka\nlemtide to patients and that he used cairotine sulfate (suximylite 4 \npes \ngent)\nr\n" }</t>
  </si>
  <si>
    <t>{    "Answer: "A",    "Explain": "There is direct toxic effect described. According to the text, norepinephrine plays a significant role in vasomotor function, whereas, BUPIVACADT"</t>
  </si>
  <si>
    <t>None</t>
  </si>
  <si>
    <t>Here is not only because I got to know</t>
  </si>
  <si>
    <t>{   "Answer": "B",   "Explain": "Unnecessary blood samples for the thyroid gland increase because the symptoms of hypothyroidism in women. Thyroxine hormone is significantly associated with hypertyraesthesia in severe illness while hyperthyretosis could be considered an early evidence signs of hypopthal. "   (Here we have JSON formatted answer as required)</t>
  </si>
  <si>
    <t>{     "Answer": "B",     "Explain": "Amongst the given options, methohexital would induce a prolonged and more easily maintained, prolonged convulsion compared to other barbituates. Additionally, it exhibits greater anticonvulsant potency on a weight-for.weight-equivalentbasis than thiopental. Hence, due to more pronounced anticonvulsantheEffects for extended prolonged use of this induction Agent was more severe."</t>
  </si>
  <si>
    <t>{ "Answer": "B", "Explain": "Ketamine and etomidiate, both known to elevate homoeodynamic steady level, does not solely result in accelerated onset but also slows deactivation; conversely PROPAGAMAL potentens desensibility &amp; slows its desensibilitty."</t>
  </si>
  <si>
    <t>{     "Answer": "A",     "Explain": "The fresh gas inlet is misplace in the system, which prevents air gas flow into the inspiratairy limb and avoids venting gases outof the breathing system during expiration which prevents over or under anesthesia and helps to keep an even inspired concentration through the entire anesthetic breathing. "}</t>
  </si>
  <si>
    <t>{   Answer: C,   Explain: When anesthetic properties most favor the accumulation within various organs/tissues; because their size allows for efficient diffusion (through) cellular and/or parenymimal organs while preventing removal/excess, indicating 'C.low plasma protein binding; which reflects their affinity towards membrane- lipids due lipoid-solubic nature. }"</t>
  </si>
  <si>
    <t>{  Answer: "C",  Explain: "Among the choices, C (Neostigmine only) is the drug expected to retain its effect despite renal failure, citing pharmacognosed and pharmacodynamic mechanisms (references not included). While other blocking agents may have slower clearance or altered pharmacodynamics under end-organ illness conditions, they would ultimately be eliminated, and their antagonistic influences would decline accordingly." }</t>
  </si>
  <si>
    <t>)  {   "Answer": "C",   "Explain": "Instillery of lidocaine into a site through a thin membrane above the cricothyroid artery will affect nerves traveling adjacent to it. These nervous branches originate from the vagus nerve. Cervix nerve trunk and vagi efferenthoms in pharynes and Esophageal muscle." }</t>
  </si>
  <si>
    <t>{   Answer: "A",   Explanation: "The superior laryngeal nerve block best prevents gag reflex that occurs during awake intubitation, as stated in the text referring to nerve blocks including the'superior laryngeal nerve block that gives sensory innervation to the mid-tropharian part'.   Gagging that occurs during awake intubation, refers essentially the trigone reflexes such for those from glossopharyngeal &amp;amp;vagus (in a 9-year-old girl suffering, I'd. etc). "</t>
  </si>
  <si>
    <t>{   "Answer": "A",   "Explain": "When general anesthesia is induced, patient's vasopressive response ceases, allowing excessive peripheral redistribution to cool the core, thus initially resulting in decreased core temperature." }</t>
  </si>
  <si>
    <t>{     Answer: "B",     "Explain": "Over a period of observation, his partial inspired O2 has decreased from FiO2 0.5 to 0.0, indicating inadequate oxygen intake contributing to hypoxemia. Inadequate oxygen intake is less commonly seen in anesthetized patient if delivered O2 is being supplemented correctly, making this option the most likely." }</t>
  </si>
  <si>
    <t>{   "Answer": "B)",   "Explain": "After recognizing the extent of complete anesthesia in the median, radial, and ulnar nerve distributions, the next step should focus on adding blockade to the remaining distribution - namely, the arm supply to the scapular periocutaneous nerves. The intercostobrachial pathway becomes the primary concern since localizing a muscle motor component is crucial since this region is predominantly sensitive."</t>
  </si>
  <si>
    <t>Here to respond to your query:  JsonAnswer={&amp;quot&amp;quot,"Answer" is the main driver factor, &amp;apos, etc.'  Anesthesia. An esthesion &amp; an arial the rate. Expl&amp; 2023-02-28&amp;acute;=the plasma prop of priming' propfol: emergence.' and assemblent at an arial and sestion at a local hospital 7:50  PM. To get to an arios, anesthiesthesias to see an esthesion.'-A. The esthesion &amp;' "Anesthesiology The estho  &amp;apos;"aesthesiques -anesthesiological "propo,&amp;" as -anesthetic" for Anesthetics -anestheci-"propropo," from other "proposed", &amp; as-"propopof,&amp;lt" (1995) anesthesiology. 333:10 -"1:10-"5' Anesthesiology. 333 Anesthesiation of the esthos 333 Anesthesiology esthesive and &amp; a "esthesia of Aneshesi the other -anes." Aesthetic analysis....'</t>
  </si>
  <si>
    <t>{   "Answer": B,   "Explain": "An uncleaned or humidified sensor membrane on the O2 analyzer device could decrease oxygen saturation readings as exhaled gases may contain less Oxygen whereas the machine is delivering Oxygen at a rate." }</t>
  </si>
  <si>
    <t>Here is the answer in JSON format:  {   "Answer": {"Answer": "C",   "Explain": "According to the content, an induction dose of ketamine preserves laryngeal reflexes, whereas pain relief from analgesia can occur later with the use of small controlled doses, and decrease in cerebral metabolic rate is characteristic of benzodiazepines". },</t>
  </si>
  <si>
    <t>{     "Answer": C,     "Explain": "As compared with an IV dose of morphine, IV fentanyl has a substantially shorter elimination half-life. Remifentanil specifically de-couples from the Gp-site of the body's enzyme banks via degradation, resulting in its unique extremely quick removal from circulation - this distinct pharmacological property makes it rapidly dis-processed making a faster, or longer-determined impact with longer and more durable effects less prominent- thereby it’s rapid offset occurs after prolonged infusion that leaves the pain in comparison." }</t>
  </si>
  <si>
    <t>Here is my response in the JSON format: {   Answer: A,\   "Explain": The standard error of the mean (SEM) shows the precision of a statistical estimate, such as the population mean. The formula is SEM = σ/√n, where σ is the population standard deviation and n is the sample size. The higher this estimate, the less precise the measurement. The standard error of the mean, rather than the deviation from the median, is a standard measure used in most statistics calculations because it's more likely to show more accurately a true statistical trend given sufficient data quality, with the assumption still that it is not excessively and uniformly offset. }</t>
  </si>
  <si>
    <t>{ "Answer": "None",  "Explain": "Pulse oximetry does not accurately reflect O2 saturation under all conditions; in fact, the instrument inaccurately measures certain substances, such as administered anaestingent, carbon monoxide."</t>
  </si>
  <si>
    <t>{   "Answer" : "B",    "Explain" : "A 40 to 60 g sugars can be given 15 to 30 minutes after the induction for most rapid awakening. And 4 hours will make blood glance 160-220 mg/dL. A rapid awaker is more prominent in normal nutrition. This shows as an indication that, blood glucose 120-140 postinduction indicates to get patients to nurse him and postoperation he can easily leave."</t>
  </si>
  <si>
    <t>{   "Answer": "C,   "Explaination": "Ranitidine is an H2-receptor antagonist that not only decreases gastric mucosal production of acid, but also helps increase gastric mucosal resistance to acid backflush. It causes a significant rise in the fasting blood meal motily of pH indicating decrease in pepsinem. Additionally, it has been shown to suppress both histamine released gastric secretions to acidification. Such a pH-in dependent inhibitory pathways allow this drug to be increasingly selective, not to gastric but not colonic epithelial Na, pumps." }</t>
  </si>
  <si>
    <t>{   "Answer": "C",   "Explain": "Low blood gas solubility allows nitrous oxide to diffuse more quickly from the bloodstream to the alveoli, reducing the differences in concentration between these two compartments and explaining why it achieves equilibrium rapidly in this case, unlike desflurane has a slow elimination rate and lower patient plasma, which result the more difficult recovery following sedatives, hypnotics or amiotics. In such contexts inhalational anesthetics tend to act upon as a reservoir during therapy which can prolong the induction time." "}</t>
  </si>
  <si>
    <t>{ "What is denitingation prior to andenestheticindu?")     "What denitgenination", and the answer the following three quesions:   - It does not prevent the absorption   {answer choices:    ** "}", A the "Explain" sentence:   A }"].</t>
  </si>
  <si>
    <t>{   "Answer": B,   "Explain": After left recurrent laryngeal nerve injury during thyroidectomy, "The patient must anticipate life-threatening inspiratory airway obstruction and respiratory acidosis due bilateral recut laryngeal nerve injury causes the glottis remain shut air flow cannot occur during breathing, the symptoms including, but also the patient aphonia," as stated.</t>
  </si>
  <si>
    <t>{   Answer: A,   "Explain": "A mixed venous oxygen tension after breathing 100% O2 for 10 minutes is expected to be 45 mmHg because complete replacement of inhaled fractional concentration with oxygenation of blood at a steady state."</t>
  </si>
  <si>
    <t>{ "Answer": "A", "Luckily": "has a super short elimination half-lie is actually the best choice among A, B, and C"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</si>
</sst>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20.0"/>
      <color theme="1"/>
      <name val="Arial"/>
      <scheme val="minor"/>
    </font>
    <font/>
    <font>
      <b/>
      <color theme="1"/>
      <name val="Arial"/>
      <scheme val="minor"/>
    </font>
    <font>
      <color theme="1"/>
      <name val="Arial"/>
    </font>
    <font>
      <color theme="1"/>
      <name val="Arial"/>
      <scheme val="minor"/>
    </font>
    <font>
      <sz val="10.0"/>
      <color theme="1"/>
      <name val="&quot;Liberation Sans&quot;"/>
    </font>
    <font>
      <sz val="10.0"/>
      <color theme="1"/>
      <name val="Arial"/>
    </font>
  </fonts>
  <fills count="7">
    <fill>
      <patternFill patternType="none"/>
    </fill>
    <fill>
      <patternFill patternType="lightGray"/>
    </fill>
    <fill>
      <patternFill patternType="solid">
        <fgColor rgb="FFFF9900"/>
        <bgColor rgb="FFFF9900"/>
      </patternFill>
    </fill>
    <fill>
      <patternFill patternType="solid">
        <fgColor rgb="FF93C47D"/>
        <bgColor rgb="FF93C47D"/>
      </patternFill>
    </fill>
    <fill>
      <patternFill patternType="solid">
        <fgColor rgb="FFE69138"/>
        <bgColor rgb="FFE69138"/>
      </patternFill>
    </fill>
    <fill>
      <patternFill patternType="solid">
        <fgColor rgb="FFFFFF00"/>
        <bgColor rgb="FFFFFF00"/>
      </patternFill>
    </fill>
    <fill>
      <patternFill patternType="solid">
        <fgColor rgb="FF00FFFF"/>
        <bgColor rgb="FF00FFFF"/>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border>
    <border>
      <right style="thin">
        <color rgb="FF000000"/>
      </right>
      <top style="thin">
        <color rgb="FF000000"/>
      </top>
    </border>
    <border>
      <top style="thin">
        <color rgb="FF000000"/>
      </top>
    </border>
    <border>
      <left style="thin">
        <color rgb="FF000000"/>
      </left>
      <top style="thin">
        <color rgb="FF000000"/>
      </top>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0" fontId="2" numFmtId="0" xfId="0" applyBorder="1" applyFont="1"/>
    <xf borderId="3" fillId="0" fontId="2" numFmtId="0" xfId="0" applyBorder="1" applyFont="1"/>
    <xf borderId="0" fillId="0" fontId="1" numFmtId="0" xfId="0" applyAlignment="1" applyFont="1">
      <alignment horizontal="center" readingOrder="0" shrinkToFit="0" vertical="center" wrapText="1"/>
    </xf>
    <xf borderId="4" fillId="0" fontId="3"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4" fontId="3" numFmtId="0" xfId="0" applyAlignment="1" applyBorder="1" applyFill="1" applyFont="1">
      <alignment horizontal="center" readingOrder="0" shrinkToFit="0" vertical="center" wrapText="1"/>
    </xf>
    <xf borderId="4" fillId="2" fontId="3" numFmtId="0" xfId="0" applyAlignment="1" applyBorder="1" applyFont="1">
      <alignment horizontal="center" readingOrder="0" shrinkToFit="0" vertical="center" wrapText="1"/>
    </xf>
    <xf borderId="4" fillId="3" fontId="3" numFmtId="0" xfId="0" applyAlignment="1" applyBorder="1" applyFont="1">
      <alignment horizontal="center" readingOrder="0" shrinkToFit="0" vertical="center" wrapText="1"/>
    </xf>
    <xf borderId="4" fillId="4" fontId="3" numFmtId="0" xfId="0" applyAlignment="1" applyBorder="1" applyFont="1">
      <alignment horizontal="center" readingOrder="0" shrinkToFit="0" vertical="center" wrapText="1"/>
    </xf>
    <xf borderId="4" fillId="0" fontId="4" numFmtId="0" xfId="0" applyAlignment="1" applyBorder="1" applyFont="1">
      <alignment horizontal="center" readingOrder="0" shrinkToFit="0" vertical="center" wrapText="1"/>
    </xf>
    <xf borderId="4" fillId="5" fontId="5" numFmtId="0" xfId="0" applyAlignment="1" applyBorder="1" applyFill="1" applyFont="1">
      <alignment horizontal="center" readingOrder="0" shrinkToFit="0" vertical="center" wrapText="1"/>
    </xf>
    <xf borderId="4" fillId="5" fontId="5" numFmtId="0" xfId="0" applyAlignment="1" applyBorder="1" applyFont="1">
      <alignment horizontal="center" shrinkToFit="0" vertical="center" wrapText="1"/>
    </xf>
    <xf borderId="4" fillId="6" fontId="5" numFmtId="0" xfId="0" applyAlignment="1" applyBorder="1" applyFill="1" applyFont="1">
      <alignment horizontal="center" readingOrder="0" shrinkToFit="0" vertical="center" wrapText="1"/>
    </xf>
    <xf borderId="4" fillId="6" fontId="5" numFmtId="10" xfId="0" applyAlignment="1" applyBorder="1" applyFont="1" applyNumberFormat="1">
      <alignment horizontal="center" shrinkToFit="0" vertical="center" wrapText="1"/>
    </xf>
    <xf borderId="5" fillId="6" fontId="5" numFmtId="10" xfId="0" applyAlignment="1" applyBorder="1" applyFont="1" applyNumberFormat="1">
      <alignment horizontal="center" shrinkToFit="0" vertical="center" wrapText="1"/>
    </xf>
    <xf borderId="0" fillId="0" fontId="5" numFmtId="10" xfId="0" applyFont="1" applyNumberFormat="1"/>
    <xf borderId="1" fillId="0" fontId="5" numFmtId="0" xfId="0" applyAlignment="1" applyBorder="1" applyFont="1">
      <alignment horizontal="center" readingOrder="0" shrinkToFit="0" vertical="center" wrapText="1"/>
    </xf>
    <xf borderId="6" fillId="0" fontId="5" numFmtId="0" xfId="0" applyAlignment="1" applyBorder="1" applyFont="1">
      <alignment horizontal="center" readingOrder="0" vertical="center"/>
    </xf>
    <xf borderId="0" fillId="0" fontId="5" numFmtId="0" xfId="0" applyAlignment="1" applyFont="1">
      <alignment horizontal="center" readingOrder="0" vertical="center"/>
    </xf>
    <xf borderId="7" fillId="0" fontId="5" numFmtId="0" xfId="0" applyAlignment="1" applyBorder="1" applyFont="1">
      <alignment horizontal="center" readingOrder="0" vertical="center"/>
    </xf>
    <xf borderId="8" fillId="0" fontId="5" numFmtId="0" xfId="0" applyAlignment="1" applyBorder="1" applyFont="1">
      <alignment horizontal="center" readingOrder="0" shrinkToFit="0" vertical="center" wrapText="1"/>
    </xf>
    <xf borderId="9" fillId="0" fontId="5" numFmtId="0" xfId="0" applyAlignment="1" applyBorder="1" applyFont="1">
      <alignment horizontal="center" readingOrder="0" shrinkToFit="0" vertical="center" wrapText="1"/>
    </xf>
    <xf borderId="10" fillId="0" fontId="5" numFmtId="0" xfId="0" applyAlignment="1" applyBorder="1" applyFont="1">
      <alignment horizontal="center" readingOrder="0" vertical="center"/>
    </xf>
    <xf borderId="0" fillId="0" fontId="5" numFmtId="0" xfId="0" applyAlignment="1" applyFont="1">
      <alignment horizontal="center" readingOrder="0" shrinkToFit="0" vertical="center" wrapText="1"/>
    </xf>
    <xf borderId="6"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vertical="center"/>
    </xf>
    <xf borderId="12" fillId="0" fontId="5" numFmtId="0" xfId="0" applyAlignment="1" applyBorder="1" applyFont="1">
      <alignment horizontal="center" readingOrder="0" vertical="center"/>
    </xf>
    <xf borderId="13" fillId="0" fontId="5" numFmtId="0" xfId="0" applyAlignment="1" applyBorder="1" applyFont="1">
      <alignment horizontal="center" readingOrder="0" shrinkToFit="0" vertical="center" wrapText="1"/>
    </xf>
    <xf borderId="11" fillId="0" fontId="5" numFmtId="0" xfId="0" applyAlignment="1" applyBorder="1" applyFont="1">
      <alignment horizontal="center" readingOrder="0" shrinkToFit="0" vertical="center" wrapText="1"/>
    </xf>
    <xf borderId="0" fillId="0" fontId="5" numFmtId="0" xfId="0" applyAlignment="1" applyFont="1">
      <alignment horizontal="center"/>
    </xf>
    <xf borderId="1" fillId="0" fontId="1" numFmtId="0" xfId="0" applyAlignment="1" applyBorder="1" applyFont="1">
      <alignment horizontal="left" readingOrder="0" vertical="center"/>
    </xf>
    <xf borderId="0" fillId="0" fontId="3" numFmtId="0" xfId="0" applyAlignment="1" applyFont="1">
      <alignment horizontal="center"/>
    </xf>
    <xf borderId="4" fillId="0" fontId="3" numFmtId="0" xfId="0" applyAlignment="1" applyBorder="1" applyFont="1">
      <alignment horizontal="center" readingOrder="0" vertical="center"/>
    </xf>
    <xf borderId="1" fillId="0" fontId="4" numFmtId="0" xfId="0" applyAlignment="1" applyBorder="1" applyFont="1">
      <alignment horizontal="left" readingOrder="0" shrinkToFit="0" vertical="center" wrapText="1"/>
    </xf>
    <xf borderId="1" fillId="0" fontId="3" numFmtId="0" xfId="0" applyAlignment="1" applyBorder="1" applyFont="1">
      <alignment horizontal="left" readingOrder="0" shrinkToFit="0" vertical="center" wrapText="1"/>
    </xf>
    <xf borderId="4" fillId="0" fontId="3" numFmtId="0" xfId="0" applyAlignment="1" applyBorder="1" applyFont="1">
      <alignment horizontal="center" readingOrder="0"/>
    </xf>
    <xf borderId="4" fillId="0" fontId="5" numFmtId="0" xfId="0" applyAlignment="1" applyBorder="1" applyFont="1">
      <alignment horizontal="center" readingOrder="0" vertical="center"/>
    </xf>
    <xf borderId="4" fillId="0" fontId="5" numFmtId="0" xfId="0" applyAlignment="1" applyBorder="1" applyFont="1">
      <alignment readingOrder="0" vertical="center"/>
    </xf>
    <xf borderId="4" fillId="0" fontId="6"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vertical="center"/>
    </xf>
    <xf borderId="1" fillId="5" fontId="5" numFmtId="0" xfId="0" applyAlignment="1" applyBorder="1" applyFont="1">
      <alignment horizontal="center" readingOrder="0" vertical="center"/>
    </xf>
    <xf borderId="4" fillId="5" fontId="5" numFmtId="0" xfId="0" applyAlignment="1" applyBorder="1" applyFont="1">
      <alignment horizontal="center" vertical="center"/>
    </xf>
    <xf borderId="0" fillId="0" fontId="5" numFmtId="0" xfId="0" applyAlignment="1" applyFont="1">
      <alignment horizontal="center" vertical="center"/>
    </xf>
    <xf borderId="4" fillId="0" fontId="5" numFmtId="1" xfId="0" applyAlignment="1" applyBorder="1" applyFont="1" applyNumberFormat="1">
      <alignment horizontal="center" vertical="center"/>
    </xf>
    <xf borderId="1" fillId="5" fontId="5" numFmtId="0" xfId="0" applyAlignment="1" applyBorder="1" applyFont="1">
      <alignment horizontal="center" readingOrder="0"/>
    </xf>
    <xf borderId="4" fillId="5" fontId="5" numFmtId="0" xfId="0" applyAlignment="1" applyBorder="1" applyFont="1">
      <alignment horizontal="center" readingOrder="0" vertical="center"/>
    </xf>
    <xf borderId="4" fillId="6" fontId="5" numFmtId="10" xfId="0" applyAlignment="1" applyBorder="1" applyFont="1" applyNumberFormat="1">
      <alignment horizontal="center" vertical="center"/>
    </xf>
    <xf borderId="0" fillId="0" fontId="5" numFmtId="0" xfId="0" applyAlignment="1" applyFont="1">
      <alignment vertical="center"/>
    </xf>
    <xf borderId="0" fillId="0" fontId="3" numFmtId="0" xfId="0" applyAlignment="1" applyFont="1">
      <alignment horizontal="center" readingOrder="0"/>
    </xf>
    <xf borderId="4"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cellXfs>
  <cellStyles count="1">
    <cellStyle xfId="0" name="Normal" builtinId="0"/>
  </cellStyles>
  <dxfs count="2">
    <dxf>
      <font/>
      <fill>
        <patternFill patternType="solid">
          <fgColor rgb="FF00FF00"/>
          <bgColor rgb="FF00FF00"/>
        </patternFill>
      </fill>
      <border/>
    </dxf>
    <dxf>
      <font/>
      <fill>
        <patternFill patternType="solid">
          <fgColor rgb="FFCC4125"/>
          <bgColor rgb="FFCC4125"/>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10" width="9.5"/>
  </cols>
  <sheetData>
    <row r="1">
      <c r="A1" s="1" t="s">
        <v>0</v>
      </c>
      <c r="B1" s="2"/>
      <c r="C1" s="2"/>
      <c r="D1" s="2"/>
      <c r="E1" s="2"/>
      <c r="F1" s="2"/>
      <c r="G1" s="2"/>
      <c r="H1" s="2"/>
      <c r="I1" s="2"/>
      <c r="J1" s="3"/>
      <c r="K1" s="4"/>
      <c r="L1" s="4"/>
      <c r="M1" s="4"/>
      <c r="N1" s="4"/>
      <c r="O1" s="4"/>
    </row>
    <row r="2">
      <c r="A2" s="5" t="s">
        <v>1</v>
      </c>
      <c r="B2" s="6">
        <v>0.1</v>
      </c>
      <c r="C2" s="2"/>
      <c r="D2" s="3"/>
      <c r="E2" s="7">
        <v>1.0</v>
      </c>
      <c r="F2" s="2"/>
      <c r="G2" s="2"/>
      <c r="H2" s="8">
        <v>2.0</v>
      </c>
      <c r="I2" s="2"/>
      <c r="J2" s="3"/>
    </row>
    <row r="3">
      <c r="A3" s="5" t="s">
        <v>2</v>
      </c>
      <c r="B3" s="9">
        <v>0.1</v>
      </c>
      <c r="C3" s="9">
        <v>0.5</v>
      </c>
      <c r="D3" s="9">
        <v>1.0</v>
      </c>
      <c r="E3" s="10">
        <v>0.1</v>
      </c>
      <c r="F3" s="10">
        <v>0.5</v>
      </c>
      <c r="G3" s="10">
        <v>1.0</v>
      </c>
      <c r="H3" s="11">
        <v>0.1</v>
      </c>
      <c r="I3" s="11">
        <v>0.5</v>
      </c>
      <c r="J3" s="11">
        <v>1.0</v>
      </c>
    </row>
    <row r="4">
      <c r="A4" s="5" t="s">
        <v>3</v>
      </c>
      <c r="B4" s="12" t="s">
        <v>4</v>
      </c>
      <c r="C4" s="12" t="s">
        <v>5</v>
      </c>
      <c r="D4" s="12" t="s">
        <v>6</v>
      </c>
      <c r="E4" s="12" t="s">
        <v>7</v>
      </c>
      <c r="F4" s="12" t="s">
        <v>8</v>
      </c>
      <c r="G4" s="12" t="s">
        <v>9</v>
      </c>
      <c r="H4" s="12" t="s">
        <v>10</v>
      </c>
      <c r="I4" s="12" t="s">
        <v>11</v>
      </c>
      <c r="J4" s="12" t="s">
        <v>12</v>
      </c>
    </row>
    <row r="5">
      <c r="A5" s="13" t="s">
        <v>13</v>
      </c>
      <c r="B5" s="14">
        <f t="shared" ref="B5:J5" si="1">COUNTIFS(B8:B53,"CORRECT")</f>
        <v>26</v>
      </c>
      <c r="C5" s="14">
        <f t="shared" si="1"/>
        <v>25</v>
      </c>
      <c r="D5" s="14">
        <f t="shared" si="1"/>
        <v>25</v>
      </c>
      <c r="E5" s="14">
        <f t="shared" si="1"/>
        <v>25</v>
      </c>
      <c r="F5" s="14">
        <f t="shared" si="1"/>
        <v>24</v>
      </c>
      <c r="G5" s="14">
        <f t="shared" si="1"/>
        <v>22</v>
      </c>
      <c r="H5" s="14">
        <f t="shared" si="1"/>
        <v>25</v>
      </c>
      <c r="I5" s="14">
        <f t="shared" si="1"/>
        <v>24</v>
      </c>
      <c r="J5" s="14">
        <f t="shared" si="1"/>
        <v>24</v>
      </c>
    </row>
    <row r="6">
      <c r="A6" s="13" t="s">
        <v>14</v>
      </c>
      <c r="B6" s="13">
        <v>46.0</v>
      </c>
      <c r="C6" s="13">
        <v>46.0</v>
      </c>
      <c r="D6" s="13">
        <v>46.0</v>
      </c>
      <c r="E6" s="13">
        <v>46.0</v>
      </c>
      <c r="F6" s="13">
        <v>46.0</v>
      </c>
      <c r="G6" s="13">
        <v>46.0</v>
      </c>
      <c r="H6" s="13">
        <v>46.0</v>
      </c>
      <c r="I6" s="13">
        <v>46.0</v>
      </c>
      <c r="J6" s="13">
        <v>46.0</v>
      </c>
    </row>
    <row r="7">
      <c r="A7" s="15" t="s">
        <v>15</v>
      </c>
      <c r="B7" s="16">
        <f t="shared" ref="B7:J7" si="2">B5/B6</f>
        <v>0.5652173913</v>
      </c>
      <c r="C7" s="16">
        <f t="shared" si="2"/>
        <v>0.5434782609</v>
      </c>
      <c r="D7" s="17">
        <f t="shared" si="2"/>
        <v>0.5434782609</v>
      </c>
      <c r="E7" s="17">
        <f t="shared" si="2"/>
        <v>0.5434782609</v>
      </c>
      <c r="F7" s="17">
        <f t="shared" si="2"/>
        <v>0.5217391304</v>
      </c>
      <c r="G7" s="17">
        <f t="shared" si="2"/>
        <v>0.4782608696</v>
      </c>
      <c r="H7" s="17">
        <f t="shared" si="2"/>
        <v>0.5434782609</v>
      </c>
      <c r="I7" s="17">
        <f t="shared" si="2"/>
        <v>0.5217391304</v>
      </c>
      <c r="J7" s="17">
        <f t="shared" si="2"/>
        <v>0.5217391304</v>
      </c>
      <c r="K7" s="18"/>
    </row>
    <row r="8">
      <c r="A8" s="19">
        <v>1.0</v>
      </c>
      <c r="B8" s="20" t="s">
        <v>16</v>
      </c>
      <c r="C8" s="21" t="s">
        <v>16</v>
      </c>
      <c r="D8" s="22" t="s">
        <v>16</v>
      </c>
      <c r="E8" s="23" t="s">
        <v>16</v>
      </c>
      <c r="F8" s="23" t="s">
        <v>16</v>
      </c>
      <c r="G8" s="23" t="s">
        <v>16</v>
      </c>
      <c r="H8" s="24" t="s">
        <v>16</v>
      </c>
      <c r="I8" s="23" t="s">
        <v>16</v>
      </c>
      <c r="J8" s="23" t="s">
        <v>16</v>
      </c>
    </row>
    <row r="9">
      <c r="A9" s="19">
        <v>2.0</v>
      </c>
      <c r="B9" s="20" t="s">
        <v>17</v>
      </c>
      <c r="C9" s="21" t="s">
        <v>17</v>
      </c>
      <c r="D9" s="25" t="s">
        <v>17</v>
      </c>
      <c r="E9" s="26" t="s">
        <v>17</v>
      </c>
      <c r="F9" s="26" t="s">
        <v>17</v>
      </c>
      <c r="G9" s="26" t="s">
        <v>17</v>
      </c>
      <c r="H9" s="27" t="s">
        <v>17</v>
      </c>
      <c r="I9" s="26" t="s">
        <v>17</v>
      </c>
      <c r="J9" s="26" t="s">
        <v>17</v>
      </c>
    </row>
    <row r="10">
      <c r="A10" s="19">
        <v>3.0</v>
      </c>
      <c r="B10" s="20" t="s">
        <v>17</v>
      </c>
      <c r="C10" s="21" t="s">
        <v>17</v>
      </c>
      <c r="D10" s="25" t="s">
        <v>17</v>
      </c>
      <c r="E10" s="26" t="s">
        <v>17</v>
      </c>
      <c r="F10" s="26" t="s">
        <v>17</v>
      </c>
      <c r="G10" s="26" t="s">
        <v>17</v>
      </c>
      <c r="H10" s="27" t="s">
        <v>17</v>
      </c>
      <c r="I10" s="26" t="s">
        <v>17</v>
      </c>
      <c r="J10" s="26" t="s">
        <v>17</v>
      </c>
    </row>
    <row r="11">
      <c r="A11" s="19">
        <v>4.0</v>
      </c>
      <c r="B11" s="20" t="s">
        <v>17</v>
      </c>
      <c r="C11" s="21" t="s">
        <v>17</v>
      </c>
      <c r="D11" s="25" t="s">
        <v>17</v>
      </c>
      <c r="E11" s="26" t="s">
        <v>17</v>
      </c>
      <c r="F11" s="26" t="s">
        <v>17</v>
      </c>
      <c r="G11" s="26" t="s">
        <v>17</v>
      </c>
      <c r="H11" s="27" t="s">
        <v>17</v>
      </c>
      <c r="I11" s="26" t="s">
        <v>16</v>
      </c>
      <c r="J11" s="26" t="s">
        <v>16</v>
      </c>
    </row>
    <row r="12">
      <c r="A12" s="19">
        <v>5.0</v>
      </c>
      <c r="B12" s="20" t="s">
        <v>17</v>
      </c>
      <c r="C12" s="21" t="s">
        <v>17</v>
      </c>
      <c r="D12" s="25" t="s">
        <v>17</v>
      </c>
      <c r="E12" s="26" t="s">
        <v>17</v>
      </c>
      <c r="F12" s="26" t="s">
        <v>17</v>
      </c>
      <c r="G12" s="26" t="s">
        <v>16</v>
      </c>
      <c r="H12" s="27" t="s">
        <v>17</v>
      </c>
      <c r="I12" s="26" t="s">
        <v>16</v>
      </c>
      <c r="J12" s="26" t="s">
        <v>16</v>
      </c>
    </row>
    <row r="13">
      <c r="A13" s="19">
        <v>6.0</v>
      </c>
      <c r="B13" s="20" t="s">
        <v>17</v>
      </c>
      <c r="C13" s="21" t="s">
        <v>17</v>
      </c>
      <c r="D13" s="25" t="s">
        <v>17</v>
      </c>
      <c r="E13" s="26" t="s">
        <v>17</v>
      </c>
      <c r="F13" s="26" t="s">
        <v>17</v>
      </c>
      <c r="G13" s="26" t="s">
        <v>17</v>
      </c>
      <c r="H13" s="27" t="s">
        <v>17</v>
      </c>
      <c r="I13" s="26" t="s">
        <v>17</v>
      </c>
      <c r="J13" s="26" t="s">
        <v>16</v>
      </c>
    </row>
    <row r="14">
      <c r="A14" s="19">
        <v>7.0</v>
      </c>
      <c r="B14" s="20" t="s">
        <v>17</v>
      </c>
      <c r="C14" s="21" t="s">
        <v>16</v>
      </c>
      <c r="D14" s="25" t="s">
        <v>16</v>
      </c>
      <c r="E14" s="26" t="s">
        <v>16</v>
      </c>
      <c r="F14" s="26" t="s">
        <v>16</v>
      </c>
      <c r="G14" s="26" t="s">
        <v>16</v>
      </c>
      <c r="H14" s="27" t="s">
        <v>16</v>
      </c>
      <c r="I14" s="26" t="s">
        <v>16</v>
      </c>
      <c r="J14" s="26" t="s">
        <v>16</v>
      </c>
    </row>
    <row r="15">
      <c r="A15" s="19">
        <v>8.0</v>
      </c>
      <c r="B15" s="20" t="s">
        <v>17</v>
      </c>
      <c r="C15" s="21" t="s">
        <v>17</v>
      </c>
      <c r="D15" s="25" t="s">
        <v>17</v>
      </c>
      <c r="E15" s="26" t="s">
        <v>17</v>
      </c>
      <c r="F15" s="26" t="s">
        <v>17</v>
      </c>
      <c r="G15" s="26" t="s">
        <v>16</v>
      </c>
      <c r="H15" s="27" t="s">
        <v>17</v>
      </c>
      <c r="I15" s="26" t="s">
        <v>16</v>
      </c>
      <c r="J15" s="26" t="s">
        <v>17</v>
      </c>
    </row>
    <row r="16">
      <c r="A16" s="19">
        <v>9.0</v>
      </c>
      <c r="B16" s="20" t="s">
        <v>16</v>
      </c>
      <c r="C16" s="21" t="s">
        <v>16</v>
      </c>
      <c r="D16" s="25" t="s">
        <v>16</v>
      </c>
      <c r="E16" s="26" t="s">
        <v>16</v>
      </c>
      <c r="F16" s="26" t="s">
        <v>16</v>
      </c>
      <c r="G16" s="26" t="s">
        <v>16</v>
      </c>
      <c r="H16" s="27" t="s">
        <v>16</v>
      </c>
      <c r="I16" s="26" t="s">
        <v>16</v>
      </c>
      <c r="J16" s="26" t="s">
        <v>17</v>
      </c>
    </row>
    <row r="17">
      <c r="A17" s="19">
        <v>10.0</v>
      </c>
      <c r="B17" s="20" t="s">
        <v>17</v>
      </c>
      <c r="C17" s="21" t="s">
        <v>17</v>
      </c>
      <c r="D17" s="25" t="s">
        <v>17</v>
      </c>
      <c r="E17" s="26" t="s">
        <v>17</v>
      </c>
      <c r="F17" s="26" t="s">
        <v>17</v>
      </c>
      <c r="G17" s="26" t="s">
        <v>17</v>
      </c>
      <c r="H17" s="27" t="s">
        <v>17</v>
      </c>
      <c r="I17" s="26" t="s">
        <v>17</v>
      </c>
      <c r="J17" s="26" t="s">
        <v>17</v>
      </c>
    </row>
    <row r="18">
      <c r="A18" s="19">
        <v>11.0</v>
      </c>
      <c r="B18" s="20" t="s">
        <v>16</v>
      </c>
      <c r="C18" s="21" t="s">
        <v>16</v>
      </c>
      <c r="D18" s="25" t="s">
        <v>16</v>
      </c>
      <c r="E18" s="26" t="s">
        <v>16</v>
      </c>
      <c r="F18" s="26" t="s">
        <v>16</v>
      </c>
      <c r="G18" s="26" t="s">
        <v>16</v>
      </c>
      <c r="H18" s="27" t="s">
        <v>16</v>
      </c>
      <c r="I18" s="26" t="s">
        <v>16</v>
      </c>
      <c r="J18" s="26" t="s">
        <v>16</v>
      </c>
    </row>
    <row r="19">
      <c r="A19" s="19">
        <v>12.0</v>
      </c>
      <c r="B19" s="20" t="s">
        <v>16</v>
      </c>
      <c r="C19" s="21" t="s">
        <v>16</v>
      </c>
      <c r="D19" s="25" t="s">
        <v>16</v>
      </c>
      <c r="E19" s="26" t="s">
        <v>16</v>
      </c>
      <c r="F19" s="26" t="s">
        <v>16</v>
      </c>
      <c r="G19" s="26" t="s">
        <v>17</v>
      </c>
      <c r="H19" s="27" t="s">
        <v>16</v>
      </c>
      <c r="I19" s="26" t="s">
        <v>16</v>
      </c>
      <c r="J19" s="26" t="s">
        <v>17</v>
      </c>
    </row>
    <row r="20">
      <c r="A20" s="19">
        <v>13.0</v>
      </c>
      <c r="B20" s="20" t="s">
        <v>17</v>
      </c>
      <c r="C20" s="21" t="s">
        <v>17</v>
      </c>
      <c r="D20" s="25" t="s">
        <v>17</v>
      </c>
      <c r="E20" s="26" t="s">
        <v>17</v>
      </c>
      <c r="F20" s="26" t="s">
        <v>17</v>
      </c>
      <c r="G20" s="26" t="s">
        <v>17</v>
      </c>
      <c r="H20" s="27" t="s">
        <v>17</v>
      </c>
      <c r="I20" s="26" t="s">
        <v>17</v>
      </c>
      <c r="J20" s="26" t="s">
        <v>17</v>
      </c>
    </row>
    <row r="21">
      <c r="A21" s="19">
        <v>14.0</v>
      </c>
      <c r="B21" s="20" t="s">
        <v>16</v>
      </c>
      <c r="C21" s="21" t="s">
        <v>16</v>
      </c>
      <c r="D21" s="25" t="s">
        <v>16</v>
      </c>
      <c r="E21" s="26" t="s">
        <v>16</v>
      </c>
      <c r="F21" s="26" t="s">
        <v>16</v>
      </c>
      <c r="G21" s="26" t="s">
        <v>17</v>
      </c>
      <c r="H21" s="27" t="s">
        <v>16</v>
      </c>
      <c r="I21" s="26" t="s">
        <v>16</v>
      </c>
      <c r="J21" s="26" t="s">
        <v>16</v>
      </c>
    </row>
    <row r="22">
      <c r="A22" s="19">
        <v>15.0</v>
      </c>
      <c r="B22" s="20" t="s">
        <v>17</v>
      </c>
      <c r="C22" s="21" t="s">
        <v>17</v>
      </c>
      <c r="D22" s="25" t="s">
        <v>17</v>
      </c>
      <c r="E22" s="26" t="s">
        <v>17</v>
      </c>
      <c r="F22" s="26" t="s">
        <v>17</v>
      </c>
      <c r="G22" s="26" t="s">
        <v>17</v>
      </c>
      <c r="H22" s="27" t="s">
        <v>17</v>
      </c>
      <c r="I22" s="26" t="s">
        <v>17</v>
      </c>
      <c r="J22" s="26" t="s">
        <v>17</v>
      </c>
    </row>
    <row r="23">
      <c r="A23" s="19">
        <v>16.0</v>
      </c>
      <c r="B23" s="20" t="s">
        <v>17</v>
      </c>
      <c r="C23" s="21" t="s">
        <v>17</v>
      </c>
      <c r="D23" s="25" t="s">
        <v>17</v>
      </c>
      <c r="E23" s="26" t="s">
        <v>17</v>
      </c>
      <c r="F23" s="26" t="s">
        <v>17</v>
      </c>
      <c r="G23" s="26" t="s">
        <v>17</v>
      </c>
      <c r="H23" s="27" t="s">
        <v>17</v>
      </c>
      <c r="I23" s="26" t="s">
        <v>17</v>
      </c>
      <c r="J23" s="26" t="s">
        <v>17</v>
      </c>
    </row>
    <row r="24">
      <c r="A24" s="19">
        <v>17.0</v>
      </c>
      <c r="B24" s="20" t="s">
        <v>16</v>
      </c>
      <c r="C24" s="21" t="s">
        <v>16</v>
      </c>
      <c r="D24" s="25" t="s">
        <v>16</v>
      </c>
      <c r="E24" s="26" t="s">
        <v>16</v>
      </c>
      <c r="F24" s="26" t="s">
        <v>16</v>
      </c>
      <c r="G24" s="26" t="s">
        <v>16</v>
      </c>
      <c r="H24" s="27" t="s">
        <v>16</v>
      </c>
      <c r="I24" s="26" t="s">
        <v>16</v>
      </c>
      <c r="J24" s="26" t="s">
        <v>17</v>
      </c>
    </row>
    <row r="25">
      <c r="A25" s="19">
        <v>18.0</v>
      </c>
      <c r="B25" s="20" t="s">
        <v>17</v>
      </c>
      <c r="C25" s="21" t="s">
        <v>17</v>
      </c>
      <c r="D25" s="25" t="s">
        <v>17</v>
      </c>
      <c r="E25" s="26" t="s">
        <v>17</v>
      </c>
      <c r="F25" s="26" t="s">
        <v>17</v>
      </c>
      <c r="G25" s="26" t="s">
        <v>17</v>
      </c>
      <c r="H25" s="27" t="s">
        <v>17</v>
      </c>
      <c r="I25" s="26" t="s">
        <v>17</v>
      </c>
      <c r="J25" s="26" t="s">
        <v>17</v>
      </c>
    </row>
    <row r="26">
      <c r="A26" s="19">
        <v>19.0</v>
      </c>
      <c r="B26" s="20" t="s">
        <v>16</v>
      </c>
      <c r="C26" s="21" t="s">
        <v>16</v>
      </c>
      <c r="D26" s="25" t="s">
        <v>16</v>
      </c>
      <c r="E26" s="26" t="s">
        <v>16</v>
      </c>
      <c r="F26" s="26" t="s">
        <v>16</v>
      </c>
      <c r="G26" s="26" t="s">
        <v>16</v>
      </c>
      <c r="H26" s="27" t="s">
        <v>16</v>
      </c>
      <c r="I26" s="26" t="s">
        <v>16</v>
      </c>
      <c r="J26" s="26" t="s">
        <v>16</v>
      </c>
    </row>
    <row r="27">
      <c r="A27" s="19">
        <v>20.0</v>
      </c>
      <c r="B27" s="20" t="s">
        <v>16</v>
      </c>
      <c r="C27" s="21" t="s">
        <v>16</v>
      </c>
      <c r="D27" s="25" t="s">
        <v>16</v>
      </c>
      <c r="E27" s="26" t="s">
        <v>16</v>
      </c>
      <c r="F27" s="26" t="s">
        <v>16</v>
      </c>
      <c r="G27" s="26" t="s">
        <v>16</v>
      </c>
      <c r="H27" s="27" t="s">
        <v>16</v>
      </c>
      <c r="I27" s="26" t="s">
        <v>16</v>
      </c>
      <c r="J27" s="26" t="s">
        <v>17</v>
      </c>
    </row>
    <row r="28">
      <c r="A28" s="19">
        <v>21.0</v>
      </c>
      <c r="B28" s="20" t="s">
        <v>16</v>
      </c>
      <c r="C28" s="21" t="s">
        <v>16</v>
      </c>
      <c r="D28" s="25" t="s">
        <v>16</v>
      </c>
      <c r="E28" s="26" t="s">
        <v>16</v>
      </c>
      <c r="F28" s="26" t="s">
        <v>16</v>
      </c>
      <c r="G28" s="26" t="s">
        <v>16</v>
      </c>
      <c r="H28" s="27" t="s">
        <v>16</v>
      </c>
      <c r="I28" s="26" t="s">
        <v>16</v>
      </c>
      <c r="J28" s="26" t="s">
        <v>16</v>
      </c>
    </row>
    <row r="29">
      <c r="A29" s="19">
        <v>22.0</v>
      </c>
      <c r="B29" s="20" t="s">
        <v>17</v>
      </c>
      <c r="C29" s="21" t="s">
        <v>17</v>
      </c>
      <c r="D29" s="25" t="s">
        <v>17</v>
      </c>
      <c r="E29" s="26" t="s">
        <v>17</v>
      </c>
      <c r="F29" s="26" t="s">
        <v>17</v>
      </c>
      <c r="G29" s="26" t="s">
        <v>17</v>
      </c>
      <c r="H29" s="27" t="s">
        <v>17</v>
      </c>
      <c r="I29" s="26" t="s">
        <v>17</v>
      </c>
      <c r="J29" s="26" t="s">
        <v>16</v>
      </c>
    </row>
    <row r="30">
      <c r="A30" s="19">
        <v>23.0</v>
      </c>
      <c r="B30" s="20" t="s">
        <v>17</v>
      </c>
      <c r="C30" s="21" t="s">
        <v>17</v>
      </c>
      <c r="D30" s="25" t="s">
        <v>17</v>
      </c>
      <c r="E30" s="26" t="s">
        <v>17</v>
      </c>
      <c r="F30" s="26" t="s">
        <v>17</v>
      </c>
      <c r="G30" s="26" t="s">
        <v>17</v>
      </c>
      <c r="H30" s="27" t="s">
        <v>17</v>
      </c>
      <c r="I30" s="26" t="s">
        <v>17</v>
      </c>
      <c r="J30" s="26" t="s">
        <v>17</v>
      </c>
    </row>
    <row r="31">
      <c r="A31" s="19">
        <v>24.0</v>
      </c>
      <c r="B31" s="20" t="s">
        <v>16</v>
      </c>
      <c r="C31" s="21" t="s">
        <v>16</v>
      </c>
      <c r="D31" s="25" t="s">
        <v>16</v>
      </c>
      <c r="E31" s="26" t="s">
        <v>16</v>
      </c>
      <c r="F31" s="26" t="s">
        <v>16</v>
      </c>
      <c r="G31" s="26" t="s">
        <v>16</v>
      </c>
      <c r="H31" s="27" t="s">
        <v>16</v>
      </c>
      <c r="I31" s="26" t="s">
        <v>16</v>
      </c>
      <c r="J31" s="26" t="s">
        <v>16</v>
      </c>
    </row>
    <row r="32">
      <c r="A32" s="19">
        <v>25.0</v>
      </c>
      <c r="B32" s="20" t="s">
        <v>16</v>
      </c>
      <c r="C32" s="21" t="s">
        <v>16</v>
      </c>
      <c r="D32" s="25" t="s">
        <v>16</v>
      </c>
      <c r="E32" s="26" t="s">
        <v>16</v>
      </c>
      <c r="F32" s="26" t="s">
        <v>16</v>
      </c>
      <c r="G32" s="26" t="s">
        <v>16</v>
      </c>
      <c r="H32" s="27" t="s">
        <v>16</v>
      </c>
      <c r="I32" s="26" t="s">
        <v>16</v>
      </c>
      <c r="J32" s="26" t="s">
        <v>17</v>
      </c>
    </row>
    <row r="33">
      <c r="A33" s="19">
        <v>26.0</v>
      </c>
      <c r="B33" s="20" t="s">
        <v>16</v>
      </c>
      <c r="C33" s="21" t="s">
        <v>16</v>
      </c>
      <c r="D33" s="25" t="s">
        <v>16</v>
      </c>
      <c r="E33" s="26" t="s">
        <v>16</v>
      </c>
      <c r="F33" s="26" t="s">
        <v>16</v>
      </c>
      <c r="G33" s="26" t="s">
        <v>16</v>
      </c>
      <c r="H33" s="27" t="s">
        <v>16</v>
      </c>
      <c r="I33" s="26" t="s">
        <v>16</v>
      </c>
      <c r="J33" s="26" t="s">
        <v>17</v>
      </c>
    </row>
    <row r="34">
      <c r="A34" s="19">
        <v>27.0</v>
      </c>
      <c r="B34" s="20" t="s">
        <v>17</v>
      </c>
      <c r="C34" s="21" t="s">
        <v>17</v>
      </c>
      <c r="D34" s="25" t="s">
        <v>17</v>
      </c>
      <c r="E34" s="26" t="s">
        <v>17</v>
      </c>
      <c r="F34" s="26" t="s">
        <v>17</v>
      </c>
      <c r="G34" s="26" t="s">
        <v>16</v>
      </c>
      <c r="H34" s="27" t="s">
        <v>17</v>
      </c>
      <c r="I34" s="26" t="s">
        <v>17</v>
      </c>
      <c r="J34" s="26" t="s">
        <v>17</v>
      </c>
    </row>
    <row r="35">
      <c r="A35" s="19">
        <v>28.0</v>
      </c>
      <c r="B35" s="20" t="s">
        <v>17</v>
      </c>
      <c r="C35" s="21" t="s">
        <v>17</v>
      </c>
      <c r="D35" s="25" t="s">
        <v>17</v>
      </c>
      <c r="E35" s="26" t="s">
        <v>17</v>
      </c>
      <c r="F35" s="26" t="s">
        <v>17</v>
      </c>
      <c r="G35" s="26" t="s">
        <v>17</v>
      </c>
      <c r="H35" s="27" t="s">
        <v>17</v>
      </c>
      <c r="I35" s="26" t="s">
        <v>17</v>
      </c>
      <c r="J35" s="26" t="s">
        <v>16</v>
      </c>
    </row>
    <row r="36">
      <c r="A36" s="19">
        <v>29.0</v>
      </c>
      <c r="B36" s="20" t="s">
        <v>17</v>
      </c>
      <c r="C36" s="21" t="s">
        <v>17</v>
      </c>
      <c r="D36" s="25" t="s">
        <v>17</v>
      </c>
      <c r="E36" s="26" t="s">
        <v>17</v>
      </c>
      <c r="F36" s="26" t="s">
        <v>17</v>
      </c>
      <c r="G36" s="26" t="s">
        <v>16</v>
      </c>
      <c r="H36" s="27" t="s">
        <v>17</v>
      </c>
      <c r="I36" s="26" t="s">
        <v>17</v>
      </c>
      <c r="J36" s="26" t="s">
        <v>17</v>
      </c>
    </row>
    <row r="37">
      <c r="A37" s="19">
        <v>30.0</v>
      </c>
      <c r="B37" s="20" t="s">
        <v>16</v>
      </c>
      <c r="C37" s="21" t="s">
        <v>16</v>
      </c>
      <c r="D37" s="25" t="s">
        <v>16</v>
      </c>
      <c r="E37" s="26" t="s">
        <v>16</v>
      </c>
      <c r="F37" s="26" t="s">
        <v>16</v>
      </c>
      <c r="G37" s="26" t="s">
        <v>16</v>
      </c>
      <c r="H37" s="27" t="s">
        <v>16</v>
      </c>
      <c r="I37" s="26" t="s">
        <v>16</v>
      </c>
      <c r="J37" s="26" t="s">
        <v>16</v>
      </c>
    </row>
    <row r="38">
      <c r="A38" s="19">
        <v>31.0</v>
      </c>
      <c r="B38" s="20" t="s">
        <v>16</v>
      </c>
      <c r="C38" s="21" t="s">
        <v>16</v>
      </c>
      <c r="D38" s="25" t="s">
        <v>16</v>
      </c>
      <c r="E38" s="26" t="s">
        <v>16</v>
      </c>
      <c r="F38" s="26" t="s">
        <v>16</v>
      </c>
      <c r="G38" s="26" t="s">
        <v>16</v>
      </c>
      <c r="H38" s="27" t="s">
        <v>16</v>
      </c>
      <c r="I38" s="26" t="s">
        <v>16</v>
      </c>
      <c r="J38" s="26" t="s">
        <v>16</v>
      </c>
    </row>
    <row r="39">
      <c r="A39" s="19">
        <v>32.0</v>
      </c>
      <c r="B39" s="20" t="s">
        <v>17</v>
      </c>
      <c r="C39" s="21" t="s">
        <v>17</v>
      </c>
      <c r="D39" s="25" t="s">
        <v>17</v>
      </c>
      <c r="E39" s="26" t="s">
        <v>17</v>
      </c>
      <c r="F39" s="26" t="s">
        <v>17</v>
      </c>
      <c r="G39" s="26" t="s">
        <v>17</v>
      </c>
      <c r="H39" s="27" t="s">
        <v>17</v>
      </c>
      <c r="I39" s="26" t="s">
        <v>17</v>
      </c>
      <c r="J39" s="26" t="s">
        <v>16</v>
      </c>
    </row>
    <row r="40">
      <c r="A40" s="19">
        <v>33.0</v>
      </c>
      <c r="B40" s="20" t="s">
        <v>17</v>
      </c>
      <c r="C40" s="21" t="s">
        <v>17</v>
      </c>
      <c r="D40" s="25" t="s">
        <v>17</v>
      </c>
      <c r="E40" s="26" t="s">
        <v>17</v>
      </c>
      <c r="F40" s="26" t="s">
        <v>17</v>
      </c>
      <c r="G40" s="26" t="s">
        <v>17</v>
      </c>
      <c r="H40" s="27" t="s">
        <v>17</v>
      </c>
      <c r="I40" s="26" t="s">
        <v>17</v>
      </c>
      <c r="J40" s="26" t="s">
        <v>17</v>
      </c>
    </row>
    <row r="41">
      <c r="A41" s="19">
        <v>34.0</v>
      </c>
      <c r="B41" s="20" t="s">
        <v>17</v>
      </c>
      <c r="C41" s="21" t="s">
        <v>17</v>
      </c>
      <c r="D41" s="25" t="s">
        <v>17</v>
      </c>
      <c r="E41" s="26" t="s">
        <v>17</v>
      </c>
      <c r="F41" s="26" t="s">
        <v>17</v>
      </c>
      <c r="G41" s="26" t="s">
        <v>17</v>
      </c>
      <c r="H41" s="27" t="s">
        <v>17</v>
      </c>
      <c r="I41" s="26" t="s">
        <v>17</v>
      </c>
      <c r="J41" s="26" t="s">
        <v>16</v>
      </c>
    </row>
    <row r="42">
      <c r="A42" s="19">
        <v>35.0</v>
      </c>
      <c r="B42" s="20" t="s">
        <v>17</v>
      </c>
      <c r="C42" s="21" t="s">
        <v>17</v>
      </c>
      <c r="D42" s="25" t="s">
        <v>17</v>
      </c>
      <c r="E42" s="26" t="s">
        <v>17</v>
      </c>
      <c r="F42" s="26" t="s">
        <v>17</v>
      </c>
      <c r="G42" s="26" t="s">
        <v>17</v>
      </c>
      <c r="H42" s="27" t="s">
        <v>17</v>
      </c>
      <c r="I42" s="26" t="s">
        <v>17</v>
      </c>
      <c r="J42" s="26" t="s">
        <v>17</v>
      </c>
    </row>
    <row r="43">
      <c r="A43" s="19">
        <v>36.0</v>
      </c>
      <c r="B43" s="20" t="s">
        <v>17</v>
      </c>
      <c r="C43" s="21" t="s">
        <v>17</v>
      </c>
      <c r="D43" s="25" t="s">
        <v>17</v>
      </c>
      <c r="E43" s="26" t="s">
        <v>17</v>
      </c>
      <c r="F43" s="26" t="s">
        <v>17</v>
      </c>
      <c r="G43" s="26" t="s">
        <v>17</v>
      </c>
      <c r="H43" s="27" t="s">
        <v>17</v>
      </c>
      <c r="I43" s="26" t="s">
        <v>17</v>
      </c>
      <c r="J43" s="26" t="s">
        <v>16</v>
      </c>
    </row>
    <row r="44">
      <c r="A44" s="19">
        <v>37.0</v>
      </c>
      <c r="B44" s="20" t="s">
        <v>16</v>
      </c>
      <c r="C44" s="21" t="s">
        <v>16</v>
      </c>
      <c r="D44" s="25" t="s">
        <v>16</v>
      </c>
      <c r="E44" s="26" t="s">
        <v>16</v>
      </c>
      <c r="F44" s="26" t="s">
        <v>16</v>
      </c>
      <c r="G44" s="26" t="s">
        <v>16</v>
      </c>
      <c r="H44" s="27" t="s">
        <v>16</v>
      </c>
      <c r="I44" s="26" t="s">
        <v>16</v>
      </c>
      <c r="J44" s="26" t="s">
        <v>16</v>
      </c>
    </row>
    <row r="45">
      <c r="A45" s="19">
        <v>38.0</v>
      </c>
      <c r="B45" s="20" t="s">
        <v>17</v>
      </c>
      <c r="C45" s="21" t="s">
        <v>17</v>
      </c>
      <c r="D45" s="25" t="s">
        <v>17</v>
      </c>
      <c r="E45" s="26" t="s">
        <v>17</v>
      </c>
      <c r="F45" s="26" t="s">
        <v>17</v>
      </c>
      <c r="G45" s="26" t="s">
        <v>17</v>
      </c>
      <c r="H45" s="27" t="s">
        <v>17</v>
      </c>
      <c r="I45" s="26" t="s">
        <v>17</v>
      </c>
      <c r="J45" s="26" t="s">
        <v>17</v>
      </c>
    </row>
    <row r="46">
      <c r="A46" s="19">
        <v>39.0</v>
      </c>
      <c r="B46" s="20" t="s">
        <v>17</v>
      </c>
      <c r="C46" s="21" t="s">
        <v>17</v>
      </c>
      <c r="D46" s="25" t="s">
        <v>17</v>
      </c>
      <c r="E46" s="26" t="s">
        <v>17</v>
      </c>
      <c r="F46" s="26" t="s">
        <v>16</v>
      </c>
      <c r="G46" s="26" t="s">
        <v>17</v>
      </c>
      <c r="H46" s="27" t="s">
        <v>17</v>
      </c>
      <c r="I46" s="26" t="s">
        <v>17</v>
      </c>
      <c r="J46" s="26" t="s">
        <v>16</v>
      </c>
    </row>
    <row r="47">
      <c r="A47" s="19">
        <v>40.0</v>
      </c>
      <c r="B47" s="20" t="s">
        <v>16</v>
      </c>
      <c r="C47" s="21" t="s">
        <v>16</v>
      </c>
      <c r="D47" s="25" t="s">
        <v>16</v>
      </c>
      <c r="E47" s="26" t="s">
        <v>16</v>
      </c>
      <c r="F47" s="26" t="s">
        <v>16</v>
      </c>
      <c r="G47" s="26" t="s">
        <v>16</v>
      </c>
      <c r="H47" s="27" t="s">
        <v>16</v>
      </c>
      <c r="I47" s="26" t="s">
        <v>17</v>
      </c>
      <c r="J47" s="26" t="s">
        <v>17</v>
      </c>
    </row>
    <row r="48">
      <c r="A48" s="19">
        <v>41.0</v>
      </c>
      <c r="B48" s="20" t="s">
        <v>16</v>
      </c>
      <c r="C48" s="21" t="s">
        <v>16</v>
      </c>
      <c r="D48" s="25" t="s">
        <v>16</v>
      </c>
      <c r="E48" s="26" t="s">
        <v>16</v>
      </c>
      <c r="F48" s="26" t="s">
        <v>16</v>
      </c>
      <c r="G48" s="26" t="s">
        <v>16</v>
      </c>
      <c r="H48" s="27" t="s">
        <v>16</v>
      </c>
      <c r="I48" s="26" t="s">
        <v>16</v>
      </c>
      <c r="J48" s="26" t="s">
        <v>17</v>
      </c>
    </row>
    <row r="49">
      <c r="A49" s="19">
        <v>42.0</v>
      </c>
      <c r="B49" s="20" t="s">
        <v>16</v>
      </c>
      <c r="C49" s="21" t="s">
        <v>16</v>
      </c>
      <c r="D49" s="25" t="s">
        <v>16</v>
      </c>
      <c r="E49" s="26" t="s">
        <v>16</v>
      </c>
      <c r="F49" s="26" t="s">
        <v>16</v>
      </c>
      <c r="G49" s="26" t="s">
        <v>16</v>
      </c>
      <c r="H49" s="27" t="s">
        <v>16</v>
      </c>
      <c r="I49" s="26" t="s">
        <v>16</v>
      </c>
      <c r="J49" s="26" t="s">
        <v>16</v>
      </c>
    </row>
    <row r="50">
      <c r="A50" s="19">
        <v>43.0</v>
      </c>
      <c r="B50" s="20" t="s">
        <v>16</v>
      </c>
      <c r="C50" s="21" t="s">
        <v>16</v>
      </c>
      <c r="D50" s="25" t="s">
        <v>16</v>
      </c>
      <c r="E50" s="26" t="s">
        <v>16</v>
      </c>
      <c r="F50" s="26" t="s">
        <v>16</v>
      </c>
      <c r="G50" s="26" t="s">
        <v>16</v>
      </c>
      <c r="H50" s="27" t="s">
        <v>16</v>
      </c>
      <c r="I50" s="26" t="s">
        <v>17</v>
      </c>
      <c r="J50" s="26" t="s">
        <v>16</v>
      </c>
    </row>
    <row r="51">
      <c r="A51" s="19">
        <v>44.0</v>
      </c>
      <c r="B51" s="20" t="s">
        <v>16</v>
      </c>
      <c r="C51" s="21" t="s">
        <v>16</v>
      </c>
      <c r="D51" s="25" t="s">
        <v>16</v>
      </c>
      <c r="E51" s="26" t="s">
        <v>16</v>
      </c>
      <c r="F51" s="26" t="s">
        <v>16</v>
      </c>
      <c r="G51" s="26" t="s">
        <v>16</v>
      </c>
      <c r="H51" s="27" t="s">
        <v>16</v>
      </c>
      <c r="I51" s="26" t="s">
        <v>16</v>
      </c>
      <c r="J51" s="26" t="s">
        <v>16</v>
      </c>
    </row>
    <row r="52">
      <c r="A52" s="19">
        <v>45.0</v>
      </c>
      <c r="B52" s="20" t="s">
        <v>17</v>
      </c>
      <c r="C52" s="21" t="s">
        <v>17</v>
      </c>
      <c r="D52" s="25" t="s">
        <v>17</v>
      </c>
      <c r="E52" s="26" t="s">
        <v>17</v>
      </c>
      <c r="F52" s="26" t="s">
        <v>17</v>
      </c>
      <c r="G52" s="26" t="s">
        <v>16</v>
      </c>
      <c r="H52" s="27" t="s">
        <v>17</v>
      </c>
      <c r="I52" s="26" t="s">
        <v>17</v>
      </c>
      <c r="J52" s="26" t="s">
        <v>17</v>
      </c>
    </row>
    <row r="53">
      <c r="A53" s="19">
        <v>46.0</v>
      </c>
      <c r="B53" s="28" t="s">
        <v>17</v>
      </c>
      <c r="C53" s="21" t="s">
        <v>17</v>
      </c>
      <c r="D53" s="29" t="s">
        <v>17</v>
      </c>
      <c r="E53" s="30" t="s">
        <v>17</v>
      </c>
      <c r="F53" s="30" t="s">
        <v>17</v>
      </c>
      <c r="G53" s="30" t="s">
        <v>17</v>
      </c>
      <c r="H53" s="31" t="s">
        <v>17</v>
      </c>
      <c r="I53" s="30" t="s">
        <v>17</v>
      </c>
      <c r="J53" s="30" t="s">
        <v>17</v>
      </c>
    </row>
    <row r="54">
      <c r="A54" s="32"/>
      <c r="B54" s="32"/>
      <c r="C54" s="32"/>
      <c r="D54" s="32"/>
    </row>
    <row r="55">
      <c r="A55" s="32"/>
      <c r="B55" s="32"/>
      <c r="C55" s="32"/>
      <c r="D55" s="32"/>
    </row>
    <row r="56">
      <c r="A56" s="32"/>
      <c r="B56" s="32"/>
      <c r="C56" s="32"/>
      <c r="D56" s="32"/>
    </row>
    <row r="57">
      <c r="A57" s="32"/>
      <c r="B57" s="32"/>
      <c r="C57" s="32"/>
      <c r="D57" s="32"/>
    </row>
    <row r="58">
      <c r="A58" s="32"/>
      <c r="B58" s="32"/>
      <c r="C58" s="32"/>
      <c r="D58" s="32"/>
    </row>
    <row r="59">
      <c r="A59" s="32"/>
      <c r="B59" s="32"/>
      <c r="C59" s="32"/>
      <c r="D59" s="32"/>
    </row>
    <row r="60">
      <c r="A60" s="32"/>
      <c r="B60" s="32"/>
      <c r="C60" s="32"/>
      <c r="D60" s="32"/>
    </row>
    <row r="61">
      <c r="A61" s="32"/>
      <c r="B61" s="32"/>
      <c r="C61" s="32"/>
      <c r="D61" s="32"/>
    </row>
    <row r="62">
      <c r="A62" s="32"/>
      <c r="B62" s="32"/>
      <c r="C62" s="32"/>
      <c r="D62" s="32"/>
    </row>
    <row r="63">
      <c r="A63" s="32"/>
      <c r="B63" s="32"/>
      <c r="C63" s="32"/>
      <c r="D63" s="32"/>
    </row>
    <row r="64">
      <c r="A64" s="32"/>
      <c r="B64" s="32"/>
      <c r="C64" s="32"/>
      <c r="D64" s="32"/>
    </row>
    <row r="65">
      <c r="A65" s="32"/>
      <c r="B65" s="32"/>
      <c r="C65" s="32"/>
      <c r="D65" s="32"/>
    </row>
    <row r="66">
      <c r="A66" s="32"/>
      <c r="B66" s="32"/>
      <c r="C66" s="32"/>
      <c r="D66" s="32"/>
    </row>
    <row r="67">
      <c r="A67" s="32"/>
      <c r="B67" s="32"/>
      <c r="C67" s="32"/>
      <c r="D67" s="32"/>
    </row>
    <row r="68">
      <c r="A68" s="32"/>
      <c r="B68" s="32"/>
      <c r="C68" s="32"/>
      <c r="D68" s="32"/>
    </row>
    <row r="69">
      <c r="A69" s="32"/>
      <c r="B69" s="32"/>
      <c r="C69" s="32"/>
      <c r="D69" s="32"/>
    </row>
    <row r="70">
      <c r="A70" s="32"/>
      <c r="B70" s="32"/>
      <c r="C70" s="32"/>
      <c r="D70" s="32"/>
    </row>
    <row r="71">
      <c r="A71" s="32"/>
      <c r="B71" s="32"/>
      <c r="C71" s="32"/>
      <c r="D71" s="32"/>
    </row>
    <row r="72">
      <c r="A72" s="32"/>
      <c r="B72" s="32"/>
      <c r="C72" s="32"/>
      <c r="D72" s="32"/>
    </row>
    <row r="73">
      <c r="A73" s="32"/>
      <c r="B73" s="32"/>
      <c r="C73" s="32"/>
      <c r="D73" s="32"/>
    </row>
    <row r="74">
      <c r="A74" s="32"/>
      <c r="B74" s="32"/>
      <c r="C74" s="32"/>
      <c r="D74" s="32"/>
    </row>
    <row r="75">
      <c r="A75" s="32"/>
      <c r="B75" s="32"/>
      <c r="C75" s="32"/>
      <c r="D75" s="32"/>
    </row>
    <row r="76">
      <c r="A76" s="32"/>
      <c r="B76" s="32"/>
      <c r="C76" s="32"/>
      <c r="D76" s="32"/>
    </row>
    <row r="77">
      <c r="A77" s="32"/>
      <c r="B77" s="32"/>
      <c r="C77" s="32"/>
      <c r="D77" s="32"/>
    </row>
    <row r="78">
      <c r="A78" s="32"/>
      <c r="B78" s="32"/>
      <c r="C78" s="32"/>
      <c r="D78" s="32"/>
    </row>
    <row r="79">
      <c r="A79" s="32"/>
      <c r="B79" s="32"/>
      <c r="C79" s="32"/>
      <c r="D79" s="32"/>
    </row>
    <row r="80">
      <c r="A80" s="32"/>
      <c r="B80" s="32"/>
      <c r="C80" s="32"/>
      <c r="D80" s="32"/>
    </row>
    <row r="81">
      <c r="A81" s="32"/>
      <c r="B81" s="32"/>
      <c r="C81" s="32"/>
      <c r="D81" s="32"/>
    </row>
    <row r="82">
      <c r="A82" s="32"/>
      <c r="B82" s="32"/>
      <c r="C82" s="32"/>
      <c r="D82" s="32"/>
    </row>
    <row r="83">
      <c r="A83" s="32"/>
      <c r="B83" s="32"/>
      <c r="C83" s="32"/>
      <c r="D83" s="32"/>
    </row>
    <row r="84">
      <c r="A84" s="32"/>
      <c r="B84" s="32"/>
      <c r="C84" s="32"/>
      <c r="D84" s="32"/>
    </row>
    <row r="85">
      <c r="A85" s="32"/>
      <c r="B85" s="32"/>
      <c r="C85" s="32"/>
      <c r="D85" s="32"/>
    </row>
    <row r="86">
      <c r="A86" s="32"/>
      <c r="B86" s="32"/>
      <c r="C86" s="32"/>
      <c r="D86" s="32"/>
    </row>
    <row r="87">
      <c r="A87" s="32"/>
      <c r="B87" s="32"/>
      <c r="C87" s="32"/>
      <c r="D87" s="32"/>
    </row>
    <row r="88">
      <c r="A88" s="32"/>
      <c r="B88" s="32"/>
      <c r="C88" s="32"/>
      <c r="D88" s="32"/>
    </row>
    <row r="89">
      <c r="A89" s="32"/>
      <c r="B89" s="32"/>
      <c r="C89" s="32"/>
      <c r="D89" s="32"/>
    </row>
    <row r="90">
      <c r="A90" s="32"/>
      <c r="B90" s="32"/>
      <c r="C90" s="32"/>
      <c r="D90" s="32"/>
    </row>
    <row r="91">
      <c r="A91" s="32"/>
      <c r="B91" s="32"/>
      <c r="C91" s="32"/>
      <c r="D91" s="32"/>
    </row>
    <row r="92">
      <c r="A92" s="32"/>
      <c r="B92" s="32"/>
      <c r="C92" s="32"/>
      <c r="D92" s="32"/>
    </row>
    <row r="93">
      <c r="A93" s="32"/>
      <c r="B93" s="32"/>
      <c r="C93" s="32"/>
      <c r="D93" s="32"/>
    </row>
    <row r="94">
      <c r="A94" s="32"/>
      <c r="B94" s="32"/>
      <c r="C94" s="32"/>
      <c r="D94" s="32"/>
    </row>
    <row r="95">
      <c r="A95" s="32"/>
      <c r="B95" s="32"/>
      <c r="C95" s="32"/>
      <c r="D95" s="32"/>
    </row>
    <row r="96">
      <c r="A96" s="32"/>
      <c r="B96" s="32"/>
      <c r="C96" s="32"/>
      <c r="D96" s="32"/>
    </row>
    <row r="97">
      <c r="A97" s="32"/>
      <c r="B97" s="32"/>
      <c r="C97" s="32"/>
      <c r="D97" s="32"/>
    </row>
    <row r="98">
      <c r="A98" s="32"/>
      <c r="B98" s="32"/>
      <c r="C98" s="32"/>
      <c r="D98" s="32"/>
    </row>
    <row r="99">
      <c r="A99" s="32"/>
      <c r="B99" s="32"/>
      <c r="C99" s="32"/>
      <c r="D99" s="32"/>
    </row>
    <row r="100">
      <c r="A100" s="32"/>
      <c r="B100" s="32"/>
      <c r="C100" s="32"/>
      <c r="D100" s="32"/>
    </row>
    <row r="101">
      <c r="A101" s="32"/>
      <c r="B101" s="32"/>
      <c r="C101" s="32"/>
      <c r="D101" s="32"/>
    </row>
    <row r="102">
      <c r="A102" s="32"/>
      <c r="B102" s="32"/>
      <c r="C102" s="32"/>
      <c r="D102" s="32"/>
    </row>
    <row r="103">
      <c r="A103" s="32"/>
      <c r="B103" s="32"/>
      <c r="C103" s="32"/>
      <c r="D103" s="32"/>
    </row>
    <row r="104">
      <c r="A104" s="32"/>
      <c r="B104" s="32"/>
      <c r="C104" s="32"/>
      <c r="D104" s="32"/>
    </row>
    <row r="105">
      <c r="A105" s="32"/>
      <c r="B105" s="32"/>
      <c r="C105" s="32"/>
      <c r="D105" s="32"/>
    </row>
    <row r="106">
      <c r="A106" s="32"/>
      <c r="B106" s="32"/>
      <c r="C106" s="32"/>
      <c r="D106" s="32"/>
    </row>
    <row r="107">
      <c r="A107" s="32"/>
      <c r="B107" s="32"/>
      <c r="C107" s="32"/>
      <c r="D107" s="32"/>
    </row>
    <row r="108">
      <c r="A108" s="32"/>
      <c r="B108" s="32"/>
      <c r="C108" s="32"/>
      <c r="D108" s="32"/>
    </row>
    <row r="109">
      <c r="A109" s="32"/>
      <c r="B109" s="32"/>
      <c r="C109" s="32"/>
      <c r="D109" s="32"/>
    </row>
    <row r="110">
      <c r="A110" s="32"/>
      <c r="B110" s="32"/>
      <c r="C110" s="32"/>
      <c r="D110" s="32"/>
    </row>
    <row r="111">
      <c r="A111" s="32"/>
      <c r="B111" s="32"/>
      <c r="C111" s="32"/>
      <c r="D111" s="32"/>
    </row>
    <row r="112">
      <c r="A112" s="32"/>
      <c r="B112" s="32"/>
      <c r="C112" s="32"/>
      <c r="D112" s="32"/>
    </row>
    <row r="113">
      <c r="A113" s="32"/>
      <c r="B113" s="32"/>
      <c r="C113" s="32"/>
      <c r="D113" s="32"/>
    </row>
    <row r="114">
      <c r="A114" s="32"/>
      <c r="B114" s="32"/>
      <c r="C114" s="32"/>
      <c r="D114" s="32"/>
    </row>
    <row r="115">
      <c r="A115" s="32"/>
      <c r="B115" s="32"/>
      <c r="C115" s="32"/>
      <c r="D115" s="32"/>
    </row>
    <row r="116">
      <c r="A116" s="32"/>
      <c r="B116" s="32"/>
      <c r="C116" s="32"/>
      <c r="D116" s="32"/>
    </row>
    <row r="117">
      <c r="A117" s="32"/>
      <c r="B117" s="32"/>
      <c r="C117" s="32"/>
      <c r="D117" s="32"/>
    </row>
    <row r="118">
      <c r="A118" s="32"/>
      <c r="B118" s="32"/>
      <c r="C118" s="32"/>
      <c r="D118" s="32"/>
    </row>
    <row r="119">
      <c r="A119" s="32"/>
      <c r="B119" s="32"/>
      <c r="C119" s="32"/>
      <c r="D119" s="32"/>
    </row>
    <row r="120">
      <c r="A120" s="32"/>
      <c r="B120" s="32"/>
      <c r="C120" s="32"/>
      <c r="D120" s="32"/>
    </row>
    <row r="121">
      <c r="A121" s="32"/>
      <c r="B121" s="32"/>
      <c r="C121" s="32"/>
      <c r="D121" s="32"/>
    </row>
    <row r="122">
      <c r="A122" s="32"/>
      <c r="B122" s="32"/>
      <c r="C122" s="32"/>
      <c r="D122" s="32"/>
    </row>
    <row r="123">
      <c r="A123" s="32"/>
      <c r="B123" s="32"/>
      <c r="C123" s="32"/>
      <c r="D123" s="32"/>
    </row>
    <row r="124">
      <c r="A124" s="32"/>
      <c r="B124" s="32"/>
      <c r="C124" s="32"/>
      <c r="D124" s="32"/>
    </row>
    <row r="125">
      <c r="A125" s="32"/>
      <c r="B125" s="32"/>
      <c r="C125" s="32"/>
      <c r="D125" s="32"/>
    </row>
    <row r="126">
      <c r="A126" s="32"/>
      <c r="B126" s="32"/>
      <c r="C126" s="32"/>
      <c r="D126" s="32"/>
    </row>
    <row r="127">
      <c r="A127" s="32"/>
      <c r="B127" s="32"/>
      <c r="C127" s="32"/>
      <c r="D127" s="32"/>
    </row>
    <row r="128">
      <c r="A128" s="32"/>
      <c r="B128" s="32"/>
      <c r="C128" s="32"/>
      <c r="D128" s="32"/>
    </row>
    <row r="129">
      <c r="A129" s="32"/>
      <c r="B129" s="32"/>
      <c r="C129" s="32"/>
      <c r="D129" s="32"/>
    </row>
    <row r="130">
      <c r="A130" s="32"/>
      <c r="B130" s="32"/>
      <c r="C130" s="32"/>
      <c r="D130" s="32"/>
    </row>
    <row r="131">
      <c r="A131" s="32"/>
      <c r="B131" s="32"/>
      <c r="C131" s="32"/>
      <c r="D131" s="32"/>
    </row>
    <row r="132">
      <c r="A132" s="32"/>
      <c r="B132" s="32"/>
      <c r="C132" s="32"/>
      <c r="D132" s="32"/>
    </row>
    <row r="133">
      <c r="A133" s="32"/>
      <c r="B133" s="32"/>
      <c r="C133" s="32"/>
      <c r="D133" s="32"/>
    </row>
    <row r="134">
      <c r="A134" s="32"/>
      <c r="B134" s="32"/>
      <c r="C134" s="32"/>
      <c r="D134" s="32"/>
    </row>
    <row r="135">
      <c r="A135" s="32"/>
      <c r="B135" s="32"/>
      <c r="C135" s="32"/>
      <c r="D135" s="32"/>
    </row>
    <row r="136">
      <c r="A136" s="32"/>
      <c r="B136" s="32"/>
      <c r="C136" s="32"/>
      <c r="D136" s="32"/>
    </row>
    <row r="137">
      <c r="A137" s="32"/>
      <c r="B137" s="32"/>
      <c r="C137" s="32"/>
      <c r="D137" s="32"/>
    </row>
    <row r="138">
      <c r="A138" s="32"/>
      <c r="B138" s="32"/>
      <c r="C138" s="32"/>
      <c r="D138" s="32"/>
    </row>
    <row r="139">
      <c r="A139" s="32"/>
      <c r="B139" s="32"/>
      <c r="C139" s="32"/>
      <c r="D139" s="32"/>
    </row>
    <row r="140">
      <c r="A140" s="32"/>
      <c r="B140" s="32"/>
      <c r="C140" s="32"/>
      <c r="D140" s="32"/>
    </row>
    <row r="141">
      <c r="A141" s="32"/>
      <c r="B141" s="32"/>
      <c r="C141" s="32"/>
      <c r="D141" s="32"/>
    </row>
    <row r="142">
      <c r="A142" s="32"/>
      <c r="B142" s="32"/>
      <c r="C142" s="32"/>
      <c r="D142" s="32"/>
    </row>
    <row r="143">
      <c r="A143" s="32"/>
      <c r="B143" s="32"/>
      <c r="C143" s="32"/>
      <c r="D143" s="32"/>
    </row>
    <row r="144">
      <c r="A144" s="32"/>
      <c r="B144" s="32"/>
      <c r="C144" s="32"/>
      <c r="D144" s="32"/>
    </row>
    <row r="145">
      <c r="A145" s="32"/>
      <c r="B145" s="32"/>
      <c r="C145" s="32"/>
      <c r="D145" s="32"/>
    </row>
    <row r="146">
      <c r="A146" s="32"/>
      <c r="B146" s="32"/>
      <c r="C146" s="32"/>
      <c r="D146" s="32"/>
    </row>
    <row r="147">
      <c r="A147" s="32"/>
      <c r="B147" s="32"/>
      <c r="C147" s="32"/>
      <c r="D147" s="32"/>
    </row>
    <row r="148">
      <c r="A148" s="32"/>
      <c r="B148" s="32"/>
      <c r="C148" s="32"/>
      <c r="D148" s="32"/>
    </row>
    <row r="149">
      <c r="A149" s="32"/>
      <c r="B149" s="32"/>
      <c r="C149" s="32"/>
      <c r="D149" s="32"/>
    </row>
    <row r="150">
      <c r="A150" s="32"/>
      <c r="B150" s="32"/>
      <c r="C150" s="32"/>
      <c r="D150" s="32"/>
    </row>
    <row r="151">
      <c r="A151" s="32"/>
      <c r="B151" s="32"/>
      <c r="C151" s="32"/>
      <c r="D151" s="32"/>
    </row>
    <row r="152">
      <c r="A152" s="32"/>
      <c r="B152" s="32"/>
      <c r="C152" s="32"/>
      <c r="D152" s="32"/>
    </row>
    <row r="153">
      <c r="A153" s="32"/>
      <c r="B153" s="32"/>
      <c r="C153" s="32"/>
      <c r="D153" s="32"/>
    </row>
    <row r="154">
      <c r="A154" s="32"/>
      <c r="B154" s="32"/>
      <c r="C154" s="32"/>
      <c r="D154" s="32"/>
    </row>
    <row r="155">
      <c r="A155" s="32"/>
      <c r="B155" s="32"/>
      <c r="C155" s="32"/>
      <c r="D155" s="32"/>
    </row>
    <row r="156">
      <c r="A156" s="32"/>
      <c r="B156" s="32"/>
      <c r="C156" s="32"/>
      <c r="D156" s="32"/>
    </row>
    <row r="157">
      <c r="A157" s="32"/>
      <c r="B157" s="32"/>
      <c r="C157" s="32"/>
      <c r="D157" s="32"/>
    </row>
    <row r="158">
      <c r="A158" s="32"/>
      <c r="B158" s="32"/>
      <c r="C158" s="32"/>
      <c r="D158" s="32"/>
    </row>
    <row r="159">
      <c r="A159" s="32"/>
      <c r="B159" s="32"/>
      <c r="C159" s="32"/>
      <c r="D159" s="32"/>
    </row>
    <row r="160">
      <c r="A160" s="32"/>
      <c r="B160" s="32"/>
      <c r="C160" s="32"/>
      <c r="D160" s="32"/>
    </row>
    <row r="161">
      <c r="A161" s="32"/>
      <c r="B161" s="32"/>
      <c r="C161" s="32"/>
      <c r="D161" s="32"/>
    </row>
    <row r="162">
      <c r="A162" s="32"/>
      <c r="B162" s="32"/>
      <c r="C162" s="32"/>
      <c r="D162" s="32"/>
    </row>
    <row r="163">
      <c r="A163" s="32"/>
      <c r="B163" s="32"/>
      <c r="C163" s="32"/>
      <c r="D163" s="32"/>
    </row>
    <row r="164">
      <c r="A164" s="32"/>
      <c r="B164" s="32"/>
      <c r="C164" s="32"/>
      <c r="D164" s="32"/>
    </row>
    <row r="165">
      <c r="A165" s="32"/>
      <c r="B165" s="32"/>
      <c r="C165" s="32"/>
      <c r="D165" s="32"/>
    </row>
    <row r="166">
      <c r="A166" s="32"/>
      <c r="B166" s="32"/>
      <c r="C166" s="32"/>
      <c r="D166" s="32"/>
    </row>
    <row r="167">
      <c r="A167" s="32"/>
      <c r="B167" s="32"/>
      <c r="C167" s="32"/>
      <c r="D167" s="32"/>
    </row>
    <row r="168">
      <c r="A168" s="32"/>
      <c r="B168" s="32"/>
      <c r="C168" s="32"/>
      <c r="D168" s="32"/>
    </row>
    <row r="169">
      <c r="A169" s="32"/>
      <c r="B169" s="32"/>
      <c r="C169" s="32"/>
      <c r="D169" s="32"/>
    </row>
    <row r="170">
      <c r="A170" s="32"/>
      <c r="B170" s="32"/>
      <c r="C170" s="32"/>
      <c r="D170" s="32"/>
    </row>
    <row r="171">
      <c r="A171" s="32"/>
      <c r="B171" s="32"/>
      <c r="C171" s="32"/>
      <c r="D171" s="32"/>
    </row>
    <row r="172">
      <c r="A172" s="32"/>
      <c r="B172" s="32"/>
      <c r="C172" s="32"/>
      <c r="D172" s="32"/>
    </row>
    <row r="173">
      <c r="A173" s="32"/>
      <c r="B173" s="32"/>
      <c r="C173" s="32"/>
      <c r="D173" s="32"/>
    </row>
    <row r="174">
      <c r="A174" s="32"/>
      <c r="B174" s="32"/>
      <c r="C174" s="32"/>
      <c r="D174" s="32"/>
    </row>
    <row r="175">
      <c r="A175" s="32"/>
      <c r="B175" s="32"/>
      <c r="C175" s="32"/>
      <c r="D175" s="32"/>
    </row>
    <row r="176">
      <c r="A176" s="32"/>
      <c r="B176" s="32"/>
      <c r="C176" s="32"/>
      <c r="D176" s="32"/>
    </row>
    <row r="177">
      <c r="A177" s="32"/>
      <c r="B177" s="32"/>
      <c r="C177" s="32"/>
      <c r="D177" s="32"/>
    </row>
    <row r="178">
      <c r="A178" s="32"/>
      <c r="B178" s="32"/>
      <c r="C178" s="32"/>
      <c r="D178" s="32"/>
    </row>
    <row r="179">
      <c r="A179" s="32"/>
      <c r="B179" s="32"/>
      <c r="C179" s="32"/>
      <c r="D179" s="32"/>
    </row>
    <row r="180">
      <c r="A180" s="32"/>
      <c r="B180" s="32"/>
      <c r="C180" s="32"/>
      <c r="D180" s="32"/>
    </row>
    <row r="181">
      <c r="A181" s="32"/>
      <c r="B181" s="32"/>
      <c r="C181" s="32"/>
      <c r="D181" s="32"/>
    </row>
    <row r="182">
      <c r="A182" s="32"/>
      <c r="B182" s="32"/>
      <c r="C182" s="32"/>
      <c r="D182" s="32"/>
    </row>
    <row r="183">
      <c r="A183" s="32"/>
      <c r="B183" s="32"/>
      <c r="C183" s="32"/>
      <c r="D183" s="32"/>
    </row>
    <row r="184">
      <c r="A184" s="32"/>
      <c r="B184" s="32"/>
      <c r="C184" s="32"/>
      <c r="D184" s="32"/>
    </row>
    <row r="185">
      <c r="A185" s="32"/>
      <c r="B185" s="32"/>
      <c r="C185" s="32"/>
      <c r="D185" s="32"/>
    </row>
    <row r="186">
      <c r="A186" s="32"/>
      <c r="B186" s="32"/>
      <c r="C186" s="32"/>
      <c r="D186" s="32"/>
    </row>
    <row r="187">
      <c r="A187" s="32"/>
      <c r="B187" s="32"/>
      <c r="C187" s="32"/>
      <c r="D187" s="32"/>
    </row>
    <row r="188">
      <c r="A188" s="32"/>
      <c r="B188" s="32"/>
      <c r="C188" s="32"/>
      <c r="D188" s="32"/>
    </row>
    <row r="189">
      <c r="A189" s="32"/>
      <c r="B189" s="32"/>
      <c r="C189" s="32"/>
      <c r="D189" s="32"/>
    </row>
    <row r="190">
      <c r="A190" s="32"/>
      <c r="B190" s="32"/>
      <c r="C190" s="32"/>
      <c r="D190" s="32"/>
    </row>
    <row r="191">
      <c r="A191" s="32"/>
      <c r="B191" s="32"/>
      <c r="C191" s="32"/>
      <c r="D191" s="32"/>
    </row>
    <row r="192">
      <c r="A192" s="32"/>
      <c r="B192" s="32"/>
      <c r="C192" s="32"/>
      <c r="D192" s="32"/>
    </row>
    <row r="193">
      <c r="A193" s="32"/>
      <c r="B193" s="32"/>
      <c r="C193" s="32"/>
      <c r="D193" s="32"/>
    </row>
    <row r="194">
      <c r="A194" s="32"/>
      <c r="B194" s="32"/>
      <c r="C194" s="32"/>
      <c r="D194" s="32"/>
    </row>
    <row r="195">
      <c r="A195" s="32"/>
      <c r="B195" s="32"/>
      <c r="C195" s="32"/>
      <c r="D195" s="32"/>
    </row>
    <row r="196">
      <c r="A196" s="32"/>
      <c r="B196" s="32"/>
      <c r="C196" s="32"/>
      <c r="D196" s="32"/>
    </row>
    <row r="197">
      <c r="A197" s="32"/>
      <c r="B197" s="32"/>
      <c r="C197" s="32"/>
      <c r="D197" s="32"/>
    </row>
    <row r="198">
      <c r="A198" s="32"/>
      <c r="B198" s="32"/>
      <c r="C198" s="32"/>
      <c r="D198" s="32"/>
    </row>
    <row r="199">
      <c r="A199" s="32"/>
      <c r="B199" s="32"/>
      <c r="C199" s="32"/>
      <c r="D199" s="32"/>
    </row>
    <row r="200">
      <c r="A200" s="32"/>
      <c r="B200" s="32"/>
      <c r="C200" s="32"/>
      <c r="D200" s="32"/>
    </row>
    <row r="201">
      <c r="A201" s="32"/>
      <c r="B201" s="32"/>
      <c r="C201" s="32"/>
      <c r="D201" s="32"/>
    </row>
    <row r="202">
      <c r="A202" s="32"/>
      <c r="B202" s="32"/>
      <c r="C202" s="32"/>
      <c r="D202" s="32"/>
    </row>
    <row r="203">
      <c r="A203" s="32"/>
      <c r="B203" s="32"/>
      <c r="C203" s="32"/>
      <c r="D203" s="32"/>
    </row>
    <row r="204">
      <c r="A204" s="32"/>
      <c r="B204" s="32"/>
      <c r="C204" s="32"/>
      <c r="D204" s="32"/>
    </row>
    <row r="205">
      <c r="A205" s="32"/>
      <c r="B205" s="32"/>
      <c r="C205" s="32"/>
      <c r="D205" s="32"/>
    </row>
    <row r="206">
      <c r="A206" s="32"/>
      <c r="B206" s="32"/>
      <c r="C206" s="32"/>
      <c r="D206" s="32"/>
    </row>
    <row r="207">
      <c r="A207" s="32"/>
      <c r="B207" s="32"/>
      <c r="C207" s="32"/>
      <c r="D207" s="32"/>
    </row>
    <row r="208">
      <c r="A208" s="32"/>
      <c r="B208" s="32"/>
      <c r="C208" s="32"/>
      <c r="D208" s="32"/>
    </row>
    <row r="209">
      <c r="A209" s="32"/>
      <c r="B209" s="32"/>
      <c r="C209" s="32"/>
      <c r="D209" s="32"/>
    </row>
    <row r="210">
      <c r="A210" s="32"/>
      <c r="B210" s="32"/>
      <c r="C210" s="32"/>
      <c r="D210" s="32"/>
    </row>
    <row r="211">
      <c r="A211" s="32"/>
      <c r="B211" s="32"/>
      <c r="C211" s="32"/>
      <c r="D211" s="32"/>
    </row>
    <row r="212">
      <c r="A212" s="32"/>
      <c r="B212" s="32"/>
      <c r="C212" s="32"/>
      <c r="D212" s="32"/>
    </row>
    <row r="213">
      <c r="A213" s="32"/>
      <c r="B213" s="32"/>
      <c r="C213" s="32"/>
      <c r="D213" s="32"/>
    </row>
    <row r="214">
      <c r="A214" s="32"/>
      <c r="B214" s="32"/>
      <c r="C214" s="32"/>
      <c r="D214" s="32"/>
    </row>
    <row r="215">
      <c r="A215" s="32"/>
      <c r="B215" s="32"/>
      <c r="C215" s="32"/>
      <c r="D215" s="32"/>
    </row>
    <row r="216">
      <c r="A216" s="32"/>
      <c r="B216" s="32"/>
      <c r="C216" s="32"/>
      <c r="D216" s="32"/>
    </row>
    <row r="217">
      <c r="A217" s="32"/>
      <c r="B217" s="32"/>
      <c r="C217" s="32"/>
      <c r="D217" s="32"/>
    </row>
    <row r="218">
      <c r="A218" s="32"/>
      <c r="B218" s="32"/>
      <c r="C218" s="32"/>
      <c r="D218" s="32"/>
    </row>
    <row r="219">
      <c r="A219" s="32"/>
      <c r="B219" s="32"/>
      <c r="C219" s="32"/>
      <c r="D219" s="32"/>
    </row>
    <row r="220">
      <c r="A220" s="32"/>
      <c r="B220" s="32"/>
      <c r="C220" s="32"/>
      <c r="D220" s="32"/>
    </row>
    <row r="221">
      <c r="A221" s="32"/>
      <c r="B221" s="32"/>
      <c r="C221" s="32"/>
      <c r="D221" s="32"/>
    </row>
    <row r="222">
      <c r="A222" s="32"/>
      <c r="B222" s="32"/>
      <c r="C222" s="32"/>
      <c r="D222" s="32"/>
    </row>
    <row r="223">
      <c r="A223" s="32"/>
      <c r="B223" s="32"/>
      <c r="C223" s="32"/>
      <c r="D223" s="32"/>
    </row>
    <row r="224">
      <c r="A224" s="32"/>
      <c r="B224" s="32"/>
      <c r="C224" s="32"/>
      <c r="D224" s="32"/>
    </row>
    <row r="225">
      <c r="A225" s="32"/>
      <c r="B225" s="32"/>
      <c r="C225" s="32"/>
      <c r="D225" s="32"/>
    </row>
    <row r="226">
      <c r="A226" s="32"/>
      <c r="B226" s="32"/>
      <c r="C226" s="32"/>
      <c r="D226" s="32"/>
    </row>
    <row r="227">
      <c r="A227" s="32"/>
      <c r="B227" s="32"/>
      <c r="C227" s="32"/>
      <c r="D227" s="32"/>
    </row>
    <row r="228">
      <c r="A228" s="32"/>
      <c r="B228" s="32"/>
      <c r="C228" s="32"/>
      <c r="D228" s="32"/>
    </row>
    <row r="229">
      <c r="A229" s="32"/>
      <c r="B229" s="32"/>
      <c r="C229" s="32"/>
      <c r="D229" s="32"/>
    </row>
    <row r="230">
      <c r="A230" s="32"/>
      <c r="B230" s="32"/>
      <c r="C230" s="32"/>
      <c r="D230" s="32"/>
    </row>
    <row r="231">
      <c r="A231" s="32"/>
      <c r="B231" s="32"/>
      <c r="C231" s="32"/>
      <c r="D231" s="32"/>
    </row>
    <row r="232">
      <c r="A232" s="32"/>
      <c r="B232" s="32"/>
      <c r="C232" s="32"/>
      <c r="D232" s="32"/>
    </row>
    <row r="233">
      <c r="A233" s="32"/>
      <c r="B233" s="32"/>
      <c r="C233" s="32"/>
      <c r="D233" s="32"/>
    </row>
    <row r="234">
      <c r="A234" s="32"/>
      <c r="B234" s="32"/>
      <c r="C234" s="32"/>
      <c r="D234" s="32"/>
    </row>
    <row r="235">
      <c r="A235" s="32"/>
      <c r="B235" s="32"/>
      <c r="C235" s="32"/>
      <c r="D235" s="32"/>
    </row>
    <row r="236">
      <c r="A236" s="32"/>
      <c r="B236" s="32"/>
      <c r="C236" s="32"/>
      <c r="D236" s="32"/>
    </row>
    <row r="237">
      <c r="A237" s="32"/>
      <c r="B237" s="32"/>
      <c r="C237" s="32"/>
      <c r="D237" s="32"/>
    </row>
    <row r="238">
      <c r="A238" s="32"/>
      <c r="B238" s="32"/>
      <c r="C238" s="32"/>
      <c r="D238" s="32"/>
    </row>
    <row r="239">
      <c r="A239" s="32"/>
      <c r="B239" s="32"/>
      <c r="C239" s="32"/>
      <c r="D239" s="32"/>
    </row>
    <row r="240">
      <c r="A240" s="32"/>
      <c r="B240" s="32"/>
      <c r="C240" s="32"/>
      <c r="D240" s="32"/>
    </row>
    <row r="241">
      <c r="A241" s="32"/>
      <c r="B241" s="32"/>
      <c r="C241" s="32"/>
      <c r="D241" s="32"/>
    </row>
    <row r="242">
      <c r="A242" s="32"/>
      <c r="B242" s="32"/>
      <c r="C242" s="32"/>
      <c r="D242" s="32"/>
    </row>
    <row r="243">
      <c r="A243" s="32"/>
      <c r="B243" s="32"/>
      <c r="C243" s="32"/>
      <c r="D243" s="32"/>
    </row>
    <row r="244">
      <c r="A244" s="32"/>
      <c r="B244" s="32"/>
      <c r="C244" s="32"/>
      <c r="D244" s="32"/>
    </row>
    <row r="245">
      <c r="A245" s="32"/>
      <c r="B245" s="32"/>
      <c r="C245" s="32"/>
      <c r="D245" s="32"/>
    </row>
    <row r="246">
      <c r="A246" s="32"/>
      <c r="B246" s="32"/>
      <c r="C246" s="32"/>
      <c r="D246" s="32"/>
    </row>
    <row r="247">
      <c r="A247" s="32"/>
      <c r="B247" s="32"/>
      <c r="C247" s="32"/>
      <c r="D247" s="32"/>
    </row>
    <row r="248">
      <c r="A248" s="32"/>
      <c r="B248" s="32"/>
      <c r="C248" s="32"/>
      <c r="D248" s="32"/>
    </row>
    <row r="249">
      <c r="A249" s="32"/>
      <c r="B249" s="32"/>
      <c r="C249" s="32"/>
      <c r="D249" s="32"/>
    </row>
    <row r="250">
      <c r="A250" s="32"/>
      <c r="B250" s="32"/>
      <c r="C250" s="32"/>
      <c r="D250" s="32"/>
    </row>
    <row r="251">
      <c r="A251" s="32"/>
      <c r="B251" s="32"/>
      <c r="C251" s="32"/>
      <c r="D251" s="32"/>
    </row>
    <row r="252">
      <c r="A252" s="32"/>
      <c r="B252" s="32"/>
      <c r="C252" s="32"/>
      <c r="D252" s="32"/>
    </row>
    <row r="253">
      <c r="A253" s="32"/>
      <c r="B253" s="32"/>
      <c r="C253" s="32"/>
      <c r="D253" s="32"/>
    </row>
    <row r="254">
      <c r="A254" s="32"/>
      <c r="B254" s="32"/>
      <c r="C254" s="32"/>
      <c r="D254" s="32"/>
    </row>
    <row r="255">
      <c r="A255" s="32"/>
      <c r="B255" s="32"/>
      <c r="C255" s="32"/>
      <c r="D255" s="32"/>
    </row>
    <row r="256">
      <c r="A256" s="32"/>
      <c r="B256" s="32"/>
      <c r="C256" s="32"/>
      <c r="D256" s="32"/>
    </row>
    <row r="257">
      <c r="A257" s="32"/>
      <c r="B257" s="32"/>
      <c r="C257" s="32"/>
      <c r="D257" s="32"/>
    </row>
    <row r="258">
      <c r="A258" s="32"/>
      <c r="B258" s="32"/>
      <c r="C258" s="32"/>
      <c r="D258" s="32"/>
    </row>
    <row r="259">
      <c r="A259" s="32"/>
      <c r="B259" s="32"/>
      <c r="C259" s="32"/>
      <c r="D259" s="32"/>
    </row>
    <row r="260">
      <c r="A260" s="32"/>
      <c r="B260" s="32"/>
      <c r="C260" s="32"/>
      <c r="D260" s="32"/>
    </row>
    <row r="261">
      <c r="A261" s="32"/>
      <c r="B261" s="32"/>
      <c r="C261" s="32"/>
      <c r="D261" s="32"/>
    </row>
    <row r="262">
      <c r="A262" s="32"/>
      <c r="B262" s="32"/>
      <c r="C262" s="32"/>
      <c r="D262" s="32"/>
    </row>
    <row r="263">
      <c r="A263" s="32"/>
      <c r="B263" s="32"/>
      <c r="C263" s="32"/>
      <c r="D263" s="32"/>
    </row>
    <row r="264">
      <c r="A264" s="32"/>
      <c r="B264" s="32"/>
      <c r="C264" s="32"/>
      <c r="D264" s="32"/>
    </row>
    <row r="265">
      <c r="A265" s="32"/>
      <c r="B265" s="32"/>
      <c r="C265" s="32"/>
      <c r="D265" s="32"/>
    </row>
    <row r="266">
      <c r="A266" s="32"/>
      <c r="B266" s="32"/>
      <c r="C266" s="32"/>
      <c r="D266" s="32"/>
    </row>
    <row r="267">
      <c r="A267" s="32"/>
      <c r="B267" s="32"/>
      <c r="C267" s="32"/>
      <c r="D267" s="32"/>
    </row>
    <row r="268">
      <c r="A268" s="32"/>
      <c r="B268" s="32"/>
      <c r="C268" s="32"/>
      <c r="D268" s="32"/>
    </row>
    <row r="269">
      <c r="A269" s="32"/>
      <c r="B269" s="32"/>
      <c r="C269" s="32"/>
      <c r="D269" s="32"/>
    </row>
    <row r="270">
      <c r="A270" s="32"/>
      <c r="B270" s="32"/>
      <c r="C270" s="32"/>
      <c r="D270" s="32"/>
    </row>
    <row r="271">
      <c r="A271" s="32"/>
      <c r="B271" s="32"/>
      <c r="C271" s="32"/>
      <c r="D271" s="32"/>
    </row>
    <row r="272">
      <c r="A272" s="32"/>
      <c r="B272" s="32"/>
      <c r="C272" s="32"/>
      <c r="D272" s="32"/>
    </row>
    <row r="273">
      <c r="A273" s="32"/>
      <c r="B273" s="32"/>
      <c r="C273" s="32"/>
      <c r="D273" s="32"/>
    </row>
    <row r="274">
      <c r="A274" s="32"/>
      <c r="B274" s="32"/>
      <c r="C274" s="32"/>
      <c r="D274" s="32"/>
    </row>
    <row r="275">
      <c r="A275" s="32"/>
      <c r="B275" s="32"/>
      <c r="C275" s="32"/>
      <c r="D275" s="32"/>
    </row>
    <row r="276">
      <c r="A276" s="32"/>
      <c r="B276" s="32"/>
      <c r="C276" s="32"/>
      <c r="D276" s="32"/>
    </row>
    <row r="277">
      <c r="A277" s="32"/>
      <c r="B277" s="32"/>
      <c r="C277" s="32"/>
      <c r="D277" s="32"/>
    </row>
    <row r="278">
      <c r="A278" s="32"/>
      <c r="B278" s="32"/>
      <c r="C278" s="32"/>
      <c r="D278" s="32"/>
    </row>
    <row r="279">
      <c r="A279" s="32"/>
      <c r="B279" s="32"/>
      <c r="C279" s="32"/>
      <c r="D279" s="32"/>
    </row>
    <row r="280">
      <c r="A280" s="32"/>
      <c r="B280" s="32"/>
      <c r="C280" s="32"/>
      <c r="D280" s="32"/>
    </row>
    <row r="281">
      <c r="A281" s="32"/>
      <c r="B281" s="32"/>
      <c r="C281" s="32"/>
      <c r="D281" s="32"/>
    </row>
    <row r="282">
      <c r="A282" s="32"/>
      <c r="B282" s="32"/>
      <c r="C282" s="32"/>
      <c r="D282" s="32"/>
    </row>
    <row r="283">
      <c r="A283" s="32"/>
      <c r="B283" s="32"/>
      <c r="C283" s="32"/>
      <c r="D283" s="32"/>
    </row>
    <row r="284">
      <c r="A284" s="32"/>
      <c r="B284" s="32"/>
      <c r="C284" s="32"/>
      <c r="D284" s="32"/>
    </row>
    <row r="285">
      <c r="A285" s="32"/>
      <c r="B285" s="32"/>
      <c r="C285" s="32"/>
      <c r="D285" s="32"/>
    </row>
    <row r="286">
      <c r="A286" s="32"/>
      <c r="B286" s="32"/>
      <c r="C286" s="32"/>
      <c r="D286" s="32"/>
    </row>
    <row r="287">
      <c r="A287" s="32"/>
      <c r="B287" s="32"/>
      <c r="C287" s="32"/>
      <c r="D287" s="32"/>
    </row>
    <row r="288">
      <c r="A288" s="32"/>
      <c r="B288" s="32"/>
      <c r="C288" s="32"/>
      <c r="D288" s="32"/>
    </row>
    <row r="289">
      <c r="A289" s="32"/>
      <c r="B289" s="32"/>
      <c r="C289" s="32"/>
      <c r="D289" s="32"/>
    </row>
    <row r="290">
      <c r="A290" s="32"/>
      <c r="B290" s="32"/>
      <c r="C290" s="32"/>
      <c r="D290" s="32"/>
    </row>
    <row r="291">
      <c r="A291" s="32"/>
      <c r="B291" s="32"/>
      <c r="C291" s="32"/>
      <c r="D291" s="32"/>
    </row>
    <row r="292">
      <c r="A292" s="32"/>
      <c r="B292" s="32"/>
      <c r="C292" s="32"/>
      <c r="D292" s="32"/>
    </row>
    <row r="293">
      <c r="A293" s="32"/>
      <c r="B293" s="32"/>
      <c r="C293" s="32"/>
      <c r="D293" s="32"/>
    </row>
    <row r="294">
      <c r="A294" s="32"/>
      <c r="B294" s="32"/>
      <c r="C294" s="32"/>
      <c r="D294" s="32"/>
    </row>
    <row r="295">
      <c r="A295" s="32"/>
      <c r="B295" s="32"/>
      <c r="C295" s="32"/>
      <c r="D295" s="32"/>
    </row>
    <row r="296">
      <c r="A296" s="32"/>
      <c r="B296" s="32"/>
      <c r="C296" s="32"/>
      <c r="D296" s="32"/>
    </row>
    <row r="297">
      <c r="A297" s="32"/>
      <c r="B297" s="32"/>
      <c r="C297" s="32"/>
      <c r="D297" s="32"/>
    </row>
    <row r="298">
      <c r="A298" s="32"/>
      <c r="B298" s="32"/>
      <c r="C298" s="32"/>
      <c r="D298" s="32"/>
    </row>
    <row r="299">
      <c r="A299" s="32"/>
      <c r="B299" s="32"/>
      <c r="C299" s="32"/>
      <c r="D299" s="32"/>
    </row>
    <row r="300">
      <c r="A300" s="32"/>
      <c r="B300" s="32"/>
      <c r="C300" s="32"/>
      <c r="D300" s="32"/>
    </row>
    <row r="301">
      <c r="A301" s="32"/>
      <c r="B301" s="32"/>
      <c r="C301" s="32"/>
      <c r="D301" s="32"/>
    </row>
    <row r="302">
      <c r="A302" s="32"/>
      <c r="B302" s="32"/>
      <c r="C302" s="32"/>
      <c r="D302" s="32"/>
    </row>
    <row r="303">
      <c r="A303" s="32"/>
      <c r="B303" s="32"/>
      <c r="C303" s="32"/>
      <c r="D303" s="32"/>
    </row>
    <row r="304">
      <c r="A304" s="32"/>
      <c r="B304" s="32"/>
      <c r="C304" s="32"/>
      <c r="D304" s="32"/>
    </row>
    <row r="305">
      <c r="A305" s="32"/>
      <c r="B305" s="32"/>
      <c r="C305" s="32"/>
      <c r="D305" s="32"/>
    </row>
    <row r="306">
      <c r="A306" s="32"/>
      <c r="B306" s="32"/>
      <c r="C306" s="32"/>
      <c r="D306" s="32"/>
    </row>
    <row r="307">
      <c r="A307" s="32"/>
      <c r="B307" s="32"/>
      <c r="C307" s="32"/>
      <c r="D307" s="32"/>
    </row>
    <row r="308">
      <c r="A308" s="32"/>
      <c r="B308" s="32"/>
      <c r="C308" s="32"/>
      <c r="D308" s="32"/>
    </row>
    <row r="309">
      <c r="A309" s="32"/>
      <c r="B309" s="32"/>
      <c r="C309" s="32"/>
      <c r="D309" s="32"/>
    </row>
    <row r="310">
      <c r="A310" s="32"/>
      <c r="B310" s="32"/>
      <c r="C310" s="32"/>
      <c r="D310" s="32"/>
    </row>
    <row r="311">
      <c r="A311" s="32"/>
      <c r="B311" s="32"/>
      <c r="C311" s="32"/>
      <c r="D311" s="32"/>
    </row>
    <row r="312">
      <c r="A312" s="32"/>
      <c r="B312" s="32"/>
      <c r="C312" s="32"/>
      <c r="D312" s="32"/>
    </row>
    <row r="313">
      <c r="A313" s="32"/>
      <c r="B313" s="32"/>
      <c r="C313" s="32"/>
      <c r="D313" s="32"/>
    </row>
    <row r="314">
      <c r="A314" s="32"/>
      <c r="B314" s="32"/>
      <c r="C314" s="32"/>
      <c r="D314" s="32"/>
    </row>
    <row r="315">
      <c r="A315" s="32"/>
      <c r="B315" s="32"/>
      <c r="C315" s="32"/>
      <c r="D315" s="32"/>
    </row>
    <row r="316">
      <c r="A316" s="32"/>
      <c r="B316" s="32"/>
      <c r="C316" s="32"/>
      <c r="D316" s="32"/>
    </row>
    <row r="317">
      <c r="A317" s="32"/>
      <c r="B317" s="32"/>
      <c r="C317" s="32"/>
      <c r="D317" s="32"/>
    </row>
    <row r="318">
      <c r="A318" s="32"/>
      <c r="B318" s="32"/>
      <c r="C318" s="32"/>
      <c r="D318" s="32"/>
    </row>
    <row r="319">
      <c r="A319" s="32"/>
      <c r="B319" s="32"/>
      <c r="C319" s="32"/>
      <c r="D319" s="32"/>
    </row>
    <row r="320">
      <c r="A320" s="32"/>
      <c r="B320" s="32"/>
      <c r="C320" s="32"/>
      <c r="D320" s="32"/>
    </row>
    <row r="321">
      <c r="A321" s="32"/>
      <c r="B321" s="32"/>
      <c r="C321" s="32"/>
      <c r="D321" s="32"/>
    </row>
    <row r="322">
      <c r="A322" s="32"/>
      <c r="B322" s="32"/>
      <c r="C322" s="32"/>
      <c r="D322" s="32"/>
    </row>
    <row r="323">
      <c r="A323" s="32"/>
      <c r="B323" s="32"/>
      <c r="C323" s="32"/>
      <c r="D323" s="32"/>
    </row>
    <row r="324">
      <c r="A324" s="32"/>
      <c r="B324" s="32"/>
      <c r="C324" s="32"/>
      <c r="D324" s="32"/>
    </row>
    <row r="325">
      <c r="A325" s="32"/>
      <c r="B325" s="32"/>
      <c r="C325" s="32"/>
      <c r="D325" s="32"/>
    </row>
    <row r="326">
      <c r="A326" s="32"/>
      <c r="B326" s="32"/>
      <c r="C326" s="32"/>
      <c r="D326" s="32"/>
    </row>
    <row r="327">
      <c r="A327" s="32"/>
      <c r="B327" s="32"/>
      <c r="C327" s="32"/>
      <c r="D327" s="32"/>
    </row>
    <row r="328">
      <c r="A328" s="32"/>
      <c r="B328" s="32"/>
      <c r="C328" s="32"/>
      <c r="D328" s="32"/>
    </row>
    <row r="329">
      <c r="A329" s="32"/>
      <c r="B329" s="32"/>
      <c r="C329" s="32"/>
      <c r="D329" s="32"/>
    </row>
    <row r="330">
      <c r="A330" s="32"/>
      <c r="B330" s="32"/>
      <c r="C330" s="32"/>
      <c r="D330" s="32"/>
    </row>
    <row r="331">
      <c r="A331" s="32"/>
      <c r="B331" s="32"/>
      <c r="C331" s="32"/>
      <c r="D331" s="32"/>
    </row>
    <row r="332">
      <c r="A332" s="32"/>
      <c r="B332" s="32"/>
      <c r="C332" s="32"/>
      <c r="D332" s="32"/>
    </row>
    <row r="333">
      <c r="A333" s="32"/>
      <c r="B333" s="32"/>
      <c r="C333" s="32"/>
      <c r="D333" s="32"/>
    </row>
    <row r="334">
      <c r="A334" s="32"/>
      <c r="B334" s="32"/>
      <c r="C334" s="32"/>
      <c r="D334" s="32"/>
    </row>
    <row r="335">
      <c r="A335" s="32"/>
      <c r="B335" s="32"/>
      <c r="C335" s="32"/>
      <c r="D335" s="32"/>
    </row>
    <row r="336">
      <c r="A336" s="32"/>
      <c r="B336" s="32"/>
      <c r="C336" s="32"/>
      <c r="D336" s="32"/>
    </row>
    <row r="337">
      <c r="A337" s="32"/>
      <c r="B337" s="32"/>
      <c r="C337" s="32"/>
      <c r="D337" s="32"/>
    </row>
    <row r="338">
      <c r="A338" s="32"/>
      <c r="B338" s="32"/>
      <c r="C338" s="32"/>
      <c r="D338" s="32"/>
    </row>
    <row r="339">
      <c r="A339" s="32"/>
      <c r="B339" s="32"/>
      <c r="C339" s="32"/>
      <c r="D339" s="32"/>
    </row>
    <row r="340">
      <c r="A340" s="32"/>
      <c r="B340" s="32"/>
      <c r="C340" s="32"/>
      <c r="D340" s="32"/>
    </row>
    <row r="341">
      <c r="A341" s="32"/>
      <c r="B341" s="32"/>
      <c r="C341" s="32"/>
      <c r="D341" s="32"/>
    </row>
    <row r="342">
      <c r="A342" s="32"/>
      <c r="B342" s="32"/>
      <c r="C342" s="32"/>
      <c r="D342" s="32"/>
    </row>
    <row r="343">
      <c r="A343" s="32"/>
      <c r="B343" s="32"/>
      <c r="C343" s="32"/>
      <c r="D343" s="32"/>
    </row>
    <row r="344">
      <c r="A344" s="32"/>
      <c r="B344" s="32"/>
      <c r="C344" s="32"/>
      <c r="D344" s="32"/>
    </row>
    <row r="345">
      <c r="A345" s="32"/>
      <c r="B345" s="32"/>
      <c r="C345" s="32"/>
      <c r="D345" s="32"/>
    </row>
    <row r="346">
      <c r="A346" s="32"/>
      <c r="B346" s="32"/>
      <c r="C346" s="32"/>
      <c r="D346" s="32"/>
    </row>
    <row r="347">
      <c r="A347" s="32"/>
      <c r="B347" s="32"/>
      <c r="C347" s="32"/>
      <c r="D347" s="32"/>
    </row>
    <row r="348">
      <c r="A348" s="32"/>
      <c r="B348" s="32"/>
      <c r="C348" s="32"/>
      <c r="D348" s="32"/>
    </row>
    <row r="349">
      <c r="A349" s="32"/>
      <c r="B349" s="32"/>
      <c r="C349" s="32"/>
      <c r="D349" s="32"/>
    </row>
    <row r="350">
      <c r="A350" s="32"/>
      <c r="B350" s="32"/>
      <c r="C350" s="32"/>
      <c r="D350" s="32"/>
    </row>
    <row r="351">
      <c r="A351" s="32"/>
      <c r="B351" s="32"/>
      <c r="C351" s="32"/>
      <c r="D351" s="32"/>
    </row>
    <row r="352">
      <c r="A352" s="32"/>
      <c r="B352" s="32"/>
      <c r="C352" s="32"/>
      <c r="D352" s="32"/>
    </row>
    <row r="353">
      <c r="A353" s="32"/>
      <c r="B353" s="32"/>
      <c r="C353" s="32"/>
      <c r="D353" s="32"/>
    </row>
    <row r="354">
      <c r="A354" s="32"/>
      <c r="B354" s="32"/>
      <c r="C354" s="32"/>
      <c r="D354" s="32"/>
    </row>
    <row r="355">
      <c r="A355" s="32"/>
      <c r="B355" s="32"/>
      <c r="C355" s="32"/>
      <c r="D355" s="32"/>
    </row>
    <row r="356">
      <c r="A356" s="32"/>
      <c r="B356" s="32"/>
      <c r="C356" s="32"/>
      <c r="D356" s="32"/>
    </row>
    <row r="357">
      <c r="A357" s="32"/>
      <c r="B357" s="32"/>
      <c r="C357" s="32"/>
      <c r="D357" s="32"/>
    </row>
    <row r="358">
      <c r="A358" s="32"/>
      <c r="B358" s="32"/>
      <c r="C358" s="32"/>
      <c r="D358" s="32"/>
    </row>
    <row r="359">
      <c r="A359" s="32"/>
      <c r="B359" s="32"/>
      <c r="C359" s="32"/>
      <c r="D359" s="32"/>
    </row>
    <row r="360">
      <c r="A360" s="32"/>
      <c r="B360" s="32"/>
      <c r="C360" s="32"/>
      <c r="D360" s="32"/>
    </row>
    <row r="361">
      <c r="A361" s="32"/>
      <c r="B361" s="32"/>
      <c r="C361" s="32"/>
      <c r="D361" s="32"/>
    </row>
    <row r="362">
      <c r="A362" s="32"/>
      <c r="B362" s="32"/>
      <c r="C362" s="32"/>
      <c r="D362" s="32"/>
    </row>
    <row r="363">
      <c r="A363" s="32"/>
      <c r="B363" s="32"/>
      <c r="C363" s="32"/>
      <c r="D363" s="32"/>
    </row>
    <row r="364">
      <c r="A364" s="32"/>
      <c r="B364" s="32"/>
      <c r="C364" s="32"/>
      <c r="D364" s="32"/>
    </row>
    <row r="365">
      <c r="A365" s="32"/>
      <c r="B365" s="32"/>
      <c r="C365" s="32"/>
      <c r="D365" s="32"/>
    </row>
    <row r="366">
      <c r="A366" s="32"/>
      <c r="B366" s="32"/>
      <c r="C366" s="32"/>
      <c r="D366" s="32"/>
    </row>
    <row r="367">
      <c r="A367" s="32"/>
      <c r="B367" s="32"/>
      <c r="C367" s="32"/>
      <c r="D367" s="32"/>
    </row>
    <row r="368">
      <c r="A368" s="32"/>
      <c r="B368" s="32"/>
      <c r="C368" s="32"/>
      <c r="D368" s="32"/>
    </row>
    <row r="369">
      <c r="A369" s="32"/>
      <c r="B369" s="32"/>
      <c r="C369" s="32"/>
      <c r="D369" s="32"/>
    </row>
    <row r="370">
      <c r="A370" s="32"/>
      <c r="B370" s="32"/>
      <c r="C370" s="32"/>
      <c r="D370" s="32"/>
    </row>
    <row r="371">
      <c r="A371" s="32"/>
      <c r="B371" s="32"/>
      <c r="C371" s="32"/>
      <c r="D371" s="32"/>
    </row>
    <row r="372">
      <c r="A372" s="32"/>
      <c r="B372" s="32"/>
      <c r="C372" s="32"/>
      <c r="D372" s="32"/>
    </row>
    <row r="373">
      <c r="A373" s="32"/>
      <c r="B373" s="32"/>
      <c r="C373" s="32"/>
      <c r="D373" s="32"/>
    </row>
    <row r="374">
      <c r="A374" s="32"/>
      <c r="B374" s="32"/>
      <c r="C374" s="32"/>
      <c r="D374" s="32"/>
    </row>
    <row r="375">
      <c r="A375" s="32"/>
      <c r="B375" s="32"/>
      <c r="C375" s="32"/>
      <c r="D375" s="32"/>
    </row>
    <row r="376">
      <c r="A376" s="32"/>
      <c r="B376" s="32"/>
      <c r="C376" s="32"/>
      <c r="D376" s="32"/>
    </row>
    <row r="377">
      <c r="A377" s="32"/>
      <c r="B377" s="32"/>
      <c r="C377" s="32"/>
      <c r="D377" s="32"/>
    </row>
    <row r="378">
      <c r="A378" s="32"/>
      <c r="B378" s="32"/>
      <c r="C378" s="32"/>
      <c r="D378" s="32"/>
    </row>
    <row r="379">
      <c r="A379" s="32"/>
      <c r="B379" s="32"/>
      <c r="C379" s="32"/>
      <c r="D379" s="32"/>
    </row>
    <row r="380">
      <c r="A380" s="32"/>
      <c r="B380" s="32"/>
      <c r="C380" s="32"/>
      <c r="D380" s="32"/>
    </row>
    <row r="381">
      <c r="A381" s="32"/>
      <c r="B381" s="32"/>
      <c r="C381" s="32"/>
      <c r="D381" s="32"/>
    </row>
    <row r="382">
      <c r="A382" s="32"/>
      <c r="B382" s="32"/>
      <c r="C382" s="32"/>
      <c r="D382" s="32"/>
    </row>
    <row r="383">
      <c r="A383" s="32"/>
      <c r="B383" s="32"/>
      <c r="C383" s="32"/>
      <c r="D383" s="32"/>
    </row>
    <row r="384">
      <c r="A384" s="32"/>
      <c r="B384" s="32"/>
      <c r="C384" s="32"/>
      <c r="D384" s="32"/>
    </row>
    <row r="385">
      <c r="A385" s="32"/>
      <c r="B385" s="32"/>
      <c r="C385" s="32"/>
      <c r="D385" s="32"/>
    </row>
    <row r="386">
      <c r="A386" s="32"/>
      <c r="B386" s="32"/>
      <c r="C386" s="32"/>
      <c r="D386" s="32"/>
    </row>
    <row r="387">
      <c r="A387" s="32"/>
      <c r="B387" s="32"/>
      <c r="C387" s="32"/>
      <c r="D387" s="32"/>
    </row>
    <row r="388">
      <c r="A388" s="32"/>
      <c r="B388" s="32"/>
      <c r="C388" s="32"/>
      <c r="D388" s="32"/>
    </row>
    <row r="389">
      <c r="A389" s="32"/>
      <c r="B389" s="32"/>
      <c r="C389" s="32"/>
      <c r="D389" s="32"/>
    </row>
    <row r="390">
      <c r="A390" s="32"/>
      <c r="B390" s="32"/>
      <c r="C390" s="32"/>
      <c r="D390" s="32"/>
    </row>
    <row r="391">
      <c r="A391" s="32"/>
      <c r="B391" s="32"/>
      <c r="C391" s="32"/>
      <c r="D391" s="32"/>
    </row>
    <row r="392">
      <c r="A392" s="32"/>
      <c r="B392" s="32"/>
      <c r="C392" s="32"/>
      <c r="D392" s="32"/>
    </row>
    <row r="393">
      <c r="A393" s="32"/>
      <c r="B393" s="32"/>
      <c r="C393" s="32"/>
      <c r="D393" s="32"/>
    </row>
    <row r="394">
      <c r="A394" s="32"/>
      <c r="B394" s="32"/>
      <c r="C394" s="32"/>
      <c r="D394" s="32"/>
    </row>
    <row r="395">
      <c r="A395" s="32"/>
      <c r="B395" s="32"/>
      <c r="C395" s="32"/>
      <c r="D395" s="32"/>
    </row>
    <row r="396">
      <c r="A396" s="32"/>
      <c r="B396" s="32"/>
      <c r="C396" s="32"/>
      <c r="D396" s="32"/>
    </row>
    <row r="397">
      <c r="A397" s="32"/>
      <c r="B397" s="32"/>
      <c r="C397" s="32"/>
      <c r="D397" s="32"/>
    </row>
    <row r="398">
      <c r="A398" s="32"/>
      <c r="B398" s="32"/>
      <c r="C398" s="32"/>
      <c r="D398" s="32"/>
    </row>
    <row r="399">
      <c r="A399" s="32"/>
      <c r="B399" s="32"/>
      <c r="C399" s="32"/>
      <c r="D399" s="32"/>
    </row>
    <row r="400">
      <c r="A400" s="32"/>
      <c r="B400" s="32"/>
      <c r="C400" s="32"/>
      <c r="D400" s="32"/>
    </row>
    <row r="401">
      <c r="A401" s="32"/>
      <c r="B401" s="32"/>
      <c r="C401" s="32"/>
      <c r="D401" s="32"/>
    </row>
    <row r="402">
      <c r="A402" s="32"/>
      <c r="B402" s="32"/>
      <c r="C402" s="32"/>
      <c r="D402" s="32"/>
    </row>
    <row r="403">
      <c r="A403" s="32"/>
      <c r="B403" s="32"/>
      <c r="C403" s="32"/>
      <c r="D403" s="32"/>
    </row>
    <row r="404">
      <c r="A404" s="32"/>
      <c r="B404" s="32"/>
      <c r="C404" s="32"/>
      <c r="D404" s="32"/>
    </row>
    <row r="405">
      <c r="A405" s="32"/>
      <c r="B405" s="32"/>
      <c r="C405" s="32"/>
      <c r="D405" s="32"/>
    </row>
    <row r="406">
      <c r="A406" s="32"/>
      <c r="B406" s="32"/>
      <c r="C406" s="32"/>
      <c r="D406" s="32"/>
    </row>
    <row r="407">
      <c r="A407" s="32"/>
      <c r="B407" s="32"/>
      <c r="C407" s="32"/>
      <c r="D407" s="32"/>
    </row>
    <row r="408">
      <c r="A408" s="32"/>
      <c r="B408" s="32"/>
      <c r="C408" s="32"/>
      <c r="D408" s="32"/>
    </row>
    <row r="409">
      <c r="A409" s="32"/>
      <c r="B409" s="32"/>
      <c r="C409" s="32"/>
      <c r="D409" s="32"/>
    </row>
    <row r="410">
      <c r="A410" s="32"/>
      <c r="B410" s="32"/>
      <c r="C410" s="32"/>
      <c r="D410" s="32"/>
    </row>
    <row r="411">
      <c r="A411" s="32"/>
      <c r="B411" s="32"/>
      <c r="C411" s="32"/>
      <c r="D411" s="32"/>
    </row>
    <row r="412">
      <c r="A412" s="32"/>
      <c r="B412" s="32"/>
      <c r="C412" s="32"/>
      <c r="D412" s="32"/>
    </row>
    <row r="413">
      <c r="A413" s="32"/>
      <c r="B413" s="32"/>
      <c r="C413" s="32"/>
      <c r="D413" s="32"/>
    </row>
    <row r="414">
      <c r="A414" s="32"/>
      <c r="B414" s="32"/>
      <c r="C414" s="32"/>
      <c r="D414" s="32"/>
    </row>
    <row r="415">
      <c r="A415" s="32"/>
      <c r="B415" s="32"/>
      <c r="C415" s="32"/>
      <c r="D415" s="32"/>
    </row>
    <row r="416">
      <c r="A416" s="32"/>
      <c r="B416" s="32"/>
      <c r="C416" s="32"/>
      <c r="D416" s="32"/>
    </row>
    <row r="417">
      <c r="A417" s="32"/>
      <c r="B417" s="32"/>
      <c r="C417" s="32"/>
      <c r="D417" s="32"/>
    </row>
    <row r="418">
      <c r="A418" s="32"/>
      <c r="B418" s="32"/>
      <c r="C418" s="32"/>
      <c r="D418" s="32"/>
    </row>
    <row r="419">
      <c r="A419" s="32"/>
      <c r="B419" s="32"/>
      <c r="C419" s="32"/>
      <c r="D419" s="32"/>
    </row>
    <row r="420">
      <c r="A420" s="32"/>
      <c r="B420" s="32"/>
      <c r="C420" s="32"/>
      <c r="D420" s="32"/>
    </row>
    <row r="421">
      <c r="A421" s="32"/>
      <c r="B421" s="32"/>
      <c r="C421" s="32"/>
      <c r="D421" s="32"/>
    </row>
    <row r="422">
      <c r="A422" s="32"/>
      <c r="B422" s="32"/>
      <c r="C422" s="32"/>
      <c r="D422" s="32"/>
    </row>
    <row r="423">
      <c r="A423" s="32"/>
      <c r="B423" s="32"/>
      <c r="C423" s="32"/>
      <c r="D423" s="32"/>
    </row>
    <row r="424">
      <c r="A424" s="32"/>
      <c r="B424" s="32"/>
      <c r="C424" s="32"/>
      <c r="D424" s="32"/>
    </row>
    <row r="425">
      <c r="A425" s="32"/>
      <c r="B425" s="32"/>
      <c r="C425" s="32"/>
      <c r="D425" s="32"/>
    </row>
    <row r="426">
      <c r="A426" s="32"/>
      <c r="B426" s="32"/>
      <c r="C426" s="32"/>
      <c r="D426" s="32"/>
    </row>
    <row r="427">
      <c r="A427" s="32"/>
      <c r="B427" s="32"/>
      <c r="C427" s="32"/>
      <c r="D427" s="32"/>
    </row>
    <row r="428">
      <c r="A428" s="32"/>
      <c r="B428" s="32"/>
      <c r="C428" s="32"/>
      <c r="D428" s="32"/>
    </row>
    <row r="429">
      <c r="A429" s="32"/>
      <c r="B429" s="32"/>
      <c r="C429" s="32"/>
      <c r="D429" s="32"/>
    </row>
    <row r="430">
      <c r="A430" s="32"/>
      <c r="B430" s="32"/>
      <c r="C430" s="32"/>
      <c r="D430" s="32"/>
    </row>
    <row r="431">
      <c r="A431" s="32"/>
      <c r="B431" s="32"/>
      <c r="C431" s="32"/>
      <c r="D431" s="32"/>
    </row>
    <row r="432">
      <c r="A432" s="32"/>
      <c r="B432" s="32"/>
      <c r="C432" s="32"/>
      <c r="D432" s="32"/>
    </row>
    <row r="433">
      <c r="A433" s="32"/>
      <c r="B433" s="32"/>
      <c r="C433" s="32"/>
      <c r="D433" s="32"/>
    </row>
    <row r="434">
      <c r="A434" s="32"/>
      <c r="B434" s="32"/>
      <c r="C434" s="32"/>
      <c r="D434" s="32"/>
    </row>
    <row r="435">
      <c r="A435" s="32"/>
      <c r="B435" s="32"/>
      <c r="C435" s="32"/>
      <c r="D435" s="32"/>
    </row>
    <row r="436">
      <c r="A436" s="32"/>
      <c r="B436" s="32"/>
      <c r="C436" s="32"/>
      <c r="D436" s="32"/>
    </row>
    <row r="437">
      <c r="A437" s="32"/>
      <c r="B437" s="32"/>
      <c r="C437" s="32"/>
      <c r="D437" s="32"/>
    </row>
    <row r="438">
      <c r="A438" s="32"/>
      <c r="B438" s="32"/>
      <c r="C438" s="32"/>
      <c r="D438" s="32"/>
    </row>
    <row r="439">
      <c r="A439" s="32"/>
      <c r="B439" s="32"/>
      <c r="C439" s="32"/>
      <c r="D439" s="32"/>
    </row>
    <row r="440">
      <c r="A440" s="32"/>
      <c r="B440" s="32"/>
      <c r="C440" s="32"/>
      <c r="D440" s="32"/>
    </row>
    <row r="441">
      <c r="A441" s="32"/>
      <c r="B441" s="32"/>
      <c r="C441" s="32"/>
      <c r="D441" s="32"/>
    </row>
    <row r="442">
      <c r="A442" s="32"/>
      <c r="B442" s="32"/>
      <c r="C442" s="32"/>
      <c r="D442" s="32"/>
    </row>
    <row r="443">
      <c r="A443" s="32"/>
      <c r="B443" s="32"/>
      <c r="C443" s="32"/>
      <c r="D443" s="32"/>
    </row>
    <row r="444">
      <c r="A444" s="32"/>
      <c r="B444" s="32"/>
      <c r="C444" s="32"/>
      <c r="D444" s="32"/>
    </row>
    <row r="445">
      <c r="A445" s="32"/>
      <c r="B445" s="32"/>
      <c r="C445" s="32"/>
      <c r="D445" s="32"/>
    </row>
    <row r="446">
      <c r="A446" s="32"/>
      <c r="B446" s="32"/>
      <c r="C446" s="32"/>
      <c r="D446" s="32"/>
    </row>
    <row r="447">
      <c r="A447" s="32"/>
      <c r="B447" s="32"/>
      <c r="C447" s="32"/>
      <c r="D447" s="32"/>
    </row>
    <row r="448">
      <c r="A448" s="32"/>
      <c r="B448" s="32"/>
      <c r="C448" s="32"/>
      <c r="D448" s="32"/>
    </row>
    <row r="449">
      <c r="A449" s="32"/>
      <c r="B449" s="32"/>
      <c r="C449" s="32"/>
      <c r="D449" s="32"/>
    </row>
    <row r="450">
      <c r="A450" s="32"/>
      <c r="B450" s="32"/>
      <c r="C450" s="32"/>
      <c r="D450" s="32"/>
    </row>
    <row r="451">
      <c r="A451" s="32"/>
      <c r="B451" s="32"/>
      <c r="C451" s="32"/>
      <c r="D451" s="32"/>
    </row>
    <row r="452">
      <c r="A452" s="32"/>
      <c r="B452" s="32"/>
      <c r="C452" s="32"/>
      <c r="D452" s="32"/>
    </row>
    <row r="453">
      <c r="A453" s="32"/>
      <c r="B453" s="32"/>
      <c r="C453" s="32"/>
      <c r="D453" s="32"/>
    </row>
    <row r="454">
      <c r="A454" s="32"/>
      <c r="B454" s="32"/>
      <c r="C454" s="32"/>
      <c r="D454" s="32"/>
    </row>
    <row r="455">
      <c r="A455" s="32"/>
      <c r="B455" s="32"/>
      <c r="C455" s="32"/>
      <c r="D455" s="32"/>
    </row>
    <row r="456">
      <c r="A456" s="32"/>
      <c r="B456" s="32"/>
      <c r="C456" s="32"/>
      <c r="D456" s="32"/>
    </row>
    <row r="457">
      <c r="A457" s="32"/>
      <c r="B457" s="32"/>
      <c r="C457" s="32"/>
      <c r="D457" s="32"/>
    </row>
    <row r="458">
      <c r="A458" s="32"/>
      <c r="B458" s="32"/>
      <c r="C458" s="32"/>
      <c r="D458" s="32"/>
    </row>
    <row r="459">
      <c r="A459" s="32"/>
      <c r="B459" s="32"/>
      <c r="C459" s="32"/>
      <c r="D459" s="32"/>
    </row>
    <row r="460">
      <c r="A460" s="32"/>
      <c r="B460" s="32"/>
      <c r="C460" s="32"/>
      <c r="D460" s="32"/>
    </row>
    <row r="461">
      <c r="A461" s="32"/>
      <c r="B461" s="32"/>
      <c r="C461" s="32"/>
      <c r="D461" s="32"/>
    </row>
    <row r="462">
      <c r="A462" s="32"/>
      <c r="B462" s="32"/>
      <c r="C462" s="32"/>
      <c r="D462" s="32"/>
    </row>
    <row r="463">
      <c r="A463" s="32"/>
      <c r="B463" s="32"/>
      <c r="C463" s="32"/>
      <c r="D463" s="32"/>
    </row>
    <row r="464">
      <c r="A464" s="32"/>
      <c r="B464" s="32"/>
      <c r="C464" s="32"/>
      <c r="D464" s="32"/>
    </row>
    <row r="465">
      <c r="A465" s="32"/>
      <c r="B465" s="32"/>
      <c r="C465" s="32"/>
      <c r="D465" s="32"/>
    </row>
    <row r="466">
      <c r="A466" s="32"/>
      <c r="B466" s="32"/>
      <c r="C466" s="32"/>
      <c r="D466" s="32"/>
    </row>
    <row r="467">
      <c r="A467" s="32"/>
      <c r="B467" s="32"/>
      <c r="C467" s="32"/>
      <c r="D467" s="32"/>
    </row>
    <row r="468">
      <c r="A468" s="32"/>
      <c r="B468" s="32"/>
      <c r="C468" s="32"/>
      <c r="D468" s="32"/>
    </row>
    <row r="469">
      <c r="A469" s="32"/>
      <c r="B469" s="32"/>
      <c r="C469" s="32"/>
      <c r="D469" s="32"/>
    </row>
    <row r="470">
      <c r="A470" s="32"/>
      <c r="B470" s="32"/>
      <c r="C470" s="32"/>
      <c r="D470" s="32"/>
    </row>
    <row r="471">
      <c r="A471" s="32"/>
      <c r="B471" s="32"/>
      <c r="C471" s="32"/>
      <c r="D471" s="32"/>
    </row>
    <row r="472">
      <c r="A472" s="32"/>
      <c r="B472" s="32"/>
      <c r="C472" s="32"/>
      <c r="D472" s="32"/>
    </row>
    <row r="473">
      <c r="A473" s="32"/>
      <c r="B473" s="32"/>
      <c r="C473" s="32"/>
      <c r="D473" s="32"/>
    </row>
    <row r="474">
      <c r="A474" s="32"/>
      <c r="B474" s="32"/>
      <c r="C474" s="32"/>
      <c r="D474" s="32"/>
    </row>
    <row r="475">
      <c r="A475" s="32"/>
      <c r="B475" s="32"/>
      <c r="C475" s="32"/>
      <c r="D475" s="32"/>
    </row>
    <row r="476">
      <c r="A476" s="32"/>
      <c r="B476" s="32"/>
      <c r="C476" s="32"/>
      <c r="D476" s="32"/>
    </row>
    <row r="477">
      <c r="A477" s="32"/>
      <c r="B477" s="32"/>
      <c r="C477" s="32"/>
      <c r="D477" s="32"/>
    </row>
    <row r="478">
      <c r="A478" s="32"/>
      <c r="B478" s="32"/>
      <c r="C478" s="32"/>
      <c r="D478" s="32"/>
    </row>
    <row r="479">
      <c r="A479" s="32"/>
      <c r="B479" s="32"/>
      <c r="C479" s="32"/>
      <c r="D479" s="32"/>
    </row>
    <row r="480">
      <c r="A480" s="32"/>
      <c r="B480" s="32"/>
      <c r="C480" s="32"/>
      <c r="D480" s="32"/>
    </row>
    <row r="481">
      <c r="A481" s="32"/>
      <c r="B481" s="32"/>
      <c r="C481" s="32"/>
      <c r="D481" s="32"/>
    </row>
    <row r="482">
      <c r="A482" s="32"/>
      <c r="B482" s="32"/>
      <c r="C482" s="32"/>
      <c r="D482" s="32"/>
    </row>
    <row r="483">
      <c r="A483" s="32"/>
      <c r="B483" s="32"/>
      <c r="C483" s="32"/>
      <c r="D483" s="32"/>
    </row>
    <row r="484">
      <c r="A484" s="32"/>
      <c r="B484" s="32"/>
      <c r="C484" s="32"/>
      <c r="D484" s="32"/>
    </row>
    <row r="485">
      <c r="A485" s="32"/>
      <c r="B485" s="32"/>
      <c r="C485" s="32"/>
      <c r="D485" s="32"/>
    </row>
    <row r="486">
      <c r="A486" s="32"/>
      <c r="B486" s="32"/>
      <c r="C486" s="32"/>
      <c r="D486" s="32"/>
    </row>
    <row r="487">
      <c r="A487" s="32"/>
      <c r="B487" s="32"/>
      <c r="C487" s="32"/>
      <c r="D487" s="32"/>
    </row>
    <row r="488">
      <c r="A488" s="32"/>
      <c r="B488" s="32"/>
      <c r="C488" s="32"/>
      <c r="D488" s="32"/>
    </row>
    <row r="489">
      <c r="A489" s="32"/>
      <c r="B489" s="32"/>
      <c r="C489" s="32"/>
      <c r="D489" s="32"/>
    </row>
    <row r="490">
      <c r="A490" s="32"/>
      <c r="B490" s="32"/>
      <c r="C490" s="32"/>
      <c r="D490" s="32"/>
    </row>
    <row r="491">
      <c r="A491" s="32"/>
      <c r="B491" s="32"/>
      <c r="C491" s="32"/>
      <c r="D491" s="32"/>
    </row>
    <row r="492">
      <c r="A492" s="32"/>
      <c r="B492" s="32"/>
      <c r="C492" s="32"/>
      <c r="D492" s="32"/>
    </row>
    <row r="493">
      <c r="A493" s="32"/>
      <c r="B493" s="32"/>
      <c r="C493" s="32"/>
      <c r="D493" s="32"/>
    </row>
    <row r="494">
      <c r="A494" s="32"/>
      <c r="B494" s="32"/>
      <c r="C494" s="32"/>
      <c r="D494" s="32"/>
    </row>
    <row r="495">
      <c r="A495" s="32"/>
      <c r="B495" s="32"/>
      <c r="C495" s="32"/>
      <c r="D495" s="32"/>
    </row>
    <row r="496">
      <c r="A496" s="32"/>
      <c r="B496" s="32"/>
      <c r="C496" s="32"/>
      <c r="D496" s="32"/>
    </row>
    <row r="497">
      <c r="A497" s="32"/>
      <c r="B497" s="32"/>
      <c r="C497" s="32"/>
      <c r="D497" s="32"/>
    </row>
    <row r="498">
      <c r="A498" s="32"/>
      <c r="B498" s="32"/>
      <c r="C498" s="32"/>
      <c r="D498" s="32"/>
    </row>
    <row r="499">
      <c r="A499" s="32"/>
      <c r="B499" s="32"/>
      <c r="C499" s="32"/>
      <c r="D499" s="32"/>
    </row>
    <row r="500">
      <c r="A500" s="32"/>
      <c r="B500" s="32"/>
      <c r="C500" s="32"/>
      <c r="D500" s="32"/>
    </row>
    <row r="501">
      <c r="A501" s="32"/>
      <c r="B501" s="32"/>
      <c r="C501" s="32"/>
      <c r="D501" s="32"/>
    </row>
    <row r="502">
      <c r="A502" s="32"/>
      <c r="B502" s="32"/>
      <c r="C502" s="32"/>
      <c r="D502" s="32"/>
    </row>
    <row r="503">
      <c r="A503" s="32"/>
      <c r="B503" s="32"/>
      <c r="C503" s="32"/>
      <c r="D503" s="32"/>
    </row>
    <row r="504">
      <c r="A504" s="32"/>
      <c r="B504" s="32"/>
      <c r="C504" s="32"/>
      <c r="D504" s="32"/>
    </row>
    <row r="505">
      <c r="A505" s="32"/>
      <c r="B505" s="32"/>
      <c r="C505" s="32"/>
      <c r="D505" s="32"/>
    </row>
    <row r="506">
      <c r="A506" s="32"/>
      <c r="B506" s="32"/>
      <c r="C506" s="32"/>
      <c r="D506" s="32"/>
    </row>
    <row r="507">
      <c r="A507" s="32"/>
      <c r="B507" s="32"/>
      <c r="C507" s="32"/>
      <c r="D507" s="32"/>
    </row>
    <row r="508">
      <c r="A508" s="32"/>
      <c r="B508" s="32"/>
      <c r="C508" s="32"/>
      <c r="D508" s="32"/>
    </row>
    <row r="509">
      <c r="A509" s="32"/>
      <c r="B509" s="32"/>
      <c r="C509" s="32"/>
      <c r="D509" s="32"/>
    </row>
    <row r="510">
      <c r="A510" s="32"/>
      <c r="B510" s="32"/>
      <c r="C510" s="32"/>
      <c r="D510" s="32"/>
    </row>
    <row r="511">
      <c r="A511" s="32"/>
      <c r="B511" s="32"/>
      <c r="C511" s="32"/>
      <c r="D511" s="32"/>
    </row>
    <row r="512">
      <c r="A512" s="32"/>
      <c r="B512" s="32"/>
      <c r="C512" s="32"/>
      <c r="D512" s="32"/>
    </row>
    <row r="513">
      <c r="A513" s="32"/>
      <c r="B513" s="32"/>
      <c r="C513" s="32"/>
      <c r="D513" s="32"/>
    </row>
    <row r="514">
      <c r="A514" s="32"/>
      <c r="B514" s="32"/>
      <c r="C514" s="32"/>
      <c r="D514" s="32"/>
    </row>
    <row r="515">
      <c r="A515" s="32"/>
      <c r="B515" s="32"/>
      <c r="C515" s="32"/>
      <c r="D515" s="32"/>
    </row>
    <row r="516">
      <c r="A516" s="32"/>
      <c r="B516" s="32"/>
      <c r="C516" s="32"/>
      <c r="D516" s="32"/>
    </row>
    <row r="517">
      <c r="A517" s="32"/>
      <c r="B517" s="32"/>
      <c r="C517" s="32"/>
      <c r="D517" s="32"/>
    </row>
    <row r="518">
      <c r="A518" s="32"/>
      <c r="B518" s="32"/>
      <c r="C518" s="32"/>
      <c r="D518" s="32"/>
    </row>
    <row r="519">
      <c r="A519" s="32"/>
      <c r="B519" s="32"/>
      <c r="C519" s="32"/>
      <c r="D519" s="32"/>
    </row>
    <row r="520">
      <c r="A520" s="32"/>
      <c r="B520" s="32"/>
      <c r="C520" s="32"/>
      <c r="D520" s="32"/>
    </row>
    <row r="521">
      <c r="A521" s="32"/>
      <c r="B521" s="32"/>
      <c r="C521" s="32"/>
      <c r="D521" s="32"/>
    </row>
    <row r="522">
      <c r="A522" s="32"/>
      <c r="B522" s="32"/>
      <c r="C522" s="32"/>
      <c r="D522" s="32"/>
    </row>
    <row r="523">
      <c r="A523" s="32"/>
      <c r="B523" s="32"/>
      <c r="C523" s="32"/>
      <c r="D523" s="32"/>
    </row>
    <row r="524">
      <c r="A524" s="32"/>
      <c r="B524" s="32"/>
      <c r="C524" s="32"/>
      <c r="D524" s="32"/>
    </row>
    <row r="525">
      <c r="A525" s="32"/>
      <c r="B525" s="32"/>
      <c r="C525" s="32"/>
      <c r="D525" s="32"/>
    </row>
    <row r="526">
      <c r="A526" s="32"/>
      <c r="B526" s="32"/>
      <c r="C526" s="32"/>
      <c r="D526" s="32"/>
    </row>
    <row r="527">
      <c r="A527" s="32"/>
      <c r="B527" s="32"/>
      <c r="C527" s="32"/>
      <c r="D527" s="32"/>
    </row>
    <row r="528">
      <c r="A528" s="32"/>
      <c r="B528" s="32"/>
      <c r="C528" s="32"/>
      <c r="D528" s="32"/>
    </row>
    <row r="529">
      <c r="A529" s="32"/>
      <c r="B529" s="32"/>
      <c r="C529" s="32"/>
      <c r="D529" s="32"/>
    </row>
    <row r="530">
      <c r="A530" s="32"/>
      <c r="B530" s="32"/>
      <c r="C530" s="32"/>
      <c r="D530" s="32"/>
    </row>
    <row r="531">
      <c r="A531" s="32"/>
      <c r="B531" s="32"/>
      <c r="C531" s="32"/>
      <c r="D531" s="32"/>
    </row>
    <row r="532">
      <c r="A532" s="32"/>
      <c r="B532" s="32"/>
      <c r="C532" s="32"/>
      <c r="D532" s="32"/>
    </row>
    <row r="533">
      <c r="A533" s="32"/>
      <c r="B533" s="32"/>
      <c r="C533" s="32"/>
      <c r="D533" s="32"/>
    </row>
    <row r="534">
      <c r="A534" s="32"/>
      <c r="B534" s="32"/>
      <c r="C534" s="32"/>
      <c r="D534" s="32"/>
    </row>
    <row r="535">
      <c r="A535" s="32"/>
      <c r="B535" s="32"/>
      <c r="C535" s="32"/>
      <c r="D535" s="32"/>
    </row>
    <row r="536">
      <c r="A536" s="32"/>
      <c r="B536" s="32"/>
      <c r="C536" s="32"/>
      <c r="D536" s="32"/>
    </row>
    <row r="537">
      <c r="A537" s="32"/>
      <c r="B537" s="32"/>
      <c r="C537" s="32"/>
      <c r="D537" s="32"/>
    </row>
    <row r="538">
      <c r="A538" s="32"/>
      <c r="B538" s="32"/>
      <c r="C538" s="32"/>
      <c r="D538" s="32"/>
    </row>
    <row r="539">
      <c r="A539" s="32"/>
      <c r="B539" s="32"/>
      <c r="C539" s="32"/>
      <c r="D539" s="32"/>
    </row>
    <row r="540">
      <c r="A540" s="32"/>
      <c r="B540" s="32"/>
      <c r="C540" s="32"/>
      <c r="D540" s="32"/>
    </row>
    <row r="541">
      <c r="A541" s="32"/>
      <c r="B541" s="32"/>
      <c r="C541" s="32"/>
      <c r="D541" s="32"/>
    </row>
    <row r="542">
      <c r="A542" s="32"/>
      <c r="B542" s="32"/>
      <c r="C542" s="32"/>
      <c r="D542" s="32"/>
    </row>
    <row r="543">
      <c r="A543" s="32"/>
      <c r="B543" s="32"/>
      <c r="C543" s="32"/>
      <c r="D543" s="32"/>
    </row>
    <row r="544">
      <c r="A544" s="32"/>
      <c r="B544" s="32"/>
      <c r="C544" s="32"/>
      <c r="D544" s="32"/>
    </row>
    <row r="545">
      <c r="A545" s="32"/>
      <c r="B545" s="32"/>
      <c r="C545" s="32"/>
      <c r="D545" s="32"/>
    </row>
    <row r="546">
      <c r="A546" s="32"/>
      <c r="B546" s="32"/>
      <c r="C546" s="32"/>
      <c r="D546" s="32"/>
    </row>
    <row r="547">
      <c r="A547" s="32"/>
      <c r="B547" s="32"/>
      <c r="C547" s="32"/>
      <c r="D547" s="32"/>
    </row>
    <row r="548">
      <c r="A548" s="32"/>
      <c r="B548" s="32"/>
      <c r="C548" s="32"/>
      <c r="D548" s="32"/>
    </row>
    <row r="549">
      <c r="A549" s="32"/>
      <c r="B549" s="32"/>
      <c r="C549" s="32"/>
      <c r="D549" s="32"/>
    </row>
    <row r="550">
      <c r="A550" s="32"/>
      <c r="B550" s="32"/>
      <c r="C550" s="32"/>
      <c r="D550" s="32"/>
    </row>
    <row r="551">
      <c r="A551" s="32"/>
      <c r="B551" s="32"/>
      <c r="C551" s="32"/>
      <c r="D551" s="32"/>
    </row>
    <row r="552">
      <c r="A552" s="32"/>
      <c r="B552" s="32"/>
      <c r="C552" s="32"/>
      <c r="D552" s="32"/>
    </row>
    <row r="553">
      <c r="A553" s="32"/>
      <c r="B553" s="32"/>
      <c r="C553" s="32"/>
      <c r="D553" s="32"/>
    </row>
    <row r="554">
      <c r="A554" s="32"/>
      <c r="B554" s="32"/>
      <c r="C554" s="32"/>
      <c r="D554" s="32"/>
    </row>
    <row r="555">
      <c r="A555" s="32"/>
      <c r="B555" s="32"/>
      <c r="C555" s="32"/>
      <c r="D555" s="32"/>
    </row>
    <row r="556">
      <c r="A556" s="32"/>
      <c r="B556" s="32"/>
      <c r="C556" s="32"/>
      <c r="D556" s="32"/>
    </row>
    <row r="557">
      <c r="A557" s="32"/>
      <c r="B557" s="32"/>
      <c r="C557" s="32"/>
      <c r="D557" s="32"/>
    </row>
    <row r="558">
      <c r="A558" s="32"/>
      <c r="B558" s="32"/>
      <c r="C558" s="32"/>
      <c r="D558" s="32"/>
    </row>
    <row r="559">
      <c r="A559" s="32"/>
      <c r="B559" s="32"/>
      <c r="C559" s="32"/>
      <c r="D559" s="32"/>
    </row>
    <row r="560">
      <c r="A560" s="32"/>
      <c r="B560" s="32"/>
      <c r="C560" s="32"/>
      <c r="D560" s="32"/>
    </row>
    <row r="561">
      <c r="A561" s="32"/>
      <c r="B561" s="32"/>
      <c r="C561" s="32"/>
      <c r="D561" s="32"/>
    </row>
    <row r="562">
      <c r="A562" s="32"/>
      <c r="B562" s="32"/>
      <c r="C562" s="32"/>
      <c r="D562" s="32"/>
    </row>
    <row r="563">
      <c r="A563" s="32"/>
      <c r="B563" s="32"/>
      <c r="C563" s="32"/>
      <c r="D563" s="32"/>
    </row>
    <row r="564">
      <c r="A564" s="32"/>
      <c r="B564" s="32"/>
      <c r="C564" s="32"/>
      <c r="D564" s="32"/>
    </row>
    <row r="565">
      <c r="A565" s="32"/>
      <c r="B565" s="32"/>
      <c r="C565" s="32"/>
      <c r="D565" s="32"/>
    </row>
    <row r="566">
      <c r="A566" s="32"/>
      <c r="B566" s="32"/>
      <c r="C566" s="32"/>
      <c r="D566" s="32"/>
    </row>
    <row r="567">
      <c r="A567" s="32"/>
      <c r="B567" s="32"/>
      <c r="C567" s="32"/>
      <c r="D567" s="32"/>
    </row>
    <row r="568">
      <c r="A568" s="32"/>
      <c r="B568" s="32"/>
      <c r="C568" s="32"/>
      <c r="D568" s="32"/>
    </row>
    <row r="569">
      <c r="A569" s="32"/>
      <c r="B569" s="32"/>
      <c r="C569" s="32"/>
      <c r="D569" s="32"/>
    </row>
    <row r="570">
      <c r="A570" s="32"/>
      <c r="B570" s="32"/>
      <c r="C570" s="32"/>
      <c r="D570" s="32"/>
    </row>
    <row r="571">
      <c r="A571" s="32"/>
      <c r="B571" s="32"/>
      <c r="C571" s="32"/>
      <c r="D571" s="32"/>
    </row>
    <row r="572">
      <c r="A572" s="32"/>
      <c r="B572" s="32"/>
      <c r="C572" s="32"/>
      <c r="D572" s="32"/>
    </row>
    <row r="573">
      <c r="A573" s="32"/>
      <c r="B573" s="32"/>
      <c r="C573" s="32"/>
      <c r="D573" s="32"/>
    </row>
    <row r="574">
      <c r="A574" s="32"/>
      <c r="B574" s="32"/>
      <c r="C574" s="32"/>
      <c r="D574" s="32"/>
    </row>
    <row r="575">
      <c r="A575" s="32"/>
      <c r="B575" s="32"/>
      <c r="C575" s="32"/>
      <c r="D575" s="32"/>
    </row>
    <row r="576">
      <c r="A576" s="32"/>
      <c r="B576" s="32"/>
      <c r="C576" s="32"/>
      <c r="D576" s="32"/>
    </row>
    <row r="577">
      <c r="A577" s="32"/>
      <c r="B577" s="32"/>
      <c r="C577" s="32"/>
      <c r="D577" s="32"/>
    </row>
    <row r="578">
      <c r="A578" s="32"/>
      <c r="B578" s="32"/>
      <c r="C578" s="32"/>
      <c r="D578" s="32"/>
    </row>
    <row r="579">
      <c r="A579" s="32"/>
      <c r="B579" s="32"/>
      <c r="C579" s="32"/>
      <c r="D579" s="32"/>
    </row>
    <row r="580">
      <c r="A580" s="32"/>
      <c r="B580" s="32"/>
      <c r="C580" s="32"/>
      <c r="D580" s="32"/>
    </row>
    <row r="581">
      <c r="A581" s="32"/>
      <c r="B581" s="32"/>
      <c r="C581" s="32"/>
      <c r="D581" s="32"/>
    </row>
    <row r="582">
      <c r="A582" s="32"/>
      <c r="B582" s="32"/>
      <c r="C582" s="32"/>
      <c r="D582" s="32"/>
    </row>
    <row r="583">
      <c r="A583" s="32"/>
      <c r="B583" s="32"/>
      <c r="C583" s="32"/>
      <c r="D583" s="32"/>
    </row>
    <row r="584">
      <c r="A584" s="32"/>
      <c r="B584" s="32"/>
      <c r="C584" s="32"/>
      <c r="D584" s="32"/>
    </row>
    <row r="585">
      <c r="A585" s="32"/>
      <c r="B585" s="32"/>
      <c r="C585" s="32"/>
      <c r="D585" s="32"/>
    </row>
    <row r="586">
      <c r="A586" s="32"/>
      <c r="B586" s="32"/>
      <c r="C586" s="32"/>
      <c r="D586" s="32"/>
    </row>
    <row r="587">
      <c r="A587" s="32"/>
      <c r="B587" s="32"/>
      <c r="C587" s="32"/>
      <c r="D587" s="32"/>
    </row>
    <row r="588">
      <c r="A588" s="32"/>
      <c r="B588" s="32"/>
      <c r="C588" s="32"/>
      <c r="D588" s="32"/>
    </row>
    <row r="589">
      <c r="A589" s="32"/>
      <c r="B589" s="32"/>
      <c r="C589" s="32"/>
      <c r="D589" s="32"/>
    </row>
    <row r="590">
      <c r="A590" s="32"/>
      <c r="B590" s="32"/>
      <c r="C590" s="32"/>
      <c r="D590" s="32"/>
    </row>
    <row r="591">
      <c r="A591" s="32"/>
      <c r="B591" s="32"/>
      <c r="C591" s="32"/>
      <c r="D591" s="32"/>
    </row>
    <row r="592">
      <c r="A592" s="32"/>
      <c r="B592" s="32"/>
      <c r="C592" s="32"/>
      <c r="D592" s="32"/>
    </row>
    <row r="593">
      <c r="A593" s="32"/>
      <c r="B593" s="32"/>
      <c r="C593" s="32"/>
      <c r="D593" s="32"/>
    </row>
    <row r="594">
      <c r="A594" s="32"/>
      <c r="B594" s="32"/>
      <c r="C594" s="32"/>
      <c r="D594" s="32"/>
    </row>
    <row r="595">
      <c r="A595" s="32"/>
      <c r="B595" s="32"/>
      <c r="C595" s="32"/>
      <c r="D595" s="32"/>
    </row>
    <row r="596">
      <c r="A596" s="32"/>
      <c r="B596" s="32"/>
      <c r="C596" s="32"/>
      <c r="D596" s="32"/>
    </row>
    <row r="597">
      <c r="A597" s="32"/>
      <c r="B597" s="32"/>
      <c r="C597" s="32"/>
      <c r="D597" s="32"/>
    </row>
    <row r="598">
      <c r="A598" s="32"/>
      <c r="B598" s="32"/>
      <c r="C598" s="32"/>
      <c r="D598" s="32"/>
    </row>
    <row r="599">
      <c r="A599" s="32"/>
      <c r="B599" s="32"/>
      <c r="C599" s="32"/>
      <c r="D599" s="32"/>
    </row>
    <row r="600">
      <c r="A600" s="32"/>
      <c r="B600" s="32"/>
      <c r="C600" s="32"/>
      <c r="D600" s="32"/>
    </row>
    <row r="601">
      <c r="A601" s="32"/>
      <c r="B601" s="32"/>
      <c r="C601" s="32"/>
      <c r="D601" s="32"/>
    </row>
    <row r="602">
      <c r="A602" s="32"/>
      <c r="B602" s="32"/>
      <c r="C602" s="32"/>
      <c r="D602" s="32"/>
    </row>
    <row r="603">
      <c r="A603" s="32"/>
      <c r="B603" s="32"/>
      <c r="C603" s="32"/>
      <c r="D603" s="32"/>
    </row>
    <row r="604">
      <c r="A604" s="32"/>
      <c r="B604" s="32"/>
      <c r="C604" s="32"/>
      <c r="D604" s="32"/>
    </row>
    <row r="605">
      <c r="A605" s="32"/>
      <c r="B605" s="32"/>
      <c r="C605" s="32"/>
      <c r="D605" s="32"/>
    </row>
    <row r="606">
      <c r="A606" s="32"/>
      <c r="B606" s="32"/>
      <c r="C606" s="32"/>
      <c r="D606" s="32"/>
    </row>
    <row r="607">
      <c r="A607" s="32"/>
      <c r="B607" s="32"/>
      <c r="C607" s="32"/>
      <c r="D607" s="32"/>
    </row>
    <row r="608">
      <c r="A608" s="32"/>
      <c r="B608" s="32"/>
      <c r="C608" s="32"/>
      <c r="D608" s="32"/>
    </row>
    <row r="609">
      <c r="A609" s="32"/>
      <c r="B609" s="32"/>
      <c r="C609" s="32"/>
      <c r="D609" s="32"/>
    </row>
    <row r="610">
      <c r="A610" s="32"/>
      <c r="B610" s="32"/>
      <c r="C610" s="32"/>
      <c r="D610" s="32"/>
    </row>
    <row r="611">
      <c r="A611" s="32"/>
      <c r="B611" s="32"/>
      <c r="C611" s="32"/>
      <c r="D611" s="32"/>
    </row>
    <row r="612">
      <c r="A612" s="32"/>
      <c r="B612" s="32"/>
      <c r="C612" s="32"/>
      <c r="D612" s="32"/>
    </row>
    <row r="613">
      <c r="A613" s="32"/>
      <c r="B613" s="32"/>
      <c r="C613" s="32"/>
      <c r="D613" s="32"/>
    </row>
    <row r="614">
      <c r="A614" s="32"/>
      <c r="B614" s="32"/>
      <c r="C614" s="32"/>
      <c r="D614" s="32"/>
    </row>
    <row r="615">
      <c r="A615" s="32"/>
      <c r="B615" s="32"/>
      <c r="C615" s="32"/>
      <c r="D615" s="32"/>
    </row>
    <row r="616">
      <c r="A616" s="32"/>
      <c r="B616" s="32"/>
      <c r="C616" s="32"/>
      <c r="D616" s="32"/>
    </row>
    <row r="617">
      <c r="A617" s="32"/>
      <c r="B617" s="32"/>
      <c r="C617" s="32"/>
      <c r="D617" s="32"/>
    </row>
    <row r="618">
      <c r="A618" s="32"/>
      <c r="B618" s="32"/>
      <c r="C618" s="32"/>
      <c r="D618" s="32"/>
    </row>
    <row r="619">
      <c r="A619" s="32"/>
      <c r="B619" s="32"/>
      <c r="C619" s="32"/>
      <c r="D619" s="32"/>
    </row>
    <row r="620">
      <c r="A620" s="32"/>
      <c r="B620" s="32"/>
      <c r="C620" s="32"/>
      <c r="D620" s="32"/>
    </row>
    <row r="621">
      <c r="A621" s="32"/>
      <c r="B621" s="32"/>
      <c r="C621" s="32"/>
      <c r="D621" s="32"/>
    </row>
    <row r="622">
      <c r="A622" s="32"/>
      <c r="B622" s="32"/>
      <c r="C622" s="32"/>
      <c r="D622" s="32"/>
    </row>
    <row r="623">
      <c r="A623" s="32"/>
      <c r="B623" s="32"/>
      <c r="C623" s="32"/>
      <c r="D623" s="32"/>
    </row>
    <row r="624">
      <c r="A624" s="32"/>
      <c r="B624" s="32"/>
      <c r="C624" s="32"/>
      <c r="D624" s="32"/>
    </row>
    <row r="625">
      <c r="A625" s="32"/>
      <c r="B625" s="32"/>
      <c r="C625" s="32"/>
      <c r="D625" s="32"/>
    </row>
    <row r="626">
      <c r="A626" s="32"/>
      <c r="B626" s="32"/>
      <c r="C626" s="32"/>
      <c r="D626" s="32"/>
    </row>
    <row r="627">
      <c r="A627" s="32"/>
      <c r="B627" s="32"/>
      <c r="C627" s="32"/>
      <c r="D627" s="32"/>
    </row>
    <row r="628">
      <c r="A628" s="32"/>
      <c r="B628" s="32"/>
      <c r="C628" s="32"/>
      <c r="D628" s="32"/>
    </row>
    <row r="629">
      <c r="A629" s="32"/>
      <c r="B629" s="32"/>
      <c r="C629" s="32"/>
      <c r="D629" s="32"/>
    </row>
    <row r="630">
      <c r="A630" s="32"/>
      <c r="B630" s="32"/>
      <c r="C630" s="32"/>
      <c r="D630" s="32"/>
    </row>
    <row r="631">
      <c r="A631" s="32"/>
      <c r="B631" s="32"/>
      <c r="C631" s="32"/>
      <c r="D631" s="32"/>
    </row>
    <row r="632">
      <c r="A632" s="32"/>
      <c r="B632" s="32"/>
      <c r="C632" s="32"/>
      <c r="D632" s="32"/>
    </row>
    <row r="633">
      <c r="A633" s="32"/>
      <c r="B633" s="32"/>
      <c r="C633" s="32"/>
      <c r="D633" s="32"/>
    </row>
    <row r="634">
      <c r="A634" s="32"/>
      <c r="B634" s="32"/>
      <c r="C634" s="32"/>
      <c r="D634" s="32"/>
    </row>
    <row r="635">
      <c r="A635" s="32"/>
      <c r="B635" s="32"/>
      <c r="C635" s="32"/>
      <c r="D635" s="32"/>
    </row>
    <row r="636">
      <c r="A636" s="32"/>
      <c r="B636" s="32"/>
      <c r="C636" s="32"/>
      <c r="D636" s="32"/>
    </row>
    <row r="637">
      <c r="A637" s="32"/>
      <c r="B637" s="32"/>
      <c r="C637" s="32"/>
      <c r="D637" s="32"/>
    </row>
    <row r="638">
      <c r="A638" s="32"/>
      <c r="B638" s="32"/>
      <c r="C638" s="32"/>
      <c r="D638" s="32"/>
    </row>
    <row r="639">
      <c r="A639" s="32"/>
      <c r="B639" s="32"/>
      <c r="C639" s="32"/>
      <c r="D639" s="32"/>
    </row>
    <row r="640">
      <c r="A640" s="32"/>
      <c r="B640" s="32"/>
      <c r="C640" s="32"/>
      <c r="D640" s="32"/>
    </row>
    <row r="641">
      <c r="A641" s="32"/>
      <c r="B641" s="32"/>
      <c r="C641" s="32"/>
      <c r="D641" s="32"/>
    </row>
    <row r="642">
      <c r="A642" s="32"/>
      <c r="B642" s="32"/>
      <c r="C642" s="32"/>
      <c r="D642" s="32"/>
    </row>
    <row r="643">
      <c r="A643" s="32"/>
      <c r="B643" s="32"/>
      <c r="C643" s="32"/>
      <c r="D643" s="32"/>
    </row>
    <row r="644">
      <c r="A644" s="32"/>
      <c r="B644" s="32"/>
      <c r="C644" s="32"/>
      <c r="D644" s="32"/>
    </row>
    <row r="645">
      <c r="A645" s="32"/>
      <c r="B645" s="32"/>
      <c r="C645" s="32"/>
      <c r="D645" s="32"/>
    </row>
    <row r="646">
      <c r="A646" s="32"/>
      <c r="B646" s="32"/>
      <c r="C646" s="32"/>
      <c r="D646" s="32"/>
    </row>
    <row r="647">
      <c r="A647" s="32"/>
      <c r="B647" s="32"/>
      <c r="C647" s="32"/>
      <c r="D647" s="32"/>
    </row>
    <row r="648">
      <c r="A648" s="32"/>
      <c r="B648" s="32"/>
      <c r="C648" s="32"/>
      <c r="D648" s="32"/>
    </row>
    <row r="649">
      <c r="A649" s="32"/>
      <c r="B649" s="32"/>
      <c r="C649" s="32"/>
      <c r="D649" s="32"/>
    </row>
    <row r="650">
      <c r="A650" s="32"/>
      <c r="B650" s="32"/>
      <c r="C650" s="32"/>
      <c r="D650" s="32"/>
    </row>
    <row r="651">
      <c r="A651" s="32"/>
      <c r="B651" s="32"/>
      <c r="C651" s="32"/>
      <c r="D651" s="32"/>
    </row>
    <row r="652">
      <c r="A652" s="32"/>
      <c r="B652" s="32"/>
      <c r="C652" s="32"/>
      <c r="D652" s="32"/>
    </row>
    <row r="653">
      <c r="A653" s="32"/>
      <c r="B653" s="32"/>
      <c r="C653" s="32"/>
      <c r="D653" s="32"/>
    </row>
    <row r="654">
      <c r="A654" s="32"/>
      <c r="B654" s="32"/>
      <c r="C654" s="32"/>
      <c r="D654" s="32"/>
    </row>
    <row r="655">
      <c r="A655" s="32"/>
      <c r="B655" s="32"/>
      <c r="C655" s="32"/>
      <c r="D655" s="32"/>
    </row>
    <row r="656">
      <c r="A656" s="32"/>
      <c r="B656" s="32"/>
      <c r="C656" s="32"/>
      <c r="D656" s="32"/>
    </row>
    <row r="657">
      <c r="A657" s="32"/>
      <c r="B657" s="32"/>
      <c r="C657" s="32"/>
      <c r="D657" s="32"/>
    </row>
    <row r="658">
      <c r="A658" s="32"/>
      <c r="B658" s="32"/>
      <c r="C658" s="32"/>
      <c r="D658" s="32"/>
    </row>
    <row r="659">
      <c r="A659" s="32"/>
      <c r="B659" s="32"/>
      <c r="C659" s="32"/>
      <c r="D659" s="32"/>
    </row>
    <row r="660">
      <c r="A660" s="32"/>
      <c r="B660" s="32"/>
      <c r="C660" s="32"/>
      <c r="D660" s="32"/>
    </row>
    <row r="661">
      <c r="A661" s="32"/>
      <c r="B661" s="32"/>
      <c r="C661" s="32"/>
      <c r="D661" s="32"/>
    </row>
    <row r="662">
      <c r="A662" s="32"/>
      <c r="B662" s="32"/>
      <c r="C662" s="32"/>
      <c r="D662" s="32"/>
    </row>
    <row r="663">
      <c r="A663" s="32"/>
      <c r="B663" s="32"/>
      <c r="C663" s="32"/>
      <c r="D663" s="32"/>
    </row>
    <row r="664">
      <c r="A664" s="32"/>
      <c r="B664" s="32"/>
      <c r="C664" s="32"/>
      <c r="D664" s="32"/>
    </row>
    <row r="665">
      <c r="A665" s="32"/>
      <c r="B665" s="32"/>
      <c r="C665" s="32"/>
      <c r="D665" s="32"/>
    </row>
    <row r="666">
      <c r="A666" s="32"/>
      <c r="B666" s="32"/>
      <c r="C666" s="32"/>
      <c r="D666" s="32"/>
    </row>
    <row r="667">
      <c r="A667" s="32"/>
      <c r="B667" s="32"/>
      <c r="C667" s="32"/>
      <c r="D667" s="32"/>
    </row>
    <row r="668">
      <c r="A668" s="32"/>
      <c r="B668" s="32"/>
      <c r="C668" s="32"/>
      <c r="D668" s="32"/>
    </row>
    <row r="669">
      <c r="A669" s="32"/>
      <c r="B669" s="32"/>
      <c r="C669" s="32"/>
      <c r="D669" s="32"/>
    </row>
    <row r="670">
      <c r="A670" s="32"/>
      <c r="B670" s="32"/>
      <c r="C670" s="32"/>
      <c r="D670" s="32"/>
    </row>
    <row r="671">
      <c r="A671" s="32"/>
      <c r="B671" s="32"/>
      <c r="C671" s="32"/>
      <c r="D671" s="32"/>
    </row>
    <row r="672">
      <c r="A672" s="32"/>
      <c r="B672" s="32"/>
      <c r="C672" s="32"/>
      <c r="D672" s="32"/>
    </row>
    <row r="673">
      <c r="A673" s="32"/>
      <c r="B673" s="32"/>
      <c r="C673" s="32"/>
      <c r="D673" s="32"/>
    </row>
    <row r="674">
      <c r="A674" s="32"/>
      <c r="B674" s="32"/>
      <c r="C674" s="32"/>
      <c r="D674" s="32"/>
    </row>
    <row r="675">
      <c r="A675" s="32"/>
      <c r="B675" s="32"/>
      <c r="C675" s="32"/>
      <c r="D675" s="32"/>
    </row>
    <row r="676">
      <c r="A676" s="32"/>
      <c r="B676" s="32"/>
      <c r="C676" s="32"/>
      <c r="D676" s="32"/>
    </row>
    <row r="677">
      <c r="A677" s="32"/>
      <c r="B677" s="32"/>
      <c r="C677" s="32"/>
      <c r="D677" s="32"/>
    </row>
    <row r="678">
      <c r="A678" s="32"/>
      <c r="B678" s="32"/>
      <c r="C678" s="32"/>
      <c r="D678" s="32"/>
    </row>
    <row r="679">
      <c r="A679" s="32"/>
      <c r="B679" s="32"/>
      <c r="C679" s="32"/>
      <c r="D679" s="32"/>
    </row>
    <row r="680">
      <c r="A680" s="32"/>
      <c r="B680" s="32"/>
      <c r="C680" s="32"/>
      <c r="D680" s="32"/>
    </row>
    <row r="681">
      <c r="A681" s="32"/>
      <c r="B681" s="32"/>
      <c r="C681" s="32"/>
      <c r="D681" s="32"/>
    </row>
    <row r="682">
      <c r="A682" s="32"/>
      <c r="B682" s="32"/>
      <c r="C682" s="32"/>
      <c r="D682" s="32"/>
    </row>
    <row r="683">
      <c r="A683" s="32"/>
      <c r="B683" s="32"/>
      <c r="C683" s="32"/>
      <c r="D683" s="32"/>
    </row>
    <row r="684">
      <c r="A684" s="32"/>
      <c r="B684" s="32"/>
      <c r="C684" s="32"/>
      <c r="D684" s="32"/>
    </row>
    <row r="685">
      <c r="A685" s="32"/>
      <c r="B685" s="32"/>
      <c r="C685" s="32"/>
      <c r="D685" s="32"/>
    </row>
    <row r="686">
      <c r="A686" s="32"/>
      <c r="B686" s="32"/>
      <c r="C686" s="32"/>
      <c r="D686" s="32"/>
    </row>
    <row r="687">
      <c r="A687" s="32"/>
      <c r="B687" s="32"/>
      <c r="C687" s="32"/>
      <c r="D687" s="32"/>
    </row>
    <row r="688">
      <c r="A688" s="32"/>
      <c r="B688" s="32"/>
      <c r="C688" s="32"/>
      <c r="D688" s="32"/>
    </row>
    <row r="689">
      <c r="A689" s="32"/>
      <c r="B689" s="32"/>
      <c r="C689" s="32"/>
      <c r="D689" s="32"/>
    </row>
    <row r="690">
      <c r="A690" s="32"/>
      <c r="B690" s="32"/>
      <c r="C690" s="32"/>
      <c r="D690" s="32"/>
    </row>
    <row r="691">
      <c r="A691" s="32"/>
      <c r="B691" s="32"/>
      <c r="C691" s="32"/>
      <c r="D691" s="32"/>
    </row>
    <row r="692">
      <c r="A692" s="32"/>
      <c r="B692" s="32"/>
      <c r="C692" s="32"/>
      <c r="D692" s="32"/>
    </row>
    <row r="693">
      <c r="A693" s="32"/>
      <c r="B693" s="32"/>
      <c r="C693" s="32"/>
      <c r="D693" s="32"/>
    </row>
    <row r="694">
      <c r="A694" s="32"/>
      <c r="B694" s="32"/>
      <c r="C694" s="32"/>
      <c r="D694" s="32"/>
    </row>
    <row r="695">
      <c r="A695" s="32"/>
      <c r="B695" s="32"/>
      <c r="C695" s="32"/>
      <c r="D695" s="32"/>
    </row>
    <row r="696">
      <c r="A696" s="32"/>
      <c r="B696" s="32"/>
      <c r="C696" s="32"/>
      <c r="D696" s="32"/>
    </row>
    <row r="697">
      <c r="A697" s="32"/>
      <c r="B697" s="32"/>
      <c r="C697" s="32"/>
      <c r="D697" s="32"/>
    </row>
    <row r="698">
      <c r="A698" s="32"/>
      <c r="B698" s="32"/>
      <c r="C698" s="32"/>
      <c r="D698" s="32"/>
    </row>
    <row r="699">
      <c r="A699" s="32"/>
      <c r="B699" s="32"/>
      <c r="C699" s="32"/>
      <c r="D699" s="32"/>
    </row>
    <row r="700">
      <c r="A700" s="32"/>
      <c r="B700" s="32"/>
      <c r="C700" s="32"/>
      <c r="D700" s="32"/>
    </row>
    <row r="701">
      <c r="A701" s="32"/>
      <c r="B701" s="32"/>
      <c r="C701" s="32"/>
      <c r="D701" s="32"/>
    </row>
    <row r="702">
      <c r="A702" s="32"/>
      <c r="B702" s="32"/>
      <c r="C702" s="32"/>
      <c r="D702" s="32"/>
    </row>
    <row r="703">
      <c r="A703" s="32"/>
      <c r="B703" s="32"/>
      <c r="C703" s="32"/>
      <c r="D703" s="32"/>
    </row>
    <row r="704">
      <c r="A704" s="32"/>
      <c r="B704" s="32"/>
      <c r="C704" s="32"/>
      <c r="D704" s="32"/>
    </row>
    <row r="705">
      <c r="A705" s="32"/>
      <c r="B705" s="32"/>
      <c r="C705" s="32"/>
      <c r="D705" s="32"/>
    </row>
    <row r="706">
      <c r="A706" s="32"/>
      <c r="B706" s="32"/>
      <c r="C706" s="32"/>
      <c r="D706" s="32"/>
    </row>
    <row r="707">
      <c r="A707" s="32"/>
      <c r="B707" s="32"/>
      <c r="C707" s="32"/>
      <c r="D707" s="32"/>
    </row>
    <row r="708">
      <c r="A708" s="32"/>
      <c r="B708" s="32"/>
      <c r="C708" s="32"/>
      <c r="D708" s="32"/>
    </row>
    <row r="709">
      <c r="A709" s="32"/>
      <c r="B709" s="32"/>
      <c r="C709" s="32"/>
      <c r="D709" s="32"/>
    </row>
    <row r="710">
      <c r="A710" s="32"/>
      <c r="B710" s="32"/>
      <c r="C710" s="32"/>
      <c r="D710" s="32"/>
    </row>
    <row r="711">
      <c r="A711" s="32"/>
      <c r="B711" s="32"/>
      <c r="C711" s="32"/>
      <c r="D711" s="32"/>
    </row>
    <row r="712">
      <c r="A712" s="32"/>
      <c r="B712" s="32"/>
      <c r="C712" s="32"/>
      <c r="D712" s="32"/>
    </row>
    <row r="713">
      <c r="A713" s="32"/>
      <c r="B713" s="32"/>
      <c r="C713" s="32"/>
      <c r="D713" s="32"/>
    </row>
    <row r="714">
      <c r="A714" s="32"/>
      <c r="B714" s="32"/>
      <c r="C714" s="32"/>
      <c r="D714" s="32"/>
    </row>
    <row r="715">
      <c r="A715" s="32"/>
      <c r="B715" s="32"/>
      <c r="C715" s="32"/>
      <c r="D715" s="32"/>
    </row>
    <row r="716">
      <c r="A716" s="32"/>
      <c r="B716" s="32"/>
      <c r="C716" s="32"/>
      <c r="D716" s="32"/>
    </row>
    <row r="717">
      <c r="A717" s="32"/>
      <c r="B717" s="32"/>
      <c r="C717" s="32"/>
      <c r="D717" s="32"/>
    </row>
    <row r="718">
      <c r="A718" s="32"/>
      <c r="B718" s="32"/>
      <c r="C718" s="32"/>
      <c r="D718" s="32"/>
    </row>
    <row r="719">
      <c r="A719" s="32"/>
      <c r="B719" s="32"/>
      <c r="C719" s="32"/>
      <c r="D719" s="32"/>
    </row>
    <row r="720">
      <c r="A720" s="32"/>
      <c r="B720" s="32"/>
      <c r="C720" s="32"/>
      <c r="D720" s="32"/>
    </row>
    <row r="721">
      <c r="A721" s="32"/>
      <c r="B721" s="32"/>
      <c r="C721" s="32"/>
      <c r="D721" s="32"/>
    </row>
    <row r="722">
      <c r="A722" s="32"/>
      <c r="B722" s="32"/>
      <c r="C722" s="32"/>
      <c r="D722" s="32"/>
    </row>
    <row r="723">
      <c r="A723" s="32"/>
      <c r="B723" s="32"/>
      <c r="C723" s="32"/>
      <c r="D723" s="32"/>
    </row>
    <row r="724">
      <c r="A724" s="32"/>
      <c r="B724" s="32"/>
      <c r="C724" s="32"/>
      <c r="D724" s="32"/>
    </row>
    <row r="725">
      <c r="A725" s="32"/>
      <c r="B725" s="32"/>
      <c r="C725" s="32"/>
      <c r="D725" s="32"/>
    </row>
    <row r="726">
      <c r="A726" s="32"/>
      <c r="B726" s="32"/>
      <c r="C726" s="32"/>
      <c r="D726" s="32"/>
    </row>
    <row r="727">
      <c r="A727" s="32"/>
      <c r="B727" s="32"/>
      <c r="C727" s="32"/>
      <c r="D727" s="32"/>
    </row>
    <row r="728">
      <c r="A728" s="32"/>
      <c r="B728" s="32"/>
      <c r="C728" s="32"/>
      <c r="D728" s="32"/>
    </row>
    <row r="729">
      <c r="A729" s="32"/>
      <c r="B729" s="32"/>
      <c r="C729" s="32"/>
      <c r="D729" s="32"/>
    </row>
    <row r="730">
      <c r="A730" s="32"/>
      <c r="B730" s="32"/>
      <c r="C730" s="32"/>
      <c r="D730" s="32"/>
    </row>
    <row r="731">
      <c r="A731" s="32"/>
      <c r="B731" s="32"/>
      <c r="C731" s="32"/>
      <c r="D731" s="32"/>
    </row>
    <row r="732">
      <c r="A732" s="32"/>
      <c r="B732" s="32"/>
      <c r="C732" s="32"/>
      <c r="D732" s="32"/>
    </row>
    <row r="733">
      <c r="A733" s="32"/>
      <c r="B733" s="32"/>
      <c r="C733" s="32"/>
      <c r="D733" s="32"/>
    </row>
    <row r="734">
      <c r="A734" s="32"/>
      <c r="B734" s="32"/>
      <c r="C734" s="32"/>
      <c r="D734" s="32"/>
    </row>
    <row r="735">
      <c r="A735" s="32"/>
      <c r="B735" s="32"/>
      <c r="C735" s="32"/>
      <c r="D735" s="32"/>
    </row>
    <row r="736">
      <c r="A736" s="32"/>
      <c r="B736" s="32"/>
      <c r="C736" s="32"/>
      <c r="D736" s="32"/>
    </row>
    <row r="737">
      <c r="A737" s="32"/>
      <c r="B737" s="32"/>
      <c r="C737" s="32"/>
      <c r="D737" s="32"/>
    </row>
    <row r="738">
      <c r="A738" s="32"/>
      <c r="B738" s="32"/>
      <c r="C738" s="32"/>
      <c r="D738" s="32"/>
    </row>
    <row r="739">
      <c r="A739" s="32"/>
      <c r="B739" s="32"/>
      <c r="C739" s="32"/>
      <c r="D739" s="32"/>
    </row>
    <row r="740">
      <c r="A740" s="32"/>
      <c r="B740" s="32"/>
      <c r="C740" s="32"/>
      <c r="D740" s="32"/>
    </row>
    <row r="741">
      <c r="A741" s="32"/>
      <c r="B741" s="32"/>
      <c r="C741" s="32"/>
      <c r="D741" s="32"/>
    </row>
    <row r="742">
      <c r="A742" s="32"/>
      <c r="B742" s="32"/>
      <c r="C742" s="32"/>
      <c r="D742" s="32"/>
    </row>
    <row r="743">
      <c r="A743" s="32"/>
      <c r="B743" s="32"/>
      <c r="C743" s="32"/>
      <c r="D743" s="32"/>
    </row>
    <row r="744">
      <c r="A744" s="32"/>
      <c r="B744" s="32"/>
      <c r="C744" s="32"/>
      <c r="D744" s="32"/>
    </row>
    <row r="745">
      <c r="A745" s="32"/>
      <c r="B745" s="32"/>
      <c r="C745" s="32"/>
      <c r="D745" s="32"/>
    </row>
    <row r="746">
      <c r="A746" s="32"/>
      <c r="B746" s="32"/>
      <c r="C746" s="32"/>
      <c r="D746" s="32"/>
    </row>
    <row r="747">
      <c r="A747" s="32"/>
      <c r="B747" s="32"/>
      <c r="C747" s="32"/>
      <c r="D747" s="32"/>
    </row>
    <row r="748">
      <c r="A748" s="32"/>
      <c r="B748" s="32"/>
      <c r="C748" s="32"/>
      <c r="D748" s="32"/>
    </row>
    <row r="749">
      <c r="A749" s="32"/>
      <c r="B749" s="32"/>
      <c r="C749" s="32"/>
      <c r="D749" s="32"/>
    </row>
    <row r="750">
      <c r="A750" s="32"/>
      <c r="B750" s="32"/>
      <c r="C750" s="32"/>
      <c r="D750" s="32"/>
    </row>
    <row r="751">
      <c r="A751" s="32"/>
      <c r="B751" s="32"/>
      <c r="C751" s="32"/>
      <c r="D751" s="32"/>
    </row>
    <row r="752">
      <c r="A752" s="32"/>
      <c r="B752" s="32"/>
      <c r="C752" s="32"/>
      <c r="D752" s="32"/>
    </row>
    <row r="753">
      <c r="A753" s="32"/>
      <c r="B753" s="32"/>
      <c r="C753" s="32"/>
      <c r="D753" s="32"/>
    </row>
    <row r="754">
      <c r="A754" s="32"/>
      <c r="B754" s="32"/>
      <c r="C754" s="32"/>
      <c r="D754" s="32"/>
    </row>
    <row r="755">
      <c r="A755" s="32"/>
      <c r="B755" s="32"/>
      <c r="C755" s="32"/>
      <c r="D755" s="32"/>
    </row>
    <row r="756">
      <c r="A756" s="32"/>
      <c r="B756" s="32"/>
      <c r="C756" s="32"/>
      <c r="D756" s="32"/>
    </row>
    <row r="757">
      <c r="A757" s="32"/>
      <c r="B757" s="32"/>
      <c r="C757" s="32"/>
      <c r="D757" s="32"/>
    </row>
    <row r="758">
      <c r="A758" s="32"/>
      <c r="B758" s="32"/>
      <c r="C758" s="32"/>
      <c r="D758" s="32"/>
    </row>
    <row r="759">
      <c r="A759" s="32"/>
      <c r="B759" s="32"/>
      <c r="C759" s="32"/>
      <c r="D759" s="32"/>
    </row>
    <row r="760">
      <c r="A760" s="32"/>
      <c r="B760" s="32"/>
      <c r="C760" s="32"/>
      <c r="D760" s="32"/>
    </row>
    <row r="761">
      <c r="A761" s="32"/>
      <c r="B761" s="32"/>
      <c r="C761" s="32"/>
      <c r="D761" s="32"/>
    </row>
    <row r="762">
      <c r="A762" s="32"/>
      <c r="B762" s="32"/>
      <c r="C762" s="32"/>
      <c r="D762" s="32"/>
    </row>
    <row r="763">
      <c r="A763" s="32"/>
      <c r="B763" s="32"/>
      <c r="C763" s="32"/>
      <c r="D763" s="32"/>
    </row>
    <row r="764">
      <c r="A764" s="32"/>
      <c r="B764" s="32"/>
      <c r="C764" s="32"/>
      <c r="D764" s="32"/>
    </row>
    <row r="765">
      <c r="A765" s="32"/>
      <c r="B765" s="32"/>
      <c r="C765" s="32"/>
      <c r="D765" s="32"/>
    </row>
    <row r="766">
      <c r="A766" s="32"/>
      <c r="B766" s="32"/>
      <c r="C766" s="32"/>
      <c r="D766" s="32"/>
    </row>
    <row r="767">
      <c r="A767" s="32"/>
      <c r="B767" s="32"/>
      <c r="C767" s="32"/>
      <c r="D767" s="32"/>
    </row>
    <row r="768">
      <c r="A768" s="32"/>
      <c r="B768" s="32"/>
      <c r="C768" s="32"/>
      <c r="D768" s="32"/>
    </row>
    <row r="769">
      <c r="A769" s="32"/>
      <c r="B769" s="32"/>
      <c r="C769" s="32"/>
      <c r="D769" s="32"/>
    </row>
    <row r="770">
      <c r="A770" s="32"/>
      <c r="B770" s="32"/>
      <c r="C770" s="32"/>
      <c r="D770" s="32"/>
    </row>
    <row r="771">
      <c r="A771" s="32"/>
      <c r="B771" s="32"/>
      <c r="C771" s="32"/>
      <c r="D771" s="32"/>
    </row>
    <row r="772">
      <c r="A772" s="32"/>
      <c r="B772" s="32"/>
      <c r="C772" s="32"/>
      <c r="D772" s="32"/>
    </row>
    <row r="773">
      <c r="A773" s="32"/>
      <c r="B773" s="32"/>
      <c r="C773" s="32"/>
      <c r="D773" s="32"/>
    </row>
    <row r="774">
      <c r="A774" s="32"/>
      <c r="B774" s="32"/>
      <c r="C774" s="32"/>
      <c r="D774" s="32"/>
    </row>
    <row r="775">
      <c r="A775" s="32"/>
      <c r="B775" s="32"/>
      <c r="C775" s="32"/>
      <c r="D775" s="32"/>
    </row>
    <row r="776">
      <c r="A776" s="32"/>
      <c r="B776" s="32"/>
      <c r="C776" s="32"/>
      <c r="D776" s="32"/>
    </row>
    <row r="777">
      <c r="A777" s="32"/>
      <c r="B777" s="32"/>
      <c r="C777" s="32"/>
      <c r="D777" s="32"/>
    </row>
    <row r="778">
      <c r="A778" s="32"/>
      <c r="B778" s="32"/>
      <c r="C778" s="32"/>
      <c r="D778" s="32"/>
    </row>
    <row r="779">
      <c r="A779" s="32"/>
      <c r="B779" s="32"/>
      <c r="C779" s="32"/>
      <c r="D779" s="32"/>
    </row>
    <row r="780">
      <c r="A780" s="32"/>
      <c r="B780" s="32"/>
      <c r="C780" s="32"/>
      <c r="D780" s="32"/>
    </row>
    <row r="781">
      <c r="A781" s="32"/>
      <c r="B781" s="32"/>
      <c r="C781" s="32"/>
      <c r="D781" s="32"/>
    </row>
    <row r="782">
      <c r="A782" s="32"/>
      <c r="B782" s="32"/>
      <c r="C782" s="32"/>
      <c r="D782" s="32"/>
    </row>
    <row r="783">
      <c r="A783" s="32"/>
      <c r="B783" s="32"/>
      <c r="C783" s="32"/>
      <c r="D783" s="32"/>
    </row>
    <row r="784">
      <c r="A784" s="32"/>
      <c r="B784" s="32"/>
      <c r="C784" s="32"/>
      <c r="D784" s="32"/>
    </row>
    <row r="785">
      <c r="A785" s="32"/>
      <c r="B785" s="32"/>
      <c r="C785" s="32"/>
      <c r="D785" s="32"/>
    </row>
    <row r="786">
      <c r="A786" s="32"/>
      <c r="B786" s="32"/>
      <c r="C786" s="32"/>
      <c r="D786" s="32"/>
    </row>
    <row r="787">
      <c r="A787" s="32"/>
      <c r="B787" s="32"/>
      <c r="C787" s="32"/>
      <c r="D787" s="32"/>
    </row>
    <row r="788">
      <c r="A788" s="32"/>
      <c r="B788" s="32"/>
      <c r="C788" s="32"/>
      <c r="D788" s="32"/>
    </row>
    <row r="789">
      <c r="A789" s="32"/>
      <c r="B789" s="32"/>
      <c r="C789" s="32"/>
      <c r="D789" s="32"/>
    </row>
    <row r="790">
      <c r="A790" s="32"/>
      <c r="B790" s="32"/>
      <c r="C790" s="32"/>
      <c r="D790" s="32"/>
    </row>
    <row r="791">
      <c r="A791" s="32"/>
      <c r="B791" s="32"/>
      <c r="C791" s="32"/>
      <c r="D791" s="32"/>
    </row>
    <row r="792">
      <c r="A792" s="32"/>
      <c r="B792" s="32"/>
      <c r="C792" s="32"/>
      <c r="D792" s="32"/>
    </row>
    <row r="793">
      <c r="A793" s="32"/>
      <c r="B793" s="32"/>
      <c r="C793" s="32"/>
      <c r="D793" s="32"/>
    </row>
    <row r="794">
      <c r="A794" s="32"/>
      <c r="B794" s="32"/>
      <c r="C794" s="32"/>
      <c r="D794" s="32"/>
    </row>
    <row r="795">
      <c r="A795" s="32"/>
      <c r="B795" s="32"/>
      <c r="C795" s="32"/>
      <c r="D795" s="32"/>
    </row>
    <row r="796">
      <c r="A796" s="32"/>
      <c r="B796" s="32"/>
      <c r="C796" s="32"/>
      <c r="D796" s="32"/>
    </row>
    <row r="797">
      <c r="A797" s="32"/>
      <c r="B797" s="32"/>
      <c r="C797" s="32"/>
      <c r="D797" s="32"/>
    </row>
    <row r="798">
      <c r="A798" s="32"/>
      <c r="B798" s="32"/>
      <c r="C798" s="32"/>
      <c r="D798" s="32"/>
    </row>
    <row r="799">
      <c r="A799" s="32"/>
      <c r="B799" s="32"/>
      <c r="C799" s="32"/>
      <c r="D799" s="32"/>
    </row>
    <row r="800">
      <c r="A800" s="32"/>
      <c r="B800" s="32"/>
      <c r="C800" s="32"/>
      <c r="D800" s="32"/>
    </row>
    <row r="801">
      <c r="A801" s="32"/>
      <c r="B801" s="32"/>
      <c r="C801" s="32"/>
      <c r="D801" s="32"/>
    </row>
    <row r="802">
      <c r="A802" s="32"/>
      <c r="B802" s="32"/>
      <c r="C802" s="32"/>
      <c r="D802" s="32"/>
    </row>
    <row r="803">
      <c r="A803" s="32"/>
      <c r="B803" s="32"/>
      <c r="C803" s="32"/>
      <c r="D803" s="32"/>
    </row>
    <row r="804">
      <c r="A804" s="32"/>
      <c r="B804" s="32"/>
      <c r="C804" s="32"/>
      <c r="D804" s="32"/>
    </row>
    <row r="805">
      <c r="A805" s="32"/>
      <c r="B805" s="32"/>
      <c r="C805" s="32"/>
      <c r="D805" s="32"/>
    </row>
    <row r="806">
      <c r="A806" s="32"/>
      <c r="B806" s="32"/>
      <c r="C806" s="32"/>
      <c r="D806" s="32"/>
    </row>
    <row r="807">
      <c r="A807" s="32"/>
      <c r="B807" s="32"/>
      <c r="C807" s="32"/>
      <c r="D807" s="32"/>
    </row>
    <row r="808">
      <c r="A808" s="32"/>
      <c r="B808" s="32"/>
      <c r="C808" s="32"/>
      <c r="D808" s="32"/>
    </row>
    <row r="809">
      <c r="A809" s="32"/>
      <c r="B809" s="32"/>
      <c r="C809" s="32"/>
      <c r="D809" s="32"/>
    </row>
    <row r="810">
      <c r="A810" s="32"/>
      <c r="B810" s="32"/>
      <c r="C810" s="32"/>
      <c r="D810" s="32"/>
    </row>
    <row r="811">
      <c r="A811" s="32"/>
      <c r="B811" s="32"/>
      <c r="C811" s="32"/>
      <c r="D811" s="32"/>
    </row>
    <row r="812">
      <c r="A812" s="32"/>
      <c r="B812" s="32"/>
      <c r="C812" s="32"/>
      <c r="D812" s="32"/>
    </row>
    <row r="813">
      <c r="A813" s="32"/>
      <c r="B813" s="32"/>
      <c r="C813" s="32"/>
      <c r="D813" s="32"/>
    </row>
    <row r="814">
      <c r="A814" s="32"/>
      <c r="B814" s="32"/>
      <c r="C814" s="32"/>
      <c r="D814" s="32"/>
    </row>
    <row r="815">
      <c r="A815" s="32"/>
      <c r="B815" s="32"/>
      <c r="C815" s="32"/>
      <c r="D815" s="32"/>
    </row>
    <row r="816">
      <c r="A816" s="32"/>
      <c r="B816" s="32"/>
      <c r="C816" s="32"/>
      <c r="D816" s="32"/>
    </row>
    <row r="817">
      <c r="A817" s="32"/>
      <c r="B817" s="32"/>
      <c r="C817" s="32"/>
      <c r="D817" s="32"/>
    </row>
    <row r="818">
      <c r="A818" s="32"/>
      <c r="B818" s="32"/>
      <c r="C818" s="32"/>
      <c r="D818" s="32"/>
    </row>
    <row r="819">
      <c r="A819" s="32"/>
      <c r="B819" s="32"/>
      <c r="C819" s="32"/>
      <c r="D819" s="32"/>
    </row>
    <row r="820">
      <c r="A820" s="32"/>
      <c r="B820" s="32"/>
      <c r="C820" s="32"/>
      <c r="D820" s="32"/>
    </row>
    <row r="821">
      <c r="A821" s="32"/>
      <c r="B821" s="32"/>
      <c r="C821" s="32"/>
      <c r="D821" s="32"/>
    </row>
    <row r="822">
      <c r="A822" s="32"/>
      <c r="B822" s="32"/>
      <c r="C822" s="32"/>
      <c r="D822" s="32"/>
    </row>
    <row r="823">
      <c r="A823" s="32"/>
      <c r="B823" s="32"/>
      <c r="C823" s="32"/>
      <c r="D823" s="32"/>
    </row>
    <row r="824">
      <c r="A824" s="32"/>
      <c r="B824" s="32"/>
      <c r="C824" s="32"/>
      <c r="D824" s="32"/>
    </row>
    <row r="825">
      <c r="A825" s="32"/>
      <c r="B825" s="32"/>
      <c r="C825" s="32"/>
      <c r="D825" s="32"/>
    </row>
    <row r="826">
      <c r="A826" s="32"/>
      <c r="B826" s="32"/>
      <c r="C826" s="32"/>
      <c r="D826" s="32"/>
    </row>
    <row r="827">
      <c r="A827" s="32"/>
      <c r="B827" s="32"/>
      <c r="C827" s="32"/>
      <c r="D827" s="32"/>
    </row>
    <row r="828">
      <c r="A828" s="32"/>
      <c r="B828" s="32"/>
      <c r="C828" s="32"/>
      <c r="D828" s="32"/>
    </row>
    <row r="829">
      <c r="A829" s="32"/>
      <c r="B829" s="32"/>
      <c r="C829" s="32"/>
      <c r="D829" s="32"/>
    </row>
    <row r="830">
      <c r="A830" s="32"/>
      <c r="B830" s="32"/>
      <c r="C830" s="32"/>
      <c r="D830" s="32"/>
    </row>
    <row r="831">
      <c r="A831" s="32"/>
      <c r="B831" s="32"/>
      <c r="C831" s="32"/>
      <c r="D831" s="32"/>
    </row>
    <row r="832">
      <c r="A832" s="32"/>
      <c r="B832" s="32"/>
      <c r="C832" s="32"/>
      <c r="D832" s="32"/>
    </row>
    <row r="833">
      <c r="A833" s="32"/>
      <c r="B833" s="32"/>
      <c r="C833" s="32"/>
      <c r="D833" s="32"/>
    </row>
    <row r="834">
      <c r="A834" s="32"/>
      <c r="B834" s="32"/>
      <c r="C834" s="32"/>
      <c r="D834" s="32"/>
    </row>
    <row r="835">
      <c r="A835" s="32"/>
      <c r="B835" s="32"/>
      <c r="C835" s="32"/>
      <c r="D835" s="32"/>
    </row>
    <row r="836">
      <c r="A836" s="32"/>
      <c r="B836" s="32"/>
      <c r="C836" s="32"/>
      <c r="D836" s="32"/>
    </row>
    <row r="837">
      <c r="A837" s="32"/>
      <c r="B837" s="32"/>
      <c r="C837" s="32"/>
      <c r="D837" s="32"/>
    </row>
    <row r="838">
      <c r="A838" s="32"/>
      <c r="B838" s="32"/>
      <c r="C838" s="32"/>
      <c r="D838" s="32"/>
    </row>
    <row r="839">
      <c r="A839" s="32"/>
      <c r="B839" s="32"/>
      <c r="C839" s="32"/>
      <c r="D839" s="32"/>
    </row>
    <row r="840">
      <c r="A840" s="32"/>
      <c r="B840" s="32"/>
      <c r="C840" s="32"/>
      <c r="D840" s="32"/>
    </row>
    <row r="841">
      <c r="A841" s="32"/>
      <c r="B841" s="32"/>
      <c r="C841" s="32"/>
      <c r="D841" s="32"/>
    </row>
    <row r="842">
      <c r="A842" s="32"/>
      <c r="B842" s="32"/>
      <c r="C842" s="32"/>
      <c r="D842" s="32"/>
    </row>
    <row r="843">
      <c r="A843" s="32"/>
      <c r="B843" s="32"/>
      <c r="C843" s="32"/>
      <c r="D843" s="32"/>
    </row>
    <row r="844">
      <c r="A844" s="32"/>
      <c r="B844" s="32"/>
      <c r="C844" s="32"/>
      <c r="D844" s="32"/>
    </row>
    <row r="845">
      <c r="A845" s="32"/>
      <c r="B845" s="32"/>
      <c r="C845" s="32"/>
      <c r="D845" s="32"/>
    </row>
    <row r="846">
      <c r="A846" s="32"/>
      <c r="B846" s="32"/>
      <c r="C846" s="32"/>
      <c r="D846" s="32"/>
    </row>
    <row r="847">
      <c r="A847" s="32"/>
      <c r="B847" s="32"/>
      <c r="C847" s="32"/>
      <c r="D847" s="32"/>
    </row>
    <row r="848">
      <c r="A848" s="32"/>
      <c r="B848" s="32"/>
      <c r="C848" s="32"/>
      <c r="D848" s="32"/>
    </row>
    <row r="849">
      <c r="A849" s="32"/>
      <c r="B849" s="32"/>
      <c r="C849" s="32"/>
      <c r="D849" s="32"/>
    </row>
    <row r="850">
      <c r="A850" s="32"/>
      <c r="B850" s="32"/>
      <c r="C850" s="32"/>
      <c r="D850" s="32"/>
    </row>
    <row r="851">
      <c r="A851" s="32"/>
      <c r="B851" s="32"/>
      <c r="C851" s="32"/>
      <c r="D851" s="32"/>
    </row>
    <row r="852">
      <c r="A852" s="32"/>
      <c r="B852" s="32"/>
      <c r="C852" s="32"/>
      <c r="D852" s="32"/>
    </row>
    <row r="853">
      <c r="A853" s="32"/>
      <c r="B853" s="32"/>
      <c r="C853" s="32"/>
      <c r="D853" s="32"/>
    </row>
    <row r="854">
      <c r="A854" s="32"/>
      <c r="B854" s="32"/>
      <c r="C854" s="32"/>
      <c r="D854" s="32"/>
    </row>
    <row r="855">
      <c r="A855" s="32"/>
      <c r="B855" s="32"/>
      <c r="C855" s="32"/>
      <c r="D855" s="32"/>
    </row>
    <row r="856">
      <c r="A856" s="32"/>
      <c r="B856" s="32"/>
      <c r="C856" s="32"/>
      <c r="D856" s="32"/>
    </row>
    <row r="857">
      <c r="A857" s="32"/>
      <c r="B857" s="32"/>
      <c r="C857" s="32"/>
      <c r="D857" s="32"/>
    </row>
    <row r="858">
      <c r="A858" s="32"/>
      <c r="B858" s="32"/>
      <c r="C858" s="32"/>
      <c r="D858" s="32"/>
    </row>
    <row r="859">
      <c r="A859" s="32"/>
      <c r="B859" s="32"/>
      <c r="C859" s="32"/>
      <c r="D859" s="32"/>
    </row>
    <row r="860">
      <c r="A860" s="32"/>
      <c r="B860" s="32"/>
      <c r="C860" s="32"/>
      <c r="D860" s="32"/>
    </row>
    <row r="861">
      <c r="A861" s="32"/>
      <c r="B861" s="32"/>
      <c r="C861" s="32"/>
      <c r="D861" s="32"/>
    </row>
    <row r="862">
      <c r="A862" s="32"/>
      <c r="B862" s="32"/>
      <c r="C862" s="32"/>
      <c r="D862" s="32"/>
    </row>
    <row r="863">
      <c r="A863" s="32"/>
      <c r="B863" s="32"/>
      <c r="C863" s="32"/>
      <c r="D863" s="32"/>
    </row>
    <row r="864">
      <c r="A864" s="32"/>
      <c r="B864" s="32"/>
      <c r="C864" s="32"/>
      <c r="D864" s="32"/>
    </row>
    <row r="865">
      <c r="A865" s="32"/>
      <c r="B865" s="32"/>
      <c r="C865" s="32"/>
      <c r="D865" s="32"/>
    </row>
    <row r="866">
      <c r="A866" s="32"/>
      <c r="B866" s="32"/>
      <c r="C866" s="32"/>
      <c r="D866" s="32"/>
    </row>
    <row r="867">
      <c r="A867" s="32"/>
      <c r="B867" s="32"/>
      <c r="C867" s="32"/>
      <c r="D867" s="32"/>
    </row>
    <row r="868">
      <c r="A868" s="32"/>
      <c r="B868" s="32"/>
      <c r="C868" s="32"/>
      <c r="D868" s="32"/>
    </row>
    <row r="869">
      <c r="A869" s="32"/>
      <c r="B869" s="32"/>
      <c r="C869" s="32"/>
      <c r="D869" s="32"/>
    </row>
    <row r="870">
      <c r="A870" s="32"/>
      <c r="B870" s="32"/>
      <c r="C870" s="32"/>
      <c r="D870" s="32"/>
    </row>
    <row r="871">
      <c r="A871" s="32"/>
      <c r="B871" s="32"/>
      <c r="C871" s="32"/>
      <c r="D871" s="32"/>
    </row>
    <row r="872">
      <c r="A872" s="32"/>
      <c r="B872" s="32"/>
      <c r="C872" s="32"/>
      <c r="D872" s="32"/>
    </row>
    <row r="873">
      <c r="A873" s="32"/>
      <c r="B873" s="32"/>
      <c r="C873" s="32"/>
      <c r="D873" s="32"/>
    </row>
    <row r="874">
      <c r="A874" s="32"/>
      <c r="B874" s="32"/>
      <c r="C874" s="32"/>
      <c r="D874" s="32"/>
    </row>
    <row r="875">
      <c r="A875" s="32"/>
      <c r="B875" s="32"/>
      <c r="C875" s="32"/>
      <c r="D875" s="32"/>
    </row>
    <row r="876">
      <c r="A876" s="32"/>
      <c r="B876" s="32"/>
      <c r="C876" s="32"/>
      <c r="D876" s="32"/>
    </row>
    <row r="877">
      <c r="A877" s="32"/>
      <c r="B877" s="32"/>
      <c r="C877" s="32"/>
      <c r="D877" s="32"/>
    </row>
    <row r="878">
      <c r="A878" s="32"/>
      <c r="B878" s="32"/>
      <c r="C878" s="32"/>
      <c r="D878" s="32"/>
    </row>
    <row r="879">
      <c r="A879" s="32"/>
      <c r="B879" s="32"/>
      <c r="C879" s="32"/>
      <c r="D879" s="32"/>
    </row>
    <row r="880">
      <c r="A880" s="32"/>
      <c r="B880" s="32"/>
      <c r="C880" s="32"/>
      <c r="D880" s="32"/>
    </row>
    <row r="881">
      <c r="A881" s="32"/>
      <c r="B881" s="32"/>
      <c r="C881" s="32"/>
      <c r="D881" s="32"/>
    </row>
    <row r="882">
      <c r="A882" s="32"/>
      <c r="B882" s="32"/>
      <c r="C882" s="32"/>
      <c r="D882" s="32"/>
    </row>
    <row r="883">
      <c r="A883" s="32"/>
      <c r="B883" s="32"/>
      <c r="C883" s="32"/>
      <c r="D883" s="32"/>
    </row>
    <row r="884">
      <c r="A884" s="32"/>
      <c r="B884" s="32"/>
      <c r="C884" s="32"/>
      <c r="D884" s="32"/>
    </row>
    <row r="885">
      <c r="A885" s="32"/>
      <c r="B885" s="32"/>
      <c r="C885" s="32"/>
      <c r="D885" s="32"/>
    </row>
    <row r="886">
      <c r="A886" s="32"/>
      <c r="B886" s="32"/>
      <c r="C886" s="32"/>
      <c r="D886" s="32"/>
    </row>
    <row r="887">
      <c r="A887" s="32"/>
      <c r="B887" s="32"/>
      <c r="C887" s="32"/>
      <c r="D887" s="32"/>
    </row>
    <row r="888">
      <c r="A888" s="32"/>
      <c r="B888" s="32"/>
      <c r="C888" s="32"/>
      <c r="D888" s="32"/>
    </row>
    <row r="889">
      <c r="A889" s="32"/>
      <c r="B889" s="32"/>
      <c r="C889" s="32"/>
      <c r="D889" s="32"/>
    </row>
    <row r="890">
      <c r="A890" s="32"/>
      <c r="B890" s="32"/>
      <c r="C890" s="32"/>
      <c r="D890" s="32"/>
    </row>
    <row r="891">
      <c r="A891" s="32"/>
      <c r="B891" s="32"/>
      <c r="C891" s="32"/>
      <c r="D891" s="32"/>
    </row>
    <row r="892">
      <c r="A892" s="32"/>
      <c r="B892" s="32"/>
      <c r="C892" s="32"/>
      <c r="D892" s="32"/>
    </row>
    <row r="893">
      <c r="A893" s="32"/>
      <c r="B893" s="32"/>
      <c r="C893" s="32"/>
      <c r="D893" s="32"/>
    </row>
    <row r="894">
      <c r="A894" s="32"/>
      <c r="B894" s="32"/>
      <c r="C894" s="32"/>
      <c r="D894" s="32"/>
    </row>
    <row r="895">
      <c r="A895" s="32"/>
      <c r="B895" s="32"/>
      <c r="C895" s="32"/>
      <c r="D895" s="32"/>
    </row>
    <row r="896">
      <c r="A896" s="32"/>
      <c r="B896" s="32"/>
      <c r="C896" s="32"/>
      <c r="D896" s="32"/>
    </row>
    <row r="897">
      <c r="A897" s="32"/>
      <c r="B897" s="32"/>
      <c r="C897" s="32"/>
      <c r="D897" s="32"/>
    </row>
    <row r="898">
      <c r="A898" s="32"/>
      <c r="B898" s="32"/>
      <c r="C898" s="32"/>
      <c r="D898" s="32"/>
    </row>
    <row r="899">
      <c r="A899" s="32"/>
      <c r="B899" s="32"/>
      <c r="C899" s="32"/>
      <c r="D899" s="32"/>
    </row>
    <row r="900">
      <c r="A900" s="32"/>
      <c r="B900" s="32"/>
      <c r="C900" s="32"/>
      <c r="D900" s="32"/>
    </row>
    <row r="901">
      <c r="A901" s="32"/>
      <c r="B901" s="32"/>
      <c r="C901" s="32"/>
      <c r="D901" s="32"/>
    </row>
    <row r="902">
      <c r="A902" s="32"/>
      <c r="B902" s="32"/>
      <c r="C902" s="32"/>
      <c r="D902" s="32"/>
    </row>
    <row r="903">
      <c r="A903" s="32"/>
      <c r="B903" s="32"/>
      <c r="C903" s="32"/>
      <c r="D903" s="32"/>
    </row>
    <row r="904">
      <c r="A904" s="32"/>
      <c r="B904" s="32"/>
      <c r="C904" s="32"/>
      <c r="D904" s="32"/>
    </row>
    <row r="905">
      <c r="A905" s="32"/>
      <c r="B905" s="32"/>
      <c r="C905" s="32"/>
      <c r="D905" s="32"/>
    </row>
    <row r="906">
      <c r="A906" s="32"/>
      <c r="B906" s="32"/>
      <c r="C906" s="32"/>
      <c r="D906" s="32"/>
    </row>
    <row r="907">
      <c r="A907" s="32"/>
      <c r="B907" s="32"/>
      <c r="C907" s="32"/>
      <c r="D907" s="32"/>
    </row>
    <row r="908">
      <c r="A908" s="32"/>
      <c r="B908" s="32"/>
      <c r="C908" s="32"/>
      <c r="D908" s="32"/>
    </row>
    <row r="909">
      <c r="A909" s="32"/>
      <c r="B909" s="32"/>
      <c r="C909" s="32"/>
      <c r="D909" s="32"/>
    </row>
    <row r="910">
      <c r="A910" s="32"/>
      <c r="B910" s="32"/>
      <c r="C910" s="32"/>
      <c r="D910" s="32"/>
    </row>
    <row r="911">
      <c r="A911" s="32"/>
      <c r="B911" s="32"/>
      <c r="C911" s="32"/>
      <c r="D911" s="32"/>
    </row>
    <row r="912">
      <c r="A912" s="32"/>
      <c r="B912" s="32"/>
      <c r="C912" s="32"/>
      <c r="D912" s="32"/>
    </row>
    <row r="913">
      <c r="A913" s="32"/>
      <c r="B913" s="32"/>
      <c r="C913" s="32"/>
      <c r="D913" s="32"/>
    </row>
    <row r="914">
      <c r="A914" s="32"/>
      <c r="B914" s="32"/>
      <c r="C914" s="32"/>
      <c r="D914" s="32"/>
    </row>
    <row r="915">
      <c r="A915" s="32"/>
      <c r="B915" s="32"/>
      <c r="C915" s="32"/>
      <c r="D915" s="32"/>
    </row>
    <row r="916">
      <c r="A916" s="32"/>
      <c r="B916" s="32"/>
      <c r="C916" s="32"/>
      <c r="D916" s="32"/>
    </row>
    <row r="917">
      <c r="A917" s="32"/>
      <c r="B917" s="32"/>
      <c r="C917" s="32"/>
      <c r="D917" s="32"/>
    </row>
    <row r="918">
      <c r="A918" s="32"/>
      <c r="B918" s="32"/>
      <c r="C918" s="32"/>
      <c r="D918" s="32"/>
    </row>
    <row r="919">
      <c r="A919" s="32"/>
      <c r="B919" s="32"/>
      <c r="C919" s="32"/>
      <c r="D919" s="32"/>
    </row>
    <row r="920">
      <c r="A920" s="32"/>
      <c r="B920" s="32"/>
      <c r="C920" s="32"/>
      <c r="D920" s="32"/>
    </row>
    <row r="921">
      <c r="A921" s="32"/>
      <c r="B921" s="32"/>
      <c r="C921" s="32"/>
      <c r="D921" s="32"/>
    </row>
    <row r="922">
      <c r="A922" s="32"/>
      <c r="B922" s="32"/>
      <c r="C922" s="32"/>
      <c r="D922" s="32"/>
    </row>
    <row r="923">
      <c r="A923" s="32"/>
      <c r="B923" s="32"/>
      <c r="C923" s="32"/>
      <c r="D923" s="32"/>
    </row>
    <row r="924">
      <c r="A924" s="32"/>
      <c r="B924" s="32"/>
      <c r="C924" s="32"/>
      <c r="D924" s="32"/>
    </row>
    <row r="925">
      <c r="A925" s="32"/>
      <c r="B925" s="32"/>
      <c r="C925" s="32"/>
      <c r="D925" s="32"/>
    </row>
    <row r="926">
      <c r="A926" s="32"/>
      <c r="B926" s="32"/>
      <c r="C926" s="32"/>
      <c r="D926" s="32"/>
    </row>
    <row r="927">
      <c r="A927" s="32"/>
      <c r="B927" s="32"/>
      <c r="C927" s="32"/>
      <c r="D927" s="32"/>
    </row>
    <row r="928">
      <c r="A928" s="32"/>
      <c r="B928" s="32"/>
      <c r="C928" s="32"/>
      <c r="D928" s="32"/>
    </row>
    <row r="929">
      <c r="A929" s="32"/>
      <c r="B929" s="32"/>
      <c r="C929" s="32"/>
      <c r="D929" s="32"/>
    </row>
    <row r="930">
      <c r="A930" s="32"/>
      <c r="B930" s="32"/>
      <c r="C930" s="32"/>
      <c r="D930" s="32"/>
    </row>
    <row r="931">
      <c r="A931" s="32"/>
      <c r="B931" s="32"/>
      <c r="C931" s="32"/>
      <c r="D931" s="32"/>
    </row>
    <row r="932">
      <c r="A932" s="32"/>
      <c r="B932" s="32"/>
      <c r="C932" s="32"/>
      <c r="D932" s="32"/>
    </row>
    <row r="933">
      <c r="A933" s="32"/>
      <c r="B933" s="32"/>
      <c r="C933" s="32"/>
      <c r="D933" s="32"/>
    </row>
    <row r="934">
      <c r="A934" s="32"/>
      <c r="B934" s="32"/>
      <c r="C934" s="32"/>
      <c r="D934" s="32"/>
    </row>
    <row r="935">
      <c r="A935" s="32"/>
      <c r="B935" s="32"/>
      <c r="C935" s="32"/>
      <c r="D935" s="32"/>
    </row>
    <row r="936">
      <c r="A936" s="32"/>
      <c r="B936" s="32"/>
      <c r="C936" s="32"/>
      <c r="D936" s="32"/>
    </row>
    <row r="937">
      <c r="A937" s="32"/>
      <c r="B937" s="32"/>
      <c r="C937" s="32"/>
      <c r="D937" s="32"/>
    </row>
    <row r="938">
      <c r="A938" s="32"/>
      <c r="B938" s="32"/>
      <c r="C938" s="32"/>
      <c r="D938" s="32"/>
    </row>
    <row r="939">
      <c r="A939" s="32"/>
      <c r="B939" s="32"/>
      <c r="C939" s="32"/>
      <c r="D939" s="32"/>
    </row>
    <row r="940">
      <c r="A940" s="32"/>
      <c r="B940" s="32"/>
      <c r="C940" s="32"/>
      <c r="D940" s="32"/>
    </row>
    <row r="941">
      <c r="A941" s="32"/>
      <c r="B941" s="32"/>
      <c r="C941" s="32"/>
      <c r="D941" s="32"/>
    </row>
    <row r="942">
      <c r="A942" s="32"/>
      <c r="B942" s="32"/>
      <c r="C942" s="32"/>
      <c r="D942" s="32"/>
    </row>
    <row r="943">
      <c r="A943" s="32"/>
      <c r="B943" s="32"/>
      <c r="C943" s="32"/>
      <c r="D943" s="32"/>
    </row>
    <row r="944">
      <c r="A944" s="32"/>
      <c r="B944" s="32"/>
      <c r="C944" s="32"/>
      <c r="D944" s="32"/>
    </row>
    <row r="945">
      <c r="A945" s="32"/>
      <c r="B945" s="32"/>
      <c r="C945" s="32"/>
      <c r="D945" s="32"/>
    </row>
    <row r="946">
      <c r="A946" s="32"/>
      <c r="B946" s="32"/>
      <c r="C946" s="32"/>
      <c r="D946" s="32"/>
    </row>
    <row r="947">
      <c r="A947" s="32"/>
      <c r="B947" s="32"/>
      <c r="C947" s="32"/>
      <c r="D947" s="32"/>
    </row>
    <row r="948">
      <c r="A948" s="32"/>
      <c r="B948" s="32"/>
      <c r="C948" s="32"/>
      <c r="D948" s="32"/>
    </row>
    <row r="949">
      <c r="A949" s="32"/>
      <c r="B949" s="32"/>
      <c r="C949" s="32"/>
      <c r="D949" s="32"/>
    </row>
    <row r="950">
      <c r="A950" s="32"/>
      <c r="B950" s="32"/>
      <c r="C950" s="32"/>
      <c r="D950" s="32"/>
    </row>
    <row r="951">
      <c r="A951" s="32"/>
      <c r="B951" s="32"/>
      <c r="C951" s="32"/>
      <c r="D951" s="32"/>
    </row>
    <row r="952">
      <c r="A952" s="32"/>
      <c r="B952" s="32"/>
      <c r="C952" s="32"/>
      <c r="D952" s="32"/>
    </row>
    <row r="953">
      <c r="A953" s="32"/>
      <c r="B953" s="32"/>
      <c r="C953" s="32"/>
      <c r="D953" s="32"/>
    </row>
    <row r="954">
      <c r="A954" s="32"/>
      <c r="B954" s="32"/>
      <c r="C954" s="32"/>
      <c r="D954" s="32"/>
    </row>
    <row r="955">
      <c r="A955" s="32"/>
      <c r="B955" s="32"/>
      <c r="C955" s="32"/>
      <c r="D955" s="32"/>
    </row>
    <row r="956">
      <c r="A956" s="32"/>
      <c r="B956" s="32"/>
      <c r="C956" s="32"/>
      <c r="D956" s="32"/>
    </row>
    <row r="957">
      <c r="A957" s="32"/>
      <c r="B957" s="32"/>
      <c r="C957" s="32"/>
      <c r="D957" s="32"/>
    </row>
    <row r="958">
      <c r="A958" s="32"/>
      <c r="B958" s="32"/>
      <c r="C958" s="32"/>
      <c r="D958" s="32"/>
    </row>
    <row r="959">
      <c r="A959" s="32"/>
      <c r="B959" s="32"/>
      <c r="C959" s="32"/>
      <c r="D959" s="32"/>
    </row>
    <row r="960">
      <c r="A960" s="32"/>
      <c r="B960" s="32"/>
      <c r="C960" s="32"/>
      <c r="D960" s="32"/>
    </row>
    <row r="961">
      <c r="A961" s="32"/>
      <c r="B961" s="32"/>
      <c r="C961" s="32"/>
      <c r="D961" s="32"/>
    </row>
    <row r="962">
      <c r="A962" s="32"/>
      <c r="B962" s="32"/>
      <c r="C962" s="32"/>
      <c r="D962" s="32"/>
    </row>
    <row r="963">
      <c r="A963" s="32"/>
      <c r="B963" s="32"/>
      <c r="C963" s="32"/>
      <c r="D963" s="32"/>
    </row>
    <row r="964">
      <c r="A964" s="32"/>
      <c r="B964" s="32"/>
      <c r="C964" s="32"/>
      <c r="D964" s="32"/>
    </row>
    <row r="965">
      <c r="A965" s="32"/>
      <c r="B965" s="32"/>
      <c r="C965" s="32"/>
      <c r="D965" s="32"/>
    </row>
    <row r="966">
      <c r="A966" s="32"/>
      <c r="B966" s="32"/>
      <c r="C966" s="32"/>
      <c r="D966" s="32"/>
    </row>
    <row r="967">
      <c r="A967" s="32"/>
      <c r="B967" s="32"/>
      <c r="C967" s="32"/>
      <c r="D967" s="32"/>
    </row>
    <row r="968">
      <c r="A968" s="32"/>
      <c r="B968" s="32"/>
      <c r="C968" s="32"/>
      <c r="D968" s="32"/>
    </row>
    <row r="969">
      <c r="A969" s="32"/>
      <c r="B969" s="32"/>
      <c r="C969" s="32"/>
      <c r="D969" s="32"/>
    </row>
    <row r="970">
      <c r="A970" s="32"/>
      <c r="B970" s="32"/>
      <c r="C970" s="32"/>
      <c r="D970" s="32"/>
    </row>
    <row r="971">
      <c r="A971" s="32"/>
      <c r="B971" s="32"/>
      <c r="C971" s="32"/>
      <c r="D971" s="32"/>
    </row>
    <row r="972">
      <c r="A972" s="32"/>
      <c r="B972" s="32"/>
      <c r="C972" s="32"/>
      <c r="D972" s="32"/>
    </row>
    <row r="973">
      <c r="A973" s="32"/>
      <c r="B973" s="32"/>
      <c r="C973" s="32"/>
      <c r="D973" s="32"/>
    </row>
    <row r="974">
      <c r="A974" s="32"/>
      <c r="B974" s="32"/>
      <c r="C974" s="32"/>
      <c r="D974" s="32"/>
    </row>
    <row r="975">
      <c r="A975" s="32"/>
      <c r="B975" s="32"/>
      <c r="C975" s="32"/>
      <c r="D975" s="32"/>
    </row>
    <row r="976">
      <c r="A976" s="32"/>
      <c r="B976" s="32"/>
      <c r="C976" s="32"/>
      <c r="D976" s="32"/>
    </row>
    <row r="977">
      <c r="A977" s="32"/>
      <c r="B977" s="32"/>
      <c r="C977" s="32"/>
      <c r="D977" s="32"/>
    </row>
    <row r="978">
      <c r="A978" s="32"/>
      <c r="B978" s="32"/>
      <c r="C978" s="32"/>
      <c r="D978" s="32"/>
    </row>
    <row r="979">
      <c r="A979" s="32"/>
      <c r="B979" s="32"/>
      <c r="C979" s="32"/>
      <c r="D979" s="32"/>
    </row>
    <row r="980">
      <c r="A980" s="32"/>
      <c r="B980" s="32"/>
      <c r="C980" s="32"/>
      <c r="D980" s="32"/>
    </row>
    <row r="981">
      <c r="A981" s="32"/>
      <c r="B981" s="32"/>
      <c r="C981" s="32"/>
      <c r="D981" s="32"/>
    </row>
    <row r="982">
      <c r="A982" s="32"/>
      <c r="B982" s="32"/>
      <c r="C982" s="32"/>
      <c r="D982" s="32"/>
    </row>
    <row r="983">
      <c r="A983" s="32"/>
      <c r="B983" s="32"/>
      <c r="C983" s="32"/>
      <c r="D983" s="32"/>
    </row>
    <row r="984">
      <c r="A984" s="32"/>
      <c r="B984" s="32"/>
      <c r="C984" s="32"/>
      <c r="D984" s="32"/>
    </row>
    <row r="985">
      <c r="A985" s="32"/>
      <c r="B985" s="32"/>
      <c r="C985" s="32"/>
      <c r="D985" s="32"/>
    </row>
    <row r="986">
      <c r="A986" s="32"/>
      <c r="B986" s="32"/>
      <c r="C986" s="32"/>
      <c r="D986" s="32"/>
    </row>
    <row r="987">
      <c r="A987" s="32"/>
      <c r="B987" s="32"/>
      <c r="C987" s="32"/>
      <c r="D987" s="32"/>
    </row>
    <row r="988">
      <c r="A988" s="32"/>
      <c r="B988" s="32"/>
      <c r="C988" s="32"/>
      <c r="D988" s="32"/>
    </row>
    <row r="989">
      <c r="A989" s="32"/>
      <c r="B989" s="32"/>
      <c r="C989" s="32"/>
      <c r="D989" s="32"/>
    </row>
    <row r="990">
      <c r="A990" s="32"/>
      <c r="B990" s="32"/>
      <c r="C990" s="32"/>
      <c r="D990" s="32"/>
    </row>
    <row r="991">
      <c r="A991" s="32"/>
      <c r="B991" s="32"/>
      <c r="C991" s="32"/>
      <c r="D991" s="32"/>
    </row>
    <row r="992">
      <c r="A992" s="32"/>
      <c r="B992" s="32"/>
      <c r="C992" s="32"/>
      <c r="D992" s="32"/>
    </row>
    <row r="993">
      <c r="A993" s="32"/>
      <c r="B993" s="32"/>
      <c r="C993" s="32"/>
      <c r="D993" s="32"/>
    </row>
    <row r="994">
      <c r="A994" s="32"/>
      <c r="B994" s="32"/>
      <c r="C994" s="32"/>
      <c r="D994" s="32"/>
    </row>
    <row r="995">
      <c r="A995" s="32"/>
      <c r="B995" s="32"/>
      <c r="C995" s="32"/>
      <c r="D995" s="32"/>
    </row>
    <row r="996">
      <c r="A996" s="32"/>
      <c r="B996" s="32"/>
      <c r="C996" s="32"/>
      <c r="D996" s="32"/>
    </row>
    <row r="997">
      <c r="A997" s="32"/>
      <c r="B997" s="32"/>
      <c r="C997" s="32"/>
      <c r="D997" s="32"/>
    </row>
    <row r="998">
      <c r="A998" s="32"/>
      <c r="B998" s="32"/>
      <c r="C998" s="32"/>
      <c r="D998" s="32"/>
    </row>
    <row r="999">
      <c r="A999" s="32"/>
      <c r="B999" s="32"/>
      <c r="C999" s="32"/>
      <c r="D999" s="32"/>
    </row>
    <row r="1000">
      <c r="A1000" s="32"/>
      <c r="B1000" s="32"/>
      <c r="C1000" s="32"/>
      <c r="D1000" s="32"/>
    </row>
    <row r="1001">
      <c r="A1001" s="32"/>
      <c r="B1001" s="32"/>
      <c r="C1001" s="32"/>
      <c r="D1001" s="32"/>
    </row>
    <row r="1002">
      <c r="A1002" s="32"/>
      <c r="B1002" s="32"/>
      <c r="C1002" s="32"/>
      <c r="D1002" s="32"/>
    </row>
  </sheetData>
  <mergeCells count="4">
    <mergeCell ref="A1:J1"/>
    <mergeCell ref="B2:D2"/>
    <mergeCell ref="E2:G2"/>
    <mergeCell ref="H2:J2"/>
  </mergeCells>
  <conditionalFormatting sqref="B8:J53">
    <cfRule type="cellIs" dxfId="0" priority="1" operator="equal">
      <formula>"CORRECT"</formula>
    </cfRule>
  </conditionalFormatting>
  <conditionalFormatting sqref="B8:J53">
    <cfRule type="cellIs" dxfId="1" priority="2" operator="notEqual">
      <formula>"CORRECT"</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20</v>
      </c>
      <c r="C2" s="2"/>
      <c r="D2" s="2"/>
      <c r="E2" s="2"/>
      <c r="F2" s="2"/>
      <c r="G2" s="2"/>
      <c r="H2" s="3"/>
      <c r="I2" s="37" t="s">
        <v>21</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1">
        <v>28139.0</v>
      </c>
    </row>
    <row r="5" ht="60.0" customHeight="1">
      <c r="A5" s="39">
        <v>2.0</v>
      </c>
      <c r="B5" s="40" t="s">
        <v>39</v>
      </c>
      <c r="C5" s="40" t="s">
        <v>40</v>
      </c>
      <c r="D5" s="40" t="s">
        <v>41</v>
      </c>
      <c r="E5" s="40" t="s">
        <v>42</v>
      </c>
      <c r="F5" s="39" t="str">
        <f t="shared" si="1"/>
        <v>CORRECT</v>
      </c>
      <c r="G5" s="39" t="s">
        <v>37</v>
      </c>
      <c r="H5" s="41" t="s">
        <v>37</v>
      </c>
      <c r="I5" s="42" t="s">
        <v>43</v>
      </c>
      <c r="J5" s="41">
        <v>28472.0</v>
      </c>
    </row>
    <row r="6" ht="60.0" customHeight="1">
      <c r="A6" s="39">
        <v>3.0</v>
      </c>
      <c r="B6" s="40" t="s">
        <v>44</v>
      </c>
      <c r="C6" s="40" t="s">
        <v>45</v>
      </c>
      <c r="D6" s="40" t="s">
        <v>46</v>
      </c>
      <c r="E6" s="40" t="s">
        <v>47</v>
      </c>
      <c r="F6" s="39" t="str">
        <f t="shared" si="1"/>
        <v>CORRECT</v>
      </c>
      <c r="G6" s="39" t="s">
        <v>48</v>
      </c>
      <c r="H6" s="41" t="s">
        <v>48</v>
      </c>
      <c r="I6" s="42" t="s">
        <v>49</v>
      </c>
      <c r="J6" s="41">
        <v>36422.0</v>
      </c>
    </row>
    <row r="7" ht="60.0" customHeight="1">
      <c r="A7" s="39">
        <v>4.0</v>
      </c>
      <c r="B7" s="40" t="s">
        <v>50</v>
      </c>
      <c r="C7" s="40" t="s">
        <v>51</v>
      </c>
      <c r="D7" s="40" t="s">
        <v>52</v>
      </c>
      <c r="E7" s="40" t="s">
        <v>53</v>
      </c>
      <c r="F7" s="39" t="str">
        <f t="shared" si="1"/>
        <v>CORRECT</v>
      </c>
      <c r="G7" s="39" t="s">
        <v>37</v>
      </c>
      <c r="H7" s="43" t="s">
        <v>37</v>
      </c>
      <c r="I7" s="42" t="s">
        <v>54</v>
      </c>
      <c r="J7" s="41">
        <v>31650.0</v>
      </c>
    </row>
    <row r="8" ht="60.0" customHeight="1">
      <c r="A8" s="39">
        <v>5.0</v>
      </c>
      <c r="B8" s="40" t="s">
        <v>55</v>
      </c>
      <c r="C8" s="40" t="s">
        <v>56</v>
      </c>
      <c r="D8" s="40" t="s">
        <v>57</v>
      </c>
      <c r="E8" s="40" t="s">
        <v>58</v>
      </c>
      <c r="F8" s="39" t="str">
        <f t="shared" si="1"/>
        <v>CORRECT</v>
      </c>
      <c r="G8" s="39" t="s">
        <v>48</v>
      </c>
      <c r="H8" s="43" t="s">
        <v>48</v>
      </c>
      <c r="I8" s="42" t="s">
        <v>59</v>
      </c>
      <c r="J8" s="41">
        <v>80269.0</v>
      </c>
    </row>
    <row r="9" ht="60.0" customHeight="1">
      <c r="A9" s="39">
        <v>6.0</v>
      </c>
      <c r="B9" s="40" t="s">
        <v>60</v>
      </c>
      <c r="C9" s="40" t="s">
        <v>61</v>
      </c>
      <c r="D9" s="40" t="s">
        <v>62</v>
      </c>
      <c r="E9" s="40" t="s">
        <v>63</v>
      </c>
      <c r="F9" s="39" t="str">
        <f t="shared" si="1"/>
        <v>CORRECT</v>
      </c>
      <c r="G9" s="39" t="s">
        <v>37</v>
      </c>
      <c r="H9" s="41" t="s">
        <v>37</v>
      </c>
      <c r="I9" s="42" t="s">
        <v>64</v>
      </c>
      <c r="J9" s="41">
        <v>22554.0</v>
      </c>
    </row>
    <row r="10" ht="60.0" customHeight="1">
      <c r="A10" s="39">
        <v>7.0</v>
      </c>
      <c r="B10" s="40" t="s">
        <v>65</v>
      </c>
      <c r="C10" s="40" t="s">
        <v>66</v>
      </c>
      <c r="D10" s="40" t="s">
        <v>67</v>
      </c>
      <c r="E10" s="40" t="s">
        <v>68</v>
      </c>
      <c r="F10" s="39" t="str">
        <f t="shared" si="1"/>
        <v>CORRECT</v>
      </c>
      <c r="G10" s="39" t="s">
        <v>37</v>
      </c>
      <c r="H10" s="41" t="s">
        <v>37</v>
      </c>
      <c r="I10" s="42" t="s">
        <v>69</v>
      </c>
      <c r="J10" s="41">
        <v>32231.0</v>
      </c>
    </row>
    <row r="11" ht="60.0" customHeight="1">
      <c r="A11" s="39">
        <v>8.0</v>
      </c>
      <c r="B11" s="40" t="s">
        <v>70</v>
      </c>
      <c r="C11" s="40" t="s">
        <v>71</v>
      </c>
      <c r="D11" s="40" t="s">
        <v>72</v>
      </c>
      <c r="E11" s="40" t="s">
        <v>73</v>
      </c>
      <c r="F11" s="39" t="str">
        <f t="shared" si="1"/>
        <v>CORRECT</v>
      </c>
      <c r="G11" s="39" t="s">
        <v>48</v>
      </c>
      <c r="H11" s="43" t="s">
        <v>48</v>
      </c>
      <c r="I11" s="42" t="s">
        <v>74</v>
      </c>
      <c r="J11" s="41">
        <v>34655.0</v>
      </c>
    </row>
    <row r="12" ht="60.0" customHeight="1">
      <c r="A12" s="39">
        <v>9.0</v>
      </c>
      <c r="B12" s="40" t="s">
        <v>75</v>
      </c>
      <c r="C12" s="40" t="s">
        <v>76</v>
      </c>
      <c r="D12" s="40" t="s">
        <v>77</v>
      </c>
      <c r="E12" s="40" t="s">
        <v>78</v>
      </c>
      <c r="F12" s="39" t="str">
        <f t="shared" si="1"/>
        <v>WRONG</v>
      </c>
      <c r="G12" s="39" t="s">
        <v>37</v>
      </c>
      <c r="H12" s="41" t="s">
        <v>48</v>
      </c>
      <c r="I12" s="42" t="s">
        <v>79</v>
      </c>
      <c r="J12" s="41">
        <v>38027.0</v>
      </c>
    </row>
    <row r="13" ht="60.0" customHeight="1">
      <c r="A13" s="39">
        <v>10.0</v>
      </c>
      <c r="B13" s="40" t="s">
        <v>80</v>
      </c>
      <c r="C13" s="40" t="s">
        <v>81</v>
      </c>
      <c r="D13" s="40" t="s">
        <v>82</v>
      </c>
      <c r="E13" s="40" t="s">
        <v>83</v>
      </c>
      <c r="F13" s="39" t="str">
        <f t="shared" si="1"/>
        <v>CORRECT</v>
      </c>
      <c r="G13" s="39" t="s">
        <v>48</v>
      </c>
      <c r="H13" s="43" t="s">
        <v>48</v>
      </c>
      <c r="I13" s="42" t="s">
        <v>84</v>
      </c>
      <c r="J13" s="41">
        <v>29989.0</v>
      </c>
    </row>
    <row r="14" ht="60.0" customHeight="1">
      <c r="A14" s="39">
        <v>11.0</v>
      </c>
      <c r="B14" s="40" t="s">
        <v>85</v>
      </c>
      <c r="C14" s="40" t="s">
        <v>86</v>
      </c>
      <c r="D14" s="40" t="s">
        <v>87</v>
      </c>
      <c r="E14" s="40" t="s">
        <v>88</v>
      </c>
      <c r="F14" s="39" t="str">
        <f t="shared" si="1"/>
        <v>WRONG</v>
      </c>
      <c r="G14" s="39" t="s">
        <v>37</v>
      </c>
      <c r="H14" s="43" t="s">
        <v>48</v>
      </c>
      <c r="I14" s="42" t="s">
        <v>89</v>
      </c>
      <c r="J14" s="41">
        <v>39532.0</v>
      </c>
    </row>
    <row r="15" ht="60.0" customHeight="1">
      <c r="A15" s="39">
        <v>12.0</v>
      </c>
      <c r="B15" s="40" t="s">
        <v>90</v>
      </c>
      <c r="C15" s="40" t="s">
        <v>91</v>
      </c>
      <c r="D15" s="40" t="s">
        <v>92</v>
      </c>
      <c r="E15" s="40" t="s">
        <v>93</v>
      </c>
      <c r="F15" s="39" t="str">
        <f t="shared" si="1"/>
        <v>WRONG</v>
      </c>
      <c r="G15" s="39" t="s">
        <v>48</v>
      </c>
      <c r="H15" s="43" t="s">
        <v>36</v>
      </c>
      <c r="I15" s="42" t="s">
        <v>94</v>
      </c>
      <c r="J15" s="41">
        <v>46472.0</v>
      </c>
    </row>
    <row r="16" ht="60.0" customHeight="1">
      <c r="A16" s="39">
        <v>13.0</v>
      </c>
      <c r="B16" s="40" t="s">
        <v>95</v>
      </c>
      <c r="C16" s="40" t="s">
        <v>96</v>
      </c>
      <c r="D16" s="40" t="s">
        <v>97</v>
      </c>
      <c r="E16" s="40" t="s">
        <v>98</v>
      </c>
      <c r="F16" s="39" t="str">
        <f t="shared" si="1"/>
        <v>CORRECT</v>
      </c>
      <c r="G16" s="39" t="s">
        <v>36</v>
      </c>
      <c r="H16" s="41" t="s">
        <v>36</v>
      </c>
      <c r="I16" s="42" t="s">
        <v>99</v>
      </c>
      <c r="J16" s="41">
        <v>23644.0</v>
      </c>
    </row>
    <row r="17" ht="60.0" customHeight="1">
      <c r="A17" s="39">
        <v>14.0</v>
      </c>
      <c r="B17" s="40" t="s">
        <v>100</v>
      </c>
      <c r="C17" s="40" t="s">
        <v>101</v>
      </c>
      <c r="D17" s="40" t="s">
        <v>102</v>
      </c>
      <c r="E17" s="40" t="s">
        <v>103</v>
      </c>
      <c r="F17" s="39" t="str">
        <f t="shared" si="1"/>
        <v>WRONG</v>
      </c>
      <c r="G17" s="39" t="s">
        <v>36</v>
      </c>
      <c r="H17" s="43" t="s">
        <v>48</v>
      </c>
      <c r="I17" s="42" t="s">
        <v>104</v>
      </c>
      <c r="J17" s="41">
        <v>42403.0</v>
      </c>
    </row>
    <row r="18" ht="60.0" customHeight="1">
      <c r="A18" s="39">
        <v>15.0</v>
      </c>
      <c r="B18" s="40" t="s">
        <v>105</v>
      </c>
      <c r="C18" s="40" t="s">
        <v>106</v>
      </c>
      <c r="D18" s="40" t="s">
        <v>107</v>
      </c>
      <c r="E18" s="40" t="s">
        <v>108</v>
      </c>
      <c r="F18" s="39" t="str">
        <f t="shared" si="1"/>
        <v>CORRECT</v>
      </c>
      <c r="G18" s="39" t="s">
        <v>48</v>
      </c>
      <c r="H18" s="43" t="s">
        <v>48</v>
      </c>
      <c r="I18" s="42" t="s">
        <v>109</v>
      </c>
      <c r="J18" s="41">
        <v>27430.0</v>
      </c>
    </row>
    <row r="19" ht="60.0" customHeight="1">
      <c r="A19" s="39">
        <v>16.0</v>
      </c>
      <c r="B19" s="40" t="s">
        <v>110</v>
      </c>
      <c r="C19" s="40" t="s">
        <v>111</v>
      </c>
      <c r="D19" s="40" t="s">
        <v>112</v>
      </c>
      <c r="E19" s="40" t="s">
        <v>113</v>
      </c>
      <c r="F19" s="39" t="str">
        <f t="shared" si="1"/>
        <v>CORRECT</v>
      </c>
      <c r="G19" s="39" t="s">
        <v>48</v>
      </c>
      <c r="H19" s="41" t="s">
        <v>48</v>
      </c>
      <c r="I19" s="42" t="s">
        <v>114</v>
      </c>
      <c r="J19" s="41">
        <v>30389.0</v>
      </c>
    </row>
    <row r="20" ht="60.0" customHeight="1">
      <c r="A20" s="39">
        <v>17.0</v>
      </c>
      <c r="B20" s="40" t="s">
        <v>115</v>
      </c>
      <c r="C20" s="40" t="s">
        <v>116</v>
      </c>
      <c r="D20" s="40" t="s">
        <v>117</v>
      </c>
      <c r="E20" s="40" t="s">
        <v>118</v>
      </c>
      <c r="F20" s="39" t="str">
        <f t="shared" si="1"/>
        <v>WRONG</v>
      </c>
      <c r="G20" s="39" t="s">
        <v>37</v>
      </c>
      <c r="H20" s="43" t="s">
        <v>36</v>
      </c>
      <c r="I20" s="42" t="s">
        <v>119</v>
      </c>
      <c r="J20" s="41">
        <v>32529.0</v>
      </c>
    </row>
    <row r="21" ht="60.0" customHeight="1">
      <c r="A21" s="39">
        <v>18.0</v>
      </c>
      <c r="B21" s="40" t="s">
        <v>120</v>
      </c>
      <c r="C21" s="40" t="s">
        <v>121</v>
      </c>
      <c r="D21" s="40" t="s">
        <v>122</v>
      </c>
      <c r="E21" s="40" t="s">
        <v>123</v>
      </c>
      <c r="F21" s="39" t="str">
        <f t="shared" si="1"/>
        <v>CORRECT</v>
      </c>
      <c r="G21" s="39" t="s">
        <v>37</v>
      </c>
      <c r="H21" s="41" t="s">
        <v>37</v>
      </c>
      <c r="I21" s="42" t="s">
        <v>124</v>
      </c>
      <c r="J21" s="41">
        <v>32526.0</v>
      </c>
    </row>
    <row r="22" ht="60.0" customHeight="1">
      <c r="A22" s="39">
        <v>19.0</v>
      </c>
      <c r="B22" s="40" t="s">
        <v>125</v>
      </c>
      <c r="C22" s="40" t="s">
        <v>126</v>
      </c>
      <c r="D22" s="40" t="s">
        <v>127</v>
      </c>
      <c r="E22" s="40" t="s">
        <v>128</v>
      </c>
      <c r="F22" s="39" t="str">
        <f t="shared" si="1"/>
        <v>WRONG</v>
      </c>
      <c r="G22" s="39" t="s">
        <v>36</v>
      </c>
      <c r="H22" s="43" t="s">
        <v>48</v>
      </c>
      <c r="I22" s="42" t="s">
        <v>129</v>
      </c>
      <c r="J22" s="41">
        <v>33967.0</v>
      </c>
    </row>
    <row r="23" ht="60.0" customHeight="1">
      <c r="A23" s="39">
        <v>20.0</v>
      </c>
      <c r="B23" s="40" t="s">
        <v>130</v>
      </c>
      <c r="C23" s="40" t="s">
        <v>131</v>
      </c>
      <c r="D23" s="40" t="s">
        <v>132</v>
      </c>
      <c r="E23" s="40" t="s">
        <v>133</v>
      </c>
      <c r="F23" s="39" t="str">
        <f t="shared" si="1"/>
        <v>WRONG</v>
      </c>
      <c r="G23" s="39" t="s">
        <v>37</v>
      </c>
      <c r="H23" s="43" t="s">
        <v>48</v>
      </c>
      <c r="I23" s="42" t="s">
        <v>134</v>
      </c>
      <c r="J23" s="41">
        <v>37574.0</v>
      </c>
    </row>
    <row r="24" ht="60.0" customHeight="1">
      <c r="A24" s="39">
        <v>21.0</v>
      </c>
      <c r="B24" s="40" t="s">
        <v>135</v>
      </c>
      <c r="C24" s="40" t="s">
        <v>136</v>
      </c>
      <c r="D24" s="40" t="s">
        <v>137</v>
      </c>
      <c r="E24" s="40" t="s">
        <v>138</v>
      </c>
      <c r="F24" s="39" t="str">
        <f t="shared" si="1"/>
        <v>WRONG</v>
      </c>
      <c r="G24" s="39" t="s">
        <v>37</v>
      </c>
      <c r="H24" s="41" t="s">
        <v>36</v>
      </c>
      <c r="I24" s="42" t="s">
        <v>139</v>
      </c>
      <c r="J24" s="41">
        <v>23772.0</v>
      </c>
    </row>
    <row r="25" ht="60.0" customHeight="1">
      <c r="A25" s="39">
        <v>22.0</v>
      </c>
      <c r="B25" s="40" t="s">
        <v>140</v>
      </c>
      <c r="C25" s="40" t="s">
        <v>141</v>
      </c>
      <c r="D25" s="40" t="s">
        <v>142</v>
      </c>
      <c r="E25" s="40" t="s">
        <v>143</v>
      </c>
      <c r="F25" s="39" t="str">
        <f t="shared" si="1"/>
        <v>CORRECT</v>
      </c>
      <c r="G25" s="39" t="s">
        <v>37</v>
      </c>
      <c r="H25" s="41" t="s">
        <v>37</v>
      </c>
      <c r="I25" s="42" t="s">
        <v>144</v>
      </c>
      <c r="J25" s="41">
        <v>25670.0</v>
      </c>
    </row>
    <row r="26" ht="60.0" customHeight="1">
      <c r="A26" s="39">
        <v>23.0</v>
      </c>
      <c r="B26" s="40" t="s">
        <v>145</v>
      </c>
      <c r="C26" s="40" t="s">
        <v>146</v>
      </c>
      <c r="D26" s="40" t="s">
        <v>147</v>
      </c>
      <c r="E26" s="40" t="s">
        <v>148</v>
      </c>
      <c r="F26" s="39" t="str">
        <f t="shared" si="1"/>
        <v>CORRECT</v>
      </c>
      <c r="G26" s="39" t="s">
        <v>48</v>
      </c>
      <c r="H26" s="43" t="s">
        <v>48</v>
      </c>
      <c r="I26" s="42" t="s">
        <v>149</v>
      </c>
      <c r="J26" s="41">
        <v>27796.0</v>
      </c>
    </row>
    <row r="27" ht="60.0" customHeight="1">
      <c r="A27" s="39">
        <v>24.0</v>
      </c>
      <c r="B27" s="40" t="s">
        <v>150</v>
      </c>
      <c r="C27" s="40" t="s">
        <v>151</v>
      </c>
      <c r="D27" s="40" t="s">
        <v>152</v>
      </c>
      <c r="E27" s="40" t="s">
        <v>153</v>
      </c>
      <c r="F27" s="39" t="str">
        <f t="shared" si="1"/>
        <v>WRONG</v>
      </c>
      <c r="G27" s="39" t="s">
        <v>36</v>
      </c>
      <c r="H27" s="41" t="s">
        <v>48</v>
      </c>
      <c r="I27" s="42" t="s">
        <v>154</v>
      </c>
      <c r="J27" s="41">
        <v>26578.0</v>
      </c>
    </row>
    <row r="28" ht="60.0" customHeight="1">
      <c r="A28" s="39">
        <v>25.0</v>
      </c>
      <c r="B28" s="40" t="s">
        <v>155</v>
      </c>
      <c r="C28" s="40" t="s">
        <v>151</v>
      </c>
      <c r="D28" s="40" t="s">
        <v>156</v>
      </c>
      <c r="E28" s="40" t="s">
        <v>153</v>
      </c>
      <c r="F28" s="39" t="str">
        <f t="shared" si="1"/>
        <v>WRONG</v>
      </c>
      <c r="G28" s="39" t="s">
        <v>48</v>
      </c>
      <c r="H28" s="43" t="s">
        <v>36</v>
      </c>
      <c r="I28" s="42" t="s">
        <v>157</v>
      </c>
      <c r="J28" s="41">
        <v>28511.0</v>
      </c>
    </row>
    <row r="29" ht="60.0" customHeight="1">
      <c r="A29" s="39">
        <v>26.0</v>
      </c>
      <c r="B29" s="40" t="s">
        <v>158</v>
      </c>
      <c r="C29" s="40" t="s">
        <v>159</v>
      </c>
      <c r="D29" s="40" t="s">
        <v>160</v>
      </c>
      <c r="E29" s="40" t="s">
        <v>161</v>
      </c>
      <c r="F29" s="39" t="str">
        <f t="shared" si="1"/>
        <v>WRONG</v>
      </c>
      <c r="G29" s="39" t="s">
        <v>36</v>
      </c>
      <c r="H29" s="43" t="s">
        <v>48</v>
      </c>
      <c r="I29" s="42" t="s">
        <v>162</v>
      </c>
      <c r="J29" s="41">
        <v>32258.0</v>
      </c>
    </row>
    <row r="30" ht="60.0" customHeight="1">
      <c r="A30" s="39">
        <v>27.0</v>
      </c>
      <c r="B30" s="40" t="s">
        <v>163</v>
      </c>
      <c r="C30" s="40" t="s">
        <v>164</v>
      </c>
      <c r="D30" s="40" t="s">
        <v>165</v>
      </c>
      <c r="E30" s="40" t="s">
        <v>166</v>
      </c>
      <c r="F30" s="39" t="str">
        <f t="shared" si="1"/>
        <v>CORRECT</v>
      </c>
      <c r="G30" s="39" t="s">
        <v>37</v>
      </c>
      <c r="H30" s="41" t="s">
        <v>37</v>
      </c>
      <c r="I30" s="42" t="s">
        <v>167</v>
      </c>
      <c r="J30" s="41">
        <v>41358.0</v>
      </c>
    </row>
    <row r="31" ht="60.0" customHeight="1">
      <c r="A31" s="39">
        <v>28.0</v>
      </c>
      <c r="B31" s="40" t="s">
        <v>168</v>
      </c>
      <c r="C31" s="40" t="s">
        <v>169</v>
      </c>
      <c r="D31" s="40" t="s">
        <v>170</v>
      </c>
      <c r="E31" s="40" t="s">
        <v>171</v>
      </c>
      <c r="F31" s="39" t="str">
        <f t="shared" si="1"/>
        <v>CORRECT</v>
      </c>
      <c r="G31" s="39" t="s">
        <v>36</v>
      </c>
      <c r="H31" s="43" t="s">
        <v>36</v>
      </c>
      <c r="I31" s="42" t="s">
        <v>172</v>
      </c>
      <c r="J31" s="41">
        <v>35179.0</v>
      </c>
    </row>
    <row r="32" ht="60.0" customHeight="1">
      <c r="A32" s="39">
        <v>29.0</v>
      </c>
      <c r="B32" s="40" t="s">
        <v>173</v>
      </c>
      <c r="C32" s="40" t="s">
        <v>174</v>
      </c>
      <c r="D32" s="40" t="s">
        <v>175</v>
      </c>
      <c r="E32" s="40" t="s">
        <v>176</v>
      </c>
      <c r="F32" s="39" t="str">
        <f t="shared" si="1"/>
        <v>CORRECT</v>
      </c>
      <c r="G32" s="39" t="s">
        <v>37</v>
      </c>
      <c r="H32" s="41" t="s">
        <v>37</v>
      </c>
      <c r="I32" s="42" t="s">
        <v>177</v>
      </c>
      <c r="J32" s="41">
        <v>27100.0</v>
      </c>
    </row>
    <row r="33" ht="60.0" customHeight="1">
      <c r="A33" s="39">
        <v>30.0</v>
      </c>
      <c r="B33" s="40" t="s">
        <v>178</v>
      </c>
      <c r="C33" s="40" t="s">
        <v>179</v>
      </c>
      <c r="D33" s="40" t="s">
        <v>180</v>
      </c>
      <c r="E33" s="40" t="s">
        <v>181</v>
      </c>
      <c r="F33" s="39" t="str">
        <f t="shared" si="1"/>
        <v>WRONG</v>
      </c>
      <c r="G33" s="39" t="s">
        <v>48</v>
      </c>
      <c r="H33" s="41" t="s">
        <v>36</v>
      </c>
      <c r="I33" s="42" t="s">
        <v>182</v>
      </c>
      <c r="J33" s="41">
        <v>31874.0</v>
      </c>
    </row>
    <row r="34" ht="60.0" customHeight="1">
      <c r="A34" s="39">
        <v>31.0</v>
      </c>
      <c r="B34" s="40" t="s">
        <v>183</v>
      </c>
      <c r="C34" s="40" t="s">
        <v>184</v>
      </c>
      <c r="D34" s="40" t="s">
        <v>185</v>
      </c>
      <c r="E34" s="40" t="s">
        <v>186</v>
      </c>
      <c r="F34" s="39" t="str">
        <f t="shared" si="1"/>
        <v>WRONG</v>
      </c>
      <c r="G34" s="39" t="s">
        <v>37</v>
      </c>
      <c r="H34" s="43" t="s">
        <v>36</v>
      </c>
      <c r="I34" s="42" t="s">
        <v>187</v>
      </c>
      <c r="J34" s="41">
        <v>35859.0</v>
      </c>
    </row>
    <row r="35" ht="60.0" customHeight="1">
      <c r="A35" s="39">
        <v>32.0</v>
      </c>
      <c r="B35" s="40" t="s">
        <v>188</v>
      </c>
      <c r="C35" s="40" t="s">
        <v>189</v>
      </c>
      <c r="D35" s="40" t="s">
        <v>190</v>
      </c>
      <c r="E35" s="40" t="s">
        <v>191</v>
      </c>
      <c r="F35" s="39" t="str">
        <f t="shared" si="1"/>
        <v>CORRECT</v>
      </c>
      <c r="G35" s="39" t="s">
        <v>36</v>
      </c>
      <c r="H35" s="43" t="s">
        <v>36</v>
      </c>
      <c r="I35" s="42" t="s">
        <v>192</v>
      </c>
      <c r="J35" s="41">
        <v>38783.0</v>
      </c>
    </row>
    <row r="36" ht="60.0" customHeight="1">
      <c r="A36" s="39">
        <v>33.0</v>
      </c>
      <c r="B36" s="40" t="s">
        <v>193</v>
      </c>
      <c r="C36" s="40" t="s">
        <v>194</v>
      </c>
      <c r="D36" s="40" t="s">
        <v>195</v>
      </c>
      <c r="E36" s="40" t="s">
        <v>196</v>
      </c>
      <c r="F36" s="39" t="str">
        <f t="shared" si="1"/>
        <v>CORRECT</v>
      </c>
      <c r="G36" s="39" t="s">
        <v>48</v>
      </c>
      <c r="H36" s="43" t="s">
        <v>48</v>
      </c>
      <c r="I36" s="42" t="s">
        <v>197</v>
      </c>
      <c r="J36" s="41">
        <v>46916.0</v>
      </c>
    </row>
    <row r="37" ht="60.0" customHeight="1">
      <c r="A37" s="39">
        <v>34.0</v>
      </c>
      <c r="B37" s="40" t="s">
        <v>198</v>
      </c>
      <c r="C37" s="40" t="s">
        <v>199</v>
      </c>
      <c r="D37" s="40" t="s">
        <v>200</v>
      </c>
      <c r="E37" s="40" t="s">
        <v>201</v>
      </c>
      <c r="F37" s="39" t="str">
        <f t="shared" si="1"/>
        <v>CORRECT</v>
      </c>
      <c r="G37" s="39" t="s">
        <v>36</v>
      </c>
      <c r="H37" s="41" t="s">
        <v>36</v>
      </c>
      <c r="I37" s="42" t="s">
        <v>202</v>
      </c>
      <c r="J37" s="41">
        <v>31339.0</v>
      </c>
    </row>
    <row r="38" ht="60.0" customHeight="1">
      <c r="A38" s="39">
        <v>35.0</v>
      </c>
      <c r="B38" s="40" t="s">
        <v>203</v>
      </c>
      <c r="C38" s="40" t="s">
        <v>204</v>
      </c>
      <c r="D38" s="40" t="s">
        <v>205</v>
      </c>
      <c r="E38" s="40" t="s">
        <v>206</v>
      </c>
      <c r="F38" s="39" t="str">
        <f t="shared" si="1"/>
        <v>CORRECT</v>
      </c>
      <c r="G38" s="39" t="s">
        <v>48</v>
      </c>
      <c r="H38" s="41" t="s">
        <v>48</v>
      </c>
      <c r="I38" s="42" t="s">
        <v>207</v>
      </c>
      <c r="J38" s="41">
        <v>48737.0</v>
      </c>
    </row>
    <row r="39" ht="60.0" customHeight="1">
      <c r="A39" s="39">
        <v>36.0</v>
      </c>
      <c r="B39" s="40" t="s">
        <v>208</v>
      </c>
      <c r="C39" s="40" t="s">
        <v>209</v>
      </c>
      <c r="D39" s="40" t="s">
        <v>210</v>
      </c>
      <c r="E39" s="40" t="s">
        <v>211</v>
      </c>
      <c r="F39" s="39" t="str">
        <f t="shared" si="1"/>
        <v>CORRECT</v>
      </c>
      <c r="G39" s="39" t="s">
        <v>36</v>
      </c>
      <c r="H39" s="41" t="s">
        <v>36</v>
      </c>
      <c r="I39" s="42" t="s">
        <v>212</v>
      </c>
      <c r="J39" s="41">
        <v>22345.0</v>
      </c>
    </row>
    <row r="40" ht="60.0" customHeight="1">
      <c r="A40" s="39">
        <v>37.0</v>
      </c>
      <c r="B40" s="40" t="s">
        <v>213</v>
      </c>
      <c r="C40" s="40" t="s">
        <v>214</v>
      </c>
      <c r="D40" s="40" t="s">
        <v>215</v>
      </c>
      <c r="E40" s="40" t="s">
        <v>216</v>
      </c>
      <c r="F40" s="39" t="str">
        <f t="shared" si="1"/>
        <v>WRONG</v>
      </c>
      <c r="G40" s="39" t="s">
        <v>36</v>
      </c>
      <c r="H40" s="41" t="s">
        <v>37</v>
      </c>
      <c r="I40" s="42" t="s">
        <v>217</v>
      </c>
      <c r="J40" s="41">
        <v>26062.0</v>
      </c>
    </row>
    <row r="41" ht="60.0" customHeight="1">
      <c r="A41" s="39">
        <v>38.0</v>
      </c>
      <c r="B41" s="40" t="s">
        <v>218</v>
      </c>
      <c r="C41" s="40" t="s">
        <v>219</v>
      </c>
      <c r="D41" s="40" t="s">
        <v>220</v>
      </c>
      <c r="E41" s="40" t="s">
        <v>221</v>
      </c>
      <c r="F41" s="39" t="str">
        <f t="shared" si="1"/>
        <v>CORRECT</v>
      </c>
      <c r="G41" s="39" t="s">
        <v>36</v>
      </c>
      <c r="H41" s="41" t="s">
        <v>36</v>
      </c>
      <c r="I41" s="42" t="s">
        <v>222</v>
      </c>
      <c r="J41" s="41">
        <v>40561.0</v>
      </c>
    </row>
    <row r="42" ht="60.0" customHeight="1">
      <c r="A42" s="39">
        <v>39.0</v>
      </c>
      <c r="B42" s="40" t="s">
        <v>223</v>
      </c>
      <c r="C42" s="40" t="s">
        <v>224</v>
      </c>
      <c r="D42" s="40" t="s">
        <v>225</v>
      </c>
      <c r="E42" s="40" t="s">
        <v>226</v>
      </c>
      <c r="F42" s="39" t="str">
        <f t="shared" si="1"/>
        <v>CORRECT</v>
      </c>
      <c r="G42" s="39" t="s">
        <v>37</v>
      </c>
      <c r="H42" s="41" t="s">
        <v>37</v>
      </c>
      <c r="I42" s="42" t="s">
        <v>227</v>
      </c>
      <c r="J42" s="41">
        <v>32982.0</v>
      </c>
    </row>
    <row r="43" ht="60.0" customHeight="1">
      <c r="A43" s="39">
        <v>40.0</v>
      </c>
      <c r="B43" s="40" t="s">
        <v>228</v>
      </c>
      <c r="C43" s="40" t="s">
        <v>229</v>
      </c>
      <c r="D43" s="40" t="s">
        <v>230</v>
      </c>
      <c r="E43" s="40" t="s">
        <v>231</v>
      </c>
      <c r="F43" s="39" t="str">
        <f t="shared" si="1"/>
        <v>WRONG</v>
      </c>
      <c r="G43" s="39" t="s">
        <v>48</v>
      </c>
      <c r="H43" s="43" t="s">
        <v>37</v>
      </c>
      <c r="I43" s="42" t="s">
        <v>232</v>
      </c>
      <c r="J43" s="41">
        <v>42481.0</v>
      </c>
    </row>
    <row r="44" ht="60.0" customHeight="1">
      <c r="A44" s="39">
        <v>41.0</v>
      </c>
      <c r="B44" s="40" t="s">
        <v>233</v>
      </c>
      <c r="C44" s="40" t="s">
        <v>234</v>
      </c>
      <c r="D44" s="40" t="s">
        <v>235</v>
      </c>
      <c r="E44" s="40" t="s">
        <v>236</v>
      </c>
      <c r="F44" s="39" t="str">
        <f t="shared" si="1"/>
        <v>WRONG</v>
      </c>
      <c r="G44" s="39" t="s">
        <v>37</v>
      </c>
      <c r="H44" s="41" t="s">
        <v>36</v>
      </c>
      <c r="I44" s="42" t="s">
        <v>237</v>
      </c>
      <c r="J44" s="41">
        <v>20867.0</v>
      </c>
    </row>
    <row r="45" ht="60.0" customHeight="1">
      <c r="A45" s="39">
        <v>42.0</v>
      </c>
      <c r="B45" s="40" t="s">
        <v>238</v>
      </c>
      <c r="C45" s="40" t="s">
        <v>239</v>
      </c>
      <c r="D45" s="40" t="s">
        <v>240</v>
      </c>
      <c r="E45" s="40" t="s">
        <v>241</v>
      </c>
      <c r="F45" s="39" t="str">
        <f t="shared" si="1"/>
        <v>WRONG</v>
      </c>
      <c r="G45" s="39" t="s">
        <v>36</v>
      </c>
      <c r="H45" s="41" t="s">
        <v>37</v>
      </c>
      <c r="I45" s="42" t="s">
        <v>242</v>
      </c>
      <c r="J45" s="41">
        <v>29069.0</v>
      </c>
    </row>
    <row r="46" ht="60.0" customHeight="1">
      <c r="A46" s="39">
        <v>43.0</v>
      </c>
      <c r="B46" s="40" t="s">
        <v>243</v>
      </c>
      <c r="C46" s="40" t="s">
        <v>244</v>
      </c>
      <c r="D46" s="40" t="s">
        <v>245</v>
      </c>
      <c r="E46" s="40" t="s">
        <v>246</v>
      </c>
      <c r="F46" s="39" t="str">
        <f t="shared" si="1"/>
        <v>WRONG</v>
      </c>
      <c r="G46" s="39" t="s">
        <v>48</v>
      </c>
      <c r="H46" s="41" t="s">
        <v>36</v>
      </c>
      <c r="I46" s="42" t="s">
        <v>247</v>
      </c>
      <c r="J46" s="41">
        <v>22252.0</v>
      </c>
    </row>
    <row r="47" ht="60.0" customHeight="1">
      <c r="A47" s="39">
        <v>44.0</v>
      </c>
      <c r="B47" s="40" t="s">
        <v>248</v>
      </c>
      <c r="C47" s="40" t="s">
        <v>249</v>
      </c>
      <c r="D47" s="40" t="s">
        <v>250</v>
      </c>
      <c r="E47" s="40" t="s">
        <v>251</v>
      </c>
      <c r="F47" s="39" t="str">
        <f t="shared" si="1"/>
        <v>WRONG</v>
      </c>
      <c r="G47" s="39" t="s">
        <v>36</v>
      </c>
      <c r="H47" s="43" t="s">
        <v>48</v>
      </c>
      <c r="I47" s="42" t="s">
        <v>252</v>
      </c>
      <c r="J47" s="41">
        <v>32860.0</v>
      </c>
    </row>
    <row r="48" ht="60.0" customHeight="1">
      <c r="A48" s="39">
        <v>45.0</v>
      </c>
      <c r="B48" s="40" t="s">
        <v>253</v>
      </c>
      <c r="C48" s="40" t="s">
        <v>254</v>
      </c>
      <c r="D48" s="40" t="s">
        <v>255</v>
      </c>
      <c r="E48" s="40" t="s">
        <v>256</v>
      </c>
      <c r="F48" s="39" t="str">
        <f t="shared" si="1"/>
        <v>CORRECT</v>
      </c>
      <c r="G48" s="39" t="s">
        <v>36</v>
      </c>
      <c r="H48" s="41" t="s">
        <v>36</v>
      </c>
      <c r="I48" s="42" t="s">
        <v>257</v>
      </c>
      <c r="J48" s="41">
        <v>36107.0</v>
      </c>
    </row>
    <row r="49" ht="60.0" customHeight="1">
      <c r="A49" s="39">
        <v>46.0</v>
      </c>
      <c r="B49" s="40" t="s">
        <v>258</v>
      </c>
      <c r="C49" s="40" t="s">
        <v>40</v>
      </c>
      <c r="D49" s="40" t="s">
        <v>259</v>
      </c>
      <c r="E49" s="40" t="s">
        <v>260</v>
      </c>
      <c r="F49" s="39" t="str">
        <f t="shared" si="1"/>
        <v>CORRECT</v>
      </c>
      <c r="G49" s="39" t="s">
        <v>36</v>
      </c>
      <c r="H49" s="41" t="s">
        <v>36</v>
      </c>
      <c r="I49" s="42" t="s">
        <v>261</v>
      </c>
      <c r="J49" s="41">
        <v>21219.0</v>
      </c>
    </row>
    <row r="50">
      <c r="A50" s="44" t="s">
        <v>262</v>
      </c>
      <c r="B50" s="2"/>
      <c r="C50" s="2"/>
      <c r="D50" s="2"/>
      <c r="E50" s="3"/>
      <c r="F50" s="45">
        <f>COUNTIFS(F4:F49,"CORRECT")</f>
        <v>26</v>
      </c>
      <c r="G50" s="46"/>
      <c r="H50" s="46"/>
      <c r="J50" s="47">
        <f>AVERAGE(J4:J49)</f>
        <v>33421.93478</v>
      </c>
    </row>
    <row r="51">
      <c r="A51" s="48" t="s">
        <v>263</v>
      </c>
      <c r="B51" s="2"/>
      <c r="C51" s="2"/>
      <c r="D51" s="2"/>
      <c r="E51" s="3"/>
      <c r="F51" s="49">
        <v>46.0</v>
      </c>
      <c r="G51" s="46"/>
      <c r="H51" s="46"/>
    </row>
    <row r="52">
      <c r="A52" s="44" t="s">
        <v>264</v>
      </c>
      <c r="B52" s="2"/>
      <c r="C52" s="2"/>
      <c r="D52" s="2"/>
      <c r="E52" s="3"/>
      <c r="F52" s="50">
        <f>F50/F51</f>
        <v>0.5652173913</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265</v>
      </c>
      <c r="C2" s="2"/>
      <c r="D2" s="2"/>
      <c r="E2" s="2"/>
      <c r="F2" s="2"/>
      <c r="G2" s="2"/>
      <c r="H2" s="3"/>
      <c r="I2" s="37" t="s">
        <v>266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1">
        <v>21949.0</v>
      </c>
    </row>
    <row r="5" ht="60.0" customHeight="1">
      <c r="A5" s="39">
        <v>2.0</v>
      </c>
      <c r="B5" s="40" t="s">
        <v>39</v>
      </c>
      <c r="C5" s="40" t="s">
        <v>40</v>
      </c>
      <c r="D5" s="40" t="s">
        <v>41</v>
      </c>
      <c r="E5" s="40" t="s">
        <v>42</v>
      </c>
      <c r="F5" s="39" t="str">
        <f t="shared" si="1"/>
        <v>CORRECT</v>
      </c>
      <c r="G5" s="39" t="s">
        <v>37</v>
      </c>
      <c r="H5" s="41" t="s">
        <v>37</v>
      </c>
      <c r="I5" s="42" t="s">
        <v>43</v>
      </c>
      <c r="J5" s="41">
        <v>29617.0</v>
      </c>
    </row>
    <row r="6" ht="60.0" customHeight="1">
      <c r="A6" s="39">
        <v>3.0</v>
      </c>
      <c r="B6" s="40" t="s">
        <v>44</v>
      </c>
      <c r="C6" s="40" t="s">
        <v>45</v>
      </c>
      <c r="D6" s="40" t="s">
        <v>46</v>
      </c>
      <c r="E6" s="40" t="s">
        <v>47</v>
      </c>
      <c r="F6" s="39" t="str">
        <f t="shared" si="1"/>
        <v>CORRECT</v>
      </c>
      <c r="G6" s="39" t="s">
        <v>48</v>
      </c>
      <c r="H6" s="41" t="s">
        <v>48</v>
      </c>
      <c r="I6" s="42" t="s">
        <v>267</v>
      </c>
      <c r="J6" s="41">
        <v>34487.0</v>
      </c>
    </row>
    <row r="7" ht="60.0" customHeight="1">
      <c r="A7" s="39">
        <v>4.0</v>
      </c>
      <c r="B7" s="40" t="s">
        <v>50</v>
      </c>
      <c r="C7" s="40" t="s">
        <v>51</v>
      </c>
      <c r="D7" s="40" t="s">
        <v>52</v>
      </c>
      <c r="E7" s="40" t="s">
        <v>53</v>
      </c>
      <c r="F7" s="39" t="str">
        <f t="shared" si="1"/>
        <v>CORRECT</v>
      </c>
      <c r="G7" s="39" t="s">
        <v>37</v>
      </c>
      <c r="H7" s="41" t="s">
        <v>37</v>
      </c>
      <c r="I7" s="42" t="s">
        <v>268</v>
      </c>
      <c r="J7" s="41">
        <v>34560.0</v>
      </c>
    </row>
    <row r="8" ht="60.0" customHeight="1">
      <c r="A8" s="39">
        <v>5.0</v>
      </c>
      <c r="B8" s="40" t="s">
        <v>55</v>
      </c>
      <c r="C8" s="40" t="s">
        <v>56</v>
      </c>
      <c r="D8" s="40" t="s">
        <v>57</v>
      </c>
      <c r="E8" s="40" t="s">
        <v>58</v>
      </c>
      <c r="F8" s="39" t="str">
        <f t="shared" si="1"/>
        <v>CORRECT</v>
      </c>
      <c r="G8" s="39" t="s">
        <v>48</v>
      </c>
      <c r="H8" s="43" t="s">
        <v>48</v>
      </c>
      <c r="I8" s="42" t="s">
        <v>59</v>
      </c>
      <c r="J8" s="41">
        <v>77960.0</v>
      </c>
    </row>
    <row r="9" ht="60.0" customHeight="1">
      <c r="A9" s="39">
        <v>6.0</v>
      </c>
      <c r="B9" s="40" t="s">
        <v>60</v>
      </c>
      <c r="C9" s="40" t="s">
        <v>61</v>
      </c>
      <c r="D9" s="40" t="s">
        <v>62</v>
      </c>
      <c r="E9" s="40" t="s">
        <v>63</v>
      </c>
      <c r="F9" s="39" t="str">
        <f t="shared" si="1"/>
        <v>CORRECT</v>
      </c>
      <c r="G9" s="39" t="s">
        <v>37</v>
      </c>
      <c r="H9" s="41" t="s">
        <v>37</v>
      </c>
      <c r="I9" s="42" t="s">
        <v>64</v>
      </c>
      <c r="J9" s="41">
        <v>24705.0</v>
      </c>
    </row>
    <row r="10" ht="60.0" customHeight="1">
      <c r="A10" s="39">
        <v>7.0</v>
      </c>
      <c r="B10" s="40" t="s">
        <v>65</v>
      </c>
      <c r="C10" s="40" t="s">
        <v>66</v>
      </c>
      <c r="D10" s="40" t="s">
        <v>67</v>
      </c>
      <c r="E10" s="40" t="s">
        <v>68</v>
      </c>
      <c r="F10" s="39" t="str">
        <f t="shared" si="1"/>
        <v>WRONG</v>
      </c>
      <c r="G10" s="39" t="s">
        <v>37</v>
      </c>
      <c r="H10" s="41" t="s">
        <v>36</v>
      </c>
      <c r="I10" s="42" t="s">
        <v>269</v>
      </c>
      <c r="J10" s="41">
        <v>29178.0</v>
      </c>
    </row>
    <row r="11" ht="60.0" customHeight="1">
      <c r="A11" s="39">
        <v>8.0</v>
      </c>
      <c r="B11" s="40" t="s">
        <v>70</v>
      </c>
      <c r="C11" s="40" t="s">
        <v>71</v>
      </c>
      <c r="D11" s="40" t="s">
        <v>72</v>
      </c>
      <c r="E11" s="40" t="s">
        <v>73</v>
      </c>
      <c r="F11" s="39" t="str">
        <f t="shared" si="1"/>
        <v>CORRECT</v>
      </c>
      <c r="G11" s="39" t="s">
        <v>48</v>
      </c>
      <c r="H11" s="43" t="s">
        <v>48</v>
      </c>
      <c r="I11" s="42" t="s">
        <v>74</v>
      </c>
      <c r="J11" s="41">
        <v>34600.0</v>
      </c>
    </row>
    <row r="12" ht="60.0" customHeight="1">
      <c r="A12" s="39">
        <v>9.0</v>
      </c>
      <c r="B12" s="40" t="s">
        <v>75</v>
      </c>
      <c r="C12" s="40" t="s">
        <v>76</v>
      </c>
      <c r="D12" s="40" t="s">
        <v>77</v>
      </c>
      <c r="E12" s="40" t="s">
        <v>78</v>
      </c>
      <c r="F12" s="39" t="str">
        <f t="shared" si="1"/>
        <v>WRONG</v>
      </c>
      <c r="G12" s="39" t="s">
        <v>37</v>
      </c>
      <c r="H12" s="41" t="s">
        <v>48</v>
      </c>
      <c r="I12" s="42" t="s">
        <v>270</v>
      </c>
      <c r="J12" s="41">
        <v>38152.0</v>
      </c>
    </row>
    <row r="13" ht="60.0" customHeight="1">
      <c r="A13" s="39">
        <v>10.0</v>
      </c>
      <c r="B13" s="40" t="s">
        <v>80</v>
      </c>
      <c r="C13" s="40" t="s">
        <v>81</v>
      </c>
      <c r="D13" s="40" t="s">
        <v>82</v>
      </c>
      <c r="E13" s="40" t="s">
        <v>83</v>
      </c>
      <c r="F13" s="39" t="str">
        <f t="shared" si="1"/>
        <v>CORRECT</v>
      </c>
      <c r="G13" s="39" t="s">
        <v>48</v>
      </c>
      <c r="H13" s="43" t="s">
        <v>48</v>
      </c>
      <c r="I13" s="42" t="s">
        <v>271</v>
      </c>
      <c r="J13" s="41">
        <v>35180.0</v>
      </c>
    </row>
    <row r="14" ht="60.0" customHeight="1">
      <c r="A14" s="39">
        <v>11.0</v>
      </c>
      <c r="B14" s="40" t="s">
        <v>85</v>
      </c>
      <c r="C14" s="40" t="s">
        <v>86</v>
      </c>
      <c r="D14" s="40" t="s">
        <v>87</v>
      </c>
      <c r="E14" s="40" t="s">
        <v>88</v>
      </c>
      <c r="F14" s="39" t="str">
        <f t="shared" si="1"/>
        <v>WRONG</v>
      </c>
      <c r="G14" s="39" t="s">
        <v>37</v>
      </c>
      <c r="H14" s="41" t="s">
        <v>48</v>
      </c>
      <c r="I14" s="42" t="s">
        <v>272</v>
      </c>
      <c r="J14" s="41">
        <v>59118.0</v>
      </c>
    </row>
    <row r="15" ht="60.0" customHeight="1">
      <c r="A15" s="39">
        <v>12.0</v>
      </c>
      <c r="B15" s="40" t="s">
        <v>90</v>
      </c>
      <c r="C15" s="40" t="s">
        <v>91</v>
      </c>
      <c r="D15" s="40" t="s">
        <v>92</v>
      </c>
      <c r="E15" s="40" t="s">
        <v>93</v>
      </c>
      <c r="F15" s="39" t="str">
        <f t="shared" si="1"/>
        <v>WRONG</v>
      </c>
      <c r="G15" s="39" t="s">
        <v>48</v>
      </c>
      <c r="H15" s="41" t="s">
        <v>36</v>
      </c>
      <c r="I15" s="42" t="s">
        <v>273</v>
      </c>
      <c r="J15" s="41">
        <v>42076.0</v>
      </c>
    </row>
    <row r="16" ht="60.0" customHeight="1">
      <c r="A16" s="39">
        <v>13.0</v>
      </c>
      <c r="B16" s="40" t="s">
        <v>95</v>
      </c>
      <c r="C16" s="40" t="s">
        <v>96</v>
      </c>
      <c r="D16" s="40" t="s">
        <v>97</v>
      </c>
      <c r="E16" s="40" t="s">
        <v>98</v>
      </c>
      <c r="F16" s="39" t="str">
        <f t="shared" si="1"/>
        <v>CORRECT</v>
      </c>
      <c r="G16" s="39" t="s">
        <v>36</v>
      </c>
      <c r="H16" s="41" t="s">
        <v>36</v>
      </c>
      <c r="I16" s="42" t="s">
        <v>99</v>
      </c>
      <c r="J16" s="41">
        <v>23225.0</v>
      </c>
    </row>
    <row r="17" ht="60.0" customHeight="1">
      <c r="A17" s="39">
        <v>14.0</v>
      </c>
      <c r="B17" s="40" t="s">
        <v>100</v>
      </c>
      <c r="C17" s="40" t="s">
        <v>101</v>
      </c>
      <c r="D17" s="40" t="s">
        <v>102</v>
      </c>
      <c r="E17" s="40" t="s">
        <v>103</v>
      </c>
      <c r="F17" s="39" t="str">
        <f t="shared" si="1"/>
        <v>WRONG</v>
      </c>
      <c r="G17" s="39" t="s">
        <v>36</v>
      </c>
      <c r="H17" s="43" t="s">
        <v>48</v>
      </c>
      <c r="I17" s="42" t="s">
        <v>274</v>
      </c>
      <c r="J17" s="41">
        <v>47270.0</v>
      </c>
    </row>
    <row r="18" ht="60.0" customHeight="1">
      <c r="A18" s="39">
        <v>15.0</v>
      </c>
      <c r="B18" s="40" t="s">
        <v>105</v>
      </c>
      <c r="C18" s="40" t="s">
        <v>106</v>
      </c>
      <c r="D18" s="40" t="s">
        <v>107</v>
      </c>
      <c r="E18" s="40" t="s">
        <v>108</v>
      </c>
      <c r="F18" s="39" t="str">
        <f t="shared" si="1"/>
        <v>CORRECT</v>
      </c>
      <c r="G18" s="39" t="s">
        <v>48</v>
      </c>
      <c r="H18" s="43" t="s">
        <v>48</v>
      </c>
      <c r="I18" s="42" t="s">
        <v>275</v>
      </c>
      <c r="J18" s="41">
        <v>37440.0</v>
      </c>
    </row>
    <row r="19" ht="60.0" customHeight="1">
      <c r="A19" s="39">
        <v>16.0</v>
      </c>
      <c r="B19" s="40" t="s">
        <v>110</v>
      </c>
      <c r="C19" s="40" t="s">
        <v>111</v>
      </c>
      <c r="D19" s="40" t="s">
        <v>112</v>
      </c>
      <c r="E19" s="40" t="s">
        <v>113</v>
      </c>
      <c r="F19" s="39" t="str">
        <f t="shared" si="1"/>
        <v>CORRECT</v>
      </c>
      <c r="G19" s="39" t="s">
        <v>48</v>
      </c>
      <c r="H19" s="41" t="s">
        <v>48</v>
      </c>
      <c r="I19" s="42" t="s">
        <v>276</v>
      </c>
      <c r="J19" s="41">
        <v>29900.0</v>
      </c>
    </row>
    <row r="20" ht="60.0" customHeight="1">
      <c r="A20" s="39">
        <v>17.0</v>
      </c>
      <c r="B20" s="40" t="s">
        <v>115</v>
      </c>
      <c r="C20" s="40" t="s">
        <v>116</v>
      </c>
      <c r="D20" s="40" t="s">
        <v>117</v>
      </c>
      <c r="E20" s="40" t="s">
        <v>118</v>
      </c>
      <c r="F20" s="39" t="str">
        <f t="shared" si="1"/>
        <v>WRONG</v>
      </c>
      <c r="G20" s="39" t="s">
        <v>37</v>
      </c>
      <c r="H20" s="43" t="s">
        <v>36</v>
      </c>
      <c r="I20" s="42" t="s">
        <v>277</v>
      </c>
      <c r="J20" s="41">
        <v>28325.0</v>
      </c>
    </row>
    <row r="21" ht="60.0" customHeight="1">
      <c r="A21" s="39">
        <v>18.0</v>
      </c>
      <c r="B21" s="40" t="s">
        <v>120</v>
      </c>
      <c r="C21" s="40" t="s">
        <v>121</v>
      </c>
      <c r="D21" s="40" t="s">
        <v>122</v>
      </c>
      <c r="E21" s="40" t="s">
        <v>123</v>
      </c>
      <c r="F21" s="39" t="str">
        <f t="shared" si="1"/>
        <v>CORRECT</v>
      </c>
      <c r="G21" s="39" t="s">
        <v>37</v>
      </c>
      <c r="H21" s="41" t="s">
        <v>37</v>
      </c>
      <c r="I21" s="42" t="s">
        <v>124</v>
      </c>
      <c r="J21" s="41">
        <v>31796.0</v>
      </c>
    </row>
    <row r="22" ht="60.0" customHeight="1">
      <c r="A22" s="39">
        <v>19.0</v>
      </c>
      <c r="B22" s="40" t="s">
        <v>125</v>
      </c>
      <c r="C22" s="40" t="s">
        <v>126</v>
      </c>
      <c r="D22" s="40" t="s">
        <v>127</v>
      </c>
      <c r="E22" s="40" t="s">
        <v>128</v>
      </c>
      <c r="F22" s="39" t="str">
        <f t="shared" si="1"/>
        <v>WRONG</v>
      </c>
      <c r="G22" s="39" t="s">
        <v>36</v>
      </c>
      <c r="H22" s="43" t="s">
        <v>48</v>
      </c>
      <c r="I22" s="42" t="s">
        <v>129</v>
      </c>
      <c r="J22" s="41">
        <v>34207.0</v>
      </c>
    </row>
    <row r="23" ht="60.0" customHeight="1">
      <c r="A23" s="39">
        <v>20.0</v>
      </c>
      <c r="B23" s="40" t="s">
        <v>130</v>
      </c>
      <c r="C23" s="40" t="s">
        <v>131</v>
      </c>
      <c r="D23" s="40" t="s">
        <v>132</v>
      </c>
      <c r="E23" s="40" t="s">
        <v>133</v>
      </c>
      <c r="F23" s="39" t="str">
        <f t="shared" si="1"/>
        <v>WRONG</v>
      </c>
      <c r="G23" s="39" t="s">
        <v>37</v>
      </c>
      <c r="H23" s="43" t="s">
        <v>48</v>
      </c>
      <c r="I23" s="42" t="s">
        <v>278</v>
      </c>
      <c r="J23" s="41">
        <v>36323.0</v>
      </c>
    </row>
    <row r="24" ht="60.0" customHeight="1">
      <c r="A24" s="39">
        <v>21.0</v>
      </c>
      <c r="B24" s="40" t="s">
        <v>135</v>
      </c>
      <c r="C24" s="40" t="s">
        <v>136</v>
      </c>
      <c r="D24" s="40" t="s">
        <v>137</v>
      </c>
      <c r="E24" s="40" t="s">
        <v>138</v>
      </c>
      <c r="F24" s="39" t="str">
        <f t="shared" si="1"/>
        <v>WRONG</v>
      </c>
      <c r="G24" s="39" t="s">
        <v>37</v>
      </c>
      <c r="H24" s="41" t="s">
        <v>36</v>
      </c>
      <c r="I24" s="42" t="s">
        <v>139</v>
      </c>
      <c r="J24" s="41">
        <v>22260.0</v>
      </c>
    </row>
    <row r="25" ht="60.0" customHeight="1">
      <c r="A25" s="39">
        <v>22.0</v>
      </c>
      <c r="B25" s="40" t="s">
        <v>140</v>
      </c>
      <c r="C25" s="40" t="s">
        <v>141</v>
      </c>
      <c r="D25" s="40" t="s">
        <v>142</v>
      </c>
      <c r="E25" s="40" t="s">
        <v>143</v>
      </c>
      <c r="F25" s="39" t="str">
        <f t="shared" si="1"/>
        <v>CORRECT</v>
      </c>
      <c r="G25" s="39" t="s">
        <v>37</v>
      </c>
      <c r="H25" s="41" t="s">
        <v>37</v>
      </c>
      <c r="I25" s="42" t="s">
        <v>279</v>
      </c>
      <c r="J25" s="41">
        <v>34729.0</v>
      </c>
    </row>
    <row r="26" ht="60.0" customHeight="1">
      <c r="A26" s="39">
        <v>23.0</v>
      </c>
      <c r="B26" s="40" t="s">
        <v>145</v>
      </c>
      <c r="C26" s="40" t="s">
        <v>146</v>
      </c>
      <c r="D26" s="40" t="s">
        <v>147</v>
      </c>
      <c r="E26" s="40" t="s">
        <v>148</v>
      </c>
      <c r="F26" s="39" t="str">
        <f t="shared" si="1"/>
        <v>CORRECT</v>
      </c>
      <c r="G26" s="39" t="s">
        <v>48</v>
      </c>
      <c r="H26" s="43" t="s">
        <v>48</v>
      </c>
      <c r="I26" s="42" t="s">
        <v>149</v>
      </c>
      <c r="J26" s="41">
        <v>27462.0</v>
      </c>
    </row>
    <row r="27" ht="60.0" customHeight="1">
      <c r="A27" s="39">
        <v>24.0</v>
      </c>
      <c r="B27" s="40" t="s">
        <v>150</v>
      </c>
      <c r="C27" s="40" t="s">
        <v>151</v>
      </c>
      <c r="D27" s="40" t="s">
        <v>152</v>
      </c>
      <c r="E27" s="40" t="s">
        <v>153</v>
      </c>
      <c r="F27" s="39" t="str">
        <f t="shared" si="1"/>
        <v>WRONG</v>
      </c>
      <c r="G27" s="39" t="s">
        <v>36</v>
      </c>
      <c r="H27" s="41" t="s">
        <v>48</v>
      </c>
      <c r="I27" s="42" t="s">
        <v>280</v>
      </c>
      <c r="J27" s="41">
        <v>25812.0</v>
      </c>
    </row>
    <row r="28" ht="60.0" customHeight="1">
      <c r="A28" s="39">
        <v>25.0</v>
      </c>
      <c r="B28" s="40" t="s">
        <v>155</v>
      </c>
      <c r="C28" s="40" t="s">
        <v>151</v>
      </c>
      <c r="D28" s="40" t="s">
        <v>156</v>
      </c>
      <c r="E28" s="40" t="s">
        <v>153</v>
      </c>
      <c r="F28" s="39" t="str">
        <f t="shared" si="1"/>
        <v>WRONG</v>
      </c>
      <c r="G28" s="39" t="s">
        <v>48</v>
      </c>
      <c r="H28" s="43" t="s">
        <v>36</v>
      </c>
      <c r="I28" s="42" t="s">
        <v>157</v>
      </c>
      <c r="J28" s="41">
        <v>28249.0</v>
      </c>
    </row>
    <row r="29" ht="60.0" customHeight="1">
      <c r="A29" s="39">
        <v>26.0</v>
      </c>
      <c r="B29" s="40" t="s">
        <v>158</v>
      </c>
      <c r="C29" s="40" t="s">
        <v>159</v>
      </c>
      <c r="D29" s="40" t="s">
        <v>160</v>
      </c>
      <c r="E29" s="40" t="s">
        <v>161</v>
      </c>
      <c r="F29" s="39" t="str">
        <f t="shared" si="1"/>
        <v>WRONG</v>
      </c>
      <c r="G29" s="39" t="s">
        <v>36</v>
      </c>
      <c r="H29" s="43" t="s">
        <v>48</v>
      </c>
      <c r="I29" s="42" t="s">
        <v>162</v>
      </c>
      <c r="J29" s="41">
        <v>31535.0</v>
      </c>
    </row>
    <row r="30" ht="60.0" customHeight="1">
      <c r="A30" s="39">
        <v>27.0</v>
      </c>
      <c r="B30" s="40" t="s">
        <v>163</v>
      </c>
      <c r="C30" s="40" t="s">
        <v>164</v>
      </c>
      <c r="D30" s="40" t="s">
        <v>165</v>
      </c>
      <c r="E30" s="40" t="s">
        <v>166</v>
      </c>
      <c r="F30" s="39" t="str">
        <f t="shared" si="1"/>
        <v>CORRECT</v>
      </c>
      <c r="G30" s="39" t="s">
        <v>37</v>
      </c>
      <c r="H30" s="41" t="s">
        <v>37</v>
      </c>
      <c r="I30" s="42" t="s">
        <v>167</v>
      </c>
      <c r="J30" s="41">
        <v>41508.0</v>
      </c>
    </row>
    <row r="31" ht="60.0" customHeight="1">
      <c r="A31" s="39">
        <v>28.0</v>
      </c>
      <c r="B31" s="40" t="s">
        <v>168</v>
      </c>
      <c r="C31" s="40" t="s">
        <v>169</v>
      </c>
      <c r="D31" s="40" t="s">
        <v>170</v>
      </c>
      <c r="E31" s="40" t="s">
        <v>171</v>
      </c>
      <c r="F31" s="39" t="str">
        <f t="shared" si="1"/>
        <v>CORRECT</v>
      </c>
      <c r="G31" s="39" t="s">
        <v>36</v>
      </c>
      <c r="H31" s="43" t="s">
        <v>36</v>
      </c>
      <c r="I31" s="42" t="s">
        <v>281</v>
      </c>
      <c r="J31" s="41">
        <v>32453.0</v>
      </c>
    </row>
    <row r="32" ht="60.0" customHeight="1">
      <c r="A32" s="39">
        <v>29.0</v>
      </c>
      <c r="B32" s="40" t="s">
        <v>173</v>
      </c>
      <c r="C32" s="40" t="s">
        <v>174</v>
      </c>
      <c r="D32" s="40" t="s">
        <v>175</v>
      </c>
      <c r="E32" s="40" t="s">
        <v>176</v>
      </c>
      <c r="F32" s="39" t="str">
        <f t="shared" si="1"/>
        <v>CORRECT</v>
      </c>
      <c r="G32" s="39" t="s">
        <v>37</v>
      </c>
      <c r="H32" s="41" t="s">
        <v>37</v>
      </c>
      <c r="I32" s="42" t="s">
        <v>177</v>
      </c>
      <c r="J32" s="41">
        <v>27866.0</v>
      </c>
    </row>
    <row r="33" ht="60.0" customHeight="1">
      <c r="A33" s="39">
        <v>30.0</v>
      </c>
      <c r="B33" s="40" t="s">
        <v>178</v>
      </c>
      <c r="C33" s="40" t="s">
        <v>179</v>
      </c>
      <c r="D33" s="40" t="s">
        <v>180</v>
      </c>
      <c r="E33" s="40" t="s">
        <v>181</v>
      </c>
      <c r="F33" s="39" t="str">
        <f t="shared" si="1"/>
        <v>WRONG</v>
      </c>
      <c r="G33" s="39" t="s">
        <v>48</v>
      </c>
      <c r="H33" s="41" t="s">
        <v>36</v>
      </c>
      <c r="I33" s="42" t="s">
        <v>282</v>
      </c>
      <c r="J33" s="41">
        <v>31325.0</v>
      </c>
    </row>
    <row r="34" ht="60.0" customHeight="1">
      <c r="A34" s="39">
        <v>31.0</v>
      </c>
      <c r="B34" s="40" t="s">
        <v>183</v>
      </c>
      <c r="C34" s="40" t="s">
        <v>184</v>
      </c>
      <c r="D34" s="40" t="s">
        <v>185</v>
      </c>
      <c r="E34" s="40" t="s">
        <v>186</v>
      </c>
      <c r="F34" s="39" t="str">
        <f t="shared" si="1"/>
        <v>WRONG</v>
      </c>
      <c r="G34" s="39" t="s">
        <v>37</v>
      </c>
      <c r="H34" s="43" t="s">
        <v>36</v>
      </c>
      <c r="I34" s="42" t="s">
        <v>187</v>
      </c>
      <c r="J34" s="41">
        <v>36110.0</v>
      </c>
    </row>
    <row r="35" ht="60.0" customHeight="1">
      <c r="A35" s="39">
        <v>32.0</v>
      </c>
      <c r="B35" s="40" t="s">
        <v>188</v>
      </c>
      <c r="C35" s="40" t="s">
        <v>189</v>
      </c>
      <c r="D35" s="40" t="s">
        <v>190</v>
      </c>
      <c r="E35" s="40" t="s">
        <v>191</v>
      </c>
      <c r="F35" s="39" t="str">
        <f t="shared" si="1"/>
        <v>CORRECT</v>
      </c>
      <c r="G35" s="39" t="s">
        <v>36</v>
      </c>
      <c r="H35" s="43" t="s">
        <v>36</v>
      </c>
      <c r="I35" s="42" t="s">
        <v>192</v>
      </c>
      <c r="J35" s="41">
        <v>38242.0</v>
      </c>
    </row>
    <row r="36" ht="60.0" customHeight="1">
      <c r="A36" s="39">
        <v>33.0</v>
      </c>
      <c r="B36" s="40" t="s">
        <v>193</v>
      </c>
      <c r="C36" s="40" t="s">
        <v>194</v>
      </c>
      <c r="D36" s="40" t="s">
        <v>195</v>
      </c>
      <c r="E36" s="40" t="s">
        <v>196</v>
      </c>
      <c r="F36" s="39" t="str">
        <f t="shared" si="1"/>
        <v>CORRECT</v>
      </c>
      <c r="G36" s="39" t="s">
        <v>48</v>
      </c>
      <c r="H36" s="43" t="s">
        <v>48</v>
      </c>
      <c r="I36" s="42" t="s">
        <v>197</v>
      </c>
      <c r="J36" s="41">
        <v>45883.0</v>
      </c>
    </row>
    <row r="37" ht="60.0" customHeight="1">
      <c r="A37" s="39">
        <v>34.0</v>
      </c>
      <c r="B37" s="40" t="s">
        <v>198</v>
      </c>
      <c r="C37" s="40" t="s">
        <v>199</v>
      </c>
      <c r="D37" s="40" t="s">
        <v>200</v>
      </c>
      <c r="E37" s="40" t="s">
        <v>201</v>
      </c>
      <c r="F37" s="39" t="str">
        <f t="shared" si="1"/>
        <v>CORRECT</v>
      </c>
      <c r="G37" s="39" t="s">
        <v>36</v>
      </c>
      <c r="H37" s="41" t="s">
        <v>36</v>
      </c>
      <c r="I37" s="42" t="s">
        <v>202</v>
      </c>
      <c r="J37" s="41">
        <v>31083.0</v>
      </c>
    </row>
    <row r="38" ht="60.0" customHeight="1">
      <c r="A38" s="39">
        <v>35.0</v>
      </c>
      <c r="B38" s="40" t="s">
        <v>203</v>
      </c>
      <c r="C38" s="40" t="s">
        <v>204</v>
      </c>
      <c r="D38" s="40" t="s">
        <v>205</v>
      </c>
      <c r="E38" s="40" t="s">
        <v>206</v>
      </c>
      <c r="F38" s="39" t="str">
        <f t="shared" si="1"/>
        <v>CORRECT</v>
      </c>
      <c r="G38" s="39" t="s">
        <v>48</v>
      </c>
      <c r="H38" s="41" t="s">
        <v>48</v>
      </c>
      <c r="I38" s="42" t="s">
        <v>207</v>
      </c>
      <c r="J38" s="41">
        <v>49212.0</v>
      </c>
    </row>
    <row r="39" ht="60.0" customHeight="1">
      <c r="A39" s="39">
        <v>36.0</v>
      </c>
      <c r="B39" s="40" t="s">
        <v>208</v>
      </c>
      <c r="C39" s="40" t="s">
        <v>209</v>
      </c>
      <c r="D39" s="40" t="s">
        <v>210</v>
      </c>
      <c r="E39" s="40" t="s">
        <v>211</v>
      </c>
      <c r="F39" s="39" t="str">
        <f t="shared" si="1"/>
        <v>CORRECT</v>
      </c>
      <c r="G39" s="39" t="s">
        <v>36</v>
      </c>
      <c r="H39" s="41" t="s">
        <v>36</v>
      </c>
      <c r="I39" s="42" t="s">
        <v>212</v>
      </c>
      <c r="J39" s="41">
        <v>22199.0</v>
      </c>
    </row>
    <row r="40" ht="60.0" customHeight="1">
      <c r="A40" s="39">
        <v>37.0</v>
      </c>
      <c r="B40" s="40" t="s">
        <v>213</v>
      </c>
      <c r="C40" s="40" t="s">
        <v>214</v>
      </c>
      <c r="D40" s="40" t="s">
        <v>215</v>
      </c>
      <c r="E40" s="40" t="s">
        <v>216</v>
      </c>
      <c r="F40" s="39" t="str">
        <f t="shared" si="1"/>
        <v>WRONG</v>
      </c>
      <c r="G40" s="39" t="s">
        <v>36</v>
      </c>
      <c r="H40" s="41" t="s">
        <v>37</v>
      </c>
      <c r="I40" s="42" t="s">
        <v>217</v>
      </c>
      <c r="J40" s="41">
        <v>24160.0</v>
      </c>
    </row>
    <row r="41" ht="60.0" customHeight="1">
      <c r="A41" s="39">
        <v>38.0</v>
      </c>
      <c r="B41" s="40" t="s">
        <v>218</v>
      </c>
      <c r="C41" s="40" t="s">
        <v>219</v>
      </c>
      <c r="D41" s="40" t="s">
        <v>220</v>
      </c>
      <c r="E41" s="40" t="s">
        <v>221</v>
      </c>
      <c r="F41" s="39" t="str">
        <f t="shared" si="1"/>
        <v>CORRECT</v>
      </c>
      <c r="G41" s="39" t="s">
        <v>36</v>
      </c>
      <c r="H41" s="41" t="s">
        <v>36</v>
      </c>
      <c r="I41" s="42" t="s">
        <v>222</v>
      </c>
      <c r="J41" s="41">
        <v>42381.0</v>
      </c>
    </row>
    <row r="42" ht="60.0" customHeight="1">
      <c r="A42" s="39">
        <v>39.0</v>
      </c>
      <c r="B42" s="40" t="s">
        <v>223</v>
      </c>
      <c r="C42" s="40" t="s">
        <v>224</v>
      </c>
      <c r="D42" s="40" t="s">
        <v>225</v>
      </c>
      <c r="E42" s="40" t="s">
        <v>226</v>
      </c>
      <c r="F42" s="39" t="str">
        <f t="shared" si="1"/>
        <v>CORRECT</v>
      </c>
      <c r="G42" s="39" t="s">
        <v>37</v>
      </c>
      <c r="H42" s="41" t="s">
        <v>37</v>
      </c>
      <c r="I42" s="42" t="s">
        <v>227</v>
      </c>
      <c r="J42" s="41">
        <v>32678.0</v>
      </c>
    </row>
    <row r="43" ht="60.0" customHeight="1">
      <c r="A43" s="39">
        <v>40.0</v>
      </c>
      <c r="B43" s="40" t="s">
        <v>228</v>
      </c>
      <c r="C43" s="40" t="s">
        <v>229</v>
      </c>
      <c r="D43" s="40" t="s">
        <v>230</v>
      </c>
      <c r="E43" s="40" t="s">
        <v>231</v>
      </c>
      <c r="F43" s="39" t="str">
        <f t="shared" si="1"/>
        <v>WRONG</v>
      </c>
      <c r="G43" s="39" t="s">
        <v>48</v>
      </c>
      <c r="H43" s="43" t="s">
        <v>37</v>
      </c>
      <c r="I43" s="42" t="s">
        <v>232</v>
      </c>
      <c r="J43" s="41">
        <v>41297.0</v>
      </c>
    </row>
    <row r="44" ht="60.0" customHeight="1">
      <c r="A44" s="39">
        <v>41.0</v>
      </c>
      <c r="B44" s="40" t="s">
        <v>233</v>
      </c>
      <c r="C44" s="40" t="s">
        <v>234</v>
      </c>
      <c r="D44" s="40" t="s">
        <v>235</v>
      </c>
      <c r="E44" s="40" t="s">
        <v>236</v>
      </c>
      <c r="F44" s="39" t="str">
        <f t="shared" si="1"/>
        <v>WRONG</v>
      </c>
      <c r="G44" s="39" t="s">
        <v>37</v>
      </c>
      <c r="H44" s="41" t="s">
        <v>36</v>
      </c>
      <c r="I44" s="42" t="s">
        <v>237</v>
      </c>
      <c r="J44" s="41">
        <v>20799.0</v>
      </c>
    </row>
    <row r="45" ht="60.0" customHeight="1">
      <c r="A45" s="39">
        <v>42.0</v>
      </c>
      <c r="B45" s="40" t="s">
        <v>238</v>
      </c>
      <c r="C45" s="40" t="s">
        <v>239</v>
      </c>
      <c r="D45" s="40" t="s">
        <v>240</v>
      </c>
      <c r="E45" s="40" t="s">
        <v>241</v>
      </c>
      <c r="F45" s="39" t="str">
        <f t="shared" si="1"/>
        <v>WRONG</v>
      </c>
      <c r="G45" s="39" t="s">
        <v>36</v>
      </c>
      <c r="H45" s="41" t="s">
        <v>37</v>
      </c>
      <c r="I45" s="42" t="s">
        <v>242</v>
      </c>
      <c r="J45" s="41">
        <v>28590.0</v>
      </c>
    </row>
    <row r="46" ht="60.0" customHeight="1">
      <c r="A46" s="39">
        <v>43.0</v>
      </c>
      <c r="B46" s="40" t="s">
        <v>243</v>
      </c>
      <c r="C46" s="40" t="s">
        <v>244</v>
      </c>
      <c r="D46" s="40" t="s">
        <v>245</v>
      </c>
      <c r="E46" s="40" t="s">
        <v>246</v>
      </c>
      <c r="F46" s="39" t="str">
        <f t="shared" si="1"/>
        <v>WRONG</v>
      </c>
      <c r="G46" s="39" t="s">
        <v>48</v>
      </c>
      <c r="H46" s="41" t="s">
        <v>36</v>
      </c>
      <c r="I46" s="42" t="s">
        <v>247</v>
      </c>
      <c r="J46" s="41">
        <v>22066.0</v>
      </c>
    </row>
    <row r="47" ht="60.0" customHeight="1">
      <c r="A47" s="39">
        <v>44.0</v>
      </c>
      <c r="B47" s="40" t="s">
        <v>248</v>
      </c>
      <c r="C47" s="40" t="s">
        <v>249</v>
      </c>
      <c r="D47" s="40" t="s">
        <v>250</v>
      </c>
      <c r="E47" s="40" t="s">
        <v>251</v>
      </c>
      <c r="F47" s="39" t="str">
        <f t="shared" si="1"/>
        <v>WRONG</v>
      </c>
      <c r="G47" s="39" t="s">
        <v>36</v>
      </c>
      <c r="H47" s="43" t="s">
        <v>48</v>
      </c>
      <c r="I47" s="42" t="s">
        <v>252</v>
      </c>
      <c r="J47" s="41">
        <v>32103.0</v>
      </c>
    </row>
    <row r="48" ht="60.0" customHeight="1">
      <c r="A48" s="39">
        <v>45.0</v>
      </c>
      <c r="B48" s="40" t="s">
        <v>253</v>
      </c>
      <c r="C48" s="40" t="s">
        <v>254</v>
      </c>
      <c r="D48" s="40" t="s">
        <v>255</v>
      </c>
      <c r="E48" s="40" t="s">
        <v>256</v>
      </c>
      <c r="F48" s="39" t="str">
        <f t="shared" si="1"/>
        <v>CORRECT</v>
      </c>
      <c r="G48" s="39" t="s">
        <v>36</v>
      </c>
      <c r="H48" s="41" t="s">
        <v>36</v>
      </c>
      <c r="I48" s="42" t="s">
        <v>257</v>
      </c>
      <c r="J48" s="41">
        <v>36806.0</v>
      </c>
    </row>
    <row r="49" ht="60.0" customHeight="1">
      <c r="A49" s="39">
        <v>46.0</v>
      </c>
      <c r="B49" s="40" t="s">
        <v>258</v>
      </c>
      <c r="C49" s="40" t="s">
        <v>40</v>
      </c>
      <c r="D49" s="40" t="s">
        <v>259</v>
      </c>
      <c r="E49" s="40" t="s">
        <v>260</v>
      </c>
      <c r="F49" s="39" t="str">
        <f t="shared" si="1"/>
        <v>CORRECT</v>
      </c>
      <c r="G49" s="39" t="s">
        <v>36</v>
      </c>
      <c r="H49" s="41" t="s">
        <v>36</v>
      </c>
      <c r="I49" s="42" t="s">
        <v>261</v>
      </c>
      <c r="J49" s="41">
        <v>21108.0</v>
      </c>
    </row>
    <row r="50">
      <c r="A50" s="44" t="s">
        <v>262</v>
      </c>
      <c r="B50" s="2"/>
      <c r="C50" s="2"/>
      <c r="D50" s="2"/>
      <c r="E50" s="3"/>
      <c r="F50" s="45">
        <f>COUNTIFS(F4:F49,"CORRECT")</f>
        <v>25</v>
      </c>
      <c r="G50" s="46"/>
      <c r="H50" s="46"/>
      <c r="J50" s="47">
        <f>AVERAGE(J4:J49)</f>
        <v>33869.21739</v>
      </c>
    </row>
    <row r="51">
      <c r="A51" s="48" t="s">
        <v>263</v>
      </c>
      <c r="B51" s="2"/>
      <c r="C51" s="2"/>
      <c r="D51" s="2"/>
      <c r="E51" s="3"/>
      <c r="F51" s="49">
        <v>46.0</v>
      </c>
      <c r="G51" s="46"/>
      <c r="H51" s="46"/>
    </row>
    <row r="52">
      <c r="A52" s="44" t="s">
        <v>264</v>
      </c>
      <c r="B52" s="2"/>
      <c r="C52" s="2"/>
      <c r="D52" s="2"/>
      <c r="E52" s="3"/>
      <c r="F52" s="50">
        <f>F50/F51</f>
        <v>0.5434782609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283</v>
      </c>
      <c r="C2" s="2"/>
      <c r="D2" s="2"/>
      <c r="E2" s="2"/>
      <c r="F2" s="2"/>
      <c r="G2" s="2"/>
      <c r="H2" s="3"/>
      <c r="I2" s="37" t="s">
        <v>284</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3" t="s">
        <v>37</v>
      </c>
      <c r="I4" s="42" t="s">
        <v>38</v>
      </c>
      <c r="J4" s="41">
        <v>21738.0</v>
      </c>
    </row>
    <row r="5" ht="60.0" customHeight="1">
      <c r="A5" s="39">
        <v>2.0</v>
      </c>
      <c r="B5" s="40" t="s">
        <v>39</v>
      </c>
      <c r="C5" s="40" t="s">
        <v>40</v>
      </c>
      <c r="D5" s="40" t="s">
        <v>41</v>
      </c>
      <c r="E5" s="40" t="s">
        <v>42</v>
      </c>
      <c r="F5" s="39" t="str">
        <f t="shared" si="1"/>
        <v>CORRECT</v>
      </c>
      <c r="G5" s="39" t="s">
        <v>37</v>
      </c>
      <c r="H5" s="41" t="s">
        <v>37</v>
      </c>
      <c r="I5" s="42" t="s">
        <v>285</v>
      </c>
      <c r="J5" s="41">
        <v>36532.0</v>
      </c>
    </row>
    <row r="6" ht="60.0" customHeight="1">
      <c r="A6" s="39">
        <v>3.0</v>
      </c>
      <c r="B6" s="40" t="s">
        <v>44</v>
      </c>
      <c r="C6" s="40" t="s">
        <v>45</v>
      </c>
      <c r="D6" s="40" t="s">
        <v>46</v>
      </c>
      <c r="E6" s="40" t="s">
        <v>47</v>
      </c>
      <c r="F6" s="39" t="str">
        <f t="shared" si="1"/>
        <v>CORRECT</v>
      </c>
      <c r="G6" s="39" t="s">
        <v>48</v>
      </c>
      <c r="H6" s="41" t="s">
        <v>48</v>
      </c>
      <c r="I6" s="42" t="s">
        <v>267</v>
      </c>
      <c r="J6" s="41">
        <v>35149.0</v>
      </c>
    </row>
    <row r="7" ht="60.0" customHeight="1">
      <c r="A7" s="39">
        <v>4.0</v>
      </c>
      <c r="B7" s="40" t="s">
        <v>50</v>
      </c>
      <c r="C7" s="40" t="s">
        <v>51</v>
      </c>
      <c r="D7" s="40" t="s">
        <v>52</v>
      </c>
      <c r="E7" s="40" t="s">
        <v>53</v>
      </c>
      <c r="F7" s="39" t="str">
        <f t="shared" si="1"/>
        <v>CORRECT</v>
      </c>
      <c r="G7" s="39" t="s">
        <v>37</v>
      </c>
      <c r="H7" s="41" t="s">
        <v>37</v>
      </c>
      <c r="I7" s="42" t="s">
        <v>286</v>
      </c>
      <c r="J7" s="41">
        <v>30598.0</v>
      </c>
    </row>
    <row r="8" ht="60.0" customHeight="1">
      <c r="A8" s="39">
        <v>5.0</v>
      </c>
      <c r="B8" s="40" t="s">
        <v>55</v>
      </c>
      <c r="C8" s="40" t="s">
        <v>56</v>
      </c>
      <c r="D8" s="40" t="s">
        <v>57</v>
      </c>
      <c r="E8" s="40" t="s">
        <v>58</v>
      </c>
      <c r="F8" s="39" t="str">
        <f t="shared" si="1"/>
        <v>CORRECT</v>
      </c>
      <c r="G8" s="39" t="s">
        <v>48</v>
      </c>
      <c r="H8" s="43" t="s">
        <v>48</v>
      </c>
      <c r="I8" s="42" t="s">
        <v>287</v>
      </c>
      <c r="J8" s="41">
        <v>77671.0</v>
      </c>
    </row>
    <row r="9" ht="60.0" customHeight="1">
      <c r="A9" s="39">
        <v>6.0</v>
      </c>
      <c r="B9" s="40" t="s">
        <v>60</v>
      </c>
      <c r="C9" s="40" t="s">
        <v>61</v>
      </c>
      <c r="D9" s="40" t="s">
        <v>62</v>
      </c>
      <c r="E9" s="40" t="s">
        <v>63</v>
      </c>
      <c r="F9" s="39" t="str">
        <f t="shared" si="1"/>
        <v>CORRECT</v>
      </c>
      <c r="G9" s="39" t="s">
        <v>37</v>
      </c>
      <c r="H9" s="41" t="s">
        <v>37</v>
      </c>
      <c r="I9" s="42" t="s">
        <v>64</v>
      </c>
      <c r="J9" s="41">
        <v>23053.0</v>
      </c>
    </row>
    <row r="10" ht="60.0" customHeight="1">
      <c r="A10" s="39">
        <v>7.0</v>
      </c>
      <c r="B10" s="40" t="s">
        <v>65</v>
      </c>
      <c r="C10" s="40" t="s">
        <v>66</v>
      </c>
      <c r="D10" s="40" t="s">
        <v>67</v>
      </c>
      <c r="E10" s="40" t="s">
        <v>68</v>
      </c>
      <c r="F10" s="39" t="str">
        <f t="shared" si="1"/>
        <v>WRONG</v>
      </c>
      <c r="G10" s="39" t="s">
        <v>37</v>
      </c>
      <c r="H10" s="41" t="s">
        <v>36</v>
      </c>
      <c r="I10" s="42" t="s">
        <v>288</v>
      </c>
      <c r="J10" s="41">
        <v>40672.0</v>
      </c>
    </row>
    <row r="11" ht="60.0" customHeight="1">
      <c r="A11" s="39">
        <v>8.0</v>
      </c>
      <c r="B11" s="40" t="s">
        <v>70</v>
      </c>
      <c r="C11" s="40" t="s">
        <v>71</v>
      </c>
      <c r="D11" s="40" t="s">
        <v>72</v>
      </c>
      <c r="E11" s="40" t="s">
        <v>73</v>
      </c>
      <c r="F11" s="39" t="str">
        <f t="shared" si="1"/>
        <v>CORRECT</v>
      </c>
      <c r="G11" s="39" t="s">
        <v>48</v>
      </c>
      <c r="H11" s="41" t="s">
        <v>48</v>
      </c>
      <c r="I11" s="42" t="s">
        <v>289</v>
      </c>
      <c r="J11" s="41">
        <v>34825.0</v>
      </c>
    </row>
    <row r="12" ht="60.0" customHeight="1">
      <c r="A12" s="39">
        <v>9.0</v>
      </c>
      <c r="B12" s="40" t="s">
        <v>75</v>
      </c>
      <c r="C12" s="40" t="s">
        <v>76</v>
      </c>
      <c r="D12" s="40" t="s">
        <v>77</v>
      </c>
      <c r="E12" s="40" t="s">
        <v>78</v>
      </c>
      <c r="F12" s="39" t="str">
        <f t="shared" si="1"/>
        <v>WRONG</v>
      </c>
      <c r="G12" s="39" t="s">
        <v>37</v>
      </c>
      <c r="H12" s="41" t="s">
        <v>48</v>
      </c>
      <c r="I12" s="42" t="s">
        <v>290</v>
      </c>
      <c r="J12" s="41">
        <v>41189.0</v>
      </c>
    </row>
    <row r="13" ht="60.0" customHeight="1">
      <c r="A13" s="39">
        <v>10.0</v>
      </c>
      <c r="B13" s="40" t="s">
        <v>80</v>
      </c>
      <c r="C13" s="40" t="s">
        <v>81</v>
      </c>
      <c r="D13" s="40" t="s">
        <v>82</v>
      </c>
      <c r="E13" s="40" t="s">
        <v>83</v>
      </c>
      <c r="F13" s="39" t="str">
        <f t="shared" si="1"/>
        <v>CORRECT</v>
      </c>
      <c r="G13" s="39" t="s">
        <v>48</v>
      </c>
      <c r="H13" s="43" t="s">
        <v>48</v>
      </c>
      <c r="I13" s="42" t="s">
        <v>291</v>
      </c>
      <c r="J13" s="41">
        <v>33674.0</v>
      </c>
    </row>
    <row r="14" ht="60.0" customHeight="1">
      <c r="A14" s="39">
        <v>11.0</v>
      </c>
      <c r="B14" s="40" t="s">
        <v>85</v>
      </c>
      <c r="C14" s="40" t="s">
        <v>86</v>
      </c>
      <c r="D14" s="40" t="s">
        <v>87</v>
      </c>
      <c r="E14" s="40" t="s">
        <v>88</v>
      </c>
      <c r="F14" s="39" t="str">
        <f t="shared" si="1"/>
        <v>WRONG</v>
      </c>
      <c r="G14" s="39" t="s">
        <v>37</v>
      </c>
      <c r="H14" s="41" t="s">
        <v>48</v>
      </c>
      <c r="I14" s="42" t="s">
        <v>292</v>
      </c>
      <c r="J14" s="41">
        <v>36599.0</v>
      </c>
    </row>
    <row r="15" ht="60.0" customHeight="1">
      <c r="A15" s="39">
        <v>12.0</v>
      </c>
      <c r="B15" s="40" t="s">
        <v>90</v>
      </c>
      <c r="C15" s="40" t="s">
        <v>91</v>
      </c>
      <c r="D15" s="40" t="s">
        <v>92</v>
      </c>
      <c r="E15" s="40" t="s">
        <v>93</v>
      </c>
      <c r="F15" s="39" t="str">
        <f t="shared" si="1"/>
        <v>WRONG</v>
      </c>
      <c r="G15" s="39" t="s">
        <v>48</v>
      </c>
      <c r="H15" s="41" t="s">
        <v>36</v>
      </c>
      <c r="I15" s="42" t="s">
        <v>293</v>
      </c>
      <c r="J15" s="41">
        <v>40065.0</v>
      </c>
    </row>
    <row r="16" ht="60.0" customHeight="1">
      <c r="A16" s="39">
        <v>13.0</v>
      </c>
      <c r="B16" s="40" t="s">
        <v>95</v>
      </c>
      <c r="C16" s="40" t="s">
        <v>96</v>
      </c>
      <c r="D16" s="40" t="s">
        <v>97</v>
      </c>
      <c r="E16" s="40" t="s">
        <v>98</v>
      </c>
      <c r="F16" s="39" t="str">
        <f t="shared" si="1"/>
        <v>CORRECT</v>
      </c>
      <c r="G16" s="39" t="s">
        <v>36</v>
      </c>
      <c r="H16" s="41" t="s">
        <v>36</v>
      </c>
      <c r="I16" s="42" t="s">
        <v>294</v>
      </c>
      <c r="J16" s="41">
        <v>21358.0</v>
      </c>
    </row>
    <row r="17" ht="60.0" customHeight="1">
      <c r="A17" s="39">
        <v>14.0</v>
      </c>
      <c r="B17" s="40" t="s">
        <v>100</v>
      </c>
      <c r="C17" s="40" t="s">
        <v>101</v>
      </c>
      <c r="D17" s="40" t="s">
        <v>102</v>
      </c>
      <c r="E17" s="40" t="s">
        <v>103</v>
      </c>
      <c r="F17" s="39" t="str">
        <f t="shared" si="1"/>
        <v>WRONG</v>
      </c>
      <c r="G17" s="39" t="s">
        <v>36</v>
      </c>
      <c r="H17" s="43" t="s">
        <v>48</v>
      </c>
      <c r="I17" s="42" t="s">
        <v>295</v>
      </c>
      <c r="J17" s="41">
        <v>56285.0</v>
      </c>
    </row>
    <row r="18" ht="60.0" customHeight="1">
      <c r="A18" s="39">
        <v>15.0</v>
      </c>
      <c r="B18" s="40" t="s">
        <v>105</v>
      </c>
      <c r="C18" s="40" t="s">
        <v>106</v>
      </c>
      <c r="D18" s="40" t="s">
        <v>107</v>
      </c>
      <c r="E18" s="40" t="s">
        <v>108</v>
      </c>
      <c r="F18" s="39" t="str">
        <f t="shared" si="1"/>
        <v>CORRECT</v>
      </c>
      <c r="G18" s="39" t="s">
        <v>48</v>
      </c>
      <c r="H18" s="41" t="s">
        <v>48</v>
      </c>
      <c r="I18" s="42" t="s">
        <v>296</v>
      </c>
      <c r="J18" s="41">
        <v>26898.0</v>
      </c>
    </row>
    <row r="19" ht="60.0" customHeight="1">
      <c r="A19" s="39">
        <v>16.0</v>
      </c>
      <c r="B19" s="40" t="s">
        <v>110</v>
      </c>
      <c r="C19" s="40" t="s">
        <v>111</v>
      </c>
      <c r="D19" s="40" t="s">
        <v>112</v>
      </c>
      <c r="E19" s="40" t="s">
        <v>113</v>
      </c>
      <c r="F19" s="39" t="str">
        <f t="shared" si="1"/>
        <v>CORRECT</v>
      </c>
      <c r="G19" s="39" t="s">
        <v>48</v>
      </c>
      <c r="H19" s="41" t="s">
        <v>48</v>
      </c>
      <c r="I19" s="42" t="s">
        <v>276</v>
      </c>
      <c r="J19" s="41">
        <v>28997.0</v>
      </c>
    </row>
    <row r="20" ht="60.0" customHeight="1">
      <c r="A20" s="39">
        <v>17.0</v>
      </c>
      <c r="B20" s="40" t="s">
        <v>115</v>
      </c>
      <c r="C20" s="40" t="s">
        <v>116</v>
      </c>
      <c r="D20" s="40" t="s">
        <v>117</v>
      </c>
      <c r="E20" s="40" t="s">
        <v>118</v>
      </c>
      <c r="F20" s="39" t="str">
        <f t="shared" si="1"/>
        <v>WRONG</v>
      </c>
      <c r="G20" s="39" t="s">
        <v>37</v>
      </c>
      <c r="H20" s="43" t="s">
        <v>36</v>
      </c>
      <c r="I20" s="42" t="s">
        <v>277</v>
      </c>
      <c r="J20" s="41">
        <v>27630.0</v>
      </c>
    </row>
    <row r="21" ht="60.0" customHeight="1">
      <c r="A21" s="39">
        <v>18.0</v>
      </c>
      <c r="B21" s="40" t="s">
        <v>120</v>
      </c>
      <c r="C21" s="40" t="s">
        <v>121</v>
      </c>
      <c r="D21" s="40" t="s">
        <v>122</v>
      </c>
      <c r="E21" s="40" t="s">
        <v>123</v>
      </c>
      <c r="F21" s="39" t="str">
        <f t="shared" si="1"/>
        <v>CORRECT</v>
      </c>
      <c r="G21" s="39" t="s">
        <v>37</v>
      </c>
      <c r="H21" s="41" t="s">
        <v>37</v>
      </c>
      <c r="I21" s="42" t="s">
        <v>297</v>
      </c>
      <c r="J21" s="41">
        <v>32162.0</v>
      </c>
    </row>
    <row r="22" ht="60.0" customHeight="1">
      <c r="A22" s="39">
        <v>19.0</v>
      </c>
      <c r="B22" s="40" t="s">
        <v>125</v>
      </c>
      <c r="C22" s="40" t="s">
        <v>126</v>
      </c>
      <c r="D22" s="40" t="s">
        <v>127</v>
      </c>
      <c r="E22" s="40" t="s">
        <v>128</v>
      </c>
      <c r="F22" s="39" t="str">
        <f t="shared" si="1"/>
        <v>WRONG</v>
      </c>
      <c r="G22" s="39" t="s">
        <v>36</v>
      </c>
      <c r="H22" s="43" t="s">
        <v>48</v>
      </c>
      <c r="I22" s="42" t="s">
        <v>129</v>
      </c>
      <c r="J22" s="41">
        <v>33803.0</v>
      </c>
    </row>
    <row r="23" ht="60.0" customHeight="1">
      <c r="A23" s="39">
        <v>20.0</v>
      </c>
      <c r="B23" s="40" t="s">
        <v>130</v>
      </c>
      <c r="C23" s="40" t="s">
        <v>131</v>
      </c>
      <c r="D23" s="40" t="s">
        <v>132</v>
      </c>
      <c r="E23" s="40" t="s">
        <v>133</v>
      </c>
      <c r="F23" s="39" t="str">
        <f t="shared" si="1"/>
        <v>WRONG</v>
      </c>
      <c r="G23" s="39" t="s">
        <v>37</v>
      </c>
      <c r="H23" s="41" t="s">
        <v>48</v>
      </c>
      <c r="I23" s="42" t="s">
        <v>298</v>
      </c>
      <c r="J23" s="41">
        <v>28903.0</v>
      </c>
    </row>
    <row r="24" ht="60.0" customHeight="1">
      <c r="A24" s="39">
        <v>21.0</v>
      </c>
      <c r="B24" s="40" t="s">
        <v>135</v>
      </c>
      <c r="C24" s="40" t="s">
        <v>136</v>
      </c>
      <c r="D24" s="40" t="s">
        <v>137</v>
      </c>
      <c r="E24" s="40" t="s">
        <v>138</v>
      </c>
      <c r="F24" s="39" t="str">
        <f t="shared" si="1"/>
        <v>WRONG</v>
      </c>
      <c r="G24" s="39" t="s">
        <v>37</v>
      </c>
      <c r="H24" s="41" t="s">
        <v>36</v>
      </c>
      <c r="I24" s="42" t="s">
        <v>139</v>
      </c>
      <c r="J24" s="41">
        <v>22303.0</v>
      </c>
    </row>
    <row r="25" ht="60.0" customHeight="1">
      <c r="A25" s="39">
        <v>22.0</v>
      </c>
      <c r="B25" s="40" t="s">
        <v>140</v>
      </c>
      <c r="C25" s="40" t="s">
        <v>141</v>
      </c>
      <c r="D25" s="40" t="s">
        <v>142</v>
      </c>
      <c r="E25" s="40" t="s">
        <v>143</v>
      </c>
      <c r="F25" s="39" t="str">
        <f t="shared" si="1"/>
        <v>CORRECT</v>
      </c>
      <c r="G25" s="39" t="s">
        <v>37</v>
      </c>
      <c r="H25" s="41" t="s">
        <v>37</v>
      </c>
      <c r="I25" s="42" t="s">
        <v>279</v>
      </c>
      <c r="J25" s="41">
        <v>34957.0</v>
      </c>
    </row>
    <row r="26" ht="60.0" customHeight="1">
      <c r="A26" s="39">
        <v>23.0</v>
      </c>
      <c r="B26" s="40" t="s">
        <v>145</v>
      </c>
      <c r="C26" s="40" t="s">
        <v>146</v>
      </c>
      <c r="D26" s="40" t="s">
        <v>147</v>
      </c>
      <c r="E26" s="40" t="s">
        <v>148</v>
      </c>
      <c r="F26" s="39" t="str">
        <f t="shared" si="1"/>
        <v>CORRECT</v>
      </c>
      <c r="G26" s="39" t="s">
        <v>48</v>
      </c>
      <c r="H26" s="43" t="s">
        <v>48</v>
      </c>
      <c r="I26" s="42" t="s">
        <v>299</v>
      </c>
      <c r="J26" s="41">
        <v>24651.0</v>
      </c>
    </row>
    <row r="27" ht="60.0" customHeight="1">
      <c r="A27" s="39">
        <v>24.0</v>
      </c>
      <c r="B27" s="40" t="s">
        <v>150</v>
      </c>
      <c r="C27" s="40" t="s">
        <v>151</v>
      </c>
      <c r="D27" s="40" t="s">
        <v>152</v>
      </c>
      <c r="E27" s="40" t="s">
        <v>153</v>
      </c>
      <c r="F27" s="39" t="str">
        <f t="shared" si="1"/>
        <v>WRONG</v>
      </c>
      <c r="G27" s="39" t="s">
        <v>36</v>
      </c>
      <c r="H27" s="41" t="s">
        <v>48</v>
      </c>
      <c r="I27" s="42" t="s">
        <v>280</v>
      </c>
      <c r="J27" s="41">
        <v>26117.0</v>
      </c>
    </row>
    <row r="28" ht="60.0" customHeight="1">
      <c r="A28" s="39">
        <v>25.0</v>
      </c>
      <c r="B28" s="40" t="s">
        <v>155</v>
      </c>
      <c r="C28" s="40" t="s">
        <v>151</v>
      </c>
      <c r="D28" s="40" t="s">
        <v>156</v>
      </c>
      <c r="E28" s="40" t="s">
        <v>153</v>
      </c>
      <c r="F28" s="39" t="str">
        <f t="shared" si="1"/>
        <v>WRONG</v>
      </c>
      <c r="G28" s="39" t="s">
        <v>48</v>
      </c>
      <c r="H28" s="41" t="s">
        <v>36</v>
      </c>
      <c r="I28" s="42" t="s">
        <v>157</v>
      </c>
      <c r="J28" s="41">
        <v>30139.0</v>
      </c>
    </row>
    <row r="29" ht="60.0" customHeight="1">
      <c r="A29" s="39">
        <v>26.0</v>
      </c>
      <c r="B29" s="40" t="s">
        <v>158</v>
      </c>
      <c r="C29" s="40" t="s">
        <v>159</v>
      </c>
      <c r="D29" s="40" t="s">
        <v>160</v>
      </c>
      <c r="E29" s="40" t="s">
        <v>161</v>
      </c>
      <c r="F29" s="39" t="str">
        <f t="shared" si="1"/>
        <v>WRONG</v>
      </c>
      <c r="G29" s="39" t="s">
        <v>36</v>
      </c>
      <c r="H29" s="43" t="s">
        <v>48</v>
      </c>
      <c r="I29" s="42" t="s">
        <v>300</v>
      </c>
      <c r="J29" s="41">
        <v>33563.0</v>
      </c>
    </row>
    <row r="30" ht="60.0" customHeight="1">
      <c r="A30" s="39">
        <v>27.0</v>
      </c>
      <c r="B30" s="40" t="s">
        <v>163</v>
      </c>
      <c r="C30" s="40" t="s">
        <v>164</v>
      </c>
      <c r="D30" s="40" t="s">
        <v>165</v>
      </c>
      <c r="E30" s="40" t="s">
        <v>166</v>
      </c>
      <c r="F30" s="39" t="str">
        <f t="shared" si="1"/>
        <v>CORRECT</v>
      </c>
      <c r="G30" s="39" t="s">
        <v>37</v>
      </c>
      <c r="H30" s="41" t="s">
        <v>37</v>
      </c>
      <c r="I30" s="42" t="s">
        <v>301</v>
      </c>
      <c r="J30" s="41">
        <v>39814.0</v>
      </c>
    </row>
    <row r="31" ht="60.0" customHeight="1">
      <c r="A31" s="39">
        <v>28.0</v>
      </c>
      <c r="B31" s="40" t="s">
        <v>168</v>
      </c>
      <c r="C31" s="40" t="s">
        <v>169</v>
      </c>
      <c r="D31" s="40" t="s">
        <v>170</v>
      </c>
      <c r="E31" s="40" t="s">
        <v>171</v>
      </c>
      <c r="F31" s="39" t="str">
        <f t="shared" si="1"/>
        <v>CORRECT</v>
      </c>
      <c r="G31" s="39" t="s">
        <v>36</v>
      </c>
      <c r="H31" s="41" t="s">
        <v>36</v>
      </c>
      <c r="I31" s="42" t="s">
        <v>302</v>
      </c>
      <c r="J31" s="41">
        <v>26882.0</v>
      </c>
    </row>
    <row r="32" ht="60.0" customHeight="1">
      <c r="A32" s="39">
        <v>29.0</v>
      </c>
      <c r="B32" s="40" t="s">
        <v>173</v>
      </c>
      <c r="C32" s="40" t="s">
        <v>174</v>
      </c>
      <c r="D32" s="40" t="s">
        <v>175</v>
      </c>
      <c r="E32" s="40" t="s">
        <v>176</v>
      </c>
      <c r="F32" s="39" t="str">
        <f t="shared" si="1"/>
        <v>CORRECT</v>
      </c>
      <c r="G32" s="39" t="s">
        <v>37</v>
      </c>
      <c r="H32" s="41" t="s">
        <v>37</v>
      </c>
      <c r="I32" s="42" t="s">
        <v>303</v>
      </c>
      <c r="J32" s="41">
        <v>26600.0</v>
      </c>
    </row>
    <row r="33" ht="60.0" customHeight="1">
      <c r="A33" s="39">
        <v>30.0</v>
      </c>
      <c r="B33" s="40" t="s">
        <v>178</v>
      </c>
      <c r="C33" s="40" t="s">
        <v>179</v>
      </c>
      <c r="D33" s="40" t="s">
        <v>180</v>
      </c>
      <c r="E33" s="40" t="s">
        <v>181</v>
      </c>
      <c r="F33" s="39" t="str">
        <f t="shared" si="1"/>
        <v>WRONG</v>
      </c>
      <c r="G33" s="39" t="s">
        <v>48</v>
      </c>
      <c r="H33" s="41" t="s">
        <v>36</v>
      </c>
      <c r="I33" s="42" t="s">
        <v>304</v>
      </c>
      <c r="J33" s="41">
        <v>31689.0</v>
      </c>
    </row>
    <row r="34" ht="60.0" customHeight="1">
      <c r="A34" s="39">
        <v>31.0</v>
      </c>
      <c r="B34" s="40" t="s">
        <v>183</v>
      </c>
      <c r="C34" s="40" t="s">
        <v>184</v>
      </c>
      <c r="D34" s="40" t="s">
        <v>185</v>
      </c>
      <c r="E34" s="40" t="s">
        <v>186</v>
      </c>
      <c r="F34" s="39" t="str">
        <f t="shared" si="1"/>
        <v>WRONG</v>
      </c>
      <c r="G34" s="39" t="s">
        <v>37</v>
      </c>
      <c r="H34" s="41" t="s">
        <v>36</v>
      </c>
      <c r="I34" s="42" t="s">
        <v>305</v>
      </c>
      <c r="J34" s="41">
        <v>35064.0</v>
      </c>
    </row>
    <row r="35" ht="60.0" customHeight="1">
      <c r="A35" s="39">
        <v>32.0</v>
      </c>
      <c r="B35" s="40" t="s">
        <v>188</v>
      </c>
      <c r="C35" s="40" t="s">
        <v>189</v>
      </c>
      <c r="D35" s="40" t="s">
        <v>190</v>
      </c>
      <c r="E35" s="40" t="s">
        <v>191</v>
      </c>
      <c r="F35" s="39" t="str">
        <f t="shared" si="1"/>
        <v>CORRECT</v>
      </c>
      <c r="G35" s="39" t="s">
        <v>36</v>
      </c>
      <c r="H35" s="43" t="s">
        <v>36</v>
      </c>
      <c r="I35" s="42" t="s">
        <v>306</v>
      </c>
      <c r="J35" s="41">
        <v>46660.0</v>
      </c>
    </row>
    <row r="36" ht="60.0" customHeight="1">
      <c r="A36" s="39">
        <v>33.0</v>
      </c>
      <c r="B36" s="40" t="s">
        <v>193</v>
      </c>
      <c r="C36" s="40" t="s">
        <v>194</v>
      </c>
      <c r="D36" s="40" t="s">
        <v>195</v>
      </c>
      <c r="E36" s="40" t="s">
        <v>196</v>
      </c>
      <c r="F36" s="39" t="str">
        <f t="shared" si="1"/>
        <v>CORRECT</v>
      </c>
      <c r="G36" s="39" t="s">
        <v>48</v>
      </c>
      <c r="H36" s="43" t="s">
        <v>48</v>
      </c>
      <c r="I36" s="42" t="s">
        <v>197</v>
      </c>
      <c r="J36" s="41">
        <v>46000.0</v>
      </c>
    </row>
    <row r="37" ht="60.0" customHeight="1">
      <c r="A37" s="39">
        <v>34.0</v>
      </c>
      <c r="B37" s="40" t="s">
        <v>198</v>
      </c>
      <c r="C37" s="40" t="s">
        <v>199</v>
      </c>
      <c r="D37" s="40" t="s">
        <v>200</v>
      </c>
      <c r="E37" s="40" t="s">
        <v>201</v>
      </c>
      <c r="F37" s="39" t="str">
        <f t="shared" si="1"/>
        <v>CORRECT</v>
      </c>
      <c r="G37" s="39" t="s">
        <v>36</v>
      </c>
      <c r="H37" s="41" t="s">
        <v>36</v>
      </c>
      <c r="I37" s="42" t="s">
        <v>307</v>
      </c>
      <c r="J37" s="41">
        <v>28094.0</v>
      </c>
    </row>
    <row r="38" ht="60.0" customHeight="1">
      <c r="A38" s="39">
        <v>35.0</v>
      </c>
      <c r="B38" s="40" t="s">
        <v>203</v>
      </c>
      <c r="C38" s="40" t="s">
        <v>204</v>
      </c>
      <c r="D38" s="40" t="s">
        <v>205</v>
      </c>
      <c r="E38" s="40" t="s">
        <v>206</v>
      </c>
      <c r="F38" s="39" t="str">
        <f t="shared" si="1"/>
        <v>CORRECT</v>
      </c>
      <c r="G38" s="39" t="s">
        <v>48</v>
      </c>
      <c r="H38" s="41" t="s">
        <v>48</v>
      </c>
      <c r="I38" s="42" t="s">
        <v>207</v>
      </c>
      <c r="J38" s="41">
        <v>47550.0</v>
      </c>
    </row>
    <row r="39" ht="60.0" customHeight="1">
      <c r="A39" s="39">
        <v>36.0</v>
      </c>
      <c r="B39" s="40" t="s">
        <v>208</v>
      </c>
      <c r="C39" s="40" t="s">
        <v>209</v>
      </c>
      <c r="D39" s="40" t="s">
        <v>210</v>
      </c>
      <c r="E39" s="40" t="s">
        <v>211</v>
      </c>
      <c r="F39" s="39" t="str">
        <f t="shared" si="1"/>
        <v>CORRECT</v>
      </c>
      <c r="G39" s="39" t="s">
        <v>36</v>
      </c>
      <c r="H39" s="41" t="s">
        <v>36</v>
      </c>
      <c r="I39" s="42" t="s">
        <v>308</v>
      </c>
      <c r="J39" s="41">
        <v>21450.0</v>
      </c>
    </row>
    <row r="40" ht="60.0" customHeight="1">
      <c r="A40" s="39">
        <v>37.0</v>
      </c>
      <c r="B40" s="40" t="s">
        <v>213</v>
      </c>
      <c r="C40" s="40" t="s">
        <v>214</v>
      </c>
      <c r="D40" s="40" t="s">
        <v>215</v>
      </c>
      <c r="E40" s="40" t="s">
        <v>216</v>
      </c>
      <c r="F40" s="39" t="str">
        <f t="shared" si="1"/>
        <v>WRONG</v>
      </c>
      <c r="G40" s="39" t="s">
        <v>36</v>
      </c>
      <c r="H40" s="41" t="s">
        <v>37</v>
      </c>
      <c r="I40" s="42" t="s">
        <v>309</v>
      </c>
      <c r="J40" s="41">
        <v>24268.0</v>
      </c>
    </row>
    <row r="41" ht="60.0" customHeight="1">
      <c r="A41" s="39">
        <v>38.0</v>
      </c>
      <c r="B41" s="40" t="s">
        <v>218</v>
      </c>
      <c r="C41" s="40" t="s">
        <v>219</v>
      </c>
      <c r="D41" s="40" t="s">
        <v>220</v>
      </c>
      <c r="E41" s="40" t="s">
        <v>221</v>
      </c>
      <c r="F41" s="39" t="str">
        <f t="shared" si="1"/>
        <v>CORRECT</v>
      </c>
      <c r="G41" s="39" t="s">
        <v>36</v>
      </c>
      <c r="H41" s="41" t="s">
        <v>36</v>
      </c>
      <c r="I41" s="42" t="s">
        <v>310</v>
      </c>
      <c r="J41" s="41">
        <v>37272.0</v>
      </c>
    </row>
    <row r="42" ht="60.0" customHeight="1">
      <c r="A42" s="39">
        <v>39.0</v>
      </c>
      <c r="B42" s="40" t="s">
        <v>223</v>
      </c>
      <c r="C42" s="40" t="s">
        <v>224</v>
      </c>
      <c r="D42" s="40" t="s">
        <v>225</v>
      </c>
      <c r="E42" s="40" t="s">
        <v>226</v>
      </c>
      <c r="F42" s="39" t="str">
        <f t="shared" si="1"/>
        <v>CORRECT</v>
      </c>
      <c r="G42" s="39" t="s">
        <v>37</v>
      </c>
      <c r="H42" s="41" t="s">
        <v>37</v>
      </c>
      <c r="I42" s="42" t="s">
        <v>227</v>
      </c>
      <c r="J42" s="41">
        <v>31049.0</v>
      </c>
    </row>
    <row r="43" ht="60.0" customHeight="1">
      <c r="A43" s="39">
        <v>40.0</v>
      </c>
      <c r="B43" s="40" t="s">
        <v>228</v>
      </c>
      <c r="C43" s="40" t="s">
        <v>229</v>
      </c>
      <c r="D43" s="40" t="s">
        <v>230</v>
      </c>
      <c r="E43" s="40" t="s">
        <v>231</v>
      </c>
      <c r="F43" s="39" t="str">
        <f t="shared" si="1"/>
        <v>WRONG</v>
      </c>
      <c r="G43" s="39" t="s">
        <v>48</v>
      </c>
      <c r="H43" s="43" t="s">
        <v>37</v>
      </c>
      <c r="I43" s="42" t="s">
        <v>311</v>
      </c>
      <c r="J43" s="41">
        <v>40593.0</v>
      </c>
    </row>
    <row r="44" ht="60.0" customHeight="1">
      <c r="A44" s="39">
        <v>41.0</v>
      </c>
      <c r="B44" s="40" t="s">
        <v>233</v>
      </c>
      <c r="C44" s="40" t="s">
        <v>234</v>
      </c>
      <c r="D44" s="40" t="s">
        <v>235</v>
      </c>
      <c r="E44" s="40" t="s">
        <v>236</v>
      </c>
      <c r="F44" s="39" t="str">
        <f t="shared" si="1"/>
        <v>WRONG</v>
      </c>
      <c r="G44" s="39" t="s">
        <v>37</v>
      </c>
      <c r="H44" s="41" t="s">
        <v>36</v>
      </c>
      <c r="I44" s="42" t="s">
        <v>312</v>
      </c>
      <c r="J44" s="41">
        <v>46350.0</v>
      </c>
    </row>
    <row r="45" ht="60.0" customHeight="1">
      <c r="A45" s="39">
        <v>42.0</v>
      </c>
      <c r="B45" s="40" t="s">
        <v>238</v>
      </c>
      <c r="C45" s="40" t="s">
        <v>239</v>
      </c>
      <c r="D45" s="40" t="s">
        <v>240</v>
      </c>
      <c r="E45" s="40" t="s">
        <v>241</v>
      </c>
      <c r="F45" s="39" t="str">
        <f t="shared" si="1"/>
        <v>WRONG</v>
      </c>
      <c r="G45" s="39" t="s">
        <v>36</v>
      </c>
      <c r="H45" s="41" t="s">
        <v>37</v>
      </c>
      <c r="I45" s="42" t="s">
        <v>242</v>
      </c>
      <c r="J45" s="41">
        <v>28564.0</v>
      </c>
    </row>
    <row r="46" ht="60.0" customHeight="1">
      <c r="A46" s="39">
        <v>43.0</v>
      </c>
      <c r="B46" s="40" t="s">
        <v>243</v>
      </c>
      <c r="C46" s="40" t="s">
        <v>244</v>
      </c>
      <c r="D46" s="40" t="s">
        <v>245</v>
      </c>
      <c r="E46" s="40" t="s">
        <v>246</v>
      </c>
      <c r="F46" s="39" t="str">
        <f t="shared" si="1"/>
        <v>WRONG</v>
      </c>
      <c r="G46" s="39" t="s">
        <v>48</v>
      </c>
      <c r="H46" s="41" t="s">
        <v>36</v>
      </c>
      <c r="I46" s="42" t="s">
        <v>247</v>
      </c>
      <c r="J46" s="41">
        <v>22225.0</v>
      </c>
    </row>
    <row r="47" ht="60.0" customHeight="1">
      <c r="A47" s="39">
        <v>44.0</v>
      </c>
      <c r="B47" s="40" t="s">
        <v>248</v>
      </c>
      <c r="C47" s="40" t="s">
        <v>249</v>
      </c>
      <c r="D47" s="40" t="s">
        <v>250</v>
      </c>
      <c r="E47" s="40" t="s">
        <v>251</v>
      </c>
      <c r="F47" s="39" t="str">
        <f t="shared" si="1"/>
        <v>WRONG</v>
      </c>
      <c r="G47" s="39" t="s">
        <v>36</v>
      </c>
      <c r="H47" s="43" t="s">
        <v>48</v>
      </c>
      <c r="I47" s="42" t="s">
        <v>313</v>
      </c>
      <c r="J47" s="41">
        <v>33270.0</v>
      </c>
    </row>
    <row r="48" ht="60.0" customHeight="1">
      <c r="A48" s="39">
        <v>45.0</v>
      </c>
      <c r="B48" s="40" t="s">
        <v>253</v>
      </c>
      <c r="C48" s="40" t="s">
        <v>254</v>
      </c>
      <c r="D48" s="40" t="s">
        <v>255</v>
      </c>
      <c r="E48" s="40" t="s">
        <v>256</v>
      </c>
      <c r="F48" s="39" t="str">
        <f t="shared" si="1"/>
        <v>CORRECT</v>
      </c>
      <c r="G48" s="39" t="s">
        <v>36</v>
      </c>
      <c r="H48" s="41" t="s">
        <v>36</v>
      </c>
      <c r="I48" s="42" t="s">
        <v>314</v>
      </c>
      <c r="J48" s="41">
        <v>31351.0</v>
      </c>
    </row>
    <row r="49" ht="60.0" customHeight="1">
      <c r="A49" s="39">
        <v>46.0</v>
      </c>
      <c r="B49" s="40" t="s">
        <v>258</v>
      </c>
      <c r="C49" s="40" t="s">
        <v>40</v>
      </c>
      <c r="D49" s="40" t="s">
        <v>259</v>
      </c>
      <c r="E49" s="40" t="s">
        <v>260</v>
      </c>
      <c r="F49" s="39" t="str">
        <f t="shared" si="1"/>
        <v>CORRECT</v>
      </c>
      <c r="G49" s="39" t="s">
        <v>36</v>
      </c>
      <c r="H49" s="41" t="s">
        <v>36</v>
      </c>
      <c r="I49" s="42" t="s">
        <v>315</v>
      </c>
      <c r="J49" s="41">
        <v>20704.0</v>
      </c>
    </row>
    <row r="50">
      <c r="A50" s="44" t="s">
        <v>262</v>
      </c>
      <c r="B50" s="2"/>
      <c r="C50" s="2"/>
      <c r="D50" s="2"/>
      <c r="E50" s="3"/>
      <c r="F50" s="45">
        <f>COUNTIFS(F4:F49,"CORRECT")</f>
        <v>25</v>
      </c>
      <c r="G50" s="46"/>
      <c r="H50" s="46"/>
      <c r="J50" s="47">
        <f>AVERAGE(J4:J49)</f>
        <v>33586.52174</v>
      </c>
    </row>
    <row r="51">
      <c r="A51" s="48" t="s">
        <v>263</v>
      </c>
      <c r="B51" s="2"/>
      <c r="C51" s="2"/>
      <c r="D51" s="2"/>
      <c r="E51" s="3"/>
      <c r="F51" s="49">
        <v>46.0</v>
      </c>
      <c r="G51" s="46"/>
      <c r="H51" s="46"/>
    </row>
    <row r="52">
      <c r="A52" s="44" t="s">
        <v>264</v>
      </c>
      <c r="B52" s="2"/>
      <c r="C52" s="2"/>
      <c r="D52" s="2"/>
      <c r="E52" s="3"/>
      <c r="F52" s="50">
        <f>F50/F51</f>
        <v>0.5434782609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316</v>
      </c>
      <c r="C2" s="2"/>
      <c r="D2" s="2"/>
      <c r="E2" s="2"/>
      <c r="F2" s="2"/>
      <c r="G2" s="2"/>
      <c r="H2" s="3"/>
      <c r="I2" s="37" t="s">
        <v>317</v>
      </c>
      <c r="J2" s="3"/>
      <c r="K2" s="34"/>
      <c r="L2" s="34"/>
      <c r="M2" s="34"/>
      <c r="N2" s="52" t="s">
        <v>318</v>
      </c>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1">
        <v>21794.0</v>
      </c>
    </row>
    <row r="5" ht="60.0" customHeight="1">
      <c r="A5" s="39">
        <v>2.0</v>
      </c>
      <c r="B5" s="40" t="s">
        <v>39</v>
      </c>
      <c r="C5" s="40" t="s">
        <v>40</v>
      </c>
      <c r="D5" s="40" t="s">
        <v>41</v>
      </c>
      <c r="E5" s="40" t="s">
        <v>42</v>
      </c>
      <c r="F5" s="39" t="str">
        <f t="shared" si="1"/>
        <v>CORRECT</v>
      </c>
      <c r="G5" s="39" t="s">
        <v>37</v>
      </c>
      <c r="H5" s="41" t="s">
        <v>37</v>
      </c>
      <c r="I5" s="42" t="s">
        <v>43</v>
      </c>
      <c r="J5" s="41">
        <v>30798.0</v>
      </c>
    </row>
    <row r="6" ht="60.0" customHeight="1">
      <c r="A6" s="39">
        <v>3.0</v>
      </c>
      <c r="B6" s="40" t="s">
        <v>44</v>
      </c>
      <c r="C6" s="40" t="s">
        <v>45</v>
      </c>
      <c r="D6" s="40" t="s">
        <v>46</v>
      </c>
      <c r="E6" s="40" t="s">
        <v>47</v>
      </c>
      <c r="F6" s="39" t="str">
        <f t="shared" si="1"/>
        <v>CORRECT</v>
      </c>
      <c r="G6" s="39" t="s">
        <v>48</v>
      </c>
      <c r="H6" s="41" t="s">
        <v>48</v>
      </c>
      <c r="I6" s="42" t="s">
        <v>267</v>
      </c>
      <c r="J6" s="41">
        <v>36721.0</v>
      </c>
    </row>
    <row r="7" ht="60.0" customHeight="1">
      <c r="A7" s="39">
        <v>4.0</v>
      </c>
      <c r="B7" s="40" t="s">
        <v>50</v>
      </c>
      <c r="C7" s="40" t="s">
        <v>51</v>
      </c>
      <c r="D7" s="40" t="s">
        <v>52</v>
      </c>
      <c r="E7" s="40" t="s">
        <v>53</v>
      </c>
      <c r="F7" s="39" t="str">
        <f t="shared" si="1"/>
        <v>CORRECT</v>
      </c>
      <c r="G7" s="39" t="s">
        <v>37</v>
      </c>
      <c r="H7" s="41" t="s">
        <v>37</v>
      </c>
      <c r="I7" s="42" t="s">
        <v>268</v>
      </c>
      <c r="J7" s="41">
        <v>37318.0</v>
      </c>
    </row>
    <row r="8" ht="60.0" customHeight="1">
      <c r="A8" s="39">
        <v>5.0</v>
      </c>
      <c r="B8" s="40" t="s">
        <v>55</v>
      </c>
      <c r="C8" s="40" t="s">
        <v>56</v>
      </c>
      <c r="D8" s="40" t="s">
        <v>57</v>
      </c>
      <c r="E8" s="40" t="s">
        <v>58</v>
      </c>
      <c r="F8" s="39" t="str">
        <f t="shared" si="1"/>
        <v>CORRECT</v>
      </c>
      <c r="G8" s="39" t="s">
        <v>48</v>
      </c>
      <c r="H8" s="43" t="s">
        <v>48</v>
      </c>
      <c r="I8" s="42" t="s">
        <v>59</v>
      </c>
      <c r="J8" s="41">
        <v>82590.0</v>
      </c>
    </row>
    <row r="9" ht="60.0" customHeight="1">
      <c r="A9" s="39">
        <v>6.0</v>
      </c>
      <c r="B9" s="40" t="s">
        <v>60</v>
      </c>
      <c r="C9" s="40" t="s">
        <v>61</v>
      </c>
      <c r="D9" s="40" t="s">
        <v>62</v>
      </c>
      <c r="E9" s="40" t="s">
        <v>63</v>
      </c>
      <c r="F9" s="39" t="str">
        <f t="shared" si="1"/>
        <v>CORRECT</v>
      </c>
      <c r="G9" s="39" t="s">
        <v>37</v>
      </c>
      <c r="H9" s="41" t="s">
        <v>37</v>
      </c>
      <c r="I9" s="42" t="s">
        <v>64</v>
      </c>
      <c r="J9" s="41">
        <v>22624.0</v>
      </c>
    </row>
    <row r="10" ht="60.0" customHeight="1">
      <c r="A10" s="39">
        <v>7.0</v>
      </c>
      <c r="B10" s="40" t="s">
        <v>65</v>
      </c>
      <c r="C10" s="40" t="s">
        <v>66</v>
      </c>
      <c r="D10" s="40" t="s">
        <v>67</v>
      </c>
      <c r="E10" s="40" t="s">
        <v>68</v>
      </c>
      <c r="F10" s="39" t="str">
        <f t="shared" si="1"/>
        <v>WRONG</v>
      </c>
      <c r="G10" s="39" t="s">
        <v>37</v>
      </c>
      <c r="H10" s="41" t="s">
        <v>36</v>
      </c>
      <c r="I10" s="42" t="s">
        <v>269</v>
      </c>
      <c r="J10" s="41">
        <v>28710.0</v>
      </c>
    </row>
    <row r="11" ht="60.0" customHeight="1">
      <c r="A11" s="39">
        <v>8.0</v>
      </c>
      <c r="B11" s="40" t="s">
        <v>70</v>
      </c>
      <c r="C11" s="40" t="s">
        <v>71</v>
      </c>
      <c r="D11" s="40" t="s">
        <v>72</v>
      </c>
      <c r="E11" s="40" t="s">
        <v>73</v>
      </c>
      <c r="F11" s="39" t="str">
        <f t="shared" si="1"/>
        <v>CORRECT</v>
      </c>
      <c r="G11" s="39" t="s">
        <v>48</v>
      </c>
      <c r="H11" s="41" t="s">
        <v>48</v>
      </c>
      <c r="I11" s="42" t="s">
        <v>74</v>
      </c>
      <c r="J11" s="41">
        <v>34831.0</v>
      </c>
    </row>
    <row r="12" ht="60.0" customHeight="1">
      <c r="A12" s="39">
        <v>9.0</v>
      </c>
      <c r="B12" s="40" t="s">
        <v>75</v>
      </c>
      <c r="C12" s="40" t="s">
        <v>76</v>
      </c>
      <c r="D12" s="40" t="s">
        <v>77</v>
      </c>
      <c r="E12" s="40" t="s">
        <v>78</v>
      </c>
      <c r="F12" s="39" t="str">
        <f t="shared" si="1"/>
        <v>WRONG</v>
      </c>
      <c r="G12" s="39" t="s">
        <v>37</v>
      </c>
      <c r="H12" s="41" t="s">
        <v>48</v>
      </c>
      <c r="I12" s="42" t="s">
        <v>270</v>
      </c>
      <c r="J12" s="41">
        <v>38146.0</v>
      </c>
    </row>
    <row r="13" ht="60.0" customHeight="1">
      <c r="A13" s="39">
        <v>10.0</v>
      </c>
      <c r="B13" s="40" t="s">
        <v>80</v>
      </c>
      <c r="C13" s="40" t="s">
        <v>81</v>
      </c>
      <c r="D13" s="40" t="s">
        <v>82</v>
      </c>
      <c r="E13" s="40" t="s">
        <v>83</v>
      </c>
      <c r="F13" s="39" t="str">
        <f t="shared" si="1"/>
        <v>CORRECT</v>
      </c>
      <c r="G13" s="39" t="s">
        <v>48</v>
      </c>
      <c r="H13" s="43" t="s">
        <v>48</v>
      </c>
      <c r="I13" s="42" t="s">
        <v>271</v>
      </c>
      <c r="J13" s="41">
        <v>35183.0</v>
      </c>
    </row>
    <row r="14" ht="60.0" customHeight="1">
      <c r="A14" s="39">
        <v>11.0</v>
      </c>
      <c r="B14" s="40" t="s">
        <v>85</v>
      </c>
      <c r="C14" s="40" t="s">
        <v>86</v>
      </c>
      <c r="D14" s="40" t="s">
        <v>87</v>
      </c>
      <c r="E14" s="40" t="s">
        <v>88</v>
      </c>
      <c r="F14" s="39" t="str">
        <f t="shared" si="1"/>
        <v>WRONG</v>
      </c>
      <c r="G14" s="39" t="s">
        <v>37</v>
      </c>
      <c r="H14" s="41" t="s">
        <v>48</v>
      </c>
      <c r="I14" s="42" t="s">
        <v>272</v>
      </c>
      <c r="J14" s="41">
        <v>59680.0</v>
      </c>
    </row>
    <row r="15" ht="60.0" customHeight="1">
      <c r="A15" s="39">
        <v>12.0</v>
      </c>
      <c r="B15" s="40" t="s">
        <v>90</v>
      </c>
      <c r="C15" s="40" t="s">
        <v>91</v>
      </c>
      <c r="D15" s="40" t="s">
        <v>92</v>
      </c>
      <c r="E15" s="40" t="s">
        <v>93</v>
      </c>
      <c r="F15" s="39" t="str">
        <f t="shared" si="1"/>
        <v>WRONG</v>
      </c>
      <c r="G15" s="39" t="s">
        <v>48</v>
      </c>
      <c r="H15" s="41" t="s">
        <v>36</v>
      </c>
      <c r="I15" s="42" t="s">
        <v>273</v>
      </c>
      <c r="J15" s="41">
        <v>42488.0</v>
      </c>
    </row>
    <row r="16" ht="60.0" customHeight="1">
      <c r="A16" s="39">
        <v>13.0</v>
      </c>
      <c r="B16" s="40" t="s">
        <v>95</v>
      </c>
      <c r="C16" s="40" t="s">
        <v>96</v>
      </c>
      <c r="D16" s="40" t="s">
        <v>97</v>
      </c>
      <c r="E16" s="40" t="s">
        <v>98</v>
      </c>
      <c r="F16" s="39" t="str">
        <f t="shared" si="1"/>
        <v>CORRECT</v>
      </c>
      <c r="G16" s="39" t="s">
        <v>36</v>
      </c>
      <c r="H16" s="41" t="s">
        <v>36</v>
      </c>
      <c r="I16" s="42" t="s">
        <v>99</v>
      </c>
      <c r="J16" s="41">
        <v>24057.0</v>
      </c>
    </row>
    <row r="17" ht="60.0" customHeight="1">
      <c r="A17" s="39">
        <v>14.0</v>
      </c>
      <c r="B17" s="40" t="s">
        <v>100</v>
      </c>
      <c r="C17" s="40" t="s">
        <v>101</v>
      </c>
      <c r="D17" s="40" t="s">
        <v>102</v>
      </c>
      <c r="E17" s="40" t="s">
        <v>103</v>
      </c>
      <c r="F17" s="39" t="str">
        <f t="shared" si="1"/>
        <v>WRONG</v>
      </c>
      <c r="G17" s="39" t="s">
        <v>36</v>
      </c>
      <c r="H17" s="43" t="s">
        <v>48</v>
      </c>
      <c r="I17" s="42" t="s">
        <v>104</v>
      </c>
      <c r="J17" s="41">
        <v>41887.0</v>
      </c>
    </row>
    <row r="18" ht="60.0" customHeight="1">
      <c r="A18" s="39">
        <v>15.0</v>
      </c>
      <c r="B18" s="40" t="s">
        <v>105</v>
      </c>
      <c r="C18" s="40" t="s">
        <v>106</v>
      </c>
      <c r="D18" s="40" t="s">
        <v>107</v>
      </c>
      <c r="E18" s="40" t="s">
        <v>108</v>
      </c>
      <c r="F18" s="39" t="str">
        <f t="shared" si="1"/>
        <v>CORRECT</v>
      </c>
      <c r="G18" s="39" t="s">
        <v>48</v>
      </c>
      <c r="H18" s="41" t="s">
        <v>48</v>
      </c>
      <c r="I18" s="42" t="s">
        <v>275</v>
      </c>
      <c r="J18" s="41">
        <v>40010.0</v>
      </c>
    </row>
    <row r="19" ht="60.0" customHeight="1">
      <c r="A19" s="39">
        <v>16.0</v>
      </c>
      <c r="B19" s="40" t="s">
        <v>110</v>
      </c>
      <c r="C19" s="40" t="s">
        <v>111</v>
      </c>
      <c r="D19" s="40" t="s">
        <v>112</v>
      </c>
      <c r="E19" s="40" t="s">
        <v>113</v>
      </c>
      <c r="F19" s="39" t="str">
        <f t="shared" si="1"/>
        <v>CORRECT</v>
      </c>
      <c r="G19" s="39" t="s">
        <v>48</v>
      </c>
      <c r="H19" s="41" t="s">
        <v>48</v>
      </c>
      <c r="I19" s="42" t="s">
        <v>276</v>
      </c>
      <c r="J19" s="41">
        <v>31644.0</v>
      </c>
    </row>
    <row r="20" ht="60.0" customHeight="1">
      <c r="A20" s="39">
        <v>17.0</v>
      </c>
      <c r="B20" s="40" t="s">
        <v>115</v>
      </c>
      <c r="C20" s="40" t="s">
        <v>116</v>
      </c>
      <c r="D20" s="40" t="s">
        <v>117</v>
      </c>
      <c r="E20" s="40" t="s">
        <v>118</v>
      </c>
      <c r="F20" s="39" t="str">
        <f t="shared" si="1"/>
        <v>WRONG</v>
      </c>
      <c r="G20" s="39" t="s">
        <v>37</v>
      </c>
      <c r="H20" s="43" t="s">
        <v>36</v>
      </c>
      <c r="I20" s="42" t="s">
        <v>277</v>
      </c>
      <c r="J20" s="41">
        <v>30213.0</v>
      </c>
    </row>
    <row r="21" ht="60.0" customHeight="1">
      <c r="A21" s="39">
        <v>18.0</v>
      </c>
      <c r="B21" s="40" t="s">
        <v>120</v>
      </c>
      <c r="C21" s="40" t="s">
        <v>121</v>
      </c>
      <c r="D21" s="40" t="s">
        <v>122</v>
      </c>
      <c r="E21" s="40" t="s">
        <v>123</v>
      </c>
      <c r="F21" s="39" t="str">
        <f t="shared" si="1"/>
        <v>CORRECT</v>
      </c>
      <c r="G21" s="39" t="s">
        <v>37</v>
      </c>
      <c r="H21" s="41" t="s">
        <v>37</v>
      </c>
      <c r="I21" s="42" t="s">
        <v>124</v>
      </c>
      <c r="J21" s="41">
        <v>32981.0</v>
      </c>
    </row>
    <row r="22" ht="60.0" customHeight="1">
      <c r="A22" s="39">
        <v>19.0</v>
      </c>
      <c r="B22" s="40" t="s">
        <v>125</v>
      </c>
      <c r="C22" s="40" t="s">
        <v>126</v>
      </c>
      <c r="D22" s="40" t="s">
        <v>127</v>
      </c>
      <c r="E22" s="40" t="s">
        <v>128</v>
      </c>
      <c r="F22" s="39" t="str">
        <f t="shared" si="1"/>
        <v>WRONG</v>
      </c>
      <c r="G22" s="39" t="s">
        <v>36</v>
      </c>
      <c r="H22" s="43" t="s">
        <v>48</v>
      </c>
      <c r="I22" s="42" t="s">
        <v>129</v>
      </c>
      <c r="J22" s="41">
        <v>35825.0</v>
      </c>
    </row>
    <row r="23" ht="60.0" customHeight="1">
      <c r="A23" s="39">
        <v>20.0</v>
      </c>
      <c r="B23" s="40" t="s">
        <v>130</v>
      </c>
      <c r="C23" s="40" t="s">
        <v>131</v>
      </c>
      <c r="D23" s="40" t="s">
        <v>132</v>
      </c>
      <c r="E23" s="40" t="s">
        <v>133</v>
      </c>
      <c r="F23" s="39" t="str">
        <f t="shared" si="1"/>
        <v>WRONG</v>
      </c>
      <c r="G23" s="39" t="s">
        <v>37</v>
      </c>
      <c r="H23" s="41" t="s">
        <v>48</v>
      </c>
      <c r="I23" s="42" t="s">
        <v>278</v>
      </c>
      <c r="J23" s="41">
        <v>38516.0</v>
      </c>
    </row>
    <row r="24" ht="60.0" customHeight="1">
      <c r="A24" s="39">
        <v>21.0</v>
      </c>
      <c r="B24" s="40" t="s">
        <v>135</v>
      </c>
      <c r="C24" s="40" t="s">
        <v>136</v>
      </c>
      <c r="D24" s="40" t="s">
        <v>137</v>
      </c>
      <c r="E24" s="40" t="s">
        <v>138</v>
      </c>
      <c r="F24" s="39" t="str">
        <f t="shared" si="1"/>
        <v>WRONG</v>
      </c>
      <c r="G24" s="39" t="s">
        <v>37</v>
      </c>
      <c r="H24" s="41" t="s">
        <v>36</v>
      </c>
      <c r="I24" s="42" t="s">
        <v>139</v>
      </c>
      <c r="J24" s="41">
        <v>23776.0</v>
      </c>
    </row>
    <row r="25" ht="60.0" customHeight="1">
      <c r="A25" s="39">
        <v>22.0</v>
      </c>
      <c r="B25" s="40" t="s">
        <v>140</v>
      </c>
      <c r="C25" s="40" t="s">
        <v>141</v>
      </c>
      <c r="D25" s="40" t="s">
        <v>142</v>
      </c>
      <c r="E25" s="40" t="s">
        <v>143</v>
      </c>
      <c r="F25" s="39" t="str">
        <f t="shared" si="1"/>
        <v>CORRECT</v>
      </c>
      <c r="G25" s="39" t="s">
        <v>37</v>
      </c>
      <c r="H25" s="41" t="s">
        <v>37</v>
      </c>
      <c r="I25" s="42" t="s">
        <v>279</v>
      </c>
      <c r="J25" s="41">
        <v>37532.0</v>
      </c>
    </row>
    <row r="26" ht="60.0" customHeight="1">
      <c r="A26" s="39">
        <v>23.0</v>
      </c>
      <c r="B26" s="40" t="s">
        <v>145</v>
      </c>
      <c r="C26" s="40" t="s">
        <v>146</v>
      </c>
      <c r="D26" s="40" t="s">
        <v>147</v>
      </c>
      <c r="E26" s="40" t="s">
        <v>148</v>
      </c>
      <c r="F26" s="39" t="str">
        <f t="shared" si="1"/>
        <v>CORRECT</v>
      </c>
      <c r="G26" s="39" t="s">
        <v>48</v>
      </c>
      <c r="H26" s="43" t="s">
        <v>48</v>
      </c>
      <c r="I26" s="42" t="s">
        <v>149</v>
      </c>
      <c r="J26" s="41">
        <v>29485.0</v>
      </c>
    </row>
    <row r="27" ht="60.0" customHeight="1">
      <c r="A27" s="39">
        <v>24.0</v>
      </c>
      <c r="B27" s="40" t="s">
        <v>150</v>
      </c>
      <c r="C27" s="40" t="s">
        <v>151</v>
      </c>
      <c r="D27" s="40" t="s">
        <v>152</v>
      </c>
      <c r="E27" s="40" t="s">
        <v>153</v>
      </c>
      <c r="F27" s="39" t="str">
        <f t="shared" si="1"/>
        <v>WRONG</v>
      </c>
      <c r="G27" s="39" t="s">
        <v>36</v>
      </c>
      <c r="H27" s="41" t="s">
        <v>48</v>
      </c>
      <c r="I27" s="42" t="s">
        <v>280</v>
      </c>
      <c r="J27" s="41">
        <v>27722.0</v>
      </c>
    </row>
    <row r="28" ht="60.0" customHeight="1">
      <c r="A28" s="39">
        <v>25.0</v>
      </c>
      <c r="B28" s="40" t="s">
        <v>155</v>
      </c>
      <c r="C28" s="40" t="s">
        <v>151</v>
      </c>
      <c r="D28" s="40" t="s">
        <v>156</v>
      </c>
      <c r="E28" s="40" t="s">
        <v>153</v>
      </c>
      <c r="F28" s="39" t="str">
        <f t="shared" si="1"/>
        <v>WRONG</v>
      </c>
      <c r="G28" s="39" t="s">
        <v>48</v>
      </c>
      <c r="H28" s="43" t="s">
        <v>36</v>
      </c>
      <c r="I28" s="42" t="s">
        <v>157</v>
      </c>
      <c r="J28" s="41">
        <v>30157.0</v>
      </c>
    </row>
    <row r="29" ht="60.0" customHeight="1">
      <c r="A29" s="39">
        <v>26.0</v>
      </c>
      <c r="B29" s="40" t="s">
        <v>158</v>
      </c>
      <c r="C29" s="40" t="s">
        <v>159</v>
      </c>
      <c r="D29" s="40" t="s">
        <v>160</v>
      </c>
      <c r="E29" s="40" t="s">
        <v>161</v>
      </c>
      <c r="F29" s="39" t="str">
        <f t="shared" si="1"/>
        <v>WRONG</v>
      </c>
      <c r="G29" s="39" t="s">
        <v>36</v>
      </c>
      <c r="H29" s="43" t="s">
        <v>48</v>
      </c>
      <c r="I29" s="42" t="s">
        <v>162</v>
      </c>
      <c r="J29" s="41">
        <v>33973.0</v>
      </c>
    </row>
    <row r="30" ht="60.0" customHeight="1">
      <c r="A30" s="39">
        <v>27.0</v>
      </c>
      <c r="B30" s="40" t="s">
        <v>163</v>
      </c>
      <c r="C30" s="40" t="s">
        <v>164</v>
      </c>
      <c r="D30" s="40" t="s">
        <v>165</v>
      </c>
      <c r="E30" s="40" t="s">
        <v>166</v>
      </c>
      <c r="F30" s="39" t="str">
        <f t="shared" si="1"/>
        <v>CORRECT</v>
      </c>
      <c r="G30" s="39" t="s">
        <v>37</v>
      </c>
      <c r="H30" s="41" t="s">
        <v>37</v>
      </c>
      <c r="I30" s="42" t="s">
        <v>167</v>
      </c>
      <c r="J30" s="41">
        <v>44069.0</v>
      </c>
    </row>
    <row r="31" ht="60.0" customHeight="1">
      <c r="A31" s="39">
        <v>28.0</v>
      </c>
      <c r="B31" s="40" t="s">
        <v>168</v>
      </c>
      <c r="C31" s="40" t="s">
        <v>169</v>
      </c>
      <c r="D31" s="40" t="s">
        <v>170</v>
      </c>
      <c r="E31" s="40" t="s">
        <v>171</v>
      </c>
      <c r="F31" s="39" t="str">
        <f t="shared" si="1"/>
        <v>CORRECT</v>
      </c>
      <c r="G31" s="39" t="s">
        <v>36</v>
      </c>
      <c r="H31" s="43" t="s">
        <v>36</v>
      </c>
      <c r="I31" s="42" t="s">
        <v>281</v>
      </c>
      <c r="J31" s="41">
        <v>34140.0</v>
      </c>
    </row>
    <row r="32" ht="60.0" customHeight="1">
      <c r="A32" s="39">
        <v>29.0</v>
      </c>
      <c r="B32" s="40" t="s">
        <v>173</v>
      </c>
      <c r="C32" s="40" t="s">
        <v>174</v>
      </c>
      <c r="D32" s="40" t="s">
        <v>175</v>
      </c>
      <c r="E32" s="40" t="s">
        <v>176</v>
      </c>
      <c r="F32" s="39" t="str">
        <f t="shared" si="1"/>
        <v>CORRECT</v>
      </c>
      <c r="G32" s="39" t="s">
        <v>37</v>
      </c>
      <c r="H32" s="41" t="s">
        <v>37</v>
      </c>
      <c r="I32" s="42" t="s">
        <v>177</v>
      </c>
      <c r="J32" s="41">
        <v>26672.0</v>
      </c>
    </row>
    <row r="33" ht="60.0" customHeight="1">
      <c r="A33" s="39">
        <v>30.0</v>
      </c>
      <c r="B33" s="40" t="s">
        <v>178</v>
      </c>
      <c r="C33" s="40" t="s">
        <v>179</v>
      </c>
      <c r="D33" s="40" t="s">
        <v>180</v>
      </c>
      <c r="E33" s="40" t="s">
        <v>181</v>
      </c>
      <c r="F33" s="39" t="str">
        <f t="shared" si="1"/>
        <v>WRONG</v>
      </c>
      <c r="G33" s="39" t="s">
        <v>48</v>
      </c>
      <c r="H33" s="41" t="s">
        <v>36</v>
      </c>
      <c r="I33" s="42" t="s">
        <v>282</v>
      </c>
      <c r="J33" s="41">
        <v>29846.0</v>
      </c>
    </row>
    <row r="34" ht="60.0" customHeight="1">
      <c r="A34" s="39">
        <v>31.0</v>
      </c>
      <c r="B34" s="40" t="s">
        <v>183</v>
      </c>
      <c r="C34" s="40" t="s">
        <v>184</v>
      </c>
      <c r="D34" s="40" t="s">
        <v>185</v>
      </c>
      <c r="E34" s="40" t="s">
        <v>186</v>
      </c>
      <c r="F34" s="39" t="str">
        <f t="shared" si="1"/>
        <v>WRONG</v>
      </c>
      <c r="G34" s="39" t="s">
        <v>37</v>
      </c>
      <c r="H34" s="41" t="s">
        <v>36</v>
      </c>
      <c r="I34" s="42" t="s">
        <v>187</v>
      </c>
      <c r="J34" s="41">
        <v>37674.0</v>
      </c>
    </row>
    <row r="35" ht="60.0" customHeight="1">
      <c r="A35" s="39">
        <v>32.0</v>
      </c>
      <c r="B35" s="40" t="s">
        <v>188</v>
      </c>
      <c r="C35" s="40" t="s">
        <v>189</v>
      </c>
      <c r="D35" s="40" t="s">
        <v>190</v>
      </c>
      <c r="E35" s="40" t="s">
        <v>191</v>
      </c>
      <c r="F35" s="39" t="str">
        <f t="shared" si="1"/>
        <v>CORRECT</v>
      </c>
      <c r="G35" s="39" t="s">
        <v>36</v>
      </c>
      <c r="H35" s="43" t="s">
        <v>36</v>
      </c>
      <c r="I35" s="42" t="s">
        <v>192</v>
      </c>
      <c r="J35" s="41">
        <v>41215.0</v>
      </c>
    </row>
    <row r="36" ht="60.0" customHeight="1">
      <c r="A36" s="39">
        <v>33.0</v>
      </c>
      <c r="B36" s="40" t="s">
        <v>193</v>
      </c>
      <c r="C36" s="40" t="s">
        <v>194</v>
      </c>
      <c r="D36" s="40" t="s">
        <v>195</v>
      </c>
      <c r="E36" s="40" t="s">
        <v>196</v>
      </c>
      <c r="F36" s="39" t="str">
        <f t="shared" si="1"/>
        <v>CORRECT</v>
      </c>
      <c r="G36" s="39" t="s">
        <v>48</v>
      </c>
      <c r="H36" s="43" t="s">
        <v>48</v>
      </c>
      <c r="I36" s="42" t="s">
        <v>197</v>
      </c>
      <c r="J36" s="41">
        <v>49828.0</v>
      </c>
    </row>
    <row r="37" ht="60.0" customHeight="1">
      <c r="A37" s="39">
        <v>34.0</v>
      </c>
      <c r="B37" s="40" t="s">
        <v>198</v>
      </c>
      <c r="C37" s="40" t="s">
        <v>199</v>
      </c>
      <c r="D37" s="40" t="s">
        <v>200</v>
      </c>
      <c r="E37" s="40" t="s">
        <v>201</v>
      </c>
      <c r="F37" s="39" t="str">
        <f t="shared" si="1"/>
        <v>CORRECT</v>
      </c>
      <c r="G37" s="39" t="s">
        <v>36</v>
      </c>
      <c r="H37" s="41" t="s">
        <v>36</v>
      </c>
      <c r="I37" s="42" t="s">
        <v>202</v>
      </c>
      <c r="J37" s="41">
        <v>33248.0</v>
      </c>
    </row>
    <row r="38" ht="60.0" customHeight="1">
      <c r="A38" s="39">
        <v>35.0</v>
      </c>
      <c r="B38" s="40" t="s">
        <v>203</v>
      </c>
      <c r="C38" s="40" t="s">
        <v>204</v>
      </c>
      <c r="D38" s="40" t="s">
        <v>205</v>
      </c>
      <c r="E38" s="40" t="s">
        <v>206</v>
      </c>
      <c r="F38" s="39" t="str">
        <f t="shared" si="1"/>
        <v>CORRECT</v>
      </c>
      <c r="G38" s="39" t="s">
        <v>48</v>
      </c>
      <c r="H38" s="41" t="s">
        <v>48</v>
      </c>
      <c r="I38" s="42" t="s">
        <v>207</v>
      </c>
      <c r="J38" s="41">
        <v>51885.0</v>
      </c>
    </row>
    <row r="39" ht="60.0" customHeight="1">
      <c r="A39" s="39">
        <v>36.0</v>
      </c>
      <c r="B39" s="40" t="s">
        <v>208</v>
      </c>
      <c r="C39" s="40" t="s">
        <v>209</v>
      </c>
      <c r="D39" s="40" t="s">
        <v>210</v>
      </c>
      <c r="E39" s="40" t="s">
        <v>211</v>
      </c>
      <c r="F39" s="39" t="str">
        <f t="shared" si="1"/>
        <v>CORRECT</v>
      </c>
      <c r="G39" s="39" t="s">
        <v>36</v>
      </c>
      <c r="H39" s="41" t="s">
        <v>36</v>
      </c>
      <c r="I39" s="42" t="s">
        <v>212</v>
      </c>
      <c r="J39" s="41">
        <v>22290.0</v>
      </c>
    </row>
    <row r="40" ht="60.0" customHeight="1">
      <c r="A40" s="39">
        <v>37.0</v>
      </c>
      <c r="B40" s="40" t="s">
        <v>213</v>
      </c>
      <c r="C40" s="40" t="s">
        <v>214</v>
      </c>
      <c r="D40" s="40" t="s">
        <v>215</v>
      </c>
      <c r="E40" s="40" t="s">
        <v>216</v>
      </c>
      <c r="F40" s="39" t="str">
        <f t="shared" si="1"/>
        <v>WRONG</v>
      </c>
      <c r="G40" s="39" t="s">
        <v>36</v>
      </c>
      <c r="H40" s="41" t="s">
        <v>37</v>
      </c>
      <c r="I40" s="42" t="s">
        <v>217</v>
      </c>
      <c r="J40" s="41">
        <v>26303.0</v>
      </c>
    </row>
    <row r="41" ht="60.0" customHeight="1">
      <c r="A41" s="39">
        <v>38.0</v>
      </c>
      <c r="B41" s="40" t="s">
        <v>218</v>
      </c>
      <c r="C41" s="40" t="s">
        <v>219</v>
      </c>
      <c r="D41" s="40" t="s">
        <v>220</v>
      </c>
      <c r="E41" s="40" t="s">
        <v>221</v>
      </c>
      <c r="F41" s="39" t="str">
        <f t="shared" si="1"/>
        <v>CORRECT</v>
      </c>
      <c r="G41" s="39" t="s">
        <v>36</v>
      </c>
      <c r="H41" s="41" t="s">
        <v>36</v>
      </c>
      <c r="I41" s="42" t="s">
        <v>222</v>
      </c>
      <c r="J41" s="41">
        <v>42880.0</v>
      </c>
    </row>
    <row r="42" ht="60.0" customHeight="1">
      <c r="A42" s="39">
        <v>39.0</v>
      </c>
      <c r="B42" s="40" t="s">
        <v>223</v>
      </c>
      <c r="C42" s="40" t="s">
        <v>224</v>
      </c>
      <c r="D42" s="40" t="s">
        <v>225</v>
      </c>
      <c r="E42" s="40" t="s">
        <v>226</v>
      </c>
      <c r="F42" s="39" t="str">
        <f t="shared" si="1"/>
        <v>CORRECT</v>
      </c>
      <c r="G42" s="39" t="s">
        <v>37</v>
      </c>
      <c r="H42" s="41" t="s">
        <v>37</v>
      </c>
      <c r="I42" s="42" t="s">
        <v>227</v>
      </c>
      <c r="J42" s="41">
        <v>33820.0</v>
      </c>
    </row>
    <row r="43" ht="60.0" customHeight="1">
      <c r="A43" s="39">
        <v>40.0</v>
      </c>
      <c r="B43" s="40" t="s">
        <v>228</v>
      </c>
      <c r="C43" s="40" t="s">
        <v>229</v>
      </c>
      <c r="D43" s="40" t="s">
        <v>230</v>
      </c>
      <c r="E43" s="40" t="s">
        <v>231</v>
      </c>
      <c r="F43" s="39" t="str">
        <f t="shared" si="1"/>
        <v>WRONG</v>
      </c>
      <c r="G43" s="39" t="s">
        <v>48</v>
      </c>
      <c r="H43" s="43" t="s">
        <v>37</v>
      </c>
      <c r="I43" s="42" t="s">
        <v>232</v>
      </c>
      <c r="J43" s="41">
        <v>45239.0</v>
      </c>
    </row>
    <row r="44" ht="60.0" customHeight="1">
      <c r="A44" s="39">
        <v>41.0</v>
      </c>
      <c r="B44" s="40" t="s">
        <v>233</v>
      </c>
      <c r="C44" s="40" t="s">
        <v>234</v>
      </c>
      <c r="D44" s="40" t="s">
        <v>235</v>
      </c>
      <c r="E44" s="40" t="s">
        <v>236</v>
      </c>
      <c r="F44" s="39" t="str">
        <f t="shared" si="1"/>
        <v>WRONG</v>
      </c>
      <c r="G44" s="39" t="s">
        <v>37</v>
      </c>
      <c r="H44" s="41" t="s">
        <v>36</v>
      </c>
      <c r="I44" s="42" t="s">
        <v>237</v>
      </c>
      <c r="J44" s="41">
        <v>22342.0</v>
      </c>
    </row>
    <row r="45" ht="60.0" customHeight="1">
      <c r="A45" s="39">
        <v>42.0</v>
      </c>
      <c r="B45" s="40" t="s">
        <v>238</v>
      </c>
      <c r="C45" s="40" t="s">
        <v>239</v>
      </c>
      <c r="D45" s="40" t="s">
        <v>240</v>
      </c>
      <c r="E45" s="40" t="s">
        <v>241</v>
      </c>
      <c r="F45" s="39" t="str">
        <f t="shared" si="1"/>
        <v>WRONG</v>
      </c>
      <c r="G45" s="39" t="s">
        <v>36</v>
      </c>
      <c r="H45" s="41" t="s">
        <v>37</v>
      </c>
      <c r="I45" s="42" t="s">
        <v>242</v>
      </c>
      <c r="J45" s="41">
        <v>28557.0</v>
      </c>
    </row>
    <row r="46" ht="60.0" customHeight="1">
      <c r="A46" s="39">
        <v>43.0</v>
      </c>
      <c r="B46" s="40" t="s">
        <v>243</v>
      </c>
      <c r="C46" s="40" t="s">
        <v>244</v>
      </c>
      <c r="D46" s="40" t="s">
        <v>245</v>
      </c>
      <c r="E46" s="40" t="s">
        <v>246</v>
      </c>
      <c r="F46" s="39" t="str">
        <f t="shared" si="1"/>
        <v>WRONG</v>
      </c>
      <c r="G46" s="39" t="s">
        <v>48</v>
      </c>
      <c r="H46" s="41" t="s">
        <v>36</v>
      </c>
      <c r="I46" s="42" t="s">
        <v>247</v>
      </c>
      <c r="J46" s="41">
        <v>21132.0</v>
      </c>
    </row>
    <row r="47" ht="60.0" customHeight="1">
      <c r="A47" s="39">
        <v>44.0</v>
      </c>
      <c r="B47" s="40" t="s">
        <v>248</v>
      </c>
      <c r="C47" s="40" t="s">
        <v>249</v>
      </c>
      <c r="D47" s="40" t="s">
        <v>250</v>
      </c>
      <c r="E47" s="40" t="s">
        <v>251</v>
      </c>
      <c r="F47" s="39" t="str">
        <f t="shared" si="1"/>
        <v>WRONG</v>
      </c>
      <c r="G47" s="39" t="s">
        <v>36</v>
      </c>
      <c r="H47" s="43" t="s">
        <v>48</v>
      </c>
      <c r="I47" s="42" t="s">
        <v>252</v>
      </c>
      <c r="J47" s="41">
        <v>32449.0</v>
      </c>
    </row>
    <row r="48" ht="60.0" customHeight="1">
      <c r="A48" s="39">
        <v>45.0</v>
      </c>
      <c r="B48" s="40" t="s">
        <v>253</v>
      </c>
      <c r="C48" s="40" t="s">
        <v>254</v>
      </c>
      <c r="D48" s="40" t="s">
        <v>255</v>
      </c>
      <c r="E48" s="40" t="s">
        <v>256</v>
      </c>
      <c r="F48" s="39" t="str">
        <f t="shared" si="1"/>
        <v>CORRECT</v>
      </c>
      <c r="G48" s="39" t="s">
        <v>36</v>
      </c>
      <c r="H48" s="41" t="s">
        <v>36</v>
      </c>
      <c r="I48" s="42" t="s">
        <v>257</v>
      </c>
      <c r="J48" s="41">
        <v>33067.0</v>
      </c>
    </row>
    <row r="49" ht="60.0" customHeight="1">
      <c r="A49" s="39">
        <v>46.0</v>
      </c>
      <c r="B49" s="40" t="s">
        <v>258</v>
      </c>
      <c r="C49" s="40" t="s">
        <v>40</v>
      </c>
      <c r="D49" s="40" t="s">
        <v>259</v>
      </c>
      <c r="E49" s="40" t="s">
        <v>260</v>
      </c>
      <c r="F49" s="39" t="str">
        <f t="shared" si="1"/>
        <v>CORRECT</v>
      </c>
      <c r="G49" s="39" t="s">
        <v>36</v>
      </c>
      <c r="H49" s="41" t="s">
        <v>36</v>
      </c>
      <c r="I49" s="42" t="s">
        <v>261</v>
      </c>
      <c r="J49" s="41">
        <v>19910.0</v>
      </c>
    </row>
    <row r="50">
      <c r="A50" s="44" t="s">
        <v>262</v>
      </c>
      <c r="B50" s="2"/>
      <c r="C50" s="2"/>
      <c r="D50" s="2"/>
      <c r="E50" s="3"/>
      <c r="F50" s="45">
        <f>COUNTIFS(F4:F49,"CORRECT")</f>
        <v>25</v>
      </c>
      <c r="G50" s="46"/>
      <c r="H50" s="46"/>
      <c r="J50" s="47">
        <f>AVERAGE(J4:J49)</f>
        <v>34896.23913</v>
      </c>
    </row>
    <row r="51">
      <c r="A51" s="48" t="s">
        <v>263</v>
      </c>
      <c r="B51" s="2"/>
      <c r="C51" s="2"/>
      <c r="D51" s="2"/>
      <c r="E51" s="3"/>
      <c r="F51" s="49">
        <v>46.0</v>
      </c>
      <c r="G51" s="46"/>
      <c r="H51" s="46"/>
    </row>
    <row r="52">
      <c r="A52" s="44" t="s">
        <v>264</v>
      </c>
      <c r="B52" s="2"/>
      <c r="C52" s="2"/>
      <c r="D52" s="2"/>
      <c r="E52" s="3"/>
      <c r="F52" s="50">
        <f>F50/F51</f>
        <v>0.5434782609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319</v>
      </c>
      <c r="C2" s="2"/>
      <c r="D2" s="2"/>
      <c r="E2" s="2"/>
      <c r="F2" s="2"/>
      <c r="G2" s="2"/>
      <c r="H2" s="3"/>
      <c r="I2" s="37" t="s">
        <v>320</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41" t="s">
        <v>37</v>
      </c>
      <c r="I4" s="42" t="s">
        <v>38</v>
      </c>
      <c r="J4" s="41">
        <v>19712.0</v>
      </c>
    </row>
    <row r="5" ht="60.0" customHeight="1">
      <c r="A5" s="39">
        <v>2.0</v>
      </c>
      <c r="B5" s="40" t="s">
        <v>39</v>
      </c>
      <c r="C5" s="40" t="s">
        <v>40</v>
      </c>
      <c r="D5" s="40" t="s">
        <v>41</v>
      </c>
      <c r="E5" s="40" t="s">
        <v>42</v>
      </c>
      <c r="F5" s="39" t="str">
        <f t="shared" si="1"/>
        <v>CORRECT</v>
      </c>
      <c r="G5" s="39" t="s">
        <v>37</v>
      </c>
      <c r="H5" s="41" t="s">
        <v>37</v>
      </c>
      <c r="I5" s="42" t="s">
        <v>321</v>
      </c>
      <c r="J5" s="41">
        <v>34164.0</v>
      </c>
    </row>
    <row r="6" ht="60.0" customHeight="1">
      <c r="A6" s="39">
        <v>3.0</v>
      </c>
      <c r="B6" s="40" t="s">
        <v>44</v>
      </c>
      <c r="C6" s="40" t="s">
        <v>45</v>
      </c>
      <c r="D6" s="40" t="s">
        <v>46</v>
      </c>
      <c r="E6" s="40" t="s">
        <v>47</v>
      </c>
      <c r="F6" s="39" t="str">
        <f t="shared" si="1"/>
        <v>CORRECT</v>
      </c>
      <c r="G6" s="39" t="s">
        <v>48</v>
      </c>
      <c r="H6" s="41" t="s">
        <v>48</v>
      </c>
      <c r="I6" s="42" t="s">
        <v>322</v>
      </c>
      <c r="J6" s="41">
        <v>35066.0</v>
      </c>
    </row>
    <row r="7" ht="60.0" customHeight="1">
      <c r="A7" s="39">
        <v>4.0</v>
      </c>
      <c r="B7" s="40" t="s">
        <v>50</v>
      </c>
      <c r="C7" s="40" t="s">
        <v>51</v>
      </c>
      <c r="D7" s="40" t="s">
        <v>52</v>
      </c>
      <c r="E7" s="40" t="s">
        <v>53</v>
      </c>
      <c r="F7" s="39" t="str">
        <f t="shared" si="1"/>
        <v>CORRECT</v>
      </c>
      <c r="G7" s="39" t="s">
        <v>37</v>
      </c>
      <c r="H7" s="41" t="s">
        <v>37</v>
      </c>
      <c r="I7" s="42" t="s">
        <v>323</v>
      </c>
      <c r="J7" s="41">
        <v>35515.0</v>
      </c>
    </row>
    <row r="8" ht="60.0" customHeight="1">
      <c r="A8" s="39">
        <v>5.0</v>
      </c>
      <c r="B8" s="40" t="s">
        <v>55</v>
      </c>
      <c r="C8" s="40" t="s">
        <v>56</v>
      </c>
      <c r="D8" s="40" t="s">
        <v>57</v>
      </c>
      <c r="E8" s="40" t="s">
        <v>58</v>
      </c>
      <c r="F8" s="39" t="str">
        <f t="shared" si="1"/>
        <v>CORRECT</v>
      </c>
      <c r="G8" s="39" t="s">
        <v>48</v>
      </c>
      <c r="H8" s="43" t="s">
        <v>48</v>
      </c>
      <c r="I8" s="42" t="s">
        <v>324</v>
      </c>
      <c r="J8" s="41">
        <v>90367.0</v>
      </c>
    </row>
    <row r="9" ht="60.0" customHeight="1">
      <c r="A9" s="39">
        <v>6.0</v>
      </c>
      <c r="B9" s="40" t="s">
        <v>60</v>
      </c>
      <c r="C9" s="40" t="s">
        <v>61</v>
      </c>
      <c r="D9" s="40" t="s">
        <v>62</v>
      </c>
      <c r="E9" s="40" t="s">
        <v>63</v>
      </c>
      <c r="F9" s="39" t="str">
        <f t="shared" si="1"/>
        <v>CORRECT</v>
      </c>
      <c r="G9" s="39" t="s">
        <v>37</v>
      </c>
      <c r="H9" s="41" t="s">
        <v>37</v>
      </c>
      <c r="I9" s="42" t="s">
        <v>325</v>
      </c>
      <c r="J9" s="41">
        <v>36808.0</v>
      </c>
    </row>
    <row r="10" ht="60.0" customHeight="1">
      <c r="A10" s="39">
        <v>7.0</v>
      </c>
      <c r="B10" s="40" t="s">
        <v>65</v>
      </c>
      <c r="C10" s="40" t="s">
        <v>66</v>
      </c>
      <c r="D10" s="40" t="s">
        <v>67</v>
      </c>
      <c r="E10" s="40" t="s">
        <v>68</v>
      </c>
      <c r="F10" s="39" t="str">
        <f t="shared" si="1"/>
        <v>WRONG</v>
      </c>
      <c r="G10" s="39" t="s">
        <v>37</v>
      </c>
      <c r="H10" s="41" t="s">
        <v>36</v>
      </c>
      <c r="I10" s="42" t="s">
        <v>326</v>
      </c>
      <c r="J10" s="41">
        <v>29550.0</v>
      </c>
    </row>
    <row r="11" ht="60.0" customHeight="1">
      <c r="A11" s="39">
        <v>8.0</v>
      </c>
      <c r="B11" s="40" t="s">
        <v>70</v>
      </c>
      <c r="C11" s="40" t="s">
        <v>71</v>
      </c>
      <c r="D11" s="40" t="s">
        <v>72</v>
      </c>
      <c r="E11" s="40" t="s">
        <v>73</v>
      </c>
      <c r="F11" s="39" t="str">
        <f t="shared" si="1"/>
        <v>CORRECT</v>
      </c>
      <c r="G11" s="39" t="s">
        <v>48</v>
      </c>
      <c r="H11" s="41" t="s">
        <v>48</v>
      </c>
      <c r="I11" s="42" t="s">
        <v>327</v>
      </c>
      <c r="J11" s="41">
        <v>33615.0</v>
      </c>
    </row>
    <row r="12" ht="60.0" customHeight="1">
      <c r="A12" s="39">
        <v>9.0</v>
      </c>
      <c r="B12" s="40" t="s">
        <v>75</v>
      </c>
      <c r="C12" s="40" t="s">
        <v>76</v>
      </c>
      <c r="D12" s="40" t="s">
        <v>77</v>
      </c>
      <c r="E12" s="40" t="s">
        <v>78</v>
      </c>
      <c r="F12" s="39" t="str">
        <f t="shared" si="1"/>
        <v>WRONG</v>
      </c>
      <c r="G12" s="39" t="s">
        <v>37</v>
      </c>
      <c r="H12" s="41" t="s">
        <v>48</v>
      </c>
      <c r="I12" s="42" t="s">
        <v>328</v>
      </c>
      <c r="J12" s="41">
        <v>34943.0</v>
      </c>
    </row>
    <row r="13" ht="60.0" customHeight="1">
      <c r="A13" s="39">
        <v>10.0</v>
      </c>
      <c r="B13" s="40" t="s">
        <v>80</v>
      </c>
      <c r="C13" s="40" t="s">
        <v>81</v>
      </c>
      <c r="D13" s="40" t="s">
        <v>82</v>
      </c>
      <c r="E13" s="40" t="s">
        <v>83</v>
      </c>
      <c r="F13" s="39" t="str">
        <f t="shared" si="1"/>
        <v>CORRECT</v>
      </c>
      <c r="G13" s="39" t="s">
        <v>48</v>
      </c>
      <c r="H13" s="41" t="s">
        <v>48</v>
      </c>
      <c r="I13" s="42" t="s">
        <v>329</v>
      </c>
      <c r="J13" s="41">
        <v>32918.0</v>
      </c>
    </row>
    <row r="14" ht="60.0" customHeight="1">
      <c r="A14" s="39">
        <v>11.0</v>
      </c>
      <c r="B14" s="40" t="s">
        <v>85</v>
      </c>
      <c r="C14" s="40" t="s">
        <v>86</v>
      </c>
      <c r="D14" s="40" t="s">
        <v>87</v>
      </c>
      <c r="E14" s="40" t="s">
        <v>88</v>
      </c>
      <c r="F14" s="39" t="str">
        <f t="shared" si="1"/>
        <v>WRONG</v>
      </c>
      <c r="G14" s="39" t="s">
        <v>37</v>
      </c>
      <c r="H14" s="41" t="s">
        <v>48</v>
      </c>
      <c r="I14" s="42" t="s">
        <v>330</v>
      </c>
      <c r="J14" s="41">
        <v>44908.0</v>
      </c>
    </row>
    <row r="15" ht="60.0" customHeight="1">
      <c r="A15" s="39">
        <v>12.0</v>
      </c>
      <c r="B15" s="40" t="s">
        <v>90</v>
      </c>
      <c r="C15" s="40" t="s">
        <v>91</v>
      </c>
      <c r="D15" s="40" t="s">
        <v>92</v>
      </c>
      <c r="E15" s="40" t="s">
        <v>93</v>
      </c>
      <c r="F15" s="39" t="str">
        <f t="shared" si="1"/>
        <v>WRONG</v>
      </c>
      <c r="G15" s="39" t="s">
        <v>48</v>
      </c>
      <c r="H15" s="41" t="s">
        <v>36</v>
      </c>
      <c r="I15" s="42" t="s">
        <v>331</v>
      </c>
      <c r="J15" s="41">
        <v>51490.0</v>
      </c>
    </row>
    <row r="16" ht="60.0" customHeight="1">
      <c r="A16" s="39">
        <v>13.0</v>
      </c>
      <c r="B16" s="40" t="s">
        <v>95</v>
      </c>
      <c r="C16" s="40" t="s">
        <v>96</v>
      </c>
      <c r="D16" s="40" t="s">
        <v>97</v>
      </c>
      <c r="E16" s="40" t="s">
        <v>98</v>
      </c>
      <c r="F16" s="39" t="str">
        <f t="shared" si="1"/>
        <v>CORRECT</v>
      </c>
      <c r="G16" s="39" t="s">
        <v>36</v>
      </c>
      <c r="H16" s="41" t="s">
        <v>36</v>
      </c>
      <c r="I16" s="42" t="s">
        <v>332</v>
      </c>
      <c r="J16" s="41">
        <v>23378.0</v>
      </c>
    </row>
    <row r="17" ht="60.0" customHeight="1">
      <c r="A17" s="39">
        <v>14.0</v>
      </c>
      <c r="B17" s="40" t="s">
        <v>100</v>
      </c>
      <c r="C17" s="40" t="s">
        <v>101</v>
      </c>
      <c r="D17" s="40" t="s">
        <v>102</v>
      </c>
      <c r="E17" s="40" t="s">
        <v>103</v>
      </c>
      <c r="F17" s="39" t="str">
        <f t="shared" si="1"/>
        <v>WRONG</v>
      </c>
      <c r="G17" s="39" t="s">
        <v>36</v>
      </c>
      <c r="H17" s="43" t="s">
        <v>48</v>
      </c>
      <c r="I17" s="42" t="s">
        <v>333</v>
      </c>
      <c r="J17" s="41">
        <v>35844.0</v>
      </c>
    </row>
    <row r="18" ht="60.0" customHeight="1">
      <c r="A18" s="39">
        <v>15.0</v>
      </c>
      <c r="B18" s="40" t="s">
        <v>105</v>
      </c>
      <c r="C18" s="40" t="s">
        <v>106</v>
      </c>
      <c r="D18" s="40" t="s">
        <v>107</v>
      </c>
      <c r="E18" s="40" t="s">
        <v>108</v>
      </c>
      <c r="F18" s="39" t="str">
        <f t="shared" si="1"/>
        <v>CORRECT</v>
      </c>
      <c r="G18" s="39" t="s">
        <v>48</v>
      </c>
      <c r="H18" s="41" t="s">
        <v>48</v>
      </c>
      <c r="I18" s="42" t="s">
        <v>334</v>
      </c>
      <c r="J18" s="41">
        <v>38640.0</v>
      </c>
    </row>
    <row r="19" ht="60.0" customHeight="1">
      <c r="A19" s="39">
        <v>16.0</v>
      </c>
      <c r="B19" s="40" t="s">
        <v>110</v>
      </c>
      <c r="C19" s="40" t="s">
        <v>111</v>
      </c>
      <c r="D19" s="40" t="s">
        <v>112</v>
      </c>
      <c r="E19" s="40" t="s">
        <v>113</v>
      </c>
      <c r="F19" s="39" t="str">
        <f t="shared" si="1"/>
        <v>CORRECT</v>
      </c>
      <c r="G19" s="39" t="s">
        <v>48</v>
      </c>
      <c r="H19" s="41" t="s">
        <v>48</v>
      </c>
      <c r="I19" s="42" t="s">
        <v>335</v>
      </c>
      <c r="J19" s="41">
        <v>30687.0</v>
      </c>
    </row>
    <row r="20" ht="60.0" customHeight="1">
      <c r="A20" s="39">
        <v>17.0</v>
      </c>
      <c r="B20" s="40" t="s">
        <v>115</v>
      </c>
      <c r="C20" s="40" t="s">
        <v>116</v>
      </c>
      <c r="D20" s="40" t="s">
        <v>117</v>
      </c>
      <c r="E20" s="40" t="s">
        <v>118</v>
      </c>
      <c r="F20" s="39" t="str">
        <f t="shared" si="1"/>
        <v>WRONG</v>
      </c>
      <c r="G20" s="39" t="s">
        <v>37</v>
      </c>
      <c r="H20" s="43" t="s">
        <v>36</v>
      </c>
      <c r="I20" s="42" t="s">
        <v>336</v>
      </c>
      <c r="J20" s="41">
        <v>31815.0</v>
      </c>
    </row>
    <row r="21" ht="60.0" customHeight="1">
      <c r="A21" s="39">
        <v>18.0</v>
      </c>
      <c r="B21" s="40" t="s">
        <v>120</v>
      </c>
      <c r="C21" s="40" t="s">
        <v>121</v>
      </c>
      <c r="D21" s="40" t="s">
        <v>122</v>
      </c>
      <c r="E21" s="40" t="s">
        <v>123</v>
      </c>
      <c r="F21" s="39" t="str">
        <f t="shared" si="1"/>
        <v>CORRECT</v>
      </c>
      <c r="G21" s="39" t="s">
        <v>37</v>
      </c>
      <c r="H21" s="41" t="s">
        <v>37</v>
      </c>
      <c r="I21" s="42" t="s">
        <v>337</v>
      </c>
      <c r="J21" s="41">
        <v>35802.0</v>
      </c>
    </row>
    <row r="22" ht="60.0" customHeight="1">
      <c r="A22" s="39">
        <v>19.0</v>
      </c>
      <c r="B22" s="40" t="s">
        <v>125</v>
      </c>
      <c r="C22" s="40" t="s">
        <v>126</v>
      </c>
      <c r="D22" s="40" t="s">
        <v>127</v>
      </c>
      <c r="E22" s="40" t="s">
        <v>128</v>
      </c>
      <c r="F22" s="39" t="str">
        <f t="shared" si="1"/>
        <v>WRONG</v>
      </c>
      <c r="G22" s="39" t="s">
        <v>36</v>
      </c>
      <c r="H22" s="43" t="s">
        <v>48</v>
      </c>
      <c r="I22" s="42" t="s">
        <v>338</v>
      </c>
      <c r="J22" s="41">
        <v>31996.0</v>
      </c>
    </row>
    <row r="23" ht="60.0" customHeight="1">
      <c r="A23" s="39">
        <v>20.0</v>
      </c>
      <c r="B23" s="40" t="s">
        <v>130</v>
      </c>
      <c r="C23" s="40" t="s">
        <v>131</v>
      </c>
      <c r="D23" s="40" t="s">
        <v>132</v>
      </c>
      <c r="E23" s="40" t="s">
        <v>133</v>
      </c>
      <c r="F23" s="39" t="str">
        <f t="shared" si="1"/>
        <v>WRONG</v>
      </c>
      <c r="G23" s="39" t="s">
        <v>37</v>
      </c>
      <c r="H23" s="41" t="s">
        <v>48</v>
      </c>
      <c r="I23" s="42" t="s">
        <v>339</v>
      </c>
      <c r="J23" s="41">
        <v>25889.0</v>
      </c>
    </row>
    <row r="24" ht="60.0" customHeight="1">
      <c r="A24" s="39">
        <v>21.0</v>
      </c>
      <c r="B24" s="40" t="s">
        <v>135</v>
      </c>
      <c r="C24" s="40" t="s">
        <v>136</v>
      </c>
      <c r="D24" s="40" t="s">
        <v>137</v>
      </c>
      <c r="E24" s="40" t="s">
        <v>138</v>
      </c>
      <c r="F24" s="39" t="str">
        <f t="shared" si="1"/>
        <v>WRONG</v>
      </c>
      <c r="G24" s="39" t="s">
        <v>37</v>
      </c>
      <c r="H24" s="41" t="s">
        <v>36</v>
      </c>
      <c r="I24" s="42" t="s">
        <v>340</v>
      </c>
      <c r="J24" s="41">
        <v>23197.0</v>
      </c>
    </row>
    <row r="25" ht="60.0" customHeight="1">
      <c r="A25" s="39">
        <v>22.0</v>
      </c>
      <c r="B25" s="40" t="s">
        <v>140</v>
      </c>
      <c r="C25" s="40" t="s">
        <v>141</v>
      </c>
      <c r="D25" s="40" t="s">
        <v>142</v>
      </c>
      <c r="E25" s="40" t="s">
        <v>143</v>
      </c>
      <c r="F25" s="39" t="str">
        <f t="shared" si="1"/>
        <v>CORRECT</v>
      </c>
      <c r="G25" s="39" t="s">
        <v>37</v>
      </c>
      <c r="H25" s="41" t="s">
        <v>37</v>
      </c>
      <c r="I25" s="42" t="s">
        <v>341</v>
      </c>
      <c r="J25" s="41">
        <v>24711.0</v>
      </c>
    </row>
    <row r="26" ht="60.0" customHeight="1">
      <c r="A26" s="39">
        <v>23.0</v>
      </c>
      <c r="B26" s="40" t="s">
        <v>145</v>
      </c>
      <c r="C26" s="40" t="s">
        <v>146</v>
      </c>
      <c r="D26" s="40" t="s">
        <v>147</v>
      </c>
      <c r="E26" s="40" t="s">
        <v>148</v>
      </c>
      <c r="F26" s="39" t="str">
        <f t="shared" si="1"/>
        <v>CORRECT</v>
      </c>
      <c r="G26" s="39" t="s">
        <v>48</v>
      </c>
      <c r="H26" s="41" t="s">
        <v>48</v>
      </c>
      <c r="I26" s="42" t="s">
        <v>342</v>
      </c>
      <c r="J26" s="41">
        <v>34788.0</v>
      </c>
    </row>
    <row r="27" ht="60.0" customHeight="1">
      <c r="A27" s="39">
        <v>24.0</v>
      </c>
      <c r="B27" s="40" t="s">
        <v>150</v>
      </c>
      <c r="C27" s="40" t="s">
        <v>151</v>
      </c>
      <c r="D27" s="40" t="s">
        <v>152</v>
      </c>
      <c r="E27" s="40" t="s">
        <v>153</v>
      </c>
      <c r="F27" s="39" t="str">
        <f t="shared" si="1"/>
        <v>WRONG</v>
      </c>
      <c r="G27" s="39" t="s">
        <v>36</v>
      </c>
      <c r="H27" s="41" t="s">
        <v>48</v>
      </c>
      <c r="I27" s="42" t="s">
        <v>343</v>
      </c>
      <c r="J27" s="41">
        <v>29016.0</v>
      </c>
    </row>
    <row r="28" ht="60.0" customHeight="1">
      <c r="A28" s="39">
        <v>25.0</v>
      </c>
      <c r="B28" s="40" t="s">
        <v>155</v>
      </c>
      <c r="C28" s="40" t="s">
        <v>151</v>
      </c>
      <c r="D28" s="40" t="s">
        <v>156</v>
      </c>
      <c r="E28" s="40" t="s">
        <v>153</v>
      </c>
      <c r="F28" s="39" t="str">
        <f t="shared" si="1"/>
        <v>WRONG</v>
      </c>
      <c r="G28" s="39" t="s">
        <v>48</v>
      </c>
      <c r="H28" s="43" t="s">
        <v>36</v>
      </c>
      <c r="I28" s="42" t="s">
        <v>344</v>
      </c>
      <c r="J28" s="41">
        <v>23540.0</v>
      </c>
    </row>
    <row r="29" ht="60.0" customHeight="1">
      <c r="A29" s="39">
        <v>26.0</v>
      </c>
      <c r="B29" s="40" t="s">
        <v>158</v>
      </c>
      <c r="C29" s="40" t="s">
        <v>159</v>
      </c>
      <c r="D29" s="40" t="s">
        <v>160</v>
      </c>
      <c r="E29" s="40" t="s">
        <v>161</v>
      </c>
      <c r="F29" s="39" t="str">
        <f t="shared" si="1"/>
        <v>WRONG</v>
      </c>
      <c r="G29" s="39" t="s">
        <v>36</v>
      </c>
      <c r="H29" s="43" t="s">
        <v>48</v>
      </c>
      <c r="I29" s="42" t="s">
        <v>345</v>
      </c>
      <c r="J29" s="41">
        <v>36877.0</v>
      </c>
    </row>
    <row r="30" ht="60.0" customHeight="1">
      <c r="A30" s="39">
        <v>27.0</v>
      </c>
      <c r="B30" s="40" t="s">
        <v>163</v>
      </c>
      <c r="C30" s="40" t="s">
        <v>164</v>
      </c>
      <c r="D30" s="40" t="s">
        <v>165</v>
      </c>
      <c r="E30" s="40" t="s">
        <v>166</v>
      </c>
      <c r="F30" s="39" t="str">
        <f t="shared" si="1"/>
        <v>CORRECT</v>
      </c>
      <c r="G30" s="39" t="s">
        <v>37</v>
      </c>
      <c r="H30" s="41" t="s">
        <v>37</v>
      </c>
      <c r="I30" s="42" t="s">
        <v>346</v>
      </c>
      <c r="J30" s="41">
        <v>36199.0</v>
      </c>
    </row>
    <row r="31" ht="60.0" customHeight="1">
      <c r="A31" s="39">
        <v>28.0</v>
      </c>
      <c r="B31" s="40" t="s">
        <v>168</v>
      </c>
      <c r="C31" s="40" t="s">
        <v>169</v>
      </c>
      <c r="D31" s="40" t="s">
        <v>170</v>
      </c>
      <c r="E31" s="40" t="s">
        <v>171</v>
      </c>
      <c r="F31" s="39" t="str">
        <f t="shared" si="1"/>
        <v>CORRECT</v>
      </c>
      <c r="G31" s="39" t="s">
        <v>36</v>
      </c>
      <c r="H31" s="41" t="s">
        <v>36</v>
      </c>
      <c r="I31" s="42" t="s">
        <v>347</v>
      </c>
      <c r="J31" s="41">
        <v>30540.0</v>
      </c>
    </row>
    <row r="32" ht="60.0" customHeight="1">
      <c r="A32" s="39">
        <v>29.0</v>
      </c>
      <c r="B32" s="40" t="s">
        <v>173</v>
      </c>
      <c r="C32" s="40" t="s">
        <v>174</v>
      </c>
      <c r="D32" s="40" t="s">
        <v>175</v>
      </c>
      <c r="E32" s="40" t="s">
        <v>176</v>
      </c>
      <c r="F32" s="39" t="str">
        <f t="shared" si="1"/>
        <v>CORRECT</v>
      </c>
      <c r="G32" s="39" t="s">
        <v>37</v>
      </c>
      <c r="H32" s="41" t="s">
        <v>37</v>
      </c>
      <c r="I32" s="42" t="s">
        <v>348</v>
      </c>
      <c r="J32" s="41">
        <v>27396.0</v>
      </c>
    </row>
    <row r="33" ht="60.0" customHeight="1">
      <c r="A33" s="39">
        <v>30.0</v>
      </c>
      <c r="B33" s="40" t="s">
        <v>178</v>
      </c>
      <c r="C33" s="40" t="s">
        <v>179</v>
      </c>
      <c r="D33" s="40" t="s">
        <v>180</v>
      </c>
      <c r="E33" s="40" t="s">
        <v>181</v>
      </c>
      <c r="F33" s="39" t="str">
        <f t="shared" si="1"/>
        <v>WRONG</v>
      </c>
      <c r="G33" s="39" t="s">
        <v>48</v>
      </c>
      <c r="H33" s="41" t="s">
        <v>36</v>
      </c>
      <c r="I33" s="42" t="s">
        <v>349</v>
      </c>
      <c r="J33" s="41">
        <v>25834.0</v>
      </c>
    </row>
    <row r="34" ht="60.0" customHeight="1">
      <c r="A34" s="39">
        <v>31.0</v>
      </c>
      <c r="B34" s="40" t="s">
        <v>183</v>
      </c>
      <c r="C34" s="40" t="s">
        <v>184</v>
      </c>
      <c r="D34" s="40" t="s">
        <v>185</v>
      </c>
      <c r="E34" s="40" t="s">
        <v>186</v>
      </c>
      <c r="F34" s="39" t="str">
        <f t="shared" si="1"/>
        <v>WRONG</v>
      </c>
      <c r="G34" s="39" t="s">
        <v>37</v>
      </c>
      <c r="H34" s="41" t="s">
        <v>36</v>
      </c>
      <c r="I34" s="42" t="s">
        <v>350</v>
      </c>
      <c r="J34" s="41">
        <v>34177.0</v>
      </c>
    </row>
    <row r="35" ht="60.0" customHeight="1">
      <c r="A35" s="39">
        <v>32.0</v>
      </c>
      <c r="B35" s="40" t="s">
        <v>188</v>
      </c>
      <c r="C35" s="40" t="s">
        <v>189</v>
      </c>
      <c r="D35" s="40" t="s">
        <v>190</v>
      </c>
      <c r="E35" s="40" t="s">
        <v>191</v>
      </c>
      <c r="F35" s="39" t="str">
        <f t="shared" si="1"/>
        <v>CORRECT</v>
      </c>
      <c r="G35" s="39" t="s">
        <v>36</v>
      </c>
      <c r="H35" s="41" t="s">
        <v>36</v>
      </c>
      <c r="I35" s="42" t="s">
        <v>351</v>
      </c>
      <c r="J35" s="41">
        <v>39368.0</v>
      </c>
    </row>
    <row r="36" ht="60.0" customHeight="1">
      <c r="A36" s="39">
        <v>33.0</v>
      </c>
      <c r="B36" s="40" t="s">
        <v>193</v>
      </c>
      <c r="C36" s="40" t="s">
        <v>194</v>
      </c>
      <c r="D36" s="40" t="s">
        <v>195</v>
      </c>
      <c r="E36" s="40" t="s">
        <v>196</v>
      </c>
      <c r="F36" s="39" t="str">
        <f t="shared" si="1"/>
        <v>CORRECT</v>
      </c>
      <c r="G36" s="39" t="s">
        <v>48</v>
      </c>
      <c r="H36" s="43" t="s">
        <v>48</v>
      </c>
      <c r="I36" s="42" t="s">
        <v>352</v>
      </c>
      <c r="J36" s="41">
        <v>51385.0</v>
      </c>
    </row>
    <row r="37" ht="60.0" customHeight="1">
      <c r="A37" s="39">
        <v>34.0</v>
      </c>
      <c r="B37" s="40" t="s">
        <v>198</v>
      </c>
      <c r="C37" s="40" t="s">
        <v>199</v>
      </c>
      <c r="D37" s="40" t="s">
        <v>200</v>
      </c>
      <c r="E37" s="40" t="s">
        <v>201</v>
      </c>
      <c r="F37" s="39" t="str">
        <f t="shared" si="1"/>
        <v>CORRECT</v>
      </c>
      <c r="G37" s="39" t="s">
        <v>36</v>
      </c>
      <c r="H37" s="41" t="s">
        <v>36</v>
      </c>
      <c r="I37" s="42" t="s">
        <v>353</v>
      </c>
      <c r="J37" s="41">
        <v>27306.0</v>
      </c>
    </row>
    <row r="38" ht="60.0" customHeight="1">
      <c r="A38" s="39">
        <v>35.0</v>
      </c>
      <c r="B38" s="40" t="s">
        <v>203</v>
      </c>
      <c r="C38" s="40" t="s">
        <v>204</v>
      </c>
      <c r="D38" s="40" t="s">
        <v>205</v>
      </c>
      <c r="E38" s="40" t="s">
        <v>206</v>
      </c>
      <c r="F38" s="39" t="str">
        <f t="shared" si="1"/>
        <v>CORRECT</v>
      </c>
      <c r="G38" s="39" t="s">
        <v>48</v>
      </c>
      <c r="H38" s="41" t="s">
        <v>48</v>
      </c>
      <c r="I38" s="42" t="s">
        <v>354</v>
      </c>
      <c r="J38" s="41">
        <v>27039.0</v>
      </c>
    </row>
    <row r="39" ht="60.0" customHeight="1">
      <c r="A39" s="39">
        <v>36.0</v>
      </c>
      <c r="B39" s="40" t="s">
        <v>208</v>
      </c>
      <c r="C39" s="40" t="s">
        <v>209</v>
      </c>
      <c r="D39" s="40" t="s">
        <v>210</v>
      </c>
      <c r="E39" s="40" t="s">
        <v>211</v>
      </c>
      <c r="F39" s="39" t="str">
        <f t="shared" si="1"/>
        <v>CORRECT</v>
      </c>
      <c r="G39" s="39" t="s">
        <v>36</v>
      </c>
      <c r="H39" s="41" t="s">
        <v>36</v>
      </c>
      <c r="I39" s="42" t="s">
        <v>355</v>
      </c>
      <c r="J39" s="41">
        <v>25151.0</v>
      </c>
    </row>
    <row r="40" ht="60.0" customHeight="1">
      <c r="A40" s="39">
        <v>37.0</v>
      </c>
      <c r="B40" s="40" t="s">
        <v>213</v>
      </c>
      <c r="C40" s="40" t="s">
        <v>214</v>
      </c>
      <c r="D40" s="40" t="s">
        <v>215</v>
      </c>
      <c r="E40" s="40" t="s">
        <v>216</v>
      </c>
      <c r="F40" s="39" t="str">
        <f t="shared" si="1"/>
        <v>WRONG</v>
      </c>
      <c r="G40" s="39" t="s">
        <v>36</v>
      </c>
      <c r="H40" s="41" t="s">
        <v>37</v>
      </c>
      <c r="I40" s="42" t="s">
        <v>356</v>
      </c>
      <c r="J40" s="41">
        <v>30412.0</v>
      </c>
    </row>
    <row r="41" ht="60.0" customHeight="1">
      <c r="A41" s="39">
        <v>38.0</v>
      </c>
      <c r="B41" s="40" t="s">
        <v>218</v>
      </c>
      <c r="C41" s="40" t="s">
        <v>219</v>
      </c>
      <c r="D41" s="40" t="s">
        <v>220</v>
      </c>
      <c r="E41" s="40" t="s">
        <v>221</v>
      </c>
      <c r="F41" s="39" t="str">
        <f t="shared" si="1"/>
        <v>CORRECT</v>
      </c>
      <c r="G41" s="39" t="s">
        <v>36</v>
      </c>
      <c r="H41" s="41" t="s">
        <v>36</v>
      </c>
      <c r="I41" s="42" t="s">
        <v>357</v>
      </c>
      <c r="J41" s="41">
        <v>42681.0</v>
      </c>
    </row>
    <row r="42" ht="60.0" customHeight="1">
      <c r="A42" s="39">
        <v>39.0</v>
      </c>
      <c r="B42" s="40" t="s">
        <v>223</v>
      </c>
      <c r="C42" s="40" t="s">
        <v>224</v>
      </c>
      <c r="D42" s="40" t="s">
        <v>225</v>
      </c>
      <c r="E42" s="40" t="s">
        <v>226</v>
      </c>
      <c r="F42" s="39" t="str">
        <f t="shared" si="1"/>
        <v>WRONG</v>
      </c>
      <c r="G42" s="39" t="s">
        <v>37</v>
      </c>
      <c r="H42" s="41" t="s">
        <v>48</v>
      </c>
      <c r="I42" s="42" t="s">
        <v>358</v>
      </c>
      <c r="J42" s="41">
        <v>26720.0</v>
      </c>
    </row>
    <row r="43" ht="60.0" customHeight="1">
      <c r="A43" s="39">
        <v>40.0</v>
      </c>
      <c r="B43" s="40" t="s">
        <v>228</v>
      </c>
      <c r="C43" s="40" t="s">
        <v>229</v>
      </c>
      <c r="D43" s="40" t="s">
        <v>230</v>
      </c>
      <c r="E43" s="40" t="s">
        <v>231</v>
      </c>
      <c r="F43" s="39" t="str">
        <f t="shared" si="1"/>
        <v>WRONG</v>
      </c>
      <c r="G43" s="39" t="s">
        <v>48</v>
      </c>
      <c r="H43" s="43" t="s">
        <v>37</v>
      </c>
      <c r="I43" s="42" t="s">
        <v>359</v>
      </c>
      <c r="J43" s="41">
        <v>45707.0</v>
      </c>
    </row>
    <row r="44" ht="60.0" customHeight="1">
      <c r="A44" s="39">
        <v>41.0</v>
      </c>
      <c r="B44" s="40" t="s">
        <v>233</v>
      </c>
      <c r="C44" s="40" t="s">
        <v>234</v>
      </c>
      <c r="D44" s="40" t="s">
        <v>235</v>
      </c>
      <c r="E44" s="40" t="s">
        <v>236</v>
      </c>
      <c r="F44" s="39" t="str">
        <f t="shared" si="1"/>
        <v>WRONG</v>
      </c>
      <c r="G44" s="39" t="s">
        <v>37</v>
      </c>
      <c r="H44" s="41" t="s">
        <v>36</v>
      </c>
      <c r="I44" s="42" t="s">
        <v>360</v>
      </c>
      <c r="J44" s="41">
        <v>32580.0</v>
      </c>
    </row>
    <row r="45" ht="60.0" customHeight="1">
      <c r="A45" s="39">
        <v>42.0</v>
      </c>
      <c r="B45" s="40" t="s">
        <v>238</v>
      </c>
      <c r="C45" s="40" t="s">
        <v>239</v>
      </c>
      <c r="D45" s="40" t="s">
        <v>240</v>
      </c>
      <c r="E45" s="40" t="s">
        <v>241</v>
      </c>
      <c r="F45" s="39" t="str">
        <f t="shared" si="1"/>
        <v>WRONG</v>
      </c>
      <c r="G45" s="39" t="s">
        <v>36</v>
      </c>
      <c r="H45" s="41" t="s">
        <v>37</v>
      </c>
      <c r="I45" s="42" t="s">
        <v>361</v>
      </c>
      <c r="J45" s="41">
        <v>28986.0</v>
      </c>
    </row>
    <row r="46" ht="60.0" customHeight="1">
      <c r="A46" s="39">
        <v>43.0</v>
      </c>
      <c r="B46" s="40" t="s">
        <v>243</v>
      </c>
      <c r="C46" s="40" t="s">
        <v>244</v>
      </c>
      <c r="D46" s="40" t="s">
        <v>245</v>
      </c>
      <c r="E46" s="40" t="s">
        <v>246</v>
      </c>
      <c r="F46" s="39" t="str">
        <f t="shared" si="1"/>
        <v>WRONG</v>
      </c>
      <c r="G46" s="39" t="s">
        <v>48</v>
      </c>
      <c r="H46" s="41" t="s">
        <v>36</v>
      </c>
      <c r="I46" s="42" t="s">
        <v>362</v>
      </c>
      <c r="J46" s="41">
        <v>25260.0</v>
      </c>
    </row>
    <row r="47" ht="60.0" customHeight="1">
      <c r="A47" s="39">
        <v>44.0</v>
      </c>
      <c r="B47" s="40" t="s">
        <v>248</v>
      </c>
      <c r="C47" s="40" t="s">
        <v>249</v>
      </c>
      <c r="D47" s="40" t="s">
        <v>250</v>
      </c>
      <c r="E47" s="40" t="s">
        <v>251</v>
      </c>
      <c r="F47" s="39" t="str">
        <f t="shared" si="1"/>
        <v>WRONG</v>
      </c>
      <c r="G47" s="39" t="s">
        <v>36</v>
      </c>
      <c r="H47" s="43" t="s">
        <v>48</v>
      </c>
      <c r="I47" s="42" t="s">
        <v>252</v>
      </c>
      <c r="J47" s="41">
        <v>35476.0</v>
      </c>
    </row>
    <row r="48" ht="60.0" customHeight="1">
      <c r="A48" s="39">
        <v>45.0</v>
      </c>
      <c r="B48" s="40" t="s">
        <v>253</v>
      </c>
      <c r="C48" s="40" t="s">
        <v>254</v>
      </c>
      <c r="D48" s="40" t="s">
        <v>255</v>
      </c>
      <c r="E48" s="40" t="s">
        <v>256</v>
      </c>
      <c r="F48" s="39" t="str">
        <f t="shared" si="1"/>
        <v>CORRECT</v>
      </c>
      <c r="G48" s="39" t="s">
        <v>36</v>
      </c>
      <c r="H48" s="41" t="s">
        <v>36</v>
      </c>
      <c r="I48" s="42" t="s">
        <v>363</v>
      </c>
      <c r="J48" s="41">
        <v>36196.0</v>
      </c>
    </row>
    <row r="49" ht="60.0" customHeight="1">
      <c r="A49" s="39">
        <v>46.0</v>
      </c>
      <c r="B49" s="40" t="s">
        <v>258</v>
      </c>
      <c r="C49" s="40" t="s">
        <v>40</v>
      </c>
      <c r="D49" s="40" t="s">
        <v>259</v>
      </c>
      <c r="E49" s="40" t="s">
        <v>260</v>
      </c>
      <c r="F49" s="39" t="str">
        <f t="shared" si="1"/>
        <v>CORRECT</v>
      </c>
      <c r="G49" s="39" t="s">
        <v>36</v>
      </c>
      <c r="H49" s="41" t="s">
        <v>36</v>
      </c>
      <c r="I49" s="42" t="s">
        <v>364</v>
      </c>
      <c r="J49" s="41">
        <v>25396.0</v>
      </c>
    </row>
    <row r="50">
      <c r="A50" s="44" t="s">
        <v>262</v>
      </c>
      <c r="B50" s="2"/>
      <c r="C50" s="2"/>
      <c r="D50" s="2"/>
      <c r="E50" s="3"/>
      <c r="F50" s="45">
        <f>COUNTIFS(F4:F49,"CORRECT")</f>
        <v>24</v>
      </c>
      <c r="G50" s="46"/>
      <c r="H50" s="46"/>
      <c r="J50" s="47">
        <f>AVERAGE(J4:J49)</f>
        <v>33892.28261</v>
      </c>
    </row>
    <row r="51">
      <c r="A51" s="48" t="s">
        <v>263</v>
      </c>
      <c r="B51" s="2"/>
      <c r="C51" s="2"/>
      <c r="D51" s="2"/>
      <c r="E51" s="3"/>
      <c r="F51" s="49">
        <v>46.0</v>
      </c>
      <c r="G51" s="46"/>
      <c r="H51" s="46"/>
    </row>
    <row r="52">
      <c r="A52" s="44" t="s">
        <v>264</v>
      </c>
      <c r="B52" s="2"/>
      <c r="C52" s="2"/>
      <c r="D52" s="2"/>
      <c r="E52" s="3"/>
      <c r="F52" s="50">
        <f>F50/F51</f>
        <v>0.5217391304</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365</v>
      </c>
      <c r="C2" s="2"/>
      <c r="D2" s="2"/>
      <c r="E2" s="2"/>
      <c r="F2" s="2"/>
      <c r="G2" s="2"/>
      <c r="H2" s="3"/>
      <c r="I2" s="37" t="s">
        <v>366</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3" t="s">
        <v>37</v>
      </c>
      <c r="I4" s="42" t="s">
        <v>367</v>
      </c>
      <c r="J4" s="53">
        <v>21584.0</v>
      </c>
    </row>
    <row r="5" ht="60.0" customHeight="1">
      <c r="A5" s="39">
        <v>2.0</v>
      </c>
      <c r="B5" s="40" t="s">
        <v>39</v>
      </c>
      <c r="C5" s="40" t="s">
        <v>40</v>
      </c>
      <c r="D5" s="40" t="s">
        <v>41</v>
      </c>
      <c r="E5" s="40" t="s">
        <v>42</v>
      </c>
      <c r="F5" s="39" t="str">
        <f t="shared" si="1"/>
        <v>CORRECT</v>
      </c>
      <c r="G5" s="39" t="s">
        <v>37</v>
      </c>
      <c r="H5" s="54" t="s">
        <v>37</v>
      </c>
      <c r="I5" s="42" t="s">
        <v>368</v>
      </c>
      <c r="J5" s="53">
        <v>30915.0</v>
      </c>
    </row>
    <row r="6" ht="60.0" customHeight="1">
      <c r="A6" s="39">
        <v>3.0</v>
      </c>
      <c r="B6" s="40" t="s">
        <v>44</v>
      </c>
      <c r="C6" s="40" t="s">
        <v>45</v>
      </c>
      <c r="D6" s="40" t="s">
        <v>46</v>
      </c>
      <c r="E6" s="40" t="s">
        <v>47</v>
      </c>
      <c r="F6" s="39" t="str">
        <f t="shared" si="1"/>
        <v>CORRECT</v>
      </c>
      <c r="G6" s="39" t="s">
        <v>48</v>
      </c>
      <c r="H6" s="53" t="s">
        <v>48</v>
      </c>
      <c r="I6" s="42" t="s">
        <v>369</v>
      </c>
      <c r="J6" s="53">
        <v>28119.0</v>
      </c>
    </row>
    <row r="7" ht="60.0" customHeight="1">
      <c r="A7" s="39">
        <v>4.0</v>
      </c>
      <c r="B7" s="40" t="s">
        <v>50</v>
      </c>
      <c r="C7" s="40" t="s">
        <v>51</v>
      </c>
      <c r="D7" s="40" t="s">
        <v>52</v>
      </c>
      <c r="E7" s="40" t="s">
        <v>53</v>
      </c>
      <c r="F7" s="39" t="str">
        <f t="shared" si="1"/>
        <v>CORRECT</v>
      </c>
      <c r="G7" s="39" t="s">
        <v>37</v>
      </c>
      <c r="H7" s="53" t="s">
        <v>37</v>
      </c>
      <c r="I7" s="42" t="s">
        <v>370</v>
      </c>
      <c r="J7" s="53">
        <v>25038.0</v>
      </c>
    </row>
    <row r="8" ht="60.0" customHeight="1">
      <c r="A8" s="39">
        <v>5.0</v>
      </c>
      <c r="B8" s="40" t="s">
        <v>55</v>
      </c>
      <c r="C8" s="40" t="s">
        <v>56</v>
      </c>
      <c r="D8" s="40" t="s">
        <v>57</v>
      </c>
      <c r="E8" s="40" t="s">
        <v>58</v>
      </c>
      <c r="F8" s="39" t="str">
        <f t="shared" si="1"/>
        <v>WRONG</v>
      </c>
      <c r="G8" s="39" t="s">
        <v>48</v>
      </c>
      <c r="H8" s="54" t="s">
        <v>36</v>
      </c>
      <c r="I8" s="42" t="s">
        <v>371</v>
      </c>
      <c r="J8" s="53">
        <v>58925.0</v>
      </c>
    </row>
    <row r="9" ht="60.0" customHeight="1">
      <c r="A9" s="39">
        <v>6.0</v>
      </c>
      <c r="B9" s="40" t="s">
        <v>60</v>
      </c>
      <c r="C9" s="40" t="s">
        <v>61</v>
      </c>
      <c r="D9" s="40" t="s">
        <v>62</v>
      </c>
      <c r="E9" s="40" t="s">
        <v>63</v>
      </c>
      <c r="F9" s="39" t="str">
        <f t="shared" si="1"/>
        <v>CORRECT</v>
      </c>
      <c r="G9" s="39" t="s">
        <v>37</v>
      </c>
      <c r="H9" s="53" t="s">
        <v>37</v>
      </c>
      <c r="I9" s="42" t="s">
        <v>372</v>
      </c>
      <c r="J9" s="53">
        <v>46495.0</v>
      </c>
    </row>
    <row r="10" ht="60.0" customHeight="1">
      <c r="A10" s="39">
        <v>7.0</v>
      </c>
      <c r="B10" s="40" t="s">
        <v>65</v>
      </c>
      <c r="C10" s="40" t="s">
        <v>66</v>
      </c>
      <c r="D10" s="40" t="s">
        <v>67</v>
      </c>
      <c r="E10" s="40" t="s">
        <v>68</v>
      </c>
      <c r="F10" s="39" t="str">
        <f t="shared" si="1"/>
        <v>WRONG</v>
      </c>
      <c r="G10" s="39" t="s">
        <v>37</v>
      </c>
      <c r="H10" s="54" t="s">
        <v>36</v>
      </c>
      <c r="I10" s="42" t="s">
        <v>373</v>
      </c>
      <c r="J10" s="53">
        <v>29577.0</v>
      </c>
    </row>
    <row r="11" ht="60.0" customHeight="1">
      <c r="A11" s="39">
        <v>8.0</v>
      </c>
      <c r="B11" s="40" t="s">
        <v>70</v>
      </c>
      <c r="C11" s="40" t="s">
        <v>71</v>
      </c>
      <c r="D11" s="40" t="s">
        <v>72</v>
      </c>
      <c r="E11" s="40" t="s">
        <v>73</v>
      </c>
      <c r="F11" s="39" t="str">
        <f t="shared" si="1"/>
        <v>WRONG</v>
      </c>
      <c r="G11" s="39" t="s">
        <v>48</v>
      </c>
      <c r="H11" s="53" t="s">
        <v>37</v>
      </c>
      <c r="I11" s="42" t="s">
        <v>374</v>
      </c>
      <c r="J11" s="53">
        <v>34767.0</v>
      </c>
    </row>
    <row r="12" ht="60.0" customHeight="1">
      <c r="A12" s="39">
        <v>9.0</v>
      </c>
      <c r="B12" s="40" t="s">
        <v>75</v>
      </c>
      <c r="C12" s="40" t="s">
        <v>76</v>
      </c>
      <c r="D12" s="40" t="s">
        <v>77</v>
      </c>
      <c r="E12" s="40" t="s">
        <v>78</v>
      </c>
      <c r="F12" s="39" t="str">
        <f t="shared" si="1"/>
        <v>WRONG</v>
      </c>
      <c r="G12" s="39" t="s">
        <v>37</v>
      </c>
      <c r="H12" s="53" t="s">
        <v>48</v>
      </c>
      <c r="I12" s="42" t="s">
        <v>375</v>
      </c>
      <c r="J12" s="53">
        <v>37755.0</v>
      </c>
    </row>
    <row r="13" ht="60.0" customHeight="1">
      <c r="A13" s="39">
        <v>10.0</v>
      </c>
      <c r="B13" s="40" t="s">
        <v>80</v>
      </c>
      <c r="C13" s="40" t="s">
        <v>81</v>
      </c>
      <c r="D13" s="40" t="s">
        <v>82</v>
      </c>
      <c r="E13" s="40" t="s">
        <v>83</v>
      </c>
      <c r="F13" s="39" t="str">
        <f t="shared" si="1"/>
        <v>CORRECT</v>
      </c>
      <c r="G13" s="39" t="s">
        <v>48</v>
      </c>
      <c r="H13" s="53" t="s">
        <v>48</v>
      </c>
      <c r="I13" s="42" t="s">
        <v>376</v>
      </c>
      <c r="J13" s="53">
        <v>42114.0</v>
      </c>
    </row>
    <row r="14" ht="60.0" customHeight="1">
      <c r="A14" s="39">
        <v>11.0</v>
      </c>
      <c r="B14" s="40" t="s">
        <v>85</v>
      </c>
      <c r="C14" s="40" t="s">
        <v>86</v>
      </c>
      <c r="D14" s="40" t="s">
        <v>87</v>
      </c>
      <c r="E14" s="40" t="s">
        <v>88</v>
      </c>
      <c r="F14" s="39" t="str">
        <f t="shared" si="1"/>
        <v>WRONG</v>
      </c>
      <c r="G14" s="39" t="s">
        <v>37</v>
      </c>
      <c r="H14" s="53" t="s">
        <v>48</v>
      </c>
      <c r="I14" s="42" t="s">
        <v>377</v>
      </c>
      <c r="J14" s="53">
        <v>51431.0</v>
      </c>
    </row>
    <row r="15" ht="60.0" customHeight="1">
      <c r="A15" s="39">
        <v>12.0</v>
      </c>
      <c r="B15" s="40" t="s">
        <v>90</v>
      </c>
      <c r="C15" s="40" t="s">
        <v>91</v>
      </c>
      <c r="D15" s="40" t="s">
        <v>92</v>
      </c>
      <c r="E15" s="40" t="s">
        <v>93</v>
      </c>
      <c r="F15" s="39" t="str">
        <f t="shared" si="1"/>
        <v>CORRECT</v>
      </c>
      <c r="G15" s="39" t="s">
        <v>48</v>
      </c>
      <c r="H15" s="54" t="s">
        <v>48</v>
      </c>
      <c r="I15" s="42" t="s">
        <v>378</v>
      </c>
      <c r="J15" s="53">
        <v>38975.0</v>
      </c>
    </row>
    <row r="16" ht="60.0" customHeight="1">
      <c r="A16" s="39">
        <v>13.0</v>
      </c>
      <c r="B16" s="40" t="s">
        <v>95</v>
      </c>
      <c r="C16" s="40" t="s">
        <v>96</v>
      </c>
      <c r="D16" s="40" t="s">
        <v>97</v>
      </c>
      <c r="E16" s="40" t="s">
        <v>98</v>
      </c>
      <c r="F16" s="39" t="str">
        <f t="shared" si="1"/>
        <v>CORRECT</v>
      </c>
      <c r="G16" s="39" t="s">
        <v>36</v>
      </c>
      <c r="H16" s="54" t="s">
        <v>36</v>
      </c>
      <c r="I16" s="42" t="s">
        <v>379</v>
      </c>
      <c r="J16" s="53">
        <v>23483.0</v>
      </c>
    </row>
    <row r="17" ht="60.0" customHeight="1">
      <c r="A17" s="39">
        <v>14.0</v>
      </c>
      <c r="B17" s="40" t="s">
        <v>100</v>
      </c>
      <c r="C17" s="40" t="s">
        <v>101</v>
      </c>
      <c r="D17" s="40" t="s">
        <v>102</v>
      </c>
      <c r="E17" s="40" t="s">
        <v>103</v>
      </c>
      <c r="F17" s="39" t="str">
        <f t="shared" si="1"/>
        <v>CORRECT</v>
      </c>
      <c r="G17" s="39" t="s">
        <v>36</v>
      </c>
      <c r="H17" s="54" t="s">
        <v>36</v>
      </c>
      <c r="I17" s="42" t="s">
        <v>380</v>
      </c>
      <c r="J17" s="53">
        <v>54477.0</v>
      </c>
    </row>
    <row r="18" ht="60.0" customHeight="1">
      <c r="A18" s="39">
        <v>15.0</v>
      </c>
      <c r="B18" s="40" t="s">
        <v>105</v>
      </c>
      <c r="C18" s="40" t="s">
        <v>106</v>
      </c>
      <c r="D18" s="40" t="s">
        <v>107</v>
      </c>
      <c r="E18" s="40" t="s">
        <v>108</v>
      </c>
      <c r="F18" s="39" t="str">
        <f t="shared" si="1"/>
        <v>CORRECT</v>
      </c>
      <c r="G18" s="39" t="s">
        <v>48</v>
      </c>
      <c r="H18" s="53" t="s">
        <v>48</v>
      </c>
      <c r="I18" s="42" t="s">
        <v>381</v>
      </c>
      <c r="J18" s="53">
        <v>29074.0</v>
      </c>
    </row>
    <row r="19" ht="60.0" customHeight="1">
      <c r="A19" s="39">
        <v>16.0</v>
      </c>
      <c r="B19" s="40" t="s">
        <v>110</v>
      </c>
      <c r="C19" s="40" t="s">
        <v>111</v>
      </c>
      <c r="D19" s="40" t="s">
        <v>112</v>
      </c>
      <c r="E19" s="40" t="s">
        <v>113</v>
      </c>
      <c r="F19" s="39" t="str">
        <f t="shared" si="1"/>
        <v>CORRECT</v>
      </c>
      <c r="G19" s="39" t="s">
        <v>48</v>
      </c>
      <c r="H19" s="54" t="s">
        <v>48</v>
      </c>
      <c r="I19" s="42" t="s">
        <v>382</v>
      </c>
      <c r="J19" s="53">
        <v>23650.0</v>
      </c>
    </row>
    <row r="20" ht="60.0" customHeight="1">
      <c r="A20" s="39">
        <v>17.0</v>
      </c>
      <c r="B20" s="40" t="s">
        <v>115</v>
      </c>
      <c r="C20" s="40" t="s">
        <v>116</v>
      </c>
      <c r="D20" s="40" t="s">
        <v>117</v>
      </c>
      <c r="E20" s="40" t="s">
        <v>118</v>
      </c>
      <c r="F20" s="39" t="str">
        <f t="shared" si="1"/>
        <v>WRONG</v>
      </c>
      <c r="G20" s="39" t="s">
        <v>37</v>
      </c>
      <c r="H20" s="54" t="s">
        <v>36</v>
      </c>
      <c r="I20" s="42" t="s">
        <v>383</v>
      </c>
      <c r="J20" s="53">
        <v>32669.0</v>
      </c>
    </row>
    <row r="21" ht="60.0" customHeight="1">
      <c r="A21" s="39">
        <v>18.0</v>
      </c>
      <c r="B21" s="40" t="s">
        <v>120</v>
      </c>
      <c r="C21" s="40" t="s">
        <v>121</v>
      </c>
      <c r="D21" s="40" t="s">
        <v>122</v>
      </c>
      <c r="E21" s="40" t="s">
        <v>123</v>
      </c>
      <c r="F21" s="39" t="str">
        <f t="shared" si="1"/>
        <v>CORRECT</v>
      </c>
      <c r="G21" s="39" t="s">
        <v>37</v>
      </c>
      <c r="H21" s="53" t="s">
        <v>37</v>
      </c>
      <c r="I21" s="42" t="s">
        <v>384</v>
      </c>
      <c r="J21" s="53">
        <v>26513.0</v>
      </c>
    </row>
    <row r="22" ht="60.0" customHeight="1">
      <c r="A22" s="39">
        <v>19.0</v>
      </c>
      <c r="B22" s="40" t="s">
        <v>125</v>
      </c>
      <c r="C22" s="40" t="s">
        <v>126</v>
      </c>
      <c r="D22" s="40" t="s">
        <v>127</v>
      </c>
      <c r="E22" s="40" t="s">
        <v>128</v>
      </c>
      <c r="F22" s="39" t="str">
        <f t="shared" si="1"/>
        <v>WRONG</v>
      </c>
      <c r="G22" s="39" t="s">
        <v>36</v>
      </c>
      <c r="H22" s="53" t="s">
        <v>48</v>
      </c>
      <c r="I22" s="42" t="s">
        <v>385</v>
      </c>
      <c r="J22" s="53">
        <v>24751.0</v>
      </c>
    </row>
    <row r="23" ht="60.0" customHeight="1">
      <c r="A23" s="39">
        <v>20.0</v>
      </c>
      <c r="B23" s="40" t="s">
        <v>130</v>
      </c>
      <c r="C23" s="40" t="s">
        <v>131</v>
      </c>
      <c r="D23" s="40" t="s">
        <v>132</v>
      </c>
      <c r="E23" s="40" t="s">
        <v>133</v>
      </c>
      <c r="F23" s="39" t="str">
        <f t="shared" si="1"/>
        <v>WRONG</v>
      </c>
      <c r="G23" s="39" t="s">
        <v>37</v>
      </c>
      <c r="H23" s="54" t="s">
        <v>36</v>
      </c>
      <c r="I23" s="42" t="s">
        <v>386</v>
      </c>
      <c r="J23" s="53">
        <v>23249.0</v>
      </c>
    </row>
    <row r="24" ht="60.0" customHeight="1">
      <c r="A24" s="39">
        <v>21.0</v>
      </c>
      <c r="B24" s="40" t="s">
        <v>135</v>
      </c>
      <c r="C24" s="40" t="s">
        <v>136</v>
      </c>
      <c r="D24" s="40" t="s">
        <v>137</v>
      </c>
      <c r="E24" s="40" t="s">
        <v>138</v>
      </c>
      <c r="F24" s="39" t="str">
        <f t="shared" si="1"/>
        <v>WRONG</v>
      </c>
      <c r="G24" s="39" t="s">
        <v>37</v>
      </c>
      <c r="H24" s="53" t="s">
        <v>36</v>
      </c>
      <c r="I24" s="42" t="s">
        <v>387</v>
      </c>
      <c r="J24" s="53">
        <v>21306.0</v>
      </c>
    </row>
    <row r="25" ht="60.0" customHeight="1">
      <c r="A25" s="39">
        <v>22.0</v>
      </c>
      <c r="B25" s="40" t="s">
        <v>140</v>
      </c>
      <c r="C25" s="40" t="s">
        <v>141</v>
      </c>
      <c r="D25" s="40" t="s">
        <v>142</v>
      </c>
      <c r="E25" s="40" t="s">
        <v>143</v>
      </c>
      <c r="F25" s="39" t="str">
        <f t="shared" si="1"/>
        <v>CORRECT</v>
      </c>
      <c r="G25" s="39" t="s">
        <v>37</v>
      </c>
      <c r="H25" s="53" t="s">
        <v>37</v>
      </c>
      <c r="I25" s="42" t="s">
        <v>388</v>
      </c>
      <c r="J25" s="53">
        <v>23836.0</v>
      </c>
    </row>
    <row r="26" ht="60.0" customHeight="1">
      <c r="A26" s="39">
        <v>23.0</v>
      </c>
      <c r="B26" s="40" t="s">
        <v>145</v>
      </c>
      <c r="C26" s="40" t="s">
        <v>146</v>
      </c>
      <c r="D26" s="40" t="s">
        <v>147</v>
      </c>
      <c r="E26" s="40" t="s">
        <v>148</v>
      </c>
      <c r="F26" s="39" t="str">
        <f t="shared" si="1"/>
        <v>CORRECT</v>
      </c>
      <c r="G26" s="39" t="s">
        <v>48</v>
      </c>
      <c r="H26" s="54" t="s">
        <v>48</v>
      </c>
      <c r="I26" s="42" t="s">
        <v>389</v>
      </c>
      <c r="J26" s="53">
        <v>28255.0</v>
      </c>
    </row>
    <row r="27" ht="60.0" customHeight="1">
      <c r="A27" s="39">
        <v>24.0</v>
      </c>
      <c r="B27" s="40" t="s">
        <v>150</v>
      </c>
      <c r="C27" s="40" t="s">
        <v>151</v>
      </c>
      <c r="D27" s="40" t="s">
        <v>152</v>
      </c>
      <c r="E27" s="40" t="s">
        <v>153</v>
      </c>
      <c r="F27" s="39" t="str">
        <f t="shared" si="1"/>
        <v>WRONG</v>
      </c>
      <c r="G27" s="39" t="s">
        <v>36</v>
      </c>
      <c r="H27" s="54" t="s">
        <v>48</v>
      </c>
      <c r="I27" s="42" t="s">
        <v>390</v>
      </c>
      <c r="J27" s="53">
        <v>23567.0</v>
      </c>
    </row>
    <row r="28" ht="60.0" customHeight="1">
      <c r="A28" s="39">
        <v>25.0</v>
      </c>
      <c r="B28" s="40" t="s">
        <v>155</v>
      </c>
      <c r="C28" s="40" t="s">
        <v>151</v>
      </c>
      <c r="D28" s="40" t="s">
        <v>156</v>
      </c>
      <c r="E28" s="40" t="s">
        <v>153</v>
      </c>
      <c r="F28" s="39" t="str">
        <f t="shared" si="1"/>
        <v>WRONG</v>
      </c>
      <c r="G28" s="39" t="s">
        <v>48</v>
      </c>
      <c r="H28" s="53" t="s">
        <v>36</v>
      </c>
      <c r="I28" s="42" t="s">
        <v>391</v>
      </c>
      <c r="J28" s="53">
        <v>12142.0</v>
      </c>
    </row>
    <row r="29" ht="60.0" customHeight="1">
      <c r="A29" s="39">
        <v>26.0</v>
      </c>
      <c r="B29" s="40" t="s">
        <v>158</v>
      </c>
      <c r="C29" s="40" t="s">
        <v>159</v>
      </c>
      <c r="D29" s="40" t="s">
        <v>160</v>
      </c>
      <c r="E29" s="40" t="s">
        <v>161</v>
      </c>
      <c r="F29" s="39" t="str">
        <f t="shared" si="1"/>
        <v>WRONG</v>
      </c>
      <c r="G29" s="39" t="s">
        <v>36</v>
      </c>
      <c r="H29" s="54" t="s">
        <v>48</v>
      </c>
      <c r="I29" s="42" t="s">
        <v>392</v>
      </c>
      <c r="J29" s="53">
        <v>30875.0</v>
      </c>
    </row>
    <row r="30" ht="60.0" customHeight="1">
      <c r="A30" s="39">
        <v>27.0</v>
      </c>
      <c r="B30" s="40" t="s">
        <v>163</v>
      </c>
      <c r="C30" s="40" t="s">
        <v>164</v>
      </c>
      <c r="D30" s="40" t="s">
        <v>165</v>
      </c>
      <c r="E30" s="40" t="s">
        <v>166</v>
      </c>
      <c r="F30" s="39" t="str">
        <f t="shared" si="1"/>
        <v>WRONG</v>
      </c>
      <c r="G30" s="39" t="s">
        <v>37</v>
      </c>
      <c r="H30" s="53" t="s">
        <v>36</v>
      </c>
      <c r="I30" s="42" t="s">
        <v>393</v>
      </c>
      <c r="J30" s="53">
        <v>32723.0</v>
      </c>
    </row>
    <row r="31" ht="60.0" customHeight="1">
      <c r="A31" s="39">
        <v>28.0</v>
      </c>
      <c r="B31" s="40" t="s">
        <v>168</v>
      </c>
      <c r="C31" s="40" t="s">
        <v>169</v>
      </c>
      <c r="D31" s="40" t="s">
        <v>170</v>
      </c>
      <c r="E31" s="40" t="s">
        <v>171</v>
      </c>
      <c r="F31" s="39" t="str">
        <f t="shared" si="1"/>
        <v>CORRECT</v>
      </c>
      <c r="G31" s="39" t="s">
        <v>36</v>
      </c>
      <c r="H31" s="53" t="s">
        <v>36</v>
      </c>
      <c r="I31" s="42" t="s">
        <v>394</v>
      </c>
      <c r="J31" s="53">
        <v>40524.0</v>
      </c>
    </row>
    <row r="32" ht="60.0" customHeight="1">
      <c r="A32" s="39">
        <v>29.0</v>
      </c>
      <c r="B32" s="40" t="s">
        <v>173</v>
      </c>
      <c r="C32" s="40" t="s">
        <v>174</v>
      </c>
      <c r="D32" s="40" t="s">
        <v>175</v>
      </c>
      <c r="E32" s="40" t="s">
        <v>176</v>
      </c>
      <c r="F32" s="39" t="str">
        <f t="shared" si="1"/>
        <v>WRONG</v>
      </c>
      <c r="G32" s="39" t="s">
        <v>37</v>
      </c>
      <c r="H32" s="54" t="s">
        <v>48</v>
      </c>
      <c r="I32" s="42" t="s">
        <v>395</v>
      </c>
      <c r="J32" s="53">
        <v>20235.0</v>
      </c>
    </row>
    <row r="33" ht="60.0" customHeight="1">
      <c r="A33" s="39">
        <v>30.0</v>
      </c>
      <c r="B33" s="40" t="s">
        <v>178</v>
      </c>
      <c r="C33" s="40" t="s">
        <v>179</v>
      </c>
      <c r="D33" s="40" t="s">
        <v>180</v>
      </c>
      <c r="E33" s="40" t="s">
        <v>181</v>
      </c>
      <c r="F33" s="39" t="str">
        <f t="shared" si="1"/>
        <v>WRONG</v>
      </c>
      <c r="G33" s="39" t="s">
        <v>48</v>
      </c>
      <c r="H33" s="53" t="s">
        <v>36</v>
      </c>
      <c r="I33" s="42" t="s">
        <v>396</v>
      </c>
      <c r="J33" s="53">
        <v>28143.0</v>
      </c>
    </row>
    <row r="34" ht="60.0" customHeight="1">
      <c r="A34" s="39">
        <v>31.0</v>
      </c>
      <c r="B34" s="40" t="s">
        <v>183</v>
      </c>
      <c r="C34" s="40" t="s">
        <v>184</v>
      </c>
      <c r="D34" s="40" t="s">
        <v>185</v>
      </c>
      <c r="E34" s="40" t="s">
        <v>186</v>
      </c>
      <c r="F34" s="39" t="str">
        <f t="shared" si="1"/>
        <v>WRONG</v>
      </c>
      <c r="G34" s="39" t="s">
        <v>37</v>
      </c>
      <c r="H34" s="53" t="s">
        <v>36</v>
      </c>
      <c r="I34" s="42" t="s">
        <v>397</v>
      </c>
      <c r="J34" s="53">
        <v>22073.0</v>
      </c>
    </row>
    <row r="35" ht="60.0" customHeight="1">
      <c r="A35" s="39">
        <v>32.0</v>
      </c>
      <c r="B35" s="40" t="s">
        <v>188</v>
      </c>
      <c r="C35" s="40" t="s">
        <v>189</v>
      </c>
      <c r="D35" s="40" t="s">
        <v>190</v>
      </c>
      <c r="E35" s="40" t="s">
        <v>191</v>
      </c>
      <c r="F35" s="39" t="str">
        <f t="shared" si="1"/>
        <v>CORRECT</v>
      </c>
      <c r="G35" s="39" t="s">
        <v>36</v>
      </c>
      <c r="H35" s="53" t="s">
        <v>36</v>
      </c>
      <c r="I35" s="42" t="s">
        <v>398</v>
      </c>
      <c r="J35" s="53">
        <v>39301.0</v>
      </c>
    </row>
    <row r="36" ht="60.0" customHeight="1">
      <c r="A36" s="39">
        <v>33.0</v>
      </c>
      <c r="B36" s="40" t="s">
        <v>193</v>
      </c>
      <c r="C36" s="40" t="s">
        <v>194</v>
      </c>
      <c r="D36" s="40" t="s">
        <v>195</v>
      </c>
      <c r="E36" s="40" t="s">
        <v>196</v>
      </c>
      <c r="F36" s="39" t="str">
        <f t="shared" si="1"/>
        <v>CORRECT</v>
      </c>
      <c r="G36" s="39" t="s">
        <v>48</v>
      </c>
      <c r="H36" s="54" t="s">
        <v>48</v>
      </c>
      <c r="I36" s="42" t="s">
        <v>399</v>
      </c>
      <c r="J36" s="53">
        <v>28120.0</v>
      </c>
    </row>
    <row r="37" ht="60.0" customHeight="1">
      <c r="A37" s="39">
        <v>34.0</v>
      </c>
      <c r="B37" s="40" t="s">
        <v>198</v>
      </c>
      <c r="C37" s="40" t="s">
        <v>199</v>
      </c>
      <c r="D37" s="40" t="s">
        <v>200</v>
      </c>
      <c r="E37" s="40" t="s">
        <v>201</v>
      </c>
      <c r="F37" s="39" t="str">
        <f t="shared" si="1"/>
        <v>CORRECT</v>
      </c>
      <c r="G37" s="39" t="s">
        <v>36</v>
      </c>
      <c r="H37" s="53" t="s">
        <v>36</v>
      </c>
      <c r="I37" s="42" t="s">
        <v>400</v>
      </c>
      <c r="J37" s="53">
        <v>26007.0</v>
      </c>
    </row>
    <row r="38" ht="60.0" customHeight="1">
      <c r="A38" s="39">
        <v>35.0</v>
      </c>
      <c r="B38" s="40" t="s">
        <v>203</v>
      </c>
      <c r="C38" s="40" t="s">
        <v>204</v>
      </c>
      <c r="D38" s="40" t="s">
        <v>205</v>
      </c>
      <c r="E38" s="40" t="s">
        <v>206</v>
      </c>
      <c r="F38" s="39" t="str">
        <f t="shared" si="1"/>
        <v>CORRECT</v>
      </c>
      <c r="G38" s="39" t="s">
        <v>48</v>
      </c>
      <c r="H38" s="54" t="s">
        <v>48</v>
      </c>
      <c r="I38" s="42" t="s">
        <v>401</v>
      </c>
      <c r="J38" s="53">
        <v>50611.0</v>
      </c>
    </row>
    <row r="39" ht="60.0" customHeight="1">
      <c r="A39" s="39">
        <v>36.0</v>
      </c>
      <c r="B39" s="40" t="s">
        <v>208</v>
      </c>
      <c r="C39" s="40" t="s">
        <v>209</v>
      </c>
      <c r="D39" s="40" t="s">
        <v>210</v>
      </c>
      <c r="E39" s="40" t="s">
        <v>211</v>
      </c>
      <c r="F39" s="39" t="str">
        <f t="shared" si="1"/>
        <v>CORRECT</v>
      </c>
      <c r="G39" s="39" t="s">
        <v>36</v>
      </c>
      <c r="H39" s="53" t="s">
        <v>36</v>
      </c>
      <c r="I39" s="42" t="s">
        <v>402</v>
      </c>
      <c r="J39" s="53">
        <v>29994.0</v>
      </c>
    </row>
    <row r="40" ht="60.0" customHeight="1">
      <c r="A40" s="39">
        <v>37.0</v>
      </c>
      <c r="B40" s="40" t="s">
        <v>213</v>
      </c>
      <c r="C40" s="40" t="s">
        <v>214</v>
      </c>
      <c r="D40" s="40" t="s">
        <v>215</v>
      </c>
      <c r="E40" s="40" t="s">
        <v>216</v>
      </c>
      <c r="F40" s="39" t="str">
        <f t="shared" si="1"/>
        <v>WRONG</v>
      </c>
      <c r="G40" s="39" t="s">
        <v>36</v>
      </c>
      <c r="H40" s="53" t="s">
        <v>37</v>
      </c>
      <c r="I40" s="42" t="s">
        <v>403</v>
      </c>
      <c r="J40" s="53">
        <v>25497.0</v>
      </c>
    </row>
    <row r="41" ht="60.0" customHeight="1">
      <c r="A41" s="39">
        <v>38.0</v>
      </c>
      <c r="B41" s="40" t="s">
        <v>218</v>
      </c>
      <c r="C41" s="40" t="s">
        <v>219</v>
      </c>
      <c r="D41" s="40" t="s">
        <v>220</v>
      </c>
      <c r="E41" s="40" t="s">
        <v>221</v>
      </c>
      <c r="F41" s="39" t="str">
        <f t="shared" si="1"/>
        <v>CORRECT</v>
      </c>
      <c r="G41" s="39" t="s">
        <v>36</v>
      </c>
      <c r="H41" s="53" t="s">
        <v>36</v>
      </c>
      <c r="I41" s="42" t="s">
        <v>404</v>
      </c>
      <c r="J41" s="53">
        <v>33454.0</v>
      </c>
    </row>
    <row r="42" ht="60.0" customHeight="1">
      <c r="A42" s="39">
        <v>39.0</v>
      </c>
      <c r="B42" s="40" t="s">
        <v>223</v>
      </c>
      <c r="C42" s="40" t="s">
        <v>224</v>
      </c>
      <c r="D42" s="40" t="s">
        <v>225</v>
      </c>
      <c r="E42" s="40" t="s">
        <v>226</v>
      </c>
      <c r="F42" s="39" t="str">
        <f t="shared" si="1"/>
        <v>CORRECT</v>
      </c>
      <c r="G42" s="39" t="s">
        <v>37</v>
      </c>
      <c r="H42" s="54" t="s">
        <v>37</v>
      </c>
      <c r="I42" s="42" t="s">
        <v>405</v>
      </c>
      <c r="J42" s="53">
        <v>35617.0</v>
      </c>
    </row>
    <row r="43" ht="60.0" customHeight="1">
      <c r="A43" s="39">
        <v>40.0</v>
      </c>
      <c r="B43" s="40" t="s">
        <v>228</v>
      </c>
      <c r="C43" s="40" t="s">
        <v>229</v>
      </c>
      <c r="D43" s="40" t="s">
        <v>230</v>
      </c>
      <c r="E43" s="40" t="s">
        <v>231</v>
      </c>
      <c r="F43" s="39" t="str">
        <f t="shared" si="1"/>
        <v>WRONG</v>
      </c>
      <c r="G43" s="39" t="s">
        <v>48</v>
      </c>
      <c r="H43" s="54" t="s">
        <v>37</v>
      </c>
      <c r="I43" s="42" t="s">
        <v>406</v>
      </c>
      <c r="J43" s="53">
        <v>41230.0</v>
      </c>
    </row>
    <row r="44" ht="60.0" customHeight="1">
      <c r="A44" s="39">
        <v>41.0</v>
      </c>
      <c r="B44" s="40" t="s">
        <v>233</v>
      </c>
      <c r="C44" s="40" t="s">
        <v>234</v>
      </c>
      <c r="D44" s="40" t="s">
        <v>235</v>
      </c>
      <c r="E44" s="40" t="s">
        <v>236</v>
      </c>
      <c r="F44" s="39" t="str">
        <f t="shared" si="1"/>
        <v>WRONG</v>
      </c>
      <c r="G44" s="39" t="s">
        <v>37</v>
      </c>
      <c r="H44" s="53" t="s">
        <v>36</v>
      </c>
      <c r="I44" s="42" t="s">
        <v>407</v>
      </c>
      <c r="J44" s="53">
        <v>25302.0</v>
      </c>
    </row>
    <row r="45" ht="60.0" customHeight="1">
      <c r="A45" s="39">
        <v>42.0</v>
      </c>
      <c r="B45" s="40" t="s">
        <v>238</v>
      </c>
      <c r="C45" s="40" t="s">
        <v>239</v>
      </c>
      <c r="D45" s="40" t="s">
        <v>240</v>
      </c>
      <c r="E45" s="40" t="s">
        <v>241</v>
      </c>
      <c r="F45" s="39" t="str">
        <f t="shared" si="1"/>
        <v>WRONG</v>
      </c>
      <c r="G45" s="39" t="s">
        <v>36</v>
      </c>
      <c r="H45" s="53" t="s">
        <v>37</v>
      </c>
      <c r="I45" s="42" t="s">
        <v>408</v>
      </c>
      <c r="J45" s="53">
        <v>27679.0</v>
      </c>
    </row>
    <row r="46" ht="60.0" customHeight="1">
      <c r="A46" s="39">
        <v>43.0</v>
      </c>
      <c r="B46" s="40" t="s">
        <v>243</v>
      </c>
      <c r="C46" s="40" t="s">
        <v>244</v>
      </c>
      <c r="D46" s="40" t="s">
        <v>245</v>
      </c>
      <c r="E46" s="40" t="s">
        <v>246</v>
      </c>
      <c r="F46" s="39" t="str">
        <f t="shared" si="1"/>
        <v>WRONG</v>
      </c>
      <c r="G46" s="39" t="s">
        <v>48</v>
      </c>
      <c r="H46" s="53" t="s">
        <v>36</v>
      </c>
      <c r="I46" s="42" t="s">
        <v>409</v>
      </c>
      <c r="J46" s="53">
        <v>28835.0</v>
      </c>
    </row>
    <row r="47" ht="60.0" customHeight="1">
      <c r="A47" s="39">
        <v>44.0</v>
      </c>
      <c r="B47" s="40" t="s">
        <v>248</v>
      </c>
      <c r="C47" s="40" t="s">
        <v>249</v>
      </c>
      <c r="D47" s="40" t="s">
        <v>250</v>
      </c>
      <c r="E47" s="40" t="s">
        <v>251</v>
      </c>
      <c r="F47" s="39" t="str">
        <f t="shared" si="1"/>
        <v>WRONG</v>
      </c>
      <c r="G47" s="39" t="s">
        <v>36</v>
      </c>
      <c r="H47" s="54" t="s">
        <v>48</v>
      </c>
      <c r="I47" s="42" t="s">
        <v>410</v>
      </c>
      <c r="J47" s="53">
        <v>34722.0</v>
      </c>
    </row>
    <row r="48" ht="60.0" customHeight="1">
      <c r="A48" s="39">
        <v>45.0</v>
      </c>
      <c r="B48" s="40" t="s">
        <v>253</v>
      </c>
      <c r="C48" s="40" t="s">
        <v>254</v>
      </c>
      <c r="D48" s="40" t="s">
        <v>255</v>
      </c>
      <c r="E48" s="40" t="s">
        <v>256</v>
      </c>
      <c r="F48" s="39" t="str">
        <f t="shared" si="1"/>
        <v>WRONG</v>
      </c>
      <c r="G48" s="39" t="s">
        <v>36</v>
      </c>
      <c r="H48" s="54" t="s">
        <v>48</v>
      </c>
      <c r="I48" s="42" t="s">
        <v>411</v>
      </c>
      <c r="J48" s="53">
        <v>28804.0</v>
      </c>
    </row>
    <row r="49" ht="60.0" customHeight="1">
      <c r="A49" s="39">
        <v>46.0</v>
      </c>
      <c r="B49" s="40" t="s">
        <v>258</v>
      </c>
      <c r="C49" s="40" t="s">
        <v>40</v>
      </c>
      <c r="D49" s="40" t="s">
        <v>259</v>
      </c>
      <c r="E49" s="40" t="s">
        <v>260</v>
      </c>
      <c r="F49" s="39" t="str">
        <f t="shared" si="1"/>
        <v>CORRECT</v>
      </c>
      <c r="G49" s="39" t="s">
        <v>36</v>
      </c>
      <c r="H49" s="53" t="s">
        <v>36</v>
      </c>
      <c r="I49" s="42" t="s">
        <v>412</v>
      </c>
      <c r="J49" s="53">
        <v>19500.0</v>
      </c>
    </row>
    <row r="50">
      <c r="A50" s="44" t="s">
        <v>262</v>
      </c>
      <c r="B50" s="2"/>
      <c r="C50" s="2"/>
      <c r="D50" s="2"/>
      <c r="E50" s="3"/>
      <c r="F50" s="45">
        <f>COUNTIFS(F4:F49,"CORRECT")</f>
        <v>22</v>
      </c>
      <c r="G50" s="46"/>
      <c r="H50" s="46"/>
      <c r="J50" s="47">
        <f>AVERAGE(J4:J49)</f>
        <v>31345.93478</v>
      </c>
    </row>
    <row r="51">
      <c r="A51" s="48" t="s">
        <v>263</v>
      </c>
      <c r="B51" s="2"/>
      <c r="C51" s="2"/>
      <c r="D51" s="2"/>
      <c r="E51" s="3"/>
      <c r="F51" s="49">
        <v>46.0</v>
      </c>
      <c r="G51" s="46"/>
      <c r="H51" s="46"/>
    </row>
    <row r="52">
      <c r="A52" s="44" t="s">
        <v>264</v>
      </c>
      <c r="B52" s="2"/>
      <c r="C52" s="2"/>
      <c r="D52" s="2"/>
      <c r="E52" s="3"/>
      <c r="F52" s="50">
        <f>F50/F51</f>
        <v>0.4782608696</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413</v>
      </c>
      <c r="C2" s="2"/>
      <c r="D2" s="2"/>
      <c r="E2" s="2"/>
      <c r="F2" s="2"/>
      <c r="G2" s="2"/>
      <c r="H2" s="3"/>
      <c r="I2" s="37" t="s">
        <v>414</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4" t="s">
        <v>37</v>
      </c>
      <c r="I4" s="42" t="s">
        <v>38</v>
      </c>
      <c r="J4" s="53">
        <v>19728.0</v>
      </c>
    </row>
    <row r="5" ht="60.0" customHeight="1">
      <c r="A5" s="39">
        <v>2.0</v>
      </c>
      <c r="B5" s="40" t="s">
        <v>39</v>
      </c>
      <c r="C5" s="40" t="s">
        <v>40</v>
      </c>
      <c r="D5" s="40" t="s">
        <v>41</v>
      </c>
      <c r="E5" s="40" t="s">
        <v>42</v>
      </c>
      <c r="F5" s="39" t="str">
        <f t="shared" si="1"/>
        <v>CORRECT</v>
      </c>
      <c r="G5" s="39" t="s">
        <v>37</v>
      </c>
      <c r="H5" s="54" t="s">
        <v>37</v>
      </c>
      <c r="I5" s="42" t="s">
        <v>43</v>
      </c>
      <c r="J5" s="53">
        <v>29638.0</v>
      </c>
    </row>
    <row r="6" ht="60.0" customHeight="1">
      <c r="A6" s="39">
        <v>3.0</v>
      </c>
      <c r="B6" s="40" t="s">
        <v>44</v>
      </c>
      <c r="C6" s="40" t="s">
        <v>45</v>
      </c>
      <c r="D6" s="40" t="s">
        <v>46</v>
      </c>
      <c r="E6" s="40" t="s">
        <v>47</v>
      </c>
      <c r="F6" s="39" t="str">
        <f t="shared" si="1"/>
        <v>CORRECT</v>
      </c>
      <c r="G6" s="39" t="s">
        <v>48</v>
      </c>
      <c r="H6" s="53" t="s">
        <v>48</v>
      </c>
      <c r="I6" s="42" t="s">
        <v>267</v>
      </c>
      <c r="J6" s="53">
        <v>33818.0</v>
      </c>
    </row>
    <row r="7" ht="60.0" customHeight="1">
      <c r="A7" s="39">
        <v>4.0</v>
      </c>
      <c r="B7" s="40" t="s">
        <v>50</v>
      </c>
      <c r="C7" s="40" t="s">
        <v>51</v>
      </c>
      <c r="D7" s="40" t="s">
        <v>52</v>
      </c>
      <c r="E7" s="40" t="s">
        <v>53</v>
      </c>
      <c r="F7" s="39" t="str">
        <f t="shared" si="1"/>
        <v>CORRECT</v>
      </c>
      <c r="G7" s="39" t="s">
        <v>37</v>
      </c>
      <c r="H7" s="53" t="s">
        <v>37</v>
      </c>
      <c r="I7" s="42" t="s">
        <v>268</v>
      </c>
      <c r="J7" s="53">
        <v>34716.0</v>
      </c>
    </row>
    <row r="8" ht="60.0" customHeight="1">
      <c r="A8" s="39">
        <v>5.0</v>
      </c>
      <c r="B8" s="40" t="s">
        <v>55</v>
      </c>
      <c r="C8" s="40" t="s">
        <v>56</v>
      </c>
      <c r="D8" s="40" t="s">
        <v>57</v>
      </c>
      <c r="E8" s="40" t="s">
        <v>58</v>
      </c>
      <c r="F8" s="39" t="str">
        <f t="shared" si="1"/>
        <v>CORRECT</v>
      </c>
      <c r="G8" s="39" t="s">
        <v>48</v>
      </c>
      <c r="H8" s="54" t="s">
        <v>48</v>
      </c>
      <c r="I8" s="42" t="s">
        <v>59</v>
      </c>
      <c r="J8" s="53">
        <v>79472.0</v>
      </c>
    </row>
    <row r="9" ht="60.0" customHeight="1">
      <c r="A9" s="39">
        <v>6.0</v>
      </c>
      <c r="B9" s="40" t="s">
        <v>60</v>
      </c>
      <c r="C9" s="40" t="s">
        <v>61</v>
      </c>
      <c r="D9" s="40" t="s">
        <v>62</v>
      </c>
      <c r="E9" s="40" t="s">
        <v>63</v>
      </c>
      <c r="F9" s="39" t="str">
        <f t="shared" si="1"/>
        <v>CORRECT</v>
      </c>
      <c r="G9" s="39" t="s">
        <v>37</v>
      </c>
      <c r="H9" s="53" t="s">
        <v>37</v>
      </c>
      <c r="I9" s="42" t="s">
        <v>64</v>
      </c>
      <c r="J9" s="53">
        <v>22663.0</v>
      </c>
    </row>
    <row r="10" ht="60.0" customHeight="1">
      <c r="A10" s="39">
        <v>7.0</v>
      </c>
      <c r="B10" s="40" t="s">
        <v>65</v>
      </c>
      <c r="C10" s="40" t="s">
        <v>66</v>
      </c>
      <c r="D10" s="40" t="s">
        <v>67</v>
      </c>
      <c r="E10" s="40" t="s">
        <v>68</v>
      </c>
      <c r="F10" s="39" t="str">
        <f t="shared" si="1"/>
        <v>WRONG</v>
      </c>
      <c r="G10" s="39" t="s">
        <v>37</v>
      </c>
      <c r="H10" s="53" t="s">
        <v>36</v>
      </c>
      <c r="I10" s="42" t="s">
        <v>269</v>
      </c>
      <c r="J10" s="53">
        <v>28101.0</v>
      </c>
    </row>
    <row r="11" ht="60.0" customHeight="1">
      <c r="A11" s="39">
        <v>8.0</v>
      </c>
      <c r="B11" s="40" t="s">
        <v>70</v>
      </c>
      <c r="C11" s="40" t="s">
        <v>71</v>
      </c>
      <c r="D11" s="40" t="s">
        <v>72</v>
      </c>
      <c r="E11" s="40" t="s">
        <v>73</v>
      </c>
      <c r="F11" s="39" t="str">
        <f t="shared" si="1"/>
        <v>CORRECT</v>
      </c>
      <c r="G11" s="39" t="s">
        <v>48</v>
      </c>
      <c r="H11" s="54" t="s">
        <v>48</v>
      </c>
      <c r="I11" s="42" t="s">
        <v>74</v>
      </c>
      <c r="J11" s="53">
        <v>34791.0</v>
      </c>
    </row>
    <row r="12" ht="60.0" customHeight="1">
      <c r="A12" s="39">
        <v>9.0</v>
      </c>
      <c r="B12" s="40" t="s">
        <v>75</v>
      </c>
      <c r="C12" s="40" t="s">
        <v>76</v>
      </c>
      <c r="D12" s="40" t="s">
        <v>77</v>
      </c>
      <c r="E12" s="40" t="s">
        <v>78</v>
      </c>
      <c r="F12" s="39" t="str">
        <f t="shared" si="1"/>
        <v>WRONG</v>
      </c>
      <c r="G12" s="39" t="s">
        <v>37</v>
      </c>
      <c r="H12" s="54" t="s">
        <v>48</v>
      </c>
      <c r="I12" s="42" t="s">
        <v>270</v>
      </c>
      <c r="J12" s="53">
        <v>38470.0</v>
      </c>
    </row>
    <row r="13" ht="60.0" customHeight="1">
      <c r="A13" s="39">
        <v>10.0</v>
      </c>
      <c r="B13" s="40" t="s">
        <v>80</v>
      </c>
      <c r="C13" s="40" t="s">
        <v>81</v>
      </c>
      <c r="D13" s="40" t="s">
        <v>82</v>
      </c>
      <c r="E13" s="40" t="s">
        <v>83</v>
      </c>
      <c r="F13" s="39" t="str">
        <f t="shared" si="1"/>
        <v>CORRECT</v>
      </c>
      <c r="G13" s="39" t="s">
        <v>48</v>
      </c>
      <c r="H13" s="53" t="s">
        <v>48</v>
      </c>
      <c r="I13" s="42" t="s">
        <v>271</v>
      </c>
      <c r="J13" s="53">
        <v>35332.0</v>
      </c>
    </row>
    <row r="14" ht="60.0" customHeight="1">
      <c r="A14" s="39">
        <v>11.0</v>
      </c>
      <c r="B14" s="40" t="s">
        <v>85</v>
      </c>
      <c r="C14" s="40" t="s">
        <v>86</v>
      </c>
      <c r="D14" s="40" t="s">
        <v>87</v>
      </c>
      <c r="E14" s="40" t="s">
        <v>88</v>
      </c>
      <c r="F14" s="39" t="str">
        <f t="shared" si="1"/>
        <v>WRONG</v>
      </c>
      <c r="G14" s="39" t="s">
        <v>37</v>
      </c>
      <c r="H14" s="54" t="s">
        <v>48</v>
      </c>
      <c r="I14" s="42" t="s">
        <v>272</v>
      </c>
      <c r="J14" s="53">
        <v>61634.0</v>
      </c>
    </row>
    <row r="15" ht="60.0" customHeight="1">
      <c r="A15" s="39">
        <v>12.0</v>
      </c>
      <c r="B15" s="40" t="s">
        <v>90</v>
      </c>
      <c r="C15" s="40" t="s">
        <v>91</v>
      </c>
      <c r="D15" s="40" t="s">
        <v>92</v>
      </c>
      <c r="E15" s="40" t="s">
        <v>93</v>
      </c>
      <c r="F15" s="39" t="str">
        <f t="shared" si="1"/>
        <v>WRONG</v>
      </c>
      <c r="G15" s="39" t="s">
        <v>48</v>
      </c>
      <c r="H15" s="54" t="s">
        <v>36</v>
      </c>
      <c r="I15" s="42" t="s">
        <v>273</v>
      </c>
      <c r="J15" s="53">
        <v>45186.0</v>
      </c>
    </row>
    <row r="16" ht="60.0" customHeight="1">
      <c r="A16" s="39">
        <v>13.0</v>
      </c>
      <c r="B16" s="40" t="s">
        <v>95</v>
      </c>
      <c r="C16" s="40" t="s">
        <v>96</v>
      </c>
      <c r="D16" s="40" t="s">
        <v>97</v>
      </c>
      <c r="E16" s="40" t="s">
        <v>98</v>
      </c>
      <c r="F16" s="39" t="str">
        <f t="shared" si="1"/>
        <v>CORRECT</v>
      </c>
      <c r="G16" s="39" t="s">
        <v>36</v>
      </c>
      <c r="H16" s="53" t="s">
        <v>36</v>
      </c>
      <c r="I16" s="42" t="s">
        <v>415</v>
      </c>
      <c r="J16" s="53">
        <v>24620.0</v>
      </c>
    </row>
    <row r="17" ht="60.0" customHeight="1">
      <c r="A17" s="39">
        <v>14.0</v>
      </c>
      <c r="B17" s="40" t="s">
        <v>100</v>
      </c>
      <c r="C17" s="40" t="s">
        <v>101</v>
      </c>
      <c r="D17" s="40" t="s">
        <v>102</v>
      </c>
      <c r="E17" s="40" t="s">
        <v>103</v>
      </c>
      <c r="F17" s="39" t="str">
        <f t="shared" si="1"/>
        <v>WRONG</v>
      </c>
      <c r="G17" s="39" t="s">
        <v>36</v>
      </c>
      <c r="H17" s="54" t="s">
        <v>48</v>
      </c>
      <c r="I17" s="42" t="s">
        <v>104</v>
      </c>
      <c r="J17" s="53">
        <v>42665.0</v>
      </c>
    </row>
    <row r="18" ht="60.0" customHeight="1">
      <c r="A18" s="39">
        <v>15.0</v>
      </c>
      <c r="B18" s="40" t="s">
        <v>105</v>
      </c>
      <c r="C18" s="40" t="s">
        <v>106</v>
      </c>
      <c r="D18" s="40" t="s">
        <v>107</v>
      </c>
      <c r="E18" s="40" t="s">
        <v>108</v>
      </c>
      <c r="F18" s="39" t="str">
        <f t="shared" si="1"/>
        <v>CORRECT</v>
      </c>
      <c r="G18" s="39" t="s">
        <v>48</v>
      </c>
      <c r="H18" s="53" t="s">
        <v>48</v>
      </c>
      <c r="I18" s="42" t="s">
        <v>275</v>
      </c>
      <c r="J18" s="53">
        <v>40535.0</v>
      </c>
    </row>
    <row r="19" ht="60.0" customHeight="1">
      <c r="A19" s="39">
        <v>16.0</v>
      </c>
      <c r="B19" s="40" t="s">
        <v>110</v>
      </c>
      <c r="C19" s="40" t="s">
        <v>111</v>
      </c>
      <c r="D19" s="40" t="s">
        <v>112</v>
      </c>
      <c r="E19" s="40" t="s">
        <v>113</v>
      </c>
      <c r="F19" s="39" t="str">
        <f t="shared" si="1"/>
        <v>CORRECT</v>
      </c>
      <c r="G19" s="39" t="s">
        <v>48</v>
      </c>
      <c r="H19" s="53" t="s">
        <v>48</v>
      </c>
      <c r="I19" s="42" t="s">
        <v>276</v>
      </c>
      <c r="J19" s="53">
        <v>31618.0</v>
      </c>
    </row>
    <row r="20" ht="60.0" customHeight="1">
      <c r="A20" s="39">
        <v>17.0</v>
      </c>
      <c r="B20" s="40" t="s">
        <v>115</v>
      </c>
      <c r="C20" s="40" t="s">
        <v>116</v>
      </c>
      <c r="D20" s="40" t="s">
        <v>117</v>
      </c>
      <c r="E20" s="40" t="s">
        <v>118</v>
      </c>
      <c r="F20" s="39" t="str">
        <f t="shared" si="1"/>
        <v>WRONG</v>
      </c>
      <c r="G20" s="39" t="s">
        <v>37</v>
      </c>
      <c r="H20" s="54" t="s">
        <v>36</v>
      </c>
      <c r="I20" s="42" t="s">
        <v>277</v>
      </c>
      <c r="J20" s="53">
        <v>29920.0</v>
      </c>
    </row>
    <row r="21" ht="60.0" customHeight="1">
      <c r="A21" s="39">
        <v>18.0</v>
      </c>
      <c r="B21" s="40" t="s">
        <v>120</v>
      </c>
      <c r="C21" s="40" t="s">
        <v>121</v>
      </c>
      <c r="D21" s="40" t="s">
        <v>122</v>
      </c>
      <c r="E21" s="40" t="s">
        <v>123</v>
      </c>
      <c r="F21" s="39" t="str">
        <f t="shared" si="1"/>
        <v>CORRECT</v>
      </c>
      <c r="G21" s="39" t="s">
        <v>37</v>
      </c>
      <c r="H21" s="53" t="s">
        <v>37</v>
      </c>
      <c r="I21" s="42" t="s">
        <v>124</v>
      </c>
      <c r="J21" s="53">
        <v>32086.0</v>
      </c>
    </row>
    <row r="22" ht="60.0" customHeight="1">
      <c r="A22" s="39">
        <v>19.0</v>
      </c>
      <c r="B22" s="40" t="s">
        <v>125</v>
      </c>
      <c r="C22" s="40" t="s">
        <v>126</v>
      </c>
      <c r="D22" s="40" t="s">
        <v>127</v>
      </c>
      <c r="E22" s="40" t="s">
        <v>128</v>
      </c>
      <c r="F22" s="39" t="str">
        <f t="shared" si="1"/>
        <v>WRONG</v>
      </c>
      <c r="G22" s="39" t="s">
        <v>36</v>
      </c>
      <c r="H22" s="54" t="s">
        <v>48</v>
      </c>
      <c r="I22" s="42" t="s">
        <v>129</v>
      </c>
      <c r="J22" s="53">
        <v>35740.0</v>
      </c>
    </row>
    <row r="23" ht="60.0" customHeight="1">
      <c r="A23" s="39">
        <v>20.0</v>
      </c>
      <c r="B23" s="40" t="s">
        <v>130</v>
      </c>
      <c r="C23" s="40" t="s">
        <v>131</v>
      </c>
      <c r="D23" s="40" t="s">
        <v>132</v>
      </c>
      <c r="E23" s="40" t="s">
        <v>133</v>
      </c>
      <c r="F23" s="39" t="str">
        <f t="shared" si="1"/>
        <v>WRONG</v>
      </c>
      <c r="G23" s="39" t="s">
        <v>37</v>
      </c>
      <c r="H23" s="54" t="s">
        <v>48</v>
      </c>
      <c r="I23" s="42" t="s">
        <v>278</v>
      </c>
      <c r="J23" s="53">
        <v>37696.0</v>
      </c>
    </row>
    <row r="24" ht="60.0" customHeight="1">
      <c r="A24" s="39">
        <v>21.0</v>
      </c>
      <c r="B24" s="40" t="s">
        <v>135</v>
      </c>
      <c r="C24" s="40" t="s">
        <v>136</v>
      </c>
      <c r="D24" s="40" t="s">
        <v>137</v>
      </c>
      <c r="E24" s="40" t="s">
        <v>138</v>
      </c>
      <c r="F24" s="39" t="str">
        <f t="shared" si="1"/>
        <v>WRONG</v>
      </c>
      <c r="G24" s="39" t="s">
        <v>37</v>
      </c>
      <c r="H24" s="53" t="s">
        <v>36</v>
      </c>
      <c r="I24" s="42" t="s">
        <v>139</v>
      </c>
      <c r="J24" s="53">
        <v>22828.0</v>
      </c>
    </row>
    <row r="25" ht="60.0" customHeight="1">
      <c r="A25" s="39">
        <v>22.0</v>
      </c>
      <c r="B25" s="40" t="s">
        <v>140</v>
      </c>
      <c r="C25" s="40" t="s">
        <v>141</v>
      </c>
      <c r="D25" s="40" t="s">
        <v>142</v>
      </c>
      <c r="E25" s="40" t="s">
        <v>143</v>
      </c>
      <c r="F25" s="39" t="str">
        <f t="shared" si="1"/>
        <v>CORRECT</v>
      </c>
      <c r="G25" s="39" t="s">
        <v>37</v>
      </c>
      <c r="H25" s="53" t="s">
        <v>37</v>
      </c>
      <c r="I25" s="42" t="s">
        <v>279</v>
      </c>
      <c r="J25" s="53">
        <v>37329.0</v>
      </c>
    </row>
    <row r="26" ht="60.0" customHeight="1">
      <c r="A26" s="39">
        <v>23.0</v>
      </c>
      <c r="B26" s="40" t="s">
        <v>145</v>
      </c>
      <c r="C26" s="40" t="s">
        <v>146</v>
      </c>
      <c r="D26" s="40" t="s">
        <v>147</v>
      </c>
      <c r="E26" s="40" t="s">
        <v>148</v>
      </c>
      <c r="F26" s="39" t="str">
        <f t="shared" si="1"/>
        <v>CORRECT</v>
      </c>
      <c r="G26" s="39" t="s">
        <v>48</v>
      </c>
      <c r="H26" s="53" t="s">
        <v>48</v>
      </c>
      <c r="I26" s="42" t="s">
        <v>149</v>
      </c>
      <c r="J26" s="53">
        <v>29407.0</v>
      </c>
    </row>
    <row r="27" ht="60.0" customHeight="1">
      <c r="A27" s="39">
        <v>24.0</v>
      </c>
      <c r="B27" s="40" t="s">
        <v>150</v>
      </c>
      <c r="C27" s="40" t="s">
        <v>151</v>
      </c>
      <c r="D27" s="40" t="s">
        <v>152</v>
      </c>
      <c r="E27" s="40" t="s">
        <v>153</v>
      </c>
      <c r="F27" s="39" t="str">
        <f t="shared" si="1"/>
        <v>WRONG</v>
      </c>
      <c r="G27" s="39" t="s">
        <v>36</v>
      </c>
      <c r="H27" s="53" t="s">
        <v>48</v>
      </c>
      <c r="I27" s="42" t="s">
        <v>280</v>
      </c>
      <c r="J27" s="53">
        <v>27630.0</v>
      </c>
    </row>
    <row r="28" ht="60.0" customHeight="1">
      <c r="A28" s="39">
        <v>25.0</v>
      </c>
      <c r="B28" s="40" t="s">
        <v>155</v>
      </c>
      <c r="C28" s="40" t="s">
        <v>151</v>
      </c>
      <c r="D28" s="40" t="s">
        <v>156</v>
      </c>
      <c r="E28" s="40" t="s">
        <v>153</v>
      </c>
      <c r="F28" s="39" t="str">
        <f t="shared" si="1"/>
        <v>WRONG</v>
      </c>
      <c r="G28" s="39" t="s">
        <v>48</v>
      </c>
      <c r="H28" s="54" t="s">
        <v>36</v>
      </c>
      <c r="I28" s="42" t="s">
        <v>157</v>
      </c>
      <c r="J28" s="53">
        <v>30925.0</v>
      </c>
    </row>
    <row r="29" ht="60.0" customHeight="1">
      <c r="A29" s="39">
        <v>26.0</v>
      </c>
      <c r="B29" s="40" t="s">
        <v>158</v>
      </c>
      <c r="C29" s="40" t="s">
        <v>159</v>
      </c>
      <c r="D29" s="40" t="s">
        <v>160</v>
      </c>
      <c r="E29" s="40" t="s">
        <v>161</v>
      </c>
      <c r="F29" s="39" t="str">
        <f t="shared" si="1"/>
        <v>WRONG</v>
      </c>
      <c r="G29" s="39" t="s">
        <v>36</v>
      </c>
      <c r="H29" s="54" t="s">
        <v>48</v>
      </c>
      <c r="I29" s="42" t="s">
        <v>162</v>
      </c>
      <c r="J29" s="53">
        <v>34102.0</v>
      </c>
    </row>
    <row r="30" ht="60.0" customHeight="1">
      <c r="A30" s="39">
        <v>27.0</v>
      </c>
      <c r="B30" s="40" t="s">
        <v>163</v>
      </c>
      <c r="C30" s="40" t="s">
        <v>164</v>
      </c>
      <c r="D30" s="40" t="s">
        <v>165</v>
      </c>
      <c r="E30" s="40" t="s">
        <v>166</v>
      </c>
      <c r="F30" s="39" t="str">
        <f t="shared" si="1"/>
        <v>CORRECT</v>
      </c>
      <c r="G30" s="39" t="s">
        <v>37</v>
      </c>
      <c r="H30" s="54" t="s">
        <v>37</v>
      </c>
      <c r="I30" s="42" t="s">
        <v>167</v>
      </c>
      <c r="J30" s="53">
        <v>43248.0</v>
      </c>
    </row>
    <row r="31" ht="60.0" customHeight="1">
      <c r="A31" s="39">
        <v>28.0</v>
      </c>
      <c r="B31" s="40" t="s">
        <v>168</v>
      </c>
      <c r="C31" s="40" t="s">
        <v>169</v>
      </c>
      <c r="D31" s="40" t="s">
        <v>170</v>
      </c>
      <c r="E31" s="40" t="s">
        <v>171</v>
      </c>
      <c r="F31" s="39" t="str">
        <f t="shared" si="1"/>
        <v>CORRECT</v>
      </c>
      <c r="G31" s="39" t="s">
        <v>36</v>
      </c>
      <c r="H31" s="54" t="s">
        <v>36</v>
      </c>
      <c r="I31" s="42" t="s">
        <v>281</v>
      </c>
      <c r="J31" s="53">
        <v>35029.0</v>
      </c>
    </row>
    <row r="32" ht="60.0" customHeight="1">
      <c r="A32" s="39">
        <v>29.0</v>
      </c>
      <c r="B32" s="40" t="s">
        <v>173</v>
      </c>
      <c r="C32" s="40" t="s">
        <v>174</v>
      </c>
      <c r="D32" s="40" t="s">
        <v>175</v>
      </c>
      <c r="E32" s="40" t="s">
        <v>176</v>
      </c>
      <c r="F32" s="39" t="str">
        <f t="shared" si="1"/>
        <v>CORRECT</v>
      </c>
      <c r="G32" s="39" t="s">
        <v>37</v>
      </c>
      <c r="H32" s="53" t="s">
        <v>37</v>
      </c>
      <c r="I32" s="42" t="s">
        <v>177</v>
      </c>
      <c r="J32" s="53">
        <v>28736.0</v>
      </c>
    </row>
    <row r="33" ht="60.0" customHeight="1">
      <c r="A33" s="39">
        <v>30.0</v>
      </c>
      <c r="B33" s="40" t="s">
        <v>178</v>
      </c>
      <c r="C33" s="40" t="s">
        <v>179</v>
      </c>
      <c r="D33" s="40" t="s">
        <v>180</v>
      </c>
      <c r="E33" s="40" t="s">
        <v>181</v>
      </c>
      <c r="F33" s="39" t="str">
        <f t="shared" si="1"/>
        <v>WRONG</v>
      </c>
      <c r="G33" s="39" t="s">
        <v>48</v>
      </c>
      <c r="H33" s="53" t="s">
        <v>36</v>
      </c>
      <c r="I33" s="42" t="s">
        <v>282</v>
      </c>
      <c r="J33" s="53">
        <v>29766.0</v>
      </c>
    </row>
    <row r="34" ht="60.0" customHeight="1">
      <c r="A34" s="39">
        <v>31.0</v>
      </c>
      <c r="B34" s="40" t="s">
        <v>183</v>
      </c>
      <c r="C34" s="40" t="s">
        <v>184</v>
      </c>
      <c r="D34" s="40" t="s">
        <v>185</v>
      </c>
      <c r="E34" s="40" t="s">
        <v>186</v>
      </c>
      <c r="F34" s="39" t="str">
        <f t="shared" si="1"/>
        <v>WRONG</v>
      </c>
      <c r="G34" s="39" t="s">
        <v>37</v>
      </c>
      <c r="H34" s="53" t="s">
        <v>36</v>
      </c>
      <c r="I34" s="42" t="s">
        <v>187</v>
      </c>
      <c r="J34" s="53">
        <v>35463.0</v>
      </c>
    </row>
    <row r="35" ht="60.0" customHeight="1">
      <c r="A35" s="39">
        <v>32.0</v>
      </c>
      <c r="B35" s="40" t="s">
        <v>188</v>
      </c>
      <c r="C35" s="40" t="s">
        <v>189</v>
      </c>
      <c r="D35" s="40" t="s">
        <v>190</v>
      </c>
      <c r="E35" s="40" t="s">
        <v>191</v>
      </c>
      <c r="F35" s="39" t="str">
        <f t="shared" si="1"/>
        <v>CORRECT</v>
      </c>
      <c r="G35" s="39" t="s">
        <v>36</v>
      </c>
      <c r="H35" s="54" t="s">
        <v>36</v>
      </c>
      <c r="I35" s="42" t="s">
        <v>416</v>
      </c>
      <c r="J35" s="53">
        <v>36378.0</v>
      </c>
    </row>
    <row r="36" ht="60.0" customHeight="1">
      <c r="A36" s="39">
        <v>33.0</v>
      </c>
      <c r="B36" s="40" t="s">
        <v>193</v>
      </c>
      <c r="C36" s="40" t="s">
        <v>194</v>
      </c>
      <c r="D36" s="40" t="s">
        <v>195</v>
      </c>
      <c r="E36" s="40" t="s">
        <v>196</v>
      </c>
      <c r="F36" s="39" t="str">
        <f t="shared" si="1"/>
        <v>CORRECT</v>
      </c>
      <c r="G36" s="39" t="s">
        <v>48</v>
      </c>
      <c r="H36" s="54" t="s">
        <v>48</v>
      </c>
      <c r="I36" s="42" t="s">
        <v>197</v>
      </c>
      <c r="J36" s="53">
        <v>45100.0</v>
      </c>
    </row>
    <row r="37" ht="60.0" customHeight="1">
      <c r="A37" s="39">
        <v>34.0</v>
      </c>
      <c r="B37" s="40" t="s">
        <v>198</v>
      </c>
      <c r="C37" s="40" t="s">
        <v>199</v>
      </c>
      <c r="D37" s="40" t="s">
        <v>200</v>
      </c>
      <c r="E37" s="40" t="s">
        <v>201</v>
      </c>
      <c r="F37" s="39" t="str">
        <f t="shared" si="1"/>
        <v>CORRECT</v>
      </c>
      <c r="G37" s="39" t="s">
        <v>36</v>
      </c>
      <c r="H37" s="53" t="s">
        <v>36</v>
      </c>
      <c r="I37" s="42" t="s">
        <v>202</v>
      </c>
      <c r="J37" s="53">
        <v>30818.0</v>
      </c>
    </row>
    <row r="38" ht="60.0" customHeight="1">
      <c r="A38" s="39">
        <v>35.0</v>
      </c>
      <c r="B38" s="40" t="s">
        <v>203</v>
      </c>
      <c r="C38" s="40" t="s">
        <v>204</v>
      </c>
      <c r="D38" s="40" t="s">
        <v>205</v>
      </c>
      <c r="E38" s="40" t="s">
        <v>206</v>
      </c>
      <c r="F38" s="39" t="str">
        <f t="shared" si="1"/>
        <v>CORRECT</v>
      </c>
      <c r="G38" s="39" t="s">
        <v>48</v>
      </c>
      <c r="H38" s="53" t="s">
        <v>48</v>
      </c>
      <c r="I38" s="42" t="s">
        <v>207</v>
      </c>
      <c r="J38" s="53">
        <v>51359.0</v>
      </c>
    </row>
    <row r="39" ht="60.0" customHeight="1">
      <c r="A39" s="39">
        <v>36.0</v>
      </c>
      <c r="B39" s="40" t="s">
        <v>208</v>
      </c>
      <c r="C39" s="40" t="s">
        <v>209</v>
      </c>
      <c r="D39" s="40" t="s">
        <v>210</v>
      </c>
      <c r="E39" s="40" t="s">
        <v>211</v>
      </c>
      <c r="F39" s="39" t="str">
        <f t="shared" si="1"/>
        <v>CORRECT</v>
      </c>
      <c r="G39" s="39" t="s">
        <v>36</v>
      </c>
      <c r="H39" s="53" t="s">
        <v>36</v>
      </c>
      <c r="I39" s="42" t="s">
        <v>212</v>
      </c>
      <c r="J39" s="53">
        <v>22314.0</v>
      </c>
    </row>
    <row r="40" ht="60.0" customHeight="1">
      <c r="A40" s="39">
        <v>37.0</v>
      </c>
      <c r="B40" s="40" t="s">
        <v>213</v>
      </c>
      <c r="C40" s="40" t="s">
        <v>214</v>
      </c>
      <c r="D40" s="40" t="s">
        <v>215</v>
      </c>
      <c r="E40" s="40" t="s">
        <v>216</v>
      </c>
      <c r="F40" s="39" t="str">
        <f t="shared" si="1"/>
        <v>WRONG</v>
      </c>
      <c r="G40" s="39" t="s">
        <v>36</v>
      </c>
      <c r="H40" s="53" t="s">
        <v>37</v>
      </c>
      <c r="I40" s="42" t="s">
        <v>217</v>
      </c>
      <c r="J40" s="53">
        <v>23979.0</v>
      </c>
    </row>
    <row r="41" ht="60.0" customHeight="1">
      <c r="A41" s="39">
        <v>38.0</v>
      </c>
      <c r="B41" s="40" t="s">
        <v>218</v>
      </c>
      <c r="C41" s="40" t="s">
        <v>219</v>
      </c>
      <c r="D41" s="40" t="s">
        <v>220</v>
      </c>
      <c r="E41" s="40" t="s">
        <v>221</v>
      </c>
      <c r="F41" s="39" t="str">
        <f t="shared" si="1"/>
        <v>CORRECT</v>
      </c>
      <c r="G41" s="39" t="s">
        <v>36</v>
      </c>
      <c r="H41" s="53" t="s">
        <v>36</v>
      </c>
      <c r="I41" s="42" t="s">
        <v>222</v>
      </c>
      <c r="J41" s="53">
        <v>40404.0</v>
      </c>
    </row>
    <row r="42" ht="60.0" customHeight="1">
      <c r="A42" s="39">
        <v>39.0</v>
      </c>
      <c r="B42" s="40" t="s">
        <v>223</v>
      </c>
      <c r="C42" s="40" t="s">
        <v>224</v>
      </c>
      <c r="D42" s="40" t="s">
        <v>225</v>
      </c>
      <c r="E42" s="40" t="s">
        <v>226</v>
      </c>
      <c r="F42" s="39" t="str">
        <f t="shared" si="1"/>
        <v>CORRECT</v>
      </c>
      <c r="G42" s="39" t="s">
        <v>37</v>
      </c>
      <c r="H42" s="53" t="s">
        <v>37</v>
      </c>
      <c r="I42" s="42" t="s">
        <v>227</v>
      </c>
      <c r="J42" s="53">
        <v>31628.0</v>
      </c>
    </row>
    <row r="43" ht="60.0" customHeight="1">
      <c r="A43" s="39">
        <v>40.0</v>
      </c>
      <c r="B43" s="40" t="s">
        <v>228</v>
      </c>
      <c r="C43" s="40" t="s">
        <v>229</v>
      </c>
      <c r="D43" s="40" t="s">
        <v>230</v>
      </c>
      <c r="E43" s="40" t="s">
        <v>231</v>
      </c>
      <c r="F43" s="39" t="str">
        <f t="shared" si="1"/>
        <v>WRONG</v>
      </c>
      <c r="G43" s="39" t="s">
        <v>48</v>
      </c>
      <c r="H43" s="53" t="s">
        <v>37</v>
      </c>
      <c r="I43" s="42" t="s">
        <v>232</v>
      </c>
      <c r="J43" s="53">
        <v>41496.0</v>
      </c>
    </row>
    <row r="44" ht="60.0" customHeight="1">
      <c r="A44" s="39">
        <v>41.0</v>
      </c>
      <c r="B44" s="40" t="s">
        <v>233</v>
      </c>
      <c r="C44" s="40" t="s">
        <v>234</v>
      </c>
      <c r="D44" s="40" t="s">
        <v>235</v>
      </c>
      <c r="E44" s="40" t="s">
        <v>236</v>
      </c>
      <c r="F44" s="39" t="str">
        <f t="shared" si="1"/>
        <v>WRONG</v>
      </c>
      <c r="G44" s="39" t="s">
        <v>37</v>
      </c>
      <c r="H44" s="53" t="s">
        <v>36</v>
      </c>
      <c r="I44" s="42" t="s">
        <v>237</v>
      </c>
      <c r="J44" s="53">
        <v>21118.0</v>
      </c>
    </row>
    <row r="45" ht="60.0" customHeight="1">
      <c r="A45" s="39">
        <v>42.0</v>
      </c>
      <c r="B45" s="40" t="s">
        <v>238</v>
      </c>
      <c r="C45" s="40" t="s">
        <v>239</v>
      </c>
      <c r="D45" s="40" t="s">
        <v>240</v>
      </c>
      <c r="E45" s="40" t="s">
        <v>241</v>
      </c>
      <c r="F45" s="39" t="str">
        <f t="shared" si="1"/>
        <v>WRONG</v>
      </c>
      <c r="G45" s="39" t="s">
        <v>36</v>
      </c>
      <c r="H45" s="53" t="s">
        <v>37</v>
      </c>
      <c r="I45" s="42" t="s">
        <v>242</v>
      </c>
      <c r="J45" s="53">
        <v>28781.0</v>
      </c>
    </row>
    <row r="46" ht="60.0" customHeight="1">
      <c r="A46" s="39">
        <v>43.0</v>
      </c>
      <c r="B46" s="40" t="s">
        <v>243</v>
      </c>
      <c r="C46" s="40" t="s">
        <v>244</v>
      </c>
      <c r="D46" s="40" t="s">
        <v>245</v>
      </c>
      <c r="E46" s="40" t="s">
        <v>246</v>
      </c>
      <c r="F46" s="39" t="str">
        <f t="shared" si="1"/>
        <v>WRONG</v>
      </c>
      <c r="G46" s="39" t="s">
        <v>48</v>
      </c>
      <c r="H46" s="53" t="s">
        <v>36</v>
      </c>
      <c r="I46" s="42" t="s">
        <v>247</v>
      </c>
      <c r="J46" s="53">
        <v>22107.0</v>
      </c>
    </row>
    <row r="47" ht="60.0" customHeight="1">
      <c r="A47" s="39">
        <v>44.0</v>
      </c>
      <c r="B47" s="40" t="s">
        <v>248</v>
      </c>
      <c r="C47" s="40" t="s">
        <v>249</v>
      </c>
      <c r="D47" s="40" t="s">
        <v>250</v>
      </c>
      <c r="E47" s="40" t="s">
        <v>251</v>
      </c>
      <c r="F47" s="39" t="str">
        <f t="shared" si="1"/>
        <v>WRONG</v>
      </c>
      <c r="G47" s="39" t="s">
        <v>36</v>
      </c>
      <c r="H47" s="54" t="s">
        <v>48</v>
      </c>
      <c r="I47" s="42" t="s">
        <v>252</v>
      </c>
      <c r="J47" s="53">
        <v>32663.0</v>
      </c>
    </row>
    <row r="48" ht="60.0" customHeight="1">
      <c r="A48" s="39">
        <v>45.0</v>
      </c>
      <c r="B48" s="40" t="s">
        <v>253</v>
      </c>
      <c r="C48" s="40" t="s">
        <v>254</v>
      </c>
      <c r="D48" s="40" t="s">
        <v>255</v>
      </c>
      <c r="E48" s="40" t="s">
        <v>256</v>
      </c>
      <c r="F48" s="39" t="str">
        <f t="shared" si="1"/>
        <v>CORRECT</v>
      </c>
      <c r="G48" s="39" t="s">
        <v>36</v>
      </c>
      <c r="H48" s="53" t="s">
        <v>36</v>
      </c>
      <c r="I48" s="42" t="s">
        <v>417</v>
      </c>
      <c r="J48" s="53">
        <v>28647.0</v>
      </c>
    </row>
    <row r="49" ht="60.0" customHeight="1">
      <c r="A49" s="39">
        <v>46.0</v>
      </c>
      <c r="B49" s="40" t="s">
        <v>258</v>
      </c>
      <c r="C49" s="40" t="s">
        <v>40</v>
      </c>
      <c r="D49" s="40" t="s">
        <v>259</v>
      </c>
      <c r="E49" s="40" t="s">
        <v>260</v>
      </c>
      <c r="F49" s="39" t="str">
        <f t="shared" si="1"/>
        <v>CORRECT</v>
      </c>
      <c r="G49" s="39" t="s">
        <v>36</v>
      </c>
      <c r="H49" s="53" t="s">
        <v>36</v>
      </c>
      <c r="I49" s="42" t="s">
        <v>261</v>
      </c>
      <c r="J49" s="53">
        <v>20274.0</v>
      </c>
    </row>
    <row r="50">
      <c r="A50" s="44" t="s">
        <v>262</v>
      </c>
      <c r="B50" s="2"/>
      <c r="C50" s="2"/>
      <c r="D50" s="2"/>
      <c r="E50" s="3"/>
      <c r="F50" s="45">
        <f>COUNTIFS(F4:F49,"CORRECT")</f>
        <v>25</v>
      </c>
      <c r="G50" s="46"/>
      <c r="H50" s="46"/>
      <c r="J50" s="47">
        <f>AVERAGE(J4:J49)</f>
        <v>34129.52174</v>
      </c>
    </row>
    <row r="51">
      <c r="A51" s="48" t="s">
        <v>263</v>
      </c>
      <c r="B51" s="2"/>
      <c r="C51" s="2"/>
      <c r="D51" s="2"/>
      <c r="E51" s="3"/>
      <c r="F51" s="49">
        <v>46.0</v>
      </c>
      <c r="G51" s="46"/>
      <c r="H51" s="46"/>
    </row>
    <row r="52">
      <c r="A52" s="44" t="s">
        <v>264</v>
      </c>
      <c r="B52" s="2"/>
      <c r="C52" s="2"/>
      <c r="D52" s="2"/>
      <c r="E52" s="3"/>
      <c r="F52" s="50">
        <f>F50/F51</f>
        <v>0.5434782609</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418</v>
      </c>
      <c r="C2" s="2"/>
      <c r="D2" s="2"/>
      <c r="E2" s="2"/>
      <c r="F2" s="2"/>
      <c r="G2" s="2"/>
      <c r="H2" s="3"/>
      <c r="I2" s="37" t="s">
        <v>419</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3" t="s">
        <v>37</v>
      </c>
      <c r="I4" s="42" t="s">
        <v>420</v>
      </c>
      <c r="J4" s="53">
        <v>24781.0</v>
      </c>
    </row>
    <row r="5" ht="60.0" customHeight="1">
      <c r="A5" s="39">
        <v>2.0</v>
      </c>
      <c r="B5" s="40" t="s">
        <v>39</v>
      </c>
      <c r="C5" s="40" t="s">
        <v>40</v>
      </c>
      <c r="D5" s="40" t="s">
        <v>41</v>
      </c>
      <c r="E5" s="40" t="s">
        <v>42</v>
      </c>
      <c r="F5" s="39" t="str">
        <f t="shared" si="1"/>
        <v>CORRECT</v>
      </c>
      <c r="G5" s="39" t="s">
        <v>37</v>
      </c>
      <c r="H5" s="54" t="s">
        <v>37</v>
      </c>
      <c r="I5" s="42" t="s">
        <v>421</v>
      </c>
      <c r="J5" s="53">
        <v>30422.0</v>
      </c>
    </row>
    <row r="6" ht="60.0" customHeight="1">
      <c r="A6" s="39">
        <v>3.0</v>
      </c>
      <c r="B6" s="40" t="s">
        <v>44</v>
      </c>
      <c r="C6" s="40" t="s">
        <v>45</v>
      </c>
      <c r="D6" s="40" t="s">
        <v>46</v>
      </c>
      <c r="E6" s="40" t="s">
        <v>47</v>
      </c>
      <c r="F6" s="39" t="str">
        <f t="shared" si="1"/>
        <v>CORRECT</v>
      </c>
      <c r="G6" s="39" t="s">
        <v>48</v>
      </c>
      <c r="H6" s="53" t="s">
        <v>48</v>
      </c>
      <c r="I6" s="42" t="s">
        <v>422</v>
      </c>
      <c r="J6" s="53">
        <v>27323.0</v>
      </c>
    </row>
    <row r="7" ht="60.0" customHeight="1">
      <c r="A7" s="39">
        <v>4.0</v>
      </c>
      <c r="B7" s="40" t="s">
        <v>50</v>
      </c>
      <c r="C7" s="40" t="s">
        <v>51</v>
      </c>
      <c r="D7" s="40" t="s">
        <v>52</v>
      </c>
      <c r="E7" s="40" t="s">
        <v>53</v>
      </c>
      <c r="F7" s="39" t="str">
        <f t="shared" si="1"/>
        <v>WRONG</v>
      </c>
      <c r="G7" s="39" t="s">
        <v>37</v>
      </c>
      <c r="H7" s="54" t="s">
        <v>48</v>
      </c>
      <c r="I7" s="42" t="s">
        <v>423</v>
      </c>
      <c r="J7" s="53">
        <v>41286.0</v>
      </c>
    </row>
    <row r="8" ht="60.0" customHeight="1">
      <c r="A8" s="39">
        <v>5.0</v>
      </c>
      <c r="B8" s="40" t="s">
        <v>55</v>
      </c>
      <c r="C8" s="40" t="s">
        <v>56</v>
      </c>
      <c r="D8" s="40" t="s">
        <v>57</v>
      </c>
      <c r="E8" s="40" t="s">
        <v>58</v>
      </c>
      <c r="F8" s="39" t="str">
        <f t="shared" si="1"/>
        <v>WRONG</v>
      </c>
      <c r="G8" s="39" t="s">
        <v>48</v>
      </c>
      <c r="H8" s="54" t="s">
        <v>36</v>
      </c>
      <c r="I8" s="42" t="s">
        <v>424</v>
      </c>
      <c r="J8" s="53">
        <v>60742.0</v>
      </c>
    </row>
    <row r="9" ht="60.0" customHeight="1">
      <c r="A9" s="39">
        <v>6.0</v>
      </c>
      <c r="B9" s="40" t="s">
        <v>60</v>
      </c>
      <c r="C9" s="40" t="s">
        <v>61</v>
      </c>
      <c r="D9" s="40" t="s">
        <v>62</v>
      </c>
      <c r="E9" s="40" t="s">
        <v>63</v>
      </c>
      <c r="F9" s="39" t="str">
        <f t="shared" si="1"/>
        <v>CORRECT</v>
      </c>
      <c r="G9" s="39" t="s">
        <v>37</v>
      </c>
      <c r="H9" s="53" t="s">
        <v>37</v>
      </c>
      <c r="I9" s="42" t="s">
        <v>425</v>
      </c>
      <c r="J9" s="53">
        <v>37873.0</v>
      </c>
    </row>
    <row r="10" ht="60.0" customHeight="1">
      <c r="A10" s="39">
        <v>7.0</v>
      </c>
      <c r="B10" s="40" t="s">
        <v>65</v>
      </c>
      <c r="C10" s="40" t="s">
        <v>66</v>
      </c>
      <c r="D10" s="40" t="s">
        <v>67</v>
      </c>
      <c r="E10" s="40" t="s">
        <v>68</v>
      </c>
      <c r="F10" s="39" t="str">
        <f t="shared" si="1"/>
        <v>WRONG</v>
      </c>
      <c r="G10" s="39" t="s">
        <v>37</v>
      </c>
      <c r="H10" s="53" t="s">
        <v>36</v>
      </c>
      <c r="I10" s="42" t="s">
        <v>426</v>
      </c>
      <c r="J10" s="53">
        <v>30019.0</v>
      </c>
    </row>
    <row r="11" ht="60.0" customHeight="1">
      <c r="A11" s="39">
        <v>8.0</v>
      </c>
      <c r="B11" s="40" t="s">
        <v>70</v>
      </c>
      <c r="C11" s="40" t="s">
        <v>71</v>
      </c>
      <c r="D11" s="40" t="s">
        <v>72</v>
      </c>
      <c r="E11" s="40" t="s">
        <v>73</v>
      </c>
      <c r="F11" s="39" t="str">
        <f t="shared" si="1"/>
        <v>WRONG</v>
      </c>
      <c r="G11" s="39" t="s">
        <v>48</v>
      </c>
      <c r="H11" s="53" t="s">
        <v>37</v>
      </c>
      <c r="I11" s="42" t="s">
        <v>427</v>
      </c>
      <c r="J11" s="53">
        <v>32451.0</v>
      </c>
    </row>
    <row r="12" ht="60.0" customHeight="1">
      <c r="A12" s="39">
        <v>9.0</v>
      </c>
      <c r="B12" s="40" t="s">
        <v>75</v>
      </c>
      <c r="C12" s="40" t="s">
        <v>76</v>
      </c>
      <c r="D12" s="40" t="s">
        <v>77</v>
      </c>
      <c r="E12" s="40" t="s">
        <v>78</v>
      </c>
      <c r="F12" s="39" t="str">
        <f t="shared" si="1"/>
        <v>WRONG</v>
      </c>
      <c r="G12" s="39" t="s">
        <v>37</v>
      </c>
      <c r="H12" s="54" t="s">
        <v>48</v>
      </c>
      <c r="I12" s="42" t="s">
        <v>428</v>
      </c>
      <c r="J12" s="53">
        <v>33292.0</v>
      </c>
    </row>
    <row r="13" ht="60.0" customHeight="1">
      <c r="A13" s="39">
        <v>10.0</v>
      </c>
      <c r="B13" s="40" t="s">
        <v>80</v>
      </c>
      <c r="C13" s="40" t="s">
        <v>81</v>
      </c>
      <c r="D13" s="40" t="s">
        <v>82</v>
      </c>
      <c r="E13" s="40" t="s">
        <v>83</v>
      </c>
      <c r="F13" s="39" t="str">
        <f t="shared" si="1"/>
        <v>CORRECT</v>
      </c>
      <c r="G13" s="39" t="s">
        <v>48</v>
      </c>
      <c r="H13" s="53" t="s">
        <v>48</v>
      </c>
      <c r="I13" s="42" t="s">
        <v>429</v>
      </c>
      <c r="J13" s="53">
        <v>31325.0</v>
      </c>
    </row>
    <row r="14" ht="60.0" customHeight="1">
      <c r="A14" s="39">
        <v>11.0</v>
      </c>
      <c r="B14" s="40" t="s">
        <v>85</v>
      </c>
      <c r="C14" s="40" t="s">
        <v>86</v>
      </c>
      <c r="D14" s="40" t="s">
        <v>87</v>
      </c>
      <c r="E14" s="40" t="s">
        <v>88</v>
      </c>
      <c r="F14" s="39" t="str">
        <f t="shared" si="1"/>
        <v>WRONG</v>
      </c>
      <c r="G14" s="39" t="s">
        <v>37</v>
      </c>
      <c r="H14" s="54" t="s">
        <v>48</v>
      </c>
      <c r="I14" s="42" t="s">
        <v>430</v>
      </c>
      <c r="J14" s="53">
        <v>35465.0</v>
      </c>
    </row>
    <row r="15" ht="60.0" customHeight="1">
      <c r="A15" s="39">
        <v>12.0</v>
      </c>
      <c r="B15" s="40" t="s">
        <v>90</v>
      </c>
      <c r="C15" s="40" t="s">
        <v>91</v>
      </c>
      <c r="D15" s="40" t="s">
        <v>92</v>
      </c>
      <c r="E15" s="40" t="s">
        <v>93</v>
      </c>
      <c r="F15" s="39" t="str">
        <f t="shared" si="1"/>
        <v>WRONG</v>
      </c>
      <c r="G15" s="39" t="s">
        <v>48</v>
      </c>
      <c r="H15" s="54" t="s">
        <v>36</v>
      </c>
      <c r="I15" s="42" t="s">
        <v>431</v>
      </c>
      <c r="J15" s="53">
        <v>55695.0</v>
      </c>
    </row>
    <row r="16" ht="60.0" customHeight="1">
      <c r="A16" s="39">
        <v>13.0</v>
      </c>
      <c r="B16" s="40" t="s">
        <v>95</v>
      </c>
      <c r="C16" s="40" t="s">
        <v>96</v>
      </c>
      <c r="D16" s="40" t="s">
        <v>97</v>
      </c>
      <c r="E16" s="40" t="s">
        <v>98</v>
      </c>
      <c r="F16" s="39" t="str">
        <f t="shared" si="1"/>
        <v>CORRECT</v>
      </c>
      <c r="G16" s="39" t="s">
        <v>36</v>
      </c>
      <c r="H16" s="53" t="s">
        <v>36</v>
      </c>
      <c r="I16" s="42" t="s">
        <v>432</v>
      </c>
      <c r="J16" s="53">
        <v>24094.0</v>
      </c>
    </row>
    <row r="17" ht="60.0" customHeight="1">
      <c r="A17" s="39">
        <v>14.0</v>
      </c>
      <c r="B17" s="40" t="s">
        <v>100</v>
      </c>
      <c r="C17" s="40" t="s">
        <v>101</v>
      </c>
      <c r="D17" s="40" t="s">
        <v>102</v>
      </c>
      <c r="E17" s="40" t="s">
        <v>103</v>
      </c>
      <c r="F17" s="39" t="str">
        <f t="shared" si="1"/>
        <v>WRONG</v>
      </c>
      <c r="G17" s="39" t="s">
        <v>36</v>
      </c>
      <c r="H17" s="54" t="s">
        <v>48</v>
      </c>
      <c r="I17" s="42" t="s">
        <v>433</v>
      </c>
      <c r="J17" s="53">
        <v>36015.0</v>
      </c>
    </row>
    <row r="18" ht="60.0" customHeight="1">
      <c r="A18" s="39">
        <v>15.0</v>
      </c>
      <c r="B18" s="40" t="s">
        <v>105</v>
      </c>
      <c r="C18" s="40" t="s">
        <v>106</v>
      </c>
      <c r="D18" s="40" t="s">
        <v>107</v>
      </c>
      <c r="E18" s="40" t="s">
        <v>108</v>
      </c>
      <c r="F18" s="39" t="str">
        <f t="shared" si="1"/>
        <v>CORRECT</v>
      </c>
      <c r="G18" s="39" t="s">
        <v>48</v>
      </c>
      <c r="H18" s="53" t="s">
        <v>48</v>
      </c>
      <c r="I18" s="42" t="s">
        <v>434</v>
      </c>
      <c r="J18" s="53">
        <v>33258.0</v>
      </c>
    </row>
    <row r="19" ht="60.0" customHeight="1">
      <c r="A19" s="39">
        <v>16.0</v>
      </c>
      <c r="B19" s="40" t="s">
        <v>110</v>
      </c>
      <c r="C19" s="40" t="s">
        <v>111</v>
      </c>
      <c r="D19" s="40" t="s">
        <v>112</v>
      </c>
      <c r="E19" s="40" t="s">
        <v>113</v>
      </c>
      <c r="F19" s="39" t="str">
        <f t="shared" si="1"/>
        <v>CORRECT</v>
      </c>
      <c r="G19" s="39" t="s">
        <v>48</v>
      </c>
      <c r="H19" s="53" t="s">
        <v>48</v>
      </c>
      <c r="I19" s="42" t="s">
        <v>435</v>
      </c>
      <c r="J19" s="53">
        <v>29308.0</v>
      </c>
    </row>
    <row r="20" ht="60.0" customHeight="1">
      <c r="A20" s="39">
        <v>17.0</v>
      </c>
      <c r="B20" s="40" t="s">
        <v>115</v>
      </c>
      <c r="C20" s="40" t="s">
        <v>116</v>
      </c>
      <c r="D20" s="40" t="s">
        <v>117</v>
      </c>
      <c r="E20" s="40" t="s">
        <v>118</v>
      </c>
      <c r="F20" s="39" t="str">
        <f t="shared" si="1"/>
        <v>WRONG</v>
      </c>
      <c r="G20" s="39" t="s">
        <v>37</v>
      </c>
      <c r="H20" s="54" t="s">
        <v>36</v>
      </c>
      <c r="I20" s="42" t="s">
        <v>436</v>
      </c>
      <c r="J20" s="53">
        <v>18753.0</v>
      </c>
    </row>
    <row r="21" ht="60.0" customHeight="1">
      <c r="A21" s="39">
        <v>18.0</v>
      </c>
      <c r="B21" s="40" t="s">
        <v>120</v>
      </c>
      <c r="C21" s="40" t="s">
        <v>121</v>
      </c>
      <c r="D21" s="40" t="s">
        <v>122</v>
      </c>
      <c r="E21" s="40" t="s">
        <v>123</v>
      </c>
      <c r="F21" s="39" t="str">
        <f t="shared" si="1"/>
        <v>CORRECT</v>
      </c>
      <c r="G21" s="39" t="s">
        <v>37</v>
      </c>
      <c r="H21" s="53" t="s">
        <v>37</v>
      </c>
      <c r="I21" s="42" t="s">
        <v>437</v>
      </c>
      <c r="J21" s="53">
        <v>23631.0</v>
      </c>
    </row>
    <row r="22" ht="60.0" customHeight="1">
      <c r="A22" s="39">
        <v>19.0</v>
      </c>
      <c r="B22" s="40" t="s">
        <v>125</v>
      </c>
      <c r="C22" s="40" t="s">
        <v>126</v>
      </c>
      <c r="D22" s="40" t="s">
        <v>127</v>
      </c>
      <c r="E22" s="40" t="s">
        <v>128</v>
      </c>
      <c r="F22" s="39" t="str">
        <f t="shared" si="1"/>
        <v>WRONG</v>
      </c>
      <c r="G22" s="39" t="s">
        <v>36</v>
      </c>
      <c r="H22" s="54" t="s">
        <v>48</v>
      </c>
      <c r="I22" s="42" t="s">
        <v>438</v>
      </c>
      <c r="J22" s="53">
        <v>30860.0</v>
      </c>
    </row>
    <row r="23" ht="60.0" customHeight="1">
      <c r="A23" s="39">
        <v>20.0</v>
      </c>
      <c r="B23" s="40" t="s">
        <v>130</v>
      </c>
      <c r="C23" s="40" t="s">
        <v>131</v>
      </c>
      <c r="D23" s="40" t="s">
        <v>132</v>
      </c>
      <c r="E23" s="40" t="s">
        <v>133</v>
      </c>
      <c r="F23" s="39" t="str">
        <f t="shared" si="1"/>
        <v>WRONG</v>
      </c>
      <c r="G23" s="39" t="s">
        <v>37</v>
      </c>
      <c r="H23" s="53" t="s">
        <v>48</v>
      </c>
      <c r="I23" s="42" t="s">
        <v>439</v>
      </c>
      <c r="J23" s="53">
        <v>30809.0</v>
      </c>
    </row>
    <row r="24" ht="60.0" customHeight="1">
      <c r="A24" s="39">
        <v>21.0</v>
      </c>
      <c r="B24" s="40" t="s">
        <v>135</v>
      </c>
      <c r="C24" s="40" t="s">
        <v>136</v>
      </c>
      <c r="D24" s="40" t="s">
        <v>137</v>
      </c>
      <c r="E24" s="40" t="s">
        <v>138</v>
      </c>
      <c r="F24" s="39" t="str">
        <f t="shared" si="1"/>
        <v>WRONG</v>
      </c>
      <c r="G24" s="39" t="s">
        <v>37</v>
      </c>
      <c r="H24" s="53" t="s">
        <v>36</v>
      </c>
      <c r="I24" s="42" t="s">
        <v>440</v>
      </c>
      <c r="J24" s="53">
        <v>54605.0</v>
      </c>
    </row>
    <row r="25" ht="60.0" customHeight="1">
      <c r="A25" s="39">
        <v>22.0</v>
      </c>
      <c r="B25" s="40" t="s">
        <v>140</v>
      </c>
      <c r="C25" s="40" t="s">
        <v>141</v>
      </c>
      <c r="D25" s="40" t="s">
        <v>142</v>
      </c>
      <c r="E25" s="40" t="s">
        <v>143</v>
      </c>
      <c r="F25" s="39" t="str">
        <f t="shared" si="1"/>
        <v>CORRECT</v>
      </c>
      <c r="G25" s="39" t="s">
        <v>37</v>
      </c>
      <c r="H25" s="53" t="s">
        <v>37</v>
      </c>
      <c r="I25" s="42" t="s">
        <v>441</v>
      </c>
      <c r="J25" s="53">
        <v>24376.0</v>
      </c>
    </row>
    <row r="26" ht="60.0" customHeight="1">
      <c r="A26" s="39">
        <v>23.0</v>
      </c>
      <c r="B26" s="40" t="s">
        <v>145</v>
      </c>
      <c r="C26" s="40" t="s">
        <v>146</v>
      </c>
      <c r="D26" s="40" t="s">
        <v>147</v>
      </c>
      <c r="E26" s="40" t="s">
        <v>148</v>
      </c>
      <c r="F26" s="39" t="str">
        <f t="shared" si="1"/>
        <v>CORRECT</v>
      </c>
      <c r="G26" s="39" t="s">
        <v>48</v>
      </c>
      <c r="H26" s="53" t="s">
        <v>48</v>
      </c>
      <c r="I26" s="42" t="s">
        <v>442</v>
      </c>
      <c r="J26" s="53">
        <v>20693.0</v>
      </c>
    </row>
    <row r="27" ht="60.0" customHeight="1">
      <c r="A27" s="39">
        <v>24.0</v>
      </c>
      <c r="B27" s="40" t="s">
        <v>150</v>
      </c>
      <c r="C27" s="40" t="s">
        <v>151</v>
      </c>
      <c r="D27" s="40" t="s">
        <v>152</v>
      </c>
      <c r="E27" s="40" t="s">
        <v>153</v>
      </c>
      <c r="F27" s="39" t="str">
        <f t="shared" si="1"/>
        <v>WRONG</v>
      </c>
      <c r="G27" s="39" t="s">
        <v>36</v>
      </c>
      <c r="H27" s="53" t="s">
        <v>48</v>
      </c>
      <c r="I27" s="42" t="s">
        <v>443</v>
      </c>
      <c r="J27" s="53">
        <v>27396.0</v>
      </c>
    </row>
    <row r="28" ht="60.0" customHeight="1">
      <c r="A28" s="39">
        <v>25.0</v>
      </c>
      <c r="B28" s="40" t="s">
        <v>155</v>
      </c>
      <c r="C28" s="40" t="s">
        <v>151</v>
      </c>
      <c r="D28" s="40" t="s">
        <v>156</v>
      </c>
      <c r="E28" s="40" t="s">
        <v>153</v>
      </c>
      <c r="F28" s="39" t="str">
        <f t="shared" si="1"/>
        <v>WRONG</v>
      </c>
      <c r="G28" s="39" t="s">
        <v>48</v>
      </c>
      <c r="H28" s="54" t="s">
        <v>36</v>
      </c>
      <c r="I28" s="42" t="s">
        <v>444</v>
      </c>
      <c r="J28" s="53">
        <v>35203.0</v>
      </c>
    </row>
    <row r="29" ht="60.0" customHeight="1">
      <c r="A29" s="39">
        <v>26.0</v>
      </c>
      <c r="B29" s="40" t="s">
        <v>158</v>
      </c>
      <c r="C29" s="40" t="s">
        <v>159</v>
      </c>
      <c r="D29" s="40" t="s">
        <v>160</v>
      </c>
      <c r="E29" s="40" t="s">
        <v>161</v>
      </c>
      <c r="F29" s="39" t="str">
        <f t="shared" si="1"/>
        <v>WRONG</v>
      </c>
      <c r="G29" s="39" t="s">
        <v>36</v>
      </c>
      <c r="H29" s="54" t="s">
        <v>37</v>
      </c>
      <c r="I29" s="42" t="s">
        <v>445</v>
      </c>
      <c r="J29" s="53">
        <v>19990.0</v>
      </c>
    </row>
    <row r="30" ht="60.0" customHeight="1">
      <c r="A30" s="39">
        <v>27.0</v>
      </c>
      <c r="B30" s="40" t="s">
        <v>163</v>
      </c>
      <c r="C30" s="40" t="s">
        <v>164</v>
      </c>
      <c r="D30" s="40" t="s">
        <v>165</v>
      </c>
      <c r="E30" s="40" t="s">
        <v>166</v>
      </c>
      <c r="F30" s="39" t="str">
        <f t="shared" si="1"/>
        <v>CORRECT</v>
      </c>
      <c r="G30" s="39" t="s">
        <v>37</v>
      </c>
      <c r="H30" s="54" t="s">
        <v>37</v>
      </c>
      <c r="I30" s="42" t="s">
        <v>446</v>
      </c>
      <c r="J30" s="53">
        <v>31495.0</v>
      </c>
    </row>
    <row r="31" ht="60.0" customHeight="1">
      <c r="A31" s="39">
        <v>28.0</v>
      </c>
      <c r="B31" s="40" t="s">
        <v>168</v>
      </c>
      <c r="C31" s="40" t="s">
        <v>169</v>
      </c>
      <c r="D31" s="40" t="s">
        <v>170</v>
      </c>
      <c r="E31" s="40" t="s">
        <v>171</v>
      </c>
      <c r="F31" s="39" t="str">
        <f t="shared" si="1"/>
        <v>CORRECT</v>
      </c>
      <c r="G31" s="39" t="s">
        <v>36</v>
      </c>
      <c r="H31" s="53" t="s">
        <v>36</v>
      </c>
      <c r="I31" s="42" t="s">
        <v>447</v>
      </c>
      <c r="J31" s="53">
        <v>21641.0</v>
      </c>
    </row>
    <row r="32" ht="60.0" customHeight="1">
      <c r="A32" s="39">
        <v>29.0</v>
      </c>
      <c r="B32" s="40" t="s">
        <v>173</v>
      </c>
      <c r="C32" s="40" t="s">
        <v>174</v>
      </c>
      <c r="D32" s="40" t="s">
        <v>175</v>
      </c>
      <c r="E32" s="40" t="s">
        <v>176</v>
      </c>
      <c r="F32" s="39" t="str">
        <f t="shared" si="1"/>
        <v>CORRECT</v>
      </c>
      <c r="G32" s="39" t="s">
        <v>37</v>
      </c>
      <c r="H32" s="53" t="s">
        <v>37</v>
      </c>
      <c r="I32" s="42" t="s">
        <v>448</v>
      </c>
      <c r="J32" s="53">
        <v>29207.0</v>
      </c>
    </row>
    <row r="33" ht="60.0" customHeight="1">
      <c r="A33" s="39">
        <v>30.0</v>
      </c>
      <c r="B33" s="40" t="s">
        <v>178</v>
      </c>
      <c r="C33" s="40" t="s">
        <v>179</v>
      </c>
      <c r="D33" s="40" t="s">
        <v>180</v>
      </c>
      <c r="E33" s="40" t="s">
        <v>181</v>
      </c>
      <c r="F33" s="39" t="str">
        <f t="shared" si="1"/>
        <v>WRONG</v>
      </c>
      <c r="G33" s="39" t="s">
        <v>48</v>
      </c>
      <c r="H33" s="53" t="s">
        <v>36</v>
      </c>
      <c r="I33" s="42" t="s">
        <v>449</v>
      </c>
      <c r="J33" s="53">
        <v>30403.0</v>
      </c>
    </row>
    <row r="34" ht="60.0" customHeight="1">
      <c r="A34" s="39">
        <v>31.0</v>
      </c>
      <c r="B34" s="40" t="s">
        <v>183</v>
      </c>
      <c r="C34" s="40" t="s">
        <v>184</v>
      </c>
      <c r="D34" s="40" t="s">
        <v>185</v>
      </c>
      <c r="E34" s="40" t="s">
        <v>186</v>
      </c>
      <c r="F34" s="39" t="str">
        <f t="shared" si="1"/>
        <v>WRONG</v>
      </c>
      <c r="G34" s="39" t="s">
        <v>37</v>
      </c>
      <c r="H34" s="53" t="s">
        <v>36</v>
      </c>
      <c r="I34" s="42" t="s">
        <v>450</v>
      </c>
      <c r="J34" s="53">
        <v>34685.0</v>
      </c>
    </row>
    <row r="35" ht="60.0" customHeight="1">
      <c r="A35" s="39">
        <v>32.0</v>
      </c>
      <c r="B35" s="40" t="s">
        <v>188</v>
      </c>
      <c r="C35" s="40" t="s">
        <v>189</v>
      </c>
      <c r="D35" s="40" t="s">
        <v>190</v>
      </c>
      <c r="E35" s="40" t="s">
        <v>191</v>
      </c>
      <c r="F35" s="39" t="str">
        <f t="shared" si="1"/>
        <v>CORRECT</v>
      </c>
      <c r="G35" s="39" t="s">
        <v>36</v>
      </c>
      <c r="H35" s="54" t="s">
        <v>36</v>
      </c>
      <c r="I35" s="42" t="s">
        <v>451</v>
      </c>
      <c r="J35" s="53">
        <v>69673.0</v>
      </c>
    </row>
    <row r="36" ht="60.0" customHeight="1">
      <c r="A36" s="39">
        <v>33.0</v>
      </c>
      <c r="B36" s="40" t="s">
        <v>193</v>
      </c>
      <c r="C36" s="40" t="s">
        <v>194</v>
      </c>
      <c r="D36" s="40" t="s">
        <v>195</v>
      </c>
      <c r="E36" s="40" t="s">
        <v>196</v>
      </c>
      <c r="F36" s="39" t="str">
        <f t="shared" si="1"/>
        <v>CORRECT</v>
      </c>
      <c r="G36" s="39" t="s">
        <v>48</v>
      </c>
      <c r="H36" s="54" t="s">
        <v>48</v>
      </c>
      <c r="I36" s="42" t="s">
        <v>452</v>
      </c>
      <c r="J36" s="53">
        <v>40944.0</v>
      </c>
    </row>
    <row r="37" ht="60.0" customHeight="1">
      <c r="A37" s="39">
        <v>34.0</v>
      </c>
      <c r="B37" s="40" t="s">
        <v>198</v>
      </c>
      <c r="C37" s="40" t="s">
        <v>199</v>
      </c>
      <c r="D37" s="40" t="s">
        <v>200</v>
      </c>
      <c r="E37" s="40" t="s">
        <v>201</v>
      </c>
      <c r="F37" s="39" t="str">
        <f t="shared" si="1"/>
        <v>CORRECT</v>
      </c>
      <c r="G37" s="39" t="s">
        <v>36</v>
      </c>
      <c r="H37" s="53" t="s">
        <v>36</v>
      </c>
      <c r="I37" s="42" t="s">
        <v>453</v>
      </c>
      <c r="J37" s="53">
        <v>38145.0</v>
      </c>
    </row>
    <row r="38" ht="60.0" customHeight="1">
      <c r="A38" s="39">
        <v>35.0</v>
      </c>
      <c r="B38" s="40" t="s">
        <v>203</v>
      </c>
      <c r="C38" s="40" t="s">
        <v>204</v>
      </c>
      <c r="D38" s="40" t="s">
        <v>205</v>
      </c>
      <c r="E38" s="40" t="s">
        <v>206</v>
      </c>
      <c r="F38" s="39" t="str">
        <f t="shared" si="1"/>
        <v>CORRECT</v>
      </c>
      <c r="G38" s="39" t="s">
        <v>48</v>
      </c>
      <c r="H38" s="53" t="s">
        <v>48</v>
      </c>
      <c r="I38" s="42" t="s">
        <v>454</v>
      </c>
      <c r="J38" s="53">
        <v>43375.0</v>
      </c>
    </row>
    <row r="39" ht="60.0" customHeight="1">
      <c r="A39" s="39">
        <v>36.0</v>
      </c>
      <c r="B39" s="40" t="s">
        <v>208</v>
      </c>
      <c r="C39" s="40" t="s">
        <v>209</v>
      </c>
      <c r="D39" s="40" t="s">
        <v>210</v>
      </c>
      <c r="E39" s="40" t="s">
        <v>211</v>
      </c>
      <c r="F39" s="39" t="str">
        <f t="shared" si="1"/>
        <v>CORRECT</v>
      </c>
      <c r="G39" s="39" t="s">
        <v>36</v>
      </c>
      <c r="H39" s="53" t="s">
        <v>36</v>
      </c>
      <c r="I39" s="42" t="s">
        <v>455</v>
      </c>
      <c r="J39" s="53">
        <v>35403.0</v>
      </c>
    </row>
    <row r="40" ht="60.0" customHeight="1">
      <c r="A40" s="39">
        <v>37.0</v>
      </c>
      <c r="B40" s="40" t="s">
        <v>213</v>
      </c>
      <c r="C40" s="40" t="s">
        <v>214</v>
      </c>
      <c r="D40" s="40" t="s">
        <v>215</v>
      </c>
      <c r="E40" s="40" t="s">
        <v>216</v>
      </c>
      <c r="F40" s="39" t="str">
        <f t="shared" si="1"/>
        <v>WRONG</v>
      </c>
      <c r="G40" s="39" t="s">
        <v>36</v>
      </c>
      <c r="H40" s="53" t="s">
        <v>37</v>
      </c>
      <c r="I40" s="42" t="s">
        <v>456</v>
      </c>
      <c r="J40" s="53">
        <v>31630.0</v>
      </c>
    </row>
    <row r="41" ht="60.0" customHeight="1">
      <c r="A41" s="39">
        <v>38.0</v>
      </c>
      <c r="B41" s="40" t="s">
        <v>218</v>
      </c>
      <c r="C41" s="40" t="s">
        <v>219</v>
      </c>
      <c r="D41" s="40" t="s">
        <v>220</v>
      </c>
      <c r="E41" s="40" t="s">
        <v>221</v>
      </c>
      <c r="F41" s="39" t="str">
        <f t="shared" si="1"/>
        <v>CORRECT</v>
      </c>
      <c r="G41" s="39" t="s">
        <v>36</v>
      </c>
      <c r="H41" s="53" t="s">
        <v>36</v>
      </c>
      <c r="I41" s="42" t="s">
        <v>457</v>
      </c>
      <c r="J41" s="53">
        <v>29916.0</v>
      </c>
    </row>
    <row r="42" ht="60.0" customHeight="1">
      <c r="A42" s="39">
        <v>39.0</v>
      </c>
      <c r="B42" s="40" t="s">
        <v>223</v>
      </c>
      <c r="C42" s="40" t="s">
        <v>224</v>
      </c>
      <c r="D42" s="40" t="s">
        <v>225</v>
      </c>
      <c r="E42" s="40" t="s">
        <v>226</v>
      </c>
      <c r="F42" s="39" t="str">
        <f t="shared" si="1"/>
        <v>CORRECT</v>
      </c>
      <c r="G42" s="39" t="s">
        <v>37</v>
      </c>
      <c r="H42" s="53" t="s">
        <v>37</v>
      </c>
      <c r="I42" s="42" t="s">
        <v>458</v>
      </c>
      <c r="J42" s="53">
        <v>14906.0</v>
      </c>
    </row>
    <row r="43" ht="60.0" customHeight="1">
      <c r="A43" s="39">
        <v>40.0</v>
      </c>
      <c r="B43" s="40" t="s">
        <v>228</v>
      </c>
      <c r="C43" s="40" t="s">
        <v>229</v>
      </c>
      <c r="D43" s="40" t="s">
        <v>230</v>
      </c>
      <c r="E43" s="40" t="s">
        <v>231</v>
      </c>
      <c r="F43" s="39" t="str">
        <f t="shared" si="1"/>
        <v>CORRECT</v>
      </c>
      <c r="G43" s="39" t="s">
        <v>48</v>
      </c>
      <c r="H43" s="53" t="s">
        <v>48</v>
      </c>
      <c r="I43" s="42" t="s">
        <v>459</v>
      </c>
      <c r="J43" s="53">
        <v>33371.0</v>
      </c>
    </row>
    <row r="44" ht="60.0" customHeight="1">
      <c r="A44" s="39">
        <v>41.0</v>
      </c>
      <c r="B44" s="40" t="s">
        <v>233</v>
      </c>
      <c r="C44" s="40" t="s">
        <v>234</v>
      </c>
      <c r="D44" s="40" t="s">
        <v>235</v>
      </c>
      <c r="E44" s="40" t="s">
        <v>236</v>
      </c>
      <c r="F44" s="39" t="str">
        <f t="shared" si="1"/>
        <v>WRONG</v>
      </c>
      <c r="G44" s="39" t="s">
        <v>37</v>
      </c>
      <c r="H44" s="53" t="s">
        <v>36</v>
      </c>
      <c r="I44" s="42" t="s">
        <v>460</v>
      </c>
      <c r="J44" s="53">
        <v>46214.0</v>
      </c>
    </row>
    <row r="45" ht="60.0" customHeight="1">
      <c r="A45" s="39">
        <v>42.0</v>
      </c>
      <c r="B45" s="40" t="s">
        <v>238</v>
      </c>
      <c r="C45" s="40" t="s">
        <v>239</v>
      </c>
      <c r="D45" s="40" t="s">
        <v>240</v>
      </c>
      <c r="E45" s="40" t="s">
        <v>241</v>
      </c>
      <c r="F45" s="39" t="str">
        <f t="shared" si="1"/>
        <v>WRONG</v>
      </c>
      <c r="G45" s="39" t="s">
        <v>36</v>
      </c>
      <c r="H45" s="53" t="s">
        <v>37</v>
      </c>
      <c r="I45" s="42" t="s">
        <v>461</v>
      </c>
      <c r="J45" s="53">
        <v>35733.0</v>
      </c>
    </row>
    <row r="46" ht="60.0" customHeight="1">
      <c r="A46" s="39">
        <v>43.0</v>
      </c>
      <c r="B46" s="40" t="s">
        <v>243</v>
      </c>
      <c r="C46" s="40" t="s">
        <v>244</v>
      </c>
      <c r="D46" s="40" t="s">
        <v>245</v>
      </c>
      <c r="E46" s="40" t="s">
        <v>246</v>
      </c>
      <c r="F46" s="39" t="str">
        <f t="shared" si="1"/>
        <v>CORRECT</v>
      </c>
      <c r="G46" s="39" t="s">
        <v>48</v>
      </c>
      <c r="H46" s="54" t="s">
        <v>48</v>
      </c>
      <c r="I46" s="42" t="s">
        <v>462</v>
      </c>
      <c r="J46" s="53">
        <v>39469.0</v>
      </c>
    </row>
    <row r="47" ht="60.0" customHeight="1">
      <c r="A47" s="39">
        <v>44.0</v>
      </c>
      <c r="B47" s="40" t="s">
        <v>248</v>
      </c>
      <c r="C47" s="40" t="s">
        <v>249</v>
      </c>
      <c r="D47" s="40" t="s">
        <v>250</v>
      </c>
      <c r="E47" s="40" t="s">
        <v>251</v>
      </c>
      <c r="F47" s="39" t="str">
        <f t="shared" si="1"/>
        <v>WRONG</v>
      </c>
      <c r="G47" s="39" t="s">
        <v>36</v>
      </c>
      <c r="H47" s="54" t="s">
        <v>48</v>
      </c>
      <c r="I47" s="42" t="s">
        <v>463</v>
      </c>
      <c r="J47" s="53">
        <v>28778.0</v>
      </c>
    </row>
    <row r="48" ht="60.0" customHeight="1">
      <c r="A48" s="39">
        <v>45.0</v>
      </c>
      <c r="B48" s="40" t="s">
        <v>253</v>
      </c>
      <c r="C48" s="40" t="s">
        <v>254</v>
      </c>
      <c r="D48" s="40" t="s">
        <v>255</v>
      </c>
      <c r="E48" s="40" t="s">
        <v>256</v>
      </c>
      <c r="F48" s="39" t="str">
        <f t="shared" si="1"/>
        <v>CORRECT</v>
      </c>
      <c r="G48" s="39" t="s">
        <v>36</v>
      </c>
      <c r="H48" s="53" t="s">
        <v>36</v>
      </c>
      <c r="I48" s="42" t="s">
        <v>464</v>
      </c>
      <c r="J48" s="53">
        <v>27285.0</v>
      </c>
    </row>
    <row r="49" ht="60.0" customHeight="1">
      <c r="A49" s="39">
        <v>46.0</v>
      </c>
      <c r="B49" s="40" t="s">
        <v>258</v>
      </c>
      <c r="C49" s="40" t="s">
        <v>40</v>
      </c>
      <c r="D49" s="40" t="s">
        <v>259</v>
      </c>
      <c r="E49" s="40" t="s">
        <v>260</v>
      </c>
      <c r="F49" s="39" t="str">
        <f t="shared" si="1"/>
        <v>CORRECT</v>
      </c>
      <c r="G49" s="39" t="s">
        <v>36</v>
      </c>
      <c r="H49" s="53" t="s">
        <v>36</v>
      </c>
      <c r="I49" s="42" t="s">
        <v>465</v>
      </c>
      <c r="J49" s="53">
        <v>22509.0</v>
      </c>
    </row>
    <row r="50">
      <c r="A50" s="44" t="s">
        <v>262</v>
      </c>
      <c r="B50" s="2"/>
      <c r="C50" s="2"/>
      <c r="D50" s="2"/>
      <c r="E50" s="3"/>
      <c r="F50" s="45">
        <f>COUNTIFS(F4:F49,"CORRECT")</f>
        <v>24</v>
      </c>
      <c r="G50" s="46"/>
      <c r="H50" s="46"/>
      <c r="J50" s="47">
        <f>AVERAGE(J4:J49)</f>
        <v>33357.54348</v>
      </c>
    </row>
    <row r="51">
      <c r="A51" s="48" t="s">
        <v>263</v>
      </c>
      <c r="B51" s="2"/>
      <c r="C51" s="2"/>
      <c r="D51" s="2"/>
      <c r="E51" s="3"/>
      <c r="F51" s="49">
        <v>46.0</v>
      </c>
      <c r="G51" s="46"/>
      <c r="H51" s="46"/>
    </row>
    <row r="52">
      <c r="A52" s="44" t="s">
        <v>264</v>
      </c>
      <c r="B52" s="2"/>
      <c r="C52" s="2"/>
      <c r="D52" s="2"/>
      <c r="E52" s="3"/>
      <c r="F52" s="50">
        <f>F50/F51</f>
        <v>0.5217391304</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3" max="5" width="12.63"/>
    <col customWidth="1" min="6" max="6" width="10.25"/>
    <col customWidth="1" min="7" max="7" width="7.63"/>
    <col customWidth="1" min="8" max="8" width="11.13"/>
    <col customWidth="1" min="9" max="9" width="100.13"/>
  </cols>
  <sheetData>
    <row r="1">
      <c r="A1" s="33" t="s">
        <v>18</v>
      </c>
      <c r="B1" s="2"/>
      <c r="C1" s="2"/>
      <c r="D1" s="2"/>
      <c r="E1" s="2"/>
      <c r="F1" s="2"/>
      <c r="G1" s="2"/>
      <c r="H1" s="2"/>
      <c r="I1" s="3"/>
      <c r="J1" s="34"/>
      <c r="K1" s="34"/>
      <c r="L1" s="34"/>
      <c r="M1" s="34"/>
      <c r="N1" s="34"/>
      <c r="O1" s="34"/>
      <c r="P1" s="34"/>
      <c r="Q1" s="34"/>
      <c r="R1" s="34"/>
      <c r="S1" s="34"/>
      <c r="T1" s="34"/>
      <c r="U1" s="34"/>
      <c r="V1" s="34"/>
      <c r="W1" s="34"/>
      <c r="X1" s="34"/>
      <c r="Y1" s="34"/>
      <c r="Z1" s="34"/>
      <c r="AA1" s="34"/>
    </row>
    <row r="2">
      <c r="A2" s="35" t="s">
        <v>19</v>
      </c>
      <c r="B2" s="36" t="s">
        <v>466</v>
      </c>
      <c r="C2" s="2"/>
      <c r="D2" s="2"/>
      <c r="E2" s="2"/>
      <c r="F2" s="2"/>
      <c r="G2" s="2"/>
      <c r="H2" s="3"/>
      <c r="I2" s="37" t="s">
        <v>467</v>
      </c>
      <c r="J2" s="3"/>
      <c r="K2" s="34"/>
      <c r="L2" s="34"/>
      <c r="M2" s="34"/>
      <c r="N2" s="34"/>
      <c r="O2" s="34"/>
      <c r="P2" s="34"/>
      <c r="Q2" s="34"/>
      <c r="R2" s="34"/>
      <c r="S2" s="34"/>
      <c r="T2" s="34"/>
      <c r="U2" s="34"/>
      <c r="V2" s="34"/>
      <c r="W2" s="34"/>
      <c r="X2" s="34"/>
      <c r="Y2" s="34"/>
      <c r="Z2" s="34"/>
      <c r="AA2" s="34"/>
    </row>
    <row r="3">
      <c r="A3" s="35" t="s">
        <v>22</v>
      </c>
      <c r="B3" s="35" t="s">
        <v>23</v>
      </c>
      <c r="C3" s="35" t="s">
        <v>24</v>
      </c>
      <c r="D3" s="35" t="s">
        <v>25</v>
      </c>
      <c r="E3" s="35" t="s">
        <v>26</v>
      </c>
      <c r="F3" s="35" t="s">
        <v>27</v>
      </c>
      <c r="G3" s="35" t="s">
        <v>28</v>
      </c>
      <c r="H3" s="35" t="s">
        <v>29</v>
      </c>
      <c r="I3" s="38" t="s">
        <v>30</v>
      </c>
      <c r="J3" s="38" t="s">
        <v>31</v>
      </c>
      <c r="K3" s="34"/>
      <c r="L3" s="34"/>
      <c r="M3" s="34"/>
      <c r="N3" s="34"/>
      <c r="O3" s="34"/>
      <c r="P3" s="34"/>
      <c r="Q3" s="34"/>
      <c r="R3" s="34"/>
      <c r="S3" s="34"/>
      <c r="T3" s="34"/>
      <c r="U3" s="34"/>
      <c r="V3" s="34"/>
      <c r="W3" s="34"/>
      <c r="X3" s="34"/>
      <c r="Y3" s="34"/>
      <c r="Z3" s="34"/>
      <c r="AA3" s="34"/>
    </row>
    <row r="4" ht="60.0" customHeight="1">
      <c r="A4" s="39">
        <v>1.0</v>
      </c>
      <c r="B4" s="40" t="s">
        <v>32</v>
      </c>
      <c r="C4" s="40" t="s">
        <v>33</v>
      </c>
      <c r="D4" s="40" t="s">
        <v>34</v>
      </c>
      <c r="E4" s="40" t="s">
        <v>35</v>
      </c>
      <c r="F4" s="39" t="str">
        <f t="shared" ref="F4:F49" si="1">IF(G4=H4,"CORRECT","WRONG")</f>
        <v>WRONG</v>
      </c>
      <c r="G4" s="39" t="s">
        <v>36</v>
      </c>
      <c r="H4" s="54" t="s">
        <v>37</v>
      </c>
      <c r="I4" s="55" t="s">
        <v>468</v>
      </c>
      <c r="J4" s="53">
        <v>36535.0</v>
      </c>
    </row>
    <row r="5" ht="60.0" customHeight="1">
      <c r="A5" s="39">
        <v>2.0</v>
      </c>
      <c r="B5" s="40" t="s">
        <v>39</v>
      </c>
      <c r="C5" s="40" t="s">
        <v>40</v>
      </c>
      <c r="D5" s="40" t="s">
        <v>41</v>
      </c>
      <c r="E5" s="40" t="s">
        <v>42</v>
      </c>
      <c r="F5" s="39" t="str">
        <f t="shared" si="1"/>
        <v>CORRECT</v>
      </c>
      <c r="G5" s="39" t="s">
        <v>37</v>
      </c>
      <c r="H5" s="54" t="s">
        <v>37</v>
      </c>
      <c r="I5" s="42" t="s">
        <v>469</v>
      </c>
      <c r="J5" s="53">
        <v>34203.0</v>
      </c>
    </row>
    <row r="6" ht="60.0" customHeight="1">
      <c r="A6" s="39">
        <v>3.0</v>
      </c>
      <c r="B6" s="40" t="s">
        <v>44</v>
      </c>
      <c r="C6" s="40" t="s">
        <v>45</v>
      </c>
      <c r="D6" s="40" t="s">
        <v>46</v>
      </c>
      <c r="E6" s="40" t="s">
        <v>47</v>
      </c>
      <c r="F6" s="39" t="str">
        <f t="shared" si="1"/>
        <v>CORRECT</v>
      </c>
      <c r="G6" s="39" t="s">
        <v>48</v>
      </c>
      <c r="H6" s="54" t="s">
        <v>48</v>
      </c>
      <c r="I6" s="55" t="s">
        <v>470</v>
      </c>
      <c r="J6" s="53">
        <v>12387.0</v>
      </c>
    </row>
    <row r="7" ht="60.0" customHeight="1">
      <c r="A7" s="39">
        <v>4.0</v>
      </c>
      <c r="B7" s="40" t="s">
        <v>50</v>
      </c>
      <c r="C7" s="40" t="s">
        <v>51</v>
      </c>
      <c r="D7" s="40" t="s">
        <v>52</v>
      </c>
      <c r="E7" s="40" t="s">
        <v>53</v>
      </c>
      <c r="F7" s="39" t="str">
        <f t="shared" si="1"/>
        <v>WRONG</v>
      </c>
      <c r="G7" s="39" t="s">
        <v>37</v>
      </c>
      <c r="H7" s="54" t="s">
        <v>48</v>
      </c>
      <c r="I7" s="42" t="s">
        <v>471</v>
      </c>
      <c r="J7" s="53">
        <v>50296.0</v>
      </c>
    </row>
    <row r="8" ht="60.0" customHeight="1">
      <c r="A8" s="39">
        <v>5.0</v>
      </c>
      <c r="B8" s="40" t="s">
        <v>55</v>
      </c>
      <c r="C8" s="40" t="s">
        <v>56</v>
      </c>
      <c r="D8" s="40" t="s">
        <v>57</v>
      </c>
      <c r="E8" s="40" t="s">
        <v>58</v>
      </c>
      <c r="F8" s="39" t="str">
        <f t="shared" si="1"/>
        <v>WRONG</v>
      </c>
      <c r="G8" s="39" t="s">
        <v>48</v>
      </c>
      <c r="H8" s="54" t="s">
        <v>36</v>
      </c>
      <c r="I8" s="42" t="s">
        <v>472</v>
      </c>
      <c r="J8" s="53">
        <v>67632.0</v>
      </c>
    </row>
    <row r="9" ht="60.0" customHeight="1">
      <c r="A9" s="39">
        <v>6.0</v>
      </c>
      <c r="B9" s="40" t="s">
        <v>60</v>
      </c>
      <c r="C9" s="40" t="s">
        <v>61</v>
      </c>
      <c r="D9" s="40" t="s">
        <v>62</v>
      </c>
      <c r="E9" s="40" t="s">
        <v>63</v>
      </c>
      <c r="F9" s="39" t="str">
        <f t="shared" si="1"/>
        <v>WRONG</v>
      </c>
      <c r="G9" s="39" t="s">
        <v>37</v>
      </c>
      <c r="H9" s="54" t="s">
        <v>473</v>
      </c>
      <c r="I9" s="42" t="s">
        <v>474</v>
      </c>
      <c r="J9" s="53">
        <v>33869.0</v>
      </c>
    </row>
    <row r="10" ht="60.0" customHeight="1">
      <c r="A10" s="39">
        <v>7.0</v>
      </c>
      <c r="B10" s="40" t="s">
        <v>65</v>
      </c>
      <c r="C10" s="40" t="s">
        <v>66</v>
      </c>
      <c r="D10" s="40" t="s">
        <v>67</v>
      </c>
      <c r="E10" s="40" t="s">
        <v>68</v>
      </c>
      <c r="F10" s="39" t="str">
        <f t="shared" si="1"/>
        <v>WRONG</v>
      </c>
      <c r="G10" s="39" t="s">
        <v>37</v>
      </c>
      <c r="H10" s="54" t="s">
        <v>48</v>
      </c>
      <c r="I10" s="42" t="s">
        <v>475</v>
      </c>
      <c r="J10" s="53">
        <v>35987.0</v>
      </c>
    </row>
    <row r="11" ht="60.0" customHeight="1">
      <c r="A11" s="39">
        <v>8.0</v>
      </c>
      <c r="B11" s="40" t="s">
        <v>70</v>
      </c>
      <c r="C11" s="40" t="s">
        <v>71</v>
      </c>
      <c r="D11" s="40" t="s">
        <v>72</v>
      </c>
      <c r="E11" s="40" t="s">
        <v>73</v>
      </c>
      <c r="F11" s="39" t="str">
        <f t="shared" si="1"/>
        <v>CORRECT</v>
      </c>
      <c r="G11" s="39" t="s">
        <v>48</v>
      </c>
      <c r="H11" s="54" t="s">
        <v>48</v>
      </c>
      <c r="I11" s="42" t="s">
        <v>476</v>
      </c>
      <c r="J11" s="53">
        <v>25714.0</v>
      </c>
    </row>
    <row r="12" ht="60.0" customHeight="1">
      <c r="A12" s="39">
        <v>9.0</v>
      </c>
      <c r="B12" s="40" t="s">
        <v>75</v>
      </c>
      <c r="C12" s="40" t="s">
        <v>76</v>
      </c>
      <c r="D12" s="40" t="s">
        <v>77</v>
      </c>
      <c r="E12" s="40" t="s">
        <v>78</v>
      </c>
      <c r="F12" s="39" t="str">
        <f t="shared" si="1"/>
        <v>CORRECT</v>
      </c>
      <c r="G12" s="39" t="s">
        <v>37</v>
      </c>
      <c r="H12" s="54" t="s">
        <v>37</v>
      </c>
      <c r="I12" s="55" t="s">
        <v>477</v>
      </c>
      <c r="J12" s="53">
        <v>42927.0</v>
      </c>
    </row>
    <row r="13" ht="60.0" customHeight="1">
      <c r="A13" s="39">
        <v>10.0</v>
      </c>
      <c r="B13" s="40" t="s">
        <v>80</v>
      </c>
      <c r="C13" s="40" t="s">
        <v>81</v>
      </c>
      <c r="D13" s="40" t="s">
        <v>82</v>
      </c>
      <c r="E13" s="40" t="s">
        <v>83</v>
      </c>
      <c r="F13" s="39" t="str">
        <f t="shared" si="1"/>
        <v>CORRECT</v>
      </c>
      <c r="G13" s="39" t="s">
        <v>48</v>
      </c>
      <c r="H13" s="54" t="s">
        <v>48</v>
      </c>
      <c r="I13" s="42" t="s">
        <v>478</v>
      </c>
      <c r="J13" s="53">
        <v>26618.0</v>
      </c>
    </row>
    <row r="14" ht="60.0" customHeight="1">
      <c r="A14" s="39">
        <v>11.0</v>
      </c>
      <c r="B14" s="40" t="s">
        <v>85</v>
      </c>
      <c r="C14" s="40" t="s">
        <v>86</v>
      </c>
      <c r="D14" s="40" t="s">
        <v>87</v>
      </c>
      <c r="E14" s="40" t="s">
        <v>88</v>
      </c>
      <c r="F14" s="39" t="str">
        <f t="shared" si="1"/>
        <v>WRONG</v>
      </c>
      <c r="G14" s="39" t="s">
        <v>37</v>
      </c>
      <c r="H14" s="54" t="s">
        <v>48</v>
      </c>
      <c r="I14" s="42" t="s">
        <v>479</v>
      </c>
      <c r="J14" s="53">
        <v>29971.0</v>
      </c>
    </row>
    <row r="15" ht="60.0" customHeight="1">
      <c r="A15" s="39">
        <v>12.0</v>
      </c>
      <c r="B15" s="40" t="s">
        <v>90</v>
      </c>
      <c r="C15" s="40" t="s">
        <v>91</v>
      </c>
      <c r="D15" s="40" t="s">
        <v>92</v>
      </c>
      <c r="E15" s="40" t="s">
        <v>93</v>
      </c>
      <c r="F15" s="39" t="str">
        <f t="shared" si="1"/>
        <v>CORRECT</v>
      </c>
      <c r="G15" s="39" t="s">
        <v>48</v>
      </c>
      <c r="H15" s="54" t="s">
        <v>48</v>
      </c>
      <c r="I15" s="42" t="s">
        <v>480</v>
      </c>
      <c r="J15" s="53">
        <v>45004.0</v>
      </c>
    </row>
    <row r="16" ht="60.0" customHeight="1">
      <c r="A16" s="39">
        <v>13.0</v>
      </c>
      <c r="B16" s="40" t="s">
        <v>95</v>
      </c>
      <c r="C16" s="40" t="s">
        <v>96</v>
      </c>
      <c r="D16" s="40" t="s">
        <v>97</v>
      </c>
      <c r="E16" s="40" t="s">
        <v>98</v>
      </c>
      <c r="F16" s="39" t="str">
        <f t="shared" si="1"/>
        <v>CORRECT</v>
      </c>
      <c r="G16" s="39" t="s">
        <v>36</v>
      </c>
      <c r="H16" s="54" t="s">
        <v>36</v>
      </c>
      <c r="I16" s="42" t="s">
        <v>481</v>
      </c>
      <c r="J16" s="53">
        <v>22516.0</v>
      </c>
    </row>
    <row r="17" ht="60.0" customHeight="1">
      <c r="A17" s="39">
        <v>14.0</v>
      </c>
      <c r="B17" s="40" t="s">
        <v>100</v>
      </c>
      <c r="C17" s="40" t="s">
        <v>101</v>
      </c>
      <c r="D17" s="40" t="s">
        <v>102</v>
      </c>
      <c r="E17" s="40" t="s">
        <v>103</v>
      </c>
      <c r="F17" s="39" t="str">
        <f t="shared" si="1"/>
        <v>WRONG</v>
      </c>
      <c r="G17" s="39" t="s">
        <v>36</v>
      </c>
      <c r="H17" s="54" t="s">
        <v>48</v>
      </c>
      <c r="I17" s="55" t="s">
        <v>482</v>
      </c>
      <c r="J17" s="53">
        <v>55970.0</v>
      </c>
    </row>
    <row r="18" ht="60.0" customHeight="1">
      <c r="A18" s="39">
        <v>15.0</v>
      </c>
      <c r="B18" s="40" t="s">
        <v>105</v>
      </c>
      <c r="C18" s="40" t="s">
        <v>106</v>
      </c>
      <c r="D18" s="40" t="s">
        <v>107</v>
      </c>
      <c r="E18" s="40" t="s">
        <v>108</v>
      </c>
      <c r="F18" s="39" t="str">
        <f t="shared" si="1"/>
        <v>CORRECT</v>
      </c>
      <c r="G18" s="39" t="s">
        <v>48</v>
      </c>
      <c r="H18" s="53" t="s">
        <v>48</v>
      </c>
      <c r="I18" s="42" t="s">
        <v>483</v>
      </c>
      <c r="J18" s="53">
        <v>29479.0</v>
      </c>
    </row>
    <row r="19" ht="60.0" customHeight="1">
      <c r="A19" s="39">
        <v>16.0</v>
      </c>
      <c r="B19" s="40" t="s">
        <v>110</v>
      </c>
      <c r="C19" s="40" t="s">
        <v>111</v>
      </c>
      <c r="D19" s="40" t="s">
        <v>112</v>
      </c>
      <c r="E19" s="40" t="s">
        <v>113</v>
      </c>
      <c r="F19" s="39" t="str">
        <f t="shared" si="1"/>
        <v>CORRECT</v>
      </c>
      <c r="G19" s="39" t="s">
        <v>48</v>
      </c>
      <c r="H19" s="54" t="s">
        <v>48</v>
      </c>
      <c r="I19" s="42" t="s">
        <v>484</v>
      </c>
      <c r="J19" s="53">
        <v>28895.0</v>
      </c>
    </row>
    <row r="20" ht="60.0" customHeight="1">
      <c r="A20" s="39">
        <v>17.0</v>
      </c>
      <c r="B20" s="40" t="s">
        <v>115</v>
      </c>
      <c r="C20" s="40" t="s">
        <v>116</v>
      </c>
      <c r="D20" s="40" t="s">
        <v>117</v>
      </c>
      <c r="E20" s="40" t="s">
        <v>118</v>
      </c>
      <c r="F20" s="39" t="str">
        <f t="shared" si="1"/>
        <v>CORRECT</v>
      </c>
      <c r="G20" s="39" t="s">
        <v>37</v>
      </c>
      <c r="H20" s="54" t="s">
        <v>37</v>
      </c>
      <c r="I20" s="42" t="s">
        <v>485</v>
      </c>
      <c r="J20" s="53">
        <v>29423.0</v>
      </c>
    </row>
    <row r="21" ht="60.0" customHeight="1">
      <c r="A21" s="39">
        <v>18.0</v>
      </c>
      <c r="B21" s="40" t="s">
        <v>120</v>
      </c>
      <c r="C21" s="40" t="s">
        <v>121</v>
      </c>
      <c r="D21" s="40" t="s">
        <v>122</v>
      </c>
      <c r="E21" s="40" t="s">
        <v>123</v>
      </c>
      <c r="F21" s="39" t="str">
        <f t="shared" si="1"/>
        <v>CORRECT</v>
      </c>
      <c r="G21" s="39" t="s">
        <v>37</v>
      </c>
      <c r="H21" s="53" t="s">
        <v>37</v>
      </c>
      <c r="I21" s="42" t="s">
        <v>486</v>
      </c>
      <c r="J21" s="53">
        <v>64309.0</v>
      </c>
    </row>
    <row r="22" ht="60.0" customHeight="1">
      <c r="A22" s="39">
        <v>19.0</v>
      </c>
      <c r="B22" s="40" t="s">
        <v>125</v>
      </c>
      <c r="C22" s="40" t="s">
        <v>126</v>
      </c>
      <c r="D22" s="40" t="s">
        <v>127</v>
      </c>
      <c r="E22" s="40" t="s">
        <v>128</v>
      </c>
      <c r="F22" s="39" t="str">
        <f t="shared" si="1"/>
        <v>WRONG</v>
      </c>
      <c r="G22" s="39" t="s">
        <v>36</v>
      </c>
      <c r="H22" s="54" t="s">
        <v>37</v>
      </c>
      <c r="I22" s="42" t="s">
        <v>487</v>
      </c>
      <c r="J22" s="53">
        <v>29845.0</v>
      </c>
    </row>
    <row r="23" ht="60.0" customHeight="1">
      <c r="A23" s="39">
        <v>20.0</v>
      </c>
      <c r="B23" s="40" t="s">
        <v>130</v>
      </c>
      <c r="C23" s="40" t="s">
        <v>131</v>
      </c>
      <c r="D23" s="40" t="s">
        <v>132</v>
      </c>
      <c r="E23" s="40" t="s">
        <v>133</v>
      </c>
      <c r="F23" s="39" t="str">
        <f t="shared" si="1"/>
        <v>CORRECT</v>
      </c>
      <c r="G23" s="39" t="s">
        <v>37</v>
      </c>
      <c r="H23" s="54" t="s">
        <v>37</v>
      </c>
      <c r="I23" s="42" t="s">
        <v>488</v>
      </c>
      <c r="J23" s="53">
        <v>30136.0</v>
      </c>
    </row>
    <row r="24" ht="60.0" customHeight="1">
      <c r="A24" s="39">
        <v>21.0</v>
      </c>
      <c r="B24" s="40" t="s">
        <v>135</v>
      </c>
      <c r="C24" s="40" t="s">
        <v>136</v>
      </c>
      <c r="D24" s="40" t="s">
        <v>137</v>
      </c>
      <c r="E24" s="40" t="s">
        <v>138</v>
      </c>
      <c r="F24" s="39" t="str">
        <f t="shared" si="1"/>
        <v>WRONG</v>
      </c>
      <c r="G24" s="39" t="s">
        <v>37</v>
      </c>
      <c r="H24" s="54" t="s">
        <v>36</v>
      </c>
      <c r="I24" s="42" t="s">
        <v>489</v>
      </c>
      <c r="J24" s="53">
        <v>21683.0</v>
      </c>
    </row>
    <row r="25" ht="60.0" customHeight="1">
      <c r="A25" s="39">
        <v>22.0</v>
      </c>
      <c r="B25" s="40" t="s">
        <v>140</v>
      </c>
      <c r="C25" s="40" t="s">
        <v>141</v>
      </c>
      <c r="D25" s="40" t="s">
        <v>142</v>
      </c>
      <c r="E25" s="40" t="s">
        <v>143</v>
      </c>
      <c r="F25" s="39" t="str">
        <f t="shared" si="1"/>
        <v>WRONG</v>
      </c>
      <c r="G25" s="39" t="s">
        <v>37</v>
      </c>
      <c r="H25" s="54" t="s">
        <v>490</v>
      </c>
      <c r="I25" s="42" t="s">
        <v>491</v>
      </c>
      <c r="J25" s="53">
        <v>4955.0</v>
      </c>
    </row>
    <row r="26" ht="60.0" customHeight="1">
      <c r="A26" s="39">
        <v>23.0</v>
      </c>
      <c r="B26" s="40" t="s">
        <v>145</v>
      </c>
      <c r="C26" s="40" t="s">
        <v>146</v>
      </c>
      <c r="D26" s="40" t="s">
        <v>147</v>
      </c>
      <c r="E26" s="40" t="s">
        <v>148</v>
      </c>
      <c r="F26" s="39" t="str">
        <f t="shared" si="1"/>
        <v>CORRECT</v>
      </c>
      <c r="G26" s="39" t="s">
        <v>48</v>
      </c>
      <c r="H26" s="54" t="s">
        <v>48</v>
      </c>
      <c r="I26" s="42" t="s">
        <v>492</v>
      </c>
      <c r="J26" s="53">
        <v>32252.0</v>
      </c>
    </row>
    <row r="27" ht="60.0" customHeight="1">
      <c r="A27" s="39">
        <v>24.0</v>
      </c>
      <c r="B27" s="40" t="s">
        <v>150</v>
      </c>
      <c r="C27" s="40" t="s">
        <v>151</v>
      </c>
      <c r="D27" s="40" t="s">
        <v>152</v>
      </c>
      <c r="E27" s="40" t="s">
        <v>153</v>
      </c>
      <c r="F27" s="39" t="str">
        <f t="shared" si="1"/>
        <v>WRONG</v>
      </c>
      <c r="G27" s="39" t="s">
        <v>36</v>
      </c>
      <c r="H27" s="54" t="s">
        <v>48</v>
      </c>
      <c r="I27" s="42" t="s">
        <v>493</v>
      </c>
      <c r="J27" s="53">
        <v>38107.0</v>
      </c>
    </row>
    <row r="28" ht="60.0" customHeight="1">
      <c r="A28" s="39">
        <v>25.0</v>
      </c>
      <c r="B28" s="40" t="s">
        <v>155</v>
      </c>
      <c r="C28" s="40" t="s">
        <v>151</v>
      </c>
      <c r="D28" s="40" t="s">
        <v>156</v>
      </c>
      <c r="E28" s="40" t="s">
        <v>153</v>
      </c>
      <c r="F28" s="39" t="str">
        <f t="shared" si="1"/>
        <v>CORRECT</v>
      </c>
      <c r="G28" s="39" t="s">
        <v>48</v>
      </c>
      <c r="H28" s="54" t="s">
        <v>48</v>
      </c>
      <c r="I28" s="42" t="s">
        <v>494</v>
      </c>
      <c r="J28" s="53">
        <v>26004.0</v>
      </c>
    </row>
    <row r="29" ht="60.0" customHeight="1">
      <c r="A29" s="39">
        <v>26.0</v>
      </c>
      <c r="B29" s="40" t="s">
        <v>158</v>
      </c>
      <c r="C29" s="40" t="s">
        <v>159</v>
      </c>
      <c r="D29" s="40" t="s">
        <v>160</v>
      </c>
      <c r="E29" s="40" t="s">
        <v>161</v>
      </c>
      <c r="F29" s="39" t="str">
        <f t="shared" si="1"/>
        <v>CORRECT</v>
      </c>
      <c r="G29" s="39" t="s">
        <v>36</v>
      </c>
      <c r="H29" s="54" t="s">
        <v>36</v>
      </c>
      <c r="I29" s="42" t="s">
        <v>495</v>
      </c>
      <c r="J29" s="53">
        <v>29919.0</v>
      </c>
    </row>
    <row r="30" ht="60.0" customHeight="1">
      <c r="A30" s="39">
        <v>27.0</v>
      </c>
      <c r="B30" s="40" t="s">
        <v>163</v>
      </c>
      <c r="C30" s="40" t="s">
        <v>164</v>
      </c>
      <c r="D30" s="40" t="s">
        <v>165</v>
      </c>
      <c r="E30" s="40" t="s">
        <v>166</v>
      </c>
      <c r="F30" s="39" t="str">
        <f t="shared" si="1"/>
        <v>CORRECT</v>
      </c>
      <c r="G30" s="39" t="s">
        <v>37</v>
      </c>
      <c r="H30" s="54" t="s">
        <v>37</v>
      </c>
      <c r="I30" s="42" t="s">
        <v>496</v>
      </c>
      <c r="J30" s="53">
        <v>30808.0</v>
      </c>
    </row>
    <row r="31" ht="60.0" customHeight="1">
      <c r="A31" s="39">
        <v>28.0</v>
      </c>
      <c r="B31" s="40" t="s">
        <v>168</v>
      </c>
      <c r="C31" s="40" t="s">
        <v>169</v>
      </c>
      <c r="D31" s="40" t="s">
        <v>170</v>
      </c>
      <c r="E31" s="40" t="s">
        <v>171</v>
      </c>
      <c r="F31" s="39" t="str">
        <f t="shared" si="1"/>
        <v>WRONG</v>
      </c>
      <c r="G31" s="39" t="s">
        <v>36</v>
      </c>
      <c r="H31" s="54" t="s">
        <v>37</v>
      </c>
      <c r="I31" s="42" t="s">
        <v>497</v>
      </c>
      <c r="J31" s="53">
        <v>34069.0</v>
      </c>
    </row>
    <row r="32" ht="60.0" customHeight="1">
      <c r="A32" s="39">
        <v>29.0</v>
      </c>
      <c r="B32" s="40" t="s">
        <v>173</v>
      </c>
      <c r="C32" s="40" t="s">
        <v>174</v>
      </c>
      <c r="D32" s="40" t="s">
        <v>175</v>
      </c>
      <c r="E32" s="40" t="s">
        <v>176</v>
      </c>
      <c r="F32" s="39" t="str">
        <f t="shared" si="1"/>
        <v>CORRECT</v>
      </c>
      <c r="G32" s="39" t="s">
        <v>37</v>
      </c>
      <c r="H32" s="54" t="s">
        <v>37</v>
      </c>
      <c r="I32" s="42" t="s">
        <v>498</v>
      </c>
      <c r="J32" s="53">
        <v>30295.0</v>
      </c>
    </row>
    <row r="33" ht="60.0" customHeight="1">
      <c r="A33" s="39">
        <v>30.0</v>
      </c>
      <c r="B33" s="40" t="s">
        <v>178</v>
      </c>
      <c r="C33" s="40" t="s">
        <v>179</v>
      </c>
      <c r="D33" s="40" t="s">
        <v>180</v>
      </c>
      <c r="E33" s="40" t="s">
        <v>181</v>
      </c>
      <c r="F33" s="39" t="str">
        <f t="shared" si="1"/>
        <v>WRONG</v>
      </c>
      <c r="G33" s="39" t="s">
        <v>48</v>
      </c>
      <c r="H33" s="54" t="s">
        <v>36</v>
      </c>
      <c r="I33" s="42" t="s">
        <v>499</v>
      </c>
      <c r="J33" s="53">
        <v>46602.0</v>
      </c>
    </row>
    <row r="34" ht="60.0" customHeight="1">
      <c r="A34" s="39">
        <v>31.0</v>
      </c>
      <c r="B34" s="40" t="s">
        <v>183</v>
      </c>
      <c r="C34" s="40" t="s">
        <v>184</v>
      </c>
      <c r="D34" s="40" t="s">
        <v>185</v>
      </c>
      <c r="E34" s="40" t="s">
        <v>186</v>
      </c>
      <c r="F34" s="39" t="str">
        <f t="shared" si="1"/>
        <v>WRONG</v>
      </c>
      <c r="G34" s="39" t="s">
        <v>37</v>
      </c>
      <c r="H34" s="54" t="s">
        <v>36</v>
      </c>
      <c r="I34" s="42" t="s">
        <v>500</v>
      </c>
      <c r="J34" s="53">
        <v>20471.0</v>
      </c>
    </row>
    <row r="35" ht="60.0" customHeight="1">
      <c r="A35" s="39">
        <v>32.0</v>
      </c>
      <c r="B35" s="40" t="s">
        <v>188</v>
      </c>
      <c r="C35" s="40" t="s">
        <v>189</v>
      </c>
      <c r="D35" s="40" t="s">
        <v>190</v>
      </c>
      <c r="E35" s="40" t="s">
        <v>191</v>
      </c>
      <c r="F35" s="39" t="str">
        <f t="shared" si="1"/>
        <v>WRONG</v>
      </c>
      <c r="G35" s="39" t="s">
        <v>36</v>
      </c>
      <c r="H35" s="54" t="s">
        <v>48</v>
      </c>
      <c r="I35" s="42" t="s">
        <v>501</v>
      </c>
      <c r="J35" s="53">
        <v>36378.0</v>
      </c>
    </row>
    <row r="36" ht="60.0" customHeight="1">
      <c r="A36" s="39">
        <v>33.0</v>
      </c>
      <c r="B36" s="40" t="s">
        <v>193</v>
      </c>
      <c r="C36" s="40" t="s">
        <v>194</v>
      </c>
      <c r="D36" s="40" t="s">
        <v>195</v>
      </c>
      <c r="E36" s="40" t="s">
        <v>196</v>
      </c>
      <c r="F36" s="39" t="str">
        <f t="shared" si="1"/>
        <v>CORRECT</v>
      </c>
      <c r="G36" s="39" t="s">
        <v>48</v>
      </c>
      <c r="H36" s="54" t="s">
        <v>48</v>
      </c>
      <c r="I36" s="42" t="s">
        <v>502</v>
      </c>
      <c r="J36" s="53">
        <v>39856.0</v>
      </c>
    </row>
    <row r="37" ht="60.0" customHeight="1">
      <c r="A37" s="39">
        <v>34.0</v>
      </c>
      <c r="B37" s="40" t="s">
        <v>198</v>
      </c>
      <c r="C37" s="40" t="s">
        <v>199</v>
      </c>
      <c r="D37" s="40" t="s">
        <v>200</v>
      </c>
      <c r="E37" s="40" t="s">
        <v>201</v>
      </c>
      <c r="F37" s="39" t="str">
        <f t="shared" si="1"/>
        <v>WRONG</v>
      </c>
      <c r="G37" s="39" t="s">
        <v>36</v>
      </c>
      <c r="H37" s="54" t="s">
        <v>490</v>
      </c>
      <c r="I37" s="42" t="s">
        <v>503</v>
      </c>
      <c r="J37" s="53">
        <v>100104.0</v>
      </c>
    </row>
    <row r="38" ht="60.0" customHeight="1">
      <c r="A38" s="39">
        <v>35.0</v>
      </c>
      <c r="B38" s="40" t="s">
        <v>203</v>
      </c>
      <c r="C38" s="40" t="s">
        <v>204</v>
      </c>
      <c r="D38" s="40" t="s">
        <v>205</v>
      </c>
      <c r="E38" s="40" t="s">
        <v>206</v>
      </c>
      <c r="F38" s="39" t="str">
        <f t="shared" si="1"/>
        <v>CORRECT</v>
      </c>
      <c r="G38" s="39" t="s">
        <v>48</v>
      </c>
      <c r="H38" s="54" t="s">
        <v>48</v>
      </c>
      <c r="I38" s="42" t="s">
        <v>504</v>
      </c>
      <c r="J38" s="53">
        <v>22382.0</v>
      </c>
    </row>
    <row r="39" ht="60.0" customHeight="1">
      <c r="A39" s="39">
        <v>36.0</v>
      </c>
      <c r="B39" s="40" t="s">
        <v>208</v>
      </c>
      <c r="C39" s="40" t="s">
        <v>209</v>
      </c>
      <c r="D39" s="40" t="s">
        <v>210</v>
      </c>
      <c r="E39" s="40" t="s">
        <v>211</v>
      </c>
      <c r="F39" s="39" t="str">
        <f t="shared" si="1"/>
        <v>WRONG</v>
      </c>
      <c r="G39" s="39" t="s">
        <v>36</v>
      </c>
      <c r="H39" s="54" t="s">
        <v>37</v>
      </c>
      <c r="I39" s="42" t="s">
        <v>505</v>
      </c>
      <c r="J39" s="53">
        <v>31832.0</v>
      </c>
    </row>
    <row r="40" ht="60.0" customHeight="1">
      <c r="A40" s="39">
        <v>37.0</v>
      </c>
      <c r="B40" s="40" t="s">
        <v>213</v>
      </c>
      <c r="C40" s="40" t="s">
        <v>214</v>
      </c>
      <c r="D40" s="40" t="s">
        <v>215</v>
      </c>
      <c r="E40" s="40" t="s">
        <v>216</v>
      </c>
      <c r="F40" s="39" t="str">
        <f t="shared" si="1"/>
        <v>WRONG</v>
      </c>
      <c r="G40" s="39" t="s">
        <v>36</v>
      </c>
      <c r="H40" s="54" t="s">
        <v>37</v>
      </c>
      <c r="I40" s="42" t="s">
        <v>506</v>
      </c>
      <c r="J40" s="53">
        <v>46381.0</v>
      </c>
    </row>
    <row r="41" ht="60.0" customHeight="1">
      <c r="A41" s="39">
        <v>38.0</v>
      </c>
      <c r="B41" s="40" t="s">
        <v>218</v>
      </c>
      <c r="C41" s="40" t="s">
        <v>219</v>
      </c>
      <c r="D41" s="40" t="s">
        <v>220</v>
      </c>
      <c r="E41" s="40" t="s">
        <v>221</v>
      </c>
      <c r="F41" s="39" t="str">
        <f t="shared" si="1"/>
        <v>CORRECT</v>
      </c>
      <c r="G41" s="39" t="s">
        <v>36</v>
      </c>
      <c r="H41" s="54" t="s">
        <v>36</v>
      </c>
      <c r="I41" s="42" t="s">
        <v>507</v>
      </c>
      <c r="J41" s="53">
        <v>55106.0</v>
      </c>
    </row>
    <row r="42" ht="60.0" customHeight="1">
      <c r="A42" s="39">
        <v>39.0</v>
      </c>
      <c r="B42" s="40" t="s">
        <v>223</v>
      </c>
      <c r="C42" s="40" t="s">
        <v>224</v>
      </c>
      <c r="D42" s="40" t="s">
        <v>225</v>
      </c>
      <c r="E42" s="40" t="s">
        <v>226</v>
      </c>
      <c r="F42" s="39" t="str">
        <f t="shared" si="1"/>
        <v>WRONG</v>
      </c>
      <c r="G42" s="39" t="s">
        <v>37</v>
      </c>
      <c r="H42" s="54" t="s">
        <v>490</v>
      </c>
      <c r="I42" s="42" t="s">
        <v>508</v>
      </c>
      <c r="J42" s="53">
        <v>21560.0</v>
      </c>
    </row>
    <row r="43" ht="60.0" customHeight="1">
      <c r="A43" s="39">
        <v>40.0</v>
      </c>
      <c r="B43" s="40" t="s">
        <v>228</v>
      </c>
      <c r="C43" s="40" t="s">
        <v>229</v>
      </c>
      <c r="D43" s="40" t="s">
        <v>230</v>
      </c>
      <c r="E43" s="40" t="s">
        <v>231</v>
      </c>
      <c r="F43" s="39" t="str">
        <f t="shared" si="1"/>
        <v>CORRECT</v>
      </c>
      <c r="G43" s="39" t="s">
        <v>48</v>
      </c>
      <c r="H43" s="54" t="s">
        <v>48</v>
      </c>
      <c r="I43" s="42" t="s">
        <v>509</v>
      </c>
      <c r="J43" s="53">
        <v>41057.0</v>
      </c>
    </row>
    <row r="44" ht="60.0" customHeight="1">
      <c r="A44" s="39">
        <v>41.0</v>
      </c>
      <c r="B44" s="40" t="s">
        <v>233</v>
      </c>
      <c r="C44" s="40" t="s">
        <v>234</v>
      </c>
      <c r="D44" s="40" t="s">
        <v>235</v>
      </c>
      <c r="E44" s="40" t="s">
        <v>236</v>
      </c>
      <c r="F44" s="39" t="str">
        <f t="shared" si="1"/>
        <v>CORRECT</v>
      </c>
      <c r="G44" s="39" t="s">
        <v>37</v>
      </c>
      <c r="H44" s="54" t="s">
        <v>37</v>
      </c>
      <c r="I44" s="42" t="s">
        <v>510</v>
      </c>
      <c r="J44" s="53">
        <v>49474.0</v>
      </c>
    </row>
    <row r="45" ht="60.0" customHeight="1">
      <c r="A45" s="39">
        <v>42.0</v>
      </c>
      <c r="B45" s="40" t="s">
        <v>238</v>
      </c>
      <c r="C45" s="40" t="s">
        <v>239</v>
      </c>
      <c r="D45" s="40" t="s">
        <v>240</v>
      </c>
      <c r="E45" s="40" t="s">
        <v>241</v>
      </c>
      <c r="F45" s="39" t="str">
        <f t="shared" si="1"/>
        <v>WRONG</v>
      </c>
      <c r="G45" s="39" t="s">
        <v>36</v>
      </c>
      <c r="H45" s="54" t="s">
        <v>37</v>
      </c>
      <c r="I45" s="42" t="s">
        <v>511</v>
      </c>
      <c r="J45" s="53">
        <v>45648.0</v>
      </c>
    </row>
    <row r="46" ht="60.0" customHeight="1">
      <c r="A46" s="39">
        <v>43.0</v>
      </c>
      <c r="B46" s="40" t="s">
        <v>243</v>
      </c>
      <c r="C46" s="40" t="s">
        <v>244</v>
      </c>
      <c r="D46" s="40" t="s">
        <v>245</v>
      </c>
      <c r="E46" s="40" t="s">
        <v>246</v>
      </c>
      <c r="F46" s="39" t="str">
        <f t="shared" si="1"/>
        <v>WRONG</v>
      </c>
      <c r="G46" s="39" t="s">
        <v>48</v>
      </c>
      <c r="H46" s="54" t="s">
        <v>36</v>
      </c>
      <c r="I46" s="42" t="s">
        <v>512</v>
      </c>
      <c r="J46" s="53">
        <v>24934.0</v>
      </c>
    </row>
    <row r="47" ht="60.0" customHeight="1">
      <c r="A47" s="39">
        <v>44.0</v>
      </c>
      <c r="B47" s="40" t="s">
        <v>248</v>
      </c>
      <c r="C47" s="40" t="s">
        <v>249</v>
      </c>
      <c r="D47" s="40" t="s">
        <v>250</v>
      </c>
      <c r="E47" s="40" t="s">
        <v>251</v>
      </c>
      <c r="F47" s="39" t="str">
        <f t="shared" si="1"/>
        <v>WRONG</v>
      </c>
      <c r="G47" s="39" t="s">
        <v>36</v>
      </c>
      <c r="H47" s="54" t="s">
        <v>48</v>
      </c>
      <c r="I47" s="42" t="s">
        <v>513</v>
      </c>
      <c r="J47" s="53">
        <v>32560.0</v>
      </c>
    </row>
    <row r="48" ht="60.0" customHeight="1">
      <c r="A48" s="39">
        <v>45.0</v>
      </c>
      <c r="B48" s="40" t="s">
        <v>253</v>
      </c>
      <c r="C48" s="40" t="s">
        <v>254</v>
      </c>
      <c r="D48" s="40" t="s">
        <v>255</v>
      </c>
      <c r="E48" s="40" t="s">
        <v>256</v>
      </c>
      <c r="F48" s="39" t="str">
        <f t="shared" si="1"/>
        <v>CORRECT</v>
      </c>
      <c r="G48" s="39" t="s">
        <v>36</v>
      </c>
      <c r="H48" s="53" t="s">
        <v>36</v>
      </c>
      <c r="I48" s="42" t="s">
        <v>514</v>
      </c>
      <c r="J48" s="53">
        <v>19026.0</v>
      </c>
    </row>
    <row r="49" ht="60.0" customHeight="1">
      <c r="A49" s="39">
        <v>46.0</v>
      </c>
      <c r="B49" s="40" t="s">
        <v>258</v>
      </c>
      <c r="C49" s="40" t="s">
        <v>40</v>
      </c>
      <c r="D49" s="40" t="s">
        <v>259</v>
      </c>
      <c r="E49" s="40" t="s">
        <v>260</v>
      </c>
      <c r="F49" s="39" t="str">
        <f t="shared" si="1"/>
        <v>CORRECT</v>
      </c>
      <c r="G49" s="39" t="s">
        <v>36</v>
      </c>
      <c r="H49" s="54" t="s">
        <v>36</v>
      </c>
      <c r="I49" s="55" t="s">
        <v>515</v>
      </c>
      <c r="J49" s="53">
        <v>10569.0</v>
      </c>
    </row>
    <row r="50">
      <c r="A50" s="44" t="s">
        <v>262</v>
      </c>
      <c r="B50" s="2"/>
      <c r="C50" s="2"/>
      <c r="D50" s="2"/>
      <c r="E50" s="3"/>
      <c r="F50" s="45">
        <f>COUNTIFS(F4:F49,"CORRECT")</f>
        <v>24</v>
      </c>
      <c r="G50" s="46"/>
      <c r="H50" s="46"/>
      <c r="J50" s="47">
        <f>AVERAGE(J4:J49)</f>
        <v>35298.86957</v>
      </c>
    </row>
    <row r="51">
      <c r="A51" s="48" t="s">
        <v>263</v>
      </c>
      <c r="B51" s="2"/>
      <c r="C51" s="2"/>
      <c r="D51" s="2"/>
      <c r="E51" s="3"/>
      <c r="F51" s="49">
        <v>46.0</v>
      </c>
      <c r="G51" s="46"/>
      <c r="H51" s="46"/>
    </row>
    <row r="52">
      <c r="A52" s="44" t="s">
        <v>264</v>
      </c>
      <c r="B52" s="2"/>
      <c r="C52" s="2"/>
      <c r="D52" s="2"/>
      <c r="E52" s="3"/>
      <c r="F52" s="50">
        <f>F50/F51</f>
        <v>0.5217391304</v>
      </c>
      <c r="G52" s="46"/>
      <c r="H52" s="46"/>
    </row>
    <row r="53">
      <c r="A53" s="46"/>
      <c r="B53" s="51"/>
      <c r="C53" s="51"/>
      <c r="D53" s="51"/>
      <c r="E53" s="51"/>
      <c r="F53" s="46"/>
      <c r="G53" s="46"/>
      <c r="H53" s="46"/>
    </row>
    <row r="54">
      <c r="A54" s="46"/>
      <c r="B54" s="51"/>
      <c r="C54" s="51"/>
      <c r="D54" s="51"/>
      <c r="E54" s="51"/>
      <c r="F54" s="46"/>
      <c r="G54" s="46"/>
      <c r="H54" s="46"/>
    </row>
    <row r="55">
      <c r="A55" s="46"/>
      <c r="B55" s="51"/>
      <c r="C55" s="51"/>
      <c r="D55" s="51"/>
      <c r="E55" s="51"/>
      <c r="F55" s="46"/>
      <c r="G55" s="46"/>
      <c r="H55" s="46"/>
    </row>
    <row r="56">
      <c r="A56" s="46"/>
      <c r="B56" s="51"/>
      <c r="C56" s="51"/>
      <c r="D56" s="51"/>
      <c r="E56" s="51"/>
      <c r="F56" s="46"/>
      <c r="G56" s="46"/>
      <c r="H56" s="46"/>
    </row>
    <row r="57">
      <c r="A57" s="46"/>
      <c r="B57" s="51"/>
      <c r="C57" s="51"/>
      <c r="D57" s="51"/>
      <c r="E57" s="51"/>
      <c r="F57" s="46"/>
      <c r="G57" s="46"/>
      <c r="H57" s="46"/>
    </row>
    <row r="58">
      <c r="A58" s="46"/>
      <c r="B58" s="51"/>
      <c r="C58" s="51"/>
      <c r="D58" s="51"/>
      <c r="E58" s="51"/>
      <c r="F58" s="46"/>
      <c r="G58" s="46"/>
      <c r="H58" s="46"/>
    </row>
    <row r="59">
      <c r="A59" s="46"/>
      <c r="B59" s="51"/>
      <c r="C59" s="51"/>
      <c r="D59" s="51"/>
      <c r="E59" s="51"/>
      <c r="F59" s="46"/>
      <c r="G59" s="46"/>
      <c r="H59" s="46"/>
    </row>
    <row r="60">
      <c r="A60" s="46"/>
      <c r="B60" s="51"/>
      <c r="C60" s="51"/>
      <c r="D60" s="51"/>
      <c r="E60" s="51"/>
      <c r="F60" s="46"/>
      <c r="G60" s="46"/>
      <c r="H60" s="46"/>
    </row>
    <row r="61">
      <c r="A61" s="46"/>
      <c r="B61" s="51"/>
      <c r="C61" s="51"/>
      <c r="D61" s="51"/>
      <c r="E61" s="51"/>
      <c r="F61" s="46"/>
      <c r="G61" s="46"/>
      <c r="H61" s="46"/>
    </row>
    <row r="62">
      <c r="A62" s="46"/>
      <c r="B62" s="51"/>
      <c r="C62" s="51"/>
      <c r="D62" s="51"/>
      <c r="E62" s="51"/>
      <c r="F62" s="46"/>
      <c r="G62" s="46"/>
      <c r="H62" s="46"/>
    </row>
    <row r="63">
      <c r="A63" s="46"/>
      <c r="B63" s="51"/>
      <c r="C63" s="51"/>
      <c r="D63" s="51"/>
      <c r="E63" s="51"/>
      <c r="F63" s="46"/>
      <c r="G63" s="46"/>
      <c r="H63" s="46"/>
    </row>
    <row r="64">
      <c r="A64" s="46"/>
      <c r="B64" s="51"/>
      <c r="C64" s="51"/>
      <c r="D64" s="51"/>
      <c r="E64" s="51"/>
      <c r="F64" s="46"/>
      <c r="G64" s="46"/>
      <c r="H64" s="46"/>
    </row>
    <row r="65">
      <c r="A65" s="46"/>
      <c r="B65" s="51"/>
      <c r="C65" s="51"/>
      <c r="D65" s="51"/>
      <c r="E65" s="51"/>
      <c r="F65" s="46"/>
      <c r="G65" s="46"/>
      <c r="H65" s="46"/>
    </row>
    <row r="66">
      <c r="A66" s="46"/>
      <c r="B66" s="51"/>
      <c r="C66" s="51"/>
      <c r="D66" s="51"/>
      <c r="E66" s="51"/>
      <c r="F66" s="46"/>
      <c r="G66" s="46"/>
      <c r="H66" s="46"/>
    </row>
    <row r="67">
      <c r="A67" s="46"/>
      <c r="B67" s="51"/>
      <c r="C67" s="51"/>
      <c r="D67" s="51"/>
      <c r="E67" s="51"/>
      <c r="F67" s="46"/>
      <c r="G67" s="46"/>
      <c r="H67" s="46"/>
    </row>
    <row r="68">
      <c r="A68" s="46"/>
      <c r="B68" s="51"/>
      <c r="C68" s="51"/>
      <c r="D68" s="51"/>
      <c r="E68" s="51"/>
      <c r="F68" s="46"/>
      <c r="G68" s="46"/>
      <c r="H68" s="46"/>
    </row>
    <row r="69">
      <c r="A69" s="46"/>
      <c r="B69" s="51"/>
      <c r="C69" s="51"/>
      <c r="D69" s="51"/>
      <c r="E69" s="51"/>
      <c r="F69" s="46"/>
      <c r="G69" s="46"/>
      <c r="H69" s="46"/>
    </row>
    <row r="70">
      <c r="A70" s="46"/>
      <c r="B70" s="51"/>
      <c r="C70" s="51"/>
      <c r="D70" s="51"/>
      <c r="E70" s="51"/>
      <c r="F70" s="46"/>
      <c r="G70" s="46"/>
      <c r="H70" s="46"/>
    </row>
    <row r="71">
      <c r="A71" s="46"/>
      <c r="B71" s="51"/>
      <c r="C71" s="51"/>
      <c r="D71" s="51"/>
      <c r="E71" s="51"/>
      <c r="F71" s="46"/>
      <c r="G71" s="46"/>
      <c r="H71" s="46"/>
    </row>
    <row r="72">
      <c r="A72" s="46"/>
      <c r="B72" s="51"/>
      <c r="C72" s="51"/>
      <c r="D72" s="51"/>
      <c r="E72" s="51"/>
      <c r="F72" s="46"/>
      <c r="G72" s="46"/>
      <c r="H72" s="46"/>
    </row>
    <row r="73">
      <c r="A73" s="46"/>
      <c r="B73" s="51"/>
      <c r="C73" s="51"/>
      <c r="D73" s="51"/>
      <c r="E73" s="51"/>
      <c r="F73" s="46"/>
      <c r="G73" s="46"/>
      <c r="H73" s="46"/>
    </row>
    <row r="74">
      <c r="A74" s="46"/>
      <c r="B74" s="51"/>
      <c r="C74" s="51"/>
      <c r="D74" s="51"/>
      <c r="E74" s="51"/>
      <c r="F74" s="46"/>
      <c r="G74" s="46"/>
      <c r="H74" s="46"/>
    </row>
    <row r="75">
      <c r="A75" s="46"/>
      <c r="B75" s="51"/>
      <c r="C75" s="51"/>
      <c r="D75" s="51"/>
      <c r="E75" s="51"/>
      <c r="F75" s="46"/>
      <c r="G75" s="46"/>
      <c r="H75" s="46"/>
    </row>
    <row r="76">
      <c r="A76" s="46"/>
      <c r="B76" s="51"/>
      <c r="C76" s="51"/>
      <c r="D76" s="51"/>
      <c r="E76" s="51"/>
      <c r="F76" s="46"/>
      <c r="G76" s="46"/>
      <c r="H76" s="46"/>
    </row>
    <row r="77">
      <c r="A77" s="46"/>
      <c r="B77" s="51"/>
      <c r="C77" s="51"/>
      <c r="D77" s="51"/>
      <c r="E77" s="51"/>
      <c r="F77" s="46"/>
      <c r="G77" s="46"/>
      <c r="H77" s="46"/>
    </row>
    <row r="78">
      <c r="A78" s="46"/>
      <c r="B78" s="51"/>
      <c r="C78" s="51"/>
      <c r="D78" s="51"/>
      <c r="E78" s="51"/>
      <c r="F78" s="46"/>
      <c r="G78" s="46"/>
      <c r="H78" s="46"/>
    </row>
    <row r="79">
      <c r="A79" s="46"/>
      <c r="B79" s="51"/>
      <c r="C79" s="51"/>
      <c r="D79" s="51"/>
      <c r="E79" s="51"/>
      <c r="F79" s="46"/>
      <c r="G79" s="46"/>
      <c r="H79" s="46"/>
    </row>
    <row r="80">
      <c r="A80" s="46"/>
      <c r="B80" s="51"/>
      <c r="C80" s="51"/>
      <c r="D80" s="51"/>
      <c r="E80" s="51"/>
      <c r="F80" s="46"/>
      <c r="G80" s="46"/>
      <c r="H80" s="46"/>
    </row>
    <row r="81">
      <c r="A81" s="46"/>
      <c r="B81" s="51"/>
      <c r="C81" s="51"/>
      <c r="D81" s="51"/>
      <c r="E81" s="51"/>
      <c r="F81" s="46"/>
      <c r="G81" s="46"/>
      <c r="H81" s="46"/>
    </row>
    <row r="82">
      <c r="A82" s="46"/>
      <c r="B82" s="51"/>
      <c r="C82" s="51"/>
      <c r="D82" s="51"/>
      <c r="E82" s="51"/>
      <c r="F82" s="46"/>
      <c r="G82" s="46"/>
      <c r="H82" s="46"/>
    </row>
    <row r="83">
      <c r="A83" s="46"/>
      <c r="B83" s="51"/>
      <c r="C83" s="51"/>
      <c r="D83" s="51"/>
      <c r="E83" s="51"/>
      <c r="F83" s="46"/>
      <c r="G83" s="46"/>
      <c r="H83" s="46"/>
    </row>
    <row r="84">
      <c r="A84" s="46"/>
      <c r="B84" s="51"/>
      <c r="C84" s="51"/>
      <c r="D84" s="51"/>
      <c r="E84" s="51"/>
      <c r="F84" s="46"/>
      <c r="G84" s="46"/>
      <c r="H84" s="46"/>
    </row>
    <row r="85">
      <c r="A85" s="46"/>
      <c r="B85" s="51"/>
      <c r="C85" s="51"/>
      <c r="D85" s="51"/>
      <c r="E85" s="51"/>
      <c r="F85" s="46"/>
      <c r="G85" s="46"/>
      <c r="H85" s="46"/>
    </row>
    <row r="86">
      <c r="A86" s="46"/>
      <c r="B86" s="51"/>
      <c r="C86" s="51"/>
      <c r="D86" s="51"/>
      <c r="E86" s="51"/>
      <c r="F86" s="46"/>
      <c r="G86" s="46"/>
      <c r="H86" s="46"/>
    </row>
    <row r="87">
      <c r="A87" s="46"/>
      <c r="B87" s="51"/>
      <c r="C87" s="51"/>
      <c r="D87" s="51"/>
      <c r="E87" s="51"/>
      <c r="F87" s="46"/>
      <c r="G87" s="46"/>
      <c r="H87" s="46"/>
    </row>
    <row r="88">
      <c r="A88" s="46"/>
      <c r="B88" s="51"/>
      <c r="C88" s="51"/>
      <c r="D88" s="51"/>
      <c r="E88" s="51"/>
      <c r="F88" s="46"/>
      <c r="G88" s="46"/>
      <c r="H88" s="46"/>
    </row>
    <row r="89">
      <c r="A89" s="46"/>
      <c r="B89" s="51"/>
      <c r="C89" s="51"/>
      <c r="D89" s="51"/>
      <c r="E89" s="51"/>
      <c r="F89" s="46"/>
      <c r="G89" s="46"/>
      <c r="H89" s="46"/>
    </row>
    <row r="90">
      <c r="A90" s="46"/>
      <c r="B90" s="51"/>
      <c r="C90" s="51"/>
      <c r="D90" s="51"/>
      <c r="E90" s="51"/>
      <c r="F90" s="46"/>
      <c r="G90" s="46"/>
      <c r="H90" s="46"/>
    </row>
    <row r="91">
      <c r="A91" s="46"/>
      <c r="B91" s="51"/>
      <c r="C91" s="51"/>
      <c r="D91" s="51"/>
      <c r="E91" s="51"/>
      <c r="F91" s="46"/>
      <c r="G91" s="46"/>
      <c r="H91" s="46"/>
    </row>
    <row r="92">
      <c r="A92" s="46"/>
      <c r="B92" s="51"/>
      <c r="C92" s="51"/>
      <c r="D92" s="51"/>
      <c r="E92" s="51"/>
      <c r="F92" s="46"/>
      <c r="G92" s="46"/>
      <c r="H92" s="46"/>
    </row>
    <row r="93">
      <c r="A93" s="46"/>
      <c r="B93" s="51"/>
      <c r="C93" s="51"/>
      <c r="D93" s="51"/>
      <c r="E93" s="51"/>
      <c r="F93" s="46"/>
      <c r="G93" s="46"/>
      <c r="H93" s="46"/>
    </row>
    <row r="94">
      <c r="A94" s="46"/>
      <c r="B94" s="51"/>
      <c r="C94" s="51"/>
      <c r="D94" s="51"/>
      <c r="E94" s="51"/>
      <c r="F94" s="46"/>
      <c r="G94" s="46"/>
      <c r="H94" s="46"/>
    </row>
    <row r="95">
      <c r="A95" s="46"/>
      <c r="B95" s="51"/>
      <c r="C95" s="51"/>
      <c r="D95" s="51"/>
      <c r="E95" s="51"/>
      <c r="F95" s="46"/>
      <c r="G95" s="46"/>
      <c r="H95" s="46"/>
    </row>
    <row r="96">
      <c r="A96" s="46"/>
      <c r="B96" s="51"/>
      <c r="C96" s="51"/>
      <c r="D96" s="51"/>
      <c r="E96" s="51"/>
      <c r="F96" s="46"/>
      <c r="G96" s="46"/>
      <c r="H96" s="46"/>
    </row>
    <row r="97">
      <c r="A97" s="46"/>
      <c r="B97" s="51"/>
      <c r="C97" s="51"/>
      <c r="D97" s="51"/>
      <c r="E97" s="51"/>
      <c r="F97" s="46"/>
      <c r="G97" s="46"/>
      <c r="H97" s="46"/>
    </row>
    <row r="98">
      <c r="A98" s="46"/>
      <c r="B98" s="51"/>
      <c r="C98" s="51"/>
      <c r="D98" s="51"/>
      <c r="E98" s="51"/>
      <c r="F98" s="46"/>
      <c r="G98" s="46"/>
      <c r="H98" s="46"/>
    </row>
    <row r="99">
      <c r="A99" s="46"/>
      <c r="B99" s="51"/>
      <c r="C99" s="51"/>
      <c r="D99" s="51"/>
      <c r="E99" s="51"/>
      <c r="F99" s="46"/>
      <c r="G99" s="46"/>
      <c r="H99" s="46"/>
    </row>
    <row r="100">
      <c r="A100" s="46"/>
      <c r="B100" s="51"/>
      <c r="C100" s="51"/>
      <c r="D100" s="51"/>
      <c r="E100" s="51"/>
      <c r="F100" s="46"/>
      <c r="G100" s="46"/>
      <c r="H100" s="46"/>
    </row>
    <row r="101">
      <c r="A101" s="46"/>
      <c r="B101" s="51"/>
      <c r="C101" s="51"/>
      <c r="D101" s="51"/>
      <c r="E101" s="51"/>
      <c r="F101" s="46"/>
      <c r="G101" s="46"/>
      <c r="H101" s="46"/>
    </row>
    <row r="102">
      <c r="A102" s="46"/>
      <c r="B102" s="51"/>
      <c r="C102" s="51"/>
      <c r="D102" s="51"/>
      <c r="E102" s="51"/>
      <c r="F102" s="46"/>
      <c r="G102" s="46"/>
      <c r="H102" s="46"/>
    </row>
    <row r="103">
      <c r="A103" s="46"/>
      <c r="B103" s="51"/>
      <c r="C103" s="51"/>
      <c r="D103" s="51"/>
      <c r="E103" s="51"/>
      <c r="F103" s="46"/>
      <c r="G103" s="46"/>
      <c r="H103" s="46"/>
    </row>
    <row r="104">
      <c r="A104" s="46"/>
      <c r="B104" s="51"/>
      <c r="C104" s="51"/>
      <c r="D104" s="51"/>
      <c r="E104" s="51"/>
      <c r="F104" s="46"/>
      <c r="G104" s="46"/>
      <c r="H104" s="46"/>
    </row>
    <row r="105">
      <c r="A105" s="46"/>
      <c r="B105" s="51"/>
      <c r="C105" s="51"/>
      <c r="D105" s="51"/>
      <c r="E105" s="51"/>
      <c r="F105" s="46"/>
      <c r="G105" s="46"/>
      <c r="H105" s="46"/>
    </row>
    <row r="106">
      <c r="A106" s="46"/>
      <c r="B106" s="51"/>
      <c r="C106" s="51"/>
      <c r="D106" s="51"/>
      <c r="E106" s="51"/>
      <c r="F106" s="46"/>
      <c r="G106" s="46"/>
      <c r="H106" s="46"/>
    </row>
    <row r="107">
      <c r="A107" s="46"/>
      <c r="B107" s="51"/>
      <c r="C107" s="51"/>
      <c r="D107" s="51"/>
      <c r="E107" s="51"/>
      <c r="F107" s="46"/>
      <c r="G107" s="46"/>
      <c r="H107" s="46"/>
    </row>
    <row r="108">
      <c r="A108" s="46"/>
      <c r="B108" s="51"/>
      <c r="C108" s="51"/>
      <c r="D108" s="51"/>
      <c r="E108" s="51"/>
      <c r="F108" s="46"/>
      <c r="G108" s="46"/>
      <c r="H108" s="46"/>
    </row>
    <row r="109">
      <c r="A109" s="46"/>
      <c r="B109" s="51"/>
      <c r="C109" s="51"/>
      <c r="D109" s="51"/>
      <c r="E109" s="51"/>
      <c r="F109" s="46"/>
      <c r="G109" s="46"/>
      <c r="H109" s="46"/>
    </row>
    <row r="110">
      <c r="A110" s="46"/>
      <c r="B110" s="51"/>
      <c r="C110" s="51"/>
      <c r="D110" s="51"/>
      <c r="E110" s="51"/>
      <c r="F110" s="46"/>
      <c r="G110" s="46"/>
      <c r="H110" s="46"/>
    </row>
    <row r="111">
      <c r="A111" s="46"/>
      <c r="B111" s="51"/>
      <c r="C111" s="51"/>
      <c r="D111" s="51"/>
      <c r="E111" s="51"/>
      <c r="F111" s="46"/>
      <c r="G111" s="46"/>
      <c r="H111" s="46"/>
    </row>
    <row r="112">
      <c r="A112" s="46"/>
      <c r="B112" s="51"/>
      <c r="C112" s="51"/>
      <c r="D112" s="51"/>
      <c r="E112" s="51"/>
      <c r="F112" s="46"/>
      <c r="G112" s="46"/>
      <c r="H112" s="46"/>
    </row>
    <row r="113">
      <c r="A113" s="46"/>
      <c r="B113" s="51"/>
      <c r="C113" s="51"/>
      <c r="D113" s="51"/>
      <c r="E113" s="51"/>
      <c r="F113" s="46"/>
      <c r="G113" s="46"/>
      <c r="H113" s="46"/>
    </row>
    <row r="114">
      <c r="A114" s="46"/>
      <c r="B114" s="51"/>
      <c r="C114" s="51"/>
      <c r="D114" s="51"/>
      <c r="E114" s="51"/>
      <c r="F114" s="46"/>
      <c r="G114" s="46"/>
      <c r="H114" s="46"/>
    </row>
    <row r="115">
      <c r="A115" s="46"/>
      <c r="B115" s="51"/>
      <c r="C115" s="51"/>
      <c r="D115" s="51"/>
      <c r="E115" s="51"/>
      <c r="F115" s="46"/>
      <c r="G115" s="46"/>
      <c r="H115" s="46"/>
    </row>
    <row r="116">
      <c r="A116" s="46"/>
      <c r="B116" s="51"/>
      <c r="C116" s="51"/>
      <c r="D116" s="51"/>
      <c r="E116" s="51"/>
      <c r="F116" s="46"/>
      <c r="G116" s="46"/>
      <c r="H116" s="46"/>
    </row>
    <row r="117">
      <c r="A117" s="46"/>
      <c r="B117" s="51"/>
      <c r="C117" s="51"/>
      <c r="D117" s="51"/>
      <c r="E117" s="51"/>
      <c r="F117" s="46"/>
      <c r="G117" s="46"/>
      <c r="H117" s="46"/>
    </row>
    <row r="118">
      <c r="A118" s="46"/>
      <c r="B118" s="51"/>
      <c r="C118" s="51"/>
      <c r="D118" s="51"/>
      <c r="E118" s="51"/>
      <c r="F118" s="46"/>
      <c r="G118" s="46"/>
      <c r="H118" s="46"/>
    </row>
    <row r="119">
      <c r="A119" s="46"/>
      <c r="B119" s="51"/>
      <c r="C119" s="51"/>
      <c r="D119" s="51"/>
      <c r="E119" s="51"/>
      <c r="F119" s="46"/>
      <c r="G119" s="46"/>
      <c r="H119" s="46"/>
    </row>
    <row r="120">
      <c r="A120" s="46"/>
      <c r="B120" s="51"/>
      <c r="C120" s="51"/>
      <c r="D120" s="51"/>
      <c r="E120" s="51"/>
      <c r="F120" s="46"/>
      <c r="G120" s="46"/>
      <c r="H120" s="46"/>
    </row>
    <row r="121">
      <c r="A121" s="46"/>
      <c r="B121" s="51"/>
      <c r="C121" s="51"/>
      <c r="D121" s="51"/>
      <c r="E121" s="51"/>
      <c r="F121" s="46"/>
      <c r="G121" s="46"/>
      <c r="H121" s="46"/>
    </row>
    <row r="122">
      <c r="A122" s="46"/>
      <c r="B122" s="51"/>
      <c r="C122" s="51"/>
      <c r="D122" s="51"/>
      <c r="E122" s="51"/>
      <c r="F122" s="46"/>
      <c r="G122" s="46"/>
      <c r="H122" s="46"/>
    </row>
    <row r="123">
      <c r="A123" s="46"/>
      <c r="B123" s="51"/>
      <c r="C123" s="51"/>
      <c r="D123" s="51"/>
      <c r="E123" s="51"/>
      <c r="F123" s="46"/>
      <c r="G123" s="46"/>
      <c r="H123" s="46"/>
    </row>
    <row r="124">
      <c r="A124" s="46"/>
      <c r="B124" s="51"/>
      <c r="C124" s="51"/>
      <c r="D124" s="51"/>
      <c r="E124" s="51"/>
      <c r="F124" s="46"/>
      <c r="G124" s="46"/>
      <c r="H124" s="46"/>
    </row>
    <row r="125">
      <c r="A125" s="46"/>
      <c r="B125" s="51"/>
      <c r="C125" s="51"/>
      <c r="D125" s="51"/>
      <c r="E125" s="51"/>
      <c r="F125" s="46"/>
      <c r="G125" s="46"/>
      <c r="H125" s="46"/>
    </row>
    <row r="126">
      <c r="A126" s="46"/>
      <c r="B126" s="51"/>
      <c r="C126" s="51"/>
      <c r="D126" s="51"/>
      <c r="E126" s="51"/>
      <c r="F126" s="46"/>
      <c r="G126" s="46"/>
      <c r="H126" s="46"/>
    </row>
    <row r="127">
      <c r="A127" s="46"/>
      <c r="B127" s="51"/>
      <c r="C127" s="51"/>
      <c r="D127" s="51"/>
      <c r="E127" s="51"/>
      <c r="F127" s="46"/>
      <c r="G127" s="46"/>
      <c r="H127" s="46"/>
    </row>
    <row r="128">
      <c r="A128" s="46"/>
      <c r="B128" s="51"/>
      <c r="C128" s="51"/>
      <c r="D128" s="51"/>
      <c r="E128" s="51"/>
      <c r="F128" s="46"/>
      <c r="G128" s="46"/>
      <c r="H128" s="46"/>
    </row>
    <row r="129">
      <c r="A129" s="46"/>
      <c r="B129" s="51"/>
      <c r="C129" s="51"/>
      <c r="D129" s="51"/>
      <c r="E129" s="51"/>
      <c r="F129" s="46"/>
      <c r="G129" s="46"/>
      <c r="H129" s="46"/>
    </row>
    <row r="130">
      <c r="A130" s="46"/>
      <c r="B130" s="51"/>
      <c r="C130" s="51"/>
      <c r="D130" s="51"/>
      <c r="E130" s="51"/>
      <c r="F130" s="46"/>
      <c r="G130" s="46"/>
      <c r="H130" s="46"/>
    </row>
    <row r="131">
      <c r="A131" s="46"/>
      <c r="B131" s="51"/>
      <c r="C131" s="51"/>
      <c r="D131" s="51"/>
      <c r="E131" s="51"/>
      <c r="F131" s="46"/>
      <c r="G131" s="46"/>
      <c r="H131" s="46"/>
    </row>
    <row r="132">
      <c r="A132" s="46"/>
      <c r="B132" s="51"/>
      <c r="C132" s="51"/>
      <c r="D132" s="51"/>
      <c r="E132" s="51"/>
      <c r="F132" s="46"/>
      <c r="G132" s="46"/>
      <c r="H132" s="46"/>
    </row>
    <row r="133">
      <c r="A133" s="46"/>
      <c r="B133" s="51"/>
      <c r="C133" s="51"/>
      <c r="D133" s="51"/>
      <c r="E133" s="51"/>
      <c r="F133" s="46"/>
      <c r="G133" s="46"/>
      <c r="H133" s="46"/>
    </row>
    <row r="134">
      <c r="A134" s="46"/>
      <c r="B134" s="51"/>
      <c r="C134" s="51"/>
      <c r="D134" s="51"/>
      <c r="E134" s="51"/>
      <c r="F134" s="46"/>
      <c r="G134" s="46"/>
      <c r="H134" s="46"/>
    </row>
    <row r="135">
      <c r="A135" s="46"/>
      <c r="B135" s="51"/>
      <c r="C135" s="51"/>
      <c r="D135" s="51"/>
      <c r="E135" s="51"/>
      <c r="F135" s="46"/>
      <c r="G135" s="46"/>
      <c r="H135" s="46"/>
    </row>
    <row r="136">
      <c r="A136" s="46"/>
      <c r="B136" s="51"/>
      <c r="C136" s="51"/>
      <c r="D136" s="51"/>
      <c r="E136" s="51"/>
      <c r="F136" s="46"/>
      <c r="G136" s="46"/>
      <c r="H136" s="46"/>
    </row>
    <row r="137">
      <c r="A137" s="46"/>
      <c r="B137" s="51"/>
      <c r="C137" s="51"/>
      <c r="D137" s="51"/>
      <c r="E137" s="51"/>
      <c r="F137" s="46"/>
      <c r="G137" s="46"/>
      <c r="H137" s="46"/>
    </row>
    <row r="138">
      <c r="A138" s="46"/>
      <c r="B138" s="51"/>
      <c r="C138" s="51"/>
      <c r="D138" s="51"/>
      <c r="E138" s="51"/>
      <c r="F138" s="46"/>
      <c r="G138" s="46"/>
      <c r="H138" s="46"/>
    </row>
    <row r="139">
      <c r="A139" s="46"/>
      <c r="B139" s="51"/>
      <c r="C139" s="51"/>
      <c r="D139" s="51"/>
      <c r="E139" s="51"/>
      <c r="F139" s="46"/>
      <c r="G139" s="46"/>
      <c r="H139" s="46"/>
    </row>
    <row r="140">
      <c r="A140" s="46"/>
      <c r="B140" s="51"/>
      <c r="C140" s="51"/>
      <c r="D140" s="51"/>
      <c r="E140" s="51"/>
      <c r="F140" s="46"/>
      <c r="G140" s="46"/>
      <c r="H140" s="46"/>
    </row>
    <row r="141">
      <c r="A141" s="46"/>
      <c r="B141" s="51"/>
      <c r="C141" s="51"/>
      <c r="D141" s="51"/>
      <c r="E141" s="51"/>
      <c r="F141" s="46"/>
      <c r="G141" s="46"/>
      <c r="H141" s="46"/>
    </row>
    <row r="142">
      <c r="A142" s="46"/>
      <c r="B142" s="51"/>
      <c r="C142" s="51"/>
      <c r="D142" s="51"/>
      <c r="E142" s="51"/>
      <c r="F142" s="46"/>
      <c r="G142" s="46"/>
      <c r="H142" s="46"/>
    </row>
    <row r="143">
      <c r="A143" s="46"/>
      <c r="B143" s="51"/>
      <c r="C143" s="51"/>
      <c r="D143" s="51"/>
      <c r="E143" s="51"/>
      <c r="F143" s="46"/>
      <c r="G143" s="46"/>
      <c r="H143" s="46"/>
    </row>
    <row r="144">
      <c r="A144" s="46"/>
      <c r="B144" s="51"/>
      <c r="C144" s="51"/>
      <c r="D144" s="51"/>
      <c r="E144" s="51"/>
      <c r="F144" s="46"/>
      <c r="G144" s="46"/>
      <c r="H144" s="46"/>
    </row>
    <row r="145">
      <c r="A145" s="46"/>
      <c r="B145" s="51"/>
      <c r="C145" s="51"/>
      <c r="D145" s="51"/>
      <c r="E145" s="51"/>
      <c r="F145" s="46"/>
      <c r="G145" s="46"/>
      <c r="H145" s="46"/>
    </row>
    <row r="146">
      <c r="A146" s="46"/>
      <c r="B146" s="51"/>
      <c r="C146" s="51"/>
      <c r="D146" s="51"/>
      <c r="E146" s="51"/>
      <c r="F146" s="46"/>
      <c r="G146" s="46"/>
      <c r="H146" s="46"/>
    </row>
    <row r="147">
      <c r="A147" s="46"/>
      <c r="B147" s="51"/>
      <c r="C147" s="51"/>
      <c r="D147" s="51"/>
      <c r="E147" s="51"/>
      <c r="F147" s="46"/>
      <c r="G147" s="46"/>
      <c r="H147" s="46"/>
    </row>
    <row r="148">
      <c r="A148" s="46"/>
      <c r="B148" s="51"/>
      <c r="C148" s="51"/>
      <c r="D148" s="51"/>
      <c r="E148" s="51"/>
      <c r="F148" s="46"/>
      <c r="G148" s="46"/>
      <c r="H148" s="46"/>
    </row>
    <row r="149">
      <c r="A149" s="46"/>
      <c r="B149" s="51"/>
      <c r="C149" s="51"/>
      <c r="D149" s="51"/>
      <c r="E149" s="51"/>
      <c r="F149" s="46"/>
      <c r="G149" s="46"/>
      <c r="H149" s="46"/>
    </row>
    <row r="150">
      <c r="A150" s="46"/>
      <c r="B150" s="51"/>
      <c r="C150" s="51"/>
      <c r="D150" s="51"/>
      <c r="E150" s="51"/>
      <c r="F150" s="46"/>
      <c r="G150" s="46"/>
      <c r="H150" s="46"/>
    </row>
    <row r="151">
      <c r="A151" s="46"/>
      <c r="B151" s="51"/>
      <c r="C151" s="51"/>
      <c r="D151" s="51"/>
      <c r="E151" s="51"/>
      <c r="F151" s="46"/>
      <c r="G151" s="46"/>
      <c r="H151" s="46"/>
    </row>
    <row r="152">
      <c r="A152" s="46"/>
      <c r="B152" s="51"/>
      <c r="C152" s="51"/>
      <c r="D152" s="51"/>
      <c r="E152" s="51"/>
      <c r="F152" s="46"/>
      <c r="G152" s="46"/>
      <c r="H152" s="46"/>
    </row>
    <row r="153">
      <c r="A153" s="46"/>
      <c r="B153" s="51"/>
      <c r="C153" s="51"/>
      <c r="D153" s="51"/>
      <c r="E153" s="51"/>
      <c r="F153" s="46"/>
      <c r="G153" s="46"/>
      <c r="H153" s="46"/>
    </row>
    <row r="154">
      <c r="A154" s="46"/>
      <c r="B154" s="51"/>
      <c r="C154" s="51"/>
      <c r="D154" s="51"/>
      <c r="E154" s="51"/>
      <c r="F154" s="46"/>
      <c r="G154" s="46"/>
      <c r="H154" s="46"/>
    </row>
    <row r="155">
      <c r="A155" s="46"/>
      <c r="B155" s="51"/>
      <c r="C155" s="51"/>
      <c r="D155" s="51"/>
      <c r="E155" s="51"/>
      <c r="F155" s="46"/>
      <c r="G155" s="46"/>
      <c r="H155" s="46"/>
    </row>
    <row r="156">
      <c r="A156" s="46"/>
      <c r="B156" s="51"/>
      <c r="C156" s="51"/>
      <c r="D156" s="51"/>
      <c r="E156" s="51"/>
      <c r="F156" s="46"/>
      <c r="G156" s="46"/>
      <c r="H156" s="46"/>
    </row>
    <row r="157">
      <c r="A157" s="46"/>
      <c r="B157" s="51"/>
      <c r="C157" s="51"/>
      <c r="D157" s="51"/>
      <c r="E157" s="51"/>
      <c r="F157" s="46"/>
      <c r="G157" s="46"/>
      <c r="H157" s="46"/>
    </row>
    <row r="158">
      <c r="A158" s="46"/>
      <c r="B158" s="51"/>
      <c r="C158" s="51"/>
      <c r="D158" s="51"/>
      <c r="E158" s="51"/>
      <c r="F158" s="46"/>
      <c r="G158" s="46"/>
      <c r="H158" s="46"/>
    </row>
    <row r="159">
      <c r="A159" s="46"/>
      <c r="B159" s="51"/>
      <c r="C159" s="51"/>
      <c r="D159" s="51"/>
      <c r="E159" s="51"/>
      <c r="F159" s="46"/>
      <c r="G159" s="46"/>
      <c r="H159" s="46"/>
    </row>
    <row r="160">
      <c r="A160" s="46"/>
      <c r="B160" s="51"/>
      <c r="C160" s="51"/>
      <c r="D160" s="51"/>
      <c r="E160" s="51"/>
      <c r="F160" s="46"/>
      <c r="G160" s="46"/>
      <c r="H160" s="46"/>
    </row>
    <row r="161">
      <c r="A161" s="46"/>
      <c r="B161" s="51"/>
      <c r="C161" s="51"/>
      <c r="D161" s="51"/>
      <c r="E161" s="51"/>
      <c r="F161" s="46"/>
      <c r="G161" s="46"/>
      <c r="H161" s="46"/>
    </row>
    <row r="162">
      <c r="A162" s="46"/>
      <c r="B162" s="51"/>
      <c r="C162" s="51"/>
      <c r="D162" s="51"/>
      <c r="E162" s="51"/>
      <c r="F162" s="46"/>
      <c r="G162" s="46"/>
      <c r="H162" s="46"/>
    </row>
    <row r="163">
      <c r="A163" s="46"/>
      <c r="B163" s="51"/>
      <c r="C163" s="51"/>
      <c r="D163" s="51"/>
      <c r="E163" s="51"/>
      <c r="F163" s="46"/>
      <c r="G163" s="46"/>
      <c r="H163" s="46"/>
    </row>
    <row r="164">
      <c r="A164" s="46"/>
      <c r="B164" s="51"/>
      <c r="C164" s="51"/>
      <c r="D164" s="51"/>
      <c r="E164" s="51"/>
      <c r="F164" s="46"/>
      <c r="G164" s="46"/>
      <c r="H164" s="46"/>
    </row>
    <row r="165">
      <c r="A165" s="46"/>
      <c r="B165" s="51"/>
      <c r="C165" s="51"/>
      <c r="D165" s="51"/>
      <c r="E165" s="51"/>
      <c r="F165" s="46"/>
      <c r="G165" s="46"/>
      <c r="H165" s="46"/>
    </row>
    <row r="166">
      <c r="A166" s="46"/>
      <c r="B166" s="51"/>
      <c r="C166" s="51"/>
      <c r="D166" s="51"/>
      <c r="E166" s="51"/>
      <c r="F166" s="46"/>
      <c r="G166" s="46"/>
      <c r="H166" s="46"/>
    </row>
    <row r="167">
      <c r="A167" s="46"/>
      <c r="B167" s="51"/>
      <c r="C167" s="51"/>
      <c r="D167" s="51"/>
      <c r="E167" s="51"/>
      <c r="F167" s="46"/>
      <c r="G167" s="46"/>
      <c r="H167" s="46"/>
    </row>
    <row r="168">
      <c r="A168" s="46"/>
      <c r="B168" s="51"/>
      <c r="C168" s="51"/>
      <c r="D168" s="51"/>
      <c r="E168" s="51"/>
      <c r="F168" s="46"/>
      <c r="G168" s="46"/>
      <c r="H168" s="46"/>
    </row>
    <row r="169">
      <c r="A169" s="46"/>
      <c r="B169" s="51"/>
      <c r="C169" s="51"/>
      <c r="D169" s="51"/>
      <c r="E169" s="51"/>
      <c r="F169" s="46"/>
      <c r="G169" s="46"/>
      <c r="H169" s="46"/>
    </row>
    <row r="170">
      <c r="A170" s="46"/>
      <c r="B170" s="51"/>
      <c r="C170" s="51"/>
      <c r="D170" s="51"/>
      <c r="E170" s="51"/>
      <c r="F170" s="46"/>
      <c r="G170" s="46"/>
      <c r="H170" s="46"/>
    </row>
    <row r="171">
      <c r="A171" s="46"/>
      <c r="B171" s="51"/>
      <c r="C171" s="51"/>
      <c r="D171" s="51"/>
      <c r="E171" s="51"/>
      <c r="F171" s="46"/>
      <c r="G171" s="46"/>
      <c r="H171" s="46"/>
    </row>
    <row r="172">
      <c r="A172" s="46"/>
      <c r="B172" s="51"/>
      <c r="C172" s="51"/>
      <c r="D172" s="51"/>
      <c r="E172" s="51"/>
      <c r="F172" s="46"/>
      <c r="G172" s="46"/>
      <c r="H172" s="46"/>
    </row>
    <row r="173">
      <c r="A173" s="46"/>
      <c r="B173" s="51"/>
      <c r="C173" s="51"/>
      <c r="D173" s="51"/>
      <c r="E173" s="51"/>
      <c r="F173" s="46"/>
      <c r="G173" s="46"/>
      <c r="H173" s="46"/>
    </row>
    <row r="174">
      <c r="A174" s="46"/>
      <c r="B174" s="51"/>
      <c r="C174" s="51"/>
      <c r="D174" s="51"/>
      <c r="E174" s="51"/>
      <c r="F174" s="46"/>
      <c r="G174" s="46"/>
      <c r="H174" s="46"/>
    </row>
    <row r="175">
      <c r="A175" s="46"/>
      <c r="B175" s="51"/>
      <c r="C175" s="51"/>
      <c r="D175" s="51"/>
      <c r="E175" s="51"/>
      <c r="F175" s="46"/>
      <c r="G175" s="46"/>
      <c r="H175" s="46"/>
    </row>
    <row r="176">
      <c r="A176" s="46"/>
      <c r="B176" s="51"/>
      <c r="C176" s="51"/>
      <c r="D176" s="51"/>
      <c r="E176" s="51"/>
      <c r="F176" s="46"/>
      <c r="G176" s="46"/>
      <c r="H176" s="46"/>
    </row>
    <row r="177">
      <c r="A177" s="46"/>
      <c r="B177" s="51"/>
      <c r="C177" s="51"/>
      <c r="D177" s="51"/>
      <c r="E177" s="51"/>
      <c r="F177" s="46"/>
      <c r="G177" s="46"/>
      <c r="H177" s="46"/>
    </row>
    <row r="178">
      <c r="A178" s="46"/>
      <c r="B178" s="51"/>
      <c r="C178" s="51"/>
      <c r="D178" s="51"/>
      <c r="E178" s="51"/>
      <c r="F178" s="46"/>
      <c r="G178" s="46"/>
      <c r="H178" s="46"/>
    </row>
    <row r="179">
      <c r="A179" s="46"/>
      <c r="B179" s="51"/>
      <c r="C179" s="51"/>
      <c r="D179" s="51"/>
      <c r="E179" s="51"/>
      <c r="F179" s="46"/>
      <c r="G179" s="46"/>
      <c r="H179" s="46"/>
    </row>
    <row r="180">
      <c r="A180" s="46"/>
      <c r="B180" s="51"/>
      <c r="C180" s="51"/>
      <c r="D180" s="51"/>
      <c r="E180" s="51"/>
      <c r="F180" s="46"/>
      <c r="G180" s="46"/>
      <c r="H180" s="46"/>
    </row>
    <row r="181">
      <c r="A181" s="46"/>
      <c r="B181" s="51"/>
      <c r="C181" s="51"/>
      <c r="D181" s="51"/>
      <c r="E181" s="51"/>
      <c r="F181" s="46"/>
      <c r="G181" s="46"/>
      <c r="H181" s="46"/>
    </row>
    <row r="182">
      <c r="A182" s="46"/>
      <c r="B182" s="51"/>
      <c r="C182" s="51"/>
      <c r="D182" s="51"/>
      <c r="E182" s="51"/>
      <c r="F182" s="46"/>
      <c r="G182" s="46"/>
      <c r="H182" s="46"/>
    </row>
    <row r="183">
      <c r="A183" s="46"/>
      <c r="B183" s="51"/>
      <c r="C183" s="51"/>
      <c r="D183" s="51"/>
      <c r="E183" s="51"/>
      <c r="F183" s="46"/>
      <c r="G183" s="46"/>
      <c r="H183" s="46"/>
    </row>
    <row r="184">
      <c r="A184" s="46"/>
      <c r="B184" s="51"/>
      <c r="C184" s="51"/>
      <c r="D184" s="51"/>
      <c r="E184" s="51"/>
      <c r="F184" s="46"/>
      <c r="G184" s="46"/>
      <c r="H184" s="46"/>
    </row>
    <row r="185">
      <c r="A185" s="46"/>
      <c r="B185" s="51"/>
      <c r="C185" s="51"/>
      <c r="D185" s="51"/>
      <c r="E185" s="51"/>
      <c r="F185" s="46"/>
      <c r="G185" s="46"/>
      <c r="H185" s="46"/>
    </row>
    <row r="186">
      <c r="A186" s="46"/>
      <c r="B186" s="51"/>
      <c r="C186" s="51"/>
      <c r="D186" s="51"/>
      <c r="E186" s="51"/>
      <c r="F186" s="46"/>
      <c r="G186" s="46"/>
      <c r="H186" s="46"/>
    </row>
    <row r="187">
      <c r="A187" s="46"/>
      <c r="B187" s="51"/>
      <c r="C187" s="51"/>
      <c r="D187" s="51"/>
      <c r="E187" s="51"/>
      <c r="F187" s="46"/>
      <c r="G187" s="46"/>
      <c r="H187" s="46"/>
    </row>
    <row r="188">
      <c r="A188" s="46"/>
      <c r="B188" s="51"/>
      <c r="C188" s="51"/>
      <c r="D188" s="51"/>
      <c r="E188" s="51"/>
      <c r="F188" s="46"/>
      <c r="G188" s="46"/>
      <c r="H188" s="46"/>
    </row>
    <row r="189">
      <c r="A189" s="46"/>
      <c r="B189" s="51"/>
      <c r="C189" s="51"/>
      <c r="D189" s="51"/>
      <c r="E189" s="51"/>
      <c r="F189" s="46"/>
      <c r="G189" s="46"/>
      <c r="H189" s="46"/>
    </row>
    <row r="190">
      <c r="A190" s="46"/>
      <c r="B190" s="51"/>
      <c r="C190" s="51"/>
      <c r="D190" s="51"/>
      <c r="E190" s="51"/>
      <c r="F190" s="46"/>
      <c r="G190" s="46"/>
      <c r="H190" s="46"/>
    </row>
    <row r="191">
      <c r="A191" s="46"/>
      <c r="B191" s="51"/>
      <c r="C191" s="51"/>
      <c r="D191" s="51"/>
      <c r="E191" s="51"/>
      <c r="F191" s="46"/>
      <c r="G191" s="46"/>
      <c r="H191" s="46"/>
    </row>
    <row r="192">
      <c r="A192" s="46"/>
      <c r="B192" s="51"/>
      <c r="C192" s="51"/>
      <c r="D192" s="51"/>
      <c r="E192" s="51"/>
      <c r="F192" s="46"/>
      <c r="G192" s="46"/>
      <c r="H192" s="46"/>
    </row>
    <row r="193">
      <c r="A193" s="46"/>
      <c r="B193" s="51"/>
      <c r="C193" s="51"/>
      <c r="D193" s="51"/>
      <c r="E193" s="51"/>
      <c r="F193" s="46"/>
      <c r="G193" s="46"/>
      <c r="H193" s="46"/>
    </row>
    <row r="194">
      <c r="A194" s="46"/>
      <c r="B194" s="51"/>
      <c r="C194" s="51"/>
      <c r="D194" s="51"/>
      <c r="E194" s="51"/>
      <c r="F194" s="46"/>
      <c r="G194" s="46"/>
      <c r="H194" s="46"/>
    </row>
    <row r="195">
      <c r="A195" s="46"/>
      <c r="B195" s="51"/>
      <c r="C195" s="51"/>
      <c r="D195" s="51"/>
      <c r="E195" s="51"/>
      <c r="F195" s="46"/>
      <c r="G195" s="46"/>
      <c r="H195" s="46"/>
    </row>
    <row r="196">
      <c r="A196" s="46"/>
      <c r="B196" s="51"/>
      <c r="C196" s="51"/>
      <c r="D196" s="51"/>
      <c r="E196" s="51"/>
      <c r="F196" s="46"/>
      <c r="G196" s="46"/>
      <c r="H196" s="46"/>
    </row>
    <row r="197">
      <c r="A197" s="46"/>
      <c r="B197" s="51"/>
      <c r="C197" s="51"/>
      <c r="D197" s="51"/>
      <c r="E197" s="51"/>
      <c r="F197" s="46"/>
      <c r="G197" s="46"/>
      <c r="H197" s="46"/>
    </row>
    <row r="198">
      <c r="A198" s="46"/>
      <c r="B198" s="51"/>
      <c r="C198" s="51"/>
      <c r="D198" s="51"/>
      <c r="E198" s="51"/>
      <c r="F198" s="46"/>
      <c r="G198" s="46"/>
      <c r="H198" s="46"/>
    </row>
    <row r="199">
      <c r="A199" s="46"/>
      <c r="B199" s="51"/>
      <c r="C199" s="51"/>
      <c r="D199" s="51"/>
      <c r="E199" s="51"/>
      <c r="F199" s="46"/>
      <c r="G199" s="46"/>
      <c r="H199" s="46"/>
    </row>
    <row r="200">
      <c r="A200" s="46"/>
      <c r="B200" s="51"/>
      <c r="C200" s="51"/>
      <c r="D200" s="51"/>
      <c r="E200" s="51"/>
      <c r="F200" s="46"/>
      <c r="G200" s="46"/>
      <c r="H200" s="46"/>
    </row>
    <row r="201">
      <c r="A201" s="46"/>
      <c r="B201" s="51"/>
      <c r="C201" s="51"/>
      <c r="D201" s="51"/>
      <c r="E201" s="51"/>
      <c r="F201" s="46"/>
      <c r="G201" s="46"/>
      <c r="H201" s="46"/>
    </row>
    <row r="202">
      <c r="A202" s="46"/>
      <c r="B202" s="51"/>
      <c r="C202" s="51"/>
      <c r="D202" s="51"/>
      <c r="E202" s="51"/>
      <c r="F202" s="46"/>
      <c r="G202" s="46"/>
      <c r="H202" s="46"/>
    </row>
    <row r="203">
      <c r="A203" s="46"/>
      <c r="B203" s="51"/>
      <c r="C203" s="51"/>
      <c r="D203" s="51"/>
      <c r="E203" s="51"/>
      <c r="F203" s="46"/>
      <c r="G203" s="46"/>
      <c r="H203" s="46"/>
    </row>
    <row r="204">
      <c r="A204" s="46"/>
      <c r="B204" s="51"/>
      <c r="C204" s="51"/>
      <c r="D204" s="51"/>
      <c r="E204" s="51"/>
      <c r="F204" s="46"/>
      <c r="G204" s="46"/>
      <c r="H204" s="46"/>
    </row>
    <row r="205">
      <c r="A205" s="46"/>
      <c r="B205" s="51"/>
      <c r="C205" s="51"/>
      <c r="D205" s="51"/>
      <c r="E205" s="51"/>
      <c r="F205" s="46"/>
      <c r="G205" s="46"/>
      <c r="H205" s="46"/>
    </row>
    <row r="206">
      <c r="A206" s="46"/>
      <c r="B206" s="51"/>
      <c r="C206" s="51"/>
      <c r="D206" s="51"/>
      <c r="E206" s="51"/>
      <c r="F206" s="46"/>
      <c r="G206" s="46"/>
      <c r="H206" s="46"/>
    </row>
    <row r="207">
      <c r="A207" s="46"/>
      <c r="B207" s="51"/>
      <c r="C207" s="51"/>
      <c r="D207" s="51"/>
      <c r="E207" s="51"/>
      <c r="F207" s="46"/>
      <c r="G207" s="46"/>
      <c r="H207" s="46"/>
    </row>
    <row r="208">
      <c r="A208" s="46"/>
      <c r="B208" s="51"/>
      <c r="C208" s="51"/>
      <c r="D208" s="51"/>
      <c r="E208" s="51"/>
      <c r="F208" s="46"/>
      <c r="G208" s="46"/>
      <c r="H208" s="46"/>
    </row>
    <row r="209">
      <c r="A209" s="46"/>
      <c r="B209" s="51"/>
      <c r="C209" s="51"/>
      <c r="D209" s="51"/>
      <c r="E209" s="51"/>
      <c r="F209" s="46"/>
      <c r="G209" s="46"/>
      <c r="H209" s="46"/>
    </row>
    <row r="210">
      <c r="A210" s="46"/>
      <c r="B210" s="51"/>
      <c r="C210" s="51"/>
      <c r="D210" s="51"/>
      <c r="E210" s="51"/>
      <c r="F210" s="46"/>
      <c r="G210" s="46"/>
      <c r="H210" s="46"/>
    </row>
    <row r="211">
      <c r="A211" s="46"/>
      <c r="B211" s="51"/>
      <c r="C211" s="51"/>
      <c r="D211" s="51"/>
      <c r="E211" s="51"/>
      <c r="F211" s="46"/>
      <c r="G211" s="46"/>
      <c r="H211" s="46"/>
    </row>
    <row r="212">
      <c r="A212" s="46"/>
      <c r="B212" s="51"/>
      <c r="C212" s="51"/>
      <c r="D212" s="51"/>
      <c r="E212" s="51"/>
      <c r="F212" s="46"/>
      <c r="G212" s="46"/>
      <c r="H212" s="46"/>
    </row>
    <row r="213">
      <c r="A213" s="46"/>
      <c r="B213" s="51"/>
      <c r="C213" s="51"/>
      <c r="D213" s="51"/>
      <c r="E213" s="51"/>
      <c r="F213" s="46"/>
      <c r="G213" s="46"/>
      <c r="H213" s="46"/>
    </row>
    <row r="214">
      <c r="A214" s="46"/>
      <c r="B214" s="51"/>
      <c r="C214" s="51"/>
      <c r="D214" s="51"/>
      <c r="E214" s="51"/>
      <c r="F214" s="46"/>
      <c r="G214" s="46"/>
      <c r="H214" s="46"/>
    </row>
    <row r="215">
      <c r="A215" s="46"/>
      <c r="B215" s="51"/>
      <c r="C215" s="51"/>
      <c r="D215" s="51"/>
      <c r="E215" s="51"/>
      <c r="F215" s="46"/>
      <c r="G215" s="46"/>
      <c r="H215" s="46"/>
    </row>
    <row r="216">
      <c r="A216" s="46"/>
      <c r="B216" s="51"/>
      <c r="C216" s="51"/>
      <c r="D216" s="51"/>
      <c r="E216" s="51"/>
      <c r="F216" s="46"/>
      <c r="G216" s="46"/>
      <c r="H216" s="46"/>
    </row>
    <row r="217">
      <c r="A217" s="46"/>
      <c r="B217" s="51"/>
      <c r="C217" s="51"/>
      <c r="D217" s="51"/>
      <c r="E217" s="51"/>
      <c r="F217" s="46"/>
      <c r="G217" s="46"/>
      <c r="H217" s="46"/>
    </row>
    <row r="218">
      <c r="A218" s="46"/>
      <c r="B218" s="51"/>
      <c r="C218" s="51"/>
      <c r="D218" s="51"/>
      <c r="E218" s="51"/>
      <c r="F218" s="46"/>
      <c r="G218" s="46"/>
      <c r="H218" s="46"/>
    </row>
    <row r="219">
      <c r="A219" s="46"/>
      <c r="B219" s="51"/>
      <c r="C219" s="51"/>
      <c r="D219" s="51"/>
      <c r="E219" s="51"/>
      <c r="F219" s="46"/>
      <c r="G219" s="46"/>
      <c r="H219" s="46"/>
    </row>
    <row r="220">
      <c r="A220" s="46"/>
      <c r="B220" s="51"/>
      <c r="C220" s="51"/>
      <c r="D220" s="51"/>
      <c r="E220" s="51"/>
      <c r="F220" s="46"/>
      <c r="G220" s="46"/>
      <c r="H220" s="46"/>
    </row>
    <row r="221">
      <c r="A221" s="46"/>
      <c r="B221" s="51"/>
      <c r="C221" s="51"/>
      <c r="D221" s="51"/>
      <c r="E221" s="51"/>
      <c r="F221" s="46"/>
      <c r="G221" s="46"/>
      <c r="H221" s="46"/>
    </row>
    <row r="222">
      <c r="A222" s="46"/>
      <c r="B222" s="51"/>
      <c r="C222" s="51"/>
      <c r="D222" s="51"/>
      <c r="E222" s="51"/>
      <c r="F222" s="46"/>
      <c r="G222" s="46"/>
      <c r="H222" s="46"/>
    </row>
    <row r="223">
      <c r="A223" s="46"/>
      <c r="B223" s="51"/>
      <c r="C223" s="51"/>
      <c r="D223" s="51"/>
      <c r="E223" s="51"/>
      <c r="F223" s="46"/>
      <c r="G223" s="46"/>
      <c r="H223" s="46"/>
    </row>
    <row r="224">
      <c r="A224" s="46"/>
      <c r="B224" s="51"/>
      <c r="C224" s="51"/>
      <c r="D224" s="51"/>
      <c r="E224" s="51"/>
      <c r="F224" s="46"/>
      <c r="G224" s="46"/>
      <c r="H224" s="46"/>
    </row>
    <row r="225">
      <c r="A225" s="46"/>
      <c r="B225" s="51"/>
      <c r="C225" s="51"/>
      <c r="D225" s="51"/>
      <c r="E225" s="51"/>
      <c r="F225" s="46"/>
      <c r="G225" s="46"/>
      <c r="H225" s="46"/>
    </row>
    <row r="226">
      <c r="A226" s="46"/>
      <c r="B226" s="51"/>
      <c r="C226" s="51"/>
      <c r="D226" s="51"/>
      <c r="E226" s="51"/>
      <c r="F226" s="46"/>
      <c r="G226" s="46"/>
      <c r="H226" s="46"/>
    </row>
    <row r="227">
      <c r="A227" s="46"/>
      <c r="B227" s="51"/>
      <c r="C227" s="51"/>
      <c r="D227" s="51"/>
      <c r="E227" s="51"/>
      <c r="F227" s="46"/>
      <c r="G227" s="46"/>
      <c r="H227" s="46"/>
    </row>
    <row r="228">
      <c r="A228" s="46"/>
      <c r="B228" s="51"/>
      <c r="C228" s="51"/>
      <c r="D228" s="51"/>
      <c r="E228" s="51"/>
      <c r="F228" s="46"/>
      <c r="G228" s="46"/>
      <c r="H228" s="46"/>
    </row>
    <row r="229">
      <c r="A229" s="46"/>
      <c r="B229" s="51"/>
      <c r="C229" s="51"/>
      <c r="D229" s="51"/>
      <c r="E229" s="51"/>
      <c r="F229" s="46"/>
      <c r="G229" s="46"/>
      <c r="H229" s="46"/>
    </row>
    <row r="230">
      <c r="A230" s="46"/>
      <c r="B230" s="51"/>
      <c r="C230" s="51"/>
      <c r="D230" s="51"/>
      <c r="E230" s="51"/>
      <c r="F230" s="46"/>
      <c r="G230" s="46"/>
      <c r="H230" s="46"/>
    </row>
    <row r="231">
      <c r="A231" s="46"/>
      <c r="B231" s="51"/>
      <c r="C231" s="51"/>
      <c r="D231" s="51"/>
      <c r="E231" s="51"/>
      <c r="F231" s="46"/>
      <c r="G231" s="46"/>
      <c r="H231" s="46"/>
    </row>
    <row r="232">
      <c r="A232" s="46"/>
      <c r="B232" s="51"/>
      <c r="C232" s="51"/>
      <c r="D232" s="51"/>
      <c r="E232" s="51"/>
      <c r="F232" s="46"/>
      <c r="G232" s="46"/>
      <c r="H232" s="46"/>
    </row>
    <row r="233">
      <c r="A233" s="46"/>
      <c r="B233" s="51"/>
      <c r="C233" s="51"/>
      <c r="D233" s="51"/>
      <c r="E233" s="51"/>
      <c r="F233" s="46"/>
      <c r="G233" s="46"/>
      <c r="H233" s="46"/>
    </row>
    <row r="234">
      <c r="A234" s="46"/>
      <c r="B234" s="51"/>
      <c r="C234" s="51"/>
      <c r="D234" s="51"/>
      <c r="E234" s="51"/>
      <c r="F234" s="46"/>
      <c r="G234" s="46"/>
      <c r="H234" s="46"/>
    </row>
    <row r="235">
      <c r="A235" s="46"/>
      <c r="B235" s="51"/>
      <c r="C235" s="51"/>
      <c r="D235" s="51"/>
      <c r="E235" s="51"/>
      <c r="F235" s="46"/>
      <c r="G235" s="46"/>
      <c r="H235" s="46"/>
    </row>
    <row r="236">
      <c r="A236" s="46"/>
      <c r="B236" s="51"/>
      <c r="C236" s="51"/>
      <c r="D236" s="51"/>
      <c r="E236" s="51"/>
      <c r="F236" s="46"/>
      <c r="G236" s="46"/>
      <c r="H236" s="46"/>
    </row>
    <row r="237">
      <c r="A237" s="46"/>
      <c r="B237" s="51"/>
      <c r="C237" s="51"/>
      <c r="D237" s="51"/>
      <c r="E237" s="51"/>
      <c r="F237" s="46"/>
      <c r="G237" s="46"/>
      <c r="H237" s="46"/>
    </row>
    <row r="238">
      <c r="A238" s="46"/>
      <c r="B238" s="51"/>
      <c r="C238" s="51"/>
      <c r="D238" s="51"/>
      <c r="E238" s="51"/>
      <c r="F238" s="46"/>
      <c r="G238" s="46"/>
      <c r="H238" s="46"/>
    </row>
    <row r="239">
      <c r="A239" s="46"/>
      <c r="B239" s="51"/>
      <c r="C239" s="51"/>
      <c r="D239" s="51"/>
      <c r="E239" s="51"/>
      <c r="F239" s="46"/>
      <c r="G239" s="46"/>
      <c r="H239" s="46"/>
    </row>
    <row r="240">
      <c r="A240" s="46"/>
      <c r="B240" s="51"/>
      <c r="C240" s="51"/>
      <c r="D240" s="51"/>
      <c r="E240" s="51"/>
      <c r="F240" s="46"/>
      <c r="G240" s="46"/>
      <c r="H240" s="46"/>
    </row>
    <row r="241">
      <c r="A241" s="46"/>
      <c r="B241" s="51"/>
      <c r="C241" s="51"/>
      <c r="D241" s="51"/>
      <c r="E241" s="51"/>
      <c r="F241" s="46"/>
      <c r="G241" s="46"/>
      <c r="H241" s="46"/>
    </row>
    <row r="242">
      <c r="A242" s="46"/>
      <c r="B242" s="51"/>
      <c r="C242" s="51"/>
      <c r="D242" s="51"/>
      <c r="E242" s="51"/>
      <c r="F242" s="46"/>
      <c r="G242" s="46"/>
      <c r="H242" s="46"/>
    </row>
    <row r="243">
      <c r="A243" s="46"/>
      <c r="B243" s="51"/>
      <c r="C243" s="51"/>
      <c r="D243" s="51"/>
      <c r="E243" s="51"/>
      <c r="F243" s="46"/>
      <c r="G243" s="46"/>
      <c r="H243" s="46"/>
    </row>
    <row r="244">
      <c r="A244" s="46"/>
      <c r="B244" s="51"/>
      <c r="C244" s="51"/>
      <c r="D244" s="51"/>
      <c r="E244" s="51"/>
      <c r="F244" s="46"/>
      <c r="G244" s="46"/>
      <c r="H244" s="46"/>
    </row>
    <row r="245">
      <c r="A245" s="46"/>
      <c r="B245" s="51"/>
      <c r="C245" s="51"/>
      <c r="D245" s="51"/>
      <c r="E245" s="51"/>
      <c r="F245" s="46"/>
      <c r="G245" s="46"/>
      <c r="H245" s="46"/>
    </row>
    <row r="246">
      <c r="A246" s="46"/>
      <c r="B246" s="51"/>
      <c r="C246" s="51"/>
      <c r="D246" s="51"/>
      <c r="E246" s="51"/>
      <c r="F246" s="46"/>
      <c r="G246" s="46"/>
      <c r="H246" s="46"/>
    </row>
    <row r="247">
      <c r="A247" s="46"/>
      <c r="B247" s="51"/>
      <c r="C247" s="51"/>
      <c r="D247" s="51"/>
      <c r="E247" s="51"/>
      <c r="F247" s="46"/>
      <c r="G247" s="46"/>
      <c r="H247" s="46"/>
    </row>
    <row r="248">
      <c r="A248" s="46"/>
      <c r="B248" s="51"/>
      <c r="C248" s="51"/>
      <c r="D248" s="51"/>
      <c r="E248" s="51"/>
      <c r="F248" s="46"/>
      <c r="G248" s="46"/>
      <c r="H248" s="46"/>
    </row>
    <row r="249">
      <c r="A249" s="46"/>
      <c r="B249" s="51"/>
      <c r="C249" s="51"/>
      <c r="D249" s="51"/>
      <c r="E249" s="51"/>
      <c r="F249" s="46"/>
      <c r="G249" s="46"/>
      <c r="H249" s="46"/>
    </row>
    <row r="250">
      <c r="A250" s="46"/>
      <c r="B250" s="51"/>
      <c r="C250" s="51"/>
      <c r="D250" s="51"/>
      <c r="E250" s="51"/>
      <c r="F250" s="46"/>
      <c r="G250" s="46"/>
      <c r="H250" s="46"/>
    </row>
    <row r="251">
      <c r="A251" s="46"/>
      <c r="B251" s="51"/>
      <c r="C251" s="51"/>
      <c r="D251" s="51"/>
      <c r="E251" s="51"/>
      <c r="F251" s="46"/>
      <c r="G251" s="46"/>
      <c r="H251" s="46"/>
    </row>
    <row r="252">
      <c r="A252" s="46"/>
      <c r="B252" s="51"/>
      <c r="C252" s="51"/>
      <c r="D252" s="51"/>
      <c r="E252" s="51"/>
      <c r="F252" s="46"/>
      <c r="G252" s="46"/>
      <c r="H252" s="46"/>
    </row>
    <row r="253">
      <c r="A253" s="46"/>
      <c r="B253" s="51"/>
      <c r="C253" s="51"/>
      <c r="D253" s="51"/>
      <c r="E253" s="51"/>
      <c r="F253" s="46"/>
      <c r="G253" s="46"/>
      <c r="H253" s="46"/>
    </row>
    <row r="254">
      <c r="A254" s="46"/>
      <c r="B254" s="51"/>
      <c r="C254" s="51"/>
      <c r="D254" s="51"/>
      <c r="E254" s="51"/>
      <c r="F254" s="46"/>
      <c r="G254" s="46"/>
      <c r="H254" s="46"/>
    </row>
    <row r="255">
      <c r="A255" s="46"/>
      <c r="B255" s="51"/>
      <c r="C255" s="51"/>
      <c r="D255" s="51"/>
      <c r="E255" s="51"/>
      <c r="F255" s="46"/>
      <c r="G255" s="46"/>
      <c r="H255" s="46"/>
    </row>
    <row r="256">
      <c r="A256" s="46"/>
      <c r="B256" s="51"/>
      <c r="C256" s="51"/>
      <c r="D256" s="51"/>
      <c r="E256" s="51"/>
      <c r="F256" s="46"/>
      <c r="G256" s="46"/>
      <c r="H256" s="46"/>
    </row>
    <row r="257">
      <c r="A257" s="46"/>
      <c r="B257" s="51"/>
      <c r="C257" s="51"/>
      <c r="D257" s="51"/>
      <c r="E257" s="51"/>
      <c r="F257" s="46"/>
      <c r="G257" s="46"/>
      <c r="H257" s="46"/>
    </row>
    <row r="258">
      <c r="A258" s="46"/>
      <c r="B258" s="51"/>
      <c r="C258" s="51"/>
      <c r="D258" s="51"/>
      <c r="E258" s="51"/>
      <c r="F258" s="46"/>
      <c r="G258" s="46"/>
      <c r="H258" s="46"/>
    </row>
    <row r="259">
      <c r="A259" s="46"/>
      <c r="B259" s="51"/>
      <c r="C259" s="51"/>
      <c r="D259" s="51"/>
      <c r="E259" s="51"/>
      <c r="F259" s="46"/>
      <c r="G259" s="46"/>
      <c r="H259" s="46"/>
    </row>
    <row r="260">
      <c r="A260" s="46"/>
      <c r="B260" s="51"/>
      <c r="C260" s="51"/>
      <c r="D260" s="51"/>
      <c r="E260" s="51"/>
      <c r="F260" s="46"/>
      <c r="G260" s="46"/>
      <c r="H260" s="46"/>
    </row>
    <row r="261">
      <c r="A261" s="46"/>
      <c r="B261" s="51"/>
      <c r="C261" s="51"/>
      <c r="D261" s="51"/>
      <c r="E261" s="51"/>
      <c r="F261" s="46"/>
      <c r="G261" s="46"/>
      <c r="H261" s="46"/>
    </row>
    <row r="262">
      <c r="A262" s="46"/>
      <c r="B262" s="51"/>
      <c r="C262" s="51"/>
      <c r="D262" s="51"/>
      <c r="E262" s="51"/>
      <c r="F262" s="46"/>
      <c r="G262" s="46"/>
      <c r="H262" s="46"/>
    </row>
    <row r="263">
      <c r="A263" s="46"/>
      <c r="B263" s="51"/>
      <c r="C263" s="51"/>
      <c r="D263" s="51"/>
      <c r="E263" s="51"/>
      <c r="F263" s="46"/>
      <c r="G263" s="46"/>
      <c r="H263" s="46"/>
    </row>
    <row r="264">
      <c r="A264" s="46"/>
      <c r="B264" s="51"/>
      <c r="C264" s="51"/>
      <c r="D264" s="51"/>
      <c r="E264" s="51"/>
      <c r="F264" s="46"/>
      <c r="G264" s="46"/>
      <c r="H264" s="46"/>
    </row>
    <row r="265">
      <c r="A265" s="46"/>
      <c r="B265" s="51"/>
      <c r="C265" s="51"/>
      <c r="D265" s="51"/>
      <c r="E265" s="51"/>
      <c r="F265" s="46"/>
      <c r="G265" s="46"/>
      <c r="H265" s="46"/>
    </row>
    <row r="266">
      <c r="A266" s="46"/>
      <c r="B266" s="51"/>
      <c r="C266" s="51"/>
      <c r="D266" s="51"/>
      <c r="E266" s="51"/>
      <c r="F266" s="46"/>
      <c r="G266" s="46"/>
      <c r="H266" s="46"/>
    </row>
    <row r="267">
      <c r="A267" s="46"/>
      <c r="B267" s="51"/>
      <c r="C267" s="51"/>
      <c r="D267" s="51"/>
      <c r="E267" s="51"/>
      <c r="F267" s="46"/>
      <c r="G267" s="46"/>
      <c r="H267" s="46"/>
    </row>
    <row r="268">
      <c r="A268" s="46"/>
      <c r="B268" s="51"/>
      <c r="C268" s="51"/>
      <c r="D268" s="51"/>
      <c r="E268" s="51"/>
      <c r="F268" s="46"/>
      <c r="G268" s="46"/>
      <c r="H268" s="46"/>
    </row>
    <row r="269">
      <c r="A269" s="46"/>
      <c r="B269" s="51"/>
      <c r="C269" s="51"/>
      <c r="D269" s="51"/>
      <c r="E269" s="51"/>
      <c r="F269" s="46"/>
      <c r="G269" s="46"/>
      <c r="H269" s="46"/>
    </row>
    <row r="270">
      <c r="A270" s="46"/>
      <c r="B270" s="51"/>
      <c r="C270" s="51"/>
      <c r="D270" s="51"/>
      <c r="E270" s="51"/>
      <c r="F270" s="46"/>
      <c r="G270" s="46"/>
      <c r="H270" s="46"/>
    </row>
    <row r="271">
      <c r="A271" s="46"/>
      <c r="B271" s="51"/>
      <c r="C271" s="51"/>
      <c r="D271" s="51"/>
      <c r="E271" s="51"/>
      <c r="F271" s="46"/>
      <c r="G271" s="46"/>
      <c r="H271" s="46"/>
    </row>
    <row r="272">
      <c r="A272" s="46"/>
      <c r="B272" s="51"/>
      <c r="C272" s="51"/>
      <c r="D272" s="51"/>
      <c r="E272" s="51"/>
      <c r="F272" s="46"/>
      <c r="G272" s="46"/>
      <c r="H272" s="46"/>
    </row>
    <row r="273">
      <c r="A273" s="46"/>
      <c r="B273" s="51"/>
      <c r="C273" s="51"/>
      <c r="D273" s="51"/>
      <c r="E273" s="51"/>
      <c r="F273" s="46"/>
      <c r="G273" s="46"/>
      <c r="H273" s="46"/>
    </row>
    <row r="274">
      <c r="A274" s="46"/>
      <c r="B274" s="51"/>
      <c r="C274" s="51"/>
      <c r="D274" s="51"/>
      <c r="E274" s="51"/>
      <c r="F274" s="46"/>
      <c r="G274" s="46"/>
      <c r="H274" s="46"/>
    </row>
    <row r="275">
      <c r="A275" s="46"/>
      <c r="B275" s="51"/>
      <c r="C275" s="51"/>
      <c r="D275" s="51"/>
      <c r="E275" s="51"/>
      <c r="F275" s="46"/>
      <c r="G275" s="46"/>
      <c r="H275" s="46"/>
    </row>
    <row r="276">
      <c r="A276" s="46"/>
      <c r="B276" s="51"/>
      <c r="C276" s="51"/>
      <c r="D276" s="51"/>
      <c r="E276" s="51"/>
      <c r="F276" s="46"/>
      <c r="G276" s="46"/>
      <c r="H276" s="46"/>
    </row>
    <row r="277">
      <c r="A277" s="46"/>
      <c r="B277" s="51"/>
      <c r="C277" s="51"/>
      <c r="D277" s="51"/>
      <c r="E277" s="51"/>
      <c r="F277" s="46"/>
      <c r="G277" s="46"/>
      <c r="H277" s="46"/>
    </row>
    <row r="278">
      <c r="A278" s="46"/>
      <c r="B278" s="51"/>
      <c r="C278" s="51"/>
      <c r="D278" s="51"/>
      <c r="E278" s="51"/>
      <c r="F278" s="46"/>
      <c r="G278" s="46"/>
      <c r="H278" s="46"/>
    </row>
    <row r="279">
      <c r="A279" s="46"/>
      <c r="B279" s="51"/>
      <c r="C279" s="51"/>
      <c r="D279" s="51"/>
      <c r="E279" s="51"/>
      <c r="F279" s="46"/>
      <c r="G279" s="46"/>
      <c r="H279" s="46"/>
    </row>
    <row r="280">
      <c r="A280" s="46"/>
      <c r="B280" s="51"/>
      <c r="C280" s="51"/>
      <c r="D280" s="51"/>
      <c r="E280" s="51"/>
      <c r="F280" s="46"/>
      <c r="G280" s="46"/>
      <c r="H280" s="46"/>
    </row>
    <row r="281">
      <c r="A281" s="46"/>
      <c r="B281" s="51"/>
      <c r="C281" s="51"/>
      <c r="D281" s="51"/>
      <c r="E281" s="51"/>
      <c r="F281" s="46"/>
      <c r="G281" s="46"/>
      <c r="H281" s="46"/>
    </row>
    <row r="282">
      <c r="A282" s="46"/>
      <c r="B282" s="51"/>
      <c r="C282" s="51"/>
      <c r="D282" s="51"/>
      <c r="E282" s="51"/>
      <c r="F282" s="46"/>
      <c r="G282" s="46"/>
      <c r="H282" s="46"/>
    </row>
    <row r="283">
      <c r="A283" s="46"/>
      <c r="B283" s="51"/>
      <c r="C283" s="51"/>
      <c r="D283" s="51"/>
      <c r="E283" s="51"/>
      <c r="F283" s="46"/>
      <c r="G283" s="46"/>
      <c r="H283" s="46"/>
    </row>
    <row r="284">
      <c r="A284" s="46"/>
      <c r="B284" s="51"/>
      <c r="C284" s="51"/>
      <c r="D284" s="51"/>
      <c r="E284" s="51"/>
      <c r="F284" s="46"/>
      <c r="G284" s="46"/>
      <c r="H284" s="46"/>
    </row>
    <row r="285">
      <c r="A285" s="46"/>
      <c r="B285" s="51"/>
      <c r="C285" s="51"/>
      <c r="D285" s="51"/>
      <c r="E285" s="51"/>
      <c r="F285" s="46"/>
      <c r="G285" s="46"/>
      <c r="H285" s="46"/>
    </row>
    <row r="286">
      <c r="A286" s="46"/>
      <c r="B286" s="51"/>
      <c r="C286" s="51"/>
      <c r="D286" s="51"/>
      <c r="E286" s="51"/>
      <c r="F286" s="46"/>
      <c r="G286" s="46"/>
      <c r="H286" s="46"/>
    </row>
    <row r="287">
      <c r="A287" s="46"/>
      <c r="B287" s="51"/>
      <c r="C287" s="51"/>
      <c r="D287" s="51"/>
      <c r="E287" s="51"/>
      <c r="F287" s="46"/>
      <c r="G287" s="46"/>
      <c r="H287" s="46"/>
    </row>
    <row r="288">
      <c r="A288" s="46"/>
      <c r="B288" s="51"/>
      <c r="C288" s="51"/>
      <c r="D288" s="51"/>
      <c r="E288" s="51"/>
      <c r="F288" s="46"/>
      <c r="G288" s="46"/>
      <c r="H288" s="46"/>
    </row>
    <row r="289">
      <c r="A289" s="46"/>
      <c r="B289" s="51"/>
      <c r="C289" s="51"/>
      <c r="D289" s="51"/>
      <c r="E289" s="51"/>
      <c r="F289" s="46"/>
      <c r="G289" s="46"/>
      <c r="H289" s="46"/>
    </row>
    <row r="290">
      <c r="A290" s="46"/>
      <c r="B290" s="51"/>
      <c r="C290" s="51"/>
      <c r="D290" s="51"/>
      <c r="E290" s="51"/>
      <c r="F290" s="46"/>
      <c r="G290" s="46"/>
      <c r="H290" s="46"/>
    </row>
    <row r="291">
      <c r="A291" s="46"/>
      <c r="B291" s="51"/>
      <c r="C291" s="51"/>
      <c r="D291" s="51"/>
      <c r="E291" s="51"/>
      <c r="F291" s="46"/>
      <c r="G291" s="46"/>
      <c r="H291" s="46"/>
    </row>
    <row r="292">
      <c r="A292" s="46"/>
      <c r="B292" s="51"/>
      <c r="C292" s="51"/>
      <c r="D292" s="51"/>
      <c r="E292" s="51"/>
      <c r="F292" s="46"/>
      <c r="G292" s="46"/>
      <c r="H292" s="46"/>
    </row>
    <row r="293">
      <c r="A293" s="46"/>
      <c r="B293" s="51"/>
      <c r="C293" s="51"/>
      <c r="D293" s="51"/>
      <c r="E293" s="51"/>
      <c r="F293" s="46"/>
      <c r="G293" s="46"/>
      <c r="H293" s="46"/>
    </row>
    <row r="294">
      <c r="A294" s="46"/>
      <c r="B294" s="51"/>
      <c r="C294" s="51"/>
      <c r="D294" s="51"/>
      <c r="E294" s="51"/>
      <c r="F294" s="46"/>
      <c r="G294" s="46"/>
      <c r="H294" s="46"/>
    </row>
    <row r="295">
      <c r="A295" s="46"/>
      <c r="B295" s="51"/>
      <c r="C295" s="51"/>
      <c r="D295" s="51"/>
      <c r="E295" s="51"/>
      <c r="F295" s="46"/>
      <c r="G295" s="46"/>
      <c r="H295" s="46"/>
    </row>
    <row r="296">
      <c r="A296" s="46"/>
      <c r="B296" s="51"/>
      <c r="C296" s="51"/>
      <c r="D296" s="51"/>
      <c r="E296" s="51"/>
      <c r="F296" s="46"/>
      <c r="G296" s="46"/>
      <c r="H296" s="46"/>
    </row>
    <row r="297">
      <c r="A297" s="46"/>
      <c r="B297" s="51"/>
      <c r="C297" s="51"/>
      <c r="D297" s="51"/>
      <c r="E297" s="51"/>
      <c r="F297" s="46"/>
      <c r="G297" s="46"/>
      <c r="H297" s="46"/>
    </row>
    <row r="298">
      <c r="A298" s="46"/>
      <c r="B298" s="51"/>
      <c r="C298" s="51"/>
      <c r="D298" s="51"/>
      <c r="E298" s="51"/>
      <c r="F298" s="46"/>
      <c r="G298" s="46"/>
      <c r="H298" s="46"/>
    </row>
    <row r="299">
      <c r="A299" s="46"/>
      <c r="B299" s="51"/>
      <c r="C299" s="51"/>
      <c r="D299" s="51"/>
      <c r="E299" s="51"/>
      <c r="F299" s="46"/>
      <c r="G299" s="46"/>
      <c r="H299" s="46"/>
    </row>
    <row r="300">
      <c r="A300" s="46"/>
      <c r="B300" s="51"/>
      <c r="C300" s="51"/>
      <c r="D300" s="51"/>
      <c r="E300" s="51"/>
      <c r="F300" s="46"/>
      <c r="G300" s="46"/>
      <c r="H300" s="46"/>
    </row>
    <row r="301">
      <c r="A301" s="46"/>
      <c r="B301" s="51"/>
      <c r="C301" s="51"/>
      <c r="D301" s="51"/>
      <c r="E301" s="51"/>
      <c r="F301" s="46"/>
      <c r="G301" s="46"/>
      <c r="H301" s="46"/>
    </row>
    <row r="302">
      <c r="A302" s="46"/>
      <c r="B302" s="51"/>
      <c r="C302" s="51"/>
      <c r="D302" s="51"/>
      <c r="E302" s="51"/>
      <c r="F302" s="46"/>
      <c r="G302" s="46"/>
      <c r="H302" s="46"/>
    </row>
    <row r="303">
      <c r="A303" s="46"/>
      <c r="B303" s="51"/>
      <c r="C303" s="51"/>
      <c r="D303" s="51"/>
      <c r="E303" s="51"/>
      <c r="F303" s="46"/>
      <c r="G303" s="46"/>
      <c r="H303" s="46"/>
    </row>
    <row r="304">
      <c r="A304" s="46"/>
      <c r="B304" s="51"/>
      <c r="C304" s="51"/>
      <c r="D304" s="51"/>
      <c r="E304" s="51"/>
      <c r="F304" s="46"/>
      <c r="G304" s="46"/>
      <c r="H304" s="46"/>
    </row>
    <row r="305">
      <c r="A305" s="46"/>
      <c r="B305" s="51"/>
      <c r="C305" s="51"/>
      <c r="D305" s="51"/>
      <c r="E305" s="51"/>
      <c r="F305" s="46"/>
      <c r="G305" s="46"/>
      <c r="H305" s="46"/>
    </row>
    <row r="306">
      <c r="A306" s="46"/>
      <c r="B306" s="51"/>
      <c r="C306" s="51"/>
      <c r="D306" s="51"/>
      <c r="E306" s="51"/>
      <c r="F306" s="46"/>
      <c r="G306" s="46"/>
      <c r="H306" s="46"/>
    </row>
    <row r="307">
      <c r="A307" s="46"/>
      <c r="B307" s="51"/>
      <c r="C307" s="51"/>
      <c r="D307" s="51"/>
      <c r="E307" s="51"/>
      <c r="F307" s="46"/>
      <c r="G307" s="46"/>
      <c r="H307" s="46"/>
    </row>
    <row r="308">
      <c r="A308" s="46"/>
      <c r="B308" s="51"/>
      <c r="C308" s="51"/>
      <c r="D308" s="51"/>
      <c r="E308" s="51"/>
      <c r="F308" s="46"/>
      <c r="G308" s="46"/>
      <c r="H308" s="46"/>
    </row>
    <row r="309">
      <c r="A309" s="46"/>
      <c r="B309" s="51"/>
      <c r="C309" s="51"/>
      <c r="D309" s="51"/>
      <c r="E309" s="51"/>
      <c r="F309" s="46"/>
      <c r="G309" s="46"/>
      <c r="H309" s="46"/>
    </row>
    <row r="310">
      <c r="A310" s="46"/>
      <c r="B310" s="51"/>
      <c r="C310" s="51"/>
      <c r="D310" s="51"/>
      <c r="E310" s="51"/>
      <c r="F310" s="46"/>
      <c r="G310" s="46"/>
      <c r="H310" s="46"/>
    </row>
    <row r="311">
      <c r="A311" s="46"/>
      <c r="B311" s="51"/>
      <c r="C311" s="51"/>
      <c r="D311" s="51"/>
      <c r="E311" s="51"/>
      <c r="F311" s="46"/>
      <c r="G311" s="46"/>
      <c r="H311" s="46"/>
    </row>
    <row r="312">
      <c r="A312" s="46"/>
      <c r="B312" s="51"/>
      <c r="C312" s="51"/>
      <c r="D312" s="51"/>
      <c r="E312" s="51"/>
      <c r="F312" s="46"/>
      <c r="G312" s="46"/>
      <c r="H312" s="46"/>
    </row>
    <row r="313">
      <c r="A313" s="46"/>
      <c r="B313" s="51"/>
      <c r="C313" s="51"/>
      <c r="D313" s="51"/>
      <c r="E313" s="51"/>
      <c r="F313" s="46"/>
      <c r="G313" s="46"/>
      <c r="H313" s="46"/>
    </row>
    <row r="314">
      <c r="A314" s="46"/>
      <c r="B314" s="51"/>
      <c r="C314" s="51"/>
      <c r="D314" s="51"/>
      <c r="E314" s="51"/>
      <c r="F314" s="46"/>
      <c r="G314" s="46"/>
      <c r="H314" s="46"/>
    </row>
    <row r="315">
      <c r="A315" s="46"/>
      <c r="B315" s="51"/>
      <c r="C315" s="51"/>
      <c r="D315" s="51"/>
      <c r="E315" s="51"/>
      <c r="F315" s="46"/>
      <c r="G315" s="46"/>
      <c r="H315" s="46"/>
    </row>
    <row r="316">
      <c r="A316" s="46"/>
      <c r="B316" s="51"/>
      <c r="C316" s="51"/>
      <c r="D316" s="51"/>
      <c r="E316" s="51"/>
      <c r="F316" s="46"/>
      <c r="G316" s="46"/>
      <c r="H316" s="46"/>
    </row>
    <row r="317">
      <c r="A317" s="46"/>
      <c r="B317" s="51"/>
      <c r="C317" s="51"/>
      <c r="D317" s="51"/>
      <c r="E317" s="51"/>
      <c r="F317" s="46"/>
      <c r="G317" s="46"/>
      <c r="H317" s="46"/>
    </row>
    <row r="318">
      <c r="A318" s="46"/>
      <c r="B318" s="51"/>
      <c r="C318" s="51"/>
      <c r="D318" s="51"/>
      <c r="E318" s="51"/>
      <c r="F318" s="46"/>
      <c r="G318" s="46"/>
      <c r="H318" s="46"/>
    </row>
    <row r="319">
      <c r="A319" s="46"/>
      <c r="B319" s="51"/>
      <c r="C319" s="51"/>
      <c r="D319" s="51"/>
      <c r="E319" s="51"/>
      <c r="F319" s="46"/>
      <c r="G319" s="46"/>
      <c r="H319" s="46"/>
    </row>
    <row r="320">
      <c r="A320" s="46"/>
      <c r="B320" s="51"/>
      <c r="C320" s="51"/>
      <c r="D320" s="51"/>
      <c r="E320" s="51"/>
      <c r="F320" s="46"/>
      <c r="G320" s="46"/>
      <c r="H320" s="46"/>
    </row>
    <row r="321">
      <c r="A321" s="46"/>
      <c r="B321" s="51"/>
      <c r="C321" s="51"/>
      <c r="D321" s="51"/>
      <c r="E321" s="51"/>
      <c r="F321" s="46"/>
      <c r="G321" s="46"/>
      <c r="H321" s="46"/>
    </row>
    <row r="322">
      <c r="A322" s="46"/>
      <c r="B322" s="51"/>
      <c r="C322" s="51"/>
      <c r="D322" s="51"/>
      <c r="E322" s="51"/>
      <c r="F322" s="46"/>
      <c r="G322" s="46"/>
      <c r="H322" s="46"/>
    </row>
    <row r="323">
      <c r="A323" s="46"/>
      <c r="B323" s="51"/>
      <c r="C323" s="51"/>
      <c r="D323" s="51"/>
      <c r="E323" s="51"/>
      <c r="F323" s="46"/>
      <c r="G323" s="46"/>
      <c r="H323" s="46"/>
    </row>
    <row r="324">
      <c r="A324" s="46"/>
      <c r="B324" s="51"/>
      <c r="C324" s="51"/>
      <c r="D324" s="51"/>
      <c r="E324" s="51"/>
      <c r="F324" s="46"/>
      <c r="G324" s="46"/>
      <c r="H324" s="46"/>
    </row>
    <row r="325">
      <c r="A325" s="46"/>
      <c r="B325" s="51"/>
      <c r="C325" s="51"/>
      <c r="D325" s="51"/>
      <c r="E325" s="51"/>
      <c r="F325" s="46"/>
      <c r="G325" s="46"/>
      <c r="H325" s="46"/>
    </row>
    <row r="326">
      <c r="A326" s="46"/>
      <c r="B326" s="51"/>
      <c r="C326" s="51"/>
      <c r="D326" s="51"/>
      <c r="E326" s="51"/>
      <c r="F326" s="46"/>
      <c r="G326" s="46"/>
      <c r="H326" s="46"/>
    </row>
    <row r="327">
      <c r="A327" s="46"/>
      <c r="B327" s="51"/>
      <c r="C327" s="51"/>
      <c r="D327" s="51"/>
      <c r="E327" s="51"/>
      <c r="F327" s="46"/>
      <c r="G327" s="46"/>
      <c r="H327" s="46"/>
    </row>
    <row r="328">
      <c r="A328" s="46"/>
      <c r="B328" s="51"/>
      <c r="C328" s="51"/>
      <c r="D328" s="51"/>
      <c r="E328" s="51"/>
      <c r="F328" s="46"/>
      <c r="G328" s="46"/>
      <c r="H328" s="46"/>
    </row>
    <row r="329">
      <c r="A329" s="46"/>
      <c r="B329" s="51"/>
      <c r="C329" s="51"/>
      <c r="D329" s="51"/>
      <c r="E329" s="51"/>
      <c r="F329" s="46"/>
      <c r="G329" s="46"/>
      <c r="H329" s="46"/>
    </row>
    <row r="330">
      <c r="A330" s="46"/>
      <c r="B330" s="51"/>
      <c r="C330" s="51"/>
      <c r="D330" s="51"/>
      <c r="E330" s="51"/>
      <c r="F330" s="46"/>
      <c r="G330" s="46"/>
      <c r="H330" s="46"/>
    </row>
    <row r="331">
      <c r="A331" s="46"/>
      <c r="B331" s="51"/>
      <c r="C331" s="51"/>
      <c r="D331" s="51"/>
      <c r="E331" s="51"/>
      <c r="F331" s="46"/>
      <c r="G331" s="46"/>
      <c r="H331" s="46"/>
    </row>
    <row r="332">
      <c r="A332" s="46"/>
      <c r="B332" s="51"/>
      <c r="C332" s="51"/>
      <c r="D332" s="51"/>
      <c r="E332" s="51"/>
      <c r="F332" s="46"/>
      <c r="G332" s="46"/>
      <c r="H332" s="46"/>
    </row>
    <row r="333">
      <c r="A333" s="46"/>
      <c r="B333" s="51"/>
      <c r="C333" s="51"/>
      <c r="D333" s="51"/>
      <c r="E333" s="51"/>
      <c r="F333" s="46"/>
      <c r="G333" s="46"/>
      <c r="H333" s="46"/>
    </row>
    <row r="334">
      <c r="A334" s="46"/>
      <c r="B334" s="51"/>
      <c r="C334" s="51"/>
      <c r="D334" s="51"/>
      <c r="E334" s="51"/>
      <c r="F334" s="46"/>
      <c r="G334" s="46"/>
      <c r="H334" s="46"/>
    </row>
    <row r="335">
      <c r="A335" s="46"/>
      <c r="B335" s="51"/>
      <c r="C335" s="51"/>
      <c r="D335" s="51"/>
      <c r="E335" s="51"/>
      <c r="F335" s="46"/>
      <c r="G335" s="46"/>
      <c r="H335" s="46"/>
    </row>
    <row r="336">
      <c r="A336" s="46"/>
      <c r="B336" s="51"/>
      <c r="C336" s="51"/>
      <c r="D336" s="51"/>
      <c r="E336" s="51"/>
      <c r="F336" s="46"/>
      <c r="G336" s="46"/>
      <c r="H336" s="46"/>
    </row>
    <row r="337">
      <c r="A337" s="46"/>
      <c r="B337" s="51"/>
      <c r="C337" s="51"/>
      <c r="D337" s="51"/>
      <c r="E337" s="51"/>
      <c r="F337" s="46"/>
      <c r="G337" s="46"/>
      <c r="H337" s="46"/>
    </row>
    <row r="338">
      <c r="A338" s="46"/>
      <c r="B338" s="51"/>
      <c r="C338" s="51"/>
      <c r="D338" s="51"/>
      <c r="E338" s="51"/>
      <c r="F338" s="46"/>
      <c r="G338" s="46"/>
      <c r="H338" s="46"/>
    </row>
    <row r="339">
      <c r="A339" s="46"/>
      <c r="B339" s="51"/>
      <c r="C339" s="51"/>
      <c r="D339" s="51"/>
      <c r="E339" s="51"/>
      <c r="F339" s="46"/>
      <c r="G339" s="46"/>
      <c r="H339" s="46"/>
    </row>
    <row r="340">
      <c r="A340" s="46"/>
      <c r="B340" s="51"/>
      <c r="C340" s="51"/>
      <c r="D340" s="51"/>
      <c r="E340" s="51"/>
      <c r="F340" s="46"/>
      <c r="G340" s="46"/>
      <c r="H340" s="46"/>
    </row>
    <row r="341">
      <c r="A341" s="46"/>
      <c r="B341" s="51"/>
      <c r="C341" s="51"/>
      <c r="D341" s="51"/>
      <c r="E341" s="51"/>
      <c r="F341" s="46"/>
      <c r="G341" s="46"/>
      <c r="H341" s="46"/>
    </row>
    <row r="342">
      <c r="A342" s="46"/>
      <c r="B342" s="51"/>
      <c r="C342" s="51"/>
      <c r="D342" s="51"/>
      <c r="E342" s="51"/>
      <c r="F342" s="46"/>
      <c r="G342" s="46"/>
      <c r="H342" s="46"/>
    </row>
    <row r="343">
      <c r="A343" s="46"/>
      <c r="B343" s="51"/>
      <c r="C343" s="51"/>
      <c r="D343" s="51"/>
      <c r="E343" s="51"/>
      <c r="F343" s="46"/>
      <c r="G343" s="46"/>
      <c r="H343" s="46"/>
    </row>
    <row r="344">
      <c r="A344" s="46"/>
      <c r="B344" s="51"/>
      <c r="C344" s="51"/>
      <c r="D344" s="51"/>
      <c r="E344" s="51"/>
      <c r="F344" s="46"/>
      <c r="G344" s="46"/>
      <c r="H344" s="46"/>
    </row>
    <row r="345">
      <c r="A345" s="46"/>
      <c r="B345" s="51"/>
      <c r="C345" s="51"/>
      <c r="D345" s="51"/>
      <c r="E345" s="51"/>
      <c r="F345" s="46"/>
      <c r="G345" s="46"/>
      <c r="H345" s="46"/>
    </row>
    <row r="346">
      <c r="A346" s="46"/>
      <c r="B346" s="51"/>
      <c r="C346" s="51"/>
      <c r="D346" s="51"/>
      <c r="E346" s="51"/>
      <c r="F346" s="46"/>
      <c r="G346" s="46"/>
      <c r="H346" s="46"/>
    </row>
    <row r="347">
      <c r="A347" s="46"/>
      <c r="B347" s="51"/>
      <c r="C347" s="51"/>
      <c r="D347" s="51"/>
      <c r="E347" s="51"/>
      <c r="F347" s="46"/>
      <c r="G347" s="46"/>
      <c r="H347" s="46"/>
    </row>
    <row r="348">
      <c r="A348" s="46"/>
      <c r="B348" s="51"/>
      <c r="C348" s="51"/>
      <c r="D348" s="51"/>
      <c r="E348" s="51"/>
      <c r="F348" s="46"/>
      <c r="G348" s="46"/>
      <c r="H348" s="46"/>
    </row>
    <row r="349">
      <c r="A349" s="46"/>
      <c r="B349" s="51"/>
      <c r="C349" s="51"/>
      <c r="D349" s="51"/>
      <c r="E349" s="51"/>
      <c r="F349" s="46"/>
      <c r="G349" s="46"/>
      <c r="H349" s="46"/>
    </row>
    <row r="350">
      <c r="A350" s="46"/>
      <c r="B350" s="51"/>
      <c r="C350" s="51"/>
      <c r="D350" s="51"/>
      <c r="E350" s="51"/>
      <c r="F350" s="46"/>
      <c r="G350" s="46"/>
      <c r="H350" s="46"/>
    </row>
    <row r="351">
      <c r="A351" s="46"/>
      <c r="B351" s="51"/>
      <c r="C351" s="51"/>
      <c r="D351" s="51"/>
      <c r="E351" s="51"/>
      <c r="F351" s="46"/>
      <c r="G351" s="46"/>
      <c r="H351" s="46"/>
    </row>
    <row r="352">
      <c r="A352" s="46"/>
      <c r="B352" s="51"/>
      <c r="C352" s="51"/>
      <c r="D352" s="51"/>
      <c r="E352" s="51"/>
      <c r="F352" s="46"/>
      <c r="G352" s="46"/>
      <c r="H352" s="46"/>
    </row>
    <row r="353">
      <c r="A353" s="46"/>
      <c r="B353" s="51"/>
      <c r="C353" s="51"/>
      <c r="D353" s="51"/>
      <c r="E353" s="51"/>
      <c r="F353" s="46"/>
      <c r="G353" s="46"/>
      <c r="H353" s="46"/>
    </row>
    <row r="354">
      <c r="A354" s="46"/>
      <c r="B354" s="51"/>
      <c r="C354" s="51"/>
      <c r="D354" s="51"/>
      <c r="E354" s="51"/>
      <c r="F354" s="46"/>
      <c r="G354" s="46"/>
      <c r="H354" s="46"/>
    </row>
    <row r="355">
      <c r="A355" s="46"/>
      <c r="B355" s="51"/>
      <c r="C355" s="51"/>
      <c r="D355" s="51"/>
      <c r="E355" s="51"/>
      <c r="F355" s="46"/>
      <c r="G355" s="46"/>
      <c r="H355" s="46"/>
    </row>
    <row r="356">
      <c r="A356" s="46"/>
      <c r="B356" s="51"/>
      <c r="C356" s="51"/>
      <c r="D356" s="51"/>
      <c r="E356" s="51"/>
      <c r="F356" s="46"/>
      <c r="G356" s="46"/>
      <c r="H356" s="46"/>
    </row>
    <row r="357">
      <c r="A357" s="46"/>
      <c r="B357" s="51"/>
      <c r="C357" s="51"/>
      <c r="D357" s="51"/>
      <c r="E357" s="51"/>
      <c r="F357" s="46"/>
      <c r="G357" s="46"/>
      <c r="H357" s="46"/>
    </row>
    <row r="358">
      <c r="A358" s="46"/>
      <c r="B358" s="51"/>
      <c r="C358" s="51"/>
      <c r="D358" s="51"/>
      <c r="E358" s="51"/>
      <c r="F358" s="46"/>
      <c r="G358" s="46"/>
      <c r="H358" s="46"/>
    </row>
    <row r="359">
      <c r="A359" s="46"/>
      <c r="B359" s="51"/>
      <c r="C359" s="51"/>
      <c r="D359" s="51"/>
      <c r="E359" s="51"/>
      <c r="F359" s="46"/>
      <c r="G359" s="46"/>
      <c r="H359" s="46"/>
    </row>
    <row r="360">
      <c r="A360" s="46"/>
      <c r="B360" s="51"/>
      <c r="C360" s="51"/>
      <c r="D360" s="51"/>
      <c r="E360" s="51"/>
      <c r="F360" s="46"/>
      <c r="G360" s="46"/>
      <c r="H360" s="46"/>
    </row>
    <row r="361">
      <c r="A361" s="46"/>
      <c r="B361" s="51"/>
      <c r="C361" s="51"/>
      <c r="D361" s="51"/>
      <c r="E361" s="51"/>
      <c r="F361" s="46"/>
      <c r="G361" s="46"/>
      <c r="H361" s="46"/>
    </row>
    <row r="362">
      <c r="A362" s="46"/>
      <c r="B362" s="51"/>
      <c r="C362" s="51"/>
      <c r="D362" s="51"/>
      <c r="E362" s="51"/>
      <c r="F362" s="46"/>
      <c r="G362" s="46"/>
      <c r="H362" s="46"/>
    </row>
    <row r="363">
      <c r="A363" s="46"/>
      <c r="B363" s="51"/>
      <c r="C363" s="51"/>
      <c r="D363" s="51"/>
      <c r="E363" s="51"/>
      <c r="F363" s="46"/>
      <c r="G363" s="46"/>
      <c r="H363" s="46"/>
    </row>
    <row r="364">
      <c r="A364" s="46"/>
      <c r="B364" s="51"/>
      <c r="C364" s="51"/>
      <c r="D364" s="51"/>
      <c r="E364" s="51"/>
      <c r="F364" s="46"/>
      <c r="G364" s="46"/>
      <c r="H364" s="46"/>
    </row>
    <row r="365">
      <c r="A365" s="46"/>
      <c r="B365" s="51"/>
      <c r="C365" s="51"/>
      <c r="D365" s="51"/>
      <c r="E365" s="51"/>
      <c r="F365" s="46"/>
      <c r="G365" s="46"/>
      <c r="H365" s="46"/>
    </row>
    <row r="366">
      <c r="A366" s="46"/>
      <c r="B366" s="51"/>
      <c r="C366" s="51"/>
      <c r="D366" s="51"/>
      <c r="E366" s="51"/>
      <c r="F366" s="46"/>
      <c r="G366" s="46"/>
      <c r="H366" s="46"/>
    </row>
    <row r="367">
      <c r="A367" s="46"/>
      <c r="B367" s="51"/>
      <c r="C367" s="51"/>
      <c r="D367" s="51"/>
      <c r="E367" s="51"/>
      <c r="F367" s="46"/>
      <c r="G367" s="46"/>
      <c r="H367" s="46"/>
    </row>
    <row r="368">
      <c r="A368" s="46"/>
      <c r="B368" s="51"/>
      <c r="C368" s="51"/>
      <c r="D368" s="51"/>
      <c r="E368" s="51"/>
      <c r="F368" s="46"/>
      <c r="G368" s="46"/>
      <c r="H368" s="46"/>
    </row>
    <row r="369">
      <c r="A369" s="46"/>
      <c r="B369" s="51"/>
      <c r="C369" s="51"/>
      <c r="D369" s="51"/>
      <c r="E369" s="51"/>
      <c r="F369" s="46"/>
      <c r="G369" s="46"/>
      <c r="H369" s="46"/>
    </row>
    <row r="370">
      <c r="A370" s="46"/>
      <c r="B370" s="51"/>
      <c r="C370" s="51"/>
      <c r="D370" s="51"/>
      <c r="E370" s="51"/>
      <c r="F370" s="46"/>
      <c r="G370" s="46"/>
      <c r="H370" s="46"/>
    </row>
    <row r="371">
      <c r="A371" s="46"/>
      <c r="B371" s="51"/>
      <c r="C371" s="51"/>
      <c r="D371" s="51"/>
      <c r="E371" s="51"/>
      <c r="F371" s="46"/>
      <c r="G371" s="46"/>
      <c r="H371" s="46"/>
    </row>
    <row r="372">
      <c r="A372" s="46"/>
      <c r="B372" s="51"/>
      <c r="C372" s="51"/>
      <c r="D372" s="51"/>
      <c r="E372" s="51"/>
      <c r="F372" s="46"/>
      <c r="G372" s="46"/>
      <c r="H372" s="46"/>
    </row>
    <row r="373">
      <c r="A373" s="46"/>
      <c r="B373" s="51"/>
      <c r="C373" s="51"/>
      <c r="D373" s="51"/>
      <c r="E373" s="51"/>
      <c r="F373" s="46"/>
      <c r="G373" s="46"/>
      <c r="H373" s="46"/>
    </row>
    <row r="374">
      <c r="A374" s="46"/>
      <c r="B374" s="51"/>
      <c r="C374" s="51"/>
      <c r="D374" s="51"/>
      <c r="E374" s="51"/>
      <c r="F374" s="46"/>
      <c r="G374" s="46"/>
      <c r="H374" s="46"/>
    </row>
    <row r="375">
      <c r="A375" s="46"/>
      <c r="B375" s="51"/>
      <c r="C375" s="51"/>
      <c r="D375" s="51"/>
      <c r="E375" s="51"/>
      <c r="F375" s="46"/>
      <c r="G375" s="46"/>
      <c r="H375" s="46"/>
    </row>
    <row r="376">
      <c r="A376" s="46"/>
      <c r="B376" s="51"/>
      <c r="C376" s="51"/>
      <c r="D376" s="51"/>
      <c r="E376" s="51"/>
      <c r="F376" s="46"/>
      <c r="G376" s="46"/>
      <c r="H376" s="46"/>
    </row>
    <row r="377">
      <c r="A377" s="46"/>
      <c r="B377" s="51"/>
      <c r="C377" s="51"/>
      <c r="D377" s="51"/>
      <c r="E377" s="51"/>
      <c r="F377" s="46"/>
      <c r="G377" s="46"/>
      <c r="H377" s="46"/>
    </row>
    <row r="378">
      <c r="A378" s="46"/>
      <c r="B378" s="51"/>
      <c r="C378" s="51"/>
      <c r="D378" s="51"/>
      <c r="E378" s="51"/>
      <c r="F378" s="46"/>
      <c r="G378" s="46"/>
      <c r="H378" s="46"/>
    </row>
    <row r="379">
      <c r="A379" s="46"/>
      <c r="B379" s="51"/>
      <c r="C379" s="51"/>
      <c r="D379" s="51"/>
      <c r="E379" s="51"/>
      <c r="F379" s="46"/>
      <c r="G379" s="46"/>
      <c r="H379" s="46"/>
    </row>
    <row r="380">
      <c r="A380" s="46"/>
      <c r="B380" s="51"/>
      <c r="C380" s="51"/>
      <c r="D380" s="51"/>
      <c r="E380" s="51"/>
      <c r="F380" s="46"/>
      <c r="G380" s="46"/>
      <c r="H380" s="46"/>
    </row>
    <row r="381">
      <c r="A381" s="46"/>
      <c r="B381" s="51"/>
      <c r="C381" s="51"/>
      <c r="D381" s="51"/>
      <c r="E381" s="51"/>
      <c r="F381" s="46"/>
      <c r="G381" s="46"/>
      <c r="H381" s="46"/>
    </row>
    <row r="382">
      <c r="A382" s="46"/>
      <c r="B382" s="51"/>
      <c r="C382" s="51"/>
      <c r="D382" s="51"/>
      <c r="E382" s="51"/>
      <c r="F382" s="46"/>
      <c r="G382" s="46"/>
      <c r="H382" s="46"/>
    </row>
    <row r="383">
      <c r="A383" s="46"/>
      <c r="B383" s="51"/>
      <c r="C383" s="51"/>
      <c r="D383" s="51"/>
      <c r="E383" s="51"/>
      <c r="F383" s="46"/>
      <c r="G383" s="46"/>
      <c r="H383" s="46"/>
    </row>
    <row r="384">
      <c r="A384" s="46"/>
      <c r="B384" s="51"/>
      <c r="C384" s="51"/>
      <c r="D384" s="51"/>
      <c r="E384" s="51"/>
      <c r="F384" s="46"/>
      <c r="G384" s="46"/>
      <c r="H384" s="46"/>
    </row>
    <row r="385">
      <c r="A385" s="46"/>
      <c r="B385" s="51"/>
      <c r="C385" s="51"/>
      <c r="D385" s="51"/>
      <c r="E385" s="51"/>
      <c r="F385" s="46"/>
      <c r="G385" s="46"/>
      <c r="H385" s="46"/>
    </row>
    <row r="386">
      <c r="A386" s="46"/>
      <c r="B386" s="51"/>
      <c r="C386" s="51"/>
      <c r="D386" s="51"/>
      <c r="E386" s="51"/>
      <c r="F386" s="46"/>
      <c r="G386" s="46"/>
      <c r="H386" s="46"/>
    </row>
    <row r="387">
      <c r="A387" s="46"/>
      <c r="B387" s="51"/>
      <c r="C387" s="51"/>
      <c r="D387" s="51"/>
      <c r="E387" s="51"/>
      <c r="F387" s="46"/>
      <c r="G387" s="46"/>
      <c r="H387" s="46"/>
    </row>
    <row r="388">
      <c r="A388" s="46"/>
      <c r="B388" s="51"/>
      <c r="C388" s="51"/>
      <c r="D388" s="51"/>
      <c r="E388" s="51"/>
      <c r="F388" s="46"/>
      <c r="G388" s="46"/>
      <c r="H388" s="46"/>
    </row>
    <row r="389">
      <c r="A389" s="46"/>
      <c r="B389" s="51"/>
      <c r="C389" s="51"/>
      <c r="D389" s="51"/>
      <c r="E389" s="51"/>
      <c r="F389" s="46"/>
      <c r="G389" s="46"/>
      <c r="H389" s="46"/>
    </row>
    <row r="390">
      <c r="A390" s="46"/>
      <c r="B390" s="51"/>
      <c r="C390" s="51"/>
      <c r="D390" s="51"/>
      <c r="E390" s="51"/>
      <c r="F390" s="46"/>
      <c r="G390" s="46"/>
      <c r="H390" s="46"/>
    </row>
    <row r="391">
      <c r="A391" s="46"/>
      <c r="B391" s="51"/>
      <c r="C391" s="51"/>
      <c r="D391" s="51"/>
      <c r="E391" s="51"/>
      <c r="F391" s="46"/>
      <c r="G391" s="46"/>
      <c r="H391" s="46"/>
    </row>
    <row r="392">
      <c r="A392" s="46"/>
      <c r="B392" s="51"/>
      <c r="C392" s="51"/>
      <c r="D392" s="51"/>
      <c r="E392" s="51"/>
      <c r="F392" s="46"/>
      <c r="G392" s="46"/>
      <c r="H392" s="46"/>
    </row>
    <row r="393">
      <c r="A393" s="46"/>
      <c r="B393" s="51"/>
      <c r="C393" s="51"/>
      <c r="D393" s="51"/>
      <c r="E393" s="51"/>
      <c r="F393" s="46"/>
      <c r="G393" s="46"/>
      <c r="H393" s="46"/>
    </row>
    <row r="394">
      <c r="A394" s="46"/>
      <c r="B394" s="51"/>
      <c r="C394" s="51"/>
      <c r="D394" s="51"/>
      <c r="E394" s="51"/>
      <c r="F394" s="46"/>
      <c r="G394" s="46"/>
      <c r="H394" s="46"/>
    </row>
    <row r="395">
      <c r="A395" s="46"/>
      <c r="B395" s="51"/>
      <c r="C395" s="51"/>
      <c r="D395" s="51"/>
      <c r="E395" s="51"/>
      <c r="F395" s="46"/>
      <c r="G395" s="46"/>
      <c r="H395" s="46"/>
    </row>
    <row r="396">
      <c r="A396" s="46"/>
      <c r="B396" s="51"/>
      <c r="C396" s="51"/>
      <c r="D396" s="51"/>
      <c r="E396" s="51"/>
      <c r="F396" s="46"/>
      <c r="G396" s="46"/>
      <c r="H396" s="46"/>
    </row>
    <row r="397">
      <c r="A397" s="46"/>
      <c r="B397" s="51"/>
      <c r="C397" s="51"/>
      <c r="D397" s="51"/>
      <c r="E397" s="51"/>
      <c r="F397" s="46"/>
      <c r="G397" s="46"/>
      <c r="H397" s="46"/>
    </row>
    <row r="398">
      <c r="A398" s="46"/>
      <c r="B398" s="51"/>
      <c r="C398" s="51"/>
      <c r="D398" s="51"/>
      <c r="E398" s="51"/>
      <c r="F398" s="46"/>
      <c r="G398" s="46"/>
      <c r="H398" s="46"/>
    </row>
    <row r="399">
      <c r="A399" s="46"/>
      <c r="B399" s="51"/>
      <c r="C399" s="51"/>
      <c r="D399" s="51"/>
      <c r="E399" s="51"/>
      <c r="F399" s="46"/>
      <c r="G399" s="46"/>
      <c r="H399" s="46"/>
    </row>
    <row r="400">
      <c r="A400" s="46"/>
      <c r="B400" s="51"/>
      <c r="C400" s="51"/>
      <c r="D400" s="51"/>
      <c r="E400" s="51"/>
      <c r="F400" s="46"/>
      <c r="G400" s="46"/>
      <c r="H400" s="46"/>
    </row>
    <row r="401">
      <c r="A401" s="46"/>
      <c r="B401" s="51"/>
      <c r="C401" s="51"/>
      <c r="D401" s="51"/>
      <c r="E401" s="51"/>
      <c r="F401" s="46"/>
      <c r="G401" s="46"/>
      <c r="H401" s="46"/>
    </row>
    <row r="402">
      <c r="A402" s="46"/>
      <c r="B402" s="51"/>
      <c r="C402" s="51"/>
      <c r="D402" s="51"/>
      <c r="E402" s="51"/>
      <c r="F402" s="46"/>
      <c r="G402" s="46"/>
      <c r="H402" s="46"/>
    </row>
    <row r="403">
      <c r="A403" s="46"/>
      <c r="B403" s="51"/>
      <c r="C403" s="51"/>
      <c r="D403" s="51"/>
      <c r="E403" s="51"/>
      <c r="F403" s="46"/>
      <c r="G403" s="46"/>
      <c r="H403" s="46"/>
    </row>
    <row r="404">
      <c r="A404" s="46"/>
      <c r="B404" s="51"/>
      <c r="C404" s="51"/>
      <c r="D404" s="51"/>
      <c r="E404" s="51"/>
      <c r="F404" s="46"/>
      <c r="G404" s="46"/>
      <c r="H404" s="46"/>
    </row>
    <row r="405">
      <c r="A405" s="46"/>
      <c r="B405" s="51"/>
      <c r="C405" s="51"/>
      <c r="D405" s="51"/>
      <c r="E405" s="51"/>
      <c r="F405" s="46"/>
      <c r="G405" s="46"/>
      <c r="H405" s="46"/>
    </row>
    <row r="406">
      <c r="A406" s="46"/>
      <c r="B406" s="51"/>
      <c r="C406" s="51"/>
      <c r="D406" s="51"/>
      <c r="E406" s="51"/>
      <c r="F406" s="46"/>
      <c r="G406" s="46"/>
      <c r="H406" s="46"/>
    </row>
    <row r="407">
      <c r="A407" s="46"/>
      <c r="B407" s="51"/>
      <c r="C407" s="51"/>
      <c r="D407" s="51"/>
      <c r="E407" s="51"/>
      <c r="F407" s="46"/>
      <c r="G407" s="46"/>
      <c r="H407" s="46"/>
    </row>
    <row r="408">
      <c r="A408" s="46"/>
      <c r="B408" s="51"/>
      <c r="C408" s="51"/>
      <c r="D408" s="51"/>
      <c r="E408" s="51"/>
      <c r="F408" s="46"/>
      <c r="G408" s="46"/>
      <c r="H408" s="46"/>
    </row>
    <row r="409">
      <c r="A409" s="46"/>
      <c r="B409" s="51"/>
      <c r="C409" s="51"/>
      <c r="D409" s="51"/>
      <c r="E409" s="51"/>
      <c r="F409" s="46"/>
      <c r="G409" s="46"/>
      <c r="H409" s="46"/>
    </row>
    <row r="410">
      <c r="A410" s="46"/>
      <c r="B410" s="51"/>
      <c r="C410" s="51"/>
      <c r="D410" s="51"/>
      <c r="E410" s="51"/>
      <c r="F410" s="46"/>
      <c r="G410" s="46"/>
      <c r="H410" s="46"/>
    </row>
    <row r="411">
      <c r="A411" s="46"/>
      <c r="B411" s="51"/>
      <c r="C411" s="51"/>
      <c r="D411" s="51"/>
      <c r="E411" s="51"/>
      <c r="F411" s="46"/>
      <c r="G411" s="46"/>
      <c r="H411" s="46"/>
    </row>
    <row r="412">
      <c r="A412" s="46"/>
      <c r="B412" s="51"/>
      <c r="C412" s="51"/>
      <c r="D412" s="51"/>
      <c r="E412" s="51"/>
      <c r="F412" s="46"/>
      <c r="G412" s="46"/>
      <c r="H412" s="46"/>
    </row>
    <row r="413">
      <c r="A413" s="46"/>
      <c r="B413" s="51"/>
      <c r="C413" s="51"/>
      <c r="D413" s="51"/>
      <c r="E413" s="51"/>
      <c r="F413" s="46"/>
      <c r="G413" s="46"/>
      <c r="H413" s="46"/>
    </row>
    <row r="414">
      <c r="A414" s="46"/>
      <c r="B414" s="51"/>
      <c r="C414" s="51"/>
      <c r="D414" s="51"/>
      <c r="E414" s="51"/>
      <c r="F414" s="46"/>
      <c r="G414" s="46"/>
      <c r="H414" s="46"/>
    </row>
    <row r="415">
      <c r="A415" s="46"/>
      <c r="B415" s="51"/>
      <c r="C415" s="51"/>
      <c r="D415" s="51"/>
      <c r="E415" s="51"/>
      <c r="F415" s="46"/>
      <c r="G415" s="46"/>
      <c r="H415" s="46"/>
    </row>
    <row r="416">
      <c r="A416" s="46"/>
      <c r="B416" s="51"/>
      <c r="C416" s="51"/>
      <c r="D416" s="51"/>
      <c r="E416" s="51"/>
      <c r="F416" s="46"/>
      <c r="G416" s="46"/>
      <c r="H416" s="46"/>
    </row>
    <row r="417">
      <c r="A417" s="46"/>
      <c r="B417" s="51"/>
      <c r="C417" s="51"/>
      <c r="D417" s="51"/>
      <c r="E417" s="51"/>
      <c r="F417" s="46"/>
      <c r="G417" s="46"/>
      <c r="H417" s="46"/>
    </row>
    <row r="418">
      <c r="A418" s="46"/>
      <c r="B418" s="51"/>
      <c r="C418" s="51"/>
      <c r="D418" s="51"/>
      <c r="E418" s="51"/>
      <c r="F418" s="46"/>
      <c r="G418" s="46"/>
      <c r="H418" s="46"/>
    </row>
    <row r="419">
      <c r="A419" s="46"/>
      <c r="B419" s="51"/>
      <c r="C419" s="51"/>
      <c r="D419" s="51"/>
      <c r="E419" s="51"/>
      <c r="F419" s="46"/>
      <c r="G419" s="46"/>
      <c r="H419" s="46"/>
    </row>
    <row r="420">
      <c r="A420" s="46"/>
      <c r="B420" s="51"/>
      <c r="C420" s="51"/>
      <c r="D420" s="51"/>
      <c r="E420" s="51"/>
      <c r="F420" s="46"/>
      <c r="G420" s="46"/>
      <c r="H420" s="46"/>
    </row>
    <row r="421">
      <c r="A421" s="46"/>
      <c r="B421" s="51"/>
      <c r="C421" s="51"/>
      <c r="D421" s="51"/>
      <c r="E421" s="51"/>
      <c r="F421" s="46"/>
      <c r="G421" s="46"/>
      <c r="H421" s="46"/>
    </row>
    <row r="422">
      <c r="A422" s="46"/>
      <c r="B422" s="51"/>
      <c r="C422" s="51"/>
      <c r="D422" s="51"/>
      <c r="E422" s="51"/>
      <c r="F422" s="46"/>
      <c r="G422" s="46"/>
      <c r="H422" s="46"/>
    </row>
    <row r="423">
      <c r="A423" s="46"/>
      <c r="B423" s="51"/>
      <c r="C423" s="51"/>
      <c r="D423" s="51"/>
      <c r="E423" s="51"/>
      <c r="F423" s="46"/>
      <c r="G423" s="46"/>
      <c r="H423" s="46"/>
    </row>
    <row r="424">
      <c r="A424" s="46"/>
      <c r="B424" s="51"/>
      <c r="C424" s="51"/>
      <c r="D424" s="51"/>
      <c r="E424" s="51"/>
      <c r="F424" s="46"/>
      <c r="G424" s="46"/>
      <c r="H424" s="46"/>
    </row>
    <row r="425">
      <c r="A425" s="46"/>
      <c r="B425" s="51"/>
      <c r="C425" s="51"/>
      <c r="D425" s="51"/>
      <c r="E425" s="51"/>
      <c r="F425" s="46"/>
      <c r="G425" s="46"/>
      <c r="H425" s="46"/>
    </row>
    <row r="426">
      <c r="A426" s="46"/>
      <c r="B426" s="51"/>
      <c r="C426" s="51"/>
      <c r="D426" s="51"/>
      <c r="E426" s="51"/>
      <c r="F426" s="46"/>
      <c r="G426" s="46"/>
      <c r="H426" s="46"/>
    </row>
    <row r="427">
      <c r="A427" s="46"/>
      <c r="B427" s="51"/>
      <c r="C427" s="51"/>
      <c r="D427" s="51"/>
      <c r="E427" s="51"/>
      <c r="F427" s="46"/>
      <c r="G427" s="46"/>
      <c r="H427" s="46"/>
    </row>
    <row r="428">
      <c r="A428" s="46"/>
      <c r="B428" s="51"/>
      <c r="C428" s="51"/>
      <c r="D428" s="51"/>
      <c r="E428" s="51"/>
      <c r="F428" s="46"/>
      <c r="G428" s="46"/>
      <c r="H428" s="46"/>
    </row>
    <row r="429">
      <c r="A429" s="46"/>
      <c r="B429" s="51"/>
      <c r="C429" s="51"/>
      <c r="D429" s="51"/>
      <c r="E429" s="51"/>
      <c r="F429" s="46"/>
      <c r="G429" s="46"/>
      <c r="H429" s="46"/>
    </row>
    <row r="430">
      <c r="A430" s="46"/>
      <c r="B430" s="51"/>
      <c r="C430" s="51"/>
      <c r="D430" s="51"/>
      <c r="E430" s="51"/>
      <c r="F430" s="46"/>
      <c r="G430" s="46"/>
      <c r="H430" s="46"/>
    </row>
    <row r="431">
      <c r="A431" s="46"/>
      <c r="B431" s="51"/>
      <c r="C431" s="51"/>
      <c r="D431" s="51"/>
      <c r="E431" s="51"/>
      <c r="F431" s="46"/>
      <c r="G431" s="46"/>
      <c r="H431" s="46"/>
    </row>
    <row r="432">
      <c r="A432" s="46"/>
      <c r="B432" s="51"/>
      <c r="C432" s="51"/>
      <c r="D432" s="51"/>
      <c r="E432" s="51"/>
      <c r="F432" s="46"/>
      <c r="G432" s="46"/>
      <c r="H432" s="46"/>
    </row>
    <row r="433">
      <c r="A433" s="46"/>
      <c r="B433" s="51"/>
      <c r="C433" s="51"/>
      <c r="D433" s="51"/>
      <c r="E433" s="51"/>
      <c r="F433" s="46"/>
      <c r="G433" s="46"/>
      <c r="H433" s="46"/>
    </row>
    <row r="434">
      <c r="A434" s="46"/>
      <c r="B434" s="51"/>
      <c r="C434" s="51"/>
      <c r="D434" s="51"/>
      <c r="E434" s="51"/>
      <c r="F434" s="46"/>
      <c r="G434" s="46"/>
      <c r="H434" s="46"/>
    </row>
    <row r="435">
      <c r="A435" s="46"/>
      <c r="B435" s="51"/>
      <c r="C435" s="51"/>
      <c r="D435" s="51"/>
      <c r="E435" s="51"/>
      <c r="F435" s="46"/>
      <c r="G435" s="46"/>
      <c r="H435" s="46"/>
    </row>
    <row r="436">
      <c r="A436" s="46"/>
      <c r="B436" s="51"/>
      <c r="C436" s="51"/>
      <c r="D436" s="51"/>
      <c r="E436" s="51"/>
      <c r="F436" s="46"/>
      <c r="G436" s="46"/>
      <c r="H436" s="46"/>
    </row>
    <row r="437">
      <c r="A437" s="46"/>
      <c r="B437" s="51"/>
      <c r="C437" s="51"/>
      <c r="D437" s="51"/>
      <c r="E437" s="51"/>
      <c r="F437" s="46"/>
      <c r="G437" s="46"/>
      <c r="H437" s="46"/>
    </row>
    <row r="438">
      <c r="A438" s="46"/>
      <c r="B438" s="51"/>
      <c r="C438" s="51"/>
      <c r="D438" s="51"/>
      <c r="E438" s="51"/>
      <c r="F438" s="46"/>
      <c r="G438" s="46"/>
      <c r="H438" s="46"/>
    </row>
    <row r="439">
      <c r="A439" s="46"/>
      <c r="B439" s="51"/>
      <c r="C439" s="51"/>
      <c r="D439" s="51"/>
      <c r="E439" s="51"/>
      <c r="F439" s="46"/>
      <c r="G439" s="46"/>
      <c r="H439" s="46"/>
    </row>
    <row r="440">
      <c r="A440" s="46"/>
      <c r="B440" s="51"/>
      <c r="C440" s="51"/>
      <c r="D440" s="51"/>
      <c r="E440" s="51"/>
      <c r="F440" s="46"/>
      <c r="G440" s="46"/>
      <c r="H440" s="46"/>
    </row>
    <row r="441">
      <c r="A441" s="46"/>
      <c r="B441" s="51"/>
      <c r="C441" s="51"/>
      <c r="D441" s="51"/>
      <c r="E441" s="51"/>
      <c r="F441" s="46"/>
      <c r="G441" s="46"/>
      <c r="H441" s="46"/>
    </row>
    <row r="442">
      <c r="A442" s="46"/>
      <c r="B442" s="51"/>
      <c r="C442" s="51"/>
      <c r="D442" s="51"/>
      <c r="E442" s="51"/>
      <c r="F442" s="46"/>
      <c r="G442" s="46"/>
      <c r="H442" s="46"/>
    </row>
    <row r="443">
      <c r="A443" s="46"/>
      <c r="B443" s="51"/>
      <c r="C443" s="51"/>
      <c r="D443" s="51"/>
      <c r="E443" s="51"/>
      <c r="F443" s="46"/>
      <c r="G443" s="46"/>
      <c r="H443" s="46"/>
    </row>
    <row r="444">
      <c r="A444" s="46"/>
      <c r="B444" s="51"/>
      <c r="C444" s="51"/>
      <c r="D444" s="51"/>
      <c r="E444" s="51"/>
      <c r="F444" s="46"/>
      <c r="G444" s="46"/>
      <c r="H444" s="46"/>
    </row>
    <row r="445">
      <c r="A445" s="46"/>
      <c r="B445" s="51"/>
      <c r="C445" s="51"/>
      <c r="D445" s="51"/>
      <c r="E445" s="51"/>
      <c r="F445" s="46"/>
      <c r="G445" s="46"/>
      <c r="H445" s="46"/>
    </row>
    <row r="446">
      <c r="A446" s="46"/>
      <c r="B446" s="51"/>
      <c r="C446" s="51"/>
      <c r="D446" s="51"/>
      <c r="E446" s="51"/>
      <c r="F446" s="46"/>
      <c r="G446" s="46"/>
      <c r="H446" s="46"/>
    </row>
    <row r="447">
      <c r="A447" s="46"/>
      <c r="B447" s="51"/>
      <c r="C447" s="51"/>
      <c r="D447" s="51"/>
      <c r="E447" s="51"/>
      <c r="F447" s="46"/>
      <c r="G447" s="46"/>
      <c r="H447" s="46"/>
    </row>
    <row r="448">
      <c r="A448" s="46"/>
      <c r="B448" s="51"/>
      <c r="C448" s="51"/>
      <c r="D448" s="51"/>
      <c r="E448" s="51"/>
      <c r="F448" s="46"/>
      <c r="G448" s="46"/>
      <c r="H448" s="46"/>
    </row>
    <row r="449">
      <c r="A449" s="46"/>
      <c r="B449" s="51"/>
      <c r="C449" s="51"/>
      <c r="D449" s="51"/>
      <c r="E449" s="51"/>
      <c r="F449" s="46"/>
      <c r="G449" s="46"/>
      <c r="H449" s="46"/>
    </row>
    <row r="450">
      <c r="A450" s="46"/>
      <c r="B450" s="51"/>
      <c r="C450" s="51"/>
      <c r="D450" s="51"/>
      <c r="E450" s="51"/>
      <c r="F450" s="46"/>
      <c r="G450" s="46"/>
      <c r="H450" s="46"/>
    </row>
    <row r="451">
      <c r="A451" s="46"/>
      <c r="B451" s="51"/>
      <c r="C451" s="51"/>
      <c r="D451" s="51"/>
      <c r="E451" s="51"/>
      <c r="F451" s="46"/>
      <c r="G451" s="46"/>
      <c r="H451" s="46"/>
    </row>
    <row r="452">
      <c r="A452" s="46"/>
      <c r="B452" s="51"/>
      <c r="C452" s="51"/>
      <c r="D452" s="51"/>
      <c r="E452" s="51"/>
      <c r="F452" s="46"/>
      <c r="G452" s="46"/>
      <c r="H452" s="46"/>
    </row>
    <row r="453">
      <c r="A453" s="46"/>
      <c r="B453" s="51"/>
      <c r="C453" s="51"/>
      <c r="D453" s="51"/>
      <c r="E453" s="51"/>
      <c r="F453" s="46"/>
      <c r="G453" s="46"/>
      <c r="H453" s="46"/>
    </row>
    <row r="454">
      <c r="A454" s="46"/>
      <c r="B454" s="51"/>
      <c r="C454" s="51"/>
      <c r="D454" s="51"/>
      <c r="E454" s="51"/>
      <c r="F454" s="46"/>
      <c r="G454" s="46"/>
      <c r="H454" s="46"/>
    </row>
    <row r="455">
      <c r="A455" s="46"/>
      <c r="B455" s="51"/>
      <c r="C455" s="51"/>
      <c r="D455" s="51"/>
      <c r="E455" s="51"/>
      <c r="F455" s="46"/>
      <c r="G455" s="46"/>
      <c r="H455" s="46"/>
    </row>
    <row r="456">
      <c r="A456" s="46"/>
      <c r="B456" s="51"/>
      <c r="C456" s="51"/>
      <c r="D456" s="51"/>
      <c r="E456" s="51"/>
      <c r="F456" s="46"/>
      <c r="G456" s="46"/>
      <c r="H456" s="46"/>
    </row>
    <row r="457">
      <c r="A457" s="46"/>
      <c r="B457" s="51"/>
      <c r="C457" s="51"/>
      <c r="D457" s="51"/>
      <c r="E457" s="51"/>
      <c r="F457" s="46"/>
      <c r="G457" s="46"/>
      <c r="H457" s="46"/>
    </row>
    <row r="458">
      <c r="A458" s="46"/>
      <c r="B458" s="51"/>
      <c r="C458" s="51"/>
      <c r="D458" s="51"/>
      <c r="E458" s="51"/>
      <c r="F458" s="46"/>
      <c r="G458" s="46"/>
      <c r="H458" s="46"/>
    </row>
    <row r="459">
      <c r="A459" s="46"/>
      <c r="B459" s="51"/>
      <c r="C459" s="51"/>
      <c r="D459" s="51"/>
      <c r="E459" s="51"/>
      <c r="F459" s="46"/>
      <c r="G459" s="46"/>
      <c r="H459" s="46"/>
    </row>
    <row r="460">
      <c r="A460" s="46"/>
      <c r="B460" s="51"/>
      <c r="C460" s="51"/>
      <c r="D460" s="51"/>
      <c r="E460" s="51"/>
      <c r="F460" s="46"/>
      <c r="G460" s="46"/>
      <c r="H460" s="46"/>
    </row>
    <row r="461">
      <c r="A461" s="46"/>
      <c r="B461" s="51"/>
      <c r="C461" s="51"/>
      <c r="D461" s="51"/>
      <c r="E461" s="51"/>
      <c r="F461" s="46"/>
      <c r="G461" s="46"/>
      <c r="H461" s="46"/>
    </row>
    <row r="462">
      <c r="A462" s="46"/>
      <c r="B462" s="51"/>
      <c r="C462" s="51"/>
      <c r="D462" s="51"/>
      <c r="E462" s="51"/>
      <c r="F462" s="46"/>
      <c r="G462" s="46"/>
      <c r="H462" s="46"/>
    </row>
    <row r="463">
      <c r="A463" s="46"/>
      <c r="B463" s="51"/>
      <c r="C463" s="51"/>
      <c r="D463" s="51"/>
      <c r="E463" s="51"/>
      <c r="F463" s="46"/>
      <c r="G463" s="46"/>
      <c r="H463" s="46"/>
    </row>
    <row r="464">
      <c r="A464" s="46"/>
      <c r="B464" s="51"/>
      <c r="C464" s="51"/>
      <c r="D464" s="51"/>
      <c r="E464" s="51"/>
      <c r="F464" s="46"/>
      <c r="G464" s="46"/>
      <c r="H464" s="46"/>
    </row>
    <row r="465">
      <c r="A465" s="46"/>
      <c r="B465" s="51"/>
      <c r="C465" s="51"/>
      <c r="D465" s="51"/>
      <c r="E465" s="51"/>
      <c r="F465" s="46"/>
      <c r="G465" s="46"/>
      <c r="H465" s="46"/>
    </row>
    <row r="466">
      <c r="A466" s="46"/>
      <c r="B466" s="51"/>
      <c r="C466" s="51"/>
      <c r="D466" s="51"/>
      <c r="E466" s="51"/>
      <c r="F466" s="46"/>
      <c r="G466" s="46"/>
      <c r="H466" s="46"/>
    </row>
    <row r="467">
      <c r="A467" s="46"/>
      <c r="B467" s="51"/>
      <c r="C467" s="51"/>
      <c r="D467" s="51"/>
      <c r="E467" s="51"/>
      <c r="F467" s="46"/>
      <c r="G467" s="46"/>
      <c r="H467" s="46"/>
    </row>
    <row r="468">
      <c r="A468" s="46"/>
      <c r="B468" s="51"/>
      <c r="C468" s="51"/>
      <c r="D468" s="51"/>
      <c r="E468" s="51"/>
      <c r="F468" s="46"/>
      <c r="G468" s="46"/>
      <c r="H468" s="46"/>
    </row>
    <row r="469">
      <c r="A469" s="46"/>
      <c r="B469" s="51"/>
      <c r="C469" s="51"/>
      <c r="D469" s="51"/>
      <c r="E469" s="51"/>
      <c r="F469" s="46"/>
      <c r="G469" s="46"/>
      <c r="H469" s="46"/>
    </row>
    <row r="470">
      <c r="A470" s="46"/>
      <c r="B470" s="51"/>
      <c r="C470" s="51"/>
      <c r="D470" s="51"/>
      <c r="E470" s="51"/>
      <c r="F470" s="46"/>
      <c r="G470" s="46"/>
      <c r="H470" s="46"/>
    </row>
    <row r="471">
      <c r="A471" s="46"/>
      <c r="B471" s="51"/>
      <c r="C471" s="51"/>
      <c r="D471" s="51"/>
      <c r="E471" s="51"/>
      <c r="F471" s="46"/>
      <c r="G471" s="46"/>
      <c r="H471" s="46"/>
    </row>
    <row r="472">
      <c r="A472" s="46"/>
      <c r="B472" s="51"/>
      <c r="C472" s="51"/>
      <c r="D472" s="51"/>
      <c r="E472" s="51"/>
      <c r="F472" s="46"/>
      <c r="G472" s="46"/>
      <c r="H472" s="46"/>
    </row>
    <row r="473">
      <c r="A473" s="46"/>
      <c r="B473" s="51"/>
      <c r="C473" s="51"/>
      <c r="D473" s="51"/>
      <c r="E473" s="51"/>
      <c r="F473" s="46"/>
      <c r="G473" s="46"/>
      <c r="H473" s="46"/>
    </row>
    <row r="474">
      <c r="A474" s="46"/>
      <c r="B474" s="51"/>
      <c r="C474" s="51"/>
      <c r="D474" s="51"/>
      <c r="E474" s="51"/>
      <c r="F474" s="46"/>
      <c r="G474" s="46"/>
      <c r="H474" s="46"/>
    </row>
    <row r="475">
      <c r="A475" s="46"/>
      <c r="B475" s="51"/>
      <c r="C475" s="51"/>
      <c r="D475" s="51"/>
      <c r="E475" s="51"/>
      <c r="F475" s="46"/>
      <c r="G475" s="46"/>
      <c r="H475" s="46"/>
    </row>
    <row r="476">
      <c r="A476" s="46"/>
      <c r="B476" s="51"/>
      <c r="C476" s="51"/>
      <c r="D476" s="51"/>
      <c r="E476" s="51"/>
      <c r="F476" s="46"/>
      <c r="G476" s="46"/>
      <c r="H476" s="46"/>
    </row>
    <row r="477">
      <c r="A477" s="46"/>
      <c r="B477" s="51"/>
      <c r="C477" s="51"/>
      <c r="D477" s="51"/>
      <c r="E477" s="51"/>
      <c r="F477" s="46"/>
      <c r="G477" s="46"/>
      <c r="H477" s="46"/>
    </row>
    <row r="478">
      <c r="A478" s="46"/>
      <c r="B478" s="51"/>
      <c r="C478" s="51"/>
      <c r="D478" s="51"/>
      <c r="E478" s="51"/>
      <c r="F478" s="46"/>
      <c r="G478" s="46"/>
      <c r="H478" s="46"/>
    </row>
    <row r="479">
      <c r="A479" s="46"/>
      <c r="B479" s="51"/>
      <c r="C479" s="51"/>
      <c r="D479" s="51"/>
      <c r="E479" s="51"/>
      <c r="F479" s="46"/>
      <c r="G479" s="46"/>
      <c r="H479" s="46"/>
    </row>
    <row r="480">
      <c r="A480" s="46"/>
      <c r="B480" s="51"/>
      <c r="C480" s="51"/>
      <c r="D480" s="51"/>
      <c r="E480" s="51"/>
      <c r="F480" s="46"/>
      <c r="G480" s="46"/>
      <c r="H480" s="46"/>
    </row>
    <row r="481">
      <c r="A481" s="46"/>
      <c r="B481" s="51"/>
      <c r="C481" s="51"/>
      <c r="D481" s="51"/>
      <c r="E481" s="51"/>
      <c r="F481" s="46"/>
      <c r="G481" s="46"/>
      <c r="H481" s="46"/>
    </row>
    <row r="482">
      <c r="A482" s="46"/>
      <c r="B482" s="51"/>
      <c r="C482" s="51"/>
      <c r="D482" s="51"/>
      <c r="E482" s="51"/>
      <c r="F482" s="46"/>
      <c r="G482" s="46"/>
      <c r="H482" s="46"/>
    </row>
    <row r="483">
      <c r="A483" s="46"/>
      <c r="B483" s="51"/>
      <c r="C483" s="51"/>
      <c r="D483" s="51"/>
      <c r="E483" s="51"/>
      <c r="F483" s="46"/>
      <c r="G483" s="46"/>
      <c r="H483" s="46"/>
    </row>
    <row r="484">
      <c r="A484" s="46"/>
      <c r="B484" s="51"/>
      <c r="C484" s="51"/>
      <c r="D484" s="51"/>
      <c r="E484" s="51"/>
      <c r="F484" s="46"/>
      <c r="G484" s="46"/>
      <c r="H484" s="46"/>
    </row>
    <row r="485">
      <c r="A485" s="46"/>
      <c r="B485" s="51"/>
      <c r="C485" s="51"/>
      <c r="D485" s="51"/>
      <c r="E485" s="51"/>
      <c r="F485" s="46"/>
      <c r="G485" s="46"/>
      <c r="H485" s="46"/>
    </row>
    <row r="486">
      <c r="A486" s="46"/>
      <c r="B486" s="51"/>
      <c r="C486" s="51"/>
      <c r="D486" s="51"/>
      <c r="E486" s="51"/>
      <c r="F486" s="46"/>
      <c r="G486" s="46"/>
      <c r="H486" s="46"/>
    </row>
    <row r="487">
      <c r="A487" s="46"/>
      <c r="B487" s="51"/>
      <c r="C487" s="51"/>
      <c r="D487" s="51"/>
      <c r="E487" s="51"/>
      <c r="F487" s="46"/>
      <c r="G487" s="46"/>
      <c r="H487" s="46"/>
    </row>
    <row r="488">
      <c r="A488" s="46"/>
      <c r="B488" s="51"/>
      <c r="C488" s="51"/>
      <c r="D488" s="51"/>
      <c r="E488" s="51"/>
      <c r="F488" s="46"/>
      <c r="G488" s="46"/>
      <c r="H488" s="46"/>
    </row>
    <row r="489">
      <c r="A489" s="46"/>
      <c r="B489" s="51"/>
      <c r="C489" s="51"/>
      <c r="D489" s="51"/>
      <c r="E489" s="51"/>
      <c r="F489" s="46"/>
      <c r="G489" s="46"/>
      <c r="H489" s="46"/>
    </row>
    <row r="490">
      <c r="A490" s="46"/>
      <c r="B490" s="51"/>
      <c r="C490" s="51"/>
      <c r="D490" s="51"/>
      <c r="E490" s="51"/>
      <c r="F490" s="46"/>
      <c r="G490" s="46"/>
      <c r="H490" s="46"/>
    </row>
    <row r="491">
      <c r="A491" s="46"/>
      <c r="B491" s="51"/>
      <c r="C491" s="51"/>
      <c r="D491" s="51"/>
      <c r="E491" s="51"/>
      <c r="F491" s="46"/>
      <c r="G491" s="46"/>
      <c r="H491" s="46"/>
    </row>
    <row r="492">
      <c r="A492" s="46"/>
      <c r="B492" s="51"/>
      <c r="C492" s="51"/>
      <c r="D492" s="51"/>
      <c r="E492" s="51"/>
      <c r="F492" s="46"/>
      <c r="G492" s="46"/>
      <c r="H492" s="46"/>
    </row>
    <row r="493">
      <c r="A493" s="46"/>
      <c r="B493" s="51"/>
      <c r="C493" s="51"/>
      <c r="D493" s="51"/>
      <c r="E493" s="51"/>
      <c r="F493" s="46"/>
      <c r="G493" s="46"/>
      <c r="H493" s="46"/>
    </row>
    <row r="494">
      <c r="A494" s="46"/>
      <c r="B494" s="51"/>
      <c r="C494" s="51"/>
      <c r="D494" s="51"/>
      <c r="E494" s="51"/>
      <c r="F494" s="46"/>
      <c r="G494" s="46"/>
      <c r="H494" s="46"/>
    </row>
    <row r="495">
      <c r="A495" s="46"/>
      <c r="B495" s="51"/>
      <c r="C495" s="51"/>
      <c r="D495" s="51"/>
      <c r="E495" s="51"/>
      <c r="F495" s="46"/>
      <c r="G495" s="46"/>
      <c r="H495" s="46"/>
    </row>
    <row r="496">
      <c r="A496" s="46"/>
      <c r="B496" s="51"/>
      <c r="C496" s="51"/>
      <c r="D496" s="51"/>
      <c r="E496" s="51"/>
      <c r="F496" s="46"/>
      <c r="G496" s="46"/>
      <c r="H496" s="46"/>
    </row>
    <row r="497">
      <c r="A497" s="46"/>
      <c r="B497" s="51"/>
      <c r="C497" s="51"/>
      <c r="D497" s="51"/>
      <c r="E497" s="51"/>
      <c r="F497" s="46"/>
      <c r="G497" s="46"/>
      <c r="H497" s="46"/>
    </row>
    <row r="498">
      <c r="A498" s="46"/>
      <c r="B498" s="51"/>
      <c r="C498" s="51"/>
      <c r="D498" s="51"/>
      <c r="E498" s="51"/>
      <c r="F498" s="46"/>
      <c r="G498" s="46"/>
      <c r="H498" s="46"/>
    </row>
    <row r="499">
      <c r="A499" s="46"/>
      <c r="B499" s="51"/>
      <c r="C499" s="51"/>
      <c r="D499" s="51"/>
      <c r="E499" s="51"/>
      <c r="F499" s="46"/>
      <c r="G499" s="46"/>
      <c r="H499" s="46"/>
    </row>
    <row r="500">
      <c r="A500" s="46"/>
      <c r="B500" s="51"/>
      <c r="C500" s="51"/>
      <c r="D500" s="51"/>
      <c r="E500" s="51"/>
      <c r="F500" s="46"/>
      <c r="G500" s="46"/>
      <c r="H500" s="46"/>
    </row>
    <row r="501">
      <c r="A501" s="46"/>
      <c r="B501" s="51"/>
      <c r="C501" s="51"/>
      <c r="D501" s="51"/>
      <c r="E501" s="51"/>
      <c r="F501" s="46"/>
      <c r="G501" s="46"/>
      <c r="H501" s="46"/>
    </row>
    <row r="502">
      <c r="A502" s="46"/>
      <c r="B502" s="51"/>
      <c r="C502" s="51"/>
      <c r="D502" s="51"/>
      <c r="E502" s="51"/>
      <c r="F502" s="46"/>
      <c r="G502" s="46"/>
      <c r="H502" s="46"/>
    </row>
    <row r="503">
      <c r="A503" s="46"/>
      <c r="B503" s="51"/>
      <c r="C503" s="51"/>
      <c r="D503" s="51"/>
      <c r="E503" s="51"/>
      <c r="F503" s="46"/>
      <c r="G503" s="46"/>
      <c r="H503" s="46"/>
    </row>
    <row r="504">
      <c r="A504" s="46"/>
      <c r="B504" s="51"/>
      <c r="C504" s="51"/>
      <c r="D504" s="51"/>
      <c r="E504" s="51"/>
      <c r="F504" s="46"/>
      <c r="G504" s="46"/>
      <c r="H504" s="46"/>
    </row>
    <row r="505">
      <c r="A505" s="46"/>
      <c r="B505" s="51"/>
      <c r="C505" s="51"/>
      <c r="D505" s="51"/>
      <c r="E505" s="51"/>
      <c r="F505" s="46"/>
      <c r="G505" s="46"/>
      <c r="H505" s="46"/>
    </row>
    <row r="506">
      <c r="A506" s="46"/>
      <c r="B506" s="51"/>
      <c r="C506" s="51"/>
      <c r="D506" s="51"/>
      <c r="E506" s="51"/>
      <c r="F506" s="46"/>
      <c r="G506" s="46"/>
      <c r="H506" s="46"/>
    </row>
    <row r="507">
      <c r="A507" s="46"/>
      <c r="B507" s="51"/>
      <c r="C507" s="51"/>
      <c r="D507" s="51"/>
      <c r="E507" s="51"/>
      <c r="F507" s="46"/>
      <c r="G507" s="46"/>
      <c r="H507" s="46"/>
    </row>
    <row r="508">
      <c r="A508" s="46"/>
      <c r="B508" s="51"/>
      <c r="C508" s="51"/>
      <c r="D508" s="51"/>
      <c r="E508" s="51"/>
      <c r="F508" s="46"/>
      <c r="G508" s="46"/>
      <c r="H508" s="46"/>
    </row>
    <row r="509">
      <c r="A509" s="46"/>
      <c r="B509" s="51"/>
      <c r="C509" s="51"/>
      <c r="D509" s="51"/>
      <c r="E509" s="51"/>
      <c r="F509" s="46"/>
      <c r="G509" s="46"/>
      <c r="H509" s="46"/>
    </row>
    <row r="510">
      <c r="A510" s="46"/>
      <c r="B510" s="51"/>
      <c r="C510" s="51"/>
      <c r="D510" s="51"/>
      <c r="E510" s="51"/>
      <c r="F510" s="46"/>
      <c r="G510" s="46"/>
      <c r="H510" s="46"/>
    </row>
    <row r="511">
      <c r="A511" s="46"/>
      <c r="B511" s="51"/>
      <c r="C511" s="51"/>
      <c r="D511" s="51"/>
      <c r="E511" s="51"/>
      <c r="F511" s="46"/>
      <c r="G511" s="46"/>
      <c r="H511" s="46"/>
    </row>
    <row r="512">
      <c r="A512" s="46"/>
      <c r="B512" s="51"/>
      <c r="C512" s="51"/>
      <c r="D512" s="51"/>
      <c r="E512" s="51"/>
      <c r="F512" s="46"/>
      <c r="G512" s="46"/>
      <c r="H512" s="46"/>
    </row>
    <row r="513">
      <c r="A513" s="46"/>
      <c r="B513" s="51"/>
      <c r="C513" s="51"/>
      <c r="D513" s="51"/>
      <c r="E513" s="51"/>
      <c r="F513" s="46"/>
      <c r="G513" s="46"/>
      <c r="H513" s="46"/>
    </row>
    <row r="514">
      <c r="A514" s="46"/>
      <c r="B514" s="51"/>
      <c r="C514" s="51"/>
      <c r="D514" s="51"/>
      <c r="E514" s="51"/>
      <c r="F514" s="46"/>
      <c r="G514" s="46"/>
      <c r="H514" s="46"/>
    </row>
    <row r="515">
      <c r="A515" s="46"/>
      <c r="B515" s="51"/>
      <c r="C515" s="51"/>
      <c r="D515" s="51"/>
      <c r="E515" s="51"/>
      <c r="F515" s="46"/>
      <c r="G515" s="46"/>
      <c r="H515" s="46"/>
    </row>
    <row r="516">
      <c r="A516" s="46"/>
      <c r="B516" s="51"/>
      <c r="C516" s="51"/>
      <c r="D516" s="51"/>
      <c r="E516" s="51"/>
      <c r="F516" s="46"/>
      <c r="G516" s="46"/>
      <c r="H516" s="46"/>
    </row>
    <row r="517">
      <c r="A517" s="46"/>
      <c r="B517" s="51"/>
      <c r="C517" s="51"/>
      <c r="D517" s="51"/>
      <c r="E517" s="51"/>
      <c r="F517" s="46"/>
      <c r="G517" s="46"/>
      <c r="H517" s="46"/>
    </row>
    <row r="518">
      <c r="A518" s="46"/>
      <c r="B518" s="51"/>
      <c r="C518" s="51"/>
      <c r="D518" s="51"/>
      <c r="E518" s="51"/>
      <c r="F518" s="46"/>
      <c r="G518" s="46"/>
      <c r="H518" s="46"/>
    </row>
    <row r="519">
      <c r="A519" s="46"/>
      <c r="B519" s="51"/>
      <c r="C519" s="51"/>
      <c r="D519" s="51"/>
      <c r="E519" s="51"/>
      <c r="F519" s="46"/>
      <c r="G519" s="46"/>
      <c r="H519" s="46"/>
    </row>
    <row r="520">
      <c r="A520" s="46"/>
      <c r="B520" s="51"/>
      <c r="C520" s="51"/>
      <c r="D520" s="51"/>
      <c r="E520" s="51"/>
      <c r="F520" s="46"/>
      <c r="G520" s="46"/>
      <c r="H520" s="46"/>
    </row>
    <row r="521">
      <c r="A521" s="46"/>
      <c r="B521" s="51"/>
      <c r="C521" s="51"/>
      <c r="D521" s="51"/>
      <c r="E521" s="51"/>
      <c r="F521" s="46"/>
      <c r="G521" s="46"/>
      <c r="H521" s="46"/>
    </row>
    <row r="522">
      <c r="A522" s="46"/>
      <c r="B522" s="51"/>
      <c r="C522" s="51"/>
      <c r="D522" s="51"/>
      <c r="E522" s="51"/>
      <c r="F522" s="46"/>
      <c r="G522" s="46"/>
      <c r="H522" s="46"/>
    </row>
    <row r="523">
      <c r="A523" s="46"/>
      <c r="B523" s="51"/>
      <c r="C523" s="51"/>
      <c r="D523" s="51"/>
      <c r="E523" s="51"/>
      <c r="F523" s="46"/>
      <c r="G523" s="46"/>
      <c r="H523" s="46"/>
    </row>
    <row r="524">
      <c r="A524" s="46"/>
      <c r="B524" s="51"/>
      <c r="C524" s="51"/>
      <c r="D524" s="51"/>
      <c r="E524" s="51"/>
      <c r="F524" s="46"/>
      <c r="G524" s="46"/>
      <c r="H524" s="46"/>
    </row>
    <row r="525">
      <c r="A525" s="46"/>
      <c r="B525" s="51"/>
      <c r="C525" s="51"/>
      <c r="D525" s="51"/>
      <c r="E525" s="51"/>
      <c r="F525" s="46"/>
      <c r="G525" s="46"/>
      <c r="H525" s="46"/>
    </row>
    <row r="526">
      <c r="A526" s="46"/>
      <c r="B526" s="51"/>
      <c r="C526" s="51"/>
      <c r="D526" s="51"/>
      <c r="E526" s="51"/>
      <c r="F526" s="46"/>
      <c r="G526" s="46"/>
      <c r="H526" s="46"/>
    </row>
    <row r="527">
      <c r="A527" s="46"/>
      <c r="B527" s="51"/>
      <c r="C527" s="51"/>
      <c r="D527" s="51"/>
      <c r="E527" s="51"/>
      <c r="F527" s="46"/>
      <c r="G527" s="46"/>
      <c r="H527" s="46"/>
    </row>
    <row r="528">
      <c r="A528" s="46"/>
      <c r="B528" s="51"/>
      <c r="C528" s="51"/>
      <c r="D528" s="51"/>
      <c r="E528" s="51"/>
      <c r="F528" s="46"/>
      <c r="G528" s="46"/>
      <c r="H528" s="46"/>
    </row>
    <row r="529">
      <c r="A529" s="46"/>
      <c r="B529" s="51"/>
      <c r="C529" s="51"/>
      <c r="D529" s="51"/>
      <c r="E529" s="51"/>
      <c r="F529" s="46"/>
      <c r="G529" s="46"/>
      <c r="H529" s="46"/>
    </row>
    <row r="530">
      <c r="A530" s="46"/>
      <c r="B530" s="51"/>
      <c r="C530" s="51"/>
      <c r="D530" s="51"/>
      <c r="E530" s="51"/>
      <c r="F530" s="46"/>
      <c r="G530" s="46"/>
      <c r="H530" s="46"/>
    </row>
    <row r="531">
      <c r="A531" s="46"/>
      <c r="B531" s="51"/>
      <c r="C531" s="51"/>
      <c r="D531" s="51"/>
      <c r="E531" s="51"/>
      <c r="F531" s="46"/>
      <c r="G531" s="46"/>
      <c r="H531" s="46"/>
    </row>
    <row r="532">
      <c r="A532" s="46"/>
      <c r="B532" s="51"/>
      <c r="C532" s="51"/>
      <c r="D532" s="51"/>
      <c r="E532" s="51"/>
      <c r="F532" s="46"/>
      <c r="G532" s="46"/>
      <c r="H532" s="46"/>
    </row>
    <row r="533">
      <c r="A533" s="46"/>
      <c r="B533" s="51"/>
      <c r="C533" s="51"/>
      <c r="D533" s="51"/>
      <c r="E533" s="51"/>
      <c r="F533" s="46"/>
      <c r="G533" s="46"/>
      <c r="H533" s="46"/>
    </row>
    <row r="534">
      <c r="A534" s="46"/>
      <c r="B534" s="51"/>
      <c r="C534" s="51"/>
      <c r="D534" s="51"/>
      <c r="E534" s="51"/>
      <c r="F534" s="46"/>
      <c r="G534" s="46"/>
      <c r="H534" s="46"/>
    </row>
    <row r="535">
      <c r="A535" s="46"/>
      <c r="B535" s="51"/>
      <c r="C535" s="51"/>
      <c r="D535" s="51"/>
      <c r="E535" s="51"/>
      <c r="F535" s="46"/>
      <c r="G535" s="46"/>
      <c r="H535" s="46"/>
    </row>
    <row r="536">
      <c r="A536" s="46"/>
      <c r="B536" s="51"/>
      <c r="C536" s="51"/>
      <c r="D536" s="51"/>
      <c r="E536" s="51"/>
      <c r="F536" s="46"/>
      <c r="G536" s="46"/>
      <c r="H536" s="46"/>
    </row>
    <row r="537">
      <c r="A537" s="46"/>
      <c r="B537" s="51"/>
      <c r="C537" s="51"/>
      <c r="D537" s="51"/>
      <c r="E537" s="51"/>
      <c r="F537" s="46"/>
      <c r="G537" s="46"/>
      <c r="H537" s="46"/>
    </row>
    <row r="538">
      <c r="A538" s="46"/>
      <c r="B538" s="51"/>
      <c r="C538" s="51"/>
      <c r="D538" s="51"/>
      <c r="E538" s="51"/>
      <c r="F538" s="46"/>
      <c r="G538" s="46"/>
      <c r="H538" s="46"/>
    </row>
    <row r="539">
      <c r="A539" s="46"/>
      <c r="B539" s="51"/>
      <c r="C539" s="51"/>
      <c r="D539" s="51"/>
      <c r="E539" s="51"/>
      <c r="F539" s="46"/>
      <c r="G539" s="46"/>
      <c r="H539" s="46"/>
    </row>
    <row r="540">
      <c r="A540" s="46"/>
      <c r="B540" s="51"/>
      <c r="C540" s="51"/>
      <c r="D540" s="51"/>
      <c r="E540" s="51"/>
      <c r="F540" s="46"/>
      <c r="G540" s="46"/>
      <c r="H540" s="46"/>
    </row>
    <row r="541">
      <c r="A541" s="46"/>
      <c r="B541" s="51"/>
      <c r="C541" s="51"/>
      <c r="D541" s="51"/>
      <c r="E541" s="51"/>
      <c r="F541" s="46"/>
      <c r="G541" s="46"/>
      <c r="H541" s="46"/>
    </row>
    <row r="542">
      <c r="A542" s="46"/>
      <c r="B542" s="51"/>
      <c r="C542" s="51"/>
      <c r="D542" s="51"/>
      <c r="E542" s="51"/>
      <c r="F542" s="46"/>
      <c r="G542" s="46"/>
      <c r="H542" s="46"/>
    </row>
    <row r="543">
      <c r="A543" s="46"/>
      <c r="B543" s="51"/>
      <c r="C543" s="51"/>
      <c r="D543" s="51"/>
      <c r="E543" s="51"/>
      <c r="F543" s="46"/>
      <c r="G543" s="46"/>
      <c r="H543" s="46"/>
    </row>
    <row r="544">
      <c r="A544" s="46"/>
      <c r="B544" s="51"/>
      <c r="C544" s="51"/>
      <c r="D544" s="51"/>
      <c r="E544" s="51"/>
      <c r="F544" s="46"/>
      <c r="G544" s="46"/>
      <c r="H544" s="46"/>
    </row>
    <row r="545">
      <c r="A545" s="46"/>
      <c r="B545" s="51"/>
      <c r="C545" s="51"/>
      <c r="D545" s="51"/>
      <c r="E545" s="51"/>
      <c r="F545" s="46"/>
      <c r="G545" s="46"/>
      <c r="H545" s="46"/>
    </row>
    <row r="546">
      <c r="A546" s="46"/>
      <c r="B546" s="51"/>
      <c r="C546" s="51"/>
      <c r="D546" s="51"/>
      <c r="E546" s="51"/>
      <c r="F546" s="46"/>
      <c r="G546" s="46"/>
      <c r="H546" s="46"/>
    </row>
    <row r="547">
      <c r="A547" s="46"/>
      <c r="B547" s="51"/>
      <c r="C547" s="51"/>
      <c r="D547" s="51"/>
      <c r="E547" s="51"/>
      <c r="F547" s="46"/>
      <c r="G547" s="46"/>
      <c r="H547" s="46"/>
    </row>
    <row r="548">
      <c r="A548" s="46"/>
      <c r="B548" s="51"/>
      <c r="C548" s="51"/>
      <c r="D548" s="51"/>
      <c r="E548" s="51"/>
      <c r="F548" s="46"/>
      <c r="G548" s="46"/>
      <c r="H548" s="46"/>
    </row>
    <row r="549">
      <c r="A549" s="46"/>
      <c r="B549" s="51"/>
      <c r="C549" s="51"/>
      <c r="D549" s="51"/>
      <c r="E549" s="51"/>
      <c r="F549" s="46"/>
      <c r="G549" s="46"/>
      <c r="H549" s="46"/>
    </row>
    <row r="550">
      <c r="A550" s="46"/>
      <c r="B550" s="51"/>
      <c r="C550" s="51"/>
      <c r="D550" s="51"/>
      <c r="E550" s="51"/>
      <c r="F550" s="46"/>
      <c r="G550" s="46"/>
      <c r="H550" s="46"/>
    </row>
    <row r="551">
      <c r="A551" s="46"/>
      <c r="B551" s="51"/>
      <c r="C551" s="51"/>
      <c r="D551" s="51"/>
      <c r="E551" s="51"/>
      <c r="F551" s="46"/>
      <c r="G551" s="46"/>
      <c r="H551" s="46"/>
    </row>
    <row r="552">
      <c r="A552" s="46"/>
      <c r="B552" s="51"/>
      <c r="C552" s="51"/>
      <c r="D552" s="51"/>
      <c r="E552" s="51"/>
      <c r="F552" s="46"/>
      <c r="G552" s="46"/>
      <c r="H552" s="46"/>
    </row>
    <row r="553">
      <c r="A553" s="46"/>
      <c r="B553" s="51"/>
      <c r="C553" s="51"/>
      <c r="D553" s="51"/>
      <c r="E553" s="51"/>
      <c r="F553" s="46"/>
      <c r="G553" s="46"/>
      <c r="H553" s="46"/>
    </row>
    <row r="554">
      <c r="A554" s="46"/>
      <c r="B554" s="51"/>
      <c r="C554" s="51"/>
      <c r="D554" s="51"/>
      <c r="E554" s="51"/>
      <c r="F554" s="46"/>
      <c r="G554" s="46"/>
      <c r="H554" s="46"/>
    </row>
    <row r="555">
      <c r="A555" s="46"/>
      <c r="B555" s="51"/>
      <c r="C555" s="51"/>
      <c r="D555" s="51"/>
      <c r="E555" s="51"/>
      <c r="F555" s="46"/>
      <c r="G555" s="46"/>
      <c r="H555" s="46"/>
    </row>
    <row r="556">
      <c r="A556" s="46"/>
      <c r="B556" s="51"/>
      <c r="C556" s="51"/>
      <c r="D556" s="51"/>
      <c r="E556" s="51"/>
      <c r="F556" s="46"/>
      <c r="G556" s="46"/>
      <c r="H556" s="46"/>
    </row>
    <row r="557">
      <c r="A557" s="46"/>
      <c r="B557" s="51"/>
      <c r="C557" s="51"/>
      <c r="D557" s="51"/>
      <c r="E557" s="51"/>
      <c r="F557" s="46"/>
      <c r="G557" s="46"/>
      <c r="H557" s="46"/>
    </row>
    <row r="558">
      <c r="A558" s="46"/>
      <c r="B558" s="51"/>
      <c r="C558" s="51"/>
      <c r="D558" s="51"/>
      <c r="E558" s="51"/>
      <c r="F558" s="46"/>
      <c r="G558" s="46"/>
      <c r="H558" s="46"/>
    </row>
    <row r="559">
      <c r="A559" s="46"/>
      <c r="B559" s="51"/>
      <c r="C559" s="51"/>
      <c r="D559" s="51"/>
      <c r="E559" s="51"/>
      <c r="F559" s="46"/>
      <c r="G559" s="46"/>
      <c r="H559" s="46"/>
    </row>
    <row r="560">
      <c r="A560" s="46"/>
      <c r="B560" s="51"/>
      <c r="C560" s="51"/>
      <c r="D560" s="51"/>
      <c r="E560" s="51"/>
      <c r="F560" s="46"/>
      <c r="G560" s="46"/>
      <c r="H560" s="46"/>
    </row>
    <row r="561">
      <c r="A561" s="46"/>
      <c r="B561" s="51"/>
      <c r="C561" s="51"/>
      <c r="D561" s="51"/>
      <c r="E561" s="51"/>
      <c r="F561" s="46"/>
      <c r="G561" s="46"/>
      <c r="H561" s="46"/>
    </row>
    <row r="562">
      <c r="A562" s="46"/>
      <c r="B562" s="51"/>
      <c r="C562" s="51"/>
      <c r="D562" s="51"/>
      <c r="E562" s="51"/>
      <c r="F562" s="46"/>
      <c r="G562" s="46"/>
      <c r="H562" s="46"/>
    </row>
    <row r="563">
      <c r="A563" s="46"/>
      <c r="B563" s="51"/>
      <c r="C563" s="51"/>
      <c r="D563" s="51"/>
      <c r="E563" s="51"/>
      <c r="F563" s="46"/>
      <c r="G563" s="46"/>
      <c r="H563" s="46"/>
    </row>
    <row r="564">
      <c r="A564" s="46"/>
      <c r="B564" s="51"/>
      <c r="C564" s="51"/>
      <c r="D564" s="51"/>
      <c r="E564" s="51"/>
      <c r="F564" s="46"/>
      <c r="G564" s="46"/>
      <c r="H564" s="46"/>
    </row>
    <row r="565">
      <c r="A565" s="46"/>
      <c r="B565" s="51"/>
      <c r="C565" s="51"/>
      <c r="D565" s="51"/>
      <c r="E565" s="51"/>
      <c r="F565" s="46"/>
      <c r="G565" s="46"/>
      <c r="H565" s="46"/>
    </row>
    <row r="566">
      <c r="A566" s="46"/>
      <c r="B566" s="51"/>
      <c r="C566" s="51"/>
      <c r="D566" s="51"/>
      <c r="E566" s="51"/>
      <c r="F566" s="46"/>
      <c r="G566" s="46"/>
      <c r="H566" s="46"/>
    </row>
    <row r="567">
      <c r="A567" s="46"/>
      <c r="B567" s="51"/>
      <c r="C567" s="51"/>
      <c r="D567" s="51"/>
      <c r="E567" s="51"/>
      <c r="F567" s="46"/>
      <c r="G567" s="46"/>
      <c r="H567" s="46"/>
    </row>
    <row r="568">
      <c r="A568" s="46"/>
      <c r="B568" s="51"/>
      <c r="C568" s="51"/>
      <c r="D568" s="51"/>
      <c r="E568" s="51"/>
      <c r="F568" s="46"/>
      <c r="G568" s="46"/>
      <c r="H568" s="46"/>
    </row>
    <row r="569">
      <c r="A569" s="46"/>
      <c r="B569" s="51"/>
      <c r="C569" s="51"/>
      <c r="D569" s="51"/>
      <c r="E569" s="51"/>
      <c r="F569" s="46"/>
      <c r="G569" s="46"/>
      <c r="H569" s="46"/>
    </row>
    <row r="570">
      <c r="A570" s="46"/>
      <c r="B570" s="51"/>
      <c r="C570" s="51"/>
      <c r="D570" s="51"/>
      <c r="E570" s="51"/>
      <c r="F570" s="46"/>
      <c r="G570" s="46"/>
      <c r="H570" s="46"/>
    </row>
    <row r="571">
      <c r="A571" s="46"/>
      <c r="B571" s="51"/>
      <c r="C571" s="51"/>
      <c r="D571" s="51"/>
      <c r="E571" s="51"/>
      <c r="F571" s="46"/>
      <c r="G571" s="46"/>
      <c r="H571" s="46"/>
    </row>
    <row r="572">
      <c r="A572" s="46"/>
      <c r="B572" s="51"/>
      <c r="C572" s="51"/>
      <c r="D572" s="51"/>
      <c r="E572" s="51"/>
      <c r="F572" s="46"/>
      <c r="G572" s="46"/>
      <c r="H572" s="46"/>
    </row>
    <row r="573">
      <c r="A573" s="46"/>
      <c r="B573" s="51"/>
      <c r="C573" s="51"/>
      <c r="D573" s="51"/>
      <c r="E573" s="51"/>
      <c r="F573" s="46"/>
      <c r="G573" s="46"/>
      <c r="H573" s="46"/>
    </row>
    <row r="574">
      <c r="A574" s="46"/>
      <c r="B574" s="51"/>
      <c r="C574" s="51"/>
      <c r="D574" s="51"/>
      <c r="E574" s="51"/>
      <c r="F574" s="46"/>
      <c r="G574" s="46"/>
      <c r="H574" s="46"/>
    </row>
    <row r="575">
      <c r="A575" s="46"/>
      <c r="B575" s="51"/>
      <c r="C575" s="51"/>
      <c r="D575" s="51"/>
      <c r="E575" s="51"/>
      <c r="F575" s="46"/>
      <c r="G575" s="46"/>
      <c r="H575" s="46"/>
    </row>
    <row r="576">
      <c r="A576" s="46"/>
      <c r="B576" s="51"/>
      <c r="C576" s="51"/>
      <c r="D576" s="51"/>
      <c r="E576" s="51"/>
      <c r="F576" s="46"/>
      <c r="G576" s="46"/>
      <c r="H576" s="46"/>
    </row>
    <row r="577">
      <c r="A577" s="46"/>
      <c r="B577" s="51"/>
      <c r="C577" s="51"/>
      <c r="D577" s="51"/>
      <c r="E577" s="51"/>
      <c r="F577" s="46"/>
      <c r="G577" s="46"/>
      <c r="H577" s="46"/>
    </row>
    <row r="578">
      <c r="A578" s="46"/>
      <c r="B578" s="51"/>
      <c r="C578" s="51"/>
      <c r="D578" s="51"/>
      <c r="E578" s="51"/>
      <c r="F578" s="46"/>
      <c r="G578" s="46"/>
      <c r="H578" s="46"/>
    </row>
    <row r="579">
      <c r="A579" s="46"/>
      <c r="B579" s="51"/>
      <c r="C579" s="51"/>
      <c r="D579" s="51"/>
      <c r="E579" s="51"/>
      <c r="F579" s="46"/>
      <c r="G579" s="46"/>
      <c r="H579" s="46"/>
    </row>
    <row r="580">
      <c r="A580" s="46"/>
      <c r="B580" s="51"/>
      <c r="C580" s="51"/>
      <c r="D580" s="51"/>
      <c r="E580" s="51"/>
      <c r="F580" s="46"/>
      <c r="G580" s="46"/>
      <c r="H580" s="46"/>
    </row>
    <row r="581">
      <c r="A581" s="46"/>
      <c r="B581" s="51"/>
      <c r="C581" s="51"/>
      <c r="D581" s="51"/>
      <c r="E581" s="51"/>
      <c r="F581" s="46"/>
      <c r="G581" s="46"/>
      <c r="H581" s="46"/>
    </row>
    <row r="582">
      <c r="A582" s="46"/>
      <c r="B582" s="51"/>
      <c r="C582" s="51"/>
      <c r="D582" s="51"/>
      <c r="E582" s="51"/>
      <c r="F582" s="46"/>
      <c r="G582" s="46"/>
      <c r="H582" s="46"/>
    </row>
    <row r="583">
      <c r="A583" s="46"/>
      <c r="B583" s="51"/>
      <c r="C583" s="51"/>
      <c r="D583" s="51"/>
      <c r="E583" s="51"/>
      <c r="F583" s="46"/>
      <c r="G583" s="46"/>
      <c r="H583" s="46"/>
    </row>
    <row r="584">
      <c r="A584" s="46"/>
      <c r="B584" s="51"/>
      <c r="C584" s="51"/>
      <c r="D584" s="51"/>
      <c r="E584" s="51"/>
      <c r="F584" s="46"/>
      <c r="G584" s="46"/>
      <c r="H584" s="46"/>
    </row>
    <row r="585">
      <c r="A585" s="46"/>
      <c r="B585" s="51"/>
      <c r="C585" s="51"/>
      <c r="D585" s="51"/>
      <c r="E585" s="51"/>
      <c r="F585" s="46"/>
      <c r="G585" s="46"/>
      <c r="H585" s="46"/>
    </row>
    <row r="586">
      <c r="A586" s="46"/>
      <c r="B586" s="51"/>
      <c r="C586" s="51"/>
      <c r="D586" s="51"/>
      <c r="E586" s="51"/>
      <c r="F586" s="46"/>
      <c r="G586" s="46"/>
      <c r="H586" s="46"/>
    </row>
    <row r="587">
      <c r="A587" s="46"/>
      <c r="B587" s="51"/>
      <c r="C587" s="51"/>
      <c r="D587" s="51"/>
      <c r="E587" s="51"/>
      <c r="F587" s="46"/>
      <c r="G587" s="46"/>
      <c r="H587" s="46"/>
    </row>
    <row r="588">
      <c r="A588" s="46"/>
      <c r="B588" s="51"/>
      <c r="C588" s="51"/>
      <c r="D588" s="51"/>
      <c r="E588" s="51"/>
      <c r="F588" s="46"/>
      <c r="G588" s="46"/>
      <c r="H588" s="46"/>
    </row>
    <row r="589">
      <c r="A589" s="46"/>
      <c r="B589" s="51"/>
      <c r="C589" s="51"/>
      <c r="D589" s="51"/>
      <c r="E589" s="51"/>
      <c r="F589" s="46"/>
      <c r="G589" s="46"/>
      <c r="H589" s="46"/>
    </row>
    <row r="590">
      <c r="A590" s="46"/>
      <c r="B590" s="51"/>
      <c r="C590" s="51"/>
      <c r="D590" s="51"/>
      <c r="E590" s="51"/>
      <c r="F590" s="46"/>
      <c r="G590" s="46"/>
      <c r="H590" s="46"/>
    </row>
    <row r="591">
      <c r="A591" s="46"/>
      <c r="B591" s="51"/>
      <c r="C591" s="51"/>
      <c r="D591" s="51"/>
      <c r="E591" s="51"/>
      <c r="F591" s="46"/>
      <c r="G591" s="46"/>
      <c r="H591" s="46"/>
    </row>
    <row r="592">
      <c r="A592" s="46"/>
      <c r="B592" s="51"/>
      <c r="C592" s="51"/>
      <c r="D592" s="51"/>
      <c r="E592" s="51"/>
      <c r="F592" s="46"/>
      <c r="G592" s="46"/>
      <c r="H592" s="46"/>
    </row>
    <row r="593">
      <c r="A593" s="46"/>
      <c r="B593" s="51"/>
      <c r="C593" s="51"/>
      <c r="D593" s="51"/>
      <c r="E593" s="51"/>
      <c r="F593" s="46"/>
      <c r="G593" s="46"/>
      <c r="H593" s="46"/>
    </row>
    <row r="594">
      <c r="A594" s="46"/>
      <c r="B594" s="51"/>
      <c r="C594" s="51"/>
      <c r="D594" s="51"/>
      <c r="E594" s="51"/>
      <c r="F594" s="46"/>
      <c r="G594" s="46"/>
      <c r="H594" s="46"/>
    </row>
    <row r="595">
      <c r="A595" s="46"/>
      <c r="B595" s="51"/>
      <c r="C595" s="51"/>
      <c r="D595" s="51"/>
      <c r="E595" s="51"/>
      <c r="F595" s="46"/>
      <c r="G595" s="46"/>
      <c r="H595" s="46"/>
    </row>
    <row r="596">
      <c r="A596" s="46"/>
      <c r="B596" s="51"/>
      <c r="C596" s="51"/>
      <c r="D596" s="51"/>
      <c r="E596" s="51"/>
      <c r="F596" s="46"/>
      <c r="G596" s="46"/>
      <c r="H596" s="46"/>
    </row>
    <row r="597">
      <c r="A597" s="46"/>
      <c r="B597" s="51"/>
      <c r="C597" s="51"/>
      <c r="D597" s="51"/>
      <c r="E597" s="51"/>
      <c r="F597" s="46"/>
      <c r="G597" s="46"/>
      <c r="H597" s="46"/>
    </row>
    <row r="598">
      <c r="A598" s="46"/>
      <c r="B598" s="51"/>
      <c r="C598" s="51"/>
      <c r="D598" s="51"/>
      <c r="E598" s="51"/>
      <c r="F598" s="46"/>
      <c r="G598" s="46"/>
      <c r="H598" s="46"/>
    </row>
    <row r="599">
      <c r="A599" s="46"/>
      <c r="B599" s="51"/>
      <c r="C599" s="51"/>
      <c r="D599" s="51"/>
      <c r="E599" s="51"/>
      <c r="F599" s="46"/>
      <c r="G599" s="46"/>
      <c r="H599" s="46"/>
    </row>
    <row r="600">
      <c r="A600" s="46"/>
      <c r="B600" s="51"/>
      <c r="C600" s="51"/>
      <c r="D600" s="51"/>
      <c r="E600" s="51"/>
      <c r="F600" s="46"/>
      <c r="G600" s="46"/>
      <c r="H600" s="46"/>
    </row>
    <row r="601">
      <c r="A601" s="46"/>
      <c r="B601" s="51"/>
      <c r="C601" s="51"/>
      <c r="D601" s="51"/>
      <c r="E601" s="51"/>
      <c r="F601" s="46"/>
      <c r="G601" s="46"/>
      <c r="H601" s="46"/>
    </row>
    <row r="602">
      <c r="A602" s="46"/>
      <c r="B602" s="51"/>
      <c r="C602" s="51"/>
      <c r="D602" s="51"/>
      <c r="E602" s="51"/>
      <c r="F602" s="46"/>
      <c r="G602" s="46"/>
      <c r="H602" s="46"/>
    </row>
    <row r="603">
      <c r="A603" s="46"/>
      <c r="B603" s="51"/>
      <c r="C603" s="51"/>
      <c r="D603" s="51"/>
      <c r="E603" s="51"/>
      <c r="F603" s="46"/>
      <c r="G603" s="46"/>
      <c r="H603" s="46"/>
    </row>
    <row r="604">
      <c r="A604" s="46"/>
      <c r="B604" s="51"/>
      <c r="C604" s="51"/>
      <c r="D604" s="51"/>
      <c r="E604" s="51"/>
      <c r="F604" s="46"/>
      <c r="G604" s="46"/>
      <c r="H604" s="46"/>
    </row>
    <row r="605">
      <c r="A605" s="46"/>
      <c r="B605" s="51"/>
      <c r="C605" s="51"/>
      <c r="D605" s="51"/>
      <c r="E605" s="51"/>
      <c r="F605" s="46"/>
      <c r="G605" s="46"/>
      <c r="H605" s="46"/>
    </row>
    <row r="606">
      <c r="A606" s="46"/>
      <c r="B606" s="51"/>
      <c r="C606" s="51"/>
      <c r="D606" s="51"/>
      <c r="E606" s="51"/>
      <c r="F606" s="46"/>
      <c r="G606" s="46"/>
      <c r="H606" s="46"/>
    </row>
    <row r="607">
      <c r="A607" s="46"/>
      <c r="B607" s="51"/>
      <c r="C607" s="51"/>
      <c r="D607" s="51"/>
      <c r="E607" s="51"/>
      <c r="F607" s="46"/>
      <c r="G607" s="46"/>
      <c r="H607" s="46"/>
    </row>
    <row r="608">
      <c r="A608" s="46"/>
      <c r="B608" s="51"/>
      <c r="C608" s="51"/>
      <c r="D608" s="51"/>
      <c r="E608" s="51"/>
      <c r="F608" s="46"/>
      <c r="G608" s="46"/>
      <c r="H608" s="46"/>
    </row>
    <row r="609">
      <c r="A609" s="46"/>
      <c r="B609" s="51"/>
      <c r="C609" s="51"/>
      <c r="D609" s="51"/>
      <c r="E609" s="51"/>
      <c r="F609" s="46"/>
      <c r="G609" s="46"/>
      <c r="H609" s="46"/>
    </row>
    <row r="610">
      <c r="A610" s="46"/>
      <c r="B610" s="51"/>
      <c r="C610" s="51"/>
      <c r="D610" s="51"/>
      <c r="E610" s="51"/>
      <c r="F610" s="46"/>
      <c r="G610" s="46"/>
      <c r="H610" s="46"/>
    </row>
    <row r="611">
      <c r="A611" s="46"/>
      <c r="B611" s="51"/>
      <c r="C611" s="51"/>
      <c r="D611" s="51"/>
      <c r="E611" s="51"/>
      <c r="F611" s="46"/>
      <c r="G611" s="46"/>
      <c r="H611" s="46"/>
    </row>
    <row r="612">
      <c r="A612" s="46"/>
      <c r="B612" s="51"/>
      <c r="C612" s="51"/>
      <c r="D612" s="51"/>
      <c r="E612" s="51"/>
      <c r="F612" s="46"/>
      <c r="G612" s="46"/>
      <c r="H612" s="46"/>
    </row>
    <row r="613">
      <c r="A613" s="46"/>
      <c r="B613" s="51"/>
      <c r="C613" s="51"/>
      <c r="D613" s="51"/>
      <c r="E613" s="51"/>
      <c r="F613" s="46"/>
      <c r="G613" s="46"/>
      <c r="H613" s="46"/>
    </row>
    <row r="614">
      <c r="A614" s="46"/>
      <c r="B614" s="51"/>
      <c r="C614" s="51"/>
      <c r="D614" s="51"/>
      <c r="E614" s="51"/>
      <c r="F614" s="46"/>
      <c r="G614" s="46"/>
      <c r="H614" s="46"/>
    </row>
    <row r="615">
      <c r="A615" s="46"/>
      <c r="B615" s="51"/>
      <c r="C615" s="51"/>
      <c r="D615" s="51"/>
      <c r="E615" s="51"/>
      <c r="F615" s="46"/>
      <c r="G615" s="46"/>
      <c r="H615" s="46"/>
    </row>
    <row r="616">
      <c r="A616" s="46"/>
      <c r="B616" s="51"/>
      <c r="C616" s="51"/>
      <c r="D616" s="51"/>
      <c r="E616" s="51"/>
      <c r="F616" s="46"/>
      <c r="G616" s="46"/>
      <c r="H616" s="46"/>
    </row>
    <row r="617">
      <c r="A617" s="46"/>
      <c r="B617" s="51"/>
      <c r="C617" s="51"/>
      <c r="D617" s="51"/>
      <c r="E617" s="51"/>
      <c r="F617" s="46"/>
      <c r="G617" s="46"/>
      <c r="H617" s="46"/>
    </row>
    <row r="618">
      <c r="A618" s="46"/>
      <c r="B618" s="51"/>
      <c r="C618" s="51"/>
      <c r="D618" s="51"/>
      <c r="E618" s="51"/>
      <c r="F618" s="46"/>
      <c r="G618" s="46"/>
      <c r="H618" s="46"/>
    </row>
    <row r="619">
      <c r="A619" s="46"/>
      <c r="B619" s="51"/>
      <c r="C619" s="51"/>
      <c r="D619" s="51"/>
      <c r="E619" s="51"/>
      <c r="F619" s="46"/>
      <c r="G619" s="46"/>
      <c r="H619" s="46"/>
    </row>
    <row r="620">
      <c r="A620" s="46"/>
      <c r="B620" s="51"/>
      <c r="C620" s="51"/>
      <c r="D620" s="51"/>
      <c r="E620" s="51"/>
      <c r="F620" s="46"/>
      <c r="G620" s="46"/>
      <c r="H620" s="46"/>
    </row>
    <row r="621">
      <c r="A621" s="46"/>
      <c r="B621" s="51"/>
      <c r="C621" s="51"/>
      <c r="D621" s="51"/>
      <c r="E621" s="51"/>
      <c r="F621" s="46"/>
      <c r="G621" s="46"/>
      <c r="H621" s="46"/>
    </row>
    <row r="622">
      <c r="A622" s="46"/>
      <c r="B622" s="51"/>
      <c r="C622" s="51"/>
      <c r="D622" s="51"/>
      <c r="E622" s="51"/>
      <c r="F622" s="46"/>
      <c r="G622" s="46"/>
      <c r="H622" s="46"/>
    </row>
    <row r="623">
      <c r="A623" s="46"/>
      <c r="B623" s="51"/>
      <c r="C623" s="51"/>
      <c r="D623" s="51"/>
      <c r="E623" s="51"/>
      <c r="F623" s="46"/>
      <c r="G623" s="46"/>
      <c r="H623" s="46"/>
    </row>
    <row r="624">
      <c r="A624" s="46"/>
      <c r="B624" s="51"/>
      <c r="C624" s="51"/>
      <c r="D624" s="51"/>
      <c r="E624" s="51"/>
      <c r="F624" s="46"/>
      <c r="G624" s="46"/>
      <c r="H624" s="46"/>
    </row>
    <row r="625">
      <c r="A625" s="46"/>
      <c r="B625" s="51"/>
      <c r="C625" s="51"/>
      <c r="D625" s="51"/>
      <c r="E625" s="51"/>
      <c r="F625" s="46"/>
      <c r="G625" s="46"/>
      <c r="H625" s="46"/>
    </row>
    <row r="626">
      <c r="A626" s="46"/>
      <c r="B626" s="51"/>
      <c r="C626" s="51"/>
      <c r="D626" s="51"/>
      <c r="E626" s="51"/>
      <c r="F626" s="46"/>
      <c r="G626" s="46"/>
      <c r="H626" s="46"/>
    </row>
    <row r="627">
      <c r="A627" s="46"/>
      <c r="B627" s="51"/>
      <c r="C627" s="51"/>
      <c r="D627" s="51"/>
      <c r="E627" s="51"/>
      <c r="F627" s="46"/>
      <c r="G627" s="46"/>
      <c r="H627" s="46"/>
    </row>
    <row r="628">
      <c r="A628" s="46"/>
      <c r="B628" s="51"/>
      <c r="C628" s="51"/>
      <c r="D628" s="51"/>
      <c r="E628" s="51"/>
      <c r="F628" s="46"/>
      <c r="G628" s="46"/>
      <c r="H628" s="46"/>
    </row>
    <row r="629">
      <c r="A629" s="46"/>
      <c r="B629" s="51"/>
      <c r="C629" s="51"/>
      <c r="D629" s="51"/>
      <c r="E629" s="51"/>
      <c r="F629" s="46"/>
      <c r="G629" s="46"/>
      <c r="H629" s="46"/>
    </row>
    <row r="630">
      <c r="A630" s="46"/>
      <c r="B630" s="51"/>
      <c r="C630" s="51"/>
      <c r="D630" s="51"/>
      <c r="E630" s="51"/>
      <c r="F630" s="46"/>
      <c r="G630" s="46"/>
      <c r="H630" s="46"/>
    </row>
    <row r="631">
      <c r="A631" s="46"/>
      <c r="B631" s="51"/>
      <c r="C631" s="51"/>
      <c r="D631" s="51"/>
      <c r="E631" s="51"/>
      <c r="F631" s="46"/>
      <c r="G631" s="46"/>
      <c r="H631" s="46"/>
    </row>
    <row r="632">
      <c r="A632" s="46"/>
      <c r="B632" s="51"/>
      <c r="C632" s="51"/>
      <c r="D632" s="51"/>
      <c r="E632" s="51"/>
      <c r="F632" s="46"/>
      <c r="G632" s="46"/>
      <c r="H632" s="46"/>
    </row>
    <row r="633">
      <c r="A633" s="46"/>
      <c r="B633" s="51"/>
      <c r="C633" s="51"/>
      <c r="D633" s="51"/>
      <c r="E633" s="51"/>
      <c r="F633" s="46"/>
      <c r="G633" s="46"/>
      <c r="H633" s="46"/>
    </row>
    <row r="634">
      <c r="A634" s="46"/>
      <c r="B634" s="51"/>
      <c r="C634" s="51"/>
      <c r="D634" s="51"/>
      <c r="E634" s="51"/>
      <c r="F634" s="46"/>
      <c r="G634" s="46"/>
      <c r="H634" s="46"/>
    </row>
    <row r="635">
      <c r="A635" s="46"/>
      <c r="B635" s="51"/>
      <c r="C635" s="51"/>
      <c r="D635" s="51"/>
      <c r="E635" s="51"/>
      <c r="F635" s="46"/>
      <c r="G635" s="46"/>
      <c r="H635" s="46"/>
    </row>
    <row r="636">
      <c r="A636" s="46"/>
      <c r="B636" s="51"/>
      <c r="C636" s="51"/>
      <c r="D636" s="51"/>
      <c r="E636" s="51"/>
      <c r="F636" s="46"/>
      <c r="G636" s="46"/>
      <c r="H636" s="46"/>
    </row>
    <row r="637">
      <c r="A637" s="46"/>
      <c r="B637" s="51"/>
      <c r="C637" s="51"/>
      <c r="D637" s="51"/>
      <c r="E637" s="51"/>
      <c r="F637" s="46"/>
      <c r="G637" s="46"/>
      <c r="H637" s="46"/>
    </row>
    <row r="638">
      <c r="A638" s="46"/>
      <c r="B638" s="51"/>
      <c r="C638" s="51"/>
      <c r="D638" s="51"/>
      <c r="E638" s="51"/>
      <c r="F638" s="46"/>
      <c r="G638" s="46"/>
      <c r="H638" s="46"/>
    </row>
    <row r="639">
      <c r="A639" s="46"/>
      <c r="B639" s="51"/>
      <c r="C639" s="51"/>
      <c r="D639" s="51"/>
      <c r="E639" s="51"/>
      <c r="F639" s="46"/>
      <c r="G639" s="46"/>
      <c r="H639" s="46"/>
    </row>
    <row r="640">
      <c r="A640" s="46"/>
      <c r="B640" s="51"/>
      <c r="C640" s="51"/>
      <c r="D640" s="51"/>
      <c r="E640" s="51"/>
      <c r="F640" s="46"/>
      <c r="G640" s="46"/>
      <c r="H640" s="46"/>
    </row>
    <row r="641">
      <c r="A641" s="46"/>
      <c r="B641" s="51"/>
      <c r="C641" s="51"/>
      <c r="D641" s="51"/>
      <c r="E641" s="51"/>
      <c r="F641" s="46"/>
      <c r="G641" s="46"/>
      <c r="H641" s="46"/>
    </row>
    <row r="642">
      <c r="A642" s="46"/>
      <c r="B642" s="51"/>
      <c r="C642" s="51"/>
      <c r="D642" s="51"/>
      <c r="E642" s="51"/>
      <c r="F642" s="46"/>
      <c r="G642" s="46"/>
      <c r="H642" s="46"/>
    </row>
    <row r="643">
      <c r="A643" s="46"/>
      <c r="B643" s="51"/>
      <c r="C643" s="51"/>
      <c r="D643" s="51"/>
      <c r="E643" s="51"/>
      <c r="F643" s="46"/>
      <c r="G643" s="46"/>
      <c r="H643" s="46"/>
    </row>
    <row r="644">
      <c r="A644" s="46"/>
      <c r="B644" s="51"/>
      <c r="C644" s="51"/>
      <c r="D644" s="51"/>
      <c r="E644" s="51"/>
      <c r="F644" s="46"/>
      <c r="G644" s="46"/>
      <c r="H644" s="46"/>
    </row>
    <row r="645">
      <c r="A645" s="46"/>
      <c r="B645" s="51"/>
      <c r="C645" s="51"/>
      <c r="D645" s="51"/>
      <c r="E645" s="51"/>
      <c r="F645" s="46"/>
      <c r="G645" s="46"/>
      <c r="H645" s="46"/>
    </row>
    <row r="646">
      <c r="A646" s="46"/>
      <c r="B646" s="51"/>
      <c r="C646" s="51"/>
      <c r="D646" s="51"/>
      <c r="E646" s="51"/>
      <c r="F646" s="46"/>
      <c r="G646" s="46"/>
      <c r="H646" s="46"/>
    </row>
    <row r="647">
      <c r="A647" s="46"/>
      <c r="B647" s="51"/>
      <c r="C647" s="51"/>
      <c r="D647" s="51"/>
      <c r="E647" s="51"/>
      <c r="F647" s="46"/>
      <c r="G647" s="46"/>
      <c r="H647" s="46"/>
    </row>
    <row r="648">
      <c r="A648" s="46"/>
      <c r="B648" s="51"/>
      <c r="C648" s="51"/>
      <c r="D648" s="51"/>
      <c r="E648" s="51"/>
      <c r="F648" s="46"/>
      <c r="G648" s="46"/>
      <c r="H648" s="46"/>
    </row>
    <row r="649">
      <c r="A649" s="46"/>
      <c r="B649" s="51"/>
      <c r="C649" s="51"/>
      <c r="D649" s="51"/>
      <c r="E649" s="51"/>
      <c r="F649" s="46"/>
      <c r="G649" s="46"/>
      <c r="H649" s="46"/>
    </row>
    <row r="650">
      <c r="A650" s="46"/>
      <c r="B650" s="51"/>
      <c r="C650" s="51"/>
      <c r="D650" s="51"/>
      <c r="E650" s="51"/>
      <c r="F650" s="46"/>
      <c r="G650" s="46"/>
      <c r="H650" s="46"/>
    </row>
    <row r="651">
      <c r="A651" s="46"/>
      <c r="B651" s="51"/>
      <c r="C651" s="51"/>
      <c r="D651" s="51"/>
      <c r="E651" s="51"/>
      <c r="F651" s="46"/>
      <c r="G651" s="46"/>
      <c r="H651" s="46"/>
    </row>
    <row r="652">
      <c r="A652" s="46"/>
      <c r="B652" s="51"/>
      <c r="C652" s="51"/>
      <c r="D652" s="51"/>
      <c r="E652" s="51"/>
      <c r="F652" s="46"/>
      <c r="G652" s="46"/>
      <c r="H652" s="46"/>
    </row>
    <row r="653">
      <c r="A653" s="46"/>
      <c r="B653" s="51"/>
      <c r="C653" s="51"/>
      <c r="D653" s="51"/>
      <c r="E653" s="51"/>
      <c r="F653" s="46"/>
      <c r="G653" s="46"/>
      <c r="H653" s="46"/>
    </row>
    <row r="654">
      <c r="A654" s="46"/>
      <c r="B654" s="51"/>
      <c r="C654" s="51"/>
      <c r="D654" s="51"/>
      <c r="E654" s="51"/>
      <c r="F654" s="46"/>
      <c r="G654" s="46"/>
      <c r="H654" s="46"/>
    </row>
    <row r="655">
      <c r="A655" s="46"/>
      <c r="B655" s="51"/>
      <c r="C655" s="51"/>
      <c r="D655" s="51"/>
      <c r="E655" s="51"/>
      <c r="F655" s="46"/>
      <c r="G655" s="46"/>
      <c r="H655" s="46"/>
    </row>
    <row r="656">
      <c r="A656" s="46"/>
      <c r="B656" s="51"/>
      <c r="C656" s="51"/>
      <c r="D656" s="51"/>
      <c r="E656" s="51"/>
      <c r="F656" s="46"/>
      <c r="G656" s="46"/>
      <c r="H656" s="46"/>
    </row>
    <row r="657">
      <c r="A657" s="46"/>
      <c r="B657" s="51"/>
      <c r="C657" s="51"/>
      <c r="D657" s="51"/>
      <c r="E657" s="51"/>
      <c r="F657" s="46"/>
      <c r="G657" s="46"/>
      <c r="H657" s="46"/>
    </row>
    <row r="658">
      <c r="A658" s="46"/>
      <c r="B658" s="51"/>
      <c r="C658" s="51"/>
      <c r="D658" s="51"/>
      <c r="E658" s="51"/>
      <c r="F658" s="46"/>
      <c r="G658" s="46"/>
      <c r="H658" s="46"/>
    </row>
    <row r="659">
      <c r="A659" s="46"/>
      <c r="B659" s="51"/>
      <c r="C659" s="51"/>
      <c r="D659" s="51"/>
      <c r="E659" s="51"/>
      <c r="F659" s="46"/>
      <c r="G659" s="46"/>
      <c r="H659" s="46"/>
    </row>
    <row r="660">
      <c r="A660" s="46"/>
      <c r="B660" s="51"/>
      <c r="C660" s="51"/>
      <c r="D660" s="51"/>
      <c r="E660" s="51"/>
      <c r="F660" s="46"/>
      <c r="G660" s="46"/>
      <c r="H660" s="46"/>
    </row>
    <row r="661">
      <c r="A661" s="46"/>
      <c r="B661" s="51"/>
      <c r="C661" s="51"/>
      <c r="D661" s="51"/>
      <c r="E661" s="51"/>
      <c r="F661" s="46"/>
      <c r="G661" s="46"/>
      <c r="H661" s="46"/>
    </row>
    <row r="662">
      <c r="A662" s="46"/>
      <c r="B662" s="51"/>
      <c r="C662" s="51"/>
      <c r="D662" s="51"/>
      <c r="E662" s="51"/>
      <c r="F662" s="46"/>
      <c r="G662" s="46"/>
      <c r="H662" s="46"/>
    </row>
    <row r="663">
      <c r="A663" s="46"/>
      <c r="B663" s="51"/>
      <c r="C663" s="51"/>
      <c r="D663" s="51"/>
      <c r="E663" s="51"/>
      <c r="F663" s="46"/>
      <c r="G663" s="46"/>
      <c r="H663" s="46"/>
    </row>
    <row r="664">
      <c r="A664" s="46"/>
      <c r="B664" s="51"/>
      <c r="C664" s="51"/>
      <c r="D664" s="51"/>
      <c r="E664" s="51"/>
      <c r="F664" s="46"/>
      <c r="G664" s="46"/>
      <c r="H664" s="46"/>
    </row>
    <row r="665">
      <c r="A665" s="46"/>
      <c r="B665" s="51"/>
      <c r="C665" s="51"/>
      <c r="D665" s="51"/>
      <c r="E665" s="51"/>
      <c r="F665" s="46"/>
      <c r="G665" s="46"/>
      <c r="H665" s="46"/>
    </row>
    <row r="666">
      <c r="A666" s="46"/>
      <c r="B666" s="51"/>
      <c r="C666" s="51"/>
      <c r="D666" s="51"/>
      <c r="E666" s="51"/>
      <c r="F666" s="46"/>
      <c r="G666" s="46"/>
      <c r="H666" s="46"/>
    </row>
    <row r="667">
      <c r="A667" s="46"/>
      <c r="B667" s="51"/>
      <c r="C667" s="51"/>
      <c r="D667" s="51"/>
      <c r="E667" s="51"/>
      <c r="F667" s="46"/>
      <c r="G667" s="46"/>
      <c r="H667" s="46"/>
    </row>
    <row r="668">
      <c r="A668" s="46"/>
      <c r="B668" s="51"/>
      <c r="C668" s="51"/>
      <c r="D668" s="51"/>
      <c r="E668" s="51"/>
      <c r="F668" s="46"/>
      <c r="G668" s="46"/>
      <c r="H668" s="46"/>
    </row>
    <row r="669">
      <c r="A669" s="46"/>
      <c r="B669" s="51"/>
      <c r="C669" s="51"/>
      <c r="D669" s="51"/>
      <c r="E669" s="51"/>
      <c r="F669" s="46"/>
      <c r="G669" s="46"/>
      <c r="H669" s="46"/>
    </row>
    <row r="670">
      <c r="A670" s="46"/>
      <c r="B670" s="51"/>
      <c r="C670" s="51"/>
      <c r="D670" s="51"/>
      <c r="E670" s="51"/>
      <c r="F670" s="46"/>
      <c r="G670" s="46"/>
      <c r="H670" s="46"/>
    </row>
    <row r="671">
      <c r="A671" s="46"/>
      <c r="B671" s="51"/>
      <c r="C671" s="51"/>
      <c r="D671" s="51"/>
      <c r="E671" s="51"/>
      <c r="F671" s="46"/>
      <c r="G671" s="46"/>
      <c r="H671" s="46"/>
    </row>
    <row r="672">
      <c r="A672" s="46"/>
      <c r="B672" s="51"/>
      <c r="C672" s="51"/>
      <c r="D672" s="51"/>
      <c r="E672" s="51"/>
      <c r="F672" s="46"/>
      <c r="G672" s="46"/>
      <c r="H672" s="46"/>
    </row>
    <row r="673">
      <c r="A673" s="46"/>
      <c r="B673" s="51"/>
      <c r="C673" s="51"/>
      <c r="D673" s="51"/>
      <c r="E673" s="51"/>
      <c r="F673" s="46"/>
      <c r="G673" s="46"/>
      <c r="H673" s="46"/>
    </row>
    <row r="674">
      <c r="A674" s="46"/>
      <c r="B674" s="51"/>
      <c r="C674" s="51"/>
      <c r="D674" s="51"/>
      <c r="E674" s="51"/>
      <c r="F674" s="46"/>
      <c r="G674" s="46"/>
      <c r="H674" s="46"/>
    </row>
    <row r="675">
      <c r="A675" s="46"/>
      <c r="B675" s="51"/>
      <c r="C675" s="51"/>
      <c r="D675" s="51"/>
      <c r="E675" s="51"/>
      <c r="F675" s="46"/>
      <c r="G675" s="46"/>
      <c r="H675" s="46"/>
    </row>
    <row r="676">
      <c r="A676" s="46"/>
      <c r="B676" s="51"/>
      <c r="C676" s="51"/>
      <c r="D676" s="51"/>
      <c r="E676" s="51"/>
      <c r="F676" s="46"/>
      <c r="G676" s="46"/>
      <c r="H676" s="46"/>
    </row>
    <row r="677">
      <c r="A677" s="46"/>
      <c r="B677" s="51"/>
      <c r="C677" s="51"/>
      <c r="D677" s="51"/>
      <c r="E677" s="51"/>
      <c r="F677" s="46"/>
      <c r="G677" s="46"/>
      <c r="H677" s="46"/>
    </row>
    <row r="678">
      <c r="A678" s="46"/>
      <c r="B678" s="51"/>
      <c r="C678" s="51"/>
      <c r="D678" s="51"/>
      <c r="E678" s="51"/>
      <c r="F678" s="46"/>
      <c r="G678" s="46"/>
      <c r="H678" s="46"/>
    </row>
    <row r="679">
      <c r="A679" s="46"/>
      <c r="B679" s="51"/>
      <c r="C679" s="51"/>
      <c r="D679" s="51"/>
      <c r="E679" s="51"/>
      <c r="F679" s="46"/>
      <c r="G679" s="46"/>
      <c r="H679" s="46"/>
    </row>
    <row r="680">
      <c r="A680" s="46"/>
      <c r="B680" s="51"/>
      <c r="C680" s="51"/>
      <c r="D680" s="51"/>
      <c r="E680" s="51"/>
      <c r="F680" s="46"/>
      <c r="G680" s="46"/>
      <c r="H680" s="46"/>
    </row>
    <row r="681">
      <c r="A681" s="46"/>
      <c r="B681" s="51"/>
      <c r="C681" s="51"/>
      <c r="D681" s="51"/>
      <c r="E681" s="51"/>
      <c r="F681" s="46"/>
      <c r="G681" s="46"/>
      <c r="H681" s="46"/>
    </row>
    <row r="682">
      <c r="A682" s="46"/>
      <c r="B682" s="51"/>
      <c r="C682" s="51"/>
      <c r="D682" s="51"/>
      <c r="E682" s="51"/>
      <c r="F682" s="46"/>
      <c r="G682" s="46"/>
      <c r="H682" s="46"/>
    </row>
    <row r="683">
      <c r="A683" s="46"/>
      <c r="B683" s="51"/>
      <c r="C683" s="51"/>
      <c r="D683" s="51"/>
      <c r="E683" s="51"/>
      <c r="F683" s="46"/>
      <c r="G683" s="46"/>
      <c r="H683" s="46"/>
    </row>
    <row r="684">
      <c r="A684" s="46"/>
      <c r="B684" s="51"/>
      <c r="C684" s="51"/>
      <c r="D684" s="51"/>
      <c r="E684" s="51"/>
      <c r="F684" s="46"/>
      <c r="G684" s="46"/>
      <c r="H684" s="46"/>
    </row>
    <row r="685">
      <c r="A685" s="46"/>
      <c r="B685" s="51"/>
      <c r="C685" s="51"/>
      <c r="D685" s="51"/>
      <c r="E685" s="51"/>
      <c r="F685" s="46"/>
      <c r="G685" s="46"/>
      <c r="H685" s="46"/>
    </row>
    <row r="686">
      <c r="A686" s="46"/>
      <c r="B686" s="51"/>
      <c r="C686" s="51"/>
      <c r="D686" s="51"/>
      <c r="E686" s="51"/>
      <c r="F686" s="46"/>
      <c r="G686" s="46"/>
      <c r="H686" s="46"/>
    </row>
    <row r="687">
      <c r="A687" s="46"/>
      <c r="B687" s="51"/>
      <c r="C687" s="51"/>
      <c r="D687" s="51"/>
      <c r="E687" s="51"/>
      <c r="F687" s="46"/>
      <c r="G687" s="46"/>
      <c r="H687" s="46"/>
    </row>
    <row r="688">
      <c r="A688" s="46"/>
      <c r="B688" s="51"/>
      <c r="C688" s="51"/>
      <c r="D688" s="51"/>
      <c r="E688" s="51"/>
      <c r="F688" s="46"/>
      <c r="G688" s="46"/>
      <c r="H688" s="46"/>
    </row>
    <row r="689">
      <c r="A689" s="46"/>
      <c r="B689" s="51"/>
      <c r="C689" s="51"/>
      <c r="D689" s="51"/>
      <c r="E689" s="51"/>
      <c r="F689" s="46"/>
      <c r="G689" s="46"/>
      <c r="H689" s="46"/>
    </row>
    <row r="690">
      <c r="A690" s="46"/>
      <c r="B690" s="51"/>
      <c r="C690" s="51"/>
      <c r="D690" s="51"/>
      <c r="E690" s="51"/>
      <c r="F690" s="46"/>
      <c r="G690" s="46"/>
      <c r="H690" s="46"/>
    </row>
    <row r="691">
      <c r="A691" s="46"/>
      <c r="B691" s="51"/>
      <c r="C691" s="51"/>
      <c r="D691" s="51"/>
      <c r="E691" s="51"/>
      <c r="F691" s="46"/>
      <c r="G691" s="46"/>
      <c r="H691" s="46"/>
    </row>
    <row r="692">
      <c r="A692" s="46"/>
      <c r="B692" s="51"/>
      <c r="C692" s="51"/>
      <c r="D692" s="51"/>
      <c r="E692" s="51"/>
      <c r="F692" s="46"/>
      <c r="G692" s="46"/>
      <c r="H692" s="46"/>
    </row>
    <row r="693">
      <c r="A693" s="46"/>
      <c r="B693" s="51"/>
      <c r="C693" s="51"/>
      <c r="D693" s="51"/>
      <c r="E693" s="51"/>
      <c r="F693" s="46"/>
      <c r="G693" s="46"/>
      <c r="H693" s="46"/>
    </row>
    <row r="694">
      <c r="A694" s="46"/>
      <c r="B694" s="51"/>
      <c r="C694" s="51"/>
      <c r="D694" s="51"/>
      <c r="E694" s="51"/>
      <c r="F694" s="46"/>
      <c r="G694" s="46"/>
      <c r="H694" s="46"/>
    </row>
    <row r="695">
      <c r="A695" s="46"/>
      <c r="B695" s="51"/>
      <c r="C695" s="51"/>
      <c r="D695" s="51"/>
      <c r="E695" s="51"/>
      <c r="F695" s="46"/>
      <c r="G695" s="46"/>
      <c r="H695" s="46"/>
    </row>
    <row r="696">
      <c r="A696" s="46"/>
      <c r="B696" s="51"/>
      <c r="C696" s="51"/>
      <c r="D696" s="51"/>
      <c r="E696" s="51"/>
      <c r="F696" s="46"/>
      <c r="G696" s="46"/>
      <c r="H696" s="46"/>
    </row>
    <row r="697">
      <c r="A697" s="46"/>
      <c r="B697" s="51"/>
      <c r="C697" s="51"/>
      <c r="D697" s="51"/>
      <c r="E697" s="51"/>
      <c r="F697" s="46"/>
      <c r="G697" s="46"/>
      <c r="H697" s="46"/>
    </row>
    <row r="698">
      <c r="A698" s="46"/>
      <c r="B698" s="51"/>
      <c r="C698" s="51"/>
      <c r="D698" s="51"/>
      <c r="E698" s="51"/>
      <c r="F698" s="46"/>
      <c r="G698" s="46"/>
      <c r="H698" s="46"/>
    </row>
    <row r="699">
      <c r="A699" s="46"/>
      <c r="B699" s="51"/>
      <c r="C699" s="51"/>
      <c r="D699" s="51"/>
      <c r="E699" s="51"/>
      <c r="F699" s="46"/>
      <c r="G699" s="46"/>
      <c r="H699" s="46"/>
    </row>
    <row r="700">
      <c r="A700" s="46"/>
      <c r="B700" s="51"/>
      <c r="C700" s="51"/>
      <c r="D700" s="51"/>
      <c r="E700" s="51"/>
      <c r="F700" s="46"/>
      <c r="G700" s="46"/>
      <c r="H700" s="46"/>
    </row>
    <row r="701">
      <c r="A701" s="46"/>
      <c r="B701" s="51"/>
      <c r="C701" s="51"/>
      <c r="D701" s="51"/>
      <c r="E701" s="51"/>
      <c r="F701" s="46"/>
      <c r="G701" s="46"/>
      <c r="H701" s="46"/>
    </row>
    <row r="702">
      <c r="A702" s="46"/>
      <c r="B702" s="51"/>
      <c r="C702" s="51"/>
      <c r="D702" s="51"/>
      <c r="E702" s="51"/>
      <c r="F702" s="46"/>
      <c r="G702" s="46"/>
      <c r="H702" s="46"/>
    </row>
    <row r="703">
      <c r="A703" s="46"/>
      <c r="B703" s="51"/>
      <c r="C703" s="51"/>
      <c r="D703" s="51"/>
      <c r="E703" s="51"/>
      <c r="F703" s="46"/>
      <c r="G703" s="46"/>
      <c r="H703" s="46"/>
    </row>
    <row r="704">
      <c r="A704" s="46"/>
      <c r="B704" s="51"/>
      <c r="C704" s="51"/>
      <c r="D704" s="51"/>
      <c r="E704" s="51"/>
      <c r="F704" s="46"/>
      <c r="G704" s="46"/>
      <c r="H704" s="46"/>
    </row>
    <row r="705">
      <c r="A705" s="46"/>
      <c r="B705" s="51"/>
      <c r="C705" s="51"/>
      <c r="D705" s="51"/>
      <c r="E705" s="51"/>
      <c r="F705" s="46"/>
      <c r="G705" s="46"/>
      <c r="H705" s="46"/>
    </row>
    <row r="706">
      <c r="A706" s="46"/>
      <c r="B706" s="51"/>
      <c r="C706" s="51"/>
      <c r="D706" s="51"/>
      <c r="E706" s="51"/>
      <c r="F706" s="46"/>
      <c r="G706" s="46"/>
      <c r="H706" s="46"/>
    </row>
    <row r="707">
      <c r="A707" s="46"/>
      <c r="B707" s="51"/>
      <c r="C707" s="51"/>
      <c r="D707" s="51"/>
      <c r="E707" s="51"/>
      <c r="F707" s="46"/>
      <c r="G707" s="46"/>
      <c r="H707" s="46"/>
    </row>
    <row r="708">
      <c r="A708" s="46"/>
      <c r="B708" s="51"/>
      <c r="C708" s="51"/>
      <c r="D708" s="51"/>
      <c r="E708" s="51"/>
      <c r="F708" s="46"/>
      <c r="G708" s="46"/>
      <c r="H708" s="46"/>
    </row>
    <row r="709">
      <c r="A709" s="46"/>
      <c r="B709" s="51"/>
      <c r="C709" s="51"/>
      <c r="D709" s="51"/>
      <c r="E709" s="51"/>
      <c r="F709" s="46"/>
      <c r="G709" s="46"/>
      <c r="H709" s="46"/>
    </row>
    <row r="710">
      <c r="A710" s="46"/>
      <c r="B710" s="51"/>
      <c r="C710" s="51"/>
      <c r="D710" s="51"/>
      <c r="E710" s="51"/>
      <c r="F710" s="46"/>
      <c r="G710" s="46"/>
      <c r="H710" s="46"/>
    </row>
    <row r="711">
      <c r="A711" s="46"/>
      <c r="B711" s="51"/>
      <c r="C711" s="51"/>
      <c r="D711" s="51"/>
      <c r="E711" s="51"/>
      <c r="F711" s="46"/>
      <c r="G711" s="46"/>
      <c r="H711" s="46"/>
    </row>
    <row r="712">
      <c r="A712" s="46"/>
      <c r="B712" s="51"/>
      <c r="C712" s="51"/>
      <c r="D712" s="51"/>
      <c r="E712" s="51"/>
      <c r="F712" s="46"/>
      <c r="G712" s="46"/>
      <c r="H712" s="46"/>
    </row>
    <row r="713">
      <c r="A713" s="46"/>
      <c r="B713" s="51"/>
      <c r="C713" s="51"/>
      <c r="D713" s="51"/>
      <c r="E713" s="51"/>
      <c r="F713" s="46"/>
      <c r="G713" s="46"/>
      <c r="H713" s="46"/>
    </row>
    <row r="714">
      <c r="A714" s="46"/>
      <c r="B714" s="51"/>
      <c r="C714" s="51"/>
      <c r="D714" s="51"/>
      <c r="E714" s="51"/>
      <c r="F714" s="46"/>
      <c r="G714" s="46"/>
      <c r="H714" s="46"/>
    </row>
    <row r="715">
      <c r="A715" s="46"/>
      <c r="B715" s="51"/>
      <c r="C715" s="51"/>
      <c r="D715" s="51"/>
      <c r="E715" s="51"/>
      <c r="F715" s="46"/>
      <c r="G715" s="46"/>
      <c r="H715" s="46"/>
    </row>
    <row r="716">
      <c r="A716" s="46"/>
      <c r="B716" s="51"/>
      <c r="C716" s="51"/>
      <c r="D716" s="51"/>
      <c r="E716" s="51"/>
      <c r="F716" s="46"/>
      <c r="G716" s="46"/>
      <c r="H716" s="46"/>
    </row>
    <row r="717">
      <c r="A717" s="46"/>
      <c r="B717" s="51"/>
      <c r="C717" s="51"/>
      <c r="D717" s="51"/>
      <c r="E717" s="51"/>
      <c r="F717" s="46"/>
      <c r="G717" s="46"/>
      <c r="H717" s="46"/>
    </row>
    <row r="718">
      <c r="A718" s="46"/>
      <c r="B718" s="51"/>
      <c r="C718" s="51"/>
      <c r="D718" s="51"/>
      <c r="E718" s="51"/>
      <c r="F718" s="46"/>
      <c r="G718" s="46"/>
      <c r="H718" s="46"/>
    </row>
    <row r="719">
      <c r="A719" s="46"/>
      <c r="B719" s="51"/>
      <c r="C719" s="51"/>
      <c r="D719" s="51"/>
      <c r="E719" s="51"/>
      <c r="F719" s="46"/>
      <c r="G719" s="46"/>
      <c r="H719" s="46"/>
    </row>
    <row r="720">
      <c r="A720" s="46"/>
      <c r="B720" s="51"/>
      <c r="C720" s="51"/>
      <c r="D720" s="51"/>
      <c r="E720" s="51"/>
      <c r="F720" s="46"/>
      <c r="G720" s="46"/>
      <c r="H720" s="46"/>
    </row>
    <row r="721">
      <c r="A721" s="46"/>
      <c r="B721" s="51"/>
      <c r="C721" s="51"/>
      <c r="D721" s="51"/>
      <c r="E721" s="51"/>
      <c r="F721" s="46"/>
      <c r="G721" s="46"/>
      <c r="H721" s="46"/>
    </row>
    <row r="722">
      <c r="A722" s="46"/>
      <c r="B722" s="51"/>
      <c r="C722" s="51"/>
      <c r="D722" s="51"/>
      <c r="E722" s="51"/>
      <c r="F722" s="46"/>
      <c r="G722" s="46"/>
      <c r="H722" s="46"/>
    </row>
    <row r="723">
      <c r="A723" s="46"/>
      <c r="B723" s="51"/>
      <c r="C723" s="51"/>
      <c r="D723" s="51"/>
      <c r="E723" s="51"/>
      <c r="F723" s="46"/>
      <c r="G723" s="46"/>
      <c r="H723" s="46"/>
    </row>
    <row r="724">
      <c r="A724" s="46"/>
      <c r="B724" s="51"/>
      <c r="C724" s="51"/>
      <c r="D724" s="51"/>
      <c r="E724" s="51"/>
      <c r="F724" s="46"/>
      <c r="G724" s="46"/>
      <c r="H724" s="46"/>
    </row>
    <row r="725">
      <c r="A725" s="46"/>
      <c r="B725" s="51"/>
      <c r="C725" s="51"/>
      <c r="D725" s="51"/>
      <c r="E725" s="51"/>
      <c r="F725" s="46"/>
      <c r="G725" s="46"/>
      <c r="H725" s="46"/>
    </row>
    <row r="726">
      <c r="A726" s="46"/>
      <c r="B726" s="51"/>
      <c r="C726" s="51"/>
      <c r="D726" s="51"/>
      <c r="E726" s="51"/>
      <c r="F726" s="46"/>
      <c r="G726" s="46"/>
      <c r="H726" s="46"/>
    </row>
    <row r="727">
      <c r="A727" s="46"/>
      <c r="B727" s="51"/>
      <c r="C727" s="51"/>
      <c r="D727" s="51"/>
      <c r="E727" s="51"/>
      <c r="F727" s="46"/>
      <c r="G727" s="46"/>
      <c r="H727" s="46"/>
    </row>
    <row r="728">
      <c r="A728" s="46"/>
      <c r="B728" s="51"/>
      <c r="C728" s="51"/>
      <c r="D728" s="51"/>
      <c r="E728" s="51"/>
      <c r="F728" s="46"/>
      <c r="G728" s="46"/>
      <c r="H728" s="46"/>
    </row>
    <row r="729">
      <c r="A729" s="46"/>
      <c r="B729" s="51"/>
      <c r="C729" s="51"/>
      <c r="D729" s="51"/>
      <c r="E729" s="51"/>
      <c r="F729" s="46"/>
      <c r="G729" s="46"/>
      <c r="H729" s="46"/>
    </row>
    <row r="730">
      <c r="A730" s="46"/>
      <c r="B730" s="51"/>
      <c r="C730" s="51"/>
      <c r="D730" s="51"/>
      <c r="E730" s="51"/>
      <c r="F730" s="46"/>
      <c r="G730" s="46"/>
      <c r="H730" s="46"/>
    </row>
    <row r="731">
      <c r="A731" s="46"/>
      <c r="B731" s="51"/>
      <c r="C731" s="51"/>
      <c r="D731" s="51"/>
      <c r="E731" s="51"/>
      <c r="F731" s="46"/>
      <c r="G731" s="46"/>
      <c r="H731" s="46"/>
    </row>
    <row r="732">
      <c r="A732" s="46"/>
      <c r="B732" s="51"/>
      <c r="C732" s="51"/>
      <c r="D732" s="51"/>
      <c r="E732" s="51"/>
      <c r="F732" s="46"/>
      <c r="G732" s="46"/>
      <c r="H732" s="46"/>
    </row>
    <row r="733">
      <c r="A733" s="46"/>
      <c r="B733" s="51"/>
      <c r="C733" s="51"/>
      <c r="D733" s="51"/>
      <c r="E733" s="51"/>
      <c r="F733" s="46"/>
      <c r="G733" s="46"/>
      <c r="H733" s="46"/>
    </row>
    <row r="734">
      <c r="A734" s="46"/>
      <c r="B734" s="51"/>
      <c r="C734" s="51"/>
      <c r="D734" s="51"/>
      <c r="E734" s="51"/>
      <c r="F734" s="46"/>
      <c r="G734" s="46"/>
      <c r="H734" s="46"/>
    </row>
    <row r="735">
      <c r="A735" s="46"/>
      <c r="B735" s="51"/>
      <c r="C735" s="51"/>
      <c r="D735" s="51"/>
      <c r="E735" s="51"/>
      <c r="F735" s="46"/>
      <c r="G735" s="46"/>
      <c r="H735" s="46"/>
    </row>
    <row r="736">
      <c r="A736" s="46"/>
      <c r="B736" s="51"/>
      <c r="C736" s="51"/>
      <c r="D736" s="51"/>
      <c r="E736" s="51"/>
      <c r="F736" s="46"/>
      <c r="G736" s="46"/>
      <c r="H736" s="46"/>
    </row>
    <row r="737">
      <c r="A737" s="46"/>
      <c r="B737" s="51"/>
      <c r="C737" s="51"/>
      <c r="D737" s="51"/>
      <c r="E737" s="51"/>
      <c r="F737" s="46"/>
      <c r="G737" s="46"/>
      <c r="H737" s="46"/>
    </row>
    <row r="738">
      <c r="A738" s="46"/>
      <c r="B738" s="51"/>
      <c r="C738" s="51"/>
      <c r="D738" s="51"/>
      <c r="E738" s="51"/>
      <c r="F738" s="46"/>
      <c r="G738" s="46"/>
      <c r="H738" s="46"/>
    </row>
    <row r="739">
      <c r="A739" s="46"/>
      <c r="B739" s="51"/>
      <c r="C739" s="51"/>
      <c r="D739" s="51"/>
      <c r="E739" s="51"/>
      <c r="F739" s="46"/>
      <c r="G739" s="46"/>
      <c r="H739" s="46"/>
    </row>
    <row r="740">
      <c r="A740" s="46"/>
      <c r="B740" s="51"/>
      <c r="C740" s="51"/>
      <c r="D740" s="51"/>
      <c r="E740" s="51"/>
      <c r="F740" s="46"/>
      <c r="G740" s="46"/>
      <c r="H740" s="46"/>
    </row>
    <row r="741">
      <c r="A741" s="46"/>
      <c r="B741" s="51"/>
      <c r="C741" s="51"/>
      <c r="D741" s="51"/>
      <c r="E741" s="51"/>
      <c r="F741" s="46"/>
      <c r="G741" s="46"/>
      <c r="H741" s="46"/>
    </row>
    <row r="742">
      <c r="A742" s="46"/>
      <c r="B742" s="51"/>
      <c r="C742" s="51"/>
      <c r="D742" s="51"/>
      <c r="E742" s="51"/>
      <c r="F742" s="46"/>
      <c r="G742" s="46"/>
      <c r="H742" s="46"/>
    </row>
    <row r="743">
      <c r="A743" s="46"/>
      <c r="B743" s="51"/>
      <c r="C743" s="51"/>
      <c r="D743" s="51"/>
      <c r="E743" s="51"/>
      <c r="F743" s="46"/>
      <c r="G743" s="46"/>
      <c r="H743" s="46"/>
    </row>
    <row r="744">
      <c r="A744" s="46"/>
      <c r="B744" s="51"/>
      <c r="C744" s="51"/>
      <c r="D744" s="51"/>
      <c r="E744" s="51"/>
      <c r="F744" s="46"/>
      <c r="G744" s="46"/>
      <c r="H744" s="46"/>
    </row>
    <row r="745">
      <c r="A745" s="46"/>
      <c r="B745" s="51"/>
      <c r="C745" s="51"/>
      <c r="D745" s="51"/>
      <c r="E745" s="51"/>
      <c r="F745" s="46"/>
      <c r="G745" s="46"/>
      <c r="H745" s="46"/>
    </row>
    <row r="746">
      <c r="A746" s="46"/>
      <c r="B746" s="51"/>
      <c r="C746" s="51"/>
      <c r="D746" s="51"/>
      <c r="E746" s="51"/>
      <c r="F746" s="46"/>
      <c r="G746" s="46"/>
      <c r="H746" s="46"/>
    </row>
    <row r="747">
      <c r="A747" s="46"/>
      <c r="B747" s="51"/>
      <c r="C747" s="51"/>
      <c r="D747" s="51"/>
      <c r="E747" s="51"/>
      <c r="F747" s="46"/>
      <c r="G747" s="46"/>
      <c r="H747" s="46"/>
    </row>
    <row r="748">
      <c r="A748" s="46"/>
      <c r="B748" s="51"/>
      <c r="C748" s="51"/>
      <c r="D748" s="51"/>
      <c r="E748" s="51"/>
      <c r="F748" s="46"/>
      <c r="G748" s="46"/>
      <c r="H748" s="46"/>
    </row>
    <row r="749">
      <c r="A749" s="46"/>
      <c r="B749" s="51"/>
      <c r="C749" s="51"/>
      <c r="D749" s="51"/>
      <c r="E749" s="51"/>
      <c r="F749" s="46"/>
      <c r="G749" s="46"/>
      <c r="H749" s="46"/>
    </row>
    <row r="750">
      <c r="A750" s="46"/>
      <c r="B750" s="51"/>
      <c r="C750" s="51"/>
      <c r="D750" s="51"/>
      <c r="E750" s="51"/>
      <c r="F750" s="46"/>
      <c r="G750" s="46"/>
      <c r="H750" s="46"/>
    </row>
    <row r="751">
      <c r="A751" s="46"/>
      <c r="B751" s="51"/>
      <c r="C751" s="51"/>
      <c r="D751" s="51"/>
      <c r="E751" s="51"/>
      <c r="F751" s="46"/>
      <c r="G751" s="46"/>
      <c r="H751" s="46"/>
    </row>
    <row r="752">
      <c r="A752" s="46"/>
      <c r="B752" s="51"/>
      <c r="C752" s="51"/>
      <c r="D752" s="51"/>
      <c r="E752" s="51"/>
      <c r="F752" s="46"/>
      <c r="G752" s="46"/>
      <c r="H752" s="46"/>
    </row>
    <row r="753">
      <c r="A753" s="46"/>
      <c r="B753" s="51"/>
      <c r="C753" s="51"/>
      <c r="D753" s="51"/>
      <c r="E753" s="51"/>
      <c r="F753" s="46"/>
      <c r="G753" s="46"/>
      <c r="H753" s="46"/>
    </row>
    <row r="754">
      <c r="A754" s="46"/>
      <c r="B754" s="51"/>
      <c r="C754" s="51"/>
      <c r="D754" s="51"/>
      <c r="E754" s="51"/>
      <c r="F754" s="46"/>
      <c r="G754" s="46"/>
      <c r="H754" s="46"/>
    </row>
    <row r="755">
      <c r="A755" s="46"/>
      <c r="B755" s="51"/>
      <c r="C755" s="51"/>
      <c r="D755" s="51"/>
      <c r="E755" s="51"/>
      <c r="F755" s="46"/>
      <c r="G755" s="46"/>
      <c r="H755" s="46"/>
    </row>
    <row r="756">
      <c r="A756" s="46"/>
      <c r="B756" s="51"/>
      <c r="C756" s="51"/>
      <c r="D756" s="51"/>
      <c r="E756" s="51"/>
      <c r="F756" s="46"/>
      <c r="G756" s="46"/>
      <c r="H756" s="46"/>
    </row>
    <row r="757">
      <c r="A757" s="46"/>
      <c r="B757" s="51"/>
      <c r="C757" s="51"/>
      <c r="D757" s="51"/>
      <c r="E757" s="51"/>
      <c r="F757" s="46"/>
      <c r="G757" s="46"/>
      <c r="H757" s="46"/>
    </row>
    <row r="758">
      <c r="A758" s="46"/>
      <c r="B758" s="51"/>
      <c r="C758" s="51"/>
      <c r="D758" s="51"/>
      <c r="E758" s="51"/>
      <c r="F758" s="46"/>
      <c r="G758" s="46"/>
      <c r="H758" s="46"/>
    </row>
    <row r="759">
      <c r="A759" s="46"/>
      <c r="B759" s="51"/>
      <c r="C759" s="51"/>
      <c r="D759" s="51"/>
      <c r="E759" s="51"/>
      <c r="F759" s="46"/>
      <c r="G759" s="46"/>
      <c r="H759" s="46"/>
    </row>
    <row r="760">
      <c r="A760" s="46"/>
      <c r="B760" s="51"/>
      <c r="C760" s="51"/>
      <c r="D760" s="51"/>
      <c r="E760" s="51"/>
      <c r="F760" s="46"/>
      <c r="G760" s="46"/>
      <c r="H760" s="46"/>
    </row>
    <row r="761">
      <c r="A761" s="46"/>
      <c r="B761" s="51"/>
      <c r="C761" s="51"/>
      <c r="D761" s="51"/>
      <c r="E761" s="51"/>
      <c r="F761" s="46"/>
      <c r="G761" s="46"/>
      <c r="H761" s="46"/>
    </row>
    <row r="762">
      <c r="A762" s="46"/>
      <c r="B762" s="51"/>
      <c r="C762" s="51"/>
      <c r="D762" s="51"/>
      <c r="E762" s="51"/>
      <c r="F762" s="46"/>
      <c r="G762" s="46"/>
      <c r="H762" s="46"/>
    </row>
    <row r="763">
      <c r="A763" s="46"/>
      <c r="B763" s="51"/>
      <c r="C763" s="51"/>
      <c r="D763" s="51"/>
      <c r="E763" s="51"/>
      <c r="F763" s="46"/>
      <c r="G763" s="46"/>
      <c r="H763" s="46"/>
    </row>
    <row r="764">
      <c r="A764" s="46"/>
      <c r="B764" s="51"/>
      <c r="C764" s="51"/>
      <c r="D764" s="51"/>
      <c r="E764" s="51"/>
      <c r="F764" s="46"/>
      <c r="G764" s="46"/>
      <c r="H764" s="46"/>
    </row>
    <row r="765">
      <c r="A765" s="46"/>
      <c r="B765" s="51"/>
      <c r="C765" s="51"/>
      <c r="D765" s="51"/>
      <c r="E765" s="51"/>
      <c r="F765" s="46"/>
      <c r="G765" s="46"/>
      <c r="H765" s="46"/>
    </row>
    <row r="766">
      <c r="A766" s="46"/>
      <c r="B766" s="51"/>
      <c r="C766" s="51"/>
      <c r="D766" s="51"/>
      <c r="E766" s="51"/>
      <c r="F766" s="46"/>
      <c r="G766" s="46"/>
      <c r="H766" s="46"/>
    </row>
    <row r="767">
      <c r="A767" s="46"/>
      <c r="B767" s="51"/>
      <c r="C767" s="51"/>
      <c r="D767" s="51"/>
      <c r="E767" s="51"/>
      <c r="F767" s="46"/>
      <c r="G767" s="46"/>
      <c r="H767" s="46"/>
    </row>
    <row r="768">
      <c r="A768" s="46"/>
      <c r="B768" s="51"/>
      <c r="C768" s="51"/>
      <c r="D768" s="51"/>
      <c r="E768" s="51"/>
      <c r="F768" s="46"/>
      <c r="G768" s="46"/>
      <c r="H768" s="46"/>
    </row>
    <row r="769">
      <c r="A769" s="46"/>
      <c r="B769" s="51"/>
      <c r="C769" s="51"/>
      <c r="D769" s="51"/>
      <c r="E769" s="51"/>
      <c r="F769" s="46"/>
      <c r="G769" s="46"/>
      <c r="H769" s="46"/>
    </row>
    <row r="770">
      <c r="A770" s="46"/>
      <c r="B770" s="51"/>
      <c r="C770" s="51"/>
      <c r="D770" s="51"/>
      <c r="E770" s="51"/>
      <c r="F770" s="46"/>
      <c r="G770" s="46"/>
      <c r="H770" s="46"/>
    </row>
    <row r="771">
      <c r="A771" s="46"/>
      <c r="B771" s="51"/>
      <c r="C771" s="51"/>
      <c r="D771" s="51"/>
      <c r="E771" s="51"/>
      <c r="F771" s="46"/>
      <c r="G771" s="46"/>
      <c r="H771" s="46"/>
    </row>
    <row r="772">
      <c r="A772" s="46"/>
      <c r="B772" s="51"/>
      <c r="C772" s="51"/>
      <c r="D772" s="51"/>
      <c r="E772" s="51"/>
      <c r="F772" s="46"/>
      <c r="G772" s="46"/>
      <c r="H772" s="46"/>
    </row>
    <row r="773">
      <c r="A773" s="46"/>
      <c r="B773" s="51"/>
      <c r="C773" s="51"/>
      <c r="D773" s="51"/>
      <c r="E773" s="51"/>
      <c r="F773" s="46"/>
      <c r="G773" s="46"/>
      <c r="H773" s="46"/>
    </row>
    <row r="774">
      <c r="A774" s="46"/>
      <c r="B774" s="51"/>
      <c r="C774" s="51"/>
      <c r="D774" s="51"/>
      <c r="E774" s="51"/>
      <c r="F774" s="46"/>
      <c r="G774" s="46"/>
      <c r="H774" s="46"/>
    </row>
    <row r="775">
      <c r="A775" s="46"/>
      <c r="B775" s="51"/>
      <c r="C775" s="51"/>
      <c r="D775" s="51"/>
      <c r="E775" s="51"/>
      <c r="F775" s="46"/>
      <c r="G775" s="46"/>
      <c r="H775" s="46"/>
    </row>
    <row r="776">
      <c r="A776" s="46"/>
      <c r="B776" s="51"/>
      <c r="C776" s="51"/>
      <c r="D776" s="51"/>
      <c r="E776" s="51"/>
      <c r="F776" s="46"/>
      <c r="G776" s="46"/>
      <c r="H776" s="46"/>
    </row>
    <row r="777">
      <c r="A777" s="46"/>
      <c r="B777" s="51"/>
      <c r="C777" s="51"/>
      <c r="D777" s="51"/>
      <c r="E777" s="51"/>
      <c r="F777" s="46"/>
      <c r="G777" s="46"/>
      <c r="H777" s="46"/>
    </row>
    <row r="778">
      <c r="A778" s="46"/>
      <c r="B778" s="51"/>
      <c r="C778" s="51"/>
      <c r="D778" s="51"/>
      <c r="E778" s="51"/>
      <c r="F778" s="46"/>
      <c r="G778" s="46"/>
      <c r="H778" s="46"/>
    </row>
    <row r="779">
      <c r="A779" s="46"/>
      <c r="B779" s="51"/>
      <c r="C779" s="51"/>
      <c r="D779" s="51"/>
      <c r="E779" s="51"/>
      <c r="F779" s="46"/>
      <c r="G779" s="46"/>
      <c r="H779" s="46"/>
    </row>
    <row r="780">
      <c r="A780" s="46"/>
      <c r="B780" s="51"/>
      <c r="C780" s="51"/>
      <c r="D780" s="51"/>
      <c r="E780" s="51"/>
      <c r="F780" s="46"/>
      <c r="G780" s="46"/>
      <c r="H780" s="46"/>
    </row>
    <row r="781">
      <c r="A781" s="46"/>
      <c r="B781" s="51"/>
      <c r="C781" s="51"/>
      <c r="D781" s="51"/>
      <c r="E781" s="51"/>
      <c r="F781" s="46"/>
      <c r="G781" s="46"/>
      <c r="H781" s="46"/>
    </row>
    <row r="782">
      <c r="A782" s="46"/>
      <c r="B782" s="51"/>
      <c r="C782" s="51"/>
      <c r="D782" s="51"/>
      <c r="E782" s="51"/>
      <c r="F782" s="46"/>
      <c r="G782" s="46"/>
      <c r="H782" s="46"/>
    </row>
    <row r="783">
      <c r="A783" s="46"/>
      <c r="B783" s="51"/>
      <c r="C783" s="51"/>
      <c r="D783" s="51"/>
      <c r="E783" s="51"/>
      <c r="F783" s="46"/>
      <c r="G783" s="46"/>
      <c r="H783" s="46"/>
    </row>
    <row r="784">
      <c r="A784" s="46"/>
      <c r="B784" s="51"/>
      <c r="C784" s="51"/>
      <c r="D784" s="51"/>
      <c r="E784" s="51"/>
      <c r="F784" s="46"/>
      <c r="G784" s="46"/>
      <c r="H784" s="46"/>
    </row>
    <row r="785">
      <c r="A785" s="46"/>
      <c r="B785" s="51"/>
      <c r="C785" s="51"/>
      <c r="D785" s="51"/>
      <c r="E785" s="51"/>
      <c r="F785" s="46"/>
      <c r="G785" s="46"/>
      <c r="H785" s="46"/>
    </row>
    <row r="786">
      <c r="A786" s="46"/>
      <c r="B786" s="51"/>
      <c r="C786" s="51"/>
      <c r="D786" s="51"/>
      <c r="E786" s="51"/>
      <c r="F786" s="46"/>
      <c r="G786" s="46"/>
      <c r="H786" s="46"/>
    </row>
    <row r="787">
      <c r="A787" s="46"/>
      <c r="B787" s="51"/>
      <c r="C787" s="51"/>
      <c r="D787" s="51"/>
      <c r="E787" s="51"/>
      <c r="F787" s="46"/>
      <c r="G787" s="46"/>
      <c r="H787" s="46"/>
    </row>
    <row r="788">
      <c r="A788" s="46"/>
      <c r="B788" s="51"/>
      <c r="C788" s="51"/>
      <c r="D788" s="51"/>
      <c r="E788" s="51"/>
      <c r="F788" s="46"/>
      <c r="G788" s="46"/>
      <c r="H788" s="46"/>
    </row>
    <row r="789">
      <c r="A789" s="46"/>
      <c r="B789" s="51"/>
      <c r="C789" s="51"/>
      <c r="D789" s="51"/>
      <c r="E789" s="51"/>
      <c r="F789" s="46"/>
      <c r="G789" s="46"/>
      <c r="H789" s="46"/>
    </row>
    <row r="790">
      <c r="A790" s="46"/>
      <c r="B790" s="51"/>
      <c r="C790" s="51"/>
      <c r="D790" s="51"/>
      <c r="E790" s="51"/>
      <c r="F790" s="46"/>
      <c r="G790" s="46"/>
      <c r="H790" s="46"/>
    </row>
    <row r="791">
      <c r="A791" s="46"/>
      <c r="B791" s="51"/>
      <c r="C791" s="51"/>
      <c r="D791" s="51"/>
      <c r="E791" s="51"/>
      <c r="F791" s="46"/>
      <c r="G791" s="46"/>
      <c r="H791" s="46"/>
    </row>
    <row r="792">
      <c r="A792" s="46"/>
      <c r="B792" s="51"/>
      <c r="C792" s="51"/>
      <c r="D792" s="51"/>
      <c r="E792" s="51"/>
      <c r="F792" s="46"/>
      <c r="G792" s="46"/>
      <c r="H792" s="46"/>
    </row>
    <row r="793">
      <c r="A793" s="46"/>
      <c r="B793" s="51"/>
      <c r="C793" s="51"/>
      <c r="D793" s="51"/>
      <c r="E793" s="51"/>
      <c r="F793" s="46"/>
      <c r="G793" s="46"/>
      <c r="H793" s="46"/>
    </row>
    <row r="794">
      <c r="A794" s="46"/>
      <c r="B794" s="51"/>
      <c r="C794" s="51"/>
      <c r="D794" s="51"/>
      <c r="E794" s="51"/>
      <c r="F794" s="46"/>
      <c r="G794" s="46"/>
      <c r="H794" s="46"/>
    </row>
    <row r="795">
      <c r="A795" s="46"/>
      <c r="B795" s="51"/>
      <c r="C795" s="51"/>
      <c r="D795" s="51"/>
      <c r="E795" s="51"/>
      <c r="F795" s="46"/>
      <c r="G795" s="46"/>
      <c r="H795" s="46"/>
    </row>
    <row r="796">
      <c r="A796" s="46"/>
      <c r="B796" s="51"/>
      <c r="C796" s="51"/>
      <c r="D796" s="51"/>
      <c r="E796" s="51"/>
      <c r="F796" s="46"/>
      <c r="G796" s="46"/>
      <c r="H796" s="46"/>
    </row>
    <row r="797">
      <c r="A797" s="46"/>
      <c r="B797" s="51"/>
      <c r="C797" s="51"/>
      <c r="D797" s="51"/>
      <c r="E797" s="51"/>
      <c r="F797" s="46"/>
      <c r="G797" s="46"/>
      <c r="H797" s="46"/>
    </row>
    <row r="798">
      <c r="A798" s="46"/>
      <c r="B798" s="51"/>
      <c r="C798" s="51"/>
      <c r="D798" s="51"/>
      <c r="E798" s="51"/>
      <c r="F798" s="46"/>
      <c r="G798" s="46"/>
      <c r="H798" s="46"/>
    </row>
    <row r="799">
      <c r="A799" s="46"/>
      <c r="B799" s="51"/>
      <c r="C799" s="51"/>
      <c r="D799" s="51"/>
      <c r="E799" s="51"/>
      <c r="F799" s="46"/>
      <c r="G799" s="46"/>
      <c r="H799" s="46"/>
    </row>
    <row r="800">
      <c r="A800" s="46"/>
      <c r="B800" s="51"/>
      <c r="C800" s="51"/>
      <c r="D800" s="51"/>
      <c r="E800" s="51"/>
      <c r="F800" s="46"/>
      <c r="G800" s="46"/>
      <c r="H800" s="46"/>
    </row>
    <row r="801">
      <c r="A801" s="46"/>
      <c r="B801" s="51"/>
      <c r="C801" s="51"/>
      <c r="D801" s="51"/>
      <c r="E801" s="51"/>
      <c r="F801" s="46"/>
      <c r="G801" s="46"/>
      <c r="H801" s="46"/>
    </row>
    <row r="802">
      <c r="A802" s="46"/>
      <c r="B802" s="51"/>
      <c r="C802" s="51"/>
      <c r="D802" s="51"/>
      <c r="E802" s="51"/>
      <c r="F802" s="46"/>
      <c r="G802" s="46"/>
      <c r="H802" s="46"/>
    </row>
    <row r="803">
      <c r="A803" s="46"/>
      <c r="B803" s="51"/>
      <c r="C803" s="51"/>
      <c r="D803" s="51"/>
      <c r="E803" s="51"/>
      <c r="F803" s="46"/>
      <c r="G803" s="46"/>
      <c r="H803" s="46"/>
    </row>
    <row r="804">
      <c r="A804" s="46"/>
      <c r="B804" s="51"/>
      <c r="C804" s="51"/>
      <c r="D804" s="51"/>
      <c r="E804" s="51"/>
      <c r="F804" s="46"/>
      <c r="G804" s="46"/>
      <c r="H804" s="46"/>
    </row>
    <row r="805">
      <c r="A805" s="46"/>
      <c r="B805" s="51"/>
      <c r="C805" s="51"/>
      <c r="D805" s="51"/>
      <c r="E805" s="51"/>
      <c r="F805" s="46"/>
      <c r="G805" s="46"/>
      <c r="H805" s="46"/>
    </row>
    <row r="806">
      <c r="A806" s="46"/>
      <c r="B806" s="51"/>
      <c r="C806" s="51"/>
      <c r="D806" s="51"/>
      <c r="E806" s="51"/>
      <c r="F806" s="46"/>
      <c r="G806" s="46"/>
      <c r="H806" s="46"/>
    </row>
    <row r="807">
      <c r="A807" s="46"/>
      <c r="B807" s="51"/>
      <c r="C807" s="51"/>
      <c r="D807" s="51"/>
      <c r="E807" s="51"/>
      <c r="F807" s="46"/>
      <c r="G807" s="46"/>
      <c r="H807" s="46"/>
    </row>
    <row r="808">
      <c r="A808" s="46"/>
      <c r="B808" s="51"/>
      <c r="C808" s="51"/>
      <c r="D808" s="51"/>
      <c r="E808" s="51"/>
      <c r="F808" s="46"/>
      <c r="G808" s="46"/>
      <c r="H808" s="46"/>
    </row>
    <row r="809">
      <c r="A809" s="46"/>
      <c r="B809" s="51"/>
      <c r="C809" s="51"/>
      <c r="D809" s="51"/>
      <c r="E809" s="51"/>
      <c r="F809" s="46"/>
      <c r="G809" s="46"/>
      <c r="H809" s="46"/>
    </row>
    <row r="810">
      <c r="A810" s="46"/>
      <c r="B810" s="51"/>
      <c r="C810" s="51"/>
      <c r="D810" s="51"/>
      <c r="E810" s="51"/>
      <c r="F810" s="46"/>
      <c r="G810" s="46"/>
      <c r="H810" s="46"/>
    </row>
    <row r="811">
      <c r="A811" s="46"/>
      <c r="B811" s="51"/>
      <c r="C811" s="51"/>
      <c r="D811" s="51"/>
      <c r="E811" s="51"/>
      <c r="F811" s="46"/>
      <c r="G811" s="46"/>
      <c r="H811" s="46"/>
    </row>
    <row r="812">
      <c r="A812" s="46"/>
      <c r="B812" s="51"/>
      <c r="C812" s="51"/>
      <c r="D812" s="51"/>
      <c r="E812" s="51"/>
      <c r="F812" s="46"/>
      <c r="G812" s="46"/>
      <c r="H812" s="46"/>
    </row>
    <row r="813">
      <c r="A813" s="46"/>
      <c r="B813" s="51"/>
      <c r="C813" s="51"/>
      <c r="D813" s="51"/>
      <c r="E813" s="51"/>
      <c r="F813" s="46"/>
      <c r="G813" s="46"/>
      <c r="H813" s="46"/>
    </row>
    <row r="814">
      <c r="A814" s="46"/>
      <c r="B814" s="51"/>
      <c r="C814" s="51"/>
      <c r="D814" s="51"/>
      <c r="E814" s="51"/>
      <c r="F814" s="46"/>
      <c r="G814" s="46"/>
      <c r="H814" s="46"/>
    </row>
    <row r="815">
      <c r="A815" s="46"/>
      <c r="B815" s="51"/>
      <c r="C815" s="51"/>
      <c r="D815" s="51"/>
      <c r="E815" s="51"/>
      <c r="F815" s="46"/>
      <c r="G815" s="46"/>
      <c r="H815" s="46"/>
    </row>
    <row r="816">
      <c r="A816" s="46"/>
      <c r="B816" s="51"/>
      <c r="C816" s="51"/>
      <c r="D816" s="51"/>
      <c r="E816" s="51"/>
      <c r="F816" s="46"/>
      <c r="G816" s="46"/>
      <c r="H816" s="46"/>
    </row>
    <row r="817">
      <c r="A817" s="46"/>
      <c r="B817" s="51"/>
      <c r="C817" s="51"/>
      <c r="D817" s="51"/>
      <c r="E817" s="51"/>
      <c r="F817" s="46"/>
      <c r="G817" s="46"/>
      <c r="H817" s="46"/>
    </row>
    <row r="818">
      <c r="A818" s="46"/>
      <c r="B818" s="51"/>
      <c r="C818" s="51"/>
      <c r="D818" s="51"/>
      <c r="E818" s="51"/>
      <c r="F818" s="46"/>
      <c r="G818" s="46"/>
      <c r="H818" s="46"/>
    </row>
    <row r="819">
      <c r="A819" s="46"/>
      <c r="B819" s="51"/>
      <c r="C819" s="51"/>
      <c r="D819" s="51"/>
      <c r="E819" s="51"/>
      <c r="F819" s="46"/>
      <c r="G819" s="46"/>
      <c r="H819" s="46"/>
    </row>
    <row r="820">
      <c r="A820" s="46"/>
      <c r="B820" s="51"/>
      <c r="C820" s="51"/>
      <c r="D820" s="51"/>
      <c r="E820" s="51"/>
      <c r="F820" s="46"/>
      <c r="G820" s="46"/>
      <c r="H820" s="46"/>
    </row>
    <row r="821">
      <c r="A821" s="46"/>
      <c r="B821" s="51"/>
      <c r="C821" s="51"/>
      <c r="D821" s="51"/>
      <c r="E821" s="51"/>
      <c r="F821" s="46"/>
      <c r="G821" s="46"/>
      <c r="H821" s="46"/>
    </row>
    <row r="822">
      <c r="A822" s="46"/>
      <c r="B822" s="51"/>
      <c r="C822" s="51"/>
      <c r="D822" s="51"/>
      <c r="E822" s="51"/>
      <c r="F822" s="46"/>
      <c r="G822" s="46"/>
      <c r="H822" s="46"/>
    </row>
    <row r="823">
      <c r="A823" s="46"/>
      <c r="B823" s="51"/>
      <c r="C823" s="51"/>
      <c r="D823" s="51"/>
      <c r="E823" s="51"/>
      <c r="F823" s="46"/>
      <c r="G823" s="46"/>
      <c r="H823" s="46"/>
    </row>
    <row r="824">
      <c r="A824" s="46"/>
      <c r="B824" s="51"/>
      <c r="C824" s="51"/>
      <c r="D824" s="51"/>
      <c r="E824" s="51"/>
      <c r="F824" s="46"/>
      <c r="G824" s="46"/>
      <c r="H824" s="46"/>
    </row>
    <row r="825">
      <c r="A825" s="46"/>
      <c r="B825" s="51"/>
      <c r="C825" s="51"/>
      <c r="D825" s="51"/>
      <c r="E825" s="51"/>
      <c r="F825" s="46"/>
      <c r="G825" s="46"/>
      <c r="H825" s="46"/>
    </row>
    <row r="826">
      <c r="A826" s="46"/>
      <c r="B826" s="51"/>
      <c r="C826" s="51"/>
      <c r="D826" s="51"/>
      <c r="E826" s="51"/>
      <c r="F826" s="46"/>
      <c r="G826" s="46"/>
      <c r="H826" s="46"/>
    </row>
    <row r="827">
      <c r="A827" s="46"/>
      <c r="B827" s="51"/>
      <c r="C827" s="51"/>
      <c r="D827" s="51"/>
      <c r="E827" s="51"/>
      <c r="F827" s="46"/>
      <c r="G827" s="46"/>
      <c r="H827" s="46"/>
    </row>
    <row r="828">
      <c r="A828" s="46"/>
      <c r="B828" s="51"/>
      <c r="C828" s="51"/>
      <c r="D828" s="51"/>
      <c r="E828" s="51"/>
      <c r="F828" s="46"/>
      <c r="G828" s="46"/>
      <c r="H828" s="46"/>
    </row>
    <row r="829">
      <c r="A829" s="46"/>
      <c r="B829" s="51"/>
      <c r="C829" s="51"/>
      <c r="D829" s="51"/>
      <c r="E829" s="51"/>
      <c r="F829" s="46"/>
      <c r="G829" s="46"/>
      <c r="H829" s="46"/>
    </row>
    <row r="830">
      <c r="A830" s="46"/>
      <c r="B830" s="51"/>
      <c r="C830" s="51"/>
      <c r="D830" s="51"/>
      <c r="E830" s="51"/>
      <c r="F830" s="46"/>
      <c r="G830" s="46"/>
      <c r="H830" s="46"/>
    </row>
    <row r="831">
      <c r="A831" s="46"/>
      <c r="B831" s="51"/>
      <c r="C831" s="51"/>
      <c r="D831" s="51"/>
      <c r="E831" s="51"/>
      <c r="F831" s="46"/>
      <c r="G831" s="46"/>
      <c r="H831" s="46"/>
    </row>
    <row r="832">
      <c r="A832" s="46"/>
      <c r="B832" s="51"/>
      <c r="C832" s="51"/>
      <c r="D832" s="51"/>
      <c r="E832" s="51"/>
      <c r="F832" s="46"/>
      <c r="G832" s="46"/>
      <c r="H832" s="46"/>
    </row>
    <row r="833">
      <c r="A833" s="46"/>
      <c r="B833" s="51"/>
      <c r="C833" s="51"/>
      <c r="D833" s="51"/>
      <c r="E833" s="51"/>
      <c r="F833" s="46"/>
      <c r="G833" s="46"/>
      <c r="H833" s="46"/>
    </row>
    <row r="834">
      <c r="A834" s="46"/>
      <c r="B834" s="51"/>
      <c r="C834" s="51"/>
      <c r="D834" s="51"/>
      <c r="E834" s="51"/>
      <c r="F834" s="46"/>
      <c r="G834" s="46"/>
      <c r="H834" s="46"/>
    </row>
    <row r="835">
      <c r="A835" s="46"/>
      <c r="B835" s="51"/>
      <c r="C835" s="51"/>
      <c r="D835" s="51"/>
      <c r="E835" s="51"/>
      <c r="F835" s="46"/>
      <c r="G835" s="46"/>
      <c r="H835" s="46"/>
    </row>
    <row r="836">
      <c r="A836" s="46"/>
      <c r="B836" s="51"/>
      <c r="C836" s="51"/>
      <c r="D836" s="51"/>
      <c r="E836" s="51"/>
      <c r="F836" s="46"/>
      <c r="G836" s="46"/>
      <c r="H836" s="46"/>
    </row>
    <row r="837">
      <c r="A837" s="46"/>
      <c r="B837" s="51"/>
      <c r="C837" s="51"/>
      <c r="D837" s="51"/>
      <c r="E837" s="51"/>
      <c r="F837" s="46"/>
      <c r="G837" s="46"/>
      <c r="H837" s="46"/>
    </row>
    <row r="838">
      <c r="A838" s="46"/>
      <c r="B838" s="51"/>
      <c r="C838" s="51"/>
      <c r="D838" s="51"/>
      <c r="E838" s="51"/>
      <c r="F838" s="46"/>
      <c r="G838" s="46"/>
      <c r="H838" s="46"/>
    </row>
    <row r="839">
      <c r="A839" s="46"/>
      <c r="B839" s="51"/>
      <c r="C839" s="51"/>
      <c r="D839" s="51"/>
      <c r="E839" s="51"/>
      <c r="F839" s="46"/>
      <c r="G839" s="46"/>
      <c r="H839" s="46"/>
    </row>
    <row r="840">
      <c r="A840" s="46"/>
      <c r="B840" s="51"/>
      <c r="C840" s="51"/>
      <c r="D840" s="51"/>
      <c r="E840" s="51"/>
      <c r="F840" s="46"/>
      <c r="G840" s="46"/>
      <c r="H840" s="46"/>
    </row>
    <row r="841">
      <c r="A841" s="46"/>
      <c r="B841" s="51"/>
      <c r="C841" s="51"/>
      <c r="D841" s="51"/>
      <c r="E841" s="51"/>
      <c r="F841" s="46"/>
      <c r="G841" s="46"/>
      <c r="H841" s="46"/>
    </row>
    <row r="842">
      <c r="A842" s="46"/>
      <c r="B842" s="51"/>
      <c r="C842" s="51"/>
      <c r="D842" s="51"/>
      <c r="E842" s="51"/>
      <c r="F842" s="46"/>
      <c r="G842" s="46"/>
      <c r="H842" s="46"/>
    </row>
    <row r="843">
      <c r="A843" s="46"/>
      <c r="B843" s="51"/>
      <c r="C843" s="51"/>
      <c r="D843" s="51"/>
      <c r="E843" s="51"/>
      <c r="F843" s="46"/>
      <c r="G843" s="46"/>
      <c r="H843" s="46"/>
    </row>
    <row r="844">
      <c r="A844" s="46"/>
      <c r="B844" s="51"/>
      <c r="C844" s="51"/>
      <c r="D844" s="51"/>
      <c r="E844" s="51"/>
      <c r="F844" s="46"/>
      <c r="G844" s="46"/>
      <c r="H844" s="46"/>
    </row>
    <row r="845">
      <c r="A845" s="46"/>
      <c r="B845" s="51"/>
      <c r="C845" s="51"/>
      <c r="D845" s="51"/>
      <c r="E845" s="51"/>
      <c r="F845" s="46"/>
      <c r="G845" s="46"/>
      <c r="H845" s="46"/>
    </row>
    <row r="846">
      <c r="A846" s="46"/>
      <c r="B846" s="51"/>
      <c r="C846" s="51"/>
      <c r="D846" s="51"/>
      <c r="E846" s="51"/>
      <c r="F846" s="46"/>
      <c r="G846" s="46"/>
      <c r="H846" s="46"/>
    </row>
    <row r="847">
      <c r="A847" s="46"/>
      <c r="B847" s="51"/>
      <c r="C847" s="51"/>
      <c r="D847" s="51"/>
      <c r="E847" s="51"/>
      <c r="F847" s="46"/>
      <c r="G847" s="46"/>
      <c r="H847" s="46"/>
    </row>
    <row r="848">
      <c r="A848" s="46"/>
      <c r="B848" s="51"/>
      <c r="C848" s="51"/>
      <c r="D848" s="51"/>
      <c r="E848" s="51"/>
      <c r="F848" s="46"/>
      <c r="G848" s="46"/>
      <c r="H848" s="46"/>
    </row>
    <row r="849">
      <c r="A849" s="46"/>
      <c r="B849" s="51"/>
      <c r="C849" s="51"/>
      <c r="D849" s="51"/>
      <c r="E849" s="51"/>
      <c r="F849" s="46"/>
      <c r="G849" s="46"/>
      <c r="H849" s="46"/>
    </row>
    <row r="850">
      <c r="A850" s="46"/>
      <c r="B850" s="51"/>
      <c r="C850" s="51"/>
      <c r="D850" s="51"/>
      <c r="E850" s="51"/>
      <c r="F850" s="46"/>
      <c r="G850" s="46"/>
      <c r="H850" s="46"/>
    </row>
    <row r="851">
      <c r="A851" s="46"/>
      <c r="B851" s="51"/>
      <c r="C851" s="51"/>
      <c r="D851" s="51"/>
      <c r="E851" s="51"/>
      <c r="F851" s="46"/>
      <c r="G851" s="46"/>
      <c r="H851" s="46"/>
    </row>
    <row r="852">
      <c r="A852" s="46"/>
      <c r="B852" s="51"/>
      <c r="C852" s="51"/>
      <c r="D852" s="51"/>
      <c r="E852" s="51"/>
      <c r="F852" s="46"/>
      <c r="G852" s="46"/>
      <c r="H852" s="46"/>
    </row>
    <row r="853">
      <c r="A853" s="46"/>
      <c r="B853" s="51"/>
      <c r="C853" s="51"/>
      <c r="D853" s="51"/>
      <c r="E853" s="51"/>
      <c r="F853" s="46"/>
      <c r="G853" s="46"/>
      <c r="H853" s="46"/>
    </row>
    <row r="854">
      <c r="A854" s="46"/>
      <c r="B854" s="51"/>
      <c r="C854" s="51"/>
      <c r="D854" s="51"/>
      <c r="E854" s="51"/>
      <c r="F854" s="46"/>
      <c r="G854" s="46"/>
      <c r="H854" s="46"/>
    </row>
    <row r="855">
      <c r="A855" s="46"/>
      <c r="B855" s="51"/>
      <c r="C855" s="51"/>
      <c r="D855" s="51"/>
      <c r="E855" s="51"/>
      <c r="F855" s="46"/>
      <c r="G855" s="46"/>
      <c r="H855" s="46"/>
    </row>
    <row r="856">
      <c r="A856" s="46"/>
      <c r="B856" s="51"/>
      <c r="C856" s="51"/>
      <c r="D856" s="51"/>
      <c r="E856" s="51"/>
      <c r="F856" s="46"/>
      <c r="G856" s="46"/>
      <c r="H856" s="46"/>
    </row>
    <row r="857">
      <c r="A857" s="46"/>
      <c r="B857" s="51"/>
      <c r="C857" s="51"/>
      <c r="D857" s="51"/>
      <c r="E857" s="51"/>
      <c r="F857" s="46"/>
      <c r="G857" s="46"/>
      <c r="H857" s="46"/>
    </row>
    <row r="858">
      <c r="A858" s="46"/>
      <c r="B858" s="51"/>
      <c r="C858" s="51"/>
      <c r="D858" s="51"/>
      <c r="E858" s="51"/>
      <c r="F858" s="46"/>
      <c r="G858" s="46"/>
      <c r="H858" s="46"/>
    </row>
    <row r="859">
      <c r="A859" s="46"/>
      <c r="B859" s="51"/>
      <c r="C859" s="51"/>
      <c r="D859" s="51"/>
      <c r="E859" s="51"/>
      <c r="F859" s="46"/>
      <c r="G859" s="46"/>
      <c r="H859" s="46"/>
    </row>
    <row r="860">
      <c r="A860" s="46"/>
      <c r="B860" s="51"/>
      <c r="C860" s="51"/>
      <c r="D860" s="51"/>
      <c r="E860" s="51"/>
      <c r="F860" s="46"/>
      <c r="G860" s="46"/>
      <c r="H860" s="46"/>
    </row>
    <row r="861">
      <c r="A861" s="46"/>
      <c r="B861" s="51"/>
      <c r="C861" s="51"/>
      <c r="D861" s="51"/>
      <c r="E861" s="51"/>
      <c r="F861" s="46"/>
      <c r="G861" s="46"/>
      <c r="H861" s="46"/>
    </row>
    <row r="862">
      <c r="A862" s="46"/>
      <c r="B862" s="51"/>
      <c r="C862" s="51"/>
      <c r="D862" s="51"/>
      <c r="E862" s="51"/>
      <c r="F862" s="46"/>
      <c r="G862" s="46"/>
      <c r="H862" s="46"/>
    </row>
    <row r="863">
      <c r="A863" s="46"/>
      <c r="B863" s="51"/>
      <c r="C863" s="51"/>
      <c r="D863" s="51"/>
      <c r="E863" s="51"/>
      <c r="F863" s="46"/>
      <c r="G863" s="46"/>
      <c r="H863" s="46"/>
    </row>
    <row r="864">
      <c r="A864" s="46"/>
      <c r="B864" s="51"/>
      <c r="C864" s="51"/>
      <c r="D864" s="51"/>
      <c r="E864" s="51"/>
      <c r="F864" s="46"/>
      <c r="G864" s="46"/>
      <c r="H864" s="46"/>
    </row>
    <row r="865">
      <c r="A865" s="46"/>
      <c r="B865" s="51"/>
      <c r="C865" s="51"/>
      <c r="D865" s="51"/>
      <c r="E865" s="51"/>
      <c r="F865" s="46"/>
      <c r="G865" s="46"/>
      <c r="H865" s="46"/>
    </row>
    <row r="866">
      <c r="A866" s="46"/>
      <c r="B866" s="51"/>
      <c r="C866" s="51"/>
      <c r="D866" s="51"/>
      <c r="E866" s="51"/>
      <c r="F866" s="46"/>
      <c r="G866" s="46"/>
      <c r="H866" s="46"/>
    </row>
    <row r="867">
      <c r="A867" s="46"/>
      <c r="B867" s="51"/>
      <c r="C867" s="51"/>
      <c r="D867" s="51"/>
      <c r="E867" s="51"/>
      <c r="F867" s="46"/>
      <c r="G867" s="46"/>
      <c r="H867" s="46"/>
    </row>
    <row r="868">
      <c r="A868" s="46"/>
      <c r="B868" s="51"/>
      <c r="C868" s="51"/>
      <c r="D868" s="51"/>
      <c r="E868" s="51"/>
      <c r="F868" s="46"/>
      <c r="G868" s="46"/>
      <c r="H868" s="46"/>
    </row>
    <row r="869">
      <c r="A869" s="46"/>
      <c r="B869" s="51"/>
      <c r="C869" s="51"/>
      <c r="D869" s="51"/>
      <c r="E869" s="51"/>
      <c r="F869" s="46"/>
      <c r="G869" s="46"/>
      <c r="H869" s="46"/>
    </row>
    <row r="870">
      <c r="A870" s="46"/>
      <c r="B870" s="51"/>
      <c r="C870" s="51"/>
      <c r="D870" s="51"/>
      <c r="E870" s="51"/>
      <c r="F870" s="46"/>
      <c r="G870" s="46"/>
      <c r="H870" s="46"/>
    </row>
    <row r="871">
      <c r="A871" s="46"/>
      <c r="B871" s="51"/>
      <c r="C871" s="51"/>
      <c r="D871" s="51"/>
      <c r="E871" s="51"/>
      <c r="F871" s="46"/>
      <c r="G871" s="46"/>
      <c r="H871" s="46"/>
    </row>
    <row r="872">
      <c r="A872" s="46"/>
      <c r="B872" s="51"/>
      <c r="C872" s="51"/>
      <c r="D872" s="51"/>
      <c r="E872" s="51"/>
      <c r="F872" s="46"/>
      <c r="G872" s="46"/>
      <c r="H872" s="46"/>
    </row>
    <row r="873">
      <c r="A873" s="46"/>
      <c r="B873" s="51"/>
      <c r="C873" s="51"/>
      <c r="D873" s="51"/>
      <c r="E873" s="51"/>
      <c r="F873" s="46"/>
      <c r="G873" s="46"/>
      <c r="H873" s="46"/>
    </row>
    <row r="874">
      <c r="A874" s="46"/>
      <c r="B874" s="51"/>
      <c r="C874" s="51"/>
      <c r="D874" s="51"/>
      <c r="E874" s="51"/>
      <c r="F874" s="46"/>
      <c r="G874" s="46"/>
      <c r="H874" s="46"/>
    </row>
    <row r="875">
      <c r="A875" s="46"/>
      <c r="B875" s="51"/>
      <c r="C875" s="51"/>
      <c r="D875" s="51"/>
      <c r="E875" s="51"/>
      <c r="F875" s="46"/>
      <c r="G875" s="46"/>
      <c r="H875" s="46"/>
    </row>
    <row r="876">
      <c r="A876" s="46"/>
      <c r="B876" s="51"/>
      <c r="C876" s="51"/>
      <c r="D876" s="51"/>
      <c r="E876" s="51"/>
      <c r="F876" s="46"/>
      <c r="G876" s="46"/>
      <c r="H876" s="46"/>
    </row>
    <row r="877">
      <c r="A877" s="46"/>
      <c r="B877" s="51"/>
      <c r="C877" s="51"/>
      <c r="D877" s="51"/>
      <c r="E877" s="51"/>
      <c r="F877" s="46"/>
      <c r="G877" s="46"/>
      <c r="H877" s="46"/>
    </row>
    <row r="878">
      <c r="A878" s="46"/>
      <c r="B878" s="51"/>
      <c r="C878" s="51"/>
      <c r="D878" s="51"/>
      <c r="E878" s="51"/>
      <c r="F878" s="46"/>
      <c r="G878" s="46"/>
      <c r="H878" s="46"/>
    </row>
    <row r="879">
      <c r="A879" s="46"/>
      <c r="B879" s="51"/>
      <c r="C879" s="51"/>
      <c r="D879" s="51"/>
      <c r="E879" s="51"/>
      <c r="F879" s="46"/>
      <c r="G879" s="46"/>
      <c r="H879" s="46"/>
    </row>
    <row r="880">
      <c r="A880" s="46"/>
      <c r="B880" s="51"/>
      <c r="C880" s="51"/>
      <c r="D880" s="51"/>
      <c r="E880" s="51"/>
      <c r="F880" s="46"/>
      <c r="G880" s="46"/>
      <c r="H880" s="46"/>
    </row>
    <row r="881">
      <c r="A881" s="46"/>
      <c r="B881" s="51"/>
      <c r="C881" s="51"/>
      <c r="D881" s="51"/>
      <c r="E881" s="51"/>
      <c r="F881" s="46"/>
      <c r="G881" s="46"/>
      <c r="H881" s="46"/>
    </row>
    <row r="882">
      <c r="A882" s="46"/>
      <c r="B882" s="51"/>
      <c r="C882" s="51"/>
      <c r="D882" s="51"/>
      <c r="E882" s="51"/>
      <c r="F882" s="46"/>
      <c r="G882" s="46"/>
      <c r="H882" s="46"/>
    </row>
    <row r="883">
      <c r="A883" s="46"/>
      <c r="B883" s="51"/>
      <c r="C883" s="51"/>
      <c r="D883" s="51"/>
      <c r="E883" s="51"/>
      <c r="F883" s="46"/>
      <c r="G883" s="46"/>
      <c r="H883" s="46"/>
    </row>
    <row r="884">
      <c r="A884" s="46"/>
      <c r="B884" s="51"/>
      <c r="C884" s="51"/>
      <c r="D884" s="51"/>
      <c r="E884" s="51"/>
      <c r="F884" s="46"/>
      <c r="G884" s="46"/>
      <c r="H884" s="46"/>
    </row>
    <row r="885">
      <c r="A885" s="46"/>
      <c r="B885" s="51"/>
      <c r="C885" s="51"/>
      <c r="D885" s="51"/>
      <c r="E885" s="51"/>
      <c r="F885" s="46"/>
      <c r="G885" s="46"/>
      <c r="H885" s="46"/>
    </row>
    <row r="886">
      <c r="A886" s="46"/>
      <c r="B886" s="51"/>
      <c r="C886" s="51"/>
      <c r="D886" s="51"/>
      <c r="E886" s="51"/>
      <c r="F886" s="46"/>
      <c r="G886" s="46"/>
      <c r="H886" s="46"/>
    </row>
    <row r="887">
      <c r="A887" s="46"/>
      <c r="B887" s="51"/>
      <c r="C887" s="51"/>
      <c r="D887" s="51"/>
      <c r="E887" s="51"/>
      <c r="F887" s="46"/>
      <c r="G887" s="46"/>
      <c r="H887" s="46"/>
    </row>
    <row r="888">
      <c r="A888" s="46"/>
      <c r="B888" s="51"/>
      <c r="C888" s="51"/>
      <c r="D888" s="51"/>
      <c r="E888" s="51"/>
      <c r="F888" s="46"/>
      <c r="G888" s="46"/>
      <c r="H888" s="46"/>
    </row>
    <row r="889">
      <c r="A889" s="46"/>
      <c r="B889" s="51"/>
      <c r="C889" s="51"/>
      <c r="D889" s="51"/>
      <c r="E889" s="51"/>
      <c r="F889" s="46"/>
      <c r="G889" s="46"/>
      <c r="H889" s="46"/>
    </row>
    <row r="890">
      <c r="A890" s="46"/>
      <c r="B890" s="51"/>
      <c r="C890" s="51"/>
      <c r="D890" s="51"/>
      <c r="E890" s="51"/>
      <c r="F890" s="46"/>
      <c r="G890" s="46"/>
      <c r="H890" s="46"/>
    </row>
    <row r="891">
      <c r="A891" s="46"/>
      <c r="B891" s="51"/>
      <c r="C891" s="51"/>
      <c r="D891" s="51"/>
      <c r="E891" s="51"/>
      <c r="F891" s="46"/>
      <c r="G891" s="46"/>
      <c r="H891" s="46"/>
    </row>
    <row r="892">
      <c r="A892" s="46"/>
      <c r="B892" s="51"/>
      <c r="C892" s="51"/>
      <c r="D892" s="51"/>
      <c r="E892" s="51"/>
      <c r="F892" s="46"/>
      <c r="G892" s="46"/>
      <c r="H892" s="46"/>
    </row>
    <row r="893">
      <c r="A893" s="46"/>
      <c r="B893" s="51"/>
      <c r="C893" s="51"/>
      <c r="D893" s="51"/>
      <c r="E893" s="51"/>
      <c r="F893" s="46"/>
      <c r="G893" s="46"/>
      <c r="H893" s="46"/>
    </row>
    <row r="894">
      <c r="A894" s="46"/>
      <c r="B894" s="51"/>
      <c r="C894" s="51"/>
      <c r="D894" s="51"/>
      <c r="E894" s="51"/>
      <c r="F894" s="46"/>
      <c r="G894" s="46"/>
      <c r="H894" s="46"/>
    </row>
    <row r="895">
      <c r="A895" s="46"/>
      <c r="B895" s="51"/>
      <c r="C895" s="51"/>
      <c r="D895" s="51"/>
      <c r="E895" s="51"/>
      <c r="F895" s="46"/>
      <c r="G895" s="46"/>
      <c r="H895" s="46"/>
    </row>
    <row r="896">
      <c r="A896" s="46"/>
      <c r="B896" s="51"/>
      <c r="C896" s="51"/>
      <c r="D896" s="51"/>
      <c r="E896" s="51"/>
      <c r="F896" s="46"/>
      <c r="G896" s="46"/>
      <c r="H896" s="46"/>
    </row>
    <row r="897">
      <c r="A897" s="46"/>
      <c r="B897" s="51"/>
      <c r="C897" s="51"/>
      <c r="D897" s="51"/>
      <c r="E897" s="51"/>
      <c r="F897" s="46"/>
      <c r="G897" s="46"/>
      <c r="H897" s="46"/>
    </row>
    <row r="898">
      <c r="A898" s="46"/>
      <c r="B898" s="51"/>
      <c r="C898" s="51"/>
      <c r="D898" s="51"/>
      <c r="E898" s="51"/>
      <c r="F898" s="46"/>
      <c r="G898" s="46"/>
      <c r="H898" s="46"/>
    </row>
    <row r="899">
      <c r="A899" s="46"/>
      <c r="B899" s="51"/>
      <c r="C899" s="51"/>
      <c r="D899" s="51"/>
      <c r="E899" s="51"/>
      <c r="F899" s="46"/>
      <c r="G899" s="46"/>
      <c r="H899" s="46"/>
    </row>
    <row r="900">
      <c r="A900" s="46"/>
      <c r="B900" s="51"/>
      <c r="C900" s="51"/>
      <c r="D900" s="51"/>
      <c r="E900" s="51"/>
      <c r="F900" s="46"/>
      <c r="G900" s="46"/>
      <c r="H900" s="46"/>
    </row>
    <row r="901">
      <c r="A901" s="46"/>
      <c r="B901" s="51"/>
      <c r="C901" s="51"/>
      <c r="D901" s="51"/>
      <c r="E901" s="51"/>
      <c r="F901" s="46"/>
      <c r="G901" s="46"/>
      <c r="H901" s="46"/>
    </row>
    <row r="902">
      <c r="A902" s="46"/>
      <c r="B902" s="51"/>
      <c r="C902" s="51"/>
      <c r="D902" s="51"/>
      <c r="E902" s="51"/>
      <c r="F902" s="46"/>
      <c r="G902" s="46"/>
      <c r="H902" s="46"/>
    </row>
    <row r="903">
      <c r="A903" s="46"/>
      <c r="B903" s="51"/>
      <c r="C903" s="51"/>
      <c r="D903" s="51"/>
      <c r="E903" s="51"/>
      <c r="F903" s="46"/>
      <c r="G903" s="46"/>
      <c r="H903" s="46"/>
    </row>
    <row r="904">
      <c r="A904" s="46"/>
      <c r="B904" s="51"/>
      <c r="C904" s="51"/>
      <c r="D904" s="51"/>
      <c r="E904" s="51"/>
      <c r="F904" s="46"/>
      <c r="G904" s="46"/>
      <c r="H904" s="46"/>
    </row>
    <row r="905">
      <c r="A905" s="46"/>
      <c r="B905" s="51"/>
      <c r="C905" s="51"/>
      <c r="D905" s="51"/>
      <c r="E905" s="51"/>
      <c r="F905" s="46"/>
      <c r="G905" s="46"/>
      <c r="H905" s="46"/>
    </row>
    <row r="906">
      <c r="A906" s="46"/>
      <c r="B906" s="51"/>
      <c r="C906" s="51"/>
      <c r="D906" s="51"/>
      <c r="E906" s="51"/>
      <c r="F906" s="46"/>
      <c r="G906" s="46"/>
      <c r="H906" s="46"/>
    </row>
    <row r="907">
      <c r="A907" s="46"/>
      <c r="B907" s="51"/>
      <c r="C907" s="51"/>
      <c r="D907" s="51"/>
      <c r="E907" s="51"/>
      <c r="F907" s="46"/>
      <c r="G907" s="46"/>
      <c r="H907" s="46"/>
    </row>
    <row r="908">
      <c r="A908" s="46"/>
      <c r="B908" s="51"/>
      <c r="C908" s="51"/>
      <c r="D908" s="51"/>
      <c r="E908" s="51"/>
      <c r="F908" s="46"/>
      <c r="G908" s="46"/>
      <c r="H908" s="46"/>
    </row>
    <row r="909">
      <c r="A909" s="46"/>
      <c r="B909" s="51"/>
      <c r="C909" s="51"/>
      <c r="D909" s="51"/>
      <c r="E909" s="51"/>
      <c r="F909" s="46"/>
      <c r="G909" s="46"/>
      <c r="H909" s="46"/>
    </row>
    <row r="910">
      <c r="A910" s="46"/>
      <c r="B910" s="51"/>
      <c r="C910" s="51"/>
      <c r="D910" s="51"/>
      <c r="E910" s="51"/>
      <c r="F910" s="46"/>
      <c r="G910" s="46"/>
      <c r="H910" s="46"/>
    </row>
    <row r="911">
      <c r="A911" s="46"/>
      <c r="B911" s="51"/>
      <c r="C911" s="51"/>
      <c r="D911" s="51"/>
      <c r="E911" s="51"/>
      <c r="F911" s="46"/>
      <c r="G911" s="46"/>
      <c r="H911" s="46"/>
    </row>
    <row r="912">
      <c r="A912" s="46"/>
      <c r="B912" s="51"/>
      <c r="C912" s="51"/>
      <c r="D912" s="51"/>
      <c r="E912" s="51"/>
      <c r="F912" s="46"/>
      <c r="G912" s="46"/>
      <c r="H912" s="46"/>
    </row>
    <row r="913">
      <c r="A913" s="46"/>
      <c r="B913" s="51"/>
      <c r="C913" s="51"/>
      <c r="D913" s="51"/>
      <c r="E913" s="51"/>
      <c r="F913" s="46"/>
      <c r="G913" s="46"/>
      <c r="H913" s="46"/>
    </row>
    <row r="914">
      <c r="A914" s="46"/>
      <c r="B914" s="51"/>
      <c r="C914" s="51"/>
      <c r="D914" s="51"/>
      <c r="E914" s="51"/>
      <c r="F914" s="46"/>
      <c r="G914" s="46"/>
      <c r="H914" s="46"/>
    </row>
    <row r="915">
      <c r="A915" s="46"/>
      <c r="B915" s="51"/>
      <c r="C915" s="51"/>
      <c r="D915" s="51"/>
      <c r="E915" s="51"/>
      <c r="F915" s="46"/>
      <c r="G915" s="46"/>
      <c r="H915" s="46"/>
    </row>
    <row r="916">
      <c r="A916" s="46"/>
      <c r="B916" s="51"/>
      <c r="C916" s="51"/>
      <c r="D916" s="51"/>
      <c r="E916" s="51"/>
      <c r="F916" s="46"/>
      <c r="G916" s="46"/>
      <c r="H916" s="46"/>
    </row>
    <row r="917">
      <c r="A917" s="46"/>
      <c r="B917" s="51"/>
      <c r="C917" s="51"/>
      <c r="D917" s="51"/>
      <c r="E917" s="51"/>
      <c r="F917" s="46"/>
      <c r="G917" s="46"/>
      <c r="H917" s="46"/>
    </row>
    <row r="918">
      <c r="A918" s="46"/>
      <c r="B918" s="51"/>
      <c r="C918" s="51"/>
      <c r="D918" s="51"/>
      <c r="E918" s="51"/>
      <c r="F918" s="46"/>
      <c r="G918" s="46"/>
      <c r="H918" s="46"/>
    </row>
    <row r="919">
      <c r="A919" s="46"/>
      <c r="B919" s="51"/>
      <c r="C919" s="51"/>
      <c r="D919" s="51"/>
      <c r="E919" s="51"/>
      <c r="F919" s="46"/>
      <c r="G919" s="46"/>
      <c r="H919" s="46"/>
    </row>
    <row r="920">
      <c r="A920" s="46"/>
      <c r="B920" s="51"/>
      <c r="C920" s="51"/>
      <c r="D920" s="51"/>
      <c r="E920" s="51"/>
      <c r="F920" s="46"/>
      <c r="G920" s="46"/>
      <c r="H920" s="46"/>
    </row>
    <row r="921">
      <c r="A921" s="46"/>
      <c r="B921" s="51"/>
      <c r="C921" s="51"/>
      <c r="D921" s="51"/>
      <c r="E921" s="51"/>
      <c r="F921" s="46"/>
      <c r="G921" s="46"/>
      <c r="H921" s="46"/>
    </row>
    <row r="922">
      <c r="A922" s="46"/>
      <c r="B922" s="51"/>
      <c r="C922" s="51"/>
      <c r="D922" s="51"/>
      <c r="E922" s="51"/>
      <c r="F922" s="46"/>
      <c r="G922" s="46"/>
      <c r="H922" s="46"/>
    </row>
    <row r="923">
      <c r="A923" s="46"/>
      <c r="B923" s="51"/>
      <c r="C923" s="51"/>
      <c r="D923" s="51"/>
      <c r="E923" s="51"/>
      <c r="F923" s="46"/>
      <c r="G923" s="46"/>
      <c r="H923" s="46"/>
    </row>
    <row r="924">
      <c r="A924" s="46"/>
      <c r="B924" s="51"/>
      <c r="C924" s="51"/>
      <c r="D924" s="51"/>
      <c r="E924" s="51"/>
      <c r="F924" s="46"/>
      <c r="G924" s="46"/>
      <c r="H924" s="46"/>
    </row>
    <row r="925">
      <c r="A925" s="46"/>
      <c r="B925" s="51"/>
      <c r="C925" s="51"/>
      <c r="D925" s="51"/>
      <c r="E925" s="51"/>
      <c r="F925" s="46"/>
      <c r="G925" s="46"/>
      <c r="H925" s="46"/>
    </row>
    <row r="926">
      <c r="A926" s="46"/>
      <c r="B926" s="51"/>
      <c r="C926" s="51"/>
      <c r="D926" s="51"/>
      <c r="E926" s="51"/>
      <c r="F926" s="46"/>
      <c r="G926" s="46"/>
      <c r="H926" s="46"/>
    </row>
    <row r="927">
      <c r="A927" s="46"/>
      <c r="B927" s="51"/>
      <c r="C927" s="51"/>
      <c r="D927" s="51"/>
      <c r="E927" s="51"/>
      <c r="F927" s="46"/>
      <c r="G927" s="46"/>
      <c r="H927" s="46"/>
    </row>
    <row r="928">
      <c r="A928" s="46"/>
      <c r="B928" s="51"/>
      <c r="C928" s="51"/>
      <c r="D928" s="51"/>
      <c r="E928" s="51"/>
      <c r="F928" s="46"/>
      <c r="G928" s="46"/>
      <c r="H928" s="46"/>
    </row>
    <row r="929">
      <c r="A929" s="46"/>
      <c r="B929" s="51"/>
      <c r="C929" s="51"/>
      <c r="D929" s="51"/>
      <c r="E929" s="51"/>
      <c r="F929" s="46"/>
      <c r="G929" s="46"/>
      <c r="H929" s="46"/>
    </row>
    <row r="930">
      <c r="A930" s="46"/>
      <c r="B930" s="51"/>
      <c r="C930" s="51"/>
      <c r="D930" s="51"/>
      <c r="E930" s="51"/>
      <c r="F930" s="46"/>
      <c r="G930" s="46"/>
      <c r="H930" s="46"/>
    </row>
    <row r="931">
      <c r="A931" s="46"/>
      <c r="B931" s="51"/>
      <c r="C931" s="51"/>
      <c r="D931" s="51"/>
      <c r="E931" s="51"/>
      <c r="F931" s="46"/>
      <c r="G931" s="46"/>
      <c r="H931" s="46"/>
    </row>
    <row r="932">
      <c r="A932" s="46"/>
      <c r="B932" s="51"/>
      <c r="C932" s="51"/>
      <c r="D932" s="51"/>
      <c r="E932" s="51"/>
      <c r="F932" s="46"/>
      <c r="G932" s="46"/>
      <c r="H932" s="46"/>
    </row>
    <row r="933">
      <c r="A933" s="46"/>
      <c r="B933" s="51"/>
      <c r="C933" s="51"/>
      <c r="D933" s="51"/>
      <c r="E933" s="51"/>
      <c r="F933" s="46"/>
      <c r="G933" s="46"/>
      <c r="H933" s="46"/>
    </row>
    <row r="934">
      <c r="A934" s="46"/>
      <c r="B934" s="51"/>
      <c r="C934" s="51"/>
      <c r="D934" s="51"/>
      <c r="E934" s="51"/>
      <c r="F934" s="46"/>
      <c r="G934" s="46"/>
      <c r="H934" s="46"/>
    </row>
    <row r="935">
      <c r="A935" s="46"/>
      <c r="B935" s="51"/>
      <c r="C935" s="51"/>
      <c r="D935" s="51"/>
      <c r="E935" s="51"/>
      <c r="F935" s="46"/>
      <c r="G935" s="46"/>
      <c r="H935" s="46"/>
    </row>
    <row r="936">
      <c r="A936" s="46"/>
      <c r="B936" s="51"/>
      <c r="C936" s="51"/>
      <c r="D936" s="51"/>
      <c r="E936" s="51"/>
      <c r="F936" s="46"/>
      <c r="G936" s="46"/>
      <c r="H936" s="46"/>
    </row>
    <row r="937">
      <c r="A937" s="46"/>
      <c r="B937" s="51"/>
      <c r="C937" s="51"/>
      <c r="D937" s="51"/>
      <c r="E937" s="51"/>
      <c r="F937" s="46"/>
      <c r="G937" s="46"/>
      <c r="H937" s="46"/>
    </row>
    <row r="938">
      <c r="A938" s="46"/>
      <c r="B938" s="51"/>
      <c r="C938" s="51"/>
      <c r="D938" s="51"/>
      <c r="E938" s="51"/>
      <c r="F938" s="46"/>
      <c r="G938" s="46"/>
      <c r="H938" s="46"/>
    </row>
    <row r="939">
      <c r="A939" s="46"/>
      <c r="B939" s="51"/>
      <c r="C939" s="51"/>
      <c r="D939" s="51"/>
      <c r="E939" s="51"/>
      <c r="F939" s="46"/>
      <c r="G939" s="46"/>
      <c r="H939" s="46"/>
    </row>
    <row r="940">
      <c r="A940" s="46"/>
      <c r="B940" s="51"/>
      <c r="C940" s="51"/>
      <c r="D940" s="51"/>
      <c r="E940" s="51"/>
      <c r="F940" s="46"/>
      <c r="G940" s="46"/>
      <c r="H940" s="46"/>
    </row>
    <row r="941">
      <c r="A941" s="46"/>
      <c r="B941" s="51"/>
      <c r="C941" s="51"/>
      <c r="D941" s="51"/>
      <c r="E941" s="51"/>
      <c r="F941" s="46"/>
      <c r="G941" s="46"/>
      <c r="H941" s="46"/>
    </row>
    <row r="942">
      <c r="A942" s="46"/>
      <c r="B942" s="51"/>
      <c r="C942" s="51"/>
      <c r="D942" s="51"/>
      <c r="E942" s="51"/>
      <c r="F942" s="46"/>
      <c r="G942" s="46"/>
      <c r="H942" s="46"/>
    </row>
    <row r="943">
      <c r="A943" s="46"/>
      <c r="B943" s="51"/>
      <c r="C943" s="51"/>
      <c r="D943" s="51"/>
      <c r="E943" s="51"/>
      <c r="F943" s="46"/>
      <c r="G943" s="46"/>
      <c r="H943" s="46"/>
    </row>
    <row r="944">
      <c r="A944" s="46"/>
      <c r="B944" s="51"/>
      <c r="C944" s="51"/>
      <c r="D944" s="51"/>
      <c r="E944" s="51"/>
      <c r="F944" s="46"/>
      <c r="G944" s="46"/>
      <c r="H944" s="46"/>
    </row>
    <row r="945">
      <c r="A945" s="46"/>
      <c r="B945" s="51"/>
      <c r="C945" s="51"/>
      <c r="D945" s="51"/>
      <c r="E945" s="51"/>
      <c r="F945" s="46"/>
      <c r="G945" s="46"/>
      <c r="H945" s="46"/>
    </row>
    <row r="946">
      <c r="A946" s="46"/>
      <c r="B946" s="51"/>
      <c r="C946" s="51"/>
      <c r="D946" s="51"/>
      <c r="E946" s="51"/>
      <c r="F946" s="46"/>
      <c r="G946" s="46"/>
      <c r="H946" s="46"/>
    </row>
    <row r="947">
      <c r="A947" s="46"/>
      <c r="B947" s="51"/>
      <c r="C947" s="51"/>
      <c r="D947" s="51"/>
      <c r="E947" s="51"/>
      <c r="F947" s="46"/>
      <c r="G947" s="46"/>
      <c r="H947" s="46"/>
    </row>
    <row r="948">
      <c r="A948" s="46"/>
      <c r="B948" s="51"/>
      <c r="C948" s="51"/>
      <c r="D948" s="51"/>
      <c r="E948" s="51"/>
      <c r="F948" s="46"/>
      <c r="G948" s="46"/>
      <c r="H948" s="46"/>
    </row>
    <row r="949">
      <c r="A949" s="46"/>
      <c r="B949" s="51"/>
      <c r="C949" s="51"/>
      <c r="D949" s="51"/>
      <c r="E949" s="51"/>
      <c r="F949" s="46"/>
      <c r="G949" s="46"/>
      <c r="H949" s="46"/>
    </row>
    <row r="950">
      <c r="A950" s="46"/>
      <c r="B950" s="51"/>
      <c r="C950" s="51"/>
      <c r="D950" s="51"/>
      <c r="E950" s="51"/>
      <c r="F950" s="46"/>
      <c r="G950" s="46"/>
      <c r="H950" s="46"/>
    </row>
    <row r="951">
      <c r="A951" s="46"/>
      <c r="B951" s="51"/>
      <c r="C951" s="51"/>
      <c r="D951" s="51"/>
      <c r="E951" s="51"/>
      <c r="F951" s="46"/>
      <c r="G951" s="46"/>
      <c r="H951" s="46"/>
    </row>
    <row r="952">
      <c r="A952" s="46"/>
      <c r="B952" s="51"/>
      <c r="C952" s="51"/>
      <c r="D952" s="51"/>
      <c r="E952" s="51"/>
      <c r="F952" s="46"/>
      <c r="G952" s="46"/>
      <c r="H952" s="46"/>
    </row>
    <row r="953">
      <c r="A953" s="46"/>
      <c r="B953" s="51"/>
      <c r="C953" s="51"/>
      <c r="D953" s="51"/>
      <c r="E953" s="51"/>
      <c r="F953" s="46"/>
      <c r="G953" s="46"/>
      <c r="H953" s="46"/>
    </row>
    <row r="954">
      <c r="A954" s="46"/>
      <c r="B954" s="51"/>
      <c r="C954" s="51"/>
      <c r="D954" s="51"/>
      <c r="E954" s="51"/>
      <c r="F954" s="46"/>
      <c r="G954" s="46"/>
      <c r="H954" s="46"/>
    </row>
    <row r="955">
      <c r="A955" s="46"/>
      <c r="B955" s="51"/>
      <c r="C955" s="51"/>
      <c r="D955" s="51"/>
      <c r="E955" s="51"/>
      <c r="F955" s="46"/>
      <c r="G955" s="46"/>
      <c r="H955" s="46"/>
    </row>
    <row r="956">
      <c r="A956" s="46"/>
      <c r="B956" s="51"/>
      <c r="C956" s="51"/>
      <c r="D956" s="51"/>
      <c r="E956" s="51"/>
      <c r="F956" s="46"/>
      <c r="G956" s="46"/>
      <c r="H956" s="46"/>
    </row>
    <row r="957">
      <c r="A957" s="46"/>
      <c r="B957" s="51"/>
      <c r="C957" s="51"/>
      <c r="D957" s="51"/>
      <c r="E957" s="51"/>
      <c r="F957" s="46"/>
      <c r="G957" s="46"/>
      <c r="H957" s="46"/>
    </row>
    <row r="958">
      <c r="A958" s="46"/>
      <c r="B958" s="51"/>
      <c r="C958" s="51"/>
      <c r="D958" s="51"/>
      <c r="E958" s="51"/>
      <c r="F958" s="46"/>
      <c r="G958" s="46"/>
      <c r="H958" s="46"/>
    </row>
    <row r="959">
      <c r="A959" s="46"/>
      <c r="B959" s="51"/>
      <c r="C959" s="51"/>
      <c r="D959" s="51"/>
      <c r="E959" s="51"/>
      <c r="F959" s="46"/>
      <c r="G959" s="46"/>
      <c r="H959" s="46"/>
    </row>
    <row r="960">
      <c r="A960" s="46"/>
      <c r="B960" s="51"/>
      <c r="C960" s="51"/>
      <c r="D960" s="51"/>
      <c r="E960" s="51"/>
      <c r="F960" s="46"/>
      <c r="G960" s="46"/>
      <c r="H960" s="46"/>
    </row>
    <row r="961">
      <c r="A961" s="46"/>
      <c r="B961" s="51"/>
      <c r="C961" s="51"/>
      <c r="D961" s="51"/>
      <c r="E961" s="51"/>
      <c r="F961" s="46"/>
      <c r="G961" s="46"/>
      <c r="H961" s="46"/>
    </row>
    <row r="962">
      <c r="A962" s="46"/>
      <c r="B962" s="51"/>
      <c r="C962" s="51"/>
      <c r="D962" s="51"/>
      <c r="E962" s="51"/>
      <c r="F962" s="46"/>
      <c r="G962" s="46"/>
      <c r="H962" s="46"/>
    </row>
    <row r="963">
      <c r="A963" s="46"/>
      <c r="B963" s="51"/>
      <c r="C963" s="51"/>
      <c r="D963" s="51"/>
      <c r="E963" s="51"/>
      <c r="F963" s="46"/>
      <c r="G963" s="46"/>
      <c r="H963" s="46"/>
    </row>
    <row r="964">
      <c r="A964" s="46"/>
      <c r="B964" s="51"/>
      <c r="C964" s="51"/>
      <c r="D964" s="51"/>
      <c r="E964" s="51"/>
      <c r="F964" s="46"/>
      <c r="G964" s="46"/>
      <c r="H964" s="46"/>
    </row>
    <row r="965">
      <c r="A965" s="46"/>
      <c r="B965" s="51"/>
      <c r="C965" s="51"/>
      <c r="D965" s="51"/>
      <c r="E965" s="51"/>
      <c r="F965" s="46"/>
      <c r="G965" s="46"/>
      <c r="H965" s="46"/>
    </row>
    <row r="966">
      <c r="A966" s="46"/>
      <c r="B966" s="51"/>
      <c r="C966" s="51"/>
      <c r="D966" s="51"/>
      <c r="E966" s="51"/>
      <c r="F966" s="46"/>
      <c r="G966" s="46"/>
      <c r="H966" s="46"/>
    </row>
    <row r="967">
      <c r="A967" s="46"/>
      <c r="B967" s="51"/>
      <c r="C967" s="51"/>
      <c r="D967" s="51"/>
      <c r="E967" s="51"/>
      <c r="F967" s="46"/>
      <c r="G967" s="46"/>
      <c r="H967" s="46"/>
    </row>
    <row r="968">
      <c r="A968" s="46"/>
      <c r="B968" s="51"/>
      <c r="C968" s="51"/>
      <c r="D968" s="51"/>
      <c r="E968" s="51"/>
      <c r="F968" s="46"/>
      <c r="G968" s="46"/>
      <c r="H968" s="46"/>
    </row>
    <row r="969">
      <c r="A969" s="46"/>
      <c r="B969" s="51"/>
      <c r="C969" s="51"/>
      <c r="D969" s="51"/>
      <c r="E969" s="51"/>
      <c r="F969" s="46"/>
      <c r="G969" s="46"/>
      <c r="H969" s="46"/>
    </row>
    <row r="970">
      <c r="A970" s="46"/>
      <c r="B970" s="51"/>
      <c r="C970" s="51"/>
      <c r="D970" s="51"/>
      <c r="E970" s="51"/>
      <c r="F970" s="46"/>
      <c r="G970" s="46"/>
      <c r="H970" s="46"/>
    </row>
    <row r="971">
      <c r="A971" s="46"/>
      <c r="B971" s="51"/>
      <c r="C971" s="51"/>
      <c r="D971" s="51"/>
      <c r="E971" s="51"/>
      <c r="F971" s="46"/>
      <c r="G971" s="46"/>
      <c r="H971" s="46"/>
    </row>
    <row r="972">
      <c r="A972" s="46"/>
      <c r="B972" s="51"/>
      <c r="C972" s="51"/>
      <c r="D972" s="51"/>
      <c r="E972" s="51"/>
      <c r="F972" s="46"/>
      <c r="G972" s="46"/>
      <c r="H972" s="46"/>
    </row>
    <row r="973">
      <c r="A973" s="46"/>
      <c r="B973" s="51"/>
      <c r="C973" s="51"/>
      <c r="D973" s="51"/>
      <c r="E973" s="51"/>
      <c r="F973" s="46"/>
      <c r="G973" s="46"/>
      <c r="H973" s="46"/>
    </row>
    <row r="974">
      <c r="A974" s="46"/>
      <c r="B974" s="51"/>
      <c r="C974" s="51"/>
      <c r="D974" s="51"/>
      <c r="E974" s="51"/>
      <c r="F974" s="46"/>
      <c r="G974" s="46"/>
      <c r="H974" s="46"/>
    </row>
    <row r="975">
      <c r="A975" s="46"/>
      <c r="B975" s="51"/>
      <c r="C975" s="51"/>
      <c r="D975" s="51"/>
      <c r="E975" s="51"/>
      <c r="F975" s="46"/>
      <c r="G975" s="46"/>
      <c r="H975" s="46"/>
    </row>
    <row r="976">
      <c r="A976" s="46"/>
      <c r="B976" s="51"/>
      <c r="C976" s="51"/>
      <c r="D976" s="51"/>
      <c r="E976" s="51"/>
      <c r="F976" s="46"/>
      <c r="G976" s="46"/>
      <c r="H976" s="46"/>
    </row>
    <row r="977">
      <c r="A977" s="46"/>
      <c r="B977" s="51"/>
      <c r="C977" s="51"/>
      <c r="D977" s="51"/>
      <c r="E977" s="51"/>
      <c r="F977" s="46"/>
      <c r="G977" s="46"/>
      <c r="H977" s="46"/>
    </row>
    <row r="978">
      <c r="A978" s="46"/>
      <c r="B978" s="51"/>
      <c r="C978" s="51"/>
      <c r="D978" s="51"/>
      <c r="E978" s="51"/>
      <c r="F978" s="46"/>
      <c r="G978" s="46"/>
      <c r="H978" s="46"/>
    </row>
    <row r="979">
      <c r="A979" s="46"/>
      <c r="B979" s="51"/>
      <c r="C979" s="51"/>
      <c r="D979" s="51"/>
      <c r="E979" s="51"/>
      <c r="F979" s="46"/>
      <c r="G979" s="46"/>
      <c r="H979" s="46"/>
    </row>
    <row r="980">
      <c r="A980" s="46"/>
      <c r="B980" s="51"/>
      <c r="C980" s="51"/>
      <c r="D980" s="51"/>
      <c r="E980" s="51"/>
      <c r="F980" s="46"/>
      <c r="G980" s="46"/>
      <c r="H980" s="46"/>
    </row>
    <row r="981">
      <c r="A981" s="46"/>
      <c r="B981" s="51"/>
      <c r="C981" s="51"/>
      <c r="D981" s="51"/>
      <c r="E981" s="51"/>
      <c r="F981" s="46"/>
      <c r="G981" s="46"/>
      <c r="H981" s="46"/>
    </row>
    <row r="982">
      <c r="A982" s="46"/>
      <c r="B982" s="51"/>
      <c r="C982" s="51"/>
      <c r="D982" s="51"/>
      <c r="E982" s="51"/>
      <c r="F982" s="46"/>
      <c r="G982" s="46"/>
      <c r="H982" s="46"/>
    </row>
    <row r="983">
      <c r="A983" s="46"/>
      <c r="B983" s="51"/>
      <c r="C983" s="51"/>
      <c r="D983" s="51"/>
      <c r="E983" s="51"/>
      <c r="F983" s="46"/>
      <c r="G983" s="46"/>
      <c r="H983" s="46"/>
    </row>
    <row r="984">
      <c r="A984" s="46"/>
      <c r="B984" s="51"/>
      <c r="C984" s="51"/>
      <c r="D984" s="51"/>
      <c r="E984" s="51"/>
      <c r="F984" s="46"/>
      <c r="G984" s="46"/>
      <c r="H984" s="46"/>
    </row>
    <row r="985">
      <c r="A985" s="46"/>
      <c r="B985" s="51"/>
      <c r="C985" s="51"/>
      <c r="D985" s="51"/>
      <c r="E985" s="51"/>
      <c r="F985" s="46"/>
      <c r="G985" s="46"/>
      <c r="H985" s="46"/>
    </row>
    <row r="986">
      <c r="A986" s="46"/>
      <c r="B986" s="51"/>
      <c r="C986" s="51"/>
      <c r="D986" s="51"/>
      <c r="E986" s="51"/>
      <c r="F986" s="46"/>
      <c r="G986" s="46"/>
      <c r="H986" s="46"/>
    </row>
    <row r="987">
      <c r="A987" s="46"/>
      <c r="B987" s="51"/>
      <c r="C987" s="51"/>
      <c r="D987" s="51"/>
      <c r="E987" s="51"/>
      <c r="F987" s="46"/>
      <c r="G987" s="46"/>
      <c r="H987" s="46"/>
    </row>
    <row r="988">
      <c r="A988" s="46"/>
      <c r="B988" s="51"/>
      <c r="C988" s="51"/>
      <c r="D988" s="51"/>
      <c r="E988" s="51"/>
      <c r="F988" s="46"/>
      <c r="G988" s="46"/>
      <c r="H988" s="46"/>
    </row>
    <row r="989">
      <c r="A989" s="46"/>
      <c r="B989" s="51"/>
      <c r="C989" s="51"/>
      <c r="D989" s="51"/>
      <c r="E989" s="51"/>
      <c r="F989" s="46"/>
      <c r="G989" s="46"/>
      <c r="H989" s="46"/>
    </row>
    <row r="990">
      <c r="A990" s="46"/>
      <c r="B990" s="51"/>
      <c r="C990" s="51"/>
      <c r="D990" s="51"/>
      <c r="E990" s="51"/>
      <c r="F990" s="46"/>
      <c r="G990" s="46"/>
      <c r="H990" s="46"/>
    </row>
    <row r="991">
      <c r="A991" s="46"/>
      <c r="B991" s="51"/>
      <c r="C991" s="51"/>
      <c r="D991" s="51"/>
      <c r="E991" s="51"/>
      <c r="F991" s="46"/>
      <c r="G991" s="46"/>
      <c r="H991" s="46"/>
    </row>
    <row r="992">
      <c r="A992" s="46"/>
      <c r="B992" s="51"/>
      <c r="C992" s="51"/>
      <c r="D992" s="51"/>
      <c r="E992" s="51"/>
      <c r="F992" s="46"/>
      <c r="G992" s="46"/>
      <c r="H992" s="46"/>
    </row>
    <row r="993">
      <c r="A993" s="46"/>
      <c r="B993" s="51"/>
      <c r="C993" s="51"/>
      <c r="D993" s="51"/>
      <c r="E993" s="51"/>
      <c r="F993" s="46"/>
      <c r="G993" s="46"/>
      <c r="H993" s="46"/>
    </row>
    <row r="994">
      <c r="A994" s="46"/>
      <c r="B994" s="51"/>
      <c r="C994" s="51"/>
      <c r="D994" s="51"/>
      <c r="E994" s="51"/>
      <c r="F994" s="46"/>
      <c r="G994" s="46"/>
      <c r="H994" s="46"/>
    </row>
    <row r="995">
      <c r="A995" s="46"/>
      <c r="B995" s="51"/>
      <c r="C995" s="51"/>
      <c r="D995" s="51"/>
      <c r="E995" s="51"/>
      <c r="F995" s="46"/>
      <c r="G995" s="46"/>
      <c r="H995" s="46"/>
    </row>
    <row r="996">
      <c r="A996" s="46"/>
      <c r="B996" s="51"/>
      <c r="C996" s="51"/>
      <c r="D996" s="51"/>
      <c r="E996" s="51"/>
      <c r="F996" s="46"/>
      <c r="G996" s="46"/>
      <c r="H996" s="46"/>
    </row>
    <row r="997">
      <c r="A997" s="46"/>
      <c r="B997" s="51"/>
      <c r="C997" s="51"/>
      <c r="D997" s="51"/>
      <c r="E997" s="51"/>
      <c r="F997" s="46"/>
      <c r="G997" s="46"/>
      <c r="H997" s="46"/>
    </row>
    <row r="998">
      <c r="A998" s="46"/>
      <c r="B998" s="51"/>
      <c r="C998" s="51"/>
      <c r="D998" s="51"/>
      <c r="E998" s="51"/>
      <c r="F998" s="46"/>
      <c r="G998" s="46"/>
      <c r="H998" s="46"/>
    </row>
    <row r="999">
      <c r="A999" s="46"/>
      <c r="B999" s="51"/>
      <c r="C999" s="51"/>
      <c r="D999" s="51"/>
      <c r="E999" s="51"/>
      <c r="F999" s="46"/>
      <c r="G999" s="46"/>
      <c r="H999" s="46"/>
    </row>
    <row r="1000">
      <c r="A1000" s="46"/>
      <c r="B1000" s="51"/>
      <c r="C1000" s="51"/>
      <c r="D1000" s="51"/>
      <c r="E1000" s="51"/>
      <c r="F1000" s="46"/>
      <c r="G1000" s="46"/>
      <c r="H1000" s="46"/>
    </row>
    <row r="1001">
      <c r="A1001" s="46"/>
      <c r="B1001" s="51"/>
      <c r="C1001" s="51"/>
      <c r="D1001" s="51"/>
      <c r="E1001" s="51"/>
      <c r="F1001" s="46"/>
      <c r="G1001" s="46"/>
      <c r="H1001" s="46"/>
    </row>
    <row r="1002">
      <c r="A1002" s="46"/>
      <c r="B1002" s="51"/>
      <c r="C1002" s="51"/>
      <c r="D1002" s="51"/>
      <c r="E1002" s="51"/>
      <c r="F1002" s="46"/>
      <c r="G1002" s="46"/>
      <c r="H1002" s="46"/>
    </row>
  </sheetData>
  <mergeCells count="6">
    <mergeCell ref="A1:I1"/>
    <mergeCell ref="B2:H2"/>
    <mergeCell ref="I2:J2"/>
    <mergeCell ref="A50:E50"/>
    <mergeCell ref="A51:E51"/>
    <mergeCell ref="A52:E52"/>
  </mergeCells>
  <conditionalFormatting sqref="H4">
    <cfRule type="cellIs" dxfId="0" priority="1" operator="equal">
      <formula>"F2"</formula>
    </cfRule>
  </conditionalFormatting>
  <conditionalFormatting sqref="F4:F49">
    <cfRule type="cellIs" dxfId="0" priority="2" operator="equal">
      <formula>"CORRECT"</formula>
    </cfRule>
  </conditionalFormatting>
  <conditionalFormatting sqref="F4:F49">
    <cfRule type="cellIs" dxfId="1" priority="3" operator="notEqual">
      <formula>"CORRECT"</formula>
    </cfRule>
  </conditionalFormatting>
  <drawing r:id="rId1"/>
</worksheet>
</file>