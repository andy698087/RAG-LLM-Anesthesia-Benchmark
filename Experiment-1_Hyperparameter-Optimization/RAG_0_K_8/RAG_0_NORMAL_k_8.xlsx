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<sst xmlns="http://schemas.openxmlformats.org/spreadsheetml/2006/main" count="3482" uniqueCount="495">
  <si>
    <t>SUMMARY RESULT BETWEEN TEST</t>
  </si>
  <si>
    <t>Temp</t>
  </si>
  <si>
    <t>Topp</t>
  </si>
  <si>
    <t>Parameters</t>
  </si>
  <si>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</si>
  <si>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</si>
  <si>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</si>
  <si>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</si>
  <si>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</si>
  <si>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</si>
  <si>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</si>
  <si>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</si>
  <si>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</si>
  <si>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</si>
  <si>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</si>
  <si>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</si>
  <si>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</si>
  <si>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</si>
  <si>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</si>
  <si>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</si>
  <si>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</si>
  <si>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</si>
  <si>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</si>
  <si>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</si>
  <si>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</si>
  <si>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</si>
  <si>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</si>
  <si>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</si>
  <si>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</si>
  <si>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</si>
  <si>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</si>
  <si>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</si>
  <si>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</si>
  <si>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</si>
  <si>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</si>
  <si>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</si>
  <si>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</si>
  <si>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"The femoral nerve is the most likely nerve to be blocked for an operation at the medial aspect of the lower leg, as it provides cutaneous innervation of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</si>
  <si>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</si>
  <si>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</si>
  <si>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</si>
  <si>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</si>
  <si>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</si>
  <si>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spasm of the sphincter of Oddi, which is causing right upper quadrant abdominal pain and nausea. Naloxone is the most appropriate therapy for this patient's pain because it is an opioid antagonist that can reverse the effects of morphine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</si>
  <si>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</si>
  <si>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</si>
  <si>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</si>
  <si>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</si>
  <si>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</si>
  <si>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</si>
  <si>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</si>
  <si>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</si>
  <si>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</si>
  <si>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</si>
  <si>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</si>
  <si>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</si>
  <si>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</si>
  <si>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</si>
  <si>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</si>
  <si>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stream. The vaporizer adds 40 mL/min of sevoflurane to the 100 mL/min of oxygen, making up 21% of the gas mixture. The fresh gas flow is 5 L/min, so the delivered anesthetic concentration is 40 mL/min / (100 mL/min + 5 L/min)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</si>
  <si>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</si>
  <si>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</si>
  <si>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</si>
  <si>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</si>
  <si>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through radiation, convection, conduction, and evaporation, thereby conserving body heat and preventing further cooling."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</si>
  <si>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</si>
  <si>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</si>
  <si>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</si>
  <si>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</si>
  <si>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patient is sent home, increasing the risk of recurrent sedation. Therefore, the patient should remain hospitalized for observation to ensure their safety."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</si>
  <si>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</si>
  <si>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</si>
  <si>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</si>
  <si>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</si>
  <si>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with changes in position leading to changes in the spread of the anesthetic."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</si>
  <si>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</si>
  <si>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</si>
  <si>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</si>
  <si>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</si>
  <si>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despite breathing 100% O2. Furosemide is the most appropriate management strategy as it can help to increase diuresis and reduce fluid overload, which may be contributing to the pulmonary edema."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</si>
  <si>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</si>
  <si>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</si>
  <si>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</si>
  <si>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</si>
  <si>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sudden development of nausea, diaphoresis, and sharp pain in the left shoulder suggests a possible complication of the procedure, such as bladder perforation, which can cause irritation of the diaphragm and lead to referred pain in the shoulder."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</si>
  <si>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</si>
  <si>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</si>
  <si>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</si>
  <si>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</si>
  <si>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decreased from 99% to 90% and the partial pressure of ETCO2 increased from 38 to 43 mmHg, which suggests that the etiology is related to compression of the vena cava. This is likely due to the Trendelenburg position and the increased intra-abdominal pressure from CO2 insufflation, which can cause compression of the vena cava and decrease venous return, leading to decreased oxygen saturation."</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</si>
  <si>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</si>
  <si>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</si>
  <si>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</si>
  <si>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</si>
  <si>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mild hypoxemia. The most likely cause of her hypoxemia is hypoventilation, as morphine is a respiratory depressant and can cause decreased tidal volume and respiratory rate, leading to hypoxemia."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</si>
  <si>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</si>
  <si>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</si>
  <si>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</si>
  <si>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</si>
  <si>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the patient's inspiratory effort and provides additional pressure to support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</si>
  <si>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</si>
  <si>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</si>
  <si>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</si>
  <si>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</si>
  <si>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This is because the myocardium extracts a higher percentage of oxygen than other tissues in the body, up to 60% to 70%. Therefore, maintaining adequate diastolic blood pressure, hemoglobin concentration, and oxygen saturation is crucial to ensure sufficient oxygen supply to the myocardium."</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</si>
  <si>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</si>
  <si>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</si>
  <si>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</si>
  <si>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</si>
  <si>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synthesizes coagulation factors in great excess, and the PT will remain normal until significant hepatic impairment occurs. Additionally, the PT is used to monitor for restoration of hepatic function, often improving before other clinical signs of improvement occur."</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</si>
  <si>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</si>
  <si>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</si>
  <si>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</si>
  <si>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</si>
  <si>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is the best strategy to prevent ventricular dysrhythmias in a patient undergoing extracorporeal shock wave lithotripsy. This is because beta-blockers can help reduce the risk of cardiac arrhythmias by decreasing the heart rate and blood pressure, which can be triggered by the shock waves during the procedure."</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</si>
  <si>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</si>
  <si>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</si>
  <si>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</si>
  <si>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</si>
  <si>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lacks an absorber and relies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</si>
  <si>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</si>
  <si>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</si>
  <si>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</si>
  <si>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</si>
  <si>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may cause the patient to rebreathe their own exhaled CO2, leading to an increase in the CO2 concentration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</si>
  <si>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</si>
  <si>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</si>
  <si>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</si>
  <si>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</si>
  <si>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penicillin allergy, so cefazolin, a cephalosporin, is not a suitable option. Instead, the anesthesiologist should administer hydrocortisone, a corticosteroid, followed by cefazolin to reduce the risk of an allergic reaction." }</t>
  </si>
  <si>
    <t>Which of the following factors DECREASES the MAC of isoflurane?</t>
  </si>
  <si>
    <t>A. Acute cocaine intoxication</t>
  </si>
  <si>
    <t>B. Chronic ethanol abuse</t>
  </si>
  <si>
    <t>C. Symptomatic hyponatremia</t>
  </si>
  <si>
    <t>{   "Answer": "A",   "Explain": "Acute cocaine intoxication decreases the MAC of isoflurane by increasing the activity of the enzyme cytochrome P450, which is involved in the metabolism of isoflurane, leading to a faster elimination of the anesthetic and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</si>
  <si>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</si>
  <si>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</si>
  <si>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</si>
  <si>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</si>
  <si>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rapid and profound cardiovascular depression."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</si>
  <si>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</si>
  <si>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</si>
  <si>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</si>
  <si>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</si>
  <si>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</si>
  <si>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</si>
  <si>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</si>
  <si>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</si>
  <si>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</si>
  <si>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hypothyroidism, there is a decrease in myocardial contractility, which is a characteristic feature of hypothyroid heart disease. This is due to the decreased levels of thyroid hormones, which play a crucial role in regulating cardiac function."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</si>
  <si>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</si>
  <si>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</si>
  <si>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</si>
  <si>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</si>
  <si>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stated in the document: 'Etomidate is also associated with longer seizures in response to ECT than seizures that occur after the administration of methohexital or propofol.'" }</t>
  </si>
  <si>
    <t>Which of the following drugs does NOT cause enhanced activity of the GABA receptor?</t>
  </si>
  <si>
    <t>B. Ketamine</t>
  </si>
  <si>
    <t>{   "Answer": "C",   "Explain": "According to the provided context, etomidate and propofol both enhance activity of the GABA receptor, whereas ketamine's primary action is the inhibition of NMDAR-mediated glutamergic input to the GABAergic system, leading to a changing excitatory activity in the cortex and limbic system, resulting in unconsciousness."</t>
  </si>
  <si>
    <t>Which of the following components is MISPLACED in the circle system shown in the above illustration?</t>
  </si>
  <si>
    <t>A. Fresh gas inlet</t>
  </si>
  <si>
    <t>B. CO2 absorber</t>
  </si>
  <si>
    <t>C. Expiratory valve</t>
  </si>
  <si>
    <t>{   "Answer": "B",   "Explain": "The CO2 absorber is misplaced in the circle system because it is not located between the patient and the expiratory valve, which is a crucial rule to prevent rebreathing of CO2."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</si>
  <si>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</si>
  <si>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</si>
  <si>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</si>
  <si>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</si>
  <si>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drug is distributed widely throughout the body, and plasma protein binding is a factor that affects the distribution of a drug. If a drug has a large volume of distribution, it is likely that it is not being bound to plasma proteins to a significant extent, allowing it to distribute widely throughout the body."</t>
  </si>
  <si>
    <t>Which of the following drugs has the LONGEST duration of action in a patient with renal failure?</t>
  </si>
  <si>
    <t>A. Neostigmine</t>
  </si>
  <si>
    <t>B. Rocuronium</t>
  </si>
  <si>
    <t>C. Succinylcholine</t>
  </si>
  <si>
    <t>{   "Answer": "B",   "Explain": "According to the provided context, rocuronium has an elimination half-life increased in renal failure because of an increase in the volume of distribution with no change in clearance. This may account for a longer duration of action in anephric patients, although its clinical significance is uncertain."</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</si>
  <si>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</si>
  <si>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</si>
  <si>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</si>
  <si>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</si>
  <si>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</si>
  <si>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</si>
  <si>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</si>
  <si>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</si>
  <si>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</si>
  <si>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</si>
  <si>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</si>
  <si>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</si>
  <si>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</si>
  <si>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</si>
  <si>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other peripheral areas, resulting in a loss of heat and a reduction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</si>
  <si>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</si>
  <si>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</si>
  <si>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</si>
  <si>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</si>
  <si>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This suggests that the patient had a decrease in FRC, leading to hypoxemia. The increased FiO2 helped to improve oxygenation, indicating that the patient's hypoxemia was caused by a ventilation-perfusion mismatch, which is consistent with decreased FRC."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</si>
  <si>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</si>
  <si>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</si>
  <si>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</si>
  <si>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</si>
  <si>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intercostobrachial nerve, which provides cutaneous innervation of the medial upper arm, is not blocked. Therefore, an additional block of the intercostobrachial nerve is the most appropriate next step."</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</si>
  <si>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</si>
  <si>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</si>
  <si>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</si>
  <si>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</si>
  <si>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its rapid clearance is exceeded by its rapid redistribution from the brain and other tissues back into the bloodstream."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</si>
  <si>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</si>
  <si>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</si>
  <si>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</si>
  <si>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</si>
  <si>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reduce the accuracy of the reading, leading to a lower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</si>
  <si>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</si>
  <si>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</si>
  <si>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</si>
  <si>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</si>
  <si>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slow nystagmic gaze, and moderate dilation of the pupils, among other effects, indicating intense analgesia and amnesia."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</si>
  <si>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</si>
  <si>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</si>
  <si>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</si>
  <si>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</si>
  <si>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</si>
  <si>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</si>
  <si>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</si>
  <si>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</si>
  <si>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</si>
  <si>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spread of the sampling distribution of the mean. It is a measure of the amount of variability in the sample means that would be expected if the sampling were repeated many times."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</si>
  <si>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</si>
  <si>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</si>
  <si>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</si>
  <si>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</si>
  <si>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situations with carboxyhemoglobinemia, as carboxyhemoglobin can cause a false reading of oxygen saturation."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</si>
  <si>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</si>
  <si>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</si>
  <si>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</si>
  <si>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</si>
  <si>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initial fasting blood glucose level is 100 mg/dL, which is not significantly elevated. The anesthetic procedure is expected to cause a slight increase in blood glucose levels, but not to the extent of marked hypoglycemia or severe hyperglycemia. Therefore, mild hyperglycemia is the most likely expected outcome on emergence." }</t>
  </si>
  <si>
    <t>Which of the following drugs INCREASES gastric pH while decreasing gastric volume?</t>
  </si>
  <si>
    <t>A. Glycopyrrolate</t>
  </si>
  <si>
    <t>B. Metoclopramide</t>
  </si>
  <si>
    <t>C. Ranitidine</t>
  </si>
  <si>
    <t>{   "Answer": "C",   "Explain": "Ranitidine is an H2 receptor antagonist that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</si>
  <si>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</si>
  <si>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</si>
  <si>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</si>
  <si>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</si>
  <si>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not as easily absorbed into the bloodstream. As a result, its alveolar and inspired concentrations equilibrate more rapidly, as less of it is being taken up by the blood and more remains in the lungs to be exhaled."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</si>
  <si>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</si>
  <si>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</si>
  <si>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</si>
  <si>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</si>
  <si>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by filling the functional residual capacity with oxygen, thus increasing the time period the patient can safely be apneic. This is achieved by replacing nitrogen in the lungs with oxygen, providing an increased length of time before hemoglobin desaturation occurs in an apneic patient."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</si>
  <si>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</si>
  <si>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</si>
  <si>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</si>
  <si>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</si>
  <si>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unopposed adduction of the left vocal cord at rest, leading to hoarseness." }</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</si>
  <si>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</si>
  <si>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</si>
  <si>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</si>
  <si>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</si>
  <si>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expected to be around 45 mmHg. This is because the increased inspired O2 concentration increases the alveolar O2 tension, which in turn increases the mixed venous O2 tension. According to the alveolar gas equation, the partial pressure of alveolar oxygen (PAO2) increases with increased inspired O2 concentration. As a result, the mixed venous O2 tension (PvO2) also increases, reflecting the increased oxygen delivery to the tissues." }</t>
  </si>
  <si>
    <t>Which of the following drugs has the SHORTEST elimination half-life?</t>
  </si>
  <si>
    <t>B. Lorazepam</t>
  </si>
  <si>
    <t>C. Midazolam</t>
  </si>
  <si>
    <t>{   "Answer": "A",   "Explain": "According to the provided context, flumazenil has a very rapid clearance and short elimination half-life compared to other benzodiazepine receptor agonists,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</si>
  <si>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</si>
  <si>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</si>
  <si>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</si>
  <si>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</si>
  <si>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</si>
  <si>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cutaneous innervation of the medial aspect of the leg, and blocking it can provide anesthesia to this area."</t>
  </si>
  <si>
    <t>{   "Answer": "C",   "Explain": "The patient is experiencing opioid-induced spasm of the sphincter of Oddi, which is causing right upper quadrant abdominal pain and nausea. Naloxone is the most appropriate therapy for this patient's pain as it is an opioid antagonist that can reverse the effects of morphine and relieve the spasm of the sphincter of Oddi." }</t>
  </si>
  <si>
    <t>{   "Answer": "C",   "Explain": "The Caffeine-halothane contracture test has the highest sensitivity and specificity for MH, making it the most reliable test to predict the likelihood of a patient developing malignant hyperthermia." }</t>
  </si>
  <si>
    <t>{   "Answer": "C",   "Explain": "Vasoconstriction is the most effective physiologic mechanism for maintaining body temperature in an adult patient with mild hypothermia anesthetized with 1 MAC of isoflurane. This is because vasoconstriction helps to reduce heat loss through radiation, convection, conduction, and evaporation, thereby conserving body heat and preventing further heat loss." }</t>
  </si>
  <si>
    <t>{   "Answer": "A",   "Explain": "Flumazenil has low affinity for benzodiazepine receptors, which means it can easily displace midazolam from its receptor site, allowing for rapid reversal of sedation. This is in contrast to midazolam, which has a longer duration of action, making it important to observe the patient for a longer period to ensure they do not experience recurrent sedation." }</t>
  </si>
  <si>
    <t>{   "Answer": "B",   "Explain": "The sudden onset of nausea, diaphoresis, and sharp pain in the left shoulder suggests a possible complication of the TURP procedure, such as bladder perforation, which can cause irritation of the diaphragm and lead to referred pain in the shoulder." }</t>
  </si>
  <si>
    <t>{   "Answer": "B",   "Explain": "The patient's SpO2 decreased from 99% to 90% and the partial pressure of ETCO2 increased from 38 to 43 mmHg, which suggests that there is a ventilation-perfusion mismatch. The most likely cause of this is compression of the vena cava, which can occur when the patient is in the Trendelenburg position and has increased intra-abdominal pressure from CO2 insufflation."</t>
  </si>
  <si>
    <t>{   "Answer": "B",   "Explain": "The patient is receiving IV PCA with morphine, which can cause hypoventilation, and her SpO2 is 90% on room air, indicating mild hypoxemia. The most likely cause of her hypoxemia is hypoventilation, as the patient is not experiencing other conditions that would cause hypoxemia such as shunting, V/Q mismatch, or diffusion hypoxia." }</t>
  </si>
  <si>
    <t>{   "Answer": "B",   "Explain": "The patient has a history of penicillin allergy, so cefazolin, a cephalosporin, is not a suitable option. Instead, the anesthesiologist should administer hydrocortisone, a corticosteroid, followed by cefazolin to prevent an allergic reaction." }</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</si>
  <si>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</si>
  <si>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</si>
  <si>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innervation to the medial leg and can extend as far as the base of the great toe, making it a suitable choice for blocking for operations on the medial aspect of the lower leg."</t>
  </si>
  <si>
    <t>{   "Answer": "C",   "Explain": "The patient is experiencing right upper quadrant abdominal pain and nausea after receiving morphine and midazolam, which suggests that the pain may be related to sphincter of Oddi spasm. Naloxone is the most appropriate therapy for this patient's pain as it can reverse the effects of opioids and relieve spasm of the sphincter of Oddi." }</t>
  </si>
  <si>
    <t>{   "Answer": "B",   "Explain": "To calculate the delivered anesthetic concentration, we need to calculate the amount of sevoflurane added to the fresh gas stream. The vaporizer adds 40 mL/min of sevoflurane to the 100 mL/min of oxygen, making up 21% of the gas mixture. The fresh gas flow is 5 L/min, so the delivered anesthetic concentration is 40 mL/min / (100 mL/min + 5 L/min) = 0.5%."</t>
  </si>
  <si>
    <t>{   "Answer": "A",   "Explain": "Flumazenil has low affinity for benzodiazepine receptors, which means it can easily displace the midazolam from the receptor site, allowing the patient to awaken quickly. This is in contrast to midazolam, which has a longer duration of action, making it necessary for the patient to remain hospitalized for observation to ensure they do not experience recurrent sedation." }</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</si>
  <si>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with changes in position causing changes in the spread of the anesthetic." }</t>
  </si>
  <si>
    <t>{   "Answer": "B",   "Explain": "The patient is experiencing pulmonary edema, which is a complication of postoperative laryngospasm. Furosemide, a diuretic, is the most appropriate management strategy to help alleviate the edema and improve oxygenation. The other options, albuterol and positive-pressure ventilation, are not directly addressing the underlying cause of the pulmonary edema."</t>
  </si>
  <si>
    <t>{   "Answer": "B",   "Explain": "The sudden onset of nausea, diaphoresis, and sharp pain in the left shoulder suggests a possible complication of the procedure, such as bladder perforation, which can cause irritation of the diaphragm and lead to referred pain in the shoulder." }</t>
  </si>
  <si>
    <t>{   "Answer": "B",   "Explain": "The patient's SpO2 decreased from 99% to 90% and the partial pressure of ETCO2 increased from 38 to 43 mmHg, which suggests that the etiology is related to compression of the vena cava. This is likely due to the Trendelenburg position, which can cause compression of the vena cava and lead to decreased venous return and hypoxemia."</t>
  </si>
  <si>
    <t>{   "Answer": "A",   "Explain": "In pressure support ventilation, pressure support breaths are triggered by a decrease in airway pressure, which allows the patient's inspiratory effort to trigger the ventilator to deliver a preset pressure to assist the patient's breathing." }</t>
  </si>
  <si>
    <t>{   "Answer": B,   "Explain": "Prothrombin time (PT) is a laboratory value that is most likely to confirm adequate synthetic hepatic function. This is because the liver synthesizes coagulation factors in great excess, and the PT will remain normal until significant hepatic impairment occurs. The PT is also used to monitor for restoration of hepatic function, often improving before other clinical signs of improvement occur."</t>
  </si>
  <si>
    <t>{   "Answer": "C",   "Explain": "Hyperthermia causes a rightward shift of the oxyhemoglobin dissociation curve, which means that for the same partial pressure of oxygen, more oxygen will be released from hemoglobin to the tissues." }</t>
  </si>
  <si>
    <t>{   "Answer": "B",   "Explain": "Myocardial contractility is decreased in hypothyroidism, which is a condition characterized by a decrease in the production of thyroid hormones. This decrease in thyroid hormones can lead to decreased cardiac output and reduced blood pressure, which can further exacerbate the condition." }</t>
  </si>
  <si>
    <t>{   "Answer": "A",   "Explain": "Etomidate is associated with longer seizure duration when used for electroconvulsive therapy, as mentioned in the document, 'Etomidate is also associated with longer seizures in response to ECT than seizures that occur after the administration of methohexital or propofol.'" }</t>
  </si>
  <si>
    <t>{   "Answer": "C",   "Explain": "According to the provided context, etomidate and propofol both enhance activity of the GABA receptor, whereas ketamine does not. Etomidate has been shown to directly activate the GABAA receptor, and propofol is a GABA agonist. In contrast, ketamine's primary mechanism of action is through NMDA receptor antagonism, and it does not have a significant effect on GABA receptors."</t>
  </si>
  <si>
    <t>{   "Answer": "C",   "Explain": "A large volume of distribution is typically associated with a drug that has low plasma protein binding. This is because a drug with low plasma protein binding is more likely to distribute to tissues and organs, rather than being bound to plasma proteins, resulting in a larger volume of distribution." }</t>
  </si>
  <si>
    <t>{   "Answer": "B",   "Explain": "According to the provided context, rocuronium's elimination half-life is increased in renal failure because of an increase in the volume of distribution with no change in clearance. This may account for a longer duration of action in anephric patients, although its clinical significance is uncertain."</t>
  </si>
  <si>
    <t>{   "Answer": "C",   "Explain": "Instillation of local anesthetic into the trachea via the cricothyroid membrane is most likely to block the Recurrent Laryngeal nerve, which provides sensory input from the larynx and trachea." }</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</si>
  <si>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other peripheral areas, resulting in a reduction in heat loss through radiation, conduction, and convection. As a result, the body's core temperature cools down." }</t>
  </si>
  <si>
    <t>{   "Answer": "A",   "Explain": "The patient's SpO2 decreased from 98% to 84% and then improved to 92% when FiO2 was increased to 1.0. This suggests that the patient had a decrease in FRC, leading to hypoxemia. The increased FiO2 helped to improve oxygenation, indicating that the main cause of hypoxemia was a decreased FRC."</t>
  </si>
  <si>
    <t>{   "Answer": "B",   "Explain": "The patient has complete anesthesia in the median, radial, and ulnar nerve distributions after a supraclavicular block, which suggests that the intercostobrachial nerve, which provides cutaneous innervation of the medial upper arm, is not blocked. Therefore, an additional block of the intercostobrachial nerve is the most appropriate next step to ensure complete anesthesia."</t>
  </si>
  <si>
    <t>{   "Answer": "A",   "Explain": "The rapid clearance of propofol after a single dose is primarily due to redistribution, as its clearance exceeds liver blood flow. According to the text, extrahepatic metabolism or extrarenal elimination may occur, with the kidney being the most important extrahepatic site for propofol metabolism, accounting for up to 30% of propofol clearance."</t>
  </si>
  <si>
    <t>{   "Answer": "B",   "Explain": "After 30 minutes of stable anesthesia, the O2 analyzer reading decreased from 50% to 30%. This could be due to the accumulation of water on the O2 sensor membrane, which would reduce the accuracy of the reading, causing a false decrease in O2 levels." }</t>
  </si>
  <si>
    <t>{   "Answer": "A",   "Explain": "The standard error of the mean (SEM) shows the precision of the population mean. It is a measure of the amount of variability in the sample mean, indicating how close the sample mean is likely to be to the true population mean. In other words, it represents the amount of random variation in the sample mean, which is a measure of the precision of the sample mean as an estimate of the population mean."</t>
  </si>
  <si>
    <t>{   "Answer": "B",   "Explain": "The patient is receiving a 4-hour general anesthetic for repair of tendon lacerations, which is a relatively short procedure. The patient's fasting blood glucose level is 100 mg/dL, which is within the normal range. Given the short duration of anesthesia and the patient's normal blood glucose level, it is likely that the patient's blood glucose level will remain stable or only mildly elevated on emergence, making option B, mild hyperglycemia, the most likely answer."</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</si>
  <si>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</si>
  <si>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</si>
  <si>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</si>
  <si>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</si>
  <si>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</si>
  <si>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is the most likely to be blocked for an operation at the medial aspect of the lower leg, as it provides innervation to the medial leg and can extend as far as the base of the great toe." }</t>
  </si>
  <si>
    <t>{   "Answer": "C",   "Explain": "Since the patient is experiencing right upper quadrant abdominal pain and nausea after receiving morphine and midazolam, the most appropriate therapy is naloxone, which is used to treat intraoperative spasm of the sphincter of Oddi, as mentioned in the context."</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</si>
  <si>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as mentioned in the context." }</t>
  </si>
  <si>
    <t>{   "Answer": "C",   "Explain": "The Caffeine-halothane contracture test has the highest sensitivity and specificity for MH, making it the most reliable test for predicting the likelihood of developing malignant hyperthermia." }</t>
  </si>
  <si>
    <t>{   "Answer": "B",   "Explain": "To find the delivered anesthetic concentration, we need to calculate the amount of sevoflurane added to the fresh gas stream. The vaporizer adds 40 mL/min of sevoflurane to the 100 mL/min of oxygen flowing through it. The fresh gas flow is 5 L/min, so the percentage of sevoflurane in the delivered gas is 40 mL/min / (100 mL/min + 5 L/min) = 0.5%."</t>
  </si>
  <si>
    <t>{   "Answer": "C",   "Explain": "Vasoconstriction is the most effective physiologic mechanism for maintaining body temperature in an adult patient with mild hypothermia, as it helps to reduce heat loss through radiation, convection, and conduction." }</t>
  </si>
  <si>
    <t>{   "Answer": "A",   "Explain": "Flumazenil has low affinity for benzodiazepine receptors, which means it can easily bind to the receptors and reverse the effects of midazolam, allowing the patient to be safely sent home after 1 hour." }</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</si>
  <si>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with changes in position leading to changes in the spread of the anesthetic."</t>
  </si>
  <si>
    <t>{   "Answer": "B",   "Explain": "The patient is experiencing pulmonary edema after resolution of postoperative laryngospasm, and their SpO2 is 80% while breathing 100% O2. In this scenario, fluid overload is a concern, and furosemide is the most appropriate management strategy to help reduce fluid volume and alleviate pulmonary edema." }</t>
  </si>
  <si>
    <t>{   "Answer": "B",   "Explain": "The sudden development of nausea, diaphoresis, and sharp pain in the left shoulder 45 minutes after the start of the procedure suggests that the patient may have experienced a bladder perforation, which is a known complication of TURP. This is more likely than angina pectoris, which would typically present with chest pain and not shoulder pain, or inadequate spinal sensory level, which would not cause sudden onset of symptoms."</t>
  </si>
  <si>
    <t>{   "Answer": "B",   "Explain": "The patient's SpO2 decreased from 99% to 90% and the partial pressure of ETCO2 increased from 38 to 43 mmHg, which suggests that the cause of the decrease in SpO2 is not related to a sudden loss of oxygenation. Compression of the vena cava, which is caused by the Trendelenburg position, is a likely cause of the decrease in SpO2, as it can lead to decreased venous return and decreased oxygen delivery to the body." }</t>
  </si>
  <si>
    <t>{   "Answer": "B",   "Explain": "The patient is receiving IV PCA with morphine, which can cause hypoventilation. Additionally, the patient has obesity, which is a known risk factor for postoperative hypoxemia. The patient's SpO2 is 90% on room air, which suggests that the hypoxemia is not severe, but it is still a cause for concern. Therefore, hypoventilation is the most likely cause of her hypoxemia."</t>
  </si>
  <si>
    <t>{   "Answer": "A",   "Explain": "In pressure support ventilation, pressure support breaths are triggered by a decrease in airway pressure, which is a preset factor." }</t>
  </si>
  <si>
    <t>{   "Answer": "B",   "Explain": "To satisfy the increased metabolic demand of the myocardium, the anesthesiologist would need to increase coronary perfusion pressure, which is the pressure that drives blood flow to the heart muscle. This is because the increased heart rate has increased the demand for oxygen and nutrients by the myocardium, and increasing coronary perfusion pressure will ensure that the heart muscle receives the necessary resources to meet this increased demand."</t>
  </si>
  <si>
    <t>{   "Answer": B,   "Explain": "Prothrombin time (PT) is the most likely laboratory value to confirm adequate synthetic hepatic function because it measures the liver's ability to synthesize coagulation factors, which have shorter half-lives than albumin. As a result, PT can reflect acute liver failure more quickly than albumin levels, making it a more sensitive indicator of liver synthetic function." }</t>
  </si>
  <si>
    <t>{   "Answer": "A",   "Explain": "Beta-adrenergic blockade is the best strategy to prevent ventricular dysrhythmias in a patient undergoing extracorporeal shock wave lithotripsy. This is because beta-blockers can help reduce the risk of cardiac dysrhythmias by decreasing the heart rate and blood pressure, which can help minimize the impact of the shock waves on the heart muscle."</t>
  </si>
  <si>
    <t>{   "Answer": "C",   "Explain": "The patient is in the lateral position, which may cause the patient to breathe more shallowly, leading to a decrease in tidal volume and an increase in the concentration of CO2 in the exhaled gas, resulting in the findings between point A and point B." }</t>
  </si>
  <si>
    <t>{   "Answer": "B",   "Explain": "The patient has a history of penicillin allergy, so the anesthesiologist should not administer cefazolin. Instead, the surgeon should ask the anesthesiologist to administer hydrocortisone, followed by cefazolin, to ensure that the patient is not allergic to the antibiotic."</t>
  </si>
  <si>
    <t>{   "Answer": "A",   "Explain": "Acute cocaine intoxication decreases the MAC of isoflurane by increasing the activity of cytochrome P450 enzymes, which accelerates the metabolism of isoflurane and reduces its anesthetic potency." }</t>
  </si>
  <si>
    <t>{   "Answer": "B",   "Explain": "In hypothyroidism, there is a decrease in myocardial contractility, which is a characteristic feature of hypothyroid cardiac dysfunction. This is because the decreased levels of thyroid hormones lead to decreased cardiac output and reduced cardiac contractility." }</t>
  </si>
  <si>
    <t>{   "Answer": "C",   "Explain": "According to the provided context, etomidate and propofol both enhance activity of the GABA receptor, whereas ketamine's primary action is to inhibit NMDA receptor-mediated glutamatergic input to the GABAergic system, leading to a changing excitatory activity in the cortex and limbic system, resulting in unconsciousness. Therefore, ketamine does not enhance activity of the GABA receptor, making it the correct answer."</t>
  </si>
  <si>
    <t>{   "Answer": "C",   "Explain": "The Expiratory valve is misplaced in the circle system because it is not located between the patient and the reservoir bag on both the inspiratory and expiratory limbs, which is a crucial rule to prevent rebreathing of CO2." }</t>
  </si>
  <si>
    <t>{   "Answer": "C",   "Explain": "A large volume of distribution is often associated with a drug that has low plasma protein binding. This is because a drug with low plasma protein binding is more likely to be distributed throughout the body's tissues and fluids, rather than being bound to plasma proteins. Therefore, the volume of distribution is a measure of the extent to which a drug is distributed throughout the body, and a large volume of distribution is often indicative of a drug with low plasma protein binding."</t>
  </si>
  <si>
    <t>{   "Answer": "B",   "Explain": "According to the context, rocuronium's elimination half-life is increased in renal failure because of an increase in the volume of distribution with no change in clearance. This may account for a longer duration of action in anephric patients, although its clinical significance is uncertain."</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</si>
  <si>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other peripheral areas, resulting in a loss of heat and a decrease in core temperature." }</t>
  </si>
  <si>
    <t>{   "Answer": "A",   "Explain": "The patient's SpO2 decreased from 98% to 84% when his FiO2 was 0.5, and then increased to 92% when his FiO2 was increased to 1.0. This suggests that the etiology of his hypoxemia is related to decreased alveolar ventilation, which is consistent with decreased FRC. The patient's tidal volume is 350 mL, which is relatively small, and his respiratory rate is 20 breaths per minute, which is relatively fast. This combination of a small tidal volume and a fast respiratory rate is consistent with decreased FRC, which can lead to hypoxemia." }</t>
  </si>
  <si>
    <t>{   "Answer": "B",   "Explain": "The patient has complete anesthesia in the median, radial, and ulnar nerve distributions after a supraclavicular block, which suggests that the intercostobrachial nerve is not blocked. Therefore, an additional block of the intercostobrachial nerve is the most appropriate next step to ensure adequate anesthesia for the patient."</t>
  </si>
  <si>
    <t>{   "Answer": "A",   "Explain": "After a single dose of propofol, redistribution is primarily responsible for emergence. According to the provided context, clearance of propofol exceeds liver blood flow, and extrahepatic metabolism or extrarenal elimination may occur. The most important extrahepatic site for propofol metabolism is the kidney, which accounts for up to 30% of propofol clearance, explaining the rapid clearance of propofol."</t>
  </si>
  <si>
    <t>{   "Answer": "B",   "Explain": "After 30 minutes of stable anesthesia, a decrease in O2 analyzer reading from 50% to 30% is likely caused by the accumulation of water on the O2 sensor membrane. This is because the O2 sensor is prone to moisture accumulation, which can lead to a decrease in O2 reading." }</t>
  </si>
  <si>
    <t>{   "Answer": "A",   "Explain": "After an induction dose of ketamine, patients appear to be in a cataleptic state with eyes remaining open, slow nystagmic gaze, and moderate dilation of the pupils, indicating that ketamine provides an intense analgesia and amnesia in patients despite the patient appearing as if they may be awake." }</t>
  </si>
  <si>
    <t>{   "Answer": "C",   "Explain": "As compared with an IV dose of morphine, the most likely explanation for the decreased duration of action of an IV dose of fentanyl is its shorter elimination half-life. Fentanyl is metabolized by the liver and has a shorter elimination half-life, which means it is cleared from the body more quickly, resulting in a shorter duration of action." }</t>
  </si>
  <si>
    <t>{   "Answer": "A",   "Explain": "The standard error of the mean (SEM) shows the precision of the population mean. It is a measure of the amount of variability in the sample mean, indicating how close the sample mean is likely to be to the true population mean. In other words, it represents the amount of random variation in the sample mean, and it is used to construct confidence intervals and make inferences about the population mean."</t>
  </si>
  <si>
    <t>{   "Answer": "B",   "Explain": "Pulse oximetry does not accurately reflect SaO2 in the presence of carboxyhemoglobinemia, as carboxyhemoglobin can cause a false reading of oxygen saturation." }</t>
  </si>
  <si>
    <t>{   "Answer": "B",   "Explain": "The patient is receiving a 4-hour general anesthetic, and their fasting blood glucose level is 100 mg/dL. Given that the patient is not diabetic and is not receiving any medication that would significantly affect glucose levels, it is likely that their glucose level will remain stable or mildly elevated. Therefore, on emergence, their blood glucose level is most likely to be mildly hyperglycemic, which is option B."</t>
  </si>
  <si>
    <t>{   "Answer": "C",   "Explain": "Ranitidine, an H2 receptor antagonist, increases gastric fluid pH in pregnant women approximately one hour after administration without producing adverse effects." }</t>
  </si>
  <si>
    <t>{   "Answer": "C",   "Explain": "Nitrous oxide has a lower blood gas solubility compared to desflurane, which means it is more likely to equilibrate rapidly with alveolar and inspired concentrations. This is because less of the gas is dissolved in the blood, allowing it to quickly reach equilibrium with the alveoli and inspired air." }</t>
  </si>
  <si>
    <t>{   "Answer": "A",   "Explain": "The injury to the left recurrent laryngeal nerve during thyroidectomy will likely cause unopposed adduction of the left vocal cord, resulting in adduction of the left vocal cord at rest." }</t>
  </si>
  <si>
    <t>{   "Answer": "A",   "Explain": "Normal mixed venous O2 tension in a normal adult after breathing 100% O2 for 10 minutes is expected to be around 45 mmHg. This is because breathing 100% O2 increases the alveolar O2 tension, which increases the mixed venous O2 tension. According to the alveolar gas equation, the partial pressure of alveolar oxygen (PAO2) increases with increasing inspired O2 concentration. In this case, breathing 100% O2 would lead to a significant increase in PAO2, resulting in a higher mixed venous O2 tension." }</t>
  </si>
  <si>
    <t>{   "Answer": "A",   "Explain": "According to the context, flumazenil has a very rapid clearance and short elimination half-life compared to other benzodiazepine receptor agonists, making it the shortest-lived compound among the options." }</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</si>
  <si>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</si>
  <si>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</si>
  <si>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"For an operation at the medial aspect of the lower leg, the femoral nerve is not typically blocked, as it does not innervate the medial aspect of the leg. Instead, the common peroneal nerve should be blocked, as it is responsible for innervating the foot, ankle, and lower leg, including the medial aspect."</t>
  </si>
  <si>
    <t>{   "Answer": "C",   "Explain": "The patient has developed severe abdominal pain and nausea 30 minutes after receiving morphine and midazolam premedication, which suggests that the morphine may be causing spasm in the sphincter of Oddi. According to the provided context, intraoperative spasm of the sphincter of Oddi can be treated with naloxone, so naloxone is the most appropriate therapy for this patient's pain." }</t>
  </si>
  <si>
    <t>{   "Answer": "B",   "Explain": "In emergency situations, vigorous expansion of intravascular volume usually reduces serum calcium to a safe level (&lt;14 mg/dL). Normal saline is an initial appropriate management option to rapidly expand intravascular volume and reduce serum calcium levels, making it the most suitable choice in this situation."</t>
  </si>
  <si>
    <t>{ "Answer": "C", "Explain": "The caffeine-halothane contracture test is considered the test with the highest sensitivity and specificity for predicting malignant hyperthermia. It is a widely accepted gold standard for diagnosing malignant hyperthermia susceptibility." }</t>
  </si>
  <si>
    <t>{   "Answer": "B",   "Explain": "Sevoflurane 21% of 150 mL/min oxygen = 31.5 mL/min. Mixing with 5 L/min fresh gas, the delivered anesthetic concentration is 31.5 mL/min (31.5 ÷ 150 + 5) = 2.1%. Since the options only include percents, the answer must be rounded up to 2.5%. However, the question asked for the best answer, so we should compare the actual value 2.1% to the given options. 2.1% is closest to 2.5%, making B the best answer." }</t>
  </si>
  <si>
    <t>{   "Answer": "C",   "Explain": "In the context of hypothermic patients, the physiologic mechanism most effective for maintaining body temperature is vasoconstriction. Vasoconstriction is a key response to hypothermia, as it helps to reduce heat loss and conserve energy. In patients anesthetized with 1 MAC of isoflurane, maintaining vasoconstriction is crucial for preventing further heat loss and preserving body temperature."</t>
  </si>
  <si>
    <t>{   "Answer": "A",   "Explain": "Since the patient has just received midazolam and flumazenil has easily antagonized it, there is a high likelihood of recurrent sedation if the patient is sent home in 1 hour. Flumazenil has a relatively short duration of action, and the patient may still be experiencing residual effects of the medication. Therefore, the patient should remain in the hospital for observation to ensure they are alert and aware, rather than being sent home and potentially experiencing recurrent sedation."</t>
  </si>
  <si>
    <t>{   "Answer": "B",   "Explain": "According to the context, the patient's position is a crucial factor in determining the extent of spread of local anesthetic following subarachnoid block with hyperbaric bupivacaine. The text states that 'patient position' is one of the factors that influence the spread of anesthetic within the epidural space."</t>
  </si>
  <si>
    <t>{   Answer: "B",   "Explain": "The patient is experiencing pulmonary edema after resolution of postoperative laryngospasm, with a low SpO2 of 80% despite being breathing 100% O2. Since the patient's circulating volume should be supported with fluid boluses if needed, and excessive fluids should be avoided as this could lead to worsened pulmonary edema, administration of furosemide (a diuretic) would be the most appropriate management strategy to help alleviate the pulmonary edema."</t>
  </si>
  <si>
    <t>{     "Answer": "A",     "Explain": "Per the provided context, the 61-year-old man suddenly developed nausea, diaphoresis, and sharp pain in the left shoulder forty-five minutes after the start of the TURP procedure. This is highly unlikely to be a sign of inadequate spinal sensory level, as it typically provides adequate anesthesia for TURP. It is also unlikely to be due to bladder perforation, as it would not cause symptoms unrelated to the procedure site. Therefore, the most likely cause is angina pectoris, which can present with symptoms such as chest pain, nausea, and sweating." }</t>
  </si>
  <si>
    <t>{   "Answer": "B",   "Explain": "The patient's SpO2 decreased from 99% to 90% while in the Trendelenburg position with CO2 insufflation, which suggests that compression of the vena cava may be the cause of the decreased Sao2. As the patient is being intubated and receiving controlled ventilation, it is unlikely due to CO2 embolus or right mainstem endobronchial intubation."</t>
  </si>
  <si>
    <t>{     "Answer": "B",     "Explain": "Given that the patient is receiving IV PCA with morphine and their SpO2 is 90% on room air, the most likely cause of hypoxemia is hypoventilation. Morphine is an opioid that can cause respiratory depression, leading to a decrease in tidal volume and breathing rate, which can result in hypoxemia. " }</t>
  </si>
  <si>
    <t>{   "Answer": B,   "Explain": "Pressure support breaths in a patient receiving pressure support ventilation are triggered by an increase in airway pressure." }</t>
  </si>
  <si>
    <t>{   "Answer": C,   "Explain": "When the patient's heart rate increases from 60 to 120 bpm, the myocardium extracts a higher percentage of oxygen to meet the increased demand. Increased O2 extraction by the myocardium is a way to satisfy the increased metabolic demand of the myocardium." }</t>
  </si>
  <si>
    <t>{   "Answer": "B",   "Explain": "Prothrombin time (PT) is a measure of liver-derived coagulation factors, which reflect liver synthetic function more quickly than does albumin. It is also used to monitor for restoration of hepatic function, often improving before other clinical signs of improvement occur." }</t>
  </si>
  <si>
    <t>{   "Answer": B,   "Explain": "ECG synchronization is the best strategy for preventing ventricular dysrhythmias in patients undergoing extracorporeal shock wave lithotripsy. Shock waves are timed with the patient's heart rate and are triggered by the R wave on the patient's electrocardiogram. This ensures that the shock waves are delivered during the refractory period of the heart muscle, minimizing the risk of cardiac dysrhythmias." }</t>
  </si>
  <si>
    <t>{   "Answer": A,   "Explain": "Compared to a semiclosed circle system, a Bain circuit exhibits less rebreathing of CO2 because it has bidirectional gas flow and lacks an absorber, relying on a higher rate of fresh gas inflow to eliminate CO2 and prevent rebreathing."</t>
  </si>
  <si>
    <t>{   "Answer": "C",   "Explain": "Between point A and point B, there is a sudden change in the capnograph waveform due to the patient's position change during hip surgery. This abnormality is not caused by excessive tidal volume (A) or an incompetent expiratory valve (B)." }</t>
  </si>
  <si>
    <t>{   "Answer": "B",   "Explain": "The anesthesiologist should not administer cefazolin directly, considering the patient's history of reaction to penicillin. Instead, the anesthesiologist should prescribe hydrocortisone followed by cefazolin to assess for any signs of allergic reactions before administering the antibiotic."</t>
  </si>
  <si>
    <t>{   Answer: "A",   "Explain": "Acute cocaine intoxication decreases the MAC of isoflurane, increasing the anesthetic's potency." }</t>
  </si>
  <si>
    <t>{   "Answer": "A",   "Explain": "Bupivacaine's primary toxic effect on the cardiovascular system is blockade of norepinephrine release, leading to a decrease in cardiac contractility and blood pressure." }</t>
  </si>
  <si>
    <t>{   "Answer": "B",   "Explain": "In hypothyroidism, the production of thyroid hormones is decreased, which can lead to decreased cardiac contractility, reducing the heart's pumping ability, which is the opposite of what would be expected in heart surgery, where increased cardiac contractility is beneficial." }</t>
  </si>
  <si>
    <t>{   "Answer": "A",   "Explain": "Etomidate is associated with longer seizure duration when used for electroconvulsive therapy compared to other anesthetic drugs, making it the most likely choice to be associated with longer seizure duration." }</t>
  </si>
  <si>
    <t>{     "Answer": "C",     "Explain": "According to the context, the other two options, Etomidate and Ketamine, are mentioned as enhancing the activity of the GABA receptor, whereas Propofol is not mentioned as doing so. Therefore, Propofol is the correct answer."</t>
  </si>
  <si>
    <t>{ "Answer": "B", "Explain": "The CO2 absorber is misplaced because it should be located between the expiratory valve and the patient, not as shown in the circle system illustration. According to the text, a unidirectional valve must be located between the patient and the reservoir bag on both the inspiratory and expiratory limbs, and the fresh gas inflow cannot enter the circuit between the expiratory valve and the patient."</t>
  </si>
  <si>
    <t>{   "Answer": "C",   "Explain": "Because a large volume of distribution implies that the anesthetic is not bound to plasma proteins, a low degree of plasma protein binding, option C, is the most likely property of this anesthetic."</t>
  </si>
  <si>
    <t>{ "Answer": "B", "Explain": "The duration of action of rocuronium is prolonged in renal failure patients because its clearance relies on both renal and hepatic metabolism, but its clearance is not significantly impaired, resulting in a longer duration of action." }</t>
  </si>
  <si>
    <t>{   Answer: "C",   "Explain": "When instillation of local anesthetic into the trachea via the cricothyroid membrane, the recurrent laryngeal nerve is most likely to be blocked. This is because the recurrent laryngeal nerve passes posteriorly through the trachea, just above the cricothyroid membrane, providing sensation to the vocal cords and vocal fold motion."</t>
  </si>
  <si>
    <t>{ "Answer": "A", "Explain": "Gagging that occurs during awake intubation is BEST prevented by local anesthetic block of the superior laryngeal nerve block, as it provides sensory input from the lower pharynx and the upper part of the larynx, including the glottic surface of the epiglottis and the aryepiglottic folds." }</t>
  </si>
  <si>
    <t>{   "Answer": "A",   "Explain": "During the initial stages of general anesthesia, there is a reduction in core temperature due to the ablation of thermoregulatory vasoconstriction. This means that the body's natural mechanism to conserve heat is disrupted, leading to a loss of core heat as a result of peripheral vasodilation and exposure to environmental temperatures." }</t>
  </si>
  <si>
    <t>{   "Answer": "A",   "Explain": "The patient's initial SpO2 was 98% on 0.5 FiO2, indicating that he was already tolerating the supplemental oxygen. When the FiO2 was increased to 1.0, his SpO2 improved to 92%. This suggests that he was experiencing hypoxemia due to a decreased FRC (functional residual capacity), which allowed for shunting of blood and inadequate oxygenation of his alveoli." }</t>
  </si>
  <si>
    <t>{   "Answer": "C",   "Explain": "Since the patient has complete anesthesia in the median, radial, and ulnar nerve distributions, it is likely that the nerve block is at the level of the brachial plexus and the nerves being blocked are the major trunks (C5-T1). The musculocutaneous nerve is one of the terminal branches of the brachial plexus, which innervates the biceps muscle and the lateral aspect of the arm. Therefore, an additional block of the musculocutaneous nerve would likely only complement the existing blockade." }</t>
  </si>
  <si>
    <t>{   Answer: "A",   "Explain": "Exclusion of hepatic blood flow and the rapid metabolism of propofol by the kidney, which accounts for up to 30% of propofol clearance, means that redistribution is the primary mechanism responsible for emergence after a single dose of propofol." }</t>
  </si>
  <si>
    <t>{   "Answer": "B",   "Explain": "After 30 minutes of stable anesthesia, the O2 analyzer reading decreases from 50% to 30%, suggesting that there is a problem with the O2 delivery system. This could be caused by accumulation of water on the O2 sensor membrane (B), which could lead to a faulty reading."</t>
  </si>
  <si>
    <t>{   "Answer": "A",   "Explain": "After an induction dose of ketamine, patients appear to be in a cataleptic state with eyes remaining open with a slow nystagmic gaze, and the maintenance of cough, swallow, and corneal reflexes, moderate dilation of the pupils, lacrimation, salivation, and an increase in skeletal muscle tone with apparently coordinated but purposeless movements of the extremities, which suggests that patients are awake but highly sedated and have significant analgesia." }</t>
  </si>
  <si>
    <t>{   "Answer": "C",   "Explain": "According to the provided context, fentanyl has a shorter duration of action compared to morphine. This is because of its short elimination half-life, which means it is rapidly metabolized and distributed to inactive tissue sites, leading to a shorter duration of action." }</t>
  </si>
  <si>
    <t>{   "Answer": A,    "Explain": "The standard error of the mean shows the precision of the population mean, as it estimates how much the sample mean differs from the true population mean. It does this by calculating the amount of variation in the sample means obtained from repeated sampling of the same population. A lower standard error of the mean indicates a more precise estimate of the population mean, as the sample means tend to cluster closer to the true mean."</t>
  </si>
  <si>
    <t>{   "Answer": A,   "Explain": "In normal individuals under experimental conditions with SaO2 as low as 70%. As such, pulse oximeters have limited accuracy for SaO2 values less than 70%" }</t>
  </si>
  <si>
    <t>{ "Answer": "C", "Explain": "The patient is receiving a 4-hour general anesthetic and has a fasting blood glucose of 100 mg/dL. In the absence of any other glucose-altering interventions, the expected blood glucose concentration on emergence is likely to be closest to the original value, which is 100 mg/dL. A 100 mg/dL glucose level does not indicate mild hypoglycemia (less than 70 mg/dL), mild hyperglycemia (greater than 180 mg/dL), but rather a normal range. Therefore, the answer is C, mild hypoglycemia."</t>
  </si>
  <si>
    <t>{     "Answer": "C",     "Explain": "According to the context, H2 receptor antagonists (like Ranitidine) can increase gastric fluid pH in pregnant women approximately one hour after administration without producing adverse effects." }</t>
  </si>
  <si>
    <t>{     "Answer": "C",     "Explain": "The lower blood gas solubility of nitrous oxide compared to desflurane means that more N2O is taken up into the blood during the first few breaths, reducing its volume in the alveoli without altering its concentration or partial pressure, leading to a more rapid equilibration of alveolar and inspired concentrations." }</t>
  </si>
  <si>
    <t>{   "Answer": "B",   "Explain": "Preoxygenation aims to increase the patient's reserve of oxygen by filling the functional residual capacity (FRC) with oxygen, thereby increasing the duration of apnea without oxygen desaturation. This is achieved by administering 100% oxygen prior to induction of anesthesia, with the goal of achieving an end-tidal oxygen level of about 90%. This process provides an increased margin of safety while the anesthesiologist secures the airway and resumes ventilation." }</t>
  </si>
  <si>
    <t>{   "Answer": B,   "Explain": "The patient has injured the left recurrent laryngeal nerve during thyroidectomy, which is a feared but often preventable complication in thyroid surgery. Unilateral recurrent laryngeal nerve injury often goes unnoticed because of compensatory overadduction of the uninvolved cord. However, the injury can result in hoarseness. Since the patient has injured the left recurrent laryngeal nerve, they are likely to have hoarseness, making option B, "Aphonia", the least likely outcome."</t>
  </si>
  <si>
    <t>{     "Answer": "A",     "Explain": "Normal mixed venous O2 tension in a normal adult after breathing 100% O2 for 10 minutes is typically around 40 mmHg. According to the provided context, normal mixed venous O2 is 40 mmHg. Therefore, breathing 100% O2 for 10 minutes will not significantly change this value, making 45 mmHg a reasonable expected value." }</t>
  </si>
  <si>
    <t>{ "Answer": "A", "Explain": "According to the text, flumazenil has a very rapid clearance and short elimination half-life, making it the shortest-lived compound, with a plasma half-life of 1 minute." }</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</si>
  <si>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</si>
  <si>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</si>
  <si>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sudden onset of nausea, diaphoresis, and sharp pain in the left shoulder suggests a complication of the procedure, specifically bladder perforation. This is a more likely cause than angina pectoris, which would typically present with chest pain, or inadequate spinal sensory level, which would not cause sudden onset of symptoms." }</t>
  </si>
  <si>
    <t>{   "Answer": "B",   "Explain": "The patient is receiving IV PCA with morphine, which can cause hypoventilation, and her SpO2 is 90% on room air, indicating mild hypoxemia. The most likely cause of her hypoxemia is hypoventilation, as absorption of CO2 from the abdomen (A) is not a significant contributor to hypoxemia in this setting, and increased dead space (C) is not mentioned in the patient's condition." }</t>
  </si>
  <si>
    <t>{   "Answer": "A",   "Explain": "Normal mixed venous O2 tension in a normal adult after breathing 100% O2 for 10 minutes is expected to be around 45 mmHg. This is because the increase in inspired O2 concentration increases the alveolar O2 tension, which in turn increases the mixed venous O2 tension. According to the alveolar gas equation, the partial pressure of alveolar oxygen (PAO2) increases with increased inspired O2 concentration. As a result, the mixed venous O2 tension also increases, reflecting the increased oxygen delivery to the tissues." }</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</si>
  <si>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</si>
  <si>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</si>
  <si>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is a likely candidate for blocking because it provides cutaneous innervation of the medial aspect of the leg and is often blocked for surgeries involving this area, as stated in the text." }</t>
  </si>
  <si>
    <t>{   "Answer": "C",   "Explain": "Since the patient has suddenly developed right upper quadrant abdominal pain and nausea after receiving premedication with morphine and midazolam, it is likely that the morphine is causing spasm of the sphincter of Oddi, which is treated with naloxone, as mentioned in the text."</t>
  </si>
  <si>
    <t>{   "Answer": "B",   "Explain": "IV administration of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</si>
  <si>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 "Answer": "C", "Explain": "The caffeine-halothane contracture test has the highest sensitivity and specificity for malignant hyperthermia. It is a reliable method to predict the likelihood of a patient developing malignant hyperthermia, as mentioned in the context document."</t>
  </si>
  <si>
    <t>{   "Answer": "B",   "Explain": "To find the delivered anesthetic concentration, we need to calculate the volume of sevoflurane added to the fresh gas stream. Given that 150 mL/min of oxygen flows through the vaporizer and sevoflurane makes up 21% of the gas flowing out of the vaporizer, the volume of sevoflurane added is 40 mL/min. The fresh gas flow rate is 5 L/min, so the delivered anesthetic concentration is 40 mL/min / 5 L/min = 0.5%." }</t>
  </si>
  <si>
    <t>{   "Answer": "C",   "Explain": "Since the patient is under anesthesia with 1 MAC of isoflurane, the body's natural response to hypothermia is suppressed. Vasoconstriction is the most effective mechanism to maintain body temperature in this situation, as it reduces heat loss by conduction and radiation." }</t>
  </si>
  <si>
    <t>{   "Answer": "A",   "Explain": "Although flumazenil can reverse the effects of midazolam, it is unclear how long the reversal will last. According to the document, midazolam's duration of action is longer than flumazenil's, which suggests that the patient may still be affected by the medication after the initial reversal dose. Therefore, the patient should remain hospitalized for observation to ensure that the effects of midazolam do not recur."</t>
  </si>
  <si>
    <t>{   "Answer": "C",   "Explain": "According to the provided context, total dose of drug is the most reliable determinant of local anesthetic spread (and thus block height) when compared with either volume or concentration for isobaric and hypobaric local anesthetic solutions." }</t>
  </si>
  <si>
    <t>{   "Answer": "B",   "Explain": "B. Administration of furosemide is the most appropriate management as it can help alleviate pulmonary edema by increasing diuresis and reducing fluid overload, which is causing the patient's respiratory distress." }</t>
  </si>
  <si>
    <t>{   "Answer": "B",   "Explain": "A spinal anesthetic typically provides a level of anesthesia that is higher than T10, so the sudden development of sharp pain in the left shoulder is unlikely to be due to inadequate anesthesia. Perforation of the bladder or prostatic capsule can cause extravasation of irrigation solution into the retroperitoneal space, leading to severe shoulder pain, nausea, and diaphoresis, making it the most likely cause of the symptoms." }</t>
  </si>
  <si>
    <t>{   "Answer": "B",   "Explain": "As the patient is in the Trendelenburg position with CO2 insufflation, the most likely cause of the decrease in SpO2 is compression of the vena cava, which can lead to decreased venous return and subsequent decreased pulmonary blood flow, resulting in desaturation." }</t>
  </si>
  <si>
    <t>{   "Answer": "B",   "Explain": "The most likely cause of her hypoxemia two hours after a laparoscopic cholecystectomy and receiving IV PCA with morphine is hypoventilation. This is because morphine is a common cause of alveolar hypoventilation, which can lead to an increase in arterial partial pressure of carbon dioxide (PaCO2) and result in hypoxemia, even when the patient has normal lungs without significant A-a gradient."</t>
  </si>
  <si>
    <t>{   "Answer": "A",   "Explain": "In pressure support ventilation, pressure support breaths are triggered by a decrease in airway pressure, as the ventilator responds to the patient's effort to breathe by delivering additional pressure to help augment their respiratory effort." }</t>
  </si>
  <si>
    <t>{   "Answer": B,   "Explain": "Increased coronary perfusion pressure is necessary to satisfy the increased metabolic demand of the myocardium due to the increased heart rate. As heart rate increases, there is a higher demand for oxygen and other nutrients by the heart muscle. To meet this increased demand, the heart requires a higher blood flow and pressure to deliver oxygen and nutrients. Increased coronary perfusion pressure helps to ensure adequate oxygenation and nutrition of the heart muscle, thereby reducing the risk of myocardial ischemia and infarction."</t>
  </si>
  <si>
    <t>{   "Answer": B,   "Explain": "The prothrombin time (PT) is a test that measures the liver's ability to synthesize coagulation factors. It is a better indicator of liver synthetic function than serum albumin or aminotransferase levels, as the liver synthesizes coagulation factors in great excess, making PT more sensitive to liver dysfunction." }</t>
  </si>
  <si>
    <t>{     "Answer": "A",     "Explain": "Beta-adrenergic blockade can prevent ventricular dysrhythmias in a patient undergoing extracorporeal shock wave lithotripsy by reducing the impact of the shock waves on the heart muscle and minimizing the risk of cardiac complications." }</t>
  </si>
  <si>
    <t>{   "Answer": "A",   "Explain": "Compared to a semiclosed circle system, a Bain circuit exhibits less rebreathing of CO2 due to its design, which relies on a higher rate of fresh gas inflow to eliminate CO2 and prevent rebreathing."</t>
  </si>
  <si>
    <t>{   "Answer": "C",   "Explain": "The patient is in the lateral position, which can cause a rapid shift of blood from the dependent to the non-dependent lung, leading to changes in ventilation-perfusion mismatch and increased upslope of phase III, resulting in the observed findings between points A and B." }</t>
  </si>
  <si>
    <t>{   "Answer": "B",   "Explain": "As the patient has a known allergy to penicillin, it is important to consider this and treat accordingly. Hydrocortisone should be administered to help alleviate the allergic reaction, followed by cefazolin, which is a cephalosporin, not a penicillin. This will help minimize the risk of further allergic reactions."</t>
  </si>
  <si>
    <t>{     "Answer": "A",     "Explain": "According to the context, chronic ethanol abuse does not have a direct impact on the MAC of isoflurane. Acute cocaine intoxication, on the other hand, can increase the MAC of isoflurane, which means it would require a higher concentration of the anesthetic to achieve the same effects." }</t>
  </si>
  <si>
    <t>{   "Answer": "A",   "Explain": "Blockade of norepinephrine release is the primary toxic effect of bupivacaine on the cardiovascular system. This occurs due to the 'fast-in, slow-out' mechanism of bupivacaine, which prolongs the recovery time from blockades of cardiac sodium channels, leading to a greater chance of unidirectional block and reentry, resulting in cardiac toxicity." }</t>
  </si>
  <si>
    <t>{ "Answer": "C", "Explain": "Hyperthermia causes a rightward shift of the oxyhemoglobin dissociation curve by increasing the release of 2,3-diphosphoglycerate (2,3-DPG) from red blood cells, which is a right-shifting factor. As a result, oxygen is unloaded more easily from hemoglobin to the tissues, improving oxygen delivery to the body's tissues." }</t>
  </si>
  <si>
    <t>{   "Answer": "B",   "Explain": "In hypothyroidism, myogenic tone and peripheral vascular resistance increase, leading to decreased myocardial contractility, but in this case, the question is asking for a finding that is most likely to be decreased, and myocardial contractility is likely to be decreased." }</t>
  </si>
  <si>
    <t>{     "Answer": "A",     "Explain": "Etomidate is most likely to be associated with longer seizure duration when used for electroconvulsive therapy due to its inability to inhibit seizure activity and the fact that larger doses can actually prolong seizures." }</t>
  </si>
  <si>
    <t>{   "Answer": "C",   "Explain": "Propofol directly modulates the GABA receptor by activating its α subunit-containing GABAA receptors, enhancing its function, whereas etomidate also has a positive modulatory effect on the GABA receptor at lower concentrations, making it a more effective anesthetic agent. However, propofol does not have a direct agonist effect on the GABA receptor."</t>
  </si>
  <si>
    <t>{   "Answer": "C",   "Explain": "In a circle breathing system, the exhalation phase is characterized by a closed inspiratory valve and an open expiratory valve. This is depicted in the illustration. Hence, component C, the Expiratory valve, is misplaced in the circle system." }</t>
  </si>
  <si>
    <t>{   "Answer": "C",   "Explain": "A new IV anesthetic is found to have a very large volume of distribution, which means it has a high degree of distribution in tissues, but not necessarily a large volume in plasma. Given this, it is unlikely to have low lipid solubility or high ionization, as those properties would make it difficult for the drug to distribute to tissues. Therefore, the most likely property is low plasma protein binding, as this would allow the drug to spread to a large volume in tissues." }</t>
  </si>
  <si>
    <t>{   "Answer": "B",   "Explain": "According to the provided context, the text mentions that 'The elimination half-life of rocuronium is increased in renal failure because of an increase in the volume of distribution with no change in clearance. This explanation might account for a longer duration of action in anephric patients, although its clinical significance is uncertain.' Additionally, another passage states that 'Rocuronium has an onset time of 1 to 2 minutes at its ED95 dose, which makes it unique among the intermediate-acting nondepolarizing neuromuscular blocking drugs.' These points suggest that rocuronium has the longest duration of action in patients with renal failure."</t>
  </si>
  <si>
    <t>{   "Answer": "B",   "Explain": "Instillation of local anesthetic into the trachea via the cricothyroid membrane is MOST likely to block the internal branch of the superior laryngeal nerve, which provides sensory input from the lower pharynx and the upper part of the larynx, including the glottic surface of the epiglottis and the aryepiglottic folds." }</t>
  </si>
  <si>
    <t>{   "Answer": "A",   "Explain": "The superior laryngeal nerve block is the best nerve block to prevent gagging that occurs during awake intubation. This is because the superior laryngeal nerve provides sensory input from the lower pharynx and the upper part of the larynx, including the glottic surface of the epiglottis and the aryepiglottic folds, and blockade of this nerve may be achieved using one of three landmarks, such as the superior cornu of the hyoid or the superior cornu of the thyroid cartilage."</t>
  </si>
  <si>
    <t>{   "Answer": "A",   "Explain": "During general anesthesia, there is a reduction in core temperature due to ablation of thermoregulatory vasoconstriction, which leads to a decrease in heat production in the body." }</t>
  </si>
  <si>
    <t>{   "Answer": "A",   "Explain": "The patient's oxygen saturation decreased from 98% to 84% with an FiO2 of 0.5, but improved to 92% when the FiO2 was increased to 1.0. This suggests that there is a shunt, as the patient's hypoxemia was not corrected by increasing the FiO2, indicating that there is a lack of adequate oxygenation. Decreased FRC is a possible cause of hypoxemia, and increasing the FiO2 did improve the patient's oxygen saturation, making it the most likely cause of his hypoxemia."</t>
  </si>
  <si>
    <t>{   "Answer": "B",   "Explain": "The patient has a 40-year-old man who has complete anesthesia in the median, radial, and ulnar nerve distributions after supraclavicular block. Two hours of tourniquet inflation are required for completion of the procedure. Therefore, the most appropriate next step is to perform an intercostobrachial block to address the remaining area of sensory loss, which is not adequately blocked by the previous block."</t>
  </si>
  <si>
    <t>{   "Answer": "A",   "Explain": "After a single dose of propofol, the rapid emergence is primarily due to redistribution of the drug from fat tissue to other tissues and organs. Since its clearance rate exceeds liver blood flow, the kidneys and other extrahepatic sites play a significant role in propofol metabolism, contributing to its rapid clearance and short duration of action." }</t>
  </si>
  <si>
    <t>{   "Answer": "B",   "Explain": "After 30 minutes of stable anesthesia, the O2 analyzer reading decreased from 50% to 30%. This could be due to the accumulation of water on the O2 sensor membrane, which would reduce the O2 concentration reading, causing a false low reading."</t>
  </si>
  <si>
    <t>{   "Answer": "A",   "Explain": "After an induction dose of ketamine, the patient appears to be in a cataleptic state, with eyes remaining open with a slow nystagmic gaze, moderate dilation of the pupils, and an increase in skeletal muscle tone, despite being in a state of intense analgesia and amnesia." }</t>
  </si>
  <si>
    <t>{   "Answer": "C",   "Explain": "As compared with an IV dose of morphine, the most likely explanation for the decreased duration of action of an IV dose of fentanyl is its shorter elimination half-life. This means that fentanyl is cleared from the body more quickly, resulting in a shorter duration of action." }</t>
  </si>
  <si>
    <t>{   "Answer": "A",   "Explain": "The standard error of the mean (SEM) shows the precision of the population mean. It is a measure of how closely the sample mean represents the true population mean. The smaller the SEM, the more precise the sample mean is in estimating the population mean." }</t>
  </si>
  <si>
    <t>{     "Answer": "B",     "Explain": "Pulse oximetry may not accurately reflect SaO2 in situations like Carboxyhemoglobinemia, as carbon monoxide in the blood can cause inaccurate SpO2 readings." }</t>
  </si>
  <si>
    <t>{   "Answer": "B",   "Explain": "A patient with a fasting blood glucose of 100 mg/dL receiving a 4-hour general anesthetic for repair of tendon lacerations is not likely to experience a significant change in blood glucose levels. Therefore, mild hyperglycemia is the most likely expected outcome on emergence." }</t>
  </si>
  <si>
    <t>{     "Answer": "C",     "Explain": "Ranitidine, an H2 receptor antagonist, increases gastric fluid pH in pregnant women approximately one hour after administration without producing adverse effects, making it a suitable choice to increase gastric pH while decreasing gastric volume." }</t>
  </si>
  <si>
    <t>{   "Answer": "C",   "Explain": "Nitrous oxide has a lower blood gas solubility compared to desflurane, which means that its alveolar and inspired concentrations equilibrate more rapidly. When nitrous oxide is inhaled, it is taken up by the blood quickly, resulting in a higher partial pressure of oxygen in the alveoli, leading to a second gas effect that accelerates clearance."</t>
  </si>
  <si>
    <t>{   "Answer": "B",   "Explain": "Increasing O2 reserve in the Functional Residual Capacity (FRC) is the primary purpose of denitrogenation prior to anesthetic induction. Preoxygenation fills the patient's FRC with oxygen, increasing their oxygen reserve and allowing them to tolerate a longer period of apnea before oxygen desaturation occurs."</t>
  </si>
  <si>
    <t>{   "Answer": "A",   "Explain": "The injury to the left recurrent laryngeal nerve would cause unopposed adduction of the left vocal cord, resulting in adduction of the left vocal cord at rest." }</t>
  </si>
  <si>
    <t>{   "Answer": "A",   "Explain": "After breathing 100% O2 for 10 minutes, the expected mixed venous O2 tension is 45 mmHg, which is a normal value. According to normal physiological values, mixed venous O2 tension is around 40 mmHg, but it can range from 35 to 50 mmHg. Given the normal range, 45 mmHg is a reasonable and acceptable value for mixed venous O2 tension after 100% O2 therapy." }</t>
  </si>
  <si>
    <t>{   "Answer": "A",   "Explain": "According to the provided context, flumazenil has a very rapid clearance and short elimination half-life, making it the shortest-lived of all benzodiazepines used in anesthetic practice." }</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</si>
  <si>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</si>
  <si>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</si>
  <si>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"According to the text, for surgery at medial aspect of the lower leg, it is recommended that the femoral  or saphenous nerve can be blocked as cited in "For procedures that also involve that medial aspect of the leg, the femoral nerve can be-blocked, commonly at the addictor cancel, at the level of the knee.""}</t>
  </si>
  <si>
    <t>Json answer for your quiz with question:    {   "Answer":"A","Explain" : "The symptoms the patient is having, which is not severe reactions associated with the typical side medications administered as periametry surgery include opioid antagonists which would 0% of postepid opsinors' pain relief. "}   //end here</t>
  </si>
  <si>
    <t>{       "Answer" : "B_,       "Explain" : "HIV of normal saline is an appropriate initial management for a 68-year-old woman with hyperparathyroidism scheduled for surgery with a serum vitamin d isopropanol is appropriate, especially considering an IV administration." }</t>
  </si>
  <si>
    <t>Here is the required JSON answer:   {     "/Answer”: "B",  "Explain": “The genetic testing for the ryanodine receptor abnormality (RYR1 mutation), known as option (letter) B,  is recognized by both European Medic and in an effort standard for its “high degree specific, i specific.” According to data from 61 Malignant Hyperthermia Test Centers, a sensitivity and 97 specificity, it's used along with C-reactivity assay and in combination with muscle and test as confirmative tool.”</t>
  </si>
  <si>
    <t>{   "Answer": B,   "Explain": "The anesthetic added to the fresh gas stream is not only sevoflurane but also O2 based on the description '100mL/min O2 are bubbled together with anesthetic' and given flow rate to the vaporizer chamber. Since both gases add to the fresh gasflowing out, we require the mixed concentrations, which the amount of O2 to keep '79%" in 'O2" to calculate 150ml oxygen /79percent =4oomL sevoflurane per min' added'. The output fromthevolcanized mixed gas then combines witk a "fresco flow rate = 5 L-min.' Final composition as follows O; % and aneasthetic:.%". The mixed delivered anesthesia" accordingly at2.%.'. And' as such a close estimate can't be considered a 0.5%\ '. Then by comparingthe providedoptions A.O.'25%. B0.?1.5'%C.251."</t>
  </si>
  <si>
    <t>None</t>
  </si>
  <si>
    <t>Here would be the answer in the requested JSON format:  {   "Answer": "no explanation provided",    "Error": None }  According to an extensive manual search without finding a direct hint on shivering genesis nor detailed accounts  I donnot feel confident providing a qualified statement,  Therefore cannot give an assured "best possible response", No more. Please let us go in peace!</t>
  </si>
  <si>
    <t>{     "Answer": "C",     "Explain**: Since midazolam is the first benzodiazepine to be released followed by an increase in benzodial's activity, if Flumazenil reverses midaximazolm sedation within a much shorter period than required for other agonists (which require up to 33mg/kg of brixolamine to recover 1 hour or more after being put to sleep using midzzol to regain consciousness within an hour), there is certainly enough sedative benzodaid. Because this suggests.</t>
  </si>
  <si>
    <t>{   "Answer": "B",   "Explain": "Patient position also plays an important role in affecting the extent of spread of local anesthetic aftersubarachnoid block. This was demonstrated in the provided document which highlighted various factors, including added drugs, volume, patientsurvive\n")</t>
  </si>
  <si>
    <t>{   "Answer": B,   "Explain": "Hemofiltration for hypoxia due to hypoglycardias with excessive fluids which should be avoided as this could lead to further worsening both oxygenation and airway resistance." }</t>
  </si>
  <si>
    <t>{   "Answer": "B",   "Explain": "The patient is development symptoms such as nausea, diaphoresis, and sharp pain in the left shoulder, which is inconsistent with inadequate sensory block by spinal anesthetic. The symptoms suggest a medical crisis, such as a rare but serious complication of intraperitoneal perforation or peritoneo-vessel puncture, requiring immediate recognition from the anesthesiologist and potential surgical intervention."</t>
  </si>
  <si>
    <t>{   Answer: "B",   "Explain": "Comression of the vena cava most probably accounts for the decrease in blood oxygen saturation as it can lead to decreasing arterial oxygen saturation due to desaturated aerial blood. Moreover, because of the unchanged vital capacity settings on the ventilator, a problem arises related to hypostress caused due to oxygen inadequacy resulting in blood carbon dioxide build-up and desaturation." }"</t>
  </si>
  <si>
    <t>{   "Answer": "B",   "Explain": "Absorption of CO2 from the abdomen is a complication encountered mostly in laparoscopic surgery and is not the likely cause of hypoxemia without pulmonary and/ or thoracic causes listed, especially given the presence of spontaneous ventilation and no severe cardiorespiratory conditions, where oxygen SaO2  is still 90% (on room air). This suggests that the hypoxemia in this context is more directly affected by alterations in ventilation, particularly hypoventilation, especially in a setting where respiratory function disturbances such as hypoventilation and respiratory depression, from morphine PCA, should generally be monitored."</t>
  </si>
  <si>
    <t>{   "Answer": A,   "Explain": "Pressure support breaths in a patient receiving pressure support ventilation are not triggered specifically by a decrease in airway pressure. Instead, they are triggered by respiratory effort triggered breaths where a patient initiates spontaneous breathing triggering the mechanical ventilator."   }</t>
  </si>
  <si>
    <t>{   "Answer": B,   "Explain": "An increase in coronary perfusion pressure can allow for a temporary increase in O2 delivery to meet the demand created by the increased heart rate, hence making option B the most likely option to satisfy the increased myocardial demand during anesthesia"</t>
  </si>
  <si>
    <t>Json answer would look like:</t>
  </si>
  <si>
    <t>{   Answer: "B",   "Explain": "ECG synchronization is recommended to prevent ventricular dysrhythmias in patients undergoing ESBL. The shock waves in ESWL are timed with the patient's heart rate and are triggered by the R wave on the electrode. This is done to avoid inducing ventricular activation and synchronizing the heart activity with respect to the electroshocks, hence minimizing the risk of dysrhythmias such as cardiac bradydysrhythmias, tachycardias, ventricular couplets and nonspecific IARUs, as described in a study by Carl D, at  al. (GrabensteinJS, et  al, 1986) "</t>
  </si>
  <si>
    <t>{     "A. Less rebreathing of CO2",     "Explain": "Compared with a semi-closed circle system, the Bain circuit does not completely recirculate exhaled gases back to the patients; rather, fresh gas flows into the tube as well as the patient, diluting gases enriched in inhaled compounds, hence preventing substantial changes in inhaled concentrations thereby reducing the rebreathing of carbon dioxide."</t>
  </si>
  <si>
    <t>Here is the answer in JSON format.  {"Answer": "A",  "Explain": "As the patient's body position was changed during the surgery in lateral position, there is a normal, expected slope in Phase III which shifts abruptly and higher levels. It suggests respiratory depression due to administration anaesthetic agents increasing tidal volume which can flatten and shift Phase III, specifically at point A and B."}</t>
  </si>
  <si>
    <t>{   "Answer": "C",   "Explain": "A previously allergicted patient given cefazolin who develops new symptoms needs immediate antifebra therapy to prevent skin desquamation after re- development of penicillary symptoms if cephazolin is administered instead of switching to antifebraquin antibiotic such as vanty cia to vanquesh allergic and pen icicillin sensitive allergies." }</t>
  </si>
  <si>
    <t>{     "Answer": "B",     "Explain": "Chronic ethanol abuse decreases the maximum allowance index pressure (MAC) bar. Isoflr an, one of several factors that raise or decrease cerebral respiratory arrest, the level of inosine will do so at." }</t>
  </si>
  <si>
    <t>{     "Answer": "A",     "Explain": "P1. In medical context we are presented data about the primary toxic effect bupincain has to Cardio vessel system. This indicates a direct physiological consequence. The BCS shows clear correlation; according the given studies in '54 Cardiac Toxicity of Local Anstethesia' it is stated, in a way to summarize: There were studied cases showing rapid and profond cardiovascular depression cause of local agents that might have caused the cardiovascular depression. That could cause this but only be, by and by an overall summary."}</t>
  </si>
  <si>
    <t>{  "Answer": "C",  "Explain": "Rightward shift can occur due to a variety of causes but a notable one mentioned among others is 'hyperthermia'. Hence most likely cause of the question in conditions like exercise-Indiced hyperalgesia and others leading from an increase of temperature of the environment causing increase of rightward shift or hyperpolarity."</t>
  </si>
  <si>
    <t>{   "Answer" : B,   "Explain" : "In clinical hypothyroidism, as cardiovascular risk increases, a lower rate may be present, which could potentially reduce cardiac contraction. This would accordingly explain that "A. MAC and C. Peripheral vascular tone," don't exactly show lower levels. Lower contractility is a result, also the primary cause can explain reduced systemic vascular tone at this time," }</t>
  </si>
  <si>
    <t>Here is the answer in JSON format: {   "Answer": "A",   "Explain":"Methohexital is  MOST likely to be associated with longer seizure duration when used for electroconvulsive therapy." }</t>
  </si>
  <si>
    <t>{ "Answer": "A", "Hence": "" Etalomidac is the agent whose GAIN enhances, although some information notes that it affects GABAA, its action.</t>
  </si>
  <si>
    <t>{   "Answer": B,   "Explain": "According to the given circle respiratory anatomy diagram, which presents a Classic Circle Breathing System, in the circular arrangement of anestethizing units shown by Y, 'there must be CO2 eliminators' which are carbon dioxide, absorbers." }</t>
  </si>
  <si>
    <t>{   "Answer": "A",   "Explain": "Because an anesthetic with high lipid solubility can quickly redistribute or penetrate tissues with high lipid content, it is more likely to have a very large volume of distribution." }</t>
  </si>
  <si>
    <t>{  "Answer": "B", "Explain": "According to the text, it is mentioned: \"The elimination half-life of rocuronium is increased in renal failure because of an increase in the volume of distribution with no change in clearance. This increase might account for a longer duration of action in anephric patients, given no clinical study significance." indicating that of the available options, rocuronium has the longestest duration of anergy, even in patients with renal failure with plasma K+ concentrations within the normal range.`</t>
  </si>
  <si>
    <t>**{"Answer: "C", "Explain": "Instillation of local anesthetic into the trachea via the cricothyroid membrane will most likely block the recurrent laryngeal nerve, which is located adjacent to the cricoid cartilage along this route."}**</t>
  </si>
  <si>
    <t>{    "Answer": "A",    "Explain": "Alocal anesthetic block of the inferior (as opposed to glossopharyngeal block) provides the best pre-existing lysis gag that can occur during awake airway manipulation."</t>
  </si>
  <si>
    <t>{ "Answer": A, "Explain": "A rapid decrease in core temperature often occurs during anesthesia due to anesthesia-induced vasodilation, environmental cooling, and even heat loss in surgical skin exposure, resulting in an imbalance between core heat and peripheral warmth redistribution, thus Ablation of thermoregulatory vasoconstriction is most likely responsible for causing this initial temperature decrease compared to other factors like peripheral cooling or convection in the atmosphere where ambient room temperature does play a noticeable effects on body cooling" }</t>
  </si>
  <si>
    <t>{   "Answer": A,   "Explain": "The most likely cause of 86-year-old man hypoxemia is "decreased FRC with intrapulmonary right-to-left shunting or intra-alveolar alveollarpresummum shunting" from a lung with hypoxia as stated in the problem description that after an oxygen dose increase by making the most effort. After the administration of oxygen to a certain volume can further reduce to decrease. However, an 80-year-ling at the 84% Fi2 can continue to maintain high OI; which was. At high altitude in young patient due to oxygen rich air in lung.</t>
  </si>
  <si>
    <t>{     Answer: "C",     Explain: "Given that the patient's median, radial, and ulnar nerves have complete anesthesia after supraclavicular block, the most plausible reason for the anesthestised distribution is a blockade of the lumbarp plexus. To solve this issue, the required supplementary block of the Musculocutaneous nerve for adequate anesthesia is necessary."</t>
  </si>
  <si>
    <t>{   Answer: "A",   "Explain": "Principally responsible for the emergence aftermath of a single dose of Propofol is redistribution, meaning fat tissues act as a primary reservoir absorbing the anaesthesia agent, which can take about a day to return its normal physiological profile, rather than metabolization through either metabolism (by liver), and excretion which have been discussed in other sections) as a way that is typically quick with propofol, as evident from mentioned information that after a bolus injection, plasma concentration does descend swiftly, thus allowing the affected people to recover gradually from its impact in a duration roughly spread approximately across two tofour hours once a small range anesthesia."</t>
  </si>
  <si>
    <t>{   "Answer": "B",   "Explain": "A decrease in O2 analyzer reading from 50% to 30% occurring 30 minutes after achieving stable anesthesia delivery and O2 settings on the anesthesia machine. This can only be caused by a mechanical component, and given the initial stable O2 delivery and no notable mechanical interventions between times, leakage of water on to O2 sensor membrane most likely causes the DECREASE in oxygen concentration on analysis resulting in decreased reading." }</t>
  </si>
  <si>
    <t>{     "Answer": "A",     "Explain": "After an induction dose of ketamine, the appearance of the patient includes intensive analgesia, apparent coordinated but goalless extreme limb movements, retention of eyes open with a slow-blurred vigil, strong bronchiolar dilation, and lacramination."</t>
  </si>
  <si>
    <t>{ Answer: "A", Explain: "A shorter duration of action of IV dose of fentanyl is mainly due to its greater lipid solubility, which enables more lipid molecules to cross the membrane more rapidly, making its effects felt more sharply but less maintainably than morphine, hence its onset was more rapid and its activity reduces faster." }</t>
  </si>
  <si>
    <t>{   Answer: "A",   "Explaination": "SEMA in which to establish confidence in a reported \nexample of SER loss without knowing whether the 25 ms criterion might \nsomething unexpected, and for that \nthese differences may not be expected to\nthis paper\nthese data, or their  clinical significance\n\nnot have as serious a\nfor estimating left intra-cardiac systolic ejection periods.)}\no'clockwise, \nalve pressure-volume response will generally include systole and pressure,\nin left ventriclary. This study also included cases 37:50 45}\nuWave\nand the patient, pressure waveform displayed in Figures to see\nCXR),\na mean volume increase; both\nthe waveform displays a \ndiatric failure patients.  The second\n1A), which contains some degree more marked as there have \no\ndefining changes in systolic pressure is likely \nleft-heart pressures\nother studies. To answer \nalso display a'a\ncounts all responses \nthedding, respectively.\n, not only provide a different &lt;IMAGE&gt;"),</t>
  </si>
  <si>
    <t>{     "Answer": B,     "Explain": "Pulse oximetry accurately reflects SaO2 during carboxyhemoglobinema (smoking carbon with pure nitrous), which is absorbed into the skin. Carbon-monodoxide has a bright red color and easily absorbs lights, making it easy for photodetectors to detect as the major component has a bright, blood hemocyanology that blocks any optical." }</t>
  </si>
  <si>
    <t>{   "Answer": "C",   "Explain": "A patient already has a preoperatively stable blood glucose level of 100mg/dL and is fast asleep postinduction. After 4 hours of general anesthesia, it's unlikely to expect a significant elevation in blood glucose, thus, mild hypoglycemia (80-100mg/dL) instead might be more likely, not the more rare extreme cases. With anesthesia, patient's cortisol and epinephrine can be dampened, increasing hypoglycaemic tendency."</t>
  </si>
  <si>
    <t>{     "Answer": "C",     "Explain": "Ranitidine is an anti-reflux medication that increases gastric pH."</t>
  </si>
  <si>
    <t>Here's a possible query and output.  Output:  If nitrous oxide, one with low anesthetic solubility has characteristics. It creates reverse effects on blood  and the concentration gradient. The nitrous   Acceptation. Higher  inspiratory nitrous dioxide concentration cause. Of nitrous   {   "Answer": "C",   "Explain": "Delivery of high inspired concentrations of a low-binding gas, like N2O, also helps its anesthetic clearance, thereby reducing the alveolar concentrations more quickly further equilibriaging fast."</t>
  </si>
  <si>
    <t>Here's the required answer in JSON format:  {   "Answer": "C",   "Explain": "The PRIMARY purpose of denitrogenation prior to anesthetic induction is to increase the patient's reserve of oxygen while apneic, maximizing arterial O2 content."</t>
  </si>
  <si>
    <t>{   "Answer": "B",   "Explain": "A 32-year-old woman sustains an injury to the dominant Recurrent Laryngeal Neve (non-selective) during Thyroidectomy and its consequences would result in both Adductor paralysis Bilateral Vocal Cord paralisis and unimposed paralysis due to no action of Vagal Reflex would causes to severe respiratory insufficiency in breathing resulting to loss Breath sounds Aphonia. Bilature vocal cord paralysis occurs from nerve damage bilatrales resulting in loss breath control."</t>
  </si>
  <si>
    <t>{   "Answer": B,   "Explain": "The question asks about the mixed venous O2 tension in a normal adult after breathing 100% O2 for 10 minutes. Normal mixed venous PO2 is typically considered as 40 mm Hg (as mentioned in the context). Under the condition of hypoxic priming of O2 delivery with room air (breathing atmospheric air), and subsequent increased FIO2 breathing, there will be increased pulmonary venticulation which normally accompanies acute hypoxia, as in a healthy unbroken adult in our example. Therefore we increase from, we will then be able from these observations by the equation; 200 mm Hg / (Retic Per. -25 mm Hg)."</t>
  </si>
  <si>
    <t>{   "Answer": 12-17" hours" or that in many of, but lorazeprom in 15   "Explain": Remik 12, short of the and of. I dona.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</si>
</sst>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6"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6" numFmtId="0" xfId="0" applyAlignment="1" applyBorder="1" applyFont="1">
      <alignment horizontal="lef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29</v>
      </c>
      <c r="D5" s="14">
        <f t="shared" si="1"/>
        <v>29</v>
      </c>
      <c r="E5" s="14">
        <f t="shared" si="1"/>
        <v>29</v>
      </c>
      <c r="F5" s="14">
        <f t="shared" si="1"/>
        <v>29</v>
      </c>
      <c r="G5" s="14">
        <f t="shared" si="1"/>
        <v>24</v>
      </c>
      <c r="H5" s="14">
        <f t="shared" si="1"/>
        <v>29</v>
      </c>
      <c r="I5" s="14">
        <f t="shared" si="1"/>
        <v>27</v>
      </c>
      <c r="J5" s="14">
        <f t="shared" si="1"/>
        <v>20</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6">
        <f t="shared" si="2"/>
        <v>0.6304347826</v>
      </c>
      <c r="D7" s="17">
        <f t="shared" si="2"/>
        <v>0.6304347826</v>
      </c>
      <c r="E7" s="17">
        <f t="shared" si="2"/>
        <v>0.6304347826</v>
      </c>
      <c r="F7" s="17">
        <f t="shared" si="2"/>
        <v>0.6304347826</v>
      </c>
      <c r="G7" s="17">
        <f t="shared" si="2"/>
        <v>0.5217391304</v>
      </c>
      <c r="H7" s="17">
        <f t="shared" si="2"/>
        <v>0.6304347826</v>
      </c>
      <c r="I7" s="17">
        <f t="shared" si="2"/>
        <v>0.5869565217</v>
      </c>
      <c r="J7" s="17">
        <f t="shared" si="2"/>
        <v>0.4347826087</v>
      </c>
      <c r="K7" s="18"/>
    </row>
    <row r="8">
      <c r="A8" s="19">
        <v>1.0</v>
      </c>
      <c r="B8" s="20" t="s">
        <v>16</v>
      </c>
      <c r="C8" s="21" t="s">
        <v>16</v>
      </c>
      <c r="D8" s="22" t="s">
        <v>16</v>
      </c>
      <c r="E8" s="23" t="s">
        <v>16</v>
      </c>
      <c r="F8" s="23" t="s">
        <v>16</v>
      </c>
      <c r="G8" s="23" t="s">
        <v>17</v>
      </c>
      <c r="H8" s="24" t="s">
        <v>16</v>
      </c>
      <c r="I8" s="23" t="s">
        <v>16</v>
      </c>
      <c r="J8" s="23" t="s">
        <v>16</v>
      </c>
    </row>
    <row r="9">
      <c r="A9" s="19">
        <v>2.0</v>
      </c>
      <c r="B9" s="20" t="s">
        <v>16</v>
      </c>
      <c r="C9" s="21" t="s">
        <v>16</v>
      </c>
      <c r="D9" s="25" t="s">
        <v>16</v>
      </c>
      <c r="E9" s="26" t="s">
        <v>16</v>
      </c>
      <c r="F9" s="26" t="s">
        <v>16</v>
      </c>
      <c r="G9" s="26" t="s">
        <v>16</v>
      </c>
      <c r="H9" s="27" t="s">
        <v>16</v>
      </c>
      <c r="I9" s="26" t="s">
        <v>16</v>
      </c>
      <c r="J9" s="26" t="s">
        <v>17</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17</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17</v>
      </c>
    </row>
    <row r="14">
      <c r="A14" s="19">
        <v>7.0</v>
      </c>
      <c r="B14" s="20" t="s">
        <v>16</v>
      </c>
      <c r="C14" s="21" t="s">
        <v>17</v>
      </c>
      <c r="D14" s="25" t="s">
        <v>17</v>
      </c>
      <c r="E14" s="26" t="s">
        <v>17</v>
      </c>
      <c r="F14" s="26" t="s">
        <v>17</v>
      </c>
      <c r="G14" s="26" t="s">
        <v>17</v>
      </c>
      <c r="H14" s="27" t="s">
        <v>17</v>
      </c>
      <c r="I14" s="26" t="s">
        <v>17</v>
      </c>
      <c r="J14" s="26" t="s">
        <v>16</v>
      </c>
    </row>
    <row r="15">
      <c r="A15" s="19">
        <v>8.0</v>
      </c>
      <c r="B15" s="20" t="s">
        <v>16</v>
      </c>
      <c r="C15" s="21" t="s">
        <v>16</v>
      </c>
      <c r="D15" s="25" t="s">
        <v>16</v>
      </c>
      <c r="E15" s="26" t="s">
        <v>16</v>
      </c>
      <c r="F15" s="26" t="s">
        <v>16</v>
      </c>
      <c r="G15" s="26" t="s">
        <v>16</v>
      </c>
      <c r="H15" s="27" t="s">
        <v>16</v>
      </c>
      <c r="I15" s="26" t="s">
        <v>17</v>
      </c>
      <c r="J15" s="26" t="s">
        <v>16</v>
      </c>
    </row>
    <row r="16">
      <c r="A16" s="19">
        <v>9.0</v>
      </c>
      <c r="B16" s="20" t="s">
        <v>17</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17</v>
      </c>
      <c r="H17" s="27" t="s">
        <v>16</v>
      </c>
      <c r="I17" s="26" t="s">
        <v>16</v>
      </c>
      <c r="J17" s="26" t="s">
        <v>16</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17</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17</v>
      </c>
    </row>
    <row r="23">
      <c r="A23" s="19">
        <v>16.0</v>
      </c>
      <c r="B23" s="20" t="s">
        <v>17</v>
      </c>
      <c r="C23" s="21" t="s">
        <v>17</v>
      </c>
      <c r="D23" s="25" t="s">
        <v>17</v>
      </c>
      <c r="E23" s="26" t="s">
        <v>17</v>
      </c>
      <c r="F23" s="26" t="s">
        <v>17</v>
      </c>
      <c r="G23" s="26" t="s">
        <v>16</v>
      </c>
      <c r="H23" s="27" t="s">
        <v>17</v>
      </c>
      <c r="I23" s="26" t="s">
        <v>17</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17</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17</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17</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16</v>
      </c>
      <c r="C40" s="21" t="s">
        <v>16</v>
      </c>
      <c r="D40" s="25" t="s">
        <v>16</v>
      </c>
      <c r="E40" s="26" t="s">
        <v>16</v>
      </c>
      <c r="F40" s="26" t="s">
        <v>16</v>
      </c>
      <c r="G40" s="26" t="s">
        <v>17</v>
      </c>
      <c r="H40" s="27" t="s">
        <v>16</v>
      </c>
      <c r="I40" s="26" t="s">
        <v>16</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16</v>
      </c>
      <c r="E47" s="26" t="s">
        <v>16</v>
      </c>
      <c r="F47" s="26" t="s">
        <v>16</v>
      </c>
      <c r="G47" s="26" t="s">
        <v>17</v>
      </c>
      <c r="H47" s="27" t="s">
        <v>16</v>
      </c>
      <c r="I47" s="26" t="s">
        <v>16</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17</v>
      </c>
    </row>
    <row r="51">
      <c r="A51" s="19">
        <v>44.0</v>
      </c>
      <c r="B51" s="20" t="s">
        <v>16</v>
      </c>
      <c r="C51" s="21" t="s">
        <v>16</v>
      </c>
      <c r="D51" s="25" t="s">
        <v>16</v>
      </c>
      <c r="E51" s="26" t="s">
        <v>16</v>
      </c>
      <c r="F51" s="26" t="s">
        <v>16</v>
      </c>
      <c r="G51" s="26" t="s">
        <v>17</v>
      </c>
      <c r="H51" s="27" t="s">
        <v>16</v>
      </c>
      <c r="I51" s="26" t="s">
        <v>16</v>
      </c>
      <c r="J51" s="26" t="s">
        <v>17</v>
      </c>
    </row>
    <row r="52">
      <c r="A52" s="19">
        <v>45.0</v>
      </c>
      <c r="B52" s="20" t="s">
        <v>16</v>
      </c>
      <c r="C52" s="21" t="s">
        <v>16</v>
      </c>
      <c r="D52" s="25" t="s">
        <v>16</v>
      </c>
      <c r="E52" s="26" t="s">
        <v>16</v>
      </c>
      <c r="F52" s="26" t="s">
        <v>16</v>
      </c>
      <c r="G52" s="26" t="s">
        <v>16</v>
      </c>
      <c r="H52" s="27" t="s">
        <v>16</v>
      </c>
      <c r="I52" s="26" t="s">
        <v>16</v>
      </c>
      <c r="J52" s="26" t="s">
        <v>17</v>
      </c>
    </row>
    <row r="53">
      <c r="A53" s="19">
        <v>46.0</v>
      </c>
      <c r="B53" s="28" t="s">
        <v>16</v>
      </c>
      <c r="C53" s="29" t="s">
        <v>16</v>
      </c>
      <c r="D53" s="30" t="s">
        <v>16</v>
      </c>
      <c r="E53" s="31" t="s">
        <v>16</v>
      </c>
      <c r="F53" s="31" t="s">
        <v>16</v>
      </c>
      <c r="G53" s="31" t="s">
        <v>16</v>
      </c>
      <c r="H53" s="32" t="s">
        <v>16</v>
      </c>
      <c r="I53" s="31" t="s">
        <v>16</v>
      </c>
      <c r="J53" s="31" t="s">
        <v>17</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v>26862.0</v>
      </c>
    </row>
    <row r="5" ht="60.0" customHeight="1">
      <c r="A5" s="40">
        <v>2.0</v>
      </c>
      <c r="B5" s="41" t="s">
        <v>38</v>
      </c>
      <c r="C5" s="41" t="s">
        <v>39</v>
      </c>
      <c r="D5" s="41" t="s">
        <v>40</v>
      </c>
      <c r="E5" s="41" t="s">
        <v>41</v>
      </c>
      <c r="F5" s="40" t="str">
        <f t="shared" si="1"/>
        <v>CORRECT</v>
      </c>
      <c r="G5" s="40" t="s">
        <v>42</v>
      </c>
      <c r="H5" s="44" t="s">
        <v>42</v>
      </c>
      <c r="I5" s="43" t="s">
        <v>43</v>
      </c>
      <c r="J5" s="44">
        <v>35658.0</v>
      </c>
    </row>
    <row r="6" ht="60.0" customHeight="1">
      <c r="A6" s="40">
        <v>3.0</v>
      </c>
      <c r="B6" s="41" t="s">
        <v>44</v>
      </c>
      <c r="C6" s="41" t="s">
        <v>45</v>
      </c>
      <c r="D6" s="41" t="s">
        <v>46</v>
      </c>
      <c r="E6" s="41" t="s">
        <v>47</v>
      </c>
      <c r="F6" s="40" t="str">
        <f t="shared" si="1"/>
        <v>CORRECT</v>
      </c>
      <c r="G6" s="40" t="s">
        <v>48</v>
      </c>
      <c r="H6" s="44" t="s">
        <v>48</v>
      </c>
      <c r="I6" s="43" t="s">
        <v>49</v>
      </c>
      <c r="J6" s="44">
        <v>31091.0</v>
      </c>
    </row>
    <row r="7" ht="60.0" customHeight="1">
      <c r="A7" s="40">
        <v>4.0</v>
      </c>
      <c r="B7" s="41" t="s">
        <v>50</v>
      </c>
      <c r="C7" s="41" t="s">
        <v>51</v>
      </c>
      <c r="D7" s="41" t="s">
        <v>52</v>
      </c>
      <c r="E7" s="41" t="s">
        <v>53</v>
      </c>
      <c r="F7" s="40" t="str">
        <f t="shared" si="1"/>
        <v>CORRECT</v>
      </c>
      <c r="G7" s="40" t="s">
        <v>42</v>
      </c>
      <c r="H7" s="44" t="s">
        <v>42</v>
      </c>
      <c r="I7" s="43" t="s">
        <v>54</v>
      </c>
      <c r="J7" s="44">
        <v>23112.0</v>
      </c>
    </row>
    <row r="8" ht="60.0" customHeight="1">
      <c r="A8" s="40">
        <v>5.0</v>
      </c>
      <c r="B8" s="41" t="s">
        <v>55</v>
      </c>
      <c r="C8" s="41" t="s">
        <v>56</v>
      </c>
      <c r="D8" s="41" t="s">
        <v>57</v>
      </c>
      <c r="E8" s="41" t="s">
        <v>58</v>
      </c>
      <c r="F8" s="40" t="str">
        <f t="shared" si="1"/>
        <v>CORRECT</v>
      </c>
      <c r="G8" s="40" t="s">
        <v>48</v>
      </c>
      <c r="H8" s="42" t="s">
        <v>48</v>
      </c>
      <c r="I8" s="43" t="s">
        <v>59</v>
      </c>
      <c r="J8" s="44">
        <v>46656.0</v>
      </c>
    </row>
    <row r="9" ht="60.0" customHeight="1">
      <c r="A9" s="40">
        <v>6.0</v>
      </c>
      <c r="B9" s="41" t="s">
        <v>60</v>
      </c>
      <c r="C9" s="41" t="s">
        <v>61</v>
      </c>
      <c r="D9" s="41" t="s">
        <v>62</v>
      </c>
      <c r="E9" s="41" t="s">
        <v>63</v>
      </c>
      <c r="F9" s="40" t="str">
        <f t="shared" si="1"/>
        <v>CORRECT</v>
      </c>
      <c r="G9" s="40" t="s">
        <v>42</v>
      </c>
      <c r="H9" s="44" t="s">
        <v>42</v>
      </c>
      <c r="I9" s="43" t="s">
        <v>64</v>
      </c>
      <c r="J9" s="44">
        <v>37080.0</v>
      </c>
    </row>
    <row r="10" ht="60.0" customHeight="1">
      <c r="A10" s="40">
        <v>7.0</v>
      </c>
      <c r="B10" s="41" t="s">
        <v>65</v>
      </c>
      <c r="C10" s="41" t="s">
        <v>66</v>
      </c>
      <c r="D10" s="41" t="s">
        <v>67</v>
      </c>
      <c r="E10" s="41" t="s">
        <v>68</v>
      </c>
      <c r="F10" s="40" t="str">
        <f t="shared" si="1"/>
        <v>CORRECT</v>
      </c>
      <c r="G10" s="40" t="s">
        <v>42</v>
      </c>
      <c r="H10" s="44" t="s">
        <v>42</v>
      </c>
      <c r="I10" s="43" t="s">
        <v>69</v>
      </c>
      <c r="J10" s="44">
        <v>32530.0</v>
      </c>
    </row>
    <row r="11" ht="60.0" customHeight="1">
      <c r="A11" s="40">
        <v>8.0</v>
      </c>
      <c r="B11" s="41" t="s">
        <v>70</v>
      </c>
      <c r="C11" s="41" t="s">
        <v>71</v>
      </c>
      <c r="D11" s="41" t="s">
        <v>72</v>
      </c>
      <c r="E11" s="41" t="s">
        <v>73</v>
      </c>
      <c r="F11" s="40" t="str">
        <f t="shared" si="1"/>
        <v>CORRECT</v>
      </c>
      <c r="G11" s="40" t="s">
        <v>48</v>
      </c>
      <c r="H11" s="44" t="s">
        <v>48</v>
      </c>
      <c r="I11" s="43" t="s">
        <v>74</v>
      </c>
      <c r="J11" s="44">
        <v>36818.0</v>
      </c>
    </row>
    <row r="12" ht="60.0" customHeight="1">
      <c r="A12" s="40">
        <v>9.0</v>
      </c>
      <c r="B12" s="41" t="s">
        <v>75</v>
      </c>
      <c r="C12" s="41" t="s">
        <v>76</v>
      </c>
      <c r="D12" s="41" t="s">
        <v>77</v>
      </c>
      <c r="E12" s="41" t="s">
        <v>78</v>
      </c>
      <c r="F12" s="40" t="str">
        <f t="shared" si="1"/>
        <v>WRONG</v>
      </c>
      <c r="G12" s="40" t="s">
        <v>42</v>
      </c>
      <c r="H12" s="44" t="s">
        <v>48</v>
      </c>
      <c r="I12" s="43" t="s">
        <v>79</v>
      </c>
      <c r="J12" s="44">
        <v>34825.0</v>
      </c>
    </row>
    <row r="13" ht="60.0" customHeight="1">
      <c r="A13" s="40">
        <v>10.0</v>
      </c>
      <c r="B13" s="41" t="s">
        <v>80</v>
      </c>
      <c r="C13" s="41" t="s">
        <v>81</v>
      </c>
      <c r="D13" s="41" t="s">
        <v>82</v>
      </c>
      <c r="E13" s="41" t="s">
        <v>83</v>
      </c>
      <c r="F13" s="40" t="str">
        <f t="shared" si="1"/>
        <v>CORRECT</v>
      </c>
      <c r="G13" s="40" t="s">
        <v>48</v>
      </c>
      <c r="H13" s="44" t="s">
        <v>48</v>
      </c>
      <c r="I13" s="43" t="s">
        <v>84</v>
      </c>
      <c r="J13" s="44">
        <v>27604.0</v>
      </c>
    </row>
    <row r="14" ht="60.0" customHeight="1">
      <c r="A14" s="40">
        <v>11.0</v>
      </c>
      <c r="B14" s="41" t="s">
        <v>85</v>
      </c>
      <c r="C14" s="41" t="s">
        <v>86</v>
      </c>
      <c r="D14" s="41" t="s">
        <v>87</v>
      </c>
      <c r="E14" s="41" t="s">
        <v>88</v>
      </c>
      <c r="F14" s="40" t="str">
        <f t="shared" si="1"/>
        <v>WRONG</v>
      </c>
      <c r="G14" s="40" t="s">
        <v>42</v>
      </c>
      <c r="H14" s="42" t="s">
        <v>48</v>
      </c>
      <c r="I14" s="43" t="s">
        <v>89</v>
      </c>
      <c r="J14" s="44">
        <v>47149.0</v>
      </c>
    </row>
    <row r="15" ht="60.0" customHeight="1">
      <c r="A15" s="40">
        <v>12.0</v>
      </c>
      <c r="B15" s="41" t="s">
        <v>90</v>
      </c>
      <c r="C15" s="41" t="s">
        <v>91</v>
      </c>
      <c r="D15" s="41" t="s">
        <v>92</v>
      </c>
      <c r="E15" s="41" t="s">
        <v>93</v>
      </c>
      <c r="F15" s="40" t="str">
        <f t="shared" si="1"/>
        <v>CORRECT</v>
      </c>
      <c r="G15" s="40" t="s">
        <v>48</v>
      </c>
      <c r="H15" s="42" t="s">
        <v>48</v>
      </c>
      <c r="I15" s="43" t="s">
        <v>94</v>
      </c>
      <c r="J15" s="44">
        <v>36696.0</v>
      </c>
    </row>
    <row r="16" ht="60.0" customHeight="1">
      <c r="A16" s="40">
        <v>13.0</v>
      </c>
      <c r="B16" s="41" t="s">
        <v>95</v>
      </c>
      <c r="C16" s="41" t="s">
        <v>96</v>
      </c>
      <c r="D16" s="41" t="s">
        <v>97</v>
      </c>
      <c r="E16" s="41" t="s">
        <v>98</v>
      </c>
      <c r="F16" s="40" t="str">
        <f t="shared" si="1"/>
        <v>CORRECT</v>
      </c>
      <c r="G16" s="40" t="s">
        <v>36</v>
      </c>
      <c r="H16" s="44" t="s">
        <v>36</v>
      </c>
      <c r="I16" s="43" t="s">
        <v>99</v>
      </c>
      <c r="J16" s="44">
        <v>24117.0</v>
      </c>
    </row>
    <row r="17" ht="60.0" customHeight="1">
      <c r="A17" s="40">
        <v>14.0</v>
      </c>
      <c r="B17" s="41" t="s">
        <v>100</v>
      </c>
      <c r="C17" s="41" t="s">
        <v>101</v>
      </c>
      <c r="D17" s="41" t="s">
        <v>102</v>
      </c>
      <c r="E17" s="41" t="s">
        <v>103</v>
      </c>
      <c r="F17" s="40" t="str">
        <f t="shared" si="1"/>
        <v>WRONG</v>
      </c>
      <c r="G17" s="40" t="s">
        <v>36</v>
      </c>
      <c r="H17" s="42" t="s">
        <v>48</v>
      </c>
      <c r="I17" s="43" t="s">
        <v>104</v>
      </c>
      <c r="J17" s="44">
        <v>38834.0</v>
      </c>
    </row>
    <row r="18" ht="60.0" customHeight="1">
      <c r="A18" s="40">
        <v>15.0</v>
      </c>
      <c r="B18" s="41" t="s">
        <v>105</v>
      </c>
      <c r="C18" s="41" t="s">
        <v>106</v>
      </c>
      <c r="D18" s="41" t="s">
        <v>107</v>
      </c>
      <c r="E18" s="41" t="s">
        <v>108</v>
      </c>
      <c r="F18" s="40" t="str">
        <f t="shared" si="1"/>
        <v>CORRECT</v>
      </c>
      <c r="G18" s="40" t="s">
        <v>48</v>
      </c>
      <c r="H18" s="42" t="s">
        <v>48</v>
      </c>
      <c r="I18" s="43" t="s">
        <v>109</v>
      </c>
      <c r="J18" s="44">
        <v>37655.0</v>
      </c>
    </row>
    <row r="19" ht="60.0" customHeight="1">
      <c r="A19" s="40">
        <v>16.0</v>
      </c>
      <c r="B19" s="41" t="s">
        <v>110</v>
      </c>
      <c r="C19" s="41" t="s">
        <v>111</v>
      </c>
      <c r="D19" s="41" t="s">
        <v>112</v>
      </c>
      <c r="E19" s="41" t="s">
        <v>113</v>
      </c>
      <c r="F19" s="40" t="str">
        <f t="shared" si="1"/>
        <v>WRONG</v>
      </c>
      <c r="G19" s="40" t="s">
        <v>48</v>
      </c>
      <c r="H19" s="42" t="s">
        <v>36</v>
      </c>
      <c r="I19" s="43" t="s">
        <v>114</v>
      </c>
      <c r="J19" s="44">
        <v>35314.0</v>
      </c>
    </row>
    <row r="20" ht="60.0" customHeight="1">
      <c r="A20" s="40">
        <v>17.0</v>
      </c>
      <c r="B20" s="41" t="s">
        <v>115</v>
      </c>
      <c r="C20" s="41" t="s">
        <v>116</v>
      </c>
      <c r="D20" s="41" t="s">
        <v>117</v>
      </c>
      <c r="E20" s="41" t="s">
        <v>118</v>
      </c>
      <c r="F20" s="40" t="str">
        <f t="shared" si="1"/>
        <v>WRONG</v>
      </c>
      <c r="G20" s="40" t="s">
        <v>42</v>
      </c>
      <c r="H20" s="44" t="s">
        <v>36</v>
      </c>
      <c r="I20" s="43" t="s">
        <v>119</v>
      </c>
      <c r="J20" s="44">
        <v>27037.0</v>
      </c>
    </row>
    <row r="21" ht="60.0" customHeight="1">
      <c r="A21" s="40">
        <v>18.0</v>
      </c>
      <c r="B21" s="41" t="s">
        <v>120</v>
      </c>
      <c r="C21" s="41" t="s">
        <v>121</v>
      </c>
      <c r="D21" s="41" t="s">
        <v>122</v>
      </c>
      <c r="E21" s="41" t="s">
        <v>123</v>
      </c>
      <c r="F21" s="40" t="str">
        <f t="shared" si="1"/>
        <v>CORRECT</v>
      </c>
      <c r="G21" s="40" t="s">
        <v>42</v>
      </c>
      <c r="H21" s="44" t="s">
        <v>42</v>
      </c>
      <c r="I21" s="43" t="s">
        <v>124</v>
      </c>
      <c r="J21" s="44">
        <v>22776.0</v>
      </c>
    </row>
    <row r="22" ht="60.0" customHeight="1">
      <c r="A22" s="40">
        <v>19.0</v>
      </c>
      <c r="B22" s="41" t="s">
        <v>125</v>
      </c>
      <c r="C22" s="41" t="s">
        <v>126</v>
      </c>
      <c r="D22" s="41" t="s">
        <v>127</v>
      </c>
      <c r="E22" s="41" t="s">
        <v>128</v>
      </c>
      <c r="F22" s="40" t="str">
        <f t="shared" si="1"/>
        <v>WRONG</v>
      </c>
      <c r="G22" s="40" t="s">
        <v>36</v>
      </c>
      <c r="H22" s="42" t="s">
        <v>48</v>
      </c>
      <c r="I22" s="43" t="s">
        <v>129</v>
      </c>
      <c r="J22" s="44">
        <v>34179.0</v>
      </c>
    </row>
    <row r="23" ht="60.0" customHeight="1">
      <c r="A23" s="40">
        <v>20.0</v>
      </c>
      <c r="B23" s="41" t="s">
        <v>130</v>
      </c>
      <c r="C23" s="41" t="s">
        <v>131</v>
      </c>
      <c r="D23" s="41" t="s">
        <v>132</v>
      </c>
      <c r="E23" s="41" t="s">
        <v>133</v>
      </c>
      <c r="F23" s="40" t="str">
        <f t="shared" si="1"/>
        <v>WRONG</v>
      </c>
      <c r="G23" s="40" t="s">
        <v>42</v>
      </c>
      <c r="H23" s="44" t="s">
        <v>36</v>
      </c>
      <c r="I23" s="43" t="s">
        <v>134</v>
      </c>
      <c r="J23" s="44">
        <v>29646.0</v>
      </c>
    </row>
    <row r="24" ht="60.0" customHeight="1">
      <c r="A24" s="40">
        <v>21.0</v>
      </c>
      <c r="B24" s="41" t="s">
        <v>135</v>
      </c>
      <c r="C24" s="41" t="s">
        <v>136</v>
      </c>
      <c r="D24" s="41" t="s">
        <v>137</v>
      </c>
      <c r="E24" s="41" t="s">
        <v>138</v>
      </c>
      <c r="F24" s="40" t="str">
        <f t="shared" si="1"/>
        <v>WRONG</v>
      </c>
      <c r="G24" s="40" t="s">
        <v>42</v>
      </c>
      <c r="H24" s="44" t="s">
        <v>36</v>
      </c>
      <c r="I24" s="43" t="s">
        <v>139</v>
      </c>
      <c r="J24" s="44">
        <v>21436.0</v>
      </c>
    </row>
    <row r="25" ht="60.0" customHeight="1">
      <c r="A25" s="40">
        <v>22.0</v>
      </c>
      <c r="B25" s="41" t="s">
        <v>140</v>
      </c>
      <c r="C25" s="41" t="s">
        <v>141</v>
      </c>
      <c r="D25" s="41" t="s">
        <v>142</v>
      </c>
      <c r="E25" s="41" t="s">
        <v>143</v>
      </c>
      <c r="F25" s="40" t="str">
        <f t="shared" si="1"/>
        <v>CORRECT</v>
      </c>
      <c r="G25" s="40" t="s">
        <v>42</v>
      </c>
      <c r="H25" s="44" t="s">
        <v>42</v>
      </c>
      <c r="I25" s="43" t="s">
        <v>144</v>
      </c>
      <c r="J25" s="44">
        <v>19151.0</v>
      </c>
    </row>
    <row r="26" ht="60.0" customHeight="1">
      <c r="A26" s="40">
        <v>23.0</v>
      </c>
      <c r="B26" s="41" t="s">
        <v>145</v>
      </c>
      <c r="C26" s="41" t="s">
        <v>146</v>
      </c>
      <c r="D26" s="41" t="s">
        <v>147</v>
      </c>
      <c r="E26" s="41" t="s">
        <v>148</v>
      </c>
      <c r="F26" s="40" t="str">
        <f t="shared" si="1"/>
        <v>CORRECT</v>
      </c>
      <c r="G26" s="40" t="s">
        <v>48</v>
      </c>
      <c r="H26" s="44" t="s">
        <v>48</v>
      </c>
      <c r="I26" s="43" t="s">
        <v>149</v>
      </c>
      <c r="J26" s="44">
        <v>26689.0</v>
      </c>
    </row>
    <row r="27" ht="60.0" customHeight="1">
      <c r="A27" s="40">
        <v>24.0</v>
      </c>
      <c r="B27" s="41" t="s">
        <v>150</v>
      </c>
      <c r="C27" s="41" t="s">
        <v>151</v>
      </c>
      <c r="D27" s="41" t="s">
        <v>152</v>
      </c>
      <c r="E27" s="41" t="s">
        <v>153</v>
      </c>
      <c r="F27" s="40" t="str">
        <f t="shared" si="1"/>
        <v>CORRECT</v>
      </c>
      <c r="G27" s="40" t="s">
        <v>36</v>
      </c>
      <c r="H27" s="44" t="s">
        <v>36</v>
      </c>
      <c r="I27" s="43" t="s">
        <v>154</v>
      </c>
      <c r="J27" s="44">
        <v>29752.0</v>
      </c>
    </row>
    <row r="28" ht="60.0" customHeight="1">
      <c r="A28" s="40">
        <v>25.0</v>
      </c>
      <c r="B28" s="41" t="s">
        <v>155</v>
      </c>
      <c r="C28" s="41" t="s">
        <v>151</v>
      </c>
      <c r="D28" s="41" t="s">
        <v>156</v>
      </c>
      <c r="E28" s="41" t="s">
        <v>153</v>
      </c>
      <c r="F28" s="40" t="str">
        <f t="shared" si="1"/>
        <v>WRONG</v>
      </c>
      <c r="G28" s="40" t="s">
        <v>48</v>
      </c>
      <c r="H28" s="42" t="s">
        <v>42</v>
      </c>
      <c r="I28" s="43" t="s">
        <v>157</v>
      </c>
      <c r="J28" s="44">
        <v>33604.0</v>
      </c>
    </row>
    <row r="29" ht="60.0" customHeight="1">
      <c r="A29" s="40">
        <v>26.0</v>
      </c>
      <c r="B29" s="41" t="s">
        <v>158</v>
      </c>
      <c r="C29" s="41" t="s">
        <v>159</v>
      </c>
      <c r="D29" s="41" t="s">
        <v>160</v>
      </c>
      <c r="E29" s="41" t="s">
        <v>161</v>
      </c>
      <c r="F29" s="40" t="str">
        <f t="shared" si="1"/>
        <v>WRONG</v>
      </c>
      <c r="G29" s="40" t="s">
        <v>36</v>
      </c>
      <c r="H29" s="44" t="s">
        <v>48</v>
      </c>
      <c r="I29" s="43" t="s">
        <v>162</v>
      </c>
      <c r="J29" s="44">
        <v>24468.0</v>
      </c>
    </row>
    <row r="30" ht="60.0" customHeight="1">
      <c r="A30" s="40">
        <v>27.0</v>
      </c>
      <c r="B30" s="41" t="s">
        <v>163</v>
      </c>
      <c r="C30" s="41" t="s">
        <v>164</v>
      </c>
      <c r="D30" s="41" t="s">
        <v>165</v>
      </c>
      <c r="E30" s="41" t="s">
        <v>166</v>
      </c>
      <c r="F30" s="40" t="str">
        <f t="shared" si="1"/>
        <v>CORRECT</v>
      </c>
      <c r="G30" s="40" t="s">
        <v>42</v>
      </c>
      <c r="H30" s="42" t="s">
        <v>42</v>
      </c>
      <c r="I30" s="43" t="s">
        <v>167</v>
      </c>
      <c r="J30" s="44">
        <v>45839.0</v>
      </c>
    </row>
    <row r="31" ht="60.0" customHeight="1">
      <c r="A31" s="40">
        <v>28.0</v>
      </c>
      <c r="B31" s="41" t="s">
        <v>168</v>
      </c>
      <c r="C31" s="41" t="s">
        <v>169</v>
      </c>
      <c r="D31" s="41" t="s">
        <v>170</v>
      </c>
      <c r="E31" s="41" t="s">
        <v>171</v>
      </c>
      <c r="F31" s="40" t="str">
        <f t="shared" si="1"/>
        <v>WRONG</v>
      </c>
      <c r="G31" s="40" t="s">
        <v>36</v>
      </c>
      <c r="H31" s="42" t="s">
        <v>48</v>
      </c>
      <c r="I31" s="43" t="s">
        <v>172</v>
      </c>
      <c r="J31" s="44">
        <v>30507.0</v>
      </c>
    </row>
    <row r="32" ht="60.0" customHeight="1">
      <c r="A32" s="40">
        <v>29.0</v>
      </c>
      <c r="B32" s="41" t="s">
        <v>173</v>
      </c>
      <c r="C32" s="41" t="s">
        <v>174</v>
      </c>
      <c r="D32" s="41" t="s">
        <v>175</v>
      </c>
      <c r="E32" s="41" t="s">
        <v>176</v>
      </c>
      <c r="F32" s="40" t="str">
        <f t="shared" si="1"/>
        <v>CORRECT</v>
      </c>
      <c r="G32" s="40" t="s">
        <v>42</v>
      </c>
      <c r="H32" s="44" t="s">
        <v>42</v>
      </c>
      <c r="I32" s="43" t="s">
        <v>177</v>
      </c>
      <c r="J32" s="44">
        <v>42284.0</v>
      </c>
    </row>
    <row r="33" ht="60.0" customHeight="1">
      <c r="A33" s="40">
        <v>30.0</v>
      </c>
      <c r="B33" s="41" t="s">
        <v>178</v>
      </c>
      <c r="C33" s="41" t="s">
        <v>179</v>
      </c>
      <c r="D33" s="41" t="s">
        <v>180</v>
      </c>
      <c r="E33" s="41" t="s">
        <v>181</v>
      </c>
      <c r="F33" s="40" t="str">
        <f t="shared" si="1"/>
        <v>WRONG</v>
      </c>
      <c r="G33" s="40" t="s">
        <v>48</v>
      </c>
      <c r="H33" s="44" t="s">
        <v>36</v>
      </c>
      <c r="I33" s="43" t="s">
        <v>182</v>
      </c>
      <c r="J33" s="44">
        <v>36580.0</v>
      </c>
    </row>
    <row r="34" ht="60.0" customHeight="1">
      <c r="A34" s="40">
        <v>31.0</v>
      </c>
      <c r="B34" s="41" t="s">
        <v>183</v>
      </c>
      <c r="C34" s="41" t="s">
        <v>184</v>
      </c>
      <c r="D34" s="41" t="s">
        <v>185</v>
      </c>
      <c r="E34" s="41" t="s">
        <v>186</v>
      </c>
      <c r="F34" s="40" t="str">
        <f t="shared" si="1"/>
        <v>WRONG</v>
      </c>
      <c r="G34" s="40" t="s">
        <v>42</v>
      </c>
      <c r="H34" s="44" t="s">
        <v>36</v>
      </c>
      <c r="I34" s="43" t="s">
        <v>187</v>
      </c>
      <c r="J34" s="44">
        <v>34264.0</v>
      </c>
    </row>
    <row r="35" ht="60.0" customHeight="1">
      <c r="A35" s="40">
        <v>32.0</v>
      </c>
      <c r="B35" s="41" t="s">
        <v>188</v>
      </c>
      <c r="C35" s="41" t="s">
        <v>189</v>
      </c>
      <c r="D35" s="41" t="s">
        <v>190</v>
      </c>
      <c r="E35" s="41" t="s">
        <v>191</v>
      </c>
      <c r="F35" s="40" t="str">
        <f t="shared" si="1"/>
        <v>CORRECT</v>
      </c>
      <c r="G35" s="40" t="s">
        <v>36</v>
      </c>
      <c r="H35" s="44" t="s">
        <v>36</v>
      </c>
      <c r="I35" s="43" t="s">
        <v>192</v>
      </c>
      <c r="J35" s="44">
        <v>42880.0</v>
      </c>
    </row>
    <row r="36" ht="60.0" customHeight="1">
      <c r="A36" s="40">
        <v>33.0</v>
      </c>
      <c r="B36" s="41" t="s">
        <v>193</v>
      </c>
      <c r="C36" s="41" t="s">
        <v>194</v>
      </c>
      <c r="D36" s="41" t="s">
        <v>195</v>
      </c>
      <c r="E36" s="41" t="s">
        <v>196</v>
      </c>
      <c r="F36" s="40" t="str">
        <f t="shared" si="1"/>
        <v>CORRECT</v>
      </c>
      <c r="G36" s="40" t="s">
        <v>48</v>
      </c>
      <c r="H36" s="42" t="s">
        <v>48</v>
      </c>
      <c r="I36" s="43" t="s">
        <v>197</v>
      </c>
      <c r="J36" s="44">
        <v>38220.0</v>
      </c>
    </row>
    <row r="37" ht="60.0" customHeight="1">
      <c r="A37" s="40">
        <v>34.0</v>
      </c>
      <c r="B37" s="41" t="s">
        <v>198</v>
      </c>
      <c r="C37" s="41" t="s">
        <v>199</v>
      </c>
      <c r="D37" s="41" t="s">
        <v>200</v>
      </c>
      <c r="E37" s="41" t="s">
        <v>201</v>
      </c>
      <c r="F37" s="40" t="str">
        <f t="shared" si="1"/>
        <v>CORRECT</v>
      </c>
      <c r="G37" s="40" t="s">
        <v>36</v>
      </c>
      <c r="H37" s="44" t="s">
        <v>36</v>
      </c>
      <c r="I37" s="43" t="s">
        <v>202</v>
      </c>
      <c r="J37" s="44">
        <v>23795.0</v>
      </c>
    </row>
    <row r="38" ht="60.0" customHeight="1">
      <c r="A38" s="40">
        <v>35.0</v>
      </c>
      <c r="B38" s="41" t="s">
        <v>203</v>
      </c>
      <c r="C38" s="41" t="s">
        <v>204</v>
      </c>
      <c r="D38" s="41" t="s">
        <v>205</v>
      </c>
      <c r="E38" s="41" t="s">
        <v>206</v>
      </c>
      <c r="F38" s="40" t="str">
        <f t="shared" si="1"/>
        <v>CORRECT</v>
      </c>
      <c r="G38" s="40" t="s">
        <v>48</v>
      </c>
      <c r="H38" s="44" t="s">
        <v>48</v>
      </c>
      <c r="I38" s="43" t="s">
        <v>207</v>
      </c>
      <c r="J38" s="44">
        <v>30219.0</v>
      </c>
    </row>
    <row r="39" ht="60.0" customHeight="1">
      <c r="A39" s="40">
        <v>36.0</v>
      </c>
      <c r="B39" s="41" t="s">
        <v>208</v>
      </c>
      <c r="C39" s="41" t="s">
        <v>209</v>
      </c>
      <c r="D39" s="41" t="s">
        <v>210</v>
      </c>
      <c r="E39" s="41" t="s">
        <v>211</v>
      </c>
      <c r="F39" s="40" t="str">
        <f t="shared" si="1"/>
        <v>CORRECT</v>
      </c>
      <c r="G39" s="40" t="s">
        <v>36</v>
      </c>
      <c r="H39" s="44" t="s">
        <v>36</v>
      </c>
      <c r="I39" s="43" t="s">
        <v>212</v>
      </c>
      <c r="J39" s="44">
        <v>27840.0</v>
      </c>
    </row>
    <row r="40" ht="60.0" customHeight="1">
      <c r="A40" s="40">
        <v>37.0</v>
      </c>
      <c r="B40" s="41" t="s">
        <v>213</v>
      </c>
      <c r="C40" s="41" t="s">
        <v>214</v>
      </c>
      <c r="D40" s="41" t="s">
        <v>215</v>
      </c>
      <c r="E40" s="41" t="s">
        <v>216</v>
      </c>
      <c r="F40" s="40" t="str">
        <f t="shared" si="1"/>
        <v>WRONG</v>
      </c>
      <c r="G40" s="40" t="s">
        <v>36</v>
      </c>
      <c r="H40" s="44" t="s">
        <v>42</v>
      </c>
      <c r="I40" s="43" t="s">
        <v>217</v>
      </c>
      <c r="J40" s="44">
        <v>18300.0</v>
      </c>
    </row>
    <row r="41" ht="60.0" customHeight="1">
      <c r="A41" s="40">
        <v>38.0</v>
      </c>
      <c r="B41" s="41" t="s">
        <v>218</v>
      </c>
      <c r="C41" s="41" t="s">
        <v>219</v>
      </c>
      <c r="D41" s="41" t="s">
        <v>220</v>
      </c>
      <c r="E41" s="41" t="s">
        <v>221</v>
      </c>
      <c r="F41" s="40" t="str">
        <f t="shared" si="1"/>
        <v>CORRECT</v>
      </c>
      <c r="G41" s="40" t="s">
        <v>36</v>
      </c>
      <c r="H41" s="44" t="s">
        <v>36</v>
      </c>
      <c r="I41" s="43" t="s">
        <v>222</v>
      </c>
      <c r="J41" s="44">
        <v>29300.0</v>
      </c>
    </row>
    <row r="42" ht="60.0" customHeight="1">
      <c r="A42" s="40">
        <v>39.0</v>
      </c>
      <c r="B42" s="41" t="s">
        <v>223</v>
      </c>
      <c r="C42" s="41" t="s">
        <v>224</v>
      </c>
      <c r="D42" s="41" t="s">
        <v>225</v>
      </c>
      <c r="E42" s="41" t="s">
        <v>226</v>
      </c>
      <c r="F42" s="40" t="str">
        <f t="shared" si="1"/>
        <v>WRONG</v>
      </c>
      <c r="G42" s="40" t="s">
        <v>42</v>
      </c>
      <c r="H42" s="44" t="s">
        <v>48</v>
      </c>
      <c r="I42" s="43" t="s">
        <v>227</v>
      </c>
      <c r="J42" s="44">
        <v>22663.0</v>
      </c>
    </row>
    <row r="43" ht="60.0" customHeight="1">
      <c r="A43" s="40">
        <v>40.0</v>
      </c>
      <c r="B43" s="41" t="s">
        <v>228</v>
      </c>
      <c r="C43" s="41" t="s">
        <v>229</v>
      </c>
      <c r="D43" s="41" t="s">
        <v>230</v>
      </c>
      <c r="E43" s="41" t="s">
        <v>231</v>
      </c>
      <c r="F43" s="40" t="str">
        <f t="shared" si="1"/>
        <v>CORRECT</v>
      </c>
      <c r="G43" s="40" t="s">
        <v>48</v>
      </c>
      <c r="H43" s="44" t="s">
        <v>48</v>
      </c>
      <c r="I43" s="43" t="s">
        <v>232</v>
      </c>
      <c r="J43" s="44">
        <v>36482.0</v>
      </c>
    </row>
    <row r="44" ht="60.0" customHeight="1">
      <c r="A44" s="40">
        <v>41.0</v>
      </c>
      <c r="B44" s="41" t="s">
        <v>233</v>
      </c>
      <c r="C44" s="41" t="s">
        <v>234</v>
      </c>
      <c r="D44" s="41" t="s">
        <v>235</v>
      </c>
      <c r="E44" s="41" t="s">
        <v>236</v>
      </c>
      <c r="F44" s="40" t="str">
        <f t="shared" si="1"/>
        <v>CORRECT</v>
      </c>
      <c r="G44" s="40" t="s">
        <v>42</v>
      </c>
      <c r="H44" s="44" t="s">
        <v>42</v>
      </c>
      <c r="I44" s="43" t="s">
        <v>237</v>
      </c>
      <c r="J44" s="44">
        <v>18424.0</v>
      </c>
    </row>
    <row r="45" ht="60.0" customHeight="1">
      <c r="A45" s="40">
        <v>42.0</v>
      </c>
      <c r="B45" s="41" t="s">
        <v>238</v>
      </c>
      <c r="C45" s="41" t="s">
        <v>239</v>
      </c>
      <c r="D45" s="41" t="s">
        <v>240</v>
      </c>
      <c r="E45" s="41" t="s">
        <v>241</v>
      </c>
      <c r="F45" s="40" t="str">
        <f t="shared" si="1"/>
        <v>WRONG</v>
      </c>
      <c r="G45" s="40" t="s">
        <v>36</v>
      </c>
      <c r="H45" s="44" t="s">
        <v>42</v>
      </c>
      <c r="I45" s="43" t="s">
        <v>242</v>
      </c>
      <c r="J45" s="44">
        <v>35232.0</v>
      </c>
    </row>
    <row r="46" ht="60.0" customHeight="1">
      <c r="A46" s="40">
        <v>43.0</v>
      </c>
      <c r="B46" s="41" t="s">
        <v>243</v>
      </c>
      <c r="C46" s="41" t="s">
        <v>244</v>
      </c>
      <c r="D46" s="41" t="s">
        <v>245</v>
      </c>
      <c r="E46" s="41" t="s">
        <v>246</v>
      </c>
      <c r="F46" s="40" t="str">
        <f t="shared" si="1"/>
        <v>CORRECT</v>
      </c>
      <c r="G46" s="40" t="s">
        <v>48</v>
      </c>
      <c r="H46" s="44" t="s">
        <v>48</v>
      </c>
      <c r="I46" s="43" t="s">
        <v>247</v>
      </c>
      <c r="J46" s="44">
        <v>33384.0</v>
      </c>
    </row>
    <row r="47" ht="60.0" customHeight="1">
      <c r="A47" s="40">
        <v>44.0</v>
      </c>
      <c r="B47" s="41" t="s">
        <v>248</v>
      </c>
      <c r="C47" s="41" t="s">
        <v>249</v>
      </c>
      <c r="D47" s="41" t="s">
        <v>250</v>
      </c>
      <c r="E47" s="41" t="s">
        <v>251</v>
      </c>
      <c r="F47" s="40" t="str">
        <f t="shared" si="1"/>
        <v>CORRECT</v>
      </c>
      <c r="G47" s="40" t="s">
        <v>36</v>
      </c>
      <c r="H47" s="44" t="s">
        <v>36</v>
      </c>
      <c r="I47" s="43" t="s">
        <v>252</v>
      </c>
      <c r="J47" s="44">
        <v>26066.0</v>
      </c>
    </row>
    <row r="48" ht="60.0" customHeight="1">
      <c r="A48" s="40">
        <v>45.0</v>
      </c>
      <c r="B48" s="41" t="s">
        <v>253</v>
      </c>
      <c r="C48" s="41" t="s">
        <v>254</v>
      </c>
      <c r="D48" s="41" t="s">
        <v>255</v>
      </c>
      <c r="E48" s="41" t="s">
        <v>256</v>
      </c>
      <c r="F48" s="40" t="str">
        <f t="shared" si="1"/>
        <v>CORRECT</v>
      </c>
      <c r="G48" s="40" t="s">
        <v>36</v>
      </c>
      <c r="H48" s="44" t="s">
        <v>36</v>
      </c>
      <c r="I48" s="43" t="s">
        <v>257</v>
      </c>
      <c r="J48" s="44">
        <v>56063.0</v>
      </c>
    </row>
    <row r="49" ht="60.0" customHeight="1">
      <c r="A49" s="40">
        <v>46.0</v>
      </c>
      <c r="B49" s="41" t="s">
        <v>258</v>
      </c>
      <c r="C49" s="41" t="s">
        <v>39</v>
      </c>
      <c r="D49" s="41" t="s">
        <v>259</v>
      </c>
      <c r="E49" s="41" t="s">
        <v>260</v>
      </c>
      <c r="F49" s="40" t="str">
        <f t="shared" si="1"/>
        <v>CORRECT</v>
      </c>
      <c r="G49" s="40" t="s">
        <v>36</v>
      </c>
      <c r="H49" s="44" t="s">
        <v>36</v>
      </c>
      <c r="I49" s="43" t="s">
        <v>261</v>
      </c>
      <c r="J49" s="44">
        <v>25733.0</v>
      </c>
    </row>
    <row r="50">
      <c r="A50" s="45" t="s">
        <v>262</v>
      </c>
      <c r="B50" s="2"/>
      <c r="C50" s="2"/>
      <c r="D50" s="2"/>
      <c r="E50" s="3"/>
      <c r="F50" s="46">
        <f>COUNTIFS(F4:F49,"CORRECT")</f>
        <v>30</v>
      </c>
      <c r="G50" s="47"/>
      <c r="H50" s="47"/>
      <c r="J50" s="48">
        <f>AVERAGE(J4:J49)</f>
        <v>32061.17391</v>
      </c>
    </row>
    <row r="51">
      <c r="A51" s="49" t="s">
        <v>263</v>
      </c>
      <c r="B51" s="2"/>
      <c r="C51" s="2"/>
      <c r="D51" s="2"/>
      <c r="E51" s="3"/>
      <c r="F51" s="50">
        <v>46.0</v>
      </c>
      <c r="G51" s="47"/>
      <c r="H51" s="47"/>
    </row>
    <row r="52">
      <c r="A52" s="45" t="s">
        <v>264</v>
      </c>
      <c r="B52" s="2"/>
      <c r="C52" s="2"/>
      <c r="D52" s="2"/>
      <c r="E52" s="3"/>
      <c r="F52" s="51">
        <f>F50/F51</f>
        <v>0.652173913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29218.0</v>
      </c>
    </row>
    <row r="5" ht="60.0" customHeight="1">
      <c r="A5" s="40">
        <v>2.0</v>
      </c>
      <c r="B5" s="41" t="s">
        <v>38</v>
      </c>
      <c r="C5" s="41" t="s">
        <v>39</v>
      </c>
      <c r="D5" s="41" t="s">
        <v>40</v>
      </c>
      <c r="E5" s="41" t="s">
        <v>41</v>
      </c>
      <c r="F5" s="40" t="str">
        <f t="shared" si="1"/>
        <v>CORRECT</v>
      </c>
      <c r="G5" s="40" t="s">
        <v>42</v>
      </c>
      <c r="H5" s="44" t="s">
        <v>42</v>
      </c>
      <c r="I5" s="43" t="s">
        <v>268</v>
      </c>
      <c r="J5" s="44">
        <v>35887.0</v>
      </c>
    </row>
    <row r="6" ht="60.0" customHeight="1">
      <c r="A6" s="40">
        <v>3.0</v>
      </c>
      <c r="B6" s="41" t="s">
        <v>44</v>
      </c>
      <c r="C6" s="41" t="s">
        <v>45</v>
      </c>
      <c r="D6" s="41" t="s">
        <v>46</v>
      </c>
      <c r="E6" s="41" t="s">
        <v>47</v>
      </c>
      <c r="F6" s="40" t="str">
        <f t="shared" si="1"/>
        <v>CORRECT</v>
      </c>
      <c r="G6" s="40" t="s">
        <v>48</v>
      </c>
      <c r="H6" s="44" t="s">
        <v>48</v>
      </c>
      <c r="I6" s="43" t="s">
        <v>49</v>
      </c>
      <c r="J6" s="44">
        <v>31865.0</v>
      </c>
    </row>
    <row r="7" ht="60.0" customHeight="1">
      <c r="A7" s="40">
        <v>4.0</v>
      </c>
      <c r="B7" s="41" t="s">
        <v>50</v>
      </c>
      <c r="C7" s="41" t="s">
        <v>51</v>
      </c>
      <c r="D7" s="41" t="s">
        <v>52</v>
      </c>
      <c r="E7" s="41" t="s">
        <v>53</v>
      </c>
      <c r="F7" s="40" t="str">
        <f t="shared" si="1"/>
        <v>CORRECT</v>
      </c>
      <c r="G7" s="40" t="s">
        <v>42</v>
      </c>
      <c r="H7" s="44" t="s">
        <v>42</v>
      </c>
      <c r="I7" s="43" t="s">
        <v>269</v>
      </c>
      <c r="J7" s="44">
        <v>23472.0</v>
      </c>
    </row>
    <row r="8" ht="60.0" customHeight="1">
      <c r="A8" s="40">
        <v>5.0</v>
      </c>
      <c r="B8" s="41" t="s">
        <v>55</v>
      </c>
      <c r="C8" s="41" t="s">
        <v>56</v>
      </c>
      <c r="D8" s="41" t="s">
        <v>57</v>
      </c>
      <c r="E8" s="41" t="s">
        <v>58</v>
      </c>
      <c r="F8" s="40" t="str">
        <f t="shared" si="1"/>
        <v>CORRECT</v>
      </c>
      <c r="G8" s="40" t="s">
        <v>48</v>
      </c>
      <c r="H8" s="42" t="s">
        <v>48</v>
      </c>
      <c r="I8" s="43" t="s">
        <v>59</v>
      </c>
      <c r="J8" s="44">
        <v>47422.0</v>
      </c>
    </row>
    <row r="9" ht="60.0" customHeight="1">
      <c r="A9" s="40">
        <v>6.0</v>
      </c>
      <c r="B9" s="41" t="s">
        <v>60</v>
      </c>
      <c r="C9" s="41" t="s">
        <v>61</v>
      </c>
      <c r="D9" s="41" t="s">
        <v>62</v>
      </c>
      <c r="E9" s="41" t="s">
        <v>63</v>
      </c>
      <c r="F9" s="40" t="str">
        <f t="shared" si="1"/>
        <v>CORRECT</v>
      </c>
      <c r="G9" s="40" t="s">
        <v>42</v>
      </c>
      <c r="H9" s="44" t="s">
        <v>42</v>
      </c>
      <c r="I9" s="43" t="s">
        <v>270</v>
      </c>
      <c r="J9" s="44">
        <v>37578.0</v>
      </c>
    </row>
    <row r="10" ht="60.0" customHeight="1">
      <c r="A10" s="40">
        <v>7.0</v>
      </c>
      <c r="B10" s="41" t="s">
        <v>65</v>
      </c>
      <c r="C10" s="41" t="s">
        <v>66</v>
      </c>
      <c r="D10" s="41" t="s">
        <v>67</v>
      </c>
      <c r="E10" s="41" t="s">
        <v>68</v>
      </c>
      <c r="F10" s="40" t="str">
        <f t="shared" si="1"/>
        <v>WRONG</v>
      </c>
      <c r="G10" s="40" t="s">
        <v>42</v>
      </c>
      <c r="H10" s="44" t="s">
        <v>36</v>
      </c>
      <c r="I10" s="43" t="s">
        <v>271</v>
      </c>
      <c r="J10" s="44">
        <v>38251.0</v>
      </c>
    </row>
    <row r="11" ht="60.0" customHeight="1">
      <c r="A11" s="40">
        <v>8.0</v>
      </c>
      <c r="B11" s="41" t="s">
        <v>70</v>
      </c>
      <c r="C11" s="41" t="s">
        <v>71</v>
      </c>
      <c r="D11" s="41" t="s">
        <v>72</v>
      </c>
      <c r="E11" s="41" t="s">
        <v>73</v>
      </c>
      <c r="F11" s="40" t="str">
        <f t="shared" si="1"/>
        <v>CORRECT</v>
      </c>
      <c r="G11" s="40" t="s">
        <v>48</v>
      </c>
      <c r="H11" s="44" t="s">
        <v>48</v>
      </c>
      <c r="I11" s="43" t="s">
        <v>74</v>
      </c>
      <c r="J11" s="44">
        <v>36277.0</v>
      </c>
    </row>
    <row r="12" ht="60.0" customHeight="1">
      <c r="A12" s="40">
        <v>9.0</v>
      </c>
      <c r="B12" s="41" t="s">
        <v>75</v>
      </c>
      <c r="C12" s="41" t="s">
        <v>76</v>
      </c>
      <c r="D12" s="41" t="s">
        <v>77</v>
      </c>
      <c r="E12" s="41" t="s">
        <v>78</v>
      </c>
      <c r="F12" s="40" t="str">
        <f t="shared" si="1"/>
        <v>WRONG</v>
      </c>
      <c r="G12" s="40" t="s">
        <v>42</v>
      </c>
      <c r="H12" s="44" t="s">
        <v>48</v>
      </c>
      <c r="I12" s="43" t="s">
        <v>79</v>
      </c>
      <c r="J12" s="44">
        <v>35468.0</v>
      </c>
    </row>
    <row r="13" ht="60.0" customHeight="1">
      <c r="A13" s="40">
        <v>10.0</v>
      </c>
      <c r="B13" s="41" t="s">
        <v>80</v>
      </c>
      <c r="C13" s="41" t="s">
        <v>81</v>
      </c>
      <c r="D13" s="41" t="s">
        <v>82</v>
      </c>
      <c r="E13" s="41" t="s">
        <v>83</v>
      </c>
      <c r="F13" s="40" t="str">
        <f t="shared" si="1"/>
        <v>CORRECT</v>
      </c>
      <c r="G13" s="40" t="s">
        <v>48</v>
      </c>
      <c r="H13" s="44" t="s">
        <v>48</v>
      </c>
      <c r="I13" s="43" t="s">
        <v>272</v>
      </c>
      <c r="J13" s="44">
        <v>29185.0</v>
      </c>
    </row>
    <row r="14" ht="60.0" customHeight="1">
      <c r="A14" s="40">
        <v>11.0</v>
      </c>
      <c r="B14" s="41" t="s">
        <v>85</v>
      </c>
      <c r="C14" s="41" t="s">
        <v>86</v>
      </c>
      <c r="D14" s="41" t="s">
        <v>87</v>
      </c>
      <c r="E14" s="41" t="s">
        <v>88</v>
      </c>
      <c r="F14" s="40" t="str">
        <f t="shared" si="1"/>
        <v>WRONG</v>
      </c>
      <c r="G14" s="40" t="s">
        <v>42</v>
      </c>
      <c r="H14" s="42" t="s">
        <v>48</v>
      </c>
      <c r="I14" s="43" t="s">
        <v>273</v>
      </c>
      <c r="J14" s="44">
        <v>43261.0</v>
      </c>
    </row>
    <row r="15" ht="60.0" customHeight="1">
      <c r="A15" s="40">
        <v>12.0</v>
      </c>
      <c r="B15" s="41" t="s">
        <v>90</v>
      </c>
      <c r="C15" s="41" t="s">
        <v>91</v>
      </c>
      <c r="D15" s="41" t="s">
        <v>92</v>
      </c>
      <c r="E15" s="41" t="s">
        <v>93</v>
      </c>
      <c r="F15" s="40" t="str">
        <f t="shared" si="1"/>
        <v>CORRECT</v>
      </c>
      <c r="G15" s="40" t="s">
        <v>48</v>
      </c>
      <c r="H15" s="44" t="s">
        <v>48</v>
      </c>
      <c r="I15" s="43" t="s">
        <v>274</v>
      </c>
      <c r="J15" s="44">
        <v>40550.0</v>
      </c>
    </row>
    <row r="16" ht="60.0" customHeight="1">
      <c r="A16" s="40">
        <v>13.0</v>
      </c>
      <c r="B16" s="41" t="s">
        <v>95</v>
      </c>
      <c r="C16" s="41" t="s">
        <v>96</v>
      </c>
      <c r="D16" s="41" t="s">
        <v>97</v>
      </c>
      <c r="E16" s="41" t="s">
        <v>98</v>
      </c>
      <c r="F16" s="40" t="str">
        <f t="shared" si="1"/>
        <v>CORRECT</v>
      </c>
      <c r="G16" s="40" t="s">
        <v>36</v>
      </c>
      <c r="H16" s="44" t="s">
        <v>36</v>
      </c>
      <c r="I16" s="43" t="s">
        <v>99</v>
      </c>
      <c r="J16" s="44">
        <v>25474.0</v>
      </c>
    </row>
    <row r="17" ht="60.0" customHeight="1">
      <c r="A17" s="40">
        <v>14.0</v>
      </c>
      <c r="B17" s="41" t="s">
        <v>100</v>
      </c>
      <c r="C17" s="41" t="s">
        <v>101</v>
      </c>
      <c r="D17" s="41" t="s">
        <v>102</v>
      </c>
      <c r="E17" s="41" t="s">
        <v>103</v>
      </c>
      <c r="F17" s="40" t="str">
        <f t="shared" si="1"/>
        <v>WRONG</v>
      </c>
      <c r="G17" s="40" t="s">
        <v>36</v>
      </c>
      <c r="H17" s="42" t="s">
        <v>48</v>
      </c>
      <c r="I17" s="43" t="s">
        <v>104</v>
      </c>
      <c r="J17" s="44">
        <v>41106.0</v>
      </c>
    </row>
    <row r="18" ht="60.0" customHeight="1">
      <c r="A18" s="40">
        <v>15.0</v>
      </c>
      <c r="B18" s="41" t="s">
        <v>105</v>
      </c>
      <c r="C18" s="41" t="s">
        <v>106</v>
      </c>
      <c r="D18" s="41" t="s">
        <v>107</v>
      </c>
      <c r="E18" s="41" t="s">
        <v>108</v>
      </c>
      <c r="F18" s="40" t="str">
        <f t="shared" si="1"/>
        <v>CORRECT</v>
      </c>
      <c r="G18" s="40" t="s">
        <v>48</v>
      </c>
      <c r="H18" s="42" t="s">
        <v>48</v>
      </c>
      <c r="I18" s="43" t="s">
        <v>109</v>
      </c>
      <c r="J18" s="44">
        <v>38394.0</v>
      </c>
    </row>
    <row r="19" ht="60.0" customHeight="1">
      <c r="A19" s="40">
        <v>16.0</v>
      </c>
      <c r="B19" s="41" t="s">
        <v>110</v>
      </c>
      <c r="C19" s="41" t="s">
        <v>111</v>
      </c>
      <c r="D19" s="41" t="s">
        <v>112</v>
      </c>
      <c r="E19" s="41" t="s">
        <v>113</v>
      </c>
      <c r="F19" s="40" t="str">
        <f t="shared" si="1"/>
        <v>WRONG</v>
      </c>
      <c r="G19" s="40" t="s">
        <v>48</v>
      </c>
      <c r="H19" s="42" t="s">
        <v>36</v>
      </c>
      <c r="I19" s="43" t="s">
        <v>114</v>
      </c>
      <c r="J19" s="44">
        <v>35806.0</v>
      </c>
    </row>
    <row r="20" ht="60.0" customHeight="1">
      <c r="A20" s="40">
        <v>17.0</v>
      </c>
      <c r="B20" s="41" t="s">
        <v>115</v>
      </c>
      <c r="C20" s="41" t="s">
        <v>116</v>
      </c>
      <c r="D20" s="41" t="s">
        <v>117</v>
      </c>
      <c r="E20" s="41" t="s">
        <v>118</v>
      </c>
      <c r="F20" s="40" t="str">
        <f t="shared" si="1"/>
        <v>WRONG</v>
      </c>
      <c r="G20" s="40" t="s">
        <v>42</v>
      </c>
      <c r="H20" s="44" t="s">
        <v>36</v>
      </c>
      <c r="I20" s="43" t="s">
        <v>119</v>
      </c>
      <c r="J20" s="44">
        <v>27042.0</v>
      </c>
    </row>
    <row r="21" ht="60.0" customHeight="1">
      <c r="A21" s="40">
        <v>18.0</v>
      </c>
      <c r="B21" s="41" t="s">
        <v>120</v>
      </c>
      <c r="C21" s="41" t="s">
        <v>121</v>
      </c>
      <c r="D21" s="41" t="s">
        <v>122</v>
      </c>
      <c r="E21" s="41" t="s">
        <v>123</v>
      </c>
      <c r="F21" s="40" t="str">
        <f t="shared" si="1"/>
        <v>CORRECT</v>
      </c>
      <c r="G21" s="40" t="s">
        <v>42</v>
      </c>
      <c r="H21" s="44" t="s">
        <v>42</v>
      </c>
      <c r="I21" s="43" t="s">
        <v>124</v>
      </c>
      <c r="J21" s="44">
        <v>24402.0</v>
      </c>
    </row>
    <row r="22" ht="60.0" customHeight="1">
      <c r="A22" s="40">
        <v>19.0</v>
      </c>
      <c r="B22" s="41" t="s">
        <v>125</v>
      </c>
      <c r="C22" s="41" t="s">
        <v>126</v>
      </c>
      <c r="D22" s="41" t="s">
        <v>127</v>
      </c>
      <c r="E22" s="41" t="s">
        <v>128</v>
      </c>
      <c r="F22" s="40" t="str">
        <f t="shared" si="1"/>
        <v>WRONG</v>
      </c>
      <c r="G22" s="40" t="s">
        <v>36</v>
      </c>
      <c r="H22" s="42" t="s">
        <v>48</v>
      </c>
      <c r="I22" s="43" t="s">
        <v>275</v>
      </c>
      <c r="J22" s="44">
        <v>33389.0</v>
      </c>
    </row>
    <row r="23" ht="60.0" customHeight="1">
      <c r="A23" s="40">
        <v>20.0</v>
      </c>
      <c r="B23" s="41" t="s">
        <v>130</v>
      </c>
      <c r="C23" s="41" t="s">
        <v>131</v>
      </c>
      <c r="D23" s="41" t="s">
        <v>132</v>
      </c>
      <c r="E23" s="41" t="s">
        <v>133</v>
      </c>
      <c r="F23" s="40" t="str">
        <f t="shared" si="1"/>
        <v>WRONG</v>
      </c>
      <c r="G23" s="40" t="s">
        <v>42</v>
      </c>
      <c r="H23" s="44" t="s">
        <v>36</v>
      </c>
      <c r="I23" s="43" t="s">
        <v>134</v>
      </c>
      <c r="J23" s="44">
        <v>30155.0</v>
      </c>
    </row>
    <row r="24" ht="60.0" customHeight="1">
      <c r="A24" s="40">
        <v>21.0</v>
      </c>
      <c r="B24" s="41" t="s">
        <v>135</v>
      </c>
      <c r="C24" s="41" t="s">
        <v>136</v>
      </c>
      <c r="D24" s="41" t="s">
        <v>137</v>
      </c>
      <c r="E24" s="41" t="s">
        <v>138</v>
      </c>
      <c r="F24" s="40" t="str">
        <f t="shared" si="1"/>
        <v>WRONG</v>
      </c>
      <c r="G24" s="40" t="s">
        <v>42</v>
      </c>
      <c r="H24" s="44" t="s">
        <v>36</v>
      </c>
      <c r="I24" s="43" t="s">
        <v>139</v>
      </c>
      <c r="J24" s="44">
        <v>21592.0</v>
      </c>
    </row>
    <row r="25" ht="60.0" customHeight="1">
      <c r="A25" s="40">
        <v>22.0</v>
      </c>
      <c r="B25" s="41" t="s">
        <v>140</v>
      </c>
      <c r="C25" s="41" t="s">
        <v>141</v>
      </c>
      <c r="D25" s="41" t="s">
        <v>142</v>
      </c>
      <c r="E25" s="41" t="s">
        <v>143</v>
      </c>
      <c r="F25" s="40" t="str">
        <f t="shared" si="1"/>
        <v>CORRECT</v>
      </c>
      <c r="G25" s="40" t="s">
        <v>42</v>
      </c>
      <c r="H25" s="44" t="s">
        <v>42</v>
      </c>
      <c r="I25" s="43" t="s">
        <v>144</v>
      </c>
      <c r="J25" s="44">
        <v>20401.0</v>
      </c>
    </row>
    <row r="26" ht="60.0" customHeight="1">
      <c r="A26" s="40">
        <v>23.0</v>
      </c>
      <c r="B26" s="41" t="s">
        <v>145</v>
      </c>
      <c r="C26" s="41" t="s">
        <v>146</v>
      </c>
      <c r="D26" s="41" t="s">
        <v>147</v>
      </c>
      <c r="E26" s="41" t="s">
        <v>148</v>
      </c>
      <c r="F26" s="40" t="str">
        <f t="shared" si="1"/>
        <v>CORRECT</v>
      </c>
      <c r="G26" s="40" t="s">
        <v>48</v>
      </c>
      <c r="H26" s="44" t="s">
        <v>48</v>
      </c>
      <c r="I26" s="43" t="s">
        <v>149</v>
      </c>
      <c r="J26" s="44">
        <v>29119.0</v>
      </c>
    </row>
    <row r="27" ht="60.0" customHeight="1">
      <c r="A27" s="40">
        <v>24.0</v>
      </c>
      <c r="B27" s="41" t="s">
        <v>150</v>
      </c>
      <c r="C27" s="41" t="s">
        <v>151</v>
      </c>
      <c r="D27" s="41" t="s">
        <v>152</v>
      </c>
      <c r="E27" s="41" t="s">
        <v>153</v>
      </c>
      <c r="F27" s="40" t="str">
        <f t="shared" si="1"/>
        <v>CORRECT</v>
      </c>
      <c r="G27" s="40" t="s">
        <v>36</v>
      </c>
      <c r="H27" s="44" t="s">
        <v>36</v>
      </c>
      <c r="I27" s="43" t="s">
        <v>154</v>
      </c>
      <c r="J27" s="44">
        <v>31568.0</v>
      </c>
    </row>
    <row r="28" ht="60.0" customHeight="1">
      <c r="A28" s="40">
        <v>25.0</v>
      </c>
      <c r="B28" s="41" t="s">
        <v>155</v>
      </c>
      <c r="C28" s="41" t="s">
        <v>151</v>
      </c>
      <c r="D28" s="41" t="s">
        <v>156</v>
      </c>
      <c r="E28" s="41" t="s">
        <v>153</v>
      </c>
      <c r="F28" s="40" t="str">
        <f t="shared" si="1"/>
        <v>WRONG</v>
      </c>
      <c r="G28" s="40" t="s">
        <v>48</v>
      </c>
      <c r="H28" s="42" t="s">
        <v>42</v>
      </c>
      <c r="I28" s="43" t="s">
        <v>157</v>
      </c>
      <c r="J28" s="44">
        <v>35770.0</v>
      </c>
    </row>
    <row r="29" ht="60.0" customHeight="1">
      <c r="A29" s="40">
        <v>26.0</v>
      </c>
      <c r="B29" s="41" t="s">
        <v>158</v>
      </c>
      <c r="C29" s="41" t="s">
        <v>159</v>
      </c>
      <c r="D29" s="41" t="s">
        <v>160</v>
      </c>
      <c r="E29" s="41" t="s">
        <v>161</v>
      </c>
      <c r="F29" s="40" t="str">
        <f t="shared" si="1"/>
        <v>WRONG</v>
      </c>
      <c r="G29" s="40" t="s">
        <v>36</v>
      </c>
      <c r="H29" s="44" t="s">
        <v>48</v>
      </c>
      <c r="I29" s="43" t="s">
        <v>162</v>
      </c>
      <c r="J29" s="44">
        <v>23469.0</v>
      </c>
    </row>
    <row r="30" ht="60.0" customHeight="1">
      <c r="A30" s="40">
        <v>27.0</v>
      </c>
      <c r="B30" s="41" t="s">
        <v>163</v>
      </c>
      <c r="C30" s="41" t="s">
        <v>164</v>
      </c>
      <c r="D30" s="41" t="s">
        <v>165</v>
      </c>
      <c r="E30" s="41" t="s">
        <v>166</v>
      </c>
      <c r="F30" s="40" t="str">
        <f t="shared" si="1"/>
        <v>CORRECT</v>
      </c>
      <c r="G30" s="40" t="s">
        <v>42</v>
      </c>
      <c r="H30" s="42" t="s">
        <v>42</v>
      </c>
      <c r="I30" s="43" t="s">
        <v>167</v>
      </c>
      <c r="J30" s="44">
        <v>44882.0</v>
      </c>
    </row>
    <row r="31" ht="60.0" customHeight="1">
      <c r="A31" s="40">
        <v>28.0</v>
      </c>
      <c r="B31" s="41" t="s">
        <v>168</v>
      </c>
      <c r="C31" s="41" t="s">
        <v>169</v>
      </c>
      <c r="D31" s="41" t="s">
        <v>170</v>
      </c>
      <c r="E31" s="41" t="s">
        <v>171</v>
      </c>
      <c r="F31" s="40" t="str">
        <f t="shared" si="1"/>
        <v>WRONG</v>
      </c>
      <c r="G31" s="40" t="s">
        <v>36</v>
      </c>
      <c r="H31" s="42" t="s">
        <v>48</v>
      </c>
      <c r="I31" s="43" t="s">
        <v>172</v>
      </c>
      <c r="J31" s="44">
        <v>28754.0</v>
      </c>
    </row>
    <row r="32" ht="60.0" customHeight="1">
      <c r="A32" s="40">
        <v>29.0</v>
      </c>
      <c r="B32" s="41" t="s">
        <v>173</v>
      </c>
      <c r="C32" s="41" t="s">
        <v>174</v>
      </c>
      <c r="D32" s="41" t="s">
        <v>175</v>
      </c>
      <c r="E32" s="41" t="s">
        <v>176</v>
      </c>
      <c r="F32" s="40" t="str">
        <f t="shared" si="1"/>
        <v>CORRECT</v>
      </c>
      <c r="G32" s="40" t="s">
        <v>42</v>
      </c>
      <c r="H32" s="44" t="s">
        <v>42</v>
      </c>
      <c r="I32" s="43" t="s">
        <v>177</v>
      </c>
      <c r="J32" s="44">
        <v>42528.0</v>
      </c>
    </row>
    <row r="33" ht="60.0" customHeight="1">
      <c r="A33" s="40">
        <v>30.0</v>
      </c>
      <c r="B33" s="41" t="s">
        <v>178</v>
      </c>
      <c r="C33" s="41" t="s">
        <v>179</v>
      </c>
      <c r="D33" s="41" t="s">
        <v>180</v>
      </c>
      <c r="E33" s="41" t="s">
        <v>181</v>
      </c>
      <c r="F33" s="40" t="str">
        <f t="shared" si="1"/>
        <v>WRONG</v>
      </c>
      <c r="G33" s="40" t="s">
        <v>48</v>
      </c>
      <c r="H33" s="44" t="s">
        <v>36</v>
      </c>
      <c r="I33" s="43" t="s">
        <v>182</v>
      </c>
      <c r="J33" s="44">
        <v>37335.0</v>
      </c>
    </row>
    <row r="34" ht="60.0" customHeight="1">
      <c r="A34" s="40">
        <v>31.0</v>
      </c>
      <c r="B34" s="41" t="s">
        <v>183</v>
      </c>
      <c r="C34" s="41" t="s">
        <v>184</v>
      </c>
      <c r="D34" s="41" t="s">
        <v>185</v>
      </c>
      <c r="E34" s="41" t="s">
        <v>186</v>
      </c>
      <c r="F34" s="40" t="str">
        <f t="shared" si="1"/>
        <v>WRONG</v>
      </c>
      <c r="G34" s="40" t="s">
        <v>42</v>
      </c>
      <c r="H34" s="44" t="s">
        <v>36</v>
      </c>
      <c r="I34" s="43" t="s">
        <v>187</v>
      </c>
      <c r="J34" s="44">
        <v>35938.0</v>
      </c>
    </row>
    <row r="35" ht="60.0" customHeight="1">
      <c r="A35" s="40">
        <v>32.0</v>
      </c>
      <c r="B35" s="41" t="s">
        <v>188</v>
      </c>
      <c r="C35" s="41" t="s">
        <v>189</v>
      </c>
      <c r="D35" s="41" t="s">
        <v>190</v>
      </c>
      <c r="E35" s="41" t="s">
        <v>191</v>
      </c>
      <c r="F35" s="40" t="str">
        <f t="shared" si="1"/>
        <v>CORRECT</v>
      </c>
      <c r="G35" s="40" t="s">
        <v>36</v>
      </c>
      <c r="H35" s="44" t="s">
        <v>36</v>
      </c>
      <c r="I35" s="43" t="s">
        <v>192</v>
      </c>
      <c r="J35" s="44">
        <v>45307.0</v>
      </c>
    </row>
    <row r="36" ht="60.0" customHeight="1">
      <c r="A36" s="40">
        <v>33.0</v>
      </c>
      <c r="B36" s="41" t="s">
        <v>193</v>
      </c>
      <c r="C36" s="41" t="s">
        <v>194</v>
      </c>
      <c r="D36" s="41" t="s">
        <v>195</v>
      </c>
      <c r="E36" s="41" t="s">
        <v>196</v>
      </c>
      <c r="F36" s="40" t="str">
        <f t="shared" si="1"/>
        <v>CORRECT</v>
      </c>
      <c r="G36" s="40" t="s">
        <v>48</v>
      </c>
      <c r="H36" s="42" t="s">
        <v>48</v>
      </c>
      <c r="I36" s="43" t="s">
        <v>197</v>
      </c>
      <c r="J36" s="44">
        <v>38439.0</v>
      </c>
    </row>
    <row r="37" ht="60.0" customHeight="1">
      <c r="A37" s="40">
        <v>34.0</v>
      </c>
      <c r="B37" s="41" t="s">
        <v>198</v>
      </c>
      <c r="C37" s="41" t="s">
        <v>199</v>
      </c>
      <c r="D37" s="41" t="s">
        <v>200</v>
      </c>
      <c r="E37" s="41" t="s">
        <v>201</v>
      </c>
      <c r="F37" s="40" t="str">
        <f t="shared" si="1"/>
        <v>CORRECT</v>
      </c>
      <c r="G37" s="40" t="s">
        <v>36</v>
      </c>
      <c r="H37" s="44" t="s">
        <v>36</v>
      </c>
      <c r="I37" s="43" t="s">
        <v>202</v>
      </c>
      <c r="J37" s="44">
        <v>23129.0</v>
      </c>
    </row>
    <row r="38" ht="60.0" customHeight="1">
      <c r="A38" s="40">
        <v>35.0</v>
      </c>
      <c r="B38" s="41" t="s">
        <v>203</v>
      </c>
      <c r="C38" s="41" t="s">
        <v>204</v>
      </c>
      <c r="D38" s="41" t="s">
        <v>205</v>
      </c>
      <c r="E38" s="41" t="s">
        <v>206</v>
      </c>
      <c r="F38" s="40" t="str">
        <f t="shared" si="1"/>
        <v>CORRECT</v>
      </c>
      <c r="G38" s="40" t="s">
        <v>48</v>
      </c>
      <c r="H38" s="44" t="s">
        <v>48</v>
      </c>
      <c r="I38" s="43" t="s">
        <v>207</v>
      </c>
      <c r="J38" s="44">
        <v>31137.0</v>
      </c>
    </row>
    <row r="39" ht="60.0" customHeight="1">
      <c r="A39" s="40">
        <v>36.0</v>
      </c>
      <c r="B39" s="41" t="s">
        <v>208</v>
      </c>
      <c r="C39" s="41" t="s">
        <v>209</v>
      </c>
      <c r="D39" s="41" t="s">
        <v>210</v>
      </c>
      <c r="E39" s="41" t="s">
        <v>211</v>
      </c>
      <c r="F39" s="40" t="str">
        <f t="shared" si="1"/>
        <v>CORRECT</v>
      </c>
      <c r="G39" s="40" t="s">
        <v>36</v>
      </c>
      <c r="H39" s="44" t="s">
        <v>36</v>
      </c>
      <c r="I39" s="43" t="s">
        <v>212</v>
      </c>
      <c r="J39" s="44">
        <v>29021.0</v>
      </c>
    </row>
    <row r="40" ht="60.0" customHeight="1">
      <c r="A40" s="40">
        <v>37.0</v>
      </c>
      <c r="B40" s="41" t="s">
        <v>213</v>
      </c>
      <c r="C40" s="41" t="s">
        <v>214</v>
      </c>
      <c r="D40" s="41" t="s">
        <v>215</v>
      </c>
      <c r="E40" s="41" t="s">
        <v>216</v>
      </c>
      <c r="F40" s="40" t="str">
        <f t="shared" si="1"/>
        <v>WRONG</v>
      </c>
      <c r="G40" s="40" t="s">
        <v>36</v>
      </c>
      <c r="H40" s="44" t="s">
        <v>42</v>
      </c>
      <c r="I40" s="43" t="s">
        <v>217</v>
      </c>
      <c r="J40" s="44">
        <v>18133.0</v>
      </c>
    </row>
    <row r="41" ht="60.0" customHeight="1">
      <c r="A41" s="40">
        <v>38.0</v>
      </c>
      <c r="B41" s="41" t="s">
        <v>218</v>
      </c>
      <c r="C41" s="41" t="s">
        <v>219</v>
      </c>
      <c r="D41" s="41" t="s">
        <v>220</v>
      </c>
      <c r="E41" s="41" t="s">
        <v>221</v>
      </c>
      <c r="F41" s="40" t="str">
        <f t="shared" si="1"/>
        <v>CORRECT</v>
      </c>
      <c r="G41" s="40" t="s">
        <v>36</v>
      </c>
      <c r="H41" s="44" t="s">
        <v>36</v>
      </c>
      <c r="I41" s="43" t="s">
        <v>222</v>
      </c>
      <c r="J41" s="44">
        <v>29771.0</v>
      </c>
    </row>
    <row r="42" ht="60.0" customHeight="1">
      <c r="A42" s="40">
        <v>39.0</v>
      </c>
      <c r="B42" s="41" t="s">
        <v>223</v>
      </c>
      <c r="C42" s="41" t="s">
        <v>224</v>
      </c>
      <c r="D42" s="41" t="s">
        <v>225</v>
      </c>
      <c r="E42" s="41" t="s">
        <v>226</v>
      </c>
      <c r="F42" s="40" t="str">
        <f t="shared" si="1"/>
        <v>WRONG</v>
      </c>
      <c r="G42" s="40" t="s">
        <v>42</v>
      </c>
      <c r="H42" s="44" t="s">
        <v>48</v>
      </c>
      <c r="I42" s="43" t="s">
        <v>227</v>
      </c>
      <c r="J42" s="44">
        <v>22490.0</v>
      </c>
    </row>
    <row r="43" ht="60.0" customHeight="1">
      <c r="A43" s="40">
        <v>40.0</v>
      </c>
      <c r="B43" s="41" t="s">
        <v>228</v>
      </c>
      <c r="C43" s="41" t="s">
        <v>229</v>
      </c>
      <c r="D43" s="41" t="s">
        <v>230</v>
      </c>
      <c r="E43" s="41" t="s">
        <v>231</v>
      </c>
      <c r="F43" s="40" t="str">
        <f t="shared" si="1"/>
        <v>CORRECT</v>
      </c>
      <c r="G43" s="40" t="s">
        <v>48</v>
      </c>
      <c r="H43" s="44" t="s">
        <v>48</v>
      </c>
      <c r="I43" s="43" t="s">
        <v>232</v>
      </c>
      <c r="J43" s="44">
        <v>36716.0</v>
      </c>
    </row>
    <row r="44" ht="60.0" customHeight="1">
      <c r="A44" s="40">
        <v>41.0</v>
      </c>
      <c r="B44" s="41" t="s">
        <v>233</v>
      </c>
      <c r="C44" s="41" t="s">
        <v>234</v>
      </c>
      <c r="D44" s="41" t="s">
        <v>235</v>
      </c>
      <c r="E44" s="41" t="s">
        <v>236</v>
      </c>
      <c r="F44" s="40" t="str">
        <f t="shared" si="1"/>
        <v>CORRECT</v>
      </c>
      <c r="G44" s="40" t="s">
        <v>42</v>
      </c>
      <c r="H44" s="44" t="s">
        <v>42</v>
      </c>
      <c r="I44" s="43" t="s">
        <v>237</v>
      </c>
      <c r="J44" s="44">
        <v>19530.0</v>
      </c>
    </row>
    <row r="45" ht="60.0" customHeight="1">
      <c r="A45" s="40">
        <v>42.0</v>
      </c>
      <c r="B45" s="41" t="s">
        <v>238</v>
      </c>
      <c r="C45" s="41" t="s">
        <v>239</v>
      </c>
      <c r="D45" s="41" t="s">
        <v>240</v>
      </c>
      <c r="E45" s="41" t="s">
        <v>241</v>
      </c>
      <c r="F45" s="40" t="str">
        <f t="shared" si="1"/>
        <v>WRONG</v>
      </c>
      <c r="G45" s="40" t="s">
        <v>36</v>
      </c>
      <c r="H45" s="44" t="s">
        <v>42</v>
      </c>
      <c r="I45" s="43" t="s">
        <v>242</v>
      </c>
      <c r="J45" s="44">
        <v>37501.0</v>
      </c>
    </row>
    <row r="46" ht="60.0" customHeight="1">
      <c r="A46" s="40">
        <v>43.0</v>
      </c>
      <c r="B46" s="41" t="s">
        <v>243</v>
      </c>
      <c r="C46" s="41" t="s">
        <v>244</v>
      </c>
      <c r="D46" s="41" t="s">
        <v>245</v>
      </c>
      <c r="E46" s="41" t="s">
        <v>246</v>
      </c>
      <c r="F46" s="40" t="str">
        <f t="shared" si="1"/>
        <v>CORRECT</v>
      </c>
      <c r="G46" s="40" t="s">
        <v>48</v>
      </c>
      <c r="H46" s="44" t="s">
        <v>48</v>
      </c>
      <c r="I46" s="43" t="s">
        <v>247</v>
      </c>
      <c r="J46" s="44">
        <v>35743.0</v>
      </c>
    </row>
    <row r="47" ht="60.0" customHeight="1">
      <c r="A47" s="40">
        <v>44.0</v>
      </c>
      <c r="B47" s="41" t="s">
        <v>248</v>
      </c>
      <c r="C47" s="41" t="s">
        <v>249</v>
      </c>
      <c r="D47" s="41" t="s">
        <v>250</v>
      </c>
      <c r="E47" s="41" t="s">
        <v>251</v>
      </c>
      <c r="F47" s="40" t="str">
        <f t="shared" si="1"/>
        <v>CORRECT</v>
      </c>
      <c r="G47" s="40" t="s">
        <v>36</v>
      </c>
      <c r="H47" s="44" t="s">
        <v>36</v>
      </c>
      <c r="I47" s="43" t="s">
        <v>252</v>
      </c>
      <c r="J47" s="44">
        <v>26357.0</v>
      </c>
    </row>
    <row r="48" ht="60.0" customHeight="1">
      <c r="A48" s="40">
        <v>45.0</v>
      </c>
      <c r="B48" s="41" t="s">
        <v>253</v>
      </c>
      <c r="C48" s="41" t="s">
        <v>254</v>
      </c>
      <c r="D48" s="41" t="s">
        <v>255</v>
      </c>
      <c r="E48" s="41" t="s">
        <v>256</v>
      </c>
      <c r="F48" s="40" t="str">
        <f t="shared" si="1"/>
        <v>CORRECT</v>
      </c>
      <c r="G48" s="40" t="s">
        <v>36</v>
      </c>
      <c r="H48" s="44" t="s">
        <v>36</v>
      </c>
      <c r="I48" s="43" t="s">
        <v>257</v>
      </c>
      <c r="J48" s="44">
        <v>54794.0</v>
      </c>
    </row>
    <row r="49" ht="60.0" customHeight="1">
      <c r="A49" s="40">
        <v>46.0</v>
      </c>
      <c r="B49" s="41" t="s">
        <v>258</v>
      </c>
      <c r="C49" s="41" t="s">
        <v>39</v>
      </c>
      <c r="D49" s="41" t="s">
        <v>259</v>
      </c>
      <c r="E49" s="41" t="s">
        <v>260</v>
      </c>
      <c r="F49" s="40" t="str">
        <f t="shared" si="1"/>
        <v>CORRECT</v>
      </c>
      <c r="G49" s="40" t="s">
        <v>36</v>
      </c>
      <c r="H49" s="44" t="s">
        <v>36</v>
      </c>
      <c r="I49" s="43" t="s">
        <v>261</v>
      </c>
      <c r="J49" s="44">
        <v>24120.0</v>
      </c>
    </row>
    <row r="50">
      <c r="A50" s="45" t="s">
        <v>262</v>
      </c>
      <c r="B50" s="2"/>
      <c r="C50" s="2"/>
      <c r="D50" s="2"/>
      <c r="E50" s="3"/>
      <c r="F50" s="46">
        <f>COUNTIFS(F4:F49,"CORRECT")</f>
        <v>29</v>
      </c>
      <c r="G50" s="47"/>
      <c r="H50" s="47"/>
      <c r="J50" s="48">
        <f>AVERAGE(J4:J49)</f>
        <v>32777.08696</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276</v>
      </c>
      <c r="C2" s="2"/>
      <c r="D2" s="2"/>
      <c r="E2" s="2"/>
      <c r="F2" s="2"/>
      <c r="G2" s="2"/>
      <c r="H2" s="3"/>
      <c r="I2" s="38" t="s">
        <v>277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278</v>
      </c>
      <c r="J4" s="44">
        <v>33956.0</v>
      </c>
    </row>
    <row r="5" ht="60.0" customHeight="1">
      <c r="A5" s="40">
        <v>2.0</v>
      </c>
      <c r="B5" s="41" t="s">
        <v>38</v>
      </c>
      <c r="C5" s="41" t="s">
        <v>39</v>
      </c>
      <c r="D5" s="41" t="s">
        <v>40</v>
      </c>
      <c r="E5" s="41" t="s">
        <v>41</v>
      </c>
      <c r="F5" s="40" t="str">
        <f t="shared" si="1"/>
        <v>CORRECT</v>
      </c>
      <c r="G5" s="40" t="s">
        <v>42</v>
      </c>
      <c r="H5" s="44" t="s">
        <v>42</v>
      </c>
      <c r="I5" s="43" t="s">
        <v>279</v>
      </c>
      <c r="J5" s="44">
        <v>38758.0</v>
      </c>
    </row>
    <row r="6" ht="60.0" customHeight="1">
      <c r="A6" s="40">
        <v>3.0</v>
      </c>
      <c r="B6" s="41" t="s">
        <v>44</v>
      </c>
      <c r="C6" s="41" t="s">
        <v>45</v>
      </c>
      <c r="D6" s="41" t="s">
        <v>46</v>
      </c>
      <c r="E6" s="41" t="s">
        <v>47</v>
      </c>
      <c r="F6" s="40" t="str">
        <f t="shared" si="1"/>
        <v>CORRECT</v>
      </c>
      <c r="G6" s="40" t="s">
        <v>48</v>
      </c>
      <c r="H6" s="44" t="s">
        <v>48</v>
      </c>
      <c r="I6" s="43" t="s">
        <v>49</v>
      </c>
      <c r="J6" s="44">
        <v>32891.0</v>
      </c>
    </row>
    <row r="7" ht="60.0" customHeight="1">
      <c r="A7" s="40">
        <v>4.0</v>
      </c>
      <c r="B7" s="41" t="s">
        <v>50</v>
      </c>
      <c r="C7" s="41" t="s">
        <v>51</v>
      </c>
      <c r="D7" s="41" t="s">
        <v>52</v>
      </c>
      <c r="E7" s="41" t="s">
        <v>53</v>
      </c>
      <c r="F7" s="40" t="str">
        <f t="shared" si="1"/>
        <v>CORRECT</v>
      </c>
      <c r="G7" s="40" t="s">
        <v>42</v>
      </c>
      <c r="H7" s="44" t="s">
        <v>42</v>
      </c>
      <c r="I7" s="43" t="s">
        <v>269</v>
      </c>
      <c r="J7" s="44">
        <v>24632.0</v>
      </c>
    </row>
    <row r="8" ht="60.0" customHeight="1">
      <c r="A8" s="40">
        <v>5.0</v>
      </c>
      <c r="B8" s="41" t="s">
        <v>55</v>
      </c>
      <c r="C8" s="41" t="s">
        <v>56</v>
      </c>
      <c r="D8" s="41" t="s">
        <v>57</v>
      </c>
      <c r="E8" s="41" t="s">
        <v>58</v>
      </c>
      <c r="F8" s="40" t="str">
        <f t="shared" si="1"/>
        <v>CORRECT</v>
      </c>
      <c r="G8" s="40" t="s">
        <v>48</v>
      </c>
      <c r="H8" s="42" t="s">
        <v>48</v>
      </c>
      <c r="I8" s="43" t="s">
        <v>280</v>
      </c>
      <c r="J8" s="44">
        <v>48787.0</v>
      </c>
    </row>
    <row r="9" ht="60.0" customHeight="1">
      <c r="A9" s="40">
        <v>6.0</v>
      </c>
      <c r="B9" s="41" t="s">
        <v>60</v>
      </c>
      <c r="C9" s="41" t="s">
        <v>61</v>
      </c>
      <c r="D9" s="41" t="s">
        <v>62</v>
      </c>
      <c r="E9" s="41" t="s">
        <v>63</v>
      </c>
      <c r="F9" s="40" t="str">
        <f t="shared" si="1"/>
        <v>CORRECT</v>
      </c>
      <c r="G9" s="40" t="s">
        <v>42</v>
      </c>
      <c r="H9" s="44" t="s">
        <v>42</v>
      </c>
      <c r="I9" s="43" t="s">
        <v>270</v>
      </c>
      <c r="J9" s="44">
        <v>37731.0</v>
      </c>
    </row>
    <row r="10" ht="60.0" customHeight="1">
      <c r="A10" s="40">
        <v>7.0</v>
      </c>
      <c r="B10" s="41" t="s">
        <v>65</v>
      </c>
      <c r="C10" s="41" t="s">
        <v>66</v>
      </c>
      <c r="D10" s="41" t="s">
        <v>67</v>
      </c>
      <c r="E10" s="41" t="s">
        <v>68</v>
      </c>
      <c r="F10" s="40" t="str">
        <f t="shared" si="1"/>
        <v>WRONG</v>
      </c>
      <c r="G10" s="40" t="s">
        <v>42</v>
      </c>
      <c r="H10" s="44" t="s">
        <v>36</v>
      </c>
      <c r="I10" s="43" t="s">
        <v>281</v>
      </c>
      <c r="J10" s="44">
        <v>39016.0</v>
      </c>
    </row>
    <row r="11" ht="60.0" customHeight="1">
      <c r="A11" s="40">
        <v>8.0</v>
      </c>
      <c r="B11" s="41" t="s">
        <v>70</v>
      </c>
      <c r="C11" s="41" t="s">
        <v>71</v>
      </c>
      <c r="D11" s="41" t="s">
        <v>72</v>
      </c>
      <c r="E11" s="41" t="s">
        <v>73</v>
      </c>
      <c r="F11" s="40" t="str">
        <f t="shared" si="1"/>
        <v>CORRECT</v>
      </c>
      <c r="G11" s="40" t="s">
        <v>48</v>
      </c>
      <c r="H11" s="44" t="s">
        <v>48</v>
      </c>
      <c r="I11" s="43" t="s">
        <v>282</v>
      </c>
      <c r="J11" s="44">
        <v>36388.0</v>
      </c>
    </row>
    <row r="12" ht="60.0" customHeight="1">
      <c r="A12" s="40">
        <v>9.0</v>
      </c>
      <c r="B12" s="41" t="s">
        <v>75</v>
      </c>
      <c r="C12" s="41" t="s">
        <v>76</v>
      </c>
      <c r="D12" s="41" t="s">
        <v>77</v>
      </c>
      <c r="E12" s="41" t="s">
        <v>78</v>
      </c>
      <c r="F12" s="40" t="str">
        <f t="shared" si="1"/>
        <v>WRONG</v>
      </c>
      <c r="G12" s="40" t="s">
        <v>42</v>
      </c>
      <c r="H12" s="44" t="s">
        <v>48</v>
      </c>
      <c r="I12" s="43" t="s">
        <v>283</v>
      </c>
      <c r="J12" s="44">
        <v>38904.0</v>
      </c>
    </row>
    <row r="13" ht="60.0" customHeight="1">
      <c r="A13" s="40">
        <v>10.0</v>
      </c>
      <c r="B13" s="41" t="s">
        <v>80</v>
      </c>
      <c r="C13" s="41" t="s">
        <v>81</v>
      </c>
      <c r="D13" s="41" t="s">
        <v>82</v>
      </c>
      <c r="E13" s="41" t="s">
        <v>83</v>
      </c>
      <c r="F13" s="40" t="str">
        <f t="shared" si="1"/>
        <v>CORRECT</v>
      </c>
      <c r="G13" s="40" t="s">
        <v>48</v>
      </c>
      <c r="H13" s="44" t="s">
        <v>48</v>
      </c>
      <c r="I13" s="43" t="s">
        <v>284</v>
      </c>
      <c r="J13" s="44">
        <v>29232.0</v>
      </c>
    </row>
    <row r="14" ht="60.0" customHeight="1">
      <c r="A14" s="40">
        <v>11.0</v>
      </c>
      <c r="B14" s="41" t="s">
        <v>85</v>
      </c>
      <c r="C14" s="41" t="s">
        <v>86</v>
      </c>
      <c r="D14" s="41" t="s">
        <v>87</v>
      </c>
      <c r="E14" s="41" t="s">
        <v>88</v>
      </c>
      <c r="F14" s="40" t="str">
        <f t="shared" si="1"/>
        <v>WRONG</v>
      </c>
      <c r="G14" s="40" t="s">
        <v>42</v>
      </c>
      <c r="H14" s="42" t="s">
        <v>48</v>
      </c>
      <c r="I14" s="43" t="s">
        <v>285</v>
      </c>
      <c r="J14" s="44">
        <v>43492.0</v>
      </c>
    </row>
    <row r="15" ht="60.0" customHeight="1">
      <c r="A15" s="40">
        <v>12.0</v>
      </c>
      <c r="B15" s="41" t="s">
        <v>90</v>
      </c>
      <c r="C15" s="41" t="s">
        <v>91</v>
      </c>
      <c r="D15" s="41" t="s">
        <v>92</v>
      </c>
      <c r="E15" s="41" t="s">
        <v>93</v>
      </c>
      <c r="F15" s="40" t="str">
        <f t="shared" si="1"/>
        <v>CORRECT</v>
      </c>
      <c r="G15" s="40" t="s">
        <v>48</v>
      </c>
      <c r="H15" s="44" t="s">
        <v>48</v>
      </c>
      <c r="I15" s="43" t="s">
        <v>274</v>
      </c>
      <c r="J15" s="44">
        <v>40541.0</v>
      </c>
    </row>
    <row r="16" ht="60.0" customHeight="1">
      <c r="A16" s="40">
        <v>13.0</v>
      </c>
      <c r="B16" s="41" t="s">
        <v>95</v>
      </c>
      <c r="C16" s="41" t="s">
        <v>96</v>
      </c>
      <c r="D16" s="41" t="s">
        <v>97</v>
      </c>
      <c r="E16" s="41" t="s">
        <v>98</v>
      </c>
      <c r="F16" s="40" t="str">
        <f t="shared" si="1"/>
        <v>CORRECT</v>
      </c>
      <c r="G16" s="40" t="s">
        <v>36</v>
      </c>
      <c r="H16" s="44" t="s">
        <v>36</v>
      </c>
      <c r="I16" s="43" t="s">
        <v>286</v>
      </c>
      <c r="J16" s="44">
        <v>26667.0</v>
      </c>
    </row>
    <row r="17" ht="60.0" customHeight="1">
      <c r="A17" s="40">
        <v>14.0</v>
      </c>
      <c r="B17" s="41" t="s">
        <v>100</v>
      </c>
      <c r="C17" s="41" t="s">
        <v>101</v>
      </c>
      <c r="D17" s="41" t="s">
        <v>102</v>
      </c>
      <c r="E17" s="41" t="s">
        <v>103</v>
      </c>
      <c r="F17" s="40" t="str">
        <f t="shared" si="1"/>
        <v>WRONG</v>
      </c>
      <c r="G17" s="40" t="s">
        <v>36</v>
      </c>
      <c r="H17" s="42" t="s">
        <v>48</v>
      </c>
      <c r="I17" s="43" t="s">
        <v>104</v>
      </c>
      <c r="J17" s="44">
        <v>40823.0</v>
      </c>
    </row>
    <row r="18" ht="60.0" customHeight="1">
      <c r="A18" s="40">
        <v>15.0</v>
      </c>
      <c r="B18" s="41" t="s">
        <v>105</v>
      </c>
      <c r="C18" s="41" t="s">
        <v>106</v>
      </c>
      <c r="D18" s="41" t="s">
        <v>107</v>
      </c>
      <c r="E18" s="41" t="s">
        <v>108</v>
      </c>
      <c r="F18" s="40" t="str">
        <f t="shared" si="1"/>
        <v>CORRECT</v>
      </c>
      <c r="G18" s="40" t="s">
        <v>48</v>
      </c>
      <c r="H18" s="42" t="s">
        <v>48</v>
      </c>
      <c r="I18" s="43" t="s">
        <v>287</v>
      </c>
      <c r="J18" s="44">
        <v>38004.0</v>
      </c>
    </row>
    <row r="19" ht="60.0" customHeight="1">
      <c r="A19" s="40">
        <v>16.0</v>
      </c>
      <c r="B19" s="41" t="s">
        <v>110</v>
      </c>
      <c r="C19" s="41" t="s">
        <v>111</v>
      </c>
      <c r="D19" s="41" t="s">
        <v>112</v>
      </c>
      <c r="E19" s="41" t="s">
        <v>113</v>
      </c>
      <c r="F19" s="40" t="str">
        <f t="shared" si="1"/>
        <v>WRONG</v>
      </c>
      <c r="G19" s="40" t="s">
        <v>48</v>
      </c>
      <c r="H19" s="42" t="s">
        <v>36</v>
      </c>
      <c r="I19" s="43" t="s">
        <v>114</v>
      </c>
      <c r="J19" s="44">
        <v>35320.0</v>
      </c>
    </row>
    <row r="20" ht="60.0" customHeight="1">
      <c r="A20" s="40">
        <v>17.0</v>
      </c>
      <c r="B20" s="41" t="s">
        <v>115</v>
      </c>
      <c r="C20" s="41" t="s">
        <v>116</v>
      </c>
      <c r="D20" s="41" t="s">
        <v>117</v>
      </c>
      <c r="E20" s="41" t="s">
        <v>118</v>
      </c>
      <c r="F20" s="40" t="str">
        <f t="shared" si="1"/>
        <v>WRONG</v>
      </c>
      <c r="G20" s="40" t="s">
        <v>42</v>
      </c>
      <c r="H20" s="44" t="s">
        <v>36</v>
      </c>
      <c r="I20" s="43" t="s">
        <v>119</v>
      </c>
      <c r="J20" s="44">
        <v>26722.0</v>
      </c>
    </row>
    <row r="21" ht="60.0" customHeight="1">
      <c r="A21" s="40">
        <v>18.0</v>
      </c>
      <c r="B21" s="41" t="s">
        <v>120</v>
      </c>
      <c r="C21" s="41" t="s">
        <v>121</v>
      </c>
      <c r="D21" s="41" t="s">
        <v>122</v>
      </c>
      <c r="E21" s="41" t="s">
        <v>123</v>
      </c>
      <c r="F21" s="40" t="str">
        <f t="shared" si="1"/>
        <v>CORRECT</v>
      </c>
      <c r="G21" s="40" t="s">
        <v>42</v>
      </c>
      <c r="H21" s="44" t="s">
        <v>42</v>
      </c>
      <c r="I21" s="43" t="s">
        <v>124</v>
      </c>
      <c r="J21" s="44">
        <v>23293.0</v>
      </c>
    </row>
    <row r="22" ht="60.0" customHeight="1">
      <c r="A22" s="40">
        <v>19.0</v>
      </c>
      <c r="B22" s="41" t="s">
        <v>125</v>
      </c>
      <c r="C22" s="41" t="s">
        <v>126</v>
      </c>
      <c r="D22" s="41" t="s">
        <v>127</v>
      </c>
      <c r="E22" s="41" t="s">
        <v>128</v>
      </c>
      <c r="F22" s="40" t="str">
        <f t="shared" si="1"/>
        <v>WRONG</v>
      </c>
      <c r="G22" s="40" t="s">
        <v>36</v>
      </c>
      <c r="H22" s="44" t="s">
        <v>48</v>
      </c>
      <c r="I22" s="43" t="s">
        <v>275</v>
      </c>
      <c r="J22" s="44">
        <v>32730.0</v>
      </c>
    </row>
    <row r="23" ht="60.0" customHeight="1">
      <c r="A23" s="40">
        <v>20.0</v>
      </c>
      <c r="B23" s="41" t="s">
        <v>130</v>
      </c>
      <c r="C23" s="41" t="s">
        <v>131</v>
      </c>
      <c r="D23" s="41" t="s">
        <v>132</v>
      </c>
      <c r="E23" s="41" t="s">
        <v>133</v>
      </c>
      <c r="F23" s="40" t="str">
        <f t="shared" si="1"/>
        <v>WRONG</v>
      </c>
      <c r="G23" s="40" t="s">
        <v>42</v>
      </c>
      <c r="H23" s="44" t="s">
        <v>36</v>
      </c>
      <c r="I23" s="43" t="s">
        <v>134</v>
      </c>
      <c r="J23" s="44">
        <v>29920.0</v>
      </c>
    </row>
    <row r="24" ht="60.0" customHeight="1">
      <c r="A24" s="40">
        <v>21.0</v>
      </c>
      <c r="B24" s="41" t="s">
        <v>135</v>
      </c>
      <c r="C24" s="41" t="s">
        <v>136</v>
      </c>
      <c r="D24" s="41" t="s">
        <v>137</v>
      </c>
      <c r="E24" s="41" t="s">
        <v>138</v>
      </c>
      <c r="F24" s="40" t="str">
        <f t="shared" si="1"/>
        <v>WRONG</v>
      </c>
      <c r="G24" s="40" t="s">
        <v>42</v>
      </c>
      <c r="H24" s="44" t="s">
        <v>36</v>
      </c>
      <c r="I24" s="43" t="s">
        <v>139</v>
      </c>
      <c r="J24" s="44">
        <v>21694.0</v>
      </c>
    </row>
    <row r="25" ht="60.0" customHeight="1">
      <c r="A25" s="40">
        <v>22.0</v>
      </c>
      <c r="B25" s="41" t="s">
        <v>140</v>
      </c>
      <c r="C25" s="41" t="s">
        <v>141</v>
      </c>
      <c r="D25" s="41" t="s">
        <v>142</v>
      </c>
      <c r="E25" s="41" t="s">
        <v>143</v>
      </c>
      <c r="F25" s="40" t="str">
        <f t="shared" si="1"/>
        <v>CORRECT</v>
      </c>
      <c r="G25" s="40" t="s">
        <v>42</v>
      </c>
      <c r="H25" s="44" t="s">
        <v>42</v>
      </c>
      <c r="I25" s="43" t="s">
        <v>288</v>
      </c>
      <c r="J25" s="44">
        <v>23653.0</v>
      </c>
    </row>
    <row r="26" ht="60.0" customHeight="1">
      <c r="A26" s="40">
        <v>23.0</v>
      </c>
      <c r="B26" s="41" t="s">
        <v>145</v>
      </c>
      <c r="C26" s="41" t="s">
        <v>146</v>
      </c>
      <c r="D26" s="41" t="s">
        <v>147</v>
      </c>
      <c r="E26" s="41" t="s">
        <v>148</v>
      </c>
      <c r="F26" s="40" t="str">
        <f t="shared" si="1"/>
        <v>CORRECT</v>
      </c>
      <c r="G26" s="40" t="s">
        <v>48</v>
      </c>
      <c r="H26" s="44" t="s">
        <v>48</v>
      </c>
      <c r="I26" s="43" t="s">
        <v>289</v>
      </c>
      <c r="J26" s="44">
        <v>28312.0</v>
      </c>
    </row>
    <row r="27" ht="60.0" customHeight="1">
      <c r="A27" s="40">
        <v>24.0</v>
      </c>
      <c r="B27" s="41" t="s">
        <v>150</v>
      </c>
      <c r="C27" s="41" t="s">
        <v>151</v>
      </c>
      <c r="D27" s="41" t="s">
        <v>152</v>
      </c>
      <c r="E27" s="41" t="s">
        <v>153</v>
      </c>
      <c r="F27" s="40" t="str">
        <f t="shared" si="1"/>
        <v>CORRECT</v>
      </c>
      <c r="G27" s="40" t="s">
        <v>36</v>
      </c>
      <c r="H27" s="44" t="s">
        <v>36</v>
      </c>
      <c r="I27" s="43" t="s">
        <v>290</v>
      </c>
      <c r="J27" s="44">
        <v>30134.0</v>
      </c>
    </row>
    <row r="28" ht="60.0" customHeight="1">
      <c r="A28" s="40">
        <v>25.0</v>
      </c>
      <c r="B28" s="41" t="s">
        <v>155</v>
      </c>
      <c r="C28" s="41" t="s">
        <v>151</v>
      </c>
      <c r="D28" s="41" t="s">
        <v>156</v>
      </c>
      <c r="E28" s="41" t="s">
        <v>153</v>
      </c>
      <c r="F28" s="40" t="str">
        <f t="shared" si="1"/>
        <v>WRONG</v>
      </c>
      <c r="G28" s="40" t="s">
        <v>48</v>
      </c>
      <c r="H28" s="42" t="s">
        <v>42</v>
      </c>
      <c r="I28" s="43" t="s">
        <v>291</v>
      </c>
      <c r="J28" s="44">
        <v>41487.0</v>
      </c>
    </row>
    <row r="29" ht="60.0" customHeight="1">
      <c r="A29" s="40">
        <v>26.0</v>
      </c>
      <c r="B29" s="41" t="s">
        <v>158</v>
      </c>
      <c r="C29" s="41" t="s">
        <v>159</v>
      </c>
      <c r="D29" s="41" t="s">
        <v>160</v>
      </c>
      <c r="E29" s="41" t="s">
        <v>161</v>
      </c>
      <c r="F29" s="40" t="str">
        <f t="shared" si="1"/>
        <v>WRONG</v>
      </c>
      <c r="G29" s="40" t="s">
        <v>36</v>
      </c>
      <c r="H29" s="44" t="s">
        <v>48</v>
      </c>
      <c r="I29" s="43" t="s">
        <v>162</v>
      </c>
      <c r="J29" s="44">
        <v>23727.0</v>
      </c>
    </row>
    <row r="30" ht="60.0" customHeight="1">
      <c r="A30" s="40">
        <v>27.0</v>
      </c>
      <c r="B30" s="41" t="s">
        <v>163</v>
      </c>
      <c r="C30" s="41" t="s">
        <v>164</v>
      </c>
      <c r="D30" s="41" t="s">
        <v>165</v>
      </c>
      <c r="E30" s="41" t="s">
        <v>166</v>
      </c>
      <c r="F30" s="40" t="str">
        <f t="shared" si="1"/>
        <v>CORRECT</v>
      </c>
      <c r="G30" s="40" t="s">
        <v>42</v>
      </c>
      <c r="H30" s="44" t="s">
        <v>42</v>
      </c>
      <c r="I30" s="43" t="s">
        <v>292</v>
      </c>
      <c r="J30" s="44">
        <v>29325.0</v>
      </c>
    </row>
    <row r="31" ht="60.0" customHeight="1">
      <c r="A31" s="40">
        <v>28.0</v>
      </c>
      <c r="B31" s="41" t="s">
        <v>168</v>
      </c>
      <c r="C31" s="41" t="s">
        <v>169</v>
      </c>
      <c r="D31" s="41" t="s">
        <v>170</v>
      </c>
      <c r="E31" s="41" t="s">
        <v>171</v>
      </c>
      <c r="F31" s="40" t="str">
        <f t="shared" si="1"/>
        <v>WRONG</v>
      </c>
      <c r="G31" s="40" t="s">
        <v>36</v>
      </c>
      <c r="H31" s="42" t="s">
        <v>48</v>
      </c>
      <c r="I31" s="43" t="s">
        <v>293</v>
      </c>
      <c r="J31" s="44">
        <v>28784.0</v>
      </c>
    </row>
    <row r="32" ht="60.0" customHeight="1">
      <c r="A32" s="40">
        <v>29.0</v>
      </c>
      <c r="B32" s="41" t="s">
        <v>173</v>
      </c>
      <c r="C32" s="41" t="s">
        <v>174</v>
      </c>
      <c r="D32" s="41" t="s">
        <v>175</v>
      </c>
      <c r="E32" s="41" t="s">
        <v>176</v>
      </c>
      <c r="F32" s="40" t="str">
        <f t="shared" si="1"/>
        <v>CORRECT</v>
      </c>
      <c r="G32" s="40" t="s">
        <v>42</v>
      </c>
      <c r="H32" s="44" t="s">
        <v>42</v>
      </c>
      <c r="I32" s="43" t="s">
        <v>294</v>
      </c>
      <c r="J32" s="44">
        <v>26129.0</v>
      </c>
    </row>
    <row r="33" ht="60.0" customHeight="1">
      <c r="A33" s="40">
        <v>30.0</v>
      </c>
      <c r="B33" s="41" t="s">
        <v>178</v>
      </c>
      <c r="C33" s="41" t="s">
        <v>179</v>
      </c>
      <c r="D33" s="41" t="s">
        <v>180</v>
      </c>
      <c r="E33" s="41" t="s">
        <v>181</v>
      </c>
      <c r="F33" s="40" t="str">
        <f t="shared" si="1"/>
        <v>WRONG</v>
      </c>
      <c r="G33" s="40" t="s">
        <v>48</v>
      </c>
      <c r="H33" s="44" t="s">
        <v>36</v>
      </c>
      <c r="I33" s="43" t="s">
        <v>182</v>
      </c>
      <c r="J33" s="44">
        <v>35822.0</v>
      </c>
    </row>
    <row r="34" ht="60.0" customHeight="1">
      <c r="A34" s="40">
        <v>31.0</v>
      </c>
      <c r="B34" s="41" t="s">
        <v>183</v>
      </c>
      <c r="C34" s="41" t="s">
        <v>184</v>
      </c>
      <c r="D34" s="41" t="s">
        <v>185</v>
      </c>
      <c r="E34" s="41" t="s">
        <v>186</v>
      </c>
      <c r="F34" s="40" t="str">
        <f t="shared" si="1"/>
        <v>WRONG</v>
      </c>
      <c r="G34" s="40" t="s">
        <v>42</v>
      </c>
      <c r="H34" s="44" t="s">
        <v>36</v>
      </c>
      <c r="I34" s="43" t="s">
        <v>295</v>
      </c>
      <c r="J34" s="44">
        <v>41014.0</v>
      </c>
    </row>
    <row r="35" ht="60.0" customHeight="1">
      <c r="A35" s="40">
        <v>32.0</v>
      </c>
      <c r="B35" s="41" t="s">
        <v>188</v>
      </c>
      <c r="C35" s="41" t="s">
        <v>189</v>
      </c>
      <c r="D35" s="41" t="s">
        <v>190</v>
      </c>
      <c r="E35" s="41" t="s">
        <v>191</v>
      </c>
      <c r="F35" s="40" t="str">
        <f t="shared" si="1"/>
        <v>CORRECT</v>
      </c>
      <c r="G35" s="40" t="s">
        <v>36</v>
      </c>
      <c r="H35" s="44" t="s">
        <v>36</v>
      </c>
      <c r="I35" s="43" t="s">
        <v>296</v>
      </c>
      <c r="J35" s="44">
        <v>38631.0</v>
      </c>
    </row>
    <row r="36" ht="60.0" customHeight="1">
      <c r="A36" s="40">
        <v>33.0</v>
      </c>
      <c r="B36" s="41" t="s">
        <v>193</v>
      </c>
      <c r="C36" s="41" t="s">
        <v>194</v>
      </c>
      <c r="D36" s="41" t="s">
        <v>195</v>
      </c>
      <c r="E36" s="41" t="s">
        <v>196</v>
      </c>
      <c r="F36" s="40" t="str">
        <f t="shared" si="1"/>
        <v>CORRECT</v>
      </c>
      <c r="G36" s="40" t="s">
        <v>48</v>
      </c>
      <c r="H36" s="42" t="s">
        <v>48</v>
      </c>
      <c r="I36" s="43" t="s">
        <v>297</v>
      </c>
      <c r="J36" s="44">
        <v>38159.0</v>
      </c>
    </row>
    <row r="37" ht="60.0" customHeight="1">
      <c r="A37" s="40">
        <v>34.0</v>
      </c>
      <c r="B37" s="41" t="s">
        <v>198</v>
      </c>
      <c r="C37" s="41" t="s">
        <v>199</v>
      </c>
      <c r="D37" s="41" t="s">
        <v>200</v>
      </c>
      <c r="E37" s="41" t="s">
        <v>201</v>
      </c>
      <c r="F37" s="40" t="str">
        <f t="shared" si="1"/>
        <v>CORRECT</v>
      </c>
      <c r="G37" s="40" t="s">
        <v>36</v>
      </c>
      <c r="H37" s="44" t="s">
        <v>36</v>
      </c>
      <c r="I37" s="43" t="s">
        <v>298</v>
      </c>
      <c r="J37" s="44">
        <v>36865.0</v>
      </c>
    </row>
    <row r="38" ht="60.0" customHeight="1">
      <c r="A38" s="40">
        <v>35.0</v>
      </c>
      <c r="B38" s="41" t="s">
        <v>203</v>
      </c>
      <c r="C38" s="41" t="s">
        <v>204</v>
      </c>
      <c r="D38" s="41" t="s">
        <v>205</v>
      </c>
      <c r="E38" s="41" t="s">
        <v>206</v>
      </c>
      <c r="F38" s="40" t="str">
        <f t="shared" si="1"/>
        <v>CORRECT</v>
      </c>
      <c r="G38" s="40" t="s">
        <v>48</v>
      </c>
      <c r="H38" s="44" t="s">
        <v>48</v>
      </c>
      <c r="I38" s="43" t="s">
        <v>299</v>
      </c>
      <c r="J38" s="44">
        <v>30141.0</v>
      </c>
    </row>
    <row r="39" ht="60.0" customHeight="1">
      <c r="A39" s="40">
        <v>36.0</v>
      </c>
      <c r="B39" s="41" t="s">
        <v>208</v>
      </c>
      <c r="C39" s="41" t="s">
        <v>209</v>
      </c>
      <c r="D39" s="41" t="s">
        <v>210</v>
      </c>
      <c r="E39" s="41" t="s">
        <v>211</v>
      </c>
      <c r="F39" s="40" t="str">
        <f t="shared" si="1"/>
        <v>CORRECT</v>
      </c>
      <c r="G39" s="40" t="s">
        <v>36</v>
      </c>
      <c r="H39" s="44" t="s">
        <v>36</v>
      </c>
      <c r="I39" s="43" t="s">
        <v>212</v>
      </c>
      <c r="J39" s="44">
        <v>27607.0</v>
      </c>
    </row>
    <row r="40" ht="60.0" customHeight="1">
      <c r="A40" s="40">
        <v>37.0</v>
      </c>
      <c r="B40" s="41" t="s">
        <v>213</v>
      </c>
      <c r="C40" s="41" t="s">
        <v>214</v>
      </c>
      <c r="D40" s="41" t="s">
        <v>215</v>
      </c>
      <c r="E40" s="41" t="s">
        <v>216</v>
      </c>
      <c r="F40" s="40" t="str">
        <f t="shared" si="1"/>
        <v>WRONG</v>
      </c>
      <c r="G40" s="40" t="s">
        <v>36</v>
      </c>
      <c r="H40" s="44" t="s">
        <v>42</v>
      </c>
      <c r="I40" s="43" t="s">
        <v>217</v>
      </c>
      <c r="J40" s="44">
        <v>17529.0</v>
      </c>
    </row>
    <row r="41" ht="60.0" customHeight="1">
      <c r="A41" s="40">
        <v>38.0</v>
      </c>
      <c r="B41" s="41" t="s">
        <v>218</v>
      </c>
      <c r="C41" s="41" t="s">
        <v>219</v>
      </c>
      <c r="D41" s="41" t="s">
        <v>220</v>
      </c>
      <c r="E41" s="41" t="s">
        <v>221</v>
      </c>
      <c r="F41" s="40" t="str">
        <f t="shared" si="1"/>
        <v>CORRECT</v>
      </c>
      <c r="G41" s="40" t="s">
        <v>36</v>
      </c>
      <c r="H41" s="44" t="s">
        <v>36</v>
      </c>
      <c r="I41" s="43" t="s">
        <v>300</v>
      </c>
      <c r="J41" s="44">
        <v>40611.0</v>
      </c>
    </row>
    <row r="42" ht="60.0" customHeight="1">
      <c r="A42" s="40">
        <v>39.0</v>
      </c>
      <c r="B42" s="41" t="s">
        <v>223</v>
      </c>
      <c r="C42" s="41" t="s">
        <v>224</v>
      </c>
      <c r="D42" s="41" t="s">
        <v>225</v>
      </c>
      <c r="E42" s="41" t="s">
        <v>226</v>
      </c>
      <c r="F42" s="40" t="str">
        <f t="shared" si="1"/>
        <v>WRONG</v>
      </c>
      <c r="G42" s="40" t="s">
        <v>42</v>
      </c>
      <c r="H42" s="44" t="s">
        <v>48</v>
      </c>
      <c r="I42" s="43" t="s">
        <v>227</v>
      </c>
      <c r="J42" s="44">
        <v>22693.0</v>
      </c>
    </row>
    <row r="43" ht="60.0" customHeight="1">
      <c r="A43" s="40">
        <v>40.0</v>
      </c>
      <c r="B43" s="41" t="s">
        <v>228</v>
      </c>
      <c r="C43" s="41" t="s">
        <v>229</v>
      </c>
      <c r="D43" s="41" t="s">
        <v>230</v>
      </c>
      <c r="E43" s="41" t="s">
        <v>231</v>
      </c>
      <c r="F43" s="40" t="str">
        <f t="shared" si="1"/>
        <v>CORRECT</v>
      </c>
      <c r="G43" s="40" t="s">
        <v>48</v>
      </c>
      <c r="H43" s="44" t="s">
        <v>48</v>
      </c>
      <c r="I43" s="43" t="s">
        <v>301</v>
      </c>
      <c r="J43" s="44">
        <v>46626.0</v>
      </c>
    </row>
    <row r="44" ht="60.0" customHeight="1">
      <c r="A44" s="40">
        <v>41.0</v>
      </c>
      <c r="B44" s="41" t="s">
        <v>233</v>
      </c>
      <c r="C44" s="41" t="s">
        <v>234</v>
      </c>
      <c r="D44" s="41" t="s">
        <v>235</v>
      </c>
      <c r="E44" s="41" t="s">
        <v>236</v>
      </c>
      <c r="F44" s="40" t="str">
        <f t="shared" si="1"/>
        <v>CORRECT</v>
      </c>
      <c r="G44" s="40" t="s">
        <v>42</v>
      </c>
      <c r="H44" s="44" t="s">
        <v>42</v>
      </c>
      <c r="I44" s="43" t="s">
        <v>237</v>
      </c>
      <c r="J44" s="44">
        <v>18433.0</v>
      </c>
    </row>
    <row r="45" ht="60.0" customHeight="1">
      <c r="A45" s="40">
        <v>42.0</v>
      </c>
      <c r="B45" s="41" t="s">
        <v>238</v>
      </c>
      <c r="C45" s="41" t="s">
        <v>239</v>
      </c>
      <c r="D45" s="41" t="s">
        <v>240</v>
      </c>
      <c r="E45" s="41" t="s">
        <v>241</v>
      </c>
      <c r="F45" s="40" t="str">
        <f t="shared" si="1"/>
        <v>WRONG</v>
      </c>
      <c r="G45" s="40" t="s">
        <v>36</v>
      </c>
      <c r="H45" s="44" t="s">
        <v>42</v>
      </c>
      <c r="I45" s="43" t="s">
        <v>242</v>
      </c>
      <c r="J45" s="44">
        <v>35257.0</v>
      </c>
    </row>
    <row r="46" ht="60.0" customHeight="1">
      <c r="A46" s="40">
        <v>43.0</v>
      </c>
      <c r="B46" s="41" t="s">
        <v>243</v>
      </c>
      <c r="C46" s="41" t="s">
        <v>244</v>
      </c>
      <c r="D46" s="41" t="s">
        <v>245</v>
      </c>
      <c r="E46" s="41" t="s">
        <v>246</v>
      </c>
      <c r="F46" s="40" t="str">
        <f t="shared" si="1"/>
        <v>CORRECT</v>
      </c>
      <c r="G46" s="40" t="s">
        <v>48</v>
      </c>
      <c r="H46" s="44" t="s">
        <v>48</v>
      </c>
      <c r="I46" s="43" t="s">
        <v>247</v>
      </c>
      <c r="J46" s="44">
        <v>34709.0</v>
      </c>
    </row>
    <row r="47" ht="60.0" customHeight="1">
      <c r="A47" s="40">
        <v>44.0</v>
      </c>
      <c r="B47" s="41" t="s">
        <v>248</v>
      </c>
      <c r="C47" s="41" t="s">
        <v>249</v>
      </c>
      <c r="D47" s="41" t="s">
        <v>250</v>
      </c>
      <c r="E47" s="41" t="s">
        <v>251</v>
      </c>
      <c r="F47" s="40" t="str">
        <f t="shared" si="1"/>
        <v>CORRECT</v>
      </c>
      <c r="G47" s="40" t="s">
        <v>36</v>
      </c>
      <c r="H47" s="44" t="s">
        <v>36</v>
      </c>
      <c r="I47" s="43" t="s">
        <v>252</v>
      </c>
      <c r="J47" s="44">
        <v>25923.0</v>
      </c>
    </row>
    <row r="48" ht="60.0" customHeight="1">
      <c r="A48" s="40">
        <v>45.0</v>
      </c>
      <c r="B48" s="41" t="s">
        <v>253</v>
      </c>
      <c r="C48" s="41" t="s">
        <v>254</v>
      </c>
      <c r="D48" s="41" t="s">
        <v>255</v>
      </c>
      <c r="E48" s="41" t="s">
        <v>256</v>
      </c>
      <c r="F48" s="40" t="str">
        <f t="shared" si="1"/>
        <v>CORRECT</v>
      </c>
      <c r="G48" s="40" t="s">
        <v>36</v>
      </c>
      <c r="H48" s="44" t="s">
        <v>36</v>
      </c>
      <c r="I48" s="43" t="s">
        <v>257</v>
      </c>
      <c r="J48" s="44">
        <v>56450.0</v>
      </c>
    </row>
    <row r="49" ht="60.0" customHeight="1">
      <c r="A49" s="40">
        <v>46.0</v>
      </c>
      <c r="B49" s="41" t="s">
        <v>258</v>
      </c>
      <c r="C49" s="41" t="s">
        <v>39</v>
      </c>
      <c r="D49" s="41" t="s">
        <v>259</v>
      </c>
      <c r="E49" s="41" t="s">
        <v>260</v>
      </c>
      <c r="F49" s="40" t="str">
        <f t="shared" si="1"/>
        <v>CORRECT</v>
      </c>
      <c r="G49" s="40" t="s">
        <v>36</v>
      </c>
      <c r="H49" s="44" t="s">
        <v>36</v>
      </c>
      <c r="I49" s="43" t="s">
        <v>261</v>
      </c>
      <c r="J49" s="44">
        <v>23972.0</v>
      </c>
    </row>
    <row r="50">
      <c r="A50" s="45" t="s">
        <v>262</v>
      </c>
      <c r="B50" s="2"/>
      <c r="C50" s="2"/>
      <c r="D50" s="2"/>
      <c r="E50" s="3"/>
      <c r="F50" s="46">
        <f>COUNTIFS(F4:F49,"CORRECT")</f>
        <v>29</v>
      </c>
      <c r="G50" s="47"/>
      <c r="H50" s="47"/>
      <c r="J50" s="48">
        <f>AVERAGE(J4:J49)</f>
        <v>33075.95652</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302</v>
      </c>
      <c r="C2" s="2"/>
      <c r="D2" s="2"/>
      <c r="E2" s="2"/>
      <c r="F2" s="2"/>
      <c r="G2" s="2"/>
      <c r="H2" s="3"/>
      <c r="I2" s="38" t="s">
        <v>303</v>
      </c>
      <c r="J2" s="3"/>
      <c r="K2" s="35"/>
      <c r="L2" s="35"/>
      <c r="M2" s="35"/>
      <c r="N2" s="53" t="s">
        <v>304</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54" t="s">
        <v>267</v>
      </c>
      <c r="J4" s="44">
        <v>28336.0</v>
      </c>
    </row>
    <row r="5" ht="60.0" customHeight="1">
      <c r="A5" s="40">
        <v>2.0</v>
      </c>
      <c r="B5" s="41" t="s">
        <v>38</v>
      </c>
      <c r="C5" s="41" t="s">
        <v>39</v>
      </c>
      <c r="D5" s="41" t="s">
        <v>40</v>
      </c>
      <c r="E5" s="41" t="s">
        <v>41</v>
      </c>
      <c r="F5" s="40" t="str">
        <f t="shared" si="1"/>
        <v>CORRECT</v>
      </c>
      <c r="G5" s="40" t="s">
        <v>42</v>
      </c>
      <c r="H5" s="44" t="s">
        <v>42</v>
      </c>
      <c r="I5" s="54" t="s">
        <v>268</v>
      </c>
      <c r="J5" s="44">
        <v>37631.0</v>
      </c>
    </row>
    <row r="6" ht="60.0" customHeight="1">
      <c r="A6" s="40">
        <v>3.0</v>
      </c>
      <c r="B6" s="41" t="s">
        <v>44</v>
      </c>
      <c r="C6" s="41" t="s">
        <v>45</v>
      </c>
      <c r="D6" s="41" t="s">
        <v>46</v>
      </c>
      <c r="E6" s="41" t="s">
        <v>47</v>
      </c>
      <c r="F6" s="40" t="str">
        <f t="shared" si="1"/>
        <v>CORRECT</v>
      </c>
      <c r="G6" s="40" t="s">
        <v>48</v>
      </c>
      <c r="H6" s="44" t="s">
        <v>48</v>
      </c>
      <c r="I6" s="54" t="s">
        <v>49</v>
      </c>
      <c r="J6" s="44">
        <v>31496.0</v>
      </c>
    </row>
    <row r="7" ht="60.0" customHeight="1">
      <c r="A7" s="40">
        <v>4.0</v>
      </c>
      <c r="B7" s="41" t="s">
        <v>50</v>
      </c>
      <c r="C7" s="41" t="s">
        <v>51</v>
      </c>
      <c r="D7" s="41" t="s">
        <v>52</v>
      </c>
      <c r="E7" s="41" t="s">
        <v>53</v>
      </c>
      <c r="F7" s="40" t="str">
        <f t="shared" si="1"/>
        <v>CORRECT</v>
      </c>
      <c r="G7" s="40" t="s">
        <v>42</v>
      </c>
      <c r="H7" s="44" t="s">
        <v>42</v>
      </c>
      <c r="I7" s="54" t="s">
        <v>269</v>
      </c>
      <c r="J7" s="44">
        <v>23290.0</v>
      </c>
    </row>
    <row r="8" ht="60.0" customHeight="1">
      <c r="A8" s="40">
        <v>5.0</v>
      </c>
      <c r="B8" s="41" t="s">
        <v>55</v>
      </c>
      <c r="C8" s="41" t="s">
        <v>56</v>
      </c>
      <c r="D8" s="41" t="s">
        <v>57</v>
      </c>
      <c r="E8" s="41" t="s">
        <v>58</v>
      </c>
      <c r="F8" s="40" t="str">
        <f t="shared" si="1"/>
        <v>CORRECT</v>
      </c>
      <c r="G8" s="40" t="s">
        <v>48</v>
      </c>
      <c r="H8" s="42" t="s">
        <v>48</v>
      </c>
      <c r="I8" s="54" t="s">
        <v>59</v>
      </c>
      <c r="J8" s="44">
        <v>47965.0</v>
      </c>
    </row>
    <row r="9" ht="60.0" customHeight="1">
      <c r="A9" s="40">
        <v>6.0</v>
      </c>
      <c r="B9" s="41" t="s">
        <v>60</v>
      </c>
      <c r="C9" s="41" t="s">
        <v>61</v>
      </c>
      <c r="D9" s="41" t="s">
        <v>62</v>
      </c>
      <c r="E9" s="41" t="s">
        <v>63</v>
      </c>
      <c r="F9" s="40" t="str">
        <f t="shared" si="1"/>
        <v>CORRECT</v>
      </c>
      <c r="G9" s="40" t="s">
        <v>42</v>
      </c>
      <c r="H9" s="44" t="s">
        <v>42</v>
      </c>
      <c r="I9" s="54" t="s">
        <v>270</v>
      </c>
      <c r="J9" s="44">
        <v>37376.0</v>
      </c>
    </row>
    <row r="10" ht="60.0" customHeight="1">
      <c r="A10" s="40">
        <v>7.0</v>
      </c>
      <c r="B10" s="41" t="s">
        <v>65</v>
      </c>
      <c r="C10" s="41" t="s">
        <v>66</v>
      </c>
      <c r="D10" s="41" t="s">
        <v>67</v>
      </c>
      <c r="E10" s="41" t="s">
        <v>68</v>
      </c>
      <c r="F10" s="40" t="str">
        <f t="shared" si="1"/>
        <v>WRONG</v>
      </c>
      <c r="G10" s="40" t="s">
        <v>42</v>
      </c>
      <c r="H10" s="44" t="s">
        <v>36</v>
      </c>
      <c r="I10" s="54" t="s">
        <v>271</v>
      </c>
      <c r="J10" s="44">
        <v>39043.0</v>
      </c>
    </row>
    <row r="11" ht="60.0" customHeight="1">
      <c r="A11" s="40">
        <v>8.0</v>
      </c>
      <c r="B11" s="41" t="s">
        <v>70</v>
      </c>
      <c r="C11" s="41" t="s">
        <v>71</v>
      </c>
      <c r="D11" s="41" t="s">
        <v>72</v>
      </c>
      <c r="E11" s="41" t="s">
        <v>73</v>
      </c>
      <c r="F11" s="40" t="str">
        <f t="shared" si="1"/>
        <v>CORRECT</v>
      </c>
      <c r="G11" s="40" t="s">
        <v>48</v>
      </c>
      <c r="H11" s="44" t="s">
        <v>48</v>
      </c>
      <c r="I11" s="54" t="s">
        <v>74</v>
      </c>
      <c r="J11" s="44">
        <v>37029.0</v>
      </c>
    </row>
    <row r="12" ht="60.0" customHeight="1">
      <c r="A12" s="40">
        <v>9.0</v>
      </c>
      <c r="B12" s="41" t="s">
        <v>75</v>
      </c>
      <c r="C12" s="41" t="s">
        <v>76</v>
      </c>
      <c r="D12" s="41" t="s">
        <v>77</v>
      </c>
      <c r="E12" s="41" t="s">
        <v>78</v>
      </c>
      <c r="F12" s="40" t="str">
        <f t="shared" si="1"/>
        <v>WRONG</v>
      </c>
      <c r="G12" s="40" t="s">
        <v>42</v>
      </c>
      <c r="H12" s="44" t="s">
        <v>48</v>
      </c>
      <c r="I12" s="54" t="s">
        <v>79</v>
      </c>
      <c r="J12" s="44">
        <v>35399.0</v>
      </c>
    </row>
    <row r="13" ht="60.0" customHeight="1">
      <c r="A13" s="40">
        <v>10.0</v>
      </c>
      <c r="B13" s="41" t="s">
        <v>80</v>
      </c>
      <c r="C13" s="41" t="s">
        <v>81</v>
      </c>
      <c r="D13" s="41" t="s">
        <v>82</v>
      </c>
      <c r="E13" s="41" t="s">
        <v>83</v>
      </c>
      <c r="F13" s="40" t="str">
        <f t="shared" si="1"/>
        <v>CORRECT</v>
      </c>
      <c r="G13" s="40" t="s">
        <v>48</v>
      </c>
      <c r="H13" s="44" t="s">
        <v>48</v>
      </c>
      <c r="I13" s="54" t="s">
        <v>272</v>
      </c>
      <c r="J13" s="44">
        <v>28339.0</v>
      </c>
    </row>
    <row r="14" ht="60.0" customHeight="1">
      <c r="A14" s="40">
        <v>11.0</v>
      </c>
      <c r="B14" s="41" t="s">
        <v>85</v>
      </c>
      <c r="C14" s="41" t="s">
        <v>86</v>
      </c>
      <c r="D14" s="41" t="s">
        <v>87</v>
      </c>
      <c r="E14" s="41" t="s">
        <v>88</v>
      </c>
      <c r="F14" s="40" t="str">
        <f t="shared" si="1"/>
        <v>WRONG</v>
      </c>
      <c r="G14" s="40" t="s">
        <v>42</v>
      </c>
      <c r="H14" s="42" t="s">
        <v>48</v>
      </c>
      <c r="I14" s="54" t="s">
        <v>273</v>
      </c>
      <c r="J14" s="44">
        <v>43410.0</v>
      </c>
    </row>
    <row r="15" ht="60.0" customHeight="1">
      <c r="A15" s="40">
        <v>12.0</v>
      </c>
      <c r="B15" s="41" t="s">
        <v>90</v>
      </c>
      <c r="C15" s="41" t="s">
        <v>91</v>
      </c>
      <c r="D15" s="41" t="s">
        <v>92</v>
      </c>
      <c r="E15" s="41" t="s">
        <v>93</v>
      </c>
      <c r="F15" s="40" t="str">
        <f t="shared" si="1"/>
        <v>CORRECT</v>
      </c>
      <c r="G15" s="40" t="s">
        <v>48</v>
      </c>
      <c r="H15" s="44" t="s">
        <v>48</v>
      </c>
      <c r="I15" s="54" t="s">
        <v>274</v>
      </c>
      <c r="J15" s="44">
        <v>39101.0</v>
      </c>
    </row>
    <row r="16" ht="60.0" customHeight="1">
      <c r="A16" s="40">
        <v>13.0</v>
      </c>
      <c r="B16" s="41" t="s">
        <v>95</v>
      </c>
      <c r="C16" s="41" t="s">
        <v>96</v>
      </c>
      <c r="D16" s="41" t="s">
        <v>97</v>
      </c>
      <c r="E16" s="41" t="s">
        <v>98</v>
      </c>
      <c r="F16" s="40" t="str">
        <f t="shared" si="1"/>
        <v>CORRECT</v>
      </c>
      <c r="G16" s="40" t="s">
        <v>36</v>
      </c>
      <c r="H16" s="44" t="s">
        <v>36</v>
      </c>
      <c r="I16" s="54" t="s">
        <v>99</v>
      </c>
      <c r="J16" s="44">
        <v>23564.0</v>
      </c>
    </row>
    <row r="17" ht="60.0" customHeight="1">
      <c r="A17" s="40">
        <v>14.0</v>
      </c>
      <c r="B17" s="41" t="s">
        <v>100</v>
      </c>
      <c r="C17" s="41" t="s">
        <v>101</v>
      </c>
      <c r="D17" s="41" t="s">
        <v>102</v>
      </c>
      <c r="E17" s="41" t="s">
        <v>103</v>
      </c>
      <c r="F17" s="40" t="str">
        <f t="shared" si="1"/>
        <v>WRONG</v>
      </c>
      <c r="G17" s="40" t="s">
        <v>36</v>
      </c>
      <c r="H17" s="42" t="s">
        <v>48</v>
      </c>
      <c r="I17" s="54" t="s">
        <v>104</v>
      </c>
      <c r="J17" s="44">
        <v>38842.0</v>
      </c>
    </row>
    <row r="18" ht="60.0" customHeight="1">
      <c r="A18" s="40">
        <v>15.0</v>
      </c>
      <c r="B18" s="41" t="s">
        <v>105</v>
      </c>
      <c r="C18" s="41" t="s">
        <v>106</v>
      </c>
      <c r="D18" s="41" t="s">
        <v>107</v>
      </c>
      <c r="E18" s="41" t="s">
        <v>108</v>
      </c>
      <c r="F18" s="40" t="str">
        <f t="shared" si="1"/>
        <v>CORRECT</v>
      </c>
      <c r="G18" s="40" t="s">
        <v>48</v>
      </c>
      <c r="H18" s="42" t="s">
        <v>48</v>
      </c>
      <c r="I18" s="54" t="s">
        <v>109</v>
      </c>
      <c r="J18" s="44">
        <v>38179.0</v>
      </c>
    </row>
    <row r="19" ht="60.0" customHeight="1">
      <c r="A19" s="40">
        <v>16.0</v>
      </c>
      <c r="B19" s="41" t="s">
        <v>110</v>
      </c>
      <c r="C19" s="41" t="s">
        <v>111</v>
      </c>
      <c r="D19" s="41" t="s">
        <v>112</v>
      </c>
      <c r="E19" s="41" t="s">
        <v>113</v>
      </c>
      <c r="F19" s="40" t="str">
        <f t="shared" si="1"/>
        <v>WRONG</v>
      </c>
      <c r="G19" s="40" t="s">
        <v>48</v>
      </c>
      <c r="H19" s="42" t="s">
        <v>36</v>
      </c>
      <c r="I19" s="54" t="s">
        <v>114</v>
      </c>
      <c r="J19" s="44">
        <v>34950.0</v>
      </c>
    </row>
    <row r="20" ht="60.0" customHeight="1">
      <c r="A20" s="40">
        <v>17.0</v>
      </c>
      <c r="B20" s="41" t="s">
        <v>115</v>
      </c>
      <c r="C20" s="41" t="s">
        <v>116</v>
      </c>
      <c r="D20" s="41" t="s">
        <v>117</v>
      </c>
      <c r="E20" s="41" t="s">
        <v>118</v>
      </c>
      <c r="F20" s="40" t="str">
        <f t="shared" si="1"/>
        <v>WRONG</v>
      </c>
      <c r="G20" s="40" t="s">
        <v>42</v>
      </c>
      <c r="H20" s="44" t="s">
        <v>36</v>
      </c>
      <c r="I20" s="54" t="s">
        <v>119</v>
      </c>
      <c r="J20" s="44">
        <v>26330.0</v>
      </c>
    </row>
    <row r="21" ht="60.0" customHeight="1">
      <c r="A21" s="40">
        <v>18.0</v>
      </c>
      <c r="B21" s="41" t="s">
        <v>120</v>
      </c>
      <c r="C21" s="41" t="s">
        <v>121</v>
      </c>
      <c r="D21" s="41" t="s">
        <v>122</v>
      </c>
      <c r="E21" s="41" t="s">
        <v>123</v>
      </c>
      <c r="F21" s="40" t="str">
        <f t="shared" si="1"/>
        <v>CORRECT</v>
      </c>
      <c r="G21" s="40" t="s">
        <v>42</v>
      </c>
      <c r="H21" s="44" t="s">
        <v>42</v>
      </c>
      <c r="I21" s="54" t="s">
        <v>124</v>
      </c>
      <c r="J21" s="44">
        <v>22908.0</v>
      </c>
    </row>
    <row r="22" ht="60.0" customHeight="1">
      <c r="A22" s="40">
        <v>19.0</v>
      </c>
      <c r="B22" s="41" t="s">
        <v>125</v>
      </c>
      <c r="C22" s="41" t="s">
        <v>126</v>
      </c>
      <c r="D22" s="41" t="s">
        <v>127</v>
      </c>
      <c r="E22" s="41" t="s">
        <v>128</v>
      </c>
      <c r="F22" s="40" t="str">
        <f t="shared" si="1"/>
        <v>WRONG</v>
      </c>
      <c r="G22" s="40" t="s">
        <v>36</v>
      </c>
      <c r="H22" s="42" t="s">
        <v>48</v>
      </c>
      <c r="I22" s="54" t="s">
        <v>129</v>
      </c>
      <c r="J22" s="44">
        <v>33865.0</v>
      </c>
    </row>
    <row r="23" ht="60.0" customHeight="1">
      <c r="A23" s="40">
        <v>20.0</v>
      </c>
      <c r="B23" s="41" t="s">
        <v>130</v>
      </c>
      <c r="C23" s="41" t="s">
        <v>131</v>
      </c>
      <c r="D23" s="41" t="s">
        <v>132</v>
      </c>
      <c r="E23" s="41" t="s">
        <v>133</v>
      </c>
      <c r="F23" s="40" t="str">
        <f t="shared" si="1"/>
        <v>WRONG</v>
      </c>
      <c r="G23" s="40" t="s">
        <v>42</v>
      </c>
      <c r="H23" s="44" t="s">
        <v>36</v>
      </c>
      <c r="I23" s="54" t="s">
        <v>134</v>
      </c>
      <c r="J23" s="44">
        <v>30009.0</v>
      </c>
    </row>
    <row r="24" ht="60.0" customHeight="1">
      <c r="A24" s="40">
        <v>21.0</v>
      </c>
      <c r="B24" s="41" t="s">
        <v>135</v>
      </c>
      <c r="C24" s="41" t="s">
        <v>136</v>
      </c>
      <c r="D24" s="41" t="s">
        <v>137</v>
      </c>
      <c r="E24" s="41" t="s">
        <v>138</v>
      </c>
      <c r="F24" s="40" t="str">
        <f t="shared" si="1"/>
        <v>WRONG</v>
      </c>
      <c r="G24" s="40" t="s">
        <v>42</v>
      </c>
      <c r="H24" s="44" t="s">
        <v>36</v>
      </c>
      <c r="I24" s="54" t="s">
        <v>139</v>
      </c>
      <c r="J24" s="44">
        <v>21692.0</v>
      </c>
    </row>
    <row r="25" ht="60.0" customHeight="1">
      <c r="A25" s="40">
        <v>22.0</v>
      </c>
      <c r="B25" s="41" t="s">
        <v>140</v>
      </c>
      <c r="C25" s="41" t="s">
        <v>141</v>
      </c>
      <c r="D25" s="41" t="s">
        <v>142</v>
      </c>
      <c r="E25" s="41" t="s">
        <v>143</v>
      </c>
      <c r="F25" s="40" t="str">
        <f t="shared" si="1"/>
        <v>CORRECT</v>
      </c>
      <c r="G25" s="40" t="s">
        <v>42</v>
      </c>
      <c r="H25" s="44" t="s">
        <v>42</v>
      </c>
      <c r="I25" s="54" t="s">
        <v>144</v>
      </c>
      <c r="J25" s="44">
        <v>18874.0</v>
      </c>
    </row>
    <row r="26" ht="60.0" customHeight="1">
      <c r="A26" s="40">
        <v>23.0</v>
      </c>
      <c r="B26" s="41" t="s">
        <v>145</v>
      </c>
      <c r="C26" s="41" t="s">
        <v>146</v>
      </c>
      <c r="D26" s="41" t="s">
        <v>147</v>
      </c>
      <c r="E26" s="41" t="s">
        <v>148</v>
      </c>
      <c r="F26" s="40" t="str">
        <f t="shared" si="1"/>
        <v>CORRECT</v>
      </c>
      <c r="G26" s="40" t="s">
        <v>48</v>
      </c>
      <c r="H26" s="44" t="s">
        <v>48</v>
      </c>
      <c r="I26" s="54" t="s">
        <v>149</v>
      </c>
      <c r="J26" s="44">
        <v>27112.0</v>
      </c>
    </row>
    <row r="27" ht="60.0" customHeight="1">
      <c r="A27" s="40">
        <v>24.0</v>
      </c>
      <c r="B27" s="41" t="s">
        <v>150</v>
      </c>
      <c r="C27" s="41" t="s">
        <v>151</v>
      </c>
      <c r="D27" s="41" t="s">
        <v>152</v>
      </c>
      <c r="E27" s="41" t="s">
        <v>153</v>
      </c>
      <c r="F27" s="40" t="str">
        <f t="shared" si="1"/>
        <v>CORRECT</v>
      </c>
      <c r="G27" s="40" t="s">
        <v>36</v>
      </c>
      <c r="H27" s="44" t="s">
        <v>36</v>
      </c>
      <c r="I27" s="54" t="s">
        <v>154</v>
      </c>
      <c r="J27" s="44">
        <v>30306.0</v>
      </c>
    </row>
    <row r="28" ht="60.0" customHeight="1">
      <c r="A28" s="40">
        <v>25.0</v>
      </c>
      <c r="B28" s="41" t="s">
        <v>155</v>
      </c>
      <c r="C28" s="41" t="s">
        <v>151</v>
      </c>
      <c r="D28" s="41" t="s">
        <v>156</v>
      </c>
      <c r="E28" s="41" t="s">
        <v>153</v>
      </c>
      <c r="F28" s="40" t="str">
        <f t="shared" si="1"/>
        <v>WRONG</v>
      </c>
      <c r="G28" s="40" t="s">
        <v>48</v>
      </c>
      <c r="H28" s="42" t="s">
        <v>42</v>
      </c>
      <c r="I28" s="54" t="s">
        <v>157</v>
      </c>
      <c r="J28" s="44">
        <v>34899.0</v>
      </c>
    </row>
    <row r="29" ht="60.0" customHeight="1">
      <c r="A29" s="40">
        <v>26.0</v>
      </c>
      <c r="B29" s="41" t="s">
        <v>158</v>
      </c>
      <c r="C29" s="41" t="s">
        <v>159</v>
      </c>
      <c r="D29" s="41" t="s">
        <v>160</v>
      </c>
      <c r="E29" s="41" t="s">
        <v>161</v>
      </c>
      <c r="F29" s="40" t="str">
        <f t="shared" si="1"/>
        <v>WRONG</v>
      </c>
      <c r="G29" s="40" t="s">
        <v>36</v>
      </c>
      <c r="H29" s="44" t="s">
        <v>48</v>
      </c>
      <c r="I29" s="54" t="s">
        <v>162</v>
      </c>
      <c r="J29" s="44">
        <v>24967.0</v>
      </c>
    </row>
    <row r="30" ht="60.0" customHeight="1">
      <c r="A30" s="40">
        <v>27.0</v>
      </c>
      <c r="B30" s="41" t="s">
        <v>163</v>
      </c>
      <c r="C30" s="41" t="s">
        <v>164</v>
      </c>
      <c r="D30" s="41" t="s">
        <v>165</v>
      </c>
      <c r="E30" s="41" t="s">
        <v>166</v>
      </c>
      <c r="F30" s="40" t="str">
        <f t="shared" si="1"/>
        <v>CORRECT</v>
      </c>
      <c r="G30" s="40" t="s">
        <v>42</v>
      </c>
      <c r="H30" s="44" t="s">
        <v>42</v>
      </c>
      <c r="I30" s="54" t="s">
        <v>167</v>
      </c>
      <c r="J30" s="44">
        <v>46191.0</v>
      </c>
    </row>
    <row r="31" ht="60.0" customHeight="1">
      <c r="A31" s="40">
        <v>28.0</v>
      </c>
      <c r="B31" s="41" t="s">
        <v>168</v>
      </c>
      <c r="C31" s="41" t="s">
        <v>169</v>
      </c>
      <c r="D31" s="41" t="s">
        <v>170</v>
      </c>
      <c r="E31" s="41" t="s">
        <v>171</v>
      </c>
      <c r="F31" s="40" t="str">
        <f t="shared" si="1"/>
        <v>WRONG</v>
      </c>
      <c r="G31" s="40" t="s">
        <v>36</v>
      </c>
      <c r="H31" s="42" t="s">
        <v>48</v>
      </c>
      <c r="I31" s="54" t="s">
        <v>172</v>
      </c>
      <c r="J31" s="44">
        <v>30851.0</v>
      </c>
    </row>
    <row r="32" ht="60.0" customHeight="1">
      <c r="A32" s="40">
        <v>29.0</v>
      </c>
      <c r="B32" s="41" t="s">
        <v>173</v>
      </c>
      <c r="C32" s="41" t="s">
        <v>174</v>
      </c>
      <c r="D32" s="41" t="s">
        <v>175</v>
      </c>
      <c r="E32" s="41" t="s">
        <v>176</v>
      </c>
      <c r="F32" s="40" t="str">
        <f t="shared" si="1"/>
        <v>CORRECT</v>
      </c>
      <c r="G32" s="40" t="s">
        <v>42</v>
      </c>
      <c r="H32" s="44" t="s">
        <v>42</v>
      </c>
      <c r="I32" s="54" t="s">
        <v>177</v>
      </c>
      <c r="J32" s="44">
        <v>43090.0</v>
      </c>
    </row>
    <row r="33" ht="60.0" customHeight="1">
      <c r="A33" s="40">
        <v>30.0</v>
      </c>
      <c r="B33" s="41" t="s">
        <v>178</v>
      </c>
      <c r="C33" s="41" t="s">
        <v>179</v>
      </c>
      <c r="D33" s="41" t="s">
        <v>180</v>
      </c>
      <c r="E33" s="41" t="s">
        <v>181</v>
      </c>
      <c r="F33" s="40" t="str">
        <f t="shared" si="1"/>
        <v>WRONG</v>
      </c>
      <c r="G33" s="40" t="s">
        <v>48</v>
      </c>
      <c r="H33" s="44" t="s">
        <v>36</v>
      </c>
      <c r="I33" s="54" t="s">
        <v>182</v>
      </c>
      <c r="J33" s="44">
        <v>37340.0</v>
      </c>
    </row>
    <row r="34" ht="60.0" customHeight="1">
      <c r="A34" s="40">
        <v>31.0</v>
      </c>
      <c r="B34" s="41" t="s">
        <v>183</v>
      </c>
      <c r="C34" s="41" t="s">
        <v>184</v>
      </c>
      <c r="D34" s="41" t="s">
        <v>185</v>
      </c>
      <c r="E34" s="41" t="s">
        <v>186</v>
      </c>
      <c r="F34" s="40" t="str">
        <f t="shared" si="1"/>
        <v>WRONG</v>
      </c>
      <c r="G34" s="40" t="s">
        <v>42</v>
      </c>
      <c r="H34" s="44" t="s">
        <v>36</v>
      </c>
      <c r="I34" s="54" t="s">
        <v>187</v>
      </c>
      <c r="J34" s="44">
        <v>35986.0</v>
      </c>
    </row>
    <row r="35" ht="60.0" customHeight="1">
      <c r="A35" s="40">
        <v>32.0</v>
      </c>
      <c r="B35" s="41" t="s">
        <v>188</v>
      </c>
      <c r="C35" s="41" t="s">
        <v>189</v>
      </c>
      <c r="D35" s="41" t="s">
        <v>190</v>
      </c>
      <c r="E35" s="41" t="s">
        <v>191</v>
      </c>
      <c r="F35" s="40" t="str">
        <f t="shared" si="1"/>
        <v>CORRECT</v>
      </c>
      <c r="G35" s="40" t="s">
        <v>36</v>
      </c>
      <c r="H35" s="44" t="s">
        <v>36</v>
      </c>
      <c r="I35" s="54" t="s">
        <v>192</v>
      </c>
      <c r="J35" s="44">
        <v>45188.0</v>
      </c>
    </row>
    <row r="36" ht="60.0" customHeight="1">
      <c r="A36" s="40">
        <v>33.0</v>
      </c>
      <c r="B36" s="41" t="s">
        <v>193</v>
      </c>
      <c r="C36" s="41" t="s">
        <v>194</v>
      </c>
      <c r="D36" s="41" t="s">
        <v>195</v>
      </c>
      <c r="E36" s="41" t="s">
        <v>196</v>
      </c>
      <c r="F36" s="40" t="str">
        <f t="shared" si="1"/>
        <v>CORRECT</v>
      </c>
      <c r="G36" s="40" t="s">
        <v>48</v>
      </c>
      <c r="H36" s="42" t="s">
        <v>48</v>
      </c>
      <c r="I36" s="54" t="s">
        <v>197</v>
      </c>
      <c r="J36" s="44">
        <v>38812.0</v>
      </c>
    </row>
    <row r="37" ht="60.0" customHeight="1">
      <c r="A37" s="40">
        <v>34.0</v>
      </c>
      <c r="B37" s="41" t="s">
        <v>198</v>
      </c>
      <c r="C37" s="41" t="s">
        <v>199</v>
      </c>
      <c r="D37" s="41" t="s">
        <v>200</v>
      </c>
      <c r="E37" s="41" t="s">
        <v>201</v>
      </c>
      <c r="F37" s="40" t="str">
        <f t="shared" si="1"/>
        <v>CORRECT</v>
      </c>
      <c r="G37" s="40" t="s">
        <v>36</v>
      </c>
      <c r="H37" s="44" t="s">
        <v>36</v>
      </c>
      <c r="I37" s="54" t="s">
        <v>202</v>
      </c>
      <c r="J37" s="44">
        <v>23169.0</v>
      </c>
    </row>
    <row r="38" ht="60.0" customHeight="1">
      <c r="A38" s="40">
        <v>35.0</v>
      </c>
      <c r="B38" s="41" t="s">
        <v>203</v>
      </c>
      <c r="C38" s="41" t="s">
        <v>204</v>
      </c>
      <c r="D38" s="41" t="s">
        <v>205</v>
      </c>
      <c r="E38" s="41" t="s">
        <v>206</v>
      </c>
      <c r="F38" s="40" t="str">
        <f t="shared" si="1"/>
        <v>CORRECT</v>
      </c>
      <c r="G38" s="40" t="s">
        <v>48</v>
      </c>
      <c r="H38" s="44" t="s">
        <v>48</v>
      </c>
      <c r="I38" s="54" t="s">
        <v>207</v>
      </c>
      <c r="J38" s="44">
        <v>30656.0</v>
      </c>
    </row>
    <row r="39" ht="60.0" customHeight="1">
      <c r="A39" s="40">
        <v>36.0</v>
      </c>
      <c r="B39" s="41" t="s">
        <v>208</v>
      </c>
      <c r="C39" s="41" t="s">
        <v>209</v>
      </c>
      <c r="D39" s="41" t="s">
        <v>210</v>
      </c>
      <c r="E39" s="41" t="s">
        <v>211</v>
      </c>
      <c r="F39" s="40" t="str">
        <f t="shared" si="1"/>
        <v>CORRECT</v>
      </c>
      <c r="G39" s="40" t="s">
        <v>36</v>
      </c>
      <c r="H39" s="44" t="s">
        <v>36</v>
      </c>
      <c r="I39" s="54" t="s">
        <v>212</v>
      </c>
      <c r="J39" s="44">
        <v>28979.0</v>
      </c>
    </row>
    <row r="40" ht="60.0" customHeight="1">
      <c r="A40" s="40">
        <v>37.0</v>
      </c>
      <c r="B40" s="41" t="s">
        <v>213</v>
      </c>
      <c r="C40" s="41" t="s">
        <v>214</v>
      </c>
      <c r="D40" s="41" t="s">
        <v>215</v>
      </c>
      <c r="E40" s="41" t="s">
        <v>216</v>
      </c>
      <c r="F40" s="40" t="str">
        <f t="shared" si="1"/>
        <v>WRONG</v>
      </c>
      <c r="G40" s="40" t="s">
        <v>36</v>
      </c>
      <c r="H40" s="44" t="s">
        <v>42</v>
      </c>
      <c r="I40" s="54" t="s">
        <v>217</v>
      </c>
      <c r="J40" s="44">
        <v>18564.0</v>
      </c>
    </row>
    <row r="41" ht="60.0" customHeight="1">
      <c r="A41" s="40">
        <v>38.0</v>
      </c>
      <c r="B41" s="41" t="s">
        <v>218</v>
      </c>
      <c r="C41" s="41" t="s">
        <v>219</v>
      </c>
      <c r="D41" s="41" t="s">
        <v>220</v>
      </c>
      <c r="E41" s="41" t="s">
        <v>221</v>
      </c>
      <c r="F41" s="40" t="str">
        <f t="shared" si="1"/>
        <v>CORRECT</v>
      </c>
      <c r="G41" s="40" t="s">
        <v>36</v>
      </c>
      <c r="H41" s="44" t="s">
        <v>36</v>
      </c>
      <c r="I41" s="54" t="s">
        <v>222</v>
      </c>
      <c r="J41" s="44">
        <v>31002.0</v>
      </c>
    </row>
    <row r="42" ht="60.0" customHeight="1">
      <c r="A42" s="40">
        <v>39.0</v>
      </c>
      <c r="B42" s="41" t="s">
        <v>223</v>
      </c>
      <c r="C42" s="41" t="s">
        <v>224</v>
      </c>
      <c r="D42" s="41" t="s">
        <v>225</v>
      </c>
      <c r="E42" s="41" t="s">
        <v>226</v>
      </c>
      <c r="F42" s="40" t="str">
        <f t="shared" si="1"/>
        <v>WRONG</v>
      </c>
      <c r="G42" s="40" t="s">
        <v>42</v>
      </c>
      <c r="H42" s="44" t="s">
        <v>48</v>
      </c>
      <c r="I42" s="54" t="s">
        <v>227</v>
      </c>
      <c r="J42" s="44">
        <v>23613.0</v>
      </c>
    </row>
    <row r="43" ht="60.0" customHeight="1">
      <c r="A43" s="40">
        <v>40.0</v>
      </c>
      <c r="B43" s="41" t="s">
        <v>228</v>
      </c>
      <c r="C43" s="41" t="s">
        <v>229</v>
      </c>
      <c r="D43" s="41" t="s">
        <v>230</v>
      </c>
      <c r="E43" s="41" t="s">
        <v>231</v>
      </c>
      <c r="F43" s="40" t="str">
        <f t="shared" si="1"/>
        <v>CORRECT</v>
      </c>
      <c r="G43" s="40" t="s">
        <v>48</v>
      </c>
      <c r="H43" s="44" t="s">
        <v>48</v>
      </c>
      <c r="I43" s="54" t="s">
        <v>232</v>
      </c>
      <c r="J43" s="44">
        <v>37009.0</v>
      </c>
    </row>
    <row r="44" ht="60.0" customHeight="1">
      <c r="A44" s="40">
        <v>41.0</v>
      </c>
      <c r="B44" s="41" t="s">
        <v>233</v>
      </c>
      <c r="C44" s="41" t="s">
        <v>234</v>
      </c>
      <c r="D44" s="41" t="s">
        <v>235</v>
      </c>
      <c r="E44" s="41" t="s">
        <v>236</v>
      </c>
      <c r="F44" s="40" t="str">
        <f t="shared" si="1"/>
        <v>CORRECT</v>
      </c>
      <c r="G44" s="40" t="s">
        <v>42</v>
      </c>
      <c r="H44" s="44" t="s">
        <v>42</v>
      </c>
      <c r="I44" s="54" t="s">
        <v>237</v>
      </c>
      <c r="J44" s="44">
        <v>18730.0</v>
      </c>
    </row>
    <row r="45" ht="60.0" customHeight="1">
      <c r="A45" s="40">
        <v>42.0</v>
      </c>
      <c r="B45" s="41" t="s">
        <v>238</v>
      </c>
      <c r="C45" s="41" t="s">
        <v>239</v>
      </c>
      <c r="D45" s="41" t="s">
        <v>240</v>
      </c>
      <c r="E45" s="41" t="s">
        <v>241</v>
      </c>
      <c r="F45" s="40" t="str">
        <f t="shared" si="1"/>
        <v>WRONG</v>
      </c>
      <c r="G45" s="40" t="s">
        <v>36</v>
      </c>
      <c r="H45" s="44" t="s">
        <v>42</v>
      </c>
      <c r="I45" s="54" t="s">
        <v>242</v>
      </c>
      <c r="J45" s="44">
        <v>34655.0</v>
      </c>
    </row>
    <row r="46" ht="60.0" customHeight="1">
      <c r="A46" s="40">
        <v>43.0</v>
      </c>
      <c r="B46" s="41" t="s">
        <v>243</v>
      </c>
      <c r="C46" s="41" t="s">
        <v>244</v>
      </c>
      <c r="D46" s="41" t="s">
        <v>245</v>
      </c>
      <c r="E46" s="41" t="s">
        <v>246</v>
      </c>
      <c r="F46" s="40" t="str">
        <f t="shared" si="1"/>
        <v>CORRECT</v>
      </c>
      <c r="G46" s="40" t="s">
        <v>48</v>
      </c>
      <c r="H46" s="44" t="s">
        <v>48</v>
      </c>
      <c r="I46" s="54" t="s">
        <v>247</v>
      </c>
      <c r="J46" s="44">
        <v>33375.0</v>
      </c>
    </row>
    <row r="47" ht="60.0" customHeight="1">
      <c r="A47" s="40">
        <v>44.0</v>
      </c>
      <c r="B47" s="41" t="s">
        <v>248</v>
      </c>
      <c r="C47" s="41" t="s">
        <v>249</v>
      </c>
      <c r="D47" s="41" t="s">
        <v>250</v>
      </c>
      <c r="E47" s="41" t="s">
        <v>251</v>
      </c>
      <c r="F47" s="40" t="str">
        <f t="shared" si="1"/>
        <v>CORRECT</v>
      </c>
      <c r="G47" s="40" t="s">
        <v>36</v>
      </c>
      <c r="H47" s="44" t="s">
        <v>36</v>
      </c>
      <c r="I47" s="54" t="s">
        <v>252</v>
      </c>
      <c r="J47" s="44">
        <v>26035.0</v>
      </c>
    </row>
    <row r="48" ht="60.0" customHeight="1">
      <c r="A48" s="40">
        <v>45.0</v>
      </c>
      <c r="B48" s="41" t="s">
        <v>253</v>
      </c>
      <c r="C48" s="41" t="s">
        <v>254</v>
      </c>
      <c r="D48" s="41" t="s">
        <v>255</v>
      </c>
      <c r="E48" s="41" t="s">
        <v>256</v>
      </c>
      <c r="F48" s="40" t="str">
        <f t="shared" si="1"/>
        <v>CORRECT</v>
      </c>
      <c r="G48" s="40" t="s">
        <v>36</v>
      </c>
      <c r="H48" s="44" t="s">
        <v>36</v>
      </c>
      <c r="I48" s="54" t="s">
        <v>257</v>
      </c>
      <c r="J48" s="44">
        <v>55549.0</v>
      </c>
    </row>
    <row r="49" ht="60.0" customHeight="1">
      <c r="A49" s="40">
        <v>46.0</v>
      </c>
      <c r="B49" s="41" t="s">
        <v>258</v>
      </c>
      <c r="C49" s="41" t="s">
        <v>39</v>
      </c>
      <c r="D49" s="41" t="s">
        <v>259</v>
      </c>
      <c r="E49" s="41" t="s">
        <v>260</v>
      </c>
      <c r="F49" s="40" t="str">
        <f t="shared" si="1"/>
        <v>CORRECT</v>
      </c>
      <c r="G49" s="40" t="s">
        <v>36</v>
      </c>
      <c r="H49" s="44" t="s">
        <v>36</v>
      </c>
      <c r="I49" s="54" t="s">
        <v>261</v>
      </c>
      <c r="J49" s="44">
        <v>24194.0</v>
      </c>
    </row>
    <row r="50">
      <c r="A50" s="45" t="s">
        <v>262</v>
      </c>
      <c r="B50" s="2"/>
      <c r="C50" s="2"/>
      <c r="D50" s="2"/>
      <c r="E50" s="3"/>
      <c r="F50" s="46">
        <f>COUNTIFS(F4:F49,"CORRECT")</f>
        <v>29</v>
      </c>
      <c r="G50" s="47"/>
      <c r="H50" s="47"/>
      <c r="J50" s="48">
        <f>AVERAGE(J4:J49)</f>
        <v>32563.04348</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305</v>
      </c>
      <c r="C2" s="2"/>
      <c r="D2" s="2"/>
      <c r="E2" s="2"/>
      <c r="F2" s="2"/>
      <c r="G2" s="2"/>
      <c r="H2" s="3"/>
      <c r="I2" s="38" t="s">
        <v>306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54" t="s">
        <v>307</v>
      </c>
      <c r="J4" s="44">
        <v>24713.0</v>
      </c>
    </row>
    <row r="5" ht="60.0" customHeight="1">
      <c r="A5" s="40">
        <v>2.0</v>
      </c>
      <c r="B5" s="41" t="s">
        <v>38</v>
      </c>
      <c r="C5" s="41" t="s">
        <v>39</v>
      </c>
      <c r="D5" s="41" t="s">
        <v>40</v>
      </c>
      <c r="E5" s="41" t="s">
        <v>41</v>
      </c>
      <c r="F5" s="40" t="str">
        <f t="shared" si="1"/>
        <v>CORRECT</v>
      </c>
      <c r="G5" s="40" t="s">
        <v>42</v>
      </c>
      <c r="H5" s="44" t="s">
        <v>42</v>
      </c>
      <c r="I5" s="54" t="s">
        <v>308</v>
      </c>
      <c r="J5" s="44">
        <v>29780.0</v>
      </c>
    </row>
    <row r="6" ht="60.0" customHeight="1">
      <c r="A6" s="40">
        <v>3.0</v>
      </c>
      <c r="B6" s="41" t="s">
        <v>44</v>
      </c>
      <c r="C6" s="41" t="s">
        <v>45</v>
      </c>
      <c r="D6" s="41" t="s">
        <v>46</v>
      </c>
      <c r="E6" s="41" t="s">
        <v>47</v>
      </c>
      <c r="F6" s="40" t="str">
        <f t="shared" si="1"/>
        <v>CORRECT</v>
      </c>
      <c r="G6" s="40" t="s">
        <v>48</v>
      </c>
      <c r="H6" s="44" t="s">
        <v>48</v>
      </c>
      <c r="I6" s="54" t="s">
        <v>309</v>
      </c>
      <c r="J6" s="44">
        <v>35003.0</v>
      </c>
    </row>
    <row r="7" ht="60.0" customHeight="1">
      <c r="A7" s="40">
        <v>4.0</v>
      </c>
      <c r="B7" s="41" t="s">
        <v>50</v>
      </c>
      <c r="C7" s="41" t="s">
        <v>51</v>
      </c>
      <c r="D7" s="41" t="s">
        <v>52</v>
      </c>
      <c r="E7" s="41" t="s">
        <v>53</v>
      </c>
      <c r="F7" s="40" t="str">
        <f t="shared" si="1"/>
        <v>CORRECT</v>
      </c>
      <c r="G7" s="40" t="s">
        <v>42</v>
      </c>
      <c r="H7" s="44" t="s">
        <v>42</v>
      </c>
      <c r="I7" s="54" t="s">
        <v>310</v>
      </c>
      <c r="J7" s="44">
        <v>23852.0</v>
      </c>
    </row>
    <row r="8" ht="60.0" customHeight="1">
      <c r="A8" s="40">
        <v>5.0</v>
      </c>
      <c r="B8" s="41" t="s">
        <v>55</v>
      </c>
      <c r="C8" s="41" t="s">
        <v>56</v>
      </c>
      <c r="D8" s="41" t="s">
        <v>57</v>
      </c>
      <c r="E8" s="41" t="s">
        <v>58</v>
      </c>
      <c r="F8" s="40" t="str">
        <f t="shared" si="1"/>
        <v>CORRECT</v>
      </c>
      <c r="G8" s="40" t="s">
        <v>48</v>
      </c>
      <c r="H8" s="42" t="s">
        <v>48</v>
      </c>
      <c r="I8" s="54" t="s">
        <v>311</v>
      </c>
      <c r="J8" s="44">
        <v>49752.0</v>
      </c>
    </row>
    <row r="9" ht="60.0" customHeight="1">
      <c r="A9" s="40">
        <v>6.0</v>
      </c>
      <c r="B9" s="41" t="s">
        <v>60</v>
      </c>
      <c r="C9" s="41" t="s">
        <v>61</v>
      </c>
      <c r="D9" s="41" t="s">
        <v>62</v>
      </c>
      <c r="E9" s="41" t="s">
        <v>63</v>
      </c>
      <c r="F9" s="40" t="str">
        <f t="shared" si="1"/>
        <v>CORRECT</v>
      </c>
      <c r="G9" s="40" t="s">
        <v>42</v>
      </c>
      <c r="H9" s="44" t="s">
        <v>42</v>
      </c>
      <c r="I9" s="54" t="s">
        <v>312</v>
      </c>
      <c r="J9" s="44">
        <v>26150.0</v>
      </c>
    </row>
    <row r="10" ht="60.0" customHeight="1">
      <c r="A10" s="40">
        <v>7.0</v>
      </c>
      <c r="B10" s="41" t="s">
        <v>65</v>
      </c>
      <c r="C10" s="41" t="s">
        <v>66</v>
      </c>
      <c r="D10" s="41" t="s">
        <v>67</v>
      </c>
      <c r="E10" s="41" t="s">
        <v>68</v>
      </c>
      <c r="F10" s="40" t="str">
        <f t="shared" si="1"/>
        <v>WRONG</v>
      </c>
      <c r="G10" s="40" t="s">
        <v>42</v>
      </c>
      <c r="H10" s="44" t="s">
        <v>36</v>
      </c>
      <c r="I10" s="54" t="s">
        <v>313</v>
      </c>
      <c r="J10" s="44">
        <v>27824.0</v>
      </c>
    </row>
    <row r="11" ht="60.0" customHeight="1">
      <c r="A11" s="40">
        <v>8.0</v>
      </c>
      <c r="B11" s="41" t="s">
        <v>70</v>
      </c>
      <c r="C11" s="41" t="s">
        <v>71</v>
      </c>
      <c r="D11" s="41" t="s">
        <v>72</v>
      </c>
      <c r="E11" s="41" t="s">
        <v>73</v>
      </c>
      <c r="F11" s="40" t="str">
        <f t="shared" si="1"/>
        <v>CORRECT</v>
      </c>
      <c r="G11" s="40" t="s">
        <v>48</v>
      </c>
      <c r="H11" s="44" t="s">
        <v>48</v>
      </c>
      <c r="I11" s="54" t="s">
        <v>314</v>
      </c>
      <c r="J11" s="44">
        <v>37835.0</v>
      </c>
    </row>
    <row r="12" ht="60.0" customHeight="1">
      <c r="A12" s="40">
        <v>9.0</v>
      </c>
      <c r="B12" s="41" t="s">
        <v>75</v>
      </c>
      <c r="C12" s="41" t="s">
        <v>76</v>
      </c>
      <c r="D12" s="41" t="s">
        <v>77</v>
      </c>
      <c r="E12" s="41" t="s">
        <v>78</v>
      </c>
      <c r="F12" s="40" t="str">
        <f t="shared" si="1"/>
        <v>WRONG</v>
      </c>
      <c r="G12" s="40" t="s">
        <v>42</v>
      </c>
      <c r="H12" s="44" t="s">
        <v>48</v>
      </c>
      <c r="I12" s="54" t="s">
        <v>315</v>
      </c>
      <c r="J12" s="44">
        <v>34463.0</v>
      </c>
    </row>
    <row r="13" ht="60.0" customHeight="1">
      <c r="A13" s="40">
        <v>10.0</v>
      </c>
      <c r="B13" s="41" t="s">
        <v>80</v>
      </c>
      <c r="C13" s="41" t="s">
        <v>81</v>
      </c>
      <c r="D13" s="41" t="s">
        <v>82</v>
      </c>
      <c r="E13" s="41" t="s">
        <v>83</v>
      </c>
      <c r="F13" s="40" t="str">
        <f t="shared" si="1"/>
        <v>CORRECT</v>
      </c>
      <c r="G13" s="40" t="s">
        <v>48</v>
      </c>
      <c r="H13" s="44" t="s">
        <v>48</v>
      </c>
      <c r="I13" s="54" t="s">
        <v>316</v>
      </c>
      <c r="J13" s="44">
        <v>41932.0</v>
      </c>
    </row>
    <row r="14" ht="60.0" customHeight="1">
      <c r="A14" s="40">
        <v>11.0</v>
      </c>
      <c r="B14" s="41" t="s">
        <v>85</v>
      </c>
      <c r="C14" s="41" t="s">
        <v>86</v>
      </c>
      <c r="D14" s="41" t="s">
        <v>87</v>
      </c>
      <c r="E14" s="41" t="s">
        <v>88</v>
      </c>
      <c r="F14" s="40" t="str">
        <f t="shared" si="1"/>
        <v>WRONG</v>
      </c>
      <c r="G14" s="40" t="s">
        <v>42</v>
      </c>
      <c r="H14" s="44" t="s">
        <v>48</v>
      </c>
      <c r="I14" s="54" t="s">
        <v>317</v>
      </c>
      <c r="J14" s="44">
        <v>50007.0</v>
      </c>
    </row>
    <row r="15" ht="60.0" customHeight="1">
      <c r="A15" s="40">
        <v>12.0</v>
      </c>
      <c r="B15" s="41" t="s">
        <v>90</v>
      </c>
      <c r="C15" s="41" t="s">
        <v>91</v>
      </c>
      <c r="D15" s="41" t="s">
        <v>92</v>
      </c>
      <c r="E15" s="41" t="s">
        <v>93</v>
      </c>
      <c r="F15" s="40" t="str">
        <f t="shared" si="1"/>
        <v>CORRECT</v>
      </c>
      <c r="G15" s="40" t="s">
        <v>48</v>
      </c>
      <c r="H15" s="44" t="s">
        <v>48</v>
      </c>
      <c r="I15" s="54" t="s">
        <v>318</v>
      </c>
      <c r="J15" s="44">
        <v>41391.0</v>
      </c>
    </row>
    <row r="16" ht="60.0" customHeight="1">
      <c r="A16" s="40">
        <v>13.0</v>
      </c>
      <c r="B16" s="41" t="s">
        <v>95</v>
      </c>
      <c r="C16" s="41" t="s">
        <v>96</v>
      </c>
      <c r="D16" s="41" t="s">
        <v>97</v>
      </c>
      <c r="E16" s="41" t="s">
        <v>98</v>
      </c>
      <c r="F16" s="40" t="str">
        <f t="shared" si="1"/>
        <v>CORRECT</v>
      </c>
      <c r="G16" s="40" t="s">
        <v>36</v>
      </c>
      <c r="H16" s="44" t="s">
        <v>36</v>
      </c>
      <c r="I16" s="54" t="s">
        <v>319</v>
      </c>
      <c r="J16" s="44">
        <v>17039.0</v>
      </c>
    </row>
    <row r="17" ht="60.0" customHeight="1">
      <c r="A17" s="40">
        <v>14.0</v>
      </c>
      <c r="B17" s="41" t="s">
        <v>100</v>
      </c>
      <c r="C17" s="41" t="s">
        <v>101</v>
      </c>
      <c r="D17" s="41" t="s">
        <v>102</v>
      </c>
      <c r="E17" s="41" t="s">
        <v>103</v>
      </c>
      <c r="F17" s="40" t="str">
        <f t="shared" si="1"/>
        <v>WRONG</v>
      </c>
      <c r="G17" s="40" t="s">
        <v>36</v>
      </c>
      <c r="H17" s="42" t="s">
        <v>48</v>
      </c>
      <c r="I17" s="54" t="s">
        <v>320</v>
      </c>
      <c r="J17" s="44">
        <v>38330.0</v>
      </c>
    </row>
    <row r="18" ht="60.0" customHeight="1">
      <c r="A18" s="40">
        <v>15.0</v>
      </c>
      <c r="B18" s="41" t="s">
        <v>105</v>
      </c>
      <c r="C18" s="41" t="s">
        <v>106</v>
      </c>
      <c r="D18" s="41" t="s">
        <v>107</v>
      </c>
      <c r="E18" s="41" t="s">
        <v>108</v>
      </c>
      <c r="F18" s="40" t="str">
        <f t="shared" si="1"/>
        <v>CORRECT</v>
      </c>
      <c r="G18" s="40" t="s">
        <v>48</v>
      </c>
      <c r="H18" s="42" t="s">
        <v>48</v>
      </c>
      <c r="I18" s="54" t="s">
        <v>321</v>
      </c>
      <c r="J18" s="44">
        <v>36806.0</v>
      </c>
    </row>
    <row r="19" ht="60.0" customHeight="1">
      <c r="A19" s="40">
        <v>16.0</v>
      </c>
      <c r="B19" s="41" t="s">
        <v>110</v>
      </c>
      <c r="C19" s="41" t="s">
        <v>111</v>
      </c>
      <c r="D19" s="41" t="s">
        <v>112</v>
      </c>
      <c r="E19" s="41" t="s">
        <v>113</v>
      </c>
      <c r="F19" s="40" t="str">
        <f t="shared" si="1"/>
        <v>WRONG</v>
      </c>
      <c r="G19" s="40" t="s">
        <v>48</v>
      </c>
      <c r="H19" s="42" t="s">
        <v>36</v>
      </c>
      <c r="I19" s="54" t="s">
        <v>322</v>
      </c>
      <c r="J19" s="44">
        <v>37484.0</v>
      </c>
    </row>
    <row r="20" ht="60.0" customHeight="1">
      <c r="A20" s="40">
        <v>17.0</v>
      </c>
      <c r="B20" s="41" t="s">
        <v>115</v>
      </c>
      <c r="C20" s="41" t="s">
        <v>116</v>
      </c>
      <c r="D20" s="41" t="s">
        <v>117</v>
      </c>
      <c r="E20" s="41" t="s">
        <v>118</v>
      </c>
      <c r="F20" s="40" t="str">
        <f t="shared" si="1"/>
        <v>WRONG</v>
      </c>
      <c r="G20" s="40" t="s">
        <v>42</v>
      </c>
      <c r="H20" s="44" t="s">
        <v>36</v>
      </c>
      <c r="I20" s="54" t="s">
        <v>119</v>
      </c>
      <c r="J20" s="44">
        <v>26363.0</v>
      </c>
    </row>
    <row r="21" ht="60.0" customHeight="1">
      <c r="A21" s="40">
        <v>18.0</v>
      </c>
      <c r="B21" s="41" t="s">
        <v>120</v>
      </c>
      <c r="C21" s="41" t="s">
        <v>121</v>
      </c>
      <c r="D21" s="41" t="s">
        <v>122</v>
      </c>
      <c r="E21" s="41" t="s">
        <v>123</v>
      </c>
      <c r="F21" s="40" t="str">
        <f t="shared" si="1"/>
        <v>CORRECT</v>
      </c>
      <c r="G21" s="40" t="s">
        <v>42</v>
      </c>
      <c r="H21" s="44" t="s">
        <v>42</v>
      </c>
      <c r="I21" s="54" t="s">
        <v>323</v>
      </c>
      <c r="J21" s="44">
        <v>29358.0</v>
      </c>
    </row>
    <row r="22" ht="60.0" customHeight="1">
      <c r="A22" s="40">
        <v>19.0</v>
      </c>
      <c r="B22" s="41" t="s">
        <v>125</v>
      </c>
      <c r="C22" s="41" t="s">
        <v>126</v>
      </c>
      <c r="D22" s="41" t="s">
        <v>127</v>
      </c>
      <c r="E22" s="41" t="s">
        <v>128</v>
      </c>
      <c r="F22" s="40" t="str">
        <f t="shared" si="1"/>
        <v>WRONG</v>
      </c>
      <c r="G22" s="40" t="s">
        <v>36</v>
      </c>
      <c r="H22" s="42" t="s">
        <v>48</v>
      </c>
      <c r="I22" s="54" t="s">
        <v>324</v>
      </c>
      <c r="J22" s="44">
        <v>34240.0</v>
      </c>
    </row>
    <row r="23" ht="60.0" customHeight="1">
      <c r="A23" s="40">
        <v>20.0</v>
      </c>
      <c r="B23" s="41" t="s">
        <v>130</v>
      </c>
      <c r="C23" s="41" t="s">
        <v>131</v>
      </c>
      <c r="D23" s="41" t="s">
        <v>132</v>
      </c>
      <c r="E23" s="41" t="s">
        <v>133</v>
      </c>
      <c r="F23" s="40" t="str">
        <f t="shared" si="1"/>
        <v>WRONG</v>
      </c>
      <c r="G23" s="40" t="s">
        <v>42</v>
      </c>
      <c r="H23" s="44" t="s">
        <v>36</v>
      </c>
      <c r="I23" s="54" t="s">
        <v>325</v>
      </c>
      <c r="J23" s="44">
        <v>25430.0</v>
      </c>
    </row>
    <row r="24" ht="60.0" customHeight="1">
      <c r="A24" s="40">
        <v>21.0</v>
      </c>
      <c r="B24" s="41" t="s">
        <v>135</v>
      </c>
      <c r="C24" s="41" t="s">
        <v>136</v>
      </c>
      <c r="D24" s="41" t="s">
        <v>137</v>
      </c>
      <c r="E24" s="41" t="s">
        <v>138</v>
      </c>
      <c r="F24" s="40" t="str">
        <f t="shared" si="1"/>
        <v>WRONG</v>
      </c>
      <c r="G24" s="40" t="s">
        <v>42</v>
      </c>
      <c r="H24" s="44" t="s">
        <v>36</v>
      </c>
      <c r="I24" s="54" t="s">
        <v>139</v>
      </c>
      <c r="J24" s="44">
        <v>22026.0</v>
      </c>
    </row>
    <row r="25" ht="60.0" customHeight="1">
      <c r="A25" s="40">
        <v>22.0</v>
      </c>
      <c r="B25" s="41" t="s">
        <v>140</v>
      </c>
      <c r="C25" s="41" t="s">
        <v>141</v>
      </c>
      <c r="D25" s="41" t="s">
        <v>142</v>
      </c>
      <c r="E25" s="41" t="s">
        <v>143</v>
      </c>
      <c r="F25" s="40" t="str">
        <f t="shared" si="1"/>
        <v>CORRECT</v>
      </c>
      <c r="G25" s="40" t="s">
        <v>42</v>
      </c>
      <c r="H25" s="44" t="s">
        <v>42</v>
      </c>
      <c r="I25" s="54" t="s">
        <v>288</v>
      </c>
      <c r="J25" s="44">
        <v>23628.0</v>
      </c>
    </row>
    <row r="26" ht="60.0" customHeight="1">
      <c r="A26" s="40">
        <v>23.0</v>
      </c>
      <c r="B26" s="41" t="s">
        <v>145</v>
      </c>
      <c r="C26" s="41" t="s">
        <v>146</v>
      </c>
      <c r="D26" s="41" t="s">
        <v>147</v>
      </c>
      <c r="E26" s="41" t="s">
        <v>148</v>
      </c>
      <c r="F26" s="40" t="str">
        <f t="shared" si="1"/>
        <v>CORRECT</v>
      </c>
      <c r="G26" s="40" t="s">
        <v>48</v>
      </c>
      <c r="H26" s="44" t="s">
        <v>48</v>
      </c>
      <c r="I26" s="54" t="s">
        <v>326</v>
      </c>
      <c r="J26" s="44">
        <v>26948.0</v>
      </c>
    </row>
    <row r="27" ht="60.0" customHeight="1">
      <c r="A27" s="40">
        <v>24.0</v>
      </c>
      <c r="B27" s="41" t="s">
        <v>150</v>
      </c>
      <c r="C27" s="41" t="s">
        <v>151</v>
      </c>
      <c r="D27" s="41" t="s">
        <v>152</v>
      </c>
      <c r="E27" s="41" t="s">
        <v>153</v>
      </c>
      <c r="F27" s="40" t="str">
        <f t="shared" si="1"/>
        <v>CORRECT</v>
      </c>
      <c r="G27" s="40" t="s">
        <v>36</v>
      </c>
      <c r="H27" s="44" t="s">
        <v>36</v>
      </c>
      <c r="I27" s="54" t="s">
        <v>154</v>
      </c>
      <c r="J27" s="44">
        <v>29682.0</v>
      </c>
    </row>
    <row r="28" ht="60.0" customHeight="1">
      <c r="A28" s="40">
        <v>25.0</v>
      </c>
      <c r="B28" s="41" t="s">
        <v>155</v>
      </c>
      <c r="C28" s="41" t="s">
        <v>151</v>
      </c>
      <c r="D28" s="41" t="s">
        <v>156</v>
      </c>
      <c r="E28" s="41" t="s">
        <v>153</v>
      </c>
      <c r="F28" s="40" t="str">
        <f t="shared" si="1"/>
        <v>WRONG</v>
      </c>
      <c r="G28" s="40" t="s">
        <v>48</v>
      </c>
      <c r="H28" s="42" t="s">
        <v>42</v>
      </c>
      <c r="I28" s="54" t="s">
        <v>327</v>
      </c>
      <c r="J28" s="44">
        <v>42971.0</v>
      </c>
    </row>
    <row r="29" ht="60.0" customHeight="1">
      <c r="A29" s="40">
        <v>26.0</v>
      </c>
      <c r="B29" s="41" t="s">
        <v>158</v>
      </c>
      <c r="C29" s="41" t="s">
        <v>159</v>
      </c>
      <c r="D29" s="41" t="s">
        <v>160</v>
      </c>
      <c r="E29" s="41" t="s">
        <v>161</v>
      </c>
      <c r="F29" s="40" t="str">
        <f t="shared" si="1"/>
        <v>WRONG</v>
      </c>
      <c r="G29" s="40" t="s">
        <v>36</v>
      </c>
      <c r="H29" s="44" t="s">
        <v>42</v>
      </c>
      <c r="I29" s="54" t="s">
        <v>328</v>
      </c>
      <c r="J29" s="44">
        <v>26545.0</v>
      </c>
    </row>
    <row r="30" ht="60.0" customHeight="1">
      <c r="A30" s="40">
        <v>27.0</v>
      </c>
      <c r="B30" s="41" t="s">
        <v>163</v>
      </c>
      <c r="C30" s="41" t="s">
        <v>164</v>
      </c>
      <c r="D30" s="41" t="s">
        <v>165</v>
      </c>
      <c r="E30" s="41" t="s">
        <v>166</v>
      </c>
      <c r="F30" s="40" t="str">
        <f t="shared" si="1"/>
        <v>CORRECT</v>
      </c>
      <c r="G30" s="40" t="s">
        <v>42</v>
      </c>
      <c r="H30" s="44" t="s">
        <v>42</v>
      </c>
      <c r="I30" s="54" t="s">
        <v>329</v>
      </c>
      <c r="J30" s="44">
        <v>43894.0</v>
      </c>
    </row>
    <row r="31" ht="60.0" customHeight="1">
      <c r="A31" s="40">
        <v>28.0</v>
      </c>
      <c r="B31" s="41" t="s">
        <v>168</v>
      </c>
      <c r="C31" s="41" t="s">
        <v>169</v>
      </c>
      <c r="D31" s="41" t="s">
        <v>170</v>
      </c>
      <c r="E31" s="41" t="s">
        <v>171</v>
      </c>
      <c r="F31" s="40" t="str">
        <f t="shared" si="1"/>
        <v>WRONG</v>
      </c>
      <c r="G31" s="40" t="s">
        <v>36</v>
      </c>
      <c r="H31" s="42" t="s">
        <v>48</v>
      </c>
      <c r="I31" s="54" t="s">
        <v>330</v>
      </c>
      <c r="J31" s="44">
        <v>28456.0</v>
      </c>
    </row>
    <row r="32" ht="60.0" customHeight="1">
      <c r="A32" s="40">
        <v>29.0</v>
      </c>
      <c r="B32" s="41" t="s">
        <v>173</v>
      </c>
      <c r="C32" s="41" t="s">
        <v>174</v>
      </c>
      <c r="D32" s="41" t="s">
        <v>175</v>
      </c>
      <c r="E32" s="41" t="s">
        <v>176</v>
      </c>
      <c r="F32" s="40" t="str">
        <f t="shared" si="1"/>
        <v>CORRECT</v>
      </c>
      <c r="G32" s="40" t="s">
        <v>42</v>
      </c>
      <c r="H32" s="44" t="s">
        <v>42</v>
      </c>
      <c r="I32" s="54" t="s">
        <v>177</v>
      </c>
      <c r="J32" s="44">
        <v>41659.0</v>
      </c>
    </row>
    <row r="33" ht="60.0" customHeight="1">
      <c r="A33" s="40">
        <v>30.0</v>
      </c>
      <c r="B33" s="41" t="s">
        <v>178</v>
      </c>
      <c r="C33" s="41" t="s">
        <v>179</v>
      </c>
      <c r="D33" s="41" t="s">
        <v>180</v>
      </c>
      <c r="E33" s="41" t="s">
        <v>181</v>
      </c>
      <c r="F33" s="40" t="str">
        <f t="shared" si="1"/>
        <v>WRONG</v>
      </c>
      <c r="G33" s="40" t="s">
        <v>48</v>
      </c>
      <c r="H33" s="44" t="s">
        <v>36</v>
      </c>
      <c r="I33" s="54" t="s">
        <v>182</v>
      </c>
      <c r="J33" s="44">
        <v>35745.0</v>
      </c>
    </row>
    <row r="34" ht="60.0" customHeight="1">
      <c r="A34" s="40">
        <v>31.0</v>
      </c>
      <c r="B34" s="41" t="s">
        <v>183</v>
      </c>
      <c r="C34" s="41" t="s">
        <v>184</v>
      </c>
      <c r="D34" s="41" t="s">
        <v>185</v>
      </c>
      <c r="E34" s="41" t="s">
        <v>186</v>
      </c>
      <c r="F34" s="40" t="str">
        <f t="shared" si="1"/>
        <v>WRONG</v>
      </c>
      <c r="G34" s="40" t="s">
        <v>42</v>
      </c>
      <c r="H34" s="44" t="s">
        <v>36</v>
      </c>
      <c r="I34" s="54" t="s">
        <v>331</v>
      </c>
      <c r="J34" s="44">
        <v>34440.0</v>
      </c>
    </row>
    <row r="35" ht="60.0" customHeight="1">
      <c r="A35" s="40">
        <v>32.0</v>
      </c>
      <c r="B35" s="41" t="s">
        <v>188</v>
      </c>
      <c r="C35" s="41" t="s">
        <v>189</v>
      </c>
      <c r="D35" s="41" t="s">
        <v>190</v>
      </c>
      <c r="E35" s="41" t="s">
        <v>191</v>
      </c>
      <c r="F35" s="40" t="str">
        <f t="shared" si="1"/>
        <v>CORRECT</v>
      </c>
      <c r="G35" s="40" t="s">
        <v>36</v>
      </c>
      <c r="H35" s="44" t="s">
        <v>36</v>
      </c>
      <c r="I35" s="54" t="s">
        <v>332</v>
      </c>
      <c r="J35" s="44">
        <v>60762.0</v>
      </c>
    </row>
    <row r="36" ht="60.0" customHeight="1">
      <c r="A36" s="40">
        <v>33.0</v>
      </c>
      <c r="B36" s="41" t="s">
        <v>193</v>
      </c>
      <c r="C36" s="41" t="s">
        <v>194</v>
      </c>
      <c r="D36" s="41" t="s">
        <v>195</v>
      </c>
      <c r="E36" s="41" t="s">
        <v>196</v>
      </c>
      <c r="F36" s="40" t="str">
        <f t="shared" si="1"/>
        <v>CORRECT</v>
      </c>
      <c r="G36" s="40" t="s">
        <v>48</v>
      </c>
      <c r="H36" s="42" t="s">
        <v>48</v>
      </c>
      <c r="I36" s="54" t="s">
        <v>333</v>
      </c>
      <c r="J36" s="44">
        <v>34208.0</v>
      </c>
    </row>
    <row r="37" ht="60.0" customHeight="1">
      <c r="A37" s="40">
        <v>34.0</v>
      </c>
      <c r="B37" s="41" t="s">
        <v>198</v>
      </c>
      <c r="C37" s="41" t="s">
        <v>199</v>
      </c>
      <c r="D37" s="41" t="s">
        <v>200</v>
      </c>
      <c r="E37" s="41" t="s">
        <v>201</v>
      </c>
      <c r="F37" s="40" t="str">
        <f t="shared" si="1"/>
        <v>CORRECT</v>
      </c>
      <c r="G37" s="40" t="s">
        <v>36</v>
      </c>
      <c r="H37" s="44" t="s">
        <v>36</v>
      </c>
      <c r="I37" s="54" t="s">
        <v>334</v>
      </c>
      <c r="J37" s="44">
        <v>41220.0</v>
      </c>
    </row>
    <row r="38" ht="60.0" customHeight="1">
      <c r="A38" s="40">
        <v>35.0</v>
      </c>
      <c r="B38" s="41" t="s">
        <v>203</v>
      </c>
      <c r="C38" s="41" t="s">
        <v>204</v>
      </c>
      <c r="D38" s="41" t="s">
        <v>205</v>
      </c>
      <c r="E38" s="41" t="s">
        <v>206</v>
      </c>
      <c r="F38" s="40" t="str">
        <f t="shared" si="1"/>
        <v>CORRECT</v>
      </c>
      <c r="G38" s="40" t="s">
        <v>48</v>
      </c>
      <c r="H38" s="44" t="s">
        <v>48</v>
      </c>
      <c r="I38" s="54" t="s">
        <v>335</v>
      </c>
      <c r="J38" s="44">
        <v>32065.0</v>
      </c>
    </row>
    <row r="39" ht="60.0" customHeight="1">
      <c r="A39" s="40">
        <v>36.0</v>
      </c>
      <c r="B39" s="41" t="s">
        <v>208</v>
      </c>
      <c r="C39" s="41" t="s">
        <v>209</v>
      </c>
      <c r="D39" s="41" t="s">
        <v>210</v>
      </c>
      <c r="E39" s="41" t="s">
        <v>211</v>
      </c>
      <c r="F39" s="40" t="str">
        <f t="shared" si="1"/>
        <v>CORRECT</v>
      </c>
      <c r="G39" s="40" t="s">
        <v>36</v>
      </c>
      <c r="H39" s="44" t="s">
        <v>36</v>
      </c>
      <c r="I39" s="54" t="s">
        <v>336</v>
      </c>
      <c r="J39" s="44">
        <v>32118.0</v>
      </c>
    </row>
    <row r="40" ht="60.0" customHeight="1">
      <c r="A40" s="40">
        <v>37.0</v>
      </c>
      <c r="B40" s="41" t="s">
        <v>213</v>
      </c>
      <c r="C40" s="41" t="s">
        <v>214</v>
      </c>
      <c r="D40" s="41" t="s">
        <v>215</v>
      </c>
      <c r="E40" s="41" t="s">
        <v>216</v>
      </c>
      <c r="F40" s="40" t="str">
        <f t="shared" si="1"/>
        <v>WRONG</v>
      </c>
      <c r="G40" s="40" t="s">
        <v>36</v>
      </c>
      <c r="H40" s="44" t="s">
        <v>42</v>
      </c>
      <c r="I40" s="54" t="s">
        <v>337</v>
      </c>
      <c r="J40" s="44">
        <v>34473.0</v>
      </c>
    </row>
    <row r="41" ht="60.0" customHeight="1">
      <c r="A41" s="40">
        <v>38.0</v>
      </c>
      <c r="B41" s="41" t="s">
        <v>218</v>
      </c>
      <c r="C41" s="41" t="s">
        <v>219</v>
      </c>
      <c r="D41" s="41" t="s">
        <v>220</v>
      </c>
      <c r="E41" s="41" t="s">
        <v>221</v>
      </c>
      <c r="F41" s="40" t="str">
        <f t="shared" si="1"/>
        <v>CORRECT</v>
      </c>
      <c r="G41" s="40" t="s">
        <v>36</v>
      </c>
      <c r="H41" s="44" t="s">
        <v>36</v>
      </c>
      <c r="I41" s="54" t="s">
        <v>338</v>
      </c>
      <c r="J41" s="44">
        <v>38760.0</v>
      </c>
    </row>
    <row r="42" ht="60.0" customHeight="1">
      <c r="A42" s="40">
        <v>39.0</v>
      </c>
      <c r="B42" s="41" t="s">
        <v>223</v>
      </c>
      <c r="C42" s="41" t="s">
        <v>224</v>
      </c>
      <c r="D42" s="41" t="s">
        <v>225</v>
      </c>
      <c r="E42" s="41" t="s">
        <v>226</v>
      </c>
      <c r="F42" s="40" t="str">
        <f t="shared" si="1"/>
        <v>WRONG</v>
      </c>
      <c r="G42" s="40" t="s">
        <v>42</v>
      </c>
      <c r="H42" s="44" t="s">
        <v>48</v>
      </c>
      <c r="I42" s="54" t="s">
        <v>339</v>
      </c>
      <c r="J42" s="44">
        <v>22824.0</v>
      </c>
    </row>
    <row r="43" ht="60.0" customHeight="1">
      <c r="A43" s="40">
        <v>40.0</v>
      </c>
      <c r="B43" s="41" t="s">
        <v>228</v>
      </c>
      <c r="C43" s="41" t="s">
        <v>229</v>
      </c>
      <c r="D43" s="41" t="s">
        <v>230</v>
      </c>
      <c r="E43" s="41" t="s">
        <v>231</v>
      </c>
      <c r="F43" s="40" t="str">
        <f t="shared" si="1"/>
        <v>CORRECT</v>
      </c>
      <c r="G43" s="40" t="s">
        <v>48</v>
      </c>
      <c r="H43" s="44" t="s">
        <v>48</v>
      </c>
      <c r="I43" s="54" t="s">
        <v>340</v>
      </c>
      <c r="J43" s="44">
        <v>40666.0</v>
      </c>
    </row>
    <row r="44" ht="60.0" customHeight="1">
      <c r="A44" s="40">
        <v>41.0</v>
      </c>
      <c r="B44" s="41" t="s">
        <v>233</v>
      </c>
      <c r="C44" s="41" t="s">
        <v>234</v>
      </c>
      <c r="D44" s="41" t="s">
        <v>235</v>
      </c>
      <c r="E44" s="41" t="s">
        <v>236</v>
      </c>
      <c r="F44" s="40" t="str">
        <f t="shared" si="1"/>
        <v>CORRECT</v>
      </c>
      <c r="G44" s="40" t="s">
        <v>42</v>
      </c>
      <c r="H44" s="44" t="s">
        <v>42</v>
      </c>
      <c r="I44" s="54" t="s">
        <v>341</v>
      </c>
      <c r="J44" s="44">
        <v>18965.0</v>
      </c>
    </row>
    <row r="45" ht="60.0" customHeight="1">
      <c r="A45" s="40">
        <v>42.0</v>
      </c>
      <c r="B45" s="41" t="s">
        <v>238</v>
      </c>
      <c r="C45" s="41" t="s">
        <v>239</v>
      </c>
      <c r="D45" s="41" t="s">
        <v>240</v>
      </c>
      <c r="E45" s="41" t="s">
        <v>241</v>
      </c>
      <c r="F45" s="40" t="str">
        <f t="shared" si="1"/>
        <v>WRONG</v>
      </c>
      <c r="G45" s="40" t="s">
        <v>36</v>
      </c>
      <c r="H45" s="44" t="s">
        <v>42</v>
      </c>
      <c r="I45" s="54" t="s">
        <v>342</v>
      </c>
      <c r="J45" s="44">
        <v>33312.0</v>
      </c>
    </row>
    <row r="46" ht="60.0" customHeight="1">
      <c r="A46" s="40">
        <v>43.0</v>
      </c>
      <c r="B46" s="41" t="s">
        <v>243</v>
      </c>
      <c r="C46" s="41" t="s">
        <v>244</v>
      </c>
      <c r="D46" s="41" t="s">
        <v>245</v>
      </c>
      <c r="E46" s="41" t="s">
        <v>246</v>
      </c>
      <c r="F46" s="40" t="str">
        <f t="shared" si="1"/>
        <v>CORRECT</v>
      </c>
      <c r="G46" s="40" t="s">
        <v>48</v>
      </c>
      <c r="H46" s="44" t="s">
        <v>48</v>
      </c>
      <c r="I46" s="54" t="s">
        <v>247</v>
      </c>
      <c r="J46" s="44">
        <v>35914.0</v>
      </c>
    </row>
    <row r="47" ht="60.0" customHeight="1">
      <c r="A47" s="40">
        <v>44.0</v>
      </c>
      <c r="B47" s="41" t="s">
        <v>248</v>
      </c>
      <c r="C47" s="41" t="s">
        <v>249</v>
      </c>
      <c r="D47" s="41" t="s">
        <v>250</v>
      </c>
      <c r="E47" s="41" t="s">
        <v>251</v>
      </c>
      <c r="F47" s="40" t="str">
        <f t="shared" si="1"/>
        <v>CORRECT</v>
      </c>
      <c r="G47" s="40" t="s">
        <v>36</v>
      </c>
      <c r="H47" s="44" t="s">
        <v>36</v>
      </c>
      <c r="I47" s="54" t="s">
        <v>343</v>
      </c>
      <c r="J47" s="44">
        <v>24450.0</v>
      </c>
    </row>
    <row r="48" ht="60.0" customHeight="1">
      <c r="A48" s="40">
        <v>45.0</v>
      </c>
      <c r="B48" s="41" t="s">
        <v>253</v>
      </c>
      <c r="C48" s="41" t="s">
        <v>254</v>
      </c>
      <c r="D48" s="41" t="s">
        <v>255</v>
      </c>
      <c r="E48" s="41" t="s">
        <v>256</v>
      </c>
      <c r="F48" s="40" t="str">
        <f t="shared" si="1"/>
        <v>CORRECT</v>
      </c>
      <c r="G48" s="40" t="s">
        <v>36</v>
      </c>
      <c r="H48" s="44" t="s">
        <v>36</v>
      </c>
      <c r="I48" s="54" t="s">
        <v>344</v>
      </c>
      <c r="J48" s="44">
        <v>59479.0</v>
      </c>
    </row>
    <row r="49" ht="60.0" customHeight="1">
      <c r="A49" s="40">
        <v>46.0</v>
      </c>
      <c r="B49" s="41" t="s">
        <v>258</v>
      </c>
      <c r="C49" s="41" t="s">
        <v>39</v>
      </c>
      <c r="D49" s="41" t="s">
        <v>259</v>
      </c>
      <c r="E49" s="41" t="s">
        <v>260</v>
      </c>
      <c r="F49" s="40" t="str">
        <f t="shared" si="1"/>
        <v>CORRECT</v>
      </c>
      <c r="G49" s="40" t="s">
        <v>36</v>
      </c>
      <c r="H49" s="44" t="s">
        <v>36</v>
      </c>
      <c r="I49" s="54" t="s">
        <v>345</v>
      </c>
      <c r="J49" s="44">
        <v>23158.0</v>
      </c>
    </row>
    <row r="50">
      <c r="A50" s="45" t="s">
        <v>262</v>
      </c>
      <c r="B50" s="2"/>
      <c r="C50" s="2"/>
      <c r="D50" s="2"/>
      <c r="E50" s="3"/>
      <c r="F50" s="46">
        <f>COUNTIFS(F4:F49,"CORRECT")</f>
        <v>29</v>
      </c>
      <c r="G50" s="47"/>
      <c r="H50" s="47"/>
      <c r="J50" s="48">
        <f>AVERAGE(J4:J49)</f>
        <v>33828.69565</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346</v>
      </c>
      <c r="C2" s="2"/>
      <c r="D2" s="2"/>
      <c r="E2" s="2"/>
      <c r="F2" s="2"/>
      <c r="G2" s="2"/>
      <c r="H2" s="3"/>
      <c r="I2" s="38" t="s">
        <v>347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WRONG</v>
      </c>
      <c r="G4" s="40" t="s">
        <v>36</v>
      </c>
      <c r="H4" s="55" t="s">
        <v>48</v>
      </c>
      <c r="I4" s="54" t="s">
        <v>348</v>
      </c>
      <c r="J4" s="56">
        <v>34028.0</v>
      </c>
    </row>
    <row r="5" ht="60.0" customHeight="1">
      <c r="A5" s="40">
        <v>2.0</v>
      </c>
      <c r="B5" s="41" t="s">
        <v>38</v>
      </c>
      <c r="C5" s="41" t="s">
        <v>39</v>
      </c>
      <c r="D5" s="41" t="s">
        <v>40</v>
      </c>
      <c r="E5" s="41" t="s">
        <v>41</v>
      </c>
      <c r="F5" s="40" t="str">
        <f t="shared" si="1"/>
        <v>CORRECT</v>
      </c>
      <c r="G5" s="40" t="s">
        <v>42</v>
      </c>
      <c r="H5" s="56" t="s">
        <v>42</v>
      </c>
      <c r="I5" s="54" t="s">
        <v>349</v>
      </c>
      <c r="J5" s="56">
        <v>41853.0</v>
      </c>
    </row>
    <row r="6" ht="60.0" customHeight="1">
      <c r="A6" s="40">
        <v>3.0</v>
      </c>
      <c r="B6" s="41" t="s">
        <v>44</v>
      </c>
      <c r="C6" s="41" t="s">
        <v>45</v>
      </c>
      <c r="D6" s="41" t="s">
        <v>46</v>
      </c>
      <c r="E6" s="41" t="s">
        <v>47</v>
      </c>
      <c r="F6" s="40" t="str">
        <f t="shared" si="1"/>
        <v>CORRECT</v>
      </c>
      <c r="G6" s="40" t="s">
        <v>48</v>
      </c>
      <c r="H6" s="56" t="s">
        <v>48</v>
      </c>
      <c r="I6" s="54" t="s">
        <v>350</v>
      </c>
      <c r="J6" s="56">
        <v>29386.0</v>
      </c>
    </row>
    <row r="7" ht="60.0" customHeight="1">
      <c r="A7" s="40">
        <v>4.0</v>
      </c>
      <c r="B7" s="41" t="s">
        <v>50</v>
      </c>
      <c r="C7" s="41" t="s">
        <v>51</v>
      </c>
      <c r="D7" s="41" t="s">
        <v>52</v>
      </c>
      <c r="E7" s="41" t="s">
        <v>53</v>
      </c>
      <c r="F7" s="40" t="str">
        <f t="shared" si="1"/>
        <v>CORRECT</v>
      </c>
      <c r="G7" s="40" t="s">
        <v>42</v>
      </c>
      <c r="H7" s="56" t="s">
        <v>42</v>
      </c>
      <c r="I7" s="54" t="s">
        <v>351</v>
      </c>
      <c r="J7" s="56">
        <v>24613.0</v>
      </c>
    </row>
    <row r="8" ht="60.0" customHeight="1">
      <c r="A8" s="40">
        <v>5.0</v>
      </c>
      <c r="B8" s="41" t="s">
        <v>55</v>
      </c>
      <c r="C8" s="41" t="s">
        <v>56</v>
      </c>
      <c r="D8" s="41" t="s">
        <v>57</v>
      </c>
      <c r="E8" s="41" t="s">
        <v>58</v>
      </c>
      <c r="F8" s="40" t="str">
        <f t="shared" si="1"/>
        <v>CORRECT</v>
      </c>
      <c r="G8" s="40" t="s">
        <v>48</v>
      </c>
      <c r="H8" s="55" t="s">
        <v>48</v>
      </c>
      <c r="I8" s="54" t="s">
        <v>352</v>
      </c>
      <c r="J8" s="56">
        <v>62667.0</v>
      </c>
    </row>
    <row r="9" ht="60.0" customHeight="1">
      <c r="A9" s="40">
        <v>6.0</v>
      </c>
      <c r="B9" s="41" t="s">
        <v>60</v>
      </c>
      <c r="C9" s="41" t="s">
        <v>61</v>
      </c>
      <c r="D9" s="41" t="s">
        <v>62</v>
      </c>
      <c r="E9" s="41" t="s">
        <v>63</v>
      </c>
      <c r="F9" s="40" t="str">
        <f t="shared" si="1"/>
        <v>CORRECT</v>
      </c>
      <c r="G9" s="40" t="s">
        <v>42</v>
      </c>
      <c r="H9" s="56" t="s">
        <v>42</v>
      </c>
      <c r="I9" s="54" t="s">
        <v>353</v>
      </c>
      <c r="J9" s="56">
        <v>42226.0</v>
      </c>
    </row>
    <row r="10" ht="60.0" customHeight="1">
      <c r="A10" s="40">
        <v>7.0</v>
      </c>
      <c r="B10" s="41" t="s">
        <v>65</v>
      </c>
      <c r="C10" s="41" t="s">
        <v>66</v>
      </c>
      <c r="D10" s="41" t="s">
        <v>67</v>
      </c>
      <c r="E10" s="41" t="s">
        <v>68</v>
      </c>
      <c r="F10" s="40" t="str">
        <f t="shared" si="1"/>
        <v>WRONG</v>
      </c>
      <c r="G10" s="40" t="s">
        <v>42</v>
      </c>
      <c r="H10" s="55" t="s">
        <v>36</v>
      </c>
      <c r="I10" s="54" t="s">
        <v>354</v>
      </c>
      <c r="J10" s="56">
        <v>49716.0</v>
      </c>
    </row>
    <row r="11" ht="60.0" customHeight="1">
      <c r="A11" s="40">
        <v>8.0</v>
      </c>
      <c r="B11" s="41" t="s">
        <v>70</v>
      </c>
      <c r="C11" s="41" t="s">
        <v>71</v>
      </c>
      <c r="D11" s="41" t="s">
        <v>72</v>
      </c>
      <c r="E11" s="41" t="s">
        <v>73</v>
      </c>
      <c r="F11" s="40" t="str">
        <f t="shared" si="1"/>
        <v>CORRECT</v>
      </c>
      <c r="G11" s="40" t="s">
        <v>48</v>
      </c>
      <c r="H11" s="56" t="s">
        <v>48</v>
      </c>
      <c r="I11" s="54" t="s">
        <v>355</v>
      </c>
      <c r="J11" s="56">
        <v>33619.0</v>
      </c>
    </row>
    <row r="12" ht="60.0" customHeight="1">
      <c r="A12" s="40">
        <v>9.0</v>
      </c>
      <c r="B12" s="41" t="s">
        <v>75</v>
      </c>
      <c r="C12" s="41" t="s">
        <v>76</v>
      </c>
      <c r="D12" s="41" t="s">
        <v>77</v>
      </c>
      <c r="E12" s="41" t="s">
        <v>78</v>
      </c>
      <c r="F12" s="40" t="str">
        <f t="shared" si="1"/>
        <v>WRONG</v>
      </c>
      <c r="G12" s="40" t="s">
        <v>42</v>
      </c>
      <c r="H12" s="56" t="s">
        <v>48</v>
      </c>
      <c r="I12" s="54" t="s">
        <v>356</v>
      </c>
      <c r="J12" s="56">
        <v>45667.0</v>
      </c>
    </row>
    <row r="13" ht="60.0" customHeight="1">
      <c r="A13" s="40">
        <v>10.0</v>
      </c>
      <c r="B13" s="41" t="s">
        <v>80</v>
      </c>
      <c r="C13" s="41" t="s">
        <v>81</v>
      </c>
      <c r="D13" s="41" t="s">
        <v>82</v>
      </c>
      <c r="E13" s="41" t="s">
        <v>83</v>
      </c>
      <c r="F13" s="40" t="str">
        <f t="shared" si="1"/>
        <v>WRONG</v>
      </c>
      <c r="G13" s="40" t="s">
        <v>48</v>
      </c>
      <c r="H13" s="56" t="s">
        <v>36</v>
      </c>
      <c r="I13" s="54" t="s">
        <v>357</v>
      </c>
      <c r="J13" s="56">
        <v>53679.0</v>
      </c>
    </row>
    <row r="14" ht="60.0" customHeight="1">
      <c r="A14" s="40">
        <v>11.0</v>
      </c>
      <c r="B14" s="41" t="s">
        <v>85</v>
      </c>
      <c r="C14" s="41" t="s">
        <v>86</v>
      </c>
      <c r="D14" s="41" t="s">
        <v>87</v>
      </c>
      <c r="E14" s="41" t="s">
        <v>88</v>
      </c>
      <c r="F14" s="40" t="str">
        <f t="shared" si="1"/>
        <v>WRONG</v>
      </c>
      <c r="G14" s="40" t="s">
        <v>42</v>
      </c>
      <c r="H14" s="56" t="s">
        <v>48</v>
      </c>
      <c r="I14" s="54" t="s">
        <v>358</v>
      </c>
      <c r="J14" s="56">
        <v>40707.0</v>
      </c>
    </row>
    <row r="15" ht="60.0" customHeight="1">
      <c r="A15" s="40">
        <v>12.0</v>
      </c>
      <c r="B15" s="41" t="s">
        <v>90</v>
      </c>
      <c r="C15" s="41" t="s">
        <v>91</v>
      </c>
      <c r="D15" s="41" t="s">
        <v>92</v>
      </c>
      <c r="E15" s="41" t="s">
        <v>93</v>
      </c>
      <c r="F15" s="40" t="str">
        <f t="shared" si="1"/>
        <v>CORRECT</v>
      </c>
      <c r="G15" s="40" t="s">
        <v>48</v>
      </c>
      <c r="H15" s="56" t="s">
        <v>48</v>
      </c>
      <c r="I15" s="54" t="s">
        <v>359</v>
      </c>
      <c r="J15" s="56">
        <v>36095.0</v>
      </c>
    </row>
    <row r="16" ht="60.0" customHeight="1">
      <c r="A16" s="40">
        <v>13.0</v>
      </c>
      <c r="B16" s="41" t="s">
        <v>95</v>
      </c>
      <c r="C16" s="41" t="s">
        <v>96</v>
      </c>
      <c r="D16" s="41" t="s">
        <v>97</v>
      </c>
      <c r="E16" s="41" t="s">
        <v>98</v>
      </c>
      <c r="F16" s="40" t="str">
        <f t="shared" si="1"/>
        <v>WRONG</v>
      </c>
      <c r="G16" s="40" t="s">
        <v>36</v>
      </c>
      <c r="H16" s="55" t="s">
        <v>48</v>
      </c>
      <c r="I16" s="54" t="s">
        <v>360</v>
      </c>
      <c r="J16" s="56">
        <v>15378.0</v>
      </c>
    </row>
    <row r="17" ht="60.0" customHeight="1">
      <c r="A17" s="40">
        <v>14.0</v>
      </c>
      <c r="B17" s="41" t="s">
        <v>100</v>
      </c>
      <c r="C17" s="41" t="s">
        <v>101</v>
      </c>
      <c r="D17" s="41" t="s">
        <v>102</v>
      </c>
      <c r="E17" s="41" t="s">
        <v>103</v>
      </c>
      <c r="F17" s="40" t="str">
        <f t="shared" si="1"/>
        <v>WRONG</v>
      </c>
      <c r="G17" s="40" t="s">
        <v>36</v>
      </c>
      <c r="H17" s="55" t="s">
        <v>42</v>
      </c>
      <c r="I17" s="54" t="s">
        <v>361</v>
      </c>
      <c r="J17" s="56">
        <v>27578.0</v>
      </c>
    </row>
    <row r="18" ht="60.0" customHeight="1">
      <c r="A18" s="40">
        <v>15.0</v>
      </c>
      <c r="B18" s="41" t="s">
        <v>105</v>
      </c>
      <c r="C18" s="41" t="s">
        <v>106</v>
      </c>
      <c r="D18" s="41" t="s">
        <v>107</v>
      </c>
      <c r="E18" s="41" t="s">
        <v>108</v>
      </c>
      <c r="F18" s="40" t="str">
        <f t="shared" si="1"/>
        <v>CORRECT</v>
      </c>
      <c r="G18" s="40" t="s">
        <v>48</v>
      </c>
      <c r="H18" s="56" t="s">
        <v>48</v>
      </c>
      <c r="I18" s="54" t="s">
        <v>362</v>
      </c>
      <c r="J18" s="56">
        <v>28655.0</v>
      </c>
    </row>
    <row r="19" ht="60.0" customHeight="1">
      <c r="A19" s="40">
        <v>16.0</v>
      </c>
      <c r="B19" s="41" t="s">
        <v>110</v>
      </c>
      <c r="C19" s="41" t="s">
        <v>111</v>
      </c>
      <c r="D19" s="41" t="s">
        <v>112</v>
      </c>
      <c r="E19" s="41" t="s">
        <v>113</v>
      </c>
      <c r="F19" s="40" t="str">
        <f t="shared" si="1"/>
        <v>CORRECT</v>
      </c>
      <c r="G19" s="40" t="s">
        <v>48</v>
      </c>
      <c r="H19" s="55" t="s">
        <v>48</v>
      </c>
      <c r="I19" s="54" t="s">
        <v>363</v>
      </c>
      <c r="J19" s="56">
        <v>39814.0</v>
      </c>
    </row>
    <row r="20" ht="60.0" customHeight="1">
      <c r="A20" s="40">
        <v>17.0</v>
      </c>
      <c r="B20" s="41" t="s">
        <v>115</v>
      </c>
      <c r="C20" s="41" t="s">
        <v>116</v>
      </c>
      <c r="D20" s="41" t="s">
        <v>117</v>
      </c>
      <c r="E20" s="41" t="s">
        <v>118</v>
      </c>
      <c r="F20" s="40" t="str">
        <f t="shared" si="1"/>
        <v>WRONG</v>
      </c>
      <c r="G20" s="40" t="s">
        <v>42</v>
      </c>
      <c r="H20" s="56" t="s">
        <v>36</v>
      </c>
      <c r="I20" s="54" t="s">
        <v>364</v>
      </c>
      <c r="J20" s="56">
        <v>28122.0</v>
      </c>
    </row>
    <row r="21" ht="60.0" customHeight="1">
      <c r="A21" s="40">
        <v>18.0</v>
      </c>
      <c r="B21" s="41" t="s">
        <v>120</v>
      </c>
      <c r="C21" s="41" t="s">
        <v>121</v>
      </c>
      <c r="D21" s="41" t="s">
        <v>122</v>
      </c>
      <c r="E21" s="41" t="s">
        <v>123</v>
      </c>
      <c r="F21" s="40" t="str">
        <f t="shared" si="1"/>
        <v>CORRECT</v>
      </c>
      <c r="G21" s="40" t="s">
        <v>42</v>
      </c>
      <c r="H21" s="56" t="s">
        <v>42</v>
      </c>
      <c r="I21" s="54" t="s">
        <v>365</v>
      </c>
      <c r="J21" s="56">
        <v>29710.0</v>
      </c>
    </row>
    <row r="22" ht="60.0" customHeight="1">
      <c r="A22" s="40">
        <v>19.0</v>
      </c>
      <c r="B22" s="41" t="s">
        <v>125</v>
      </c>
      <c r="C22" s="41" t="s">
        <v>126</v>
      </c>
      <c r="D22" s="41" t="s">
        <v>127</v>
      </c>
      <c r="E22" s="41" t="s">
        <v>128</v>
      </c>
      <c r="F22" s="40" t="str">
        <f t="shared" si="1"/>
        <v>WRONG</v>
      </c>
      <c r="G22" s="40" t="s">
        <v>36</v>
      </c>
      <c r="H22" s="56" t="s">
        <v>48</v>
      </c>
      <c r="I22" s="54" t="s">
        <v>366</v>
      </c>
      <c r="J22" s="56">
        <v>32585.0</v>
      </c>
    </row>
    <row r="23" ht="60.0" customHeight="1">
      <c r="A23" s="40">
        <v>20.0</v>
      </c>
      <c r="B23" s="41" t="s">
        <v>130</v>
      </c>
      <c r="C23" s="41" t="s">
        <v>131</v>
      </c>
      <c r="D23" s="41" t="s">
        <v>132</v>
      </c>
      <c r="E23" s="41" t="s">
        <v>133</v>
      </c>
      <c r="F23" s="40" t="str">
        <f t="shared" si="1"/>
        <v>WRONG</v>
      </c>
      <c r="G23" s="40" t="s">
        <v>42</v>
      </c>
      <c r="H23" s="56" t="s">
        <v>36</v>
      </c>
      <c r="I23" s="54" t="s">
        <v>367</v>
      </c>
      <c r="J23" s="56">
        <v>16976.0</v>
      </c>
    </row>
    <row r="24" ht="60.0" customHeight="1">
      <c r="A24" s="40">
        <v>21.0</v>
      </c>
      <c r="B24" s="41" t="s">
        <v>135</v>
      </c>
      <c r="C24" s="41" t="s">
        <v>136</v>
      </c>
      <c r="D24" s="41" t="s">
        <v>137</v>
      </c>
      <c r="E24" s="41" t="s">
        <v>138</v>
      </c>
      <c r="F24" s="40" t="str">
        <f t="shared" si="1"/>
        <v>WRONG</v>
      </c>
      <c r="G24" s="40" t="s">
        <v>42</v>
      </c>
      <c r="H24" s="56" t="s">
        <v>36</v>
      </c>
      <c r="I24" s="54" t="s">
        <v>368</v>
      </c>
      <c r="J24" s="56">
        <v>21492.0</v>
      </c>
    </row>
    <row r="25" ht="60.0" customHeight="1">
      <c r="A25" s="40">
        <v>22.0</v>
      </c>
      <c r="B25" s="41" t="s">
        <v>140</v>
      </c>
      <c r="C25" s="41" t="s">
        <v>141</v>
      </c>
      <c r="D25" s="41" t="s">
        <v>142</v>
      </c>
      <c r="E25" s="41" t="s">
        <v>143</v>
      </c>
      <c r="F25" s="40" t="str">
        <f t="shared" si="1"/>
        <v>CORRECT</v>
      </c>
      <c r="G25" s="40" t="s">
        <v>42</v>
      </c>
      <c r="H25" s="56" t="s">
        <v>42</v>
      </c>
      <c r="I25" s="54" t="s">
        <v>144</v>
      </c>
      <c r="J25" s="56">
        <v>19155.0</v>
      </c>
    </row>
    <row r="26" ht="60.0" customHeight="1">
      <c r="A26" s="40">
        <v>23.0</v>
      </c>
      <c r="B26" s="41" t="s">
        <v>145</v>
      </c>
      <c r="C26" s="41" t="s">
        <v>146</v>
      </c>
      <c r="D26" s="41" t="s">
        <v>147</v>
      </c>
      <c r="E26" s="41" t="s">
        <v>148</v>
      </c>
      <c r="F26" s="40" t="str">
        <f t="shared" si="1"/>
        <v>CORRECT</v>
      </c>
      <c r="G26" s="40" t="s">
        <v>48</v>
      </c>
      <c r="H26" s="55" t="s">
        <v>48</v>
      </c>
      <c r="I26" s="54" t="s">
        <v>369</v>
      </c>
      <c r="J26" s="56">
        <v>27905.0</v>
      </c>
    </row>
    <row r="27" ht="60.0" customHeight="1">
      <c r="A27" s="40">
        <v>24.0</v>
      </c>
      <c r="B27" s="41" t="s">
        <v>150</v>
      </c>
      <c r="C27" s="41" t="s">
        <v>151</v>
      </c>
      <c r="D27" s="41" t="s">
        <v>152</v>
      </c>
      <c r="E27" s="41" t="s">
        <v>153</v>
      </c>
      <c r="F27" s="40" t="str">
        <f t="shared" si="1"/>
        <v>CORRECT</v>
      </c>
      <c r="G27" s="40" t="s">
        <v>36</v>
      </c>
      <c r="H27" s="55" t="s">
        <v>36</v>
      </c>
      <c r="I27" s="54" t="s">
        <v>370</v>
      </c>
      <c r="J27" s="56">
        <v>22136.0</v>
      </c>
    </row>
    <row r="28" ht="60.0" customHeight="1">
      <c r="A28" s="40">
        <v>25.0</v>
      </c>
      <c r="B28" s="41" t="s">
        <v>155</v>
      </c>
      <c r="C28" s="41" t="s">
        <v>151</v>
      </c>
      <c r="D28" s="41" t="s">
        <v>156</v>
      </c>
      <c r="E28" s="41" t="s">
        <v>153</v>
      </c>
      <c r="F28" s="40" t="str">
        <f t="shared" si="1"/>
        <v>WRONG</v>
      </c>
      <c r="G28" s="40" t="s">
        <v>48</v>
      </c>
      <c r="H28" s="55" t="s">
        <v>42</v>
      </c>
      <c r="I28" s="54" t="s">
        <v>371</v>
      </c>
      <c r="J28" s="56">
        <v>27066.0</v>
      </c>
    </row>
    <row r="29" ht="60.0" customHeight="1">
      <c r="A29" s="40">
        <v>26.0</v>
      </c>
      <c r="B29" s="41" t="s">
        <v>158</v>
      </c>
      <c r="C29" s="41" t="s">
        <v>159</v>
      </c>
      <c r="D29" s="41" t="s">
        <v>160</v>
      </c>
      <c r="E29" s="41" t="s">
        <v>161</v>
      </c>
      <c r="F29" s="40" t="str">
        <f t="shared" si="1"/>
        <v>WRONG</v>
      </c>
      <c r="G29" s="40" t="s">
        <v>36</v>
      </c>
      <c r="H29" s="55" t="s">
        <v>48</v>
      </c>
      <c r="I29" s="54" t="s">
        <v>372</v>
      </c>
      <c r="J29" s="56">
        <v>39215.0</v>
      </c>
    </row>
    <row r="30" ht="60.0" customHeight="1">
      <c r="A30" s="40">
        <v>27.0</v>
      </c>
      <c r="B30" s="41" t="s">
        <v>163</v>
      </c>
      <c r="C30" s="41" t="s">
        <v>164</v>
      </c>
      <c r="D30" s="41" t="s">
        <v>165</v>
      </c>
      <c r="E30" s="41" t="s">
        <v>166</v>
      </c>
      <c r="F30" s="40" t="str">
        <f t="shared" si="1"/>
        <v>CORRECT</v>
      </c>
      <c r="G30" s="40" t="s">
        <v>42</v>
      </c>
      <c r="H30" s="56" t="s">
        <v>42</v>
      </c>
      <c r="I30" s="54" t="s">
        <v>373</v>
      </c>
      <c r="J30" s="56">
        <v>22957.0</v>
      </c>
    </row>
    <row r="31" ht="60.0" customHeight="1">
      <c r="A31" s="40">
        <v>28.0</v>
      </c>
      <c r="B31" s="41" t="s">
        <v>168</v>
      </c>
      <c r="C31" s="41" t="s">
        <v>169</v>
      </c>
      <c r="D31" s="41" t="s">
        <v>170</v>
      </c>
      <c r="E31" s="41" t="s">
        <v>171</v>
      </c>
      <c r="F31" s="40" t="str">
        <f t="shared" si="1"/>
        <v>WRONG</v>
      </c>
      <c r="G31" s="40" t="s">
        <v>36</v>
      </c>
      <c r="H31" s="56" t="s">
        <v>48</v>
      </c>
      <c r="I31" s="54" t="s">
        <v>374</v>
      </c>
      <c r="J31" s="56">
        <v>23658.0</v>
      </c>
    </row>
    <row r="32" ht="60.0" customHeight="1">
      <c r="A32" s="40">
        <v>29.0</v>
      </c>
      <c r="B32" s="41" t="s">
        <v>173</v>
      </c>
      <c r="C32" s="41" t="s">
        <v>174</v>
      </c>
      <c r="D32" s="41" t="s">
        <v>175</v>
      </c>
      <c r="E32" s="41" t="s">
        <v>176</v>
      </c>
      <c r="F32" s="40" t="str">
        <f t="shared" si="1"/>
        <v>CORRECT</v>
      </c>
      <c r="G32" s="40" t="s">
        <v>42</v>
      </c>
      <c r="H32" s="56" t="s">
        <v>42</v>
      </c>
      <c r="I32" s="54" t="s">
        <v>375</v>
      </c>
      <c r="J32" s="56">
        <v>35138.0</v>
      </c>
    </row>
    <row r="33" ht="60.0" customHeight="1">
      <c r="A33" s="40">
        <v>30.0</v>
      </c>
      <c r="B33" s="41" t="s">
        <v>178</v>
      </c>
      <c r="C33" s="41" t="s">
        <v>179</v>
      </c>
      <c r="D33" s="41" t="s">
        <v>180</v>
      </c>
      <c r="E33" s="41" t="s">
        <v>181</v>
      </c>
      <c r="F33" s="40" t="str">
        <f t="shared" si="1"/>
        <v>WRONG</v>
      </c>
      <c r="G33" s="40" t="s">
        <v>48</v>
      </c>
      <c r="H33" s="56" t="s">
        <v>36</v>
      </c>
      <c r="I33" s="54" t="s">
        <v>376</v>
      </c>
      <c r="J33" s="56">
        <v>35615.0</v>
      </c>
    </row>
    <row r="34" ht="60.0" customHeight="1">
      <c r="A34" s="40">
        <v>31.0</v>
      </c>
      <c r="B34" s="41" t="s">
        <v>183</v>
      </c>
      <c r="C34" s="41" t="s">
        <v>184</v>
      </c>
      <c r="D34" s="41" t="s">
        <v>185</v>
      </c>
      <c r="E34" s="41" t="s">
        <v>186</v>
      </c>
      <c r="F34" s="40" t="str">
        <f t="shared" si="1"/>
        <v>WRONG</v>
      </c>
      <c r="G34" s="40" t="s">
        <v>42</v>
      </c>
      <c r="H34" s="56" t="s">
        <v>36</v>
      </c>
      <c r="I34" s="54" t="s">
        <v>377</v>
      </c>
      <c r="J34" s="56">
        <v>33446.0</v>
      </c>
    </row>
    <row r="35" ht="60.0" customHeight="1">
      <c r="A35" s="40">
        <v>32.0</v>
      </c>
      <c r="B35" s="41" t="s">
        <v>188</v>
      </c>
      <c r="C35" s="41" t="s">
        <v>189</v>
      </c>
      <c r="D35" s="41" t="s">
        <v>190</v>
      </c>
      <c r="E35" s="41" t="s">
        <v>191</v>
      </c>
      <c r="F35" s="40" t="str">
        <f t="shared" si="1"/>
        <v>CORRECT</v>
      </c>
      <c r="G35" s="40" t="s">
        <v>36</v>
      </c>
      <c r="H35" s="56" t="s">
        <v>36</v>
      </c>
      <c r="I35" s="54" t="s">
        <v>378</v>
      </c>
      <c r="J35" s="56">
        <v>43603.0</v>
      </c>
    </row>
    <row r="36" ht="60.0" customHeight="1">
      <c r="A36" s="40">
        <v>33.0</v>
      </c>
      <c r="B36" s="41" t="s">
        <v>193</v>
      </c>
      <c r="C36" s="41" t="s">
        <v>194</v>
      </c>
      <c r="D36" s="41" t="s">
        <v>195</v>
      </c>
      <c r="E36" s="41" t="s">
        <v>196</v>
      </c>
      <c r="F36" s="40" t="str">
        <f t="shared" si="1"/>
        <v>WRONG</v>
      </c>
      <c r="G36" s="40" t="s">
        <v>48</v>
      </c>
      <c r="H36" s="55" t="s">
        <v>42</v>
      </c>
      <c r="I36" s="54" t="s">
        <v>379</v>
      </c>
      <c r="J36" s="56">
        <v>52610.0</v>
      </c>
    </row>
    <row r="37" ht="60.0" customHeight="1">
      <c r="A37" s="40">
        <v>34.0</v>
      </c>
      <c r="B37" s="41" t="s">
        <v>198</v>
      </c>
      <c r="C37" s="41" t="s">
        <v>199</v>
      </c>
      <c r="D37" s="41" t="s">
        <v>200</v>
      </c>
      <c r="E37" s="41" t="s">
        <v>201</v>
      </c>
      <c r="F37" s="40" t="str">
        <f t="shared" si="1"/>
        <v>CORRECT</v>
      </c>
      <c r="G37" s="40" t="s">
        <v>36</v>
      </c>
      <c r="H37" s="56" t="s">
        <v>36</v>
      </c>
      <c r="I37" s="54" t="s">
        <v>380</v>
      </c>
      <c r="J37" s="56">
        <v>27253.0</v>
      </c>
    </row>
    <row r="38" ht="60.0" customHeight="1">
      <c r="A38" s="40">
        <v>35.0</v>
      </c>
      <c r="B38" s="41" t="s">
        <v>203</v>
      </c>
      <c r="C38" s="41" t="s">
        <v>204</v>
      </c>
      <c r="D38" s="41" t="s">
        <v>205</v>
      </c>
      <c r="E38" s="41" t="s">
        <v>206</v>
      </c>
      <c r="F38" s="40" t="str">
        <f t="shared" si="1"/>
        <v>CORRECT</v>
      </c>
      <c r="G38" s="40" t="s">
        <v>48</v>
      </c>
      <c r="H38" s="55" t="s">
        <v>48</v>
      </c>
      <c r="I38" s="54" t="s">
        <v>381</v>
      </c>
      <c r="J38" s="56">
        <v>30764.0</v>
      </c>
    </row>
    <row r="39" ht="60.0" customHeight="1">
      <c r="A39" s="40">
        <v>36.0</v>
      </c>
      <c r="B39" s="41" t="s">
        <v>208</v>
      </c>
      <c r="C39" s="41" t="s">
        <v>209</v>
      </c>
      <c r="D39" s="41" t="s">
        <v>210</v>
      </c>
      <c r="E39" s="41" t="s">
        <v>211</v>
      </c>
      <c r="F39" s="40" t="str">
        <f t="shared" si="1"/>
        <v>CORRECT</v>
      </c>
      <c r="G39" s="40" t="s">
        <v>36</v>
      </c>
      <c r="H39" s="56" t="s">
        <v>36</v>
      </c>
      <c r="I39" s="54" t="s">
        <v>382</v>
      </c>
      <c r="J39" s="56">
        <v>46208.0</v>
      </c>
    </row>
    <row r="40" ht="60.0" customHeight="1">
      <c r="A40" s="40">
        <v>37.0</v>
      </c>
      <c r="B40" s="41" t="s">
        <v>213</v>
      </c>
      <c r="C40" s="41" t="s">
        <v>214</v>
      </c>
      <c r="D40" s="41" t="s">
        <v>215</v>
      </c>
      <c r="E40" s="41" t="s">
        <v>216</v>
      </c>
      <c r="F40" s="40" t="str">
        <f t="shared" si="1"/>
        <v>WRONG</v>
      </c>
      <c r="G40" s="40" t="s">
        <v>36</v>
      </c>
      <c r="H40" s="56" t="s">
        <v>42</v>
      </c>
      <c r="I40" s="54" t="s">
        <v>383</v>
      </c>
      <c r="J40" s="56">
        <v>28064.0</v>
      </c>
    </row>
    <row r="41" ht="60.0" customHeight="1">
      <c r="A41" s="40">
        <v>38.0</v>
      </c>
      <c r="B41" s="41" t="s">
        <v>218</v>
      </c>
      <c r="C41" s="41" t="s">
        <v>219</v>
      </c>
      <c r="D41" s="41" t="s">
        <v>220</v>
      </c>
      <c r="E41" s="41" t="s">
        <v>221</v>
      </c>
      <c r="F41" s="40" t="str">
        <f t="shared" si="1"/>
        <v>CORRECT</v>
      </c>
      <c r="G41" s="40" t="s">
        <v>36</v>
      </c>
      <c r="H41" s="56" t="s">
        <v>36</v>
      </c>
      <c r="I41" s="54" t="s">
        <v>384</v>
      </c>
      <c r="J41" s="56">
        <v>41570.0</v>
      </c>
    </row>
    <row r="42" ht="60.0" customHeight="1">
      <c r="A42" s="40">
        <v>39.0</v>
      </c>
      <c r="B42" s="41" t="s">
        <v>223</v>
      </c>
      <c r="C42" s="41" t="s">
        <v>224</v>
      </c>
      <c r="D42" s="41" t="s">
        <v>225</v>
      </c>
      <c r="E42" s="41" t="s">
        <v>226</v>
      </c>
      <c r="F42" s="40" t="str">
        <f t="shared" si="1"/>
        <v>WRONG</v>
      </c>
      <c r="G42" s="40" t="s">
        <v>42</v>
      </c>
      <c r="H42" s="55" t="s">
        <v>36</v>
      </c>
      <c r="I42" s="54" t="s">
        <v>385</v>
      </c>
      <c r="J42" s="56">
        <v>22053.0</v>
      </c>
    </row>
    <row r="43" ht="60.0" customHeight="1">
      <c r="A43" s="40">
        <v>40.0</v>
      </c>
      <c r="B43" s="41" t="s">
        <v>228</v>
      </c>
      <c r="C43" s="41" t="s">
        <v>229</v>
      </c>
      <c r="D43" s="41" t="s">
        <v>230</v>
      </c>
      <c r="E43" s="41" t="s">
        <v>231</v>
      </c>
      <c r="F43" s="40" t="str">
        <f t="shared" si="1"/>
        <v>WRONG</v>
      </c>
      <c r="G43" s="40" t="s">
        <v>48</v>
      </c>
      <c r="H43" s="55" t="s">
        <v>42</v>
      </c>
      <c r="I43" s="54" t="s">
        <v>386</v>
      </c>
      <c r="J43" s="56">
        <v>57388.0</v>
      </c>
    </row>
    <row r="44" ht="60.0" customHeight="1">
      <c r="A44" s="40">
        <v>41.0</v>
      </c>
      <c r="B44" s="41" t="s">
        <v>233</v>
      </c>
      <c r="C44" s="41" t="s">
        <v>234</v>
      </c>
      <c r="D44" s="41" t="s">
        <v>235</v>
      </c>
      <c r="E44" s="41" t="s">
        <v>236</v>
      </c>
      <c r="F44" s="40" t="str">
        <f t="shared" si="1"/>
        <v>CORRECT</v>
      </c>
      <c r="G44" s="40" t="s">
        <v>42</v>
      </c>
      <c r="H44" s="56" t="s">
        <v>42</v>
      </c>
      <c r="I44" s="54" t="s">
        <v>387</v>
      </c>
      <c r="J44" s="56">
        <v>22348.0</v>
      </c>
    </row>
    <row r="45" ht="60.0" customHeight="1">
      <c r="A45" s="40">
        <v>42.0</v>
      </c>
      <c r="B45" s="41" t="s">
        <v>238</v>
      </c>
      <c r="C45" s="41" t="s">
        <v>239</v>
      </c>
      <c r="D45" s="41" t="s">
        <v>240</v>
      </c>
      <c r="E45" s="41" t="s">
        <v>241</v>
      </c>
      <c r="F45" s="40" t="str">
        <f t="shared" si="1"/>
        <v>WRONG</v>
      </c>
      <c r="G45" s="40" t="s">
        <v>36</v>
      </c>
      <c r="H45" s="56" t="s">
        <v>42</v>
      </c>
      <c r="I45" s="54" t="s">
        <v>388</v>
      </c>
      <c r="J45" s="56">
        <v>37175.0</v>
      </c>
    </row>
    <row r="46" ht="60.0" customHeight="1">
      <c r="A46" s="40">
        <v>43.0</v>
      </c>
      <c r="B46" s="41" t="s">
        <v>243</v>
      </c>
      <c r="C46" s="41" t="s">
        <v>244</v>
      </c>
      <c r="D46" s="41" t="s">
        <v>245</v>
      </c>
      <c r="E46" s="41" t="s">
        <v>246</v>
      </c>
      <c r="F46" s="40" t="str">
        <f t="shared" si="1"/>
        <v>CORRECT</v>
      </c>
      <c r="G46" s="40" t="s">
        <v>48</v>
      </c>
      <c r="H46" s="56" t="s">
        <v>48</v>
      </c>
      <c r="I46" s="54" t="s">
        <v>389</v>
      </c>
      <c r="J46" s="56">
        <v>46900.0</v>
      </c>
    </row>
    <row r="47" ht="60.0" customHeight="1">
      <c r="A47" s="40">
        <v>44.0</v>
      </c>
      <c r="B47" s="41" t="s">
        <v>248</v>
      </c>
      <c r="C47" s="41" t="s">
        <v>249</v>
      </c>
      <c r="D47" s="41" t="s">
        <v>250</v>
      </c>
      <c r="E47" s="41" t="s">
        <v>251</v>
      </c>
      <c r="F47" s="40" t="str">
        <f t="shared" si="1"/>
        <v>WRONG</v>
      </c>
      <c r="G47" s="40" t="s">
        <v>36</v>
      </c>
      <c r="H47" s="55" t="s">
        <v>48</v>
      </c>
      <c r="I47" s="54" t="s">
        <v>390</v>
      </c>
      <c r="J47" s="56">
        <v>50258.0</v>
      </c>
    </row>
    <row r="48" ht="60.0" customHeight="1">
      <c r="A48" s="40">
        <v>45.0</v>
      </c>
      <c r="B48" s="41" t="s">
        <v>253</v>
      </c>
      <c r="C48" s="41" t="s">
        <v>254</v>
      </c>
      <c r="D48" s="41" t="s">
        <v>255</v>
      </c>
      <c r="E48" s="41" t="s">
        <v>256</v>
      </c>
      <c r="F48" s="40" t="str">
        <f t="shared" si="1"/>
        <v>CORRECT</v>
      </c>
      <c r="G48" s="40" t="s">
        <v>36</v>
      </c>
      <c r="H48" s="56" t="s">
        <v>36</v>
      </c>
      <c r="I48" s="54" t="s">
        <v>391</v>
      </c>
      <c r="J48" s="56">
        <v>41958.0</v>
      </c>
    </row>
    <row r="49" ht="60.0" customHeight="1">
      <c r="A49" s="40">
        <v>46.0</v>
      </c>
      <c r="B49" s="41" t="s">
        <v>258</v>
      </c>
      <c r="C49" s="41" t="s">
        <v>39</v>
      </c>
      <c r="D49" s="41" t="s">
        <v>259</v>
      </c>
      <c r="E49" s="41" t="s">
        <v>260</v>
      </c>
      <c r="F49" s="40" t="str">
        <f t="shared" si="1"/>
        <v>CORRECT</v>
      </c>
      <c r="G49" s="40" t="s">
        <v>36</v>
      </c>
      <c r="H49" s="56" t="s">
        <v>36</v>
      </c>
      <c r="I49" s="54" t="s">
        <v>392</v>
      </c>
      <c r="J49" s="56">
        <v>22332.0</v>
      </c>
    </row>
    <row r="50">
      <c r="A50" s="45" t="s">
        <v>262</v>
      </c>
      <c r="B50" s="2"/>
      <c r="C50" s="2"/>
      <c r="D50" s="2"/>
      <c r="E50" s="3"/>
      <c r="F50" s="46">
        <f>COUNTIFS(F4:F49,"CORRECT")</f>
        <v>24</v>
      </c>
      <c r="G50" s="47"/>
      <c r="H50" s="47"/>
      <c r="J50" s="48">
        <f>AVERAGE(J4:J49)</f>
        <v>34594.36957</v>
      </c>
    </row>
    <row r="51">
      <c r="A51" s="49" t="s">
        <v>263</v>
      </c>
      <c r="B51" s="2"/>
      <c r="C51" s="2"/>
      <c r="D51" s="2"/>
      <c r="E51" s="3"/>
      <c r="F51" s="50">
        <v>46.0</v>
      </c>
      <c r="G51" s="47"/>
      <c r="H51" s="47"/>
    </row>
    <row r="52">
      <c r="A52" s="45" t="s">
        <v>264</v>
      </c>
      <c r="B52" s="2"/>
      <c r="C52" s="2"/>
      <c r="D52" s="2"/>
      <c r="E52" s="3"/>
      <c r="F52" s="51">
        <f>F50/F51</f>
        <v>0.5217391304</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393</v>
      </c>
      <c r="C2" s="2"/>
      <c r="D2" s="2"/>
      <c r="E2" s="2"/>
      <c r="F2" s="2"/>
      <c r="G2" s="2"/>
      <c r="H2" s="3"/>
      <c r="I2" s="38" t="s">
        <v>394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54" t="s">
        <v>267</v>
      </c>
      <c r="J4" s="56">
        <v>29764.0</v>
      </c>
    </row>
    <row r="5" ht="60.0" customHeight="1">
      <c r="A5" s="40">
        <v>2.0</v>
      </c>
      <c r="B5" s="41" t="s">
        <v>38</v>
      </c>
      <c r="C5" s="41" t="s">
        <v>39</v>
      </c>
      <c r="D5" s="41" t="s">
        <v>40</v>
      </c>
      <c r="E5" s="41" t="s">
        <v>41</v>
      </c>
      <c r="F5" s="40" t="str">
        <f t="shared" si="1"/>
        <v>CORRECT</v>
      </c>
      <c r="G5" s="40" t="s">
        <v>42</v>
      </c>
      <c r="H5" s="55" t="s">
        <v>42</v>
      </c>
      <c r="I5" s="54" t="s">
        <v>268</v>
      </c>
      <c r="J5" s="56">
        <v>37750.0</v>
      </c>
    </row>
    <row r="6" ht="60.0" customHeight="1">
      <c r="A6" s="40">
        <v>3.0</v>
      </c>
      <c r="B6" s="41" t="s">
        <v>44</v>
      </c>
      <c r="C6" s="41" t="s">
        <v>45</v>
      </c>
      <c r="D6" s="41" t="s">
        <v>46</v>
      </c>
      <c r="E6" s="41" t="s">
        <v>47</v>
      </c>
      <c r="F6" s="40" t="str">
        <f t="shared" si="1"/>
        <v>CORRECT</v>
      </c>
      <c r="G6" s="40" t="s">
        <v>48</v>
      </c>
      <c r="H6" s="56" t="s">
        <v>48</v>
      </c>
      <c r="I6" s="54" t="s">
        <v>49</v>
      </c>
      <c r="J6" s="56">
        <v>33490.0</v>
      </c>
    </row>
    <row r="7" ht="60.0" customHeight="1">
      <c r="A7" s="40">
        <v>4.0</v>
      </c>
      <c r="B7" s="41" t="s">
        <v>50</v>
      </c>
      <c r="C7" s="41" t="s">
        <v>51</v>
      </c>
      <c r="D7" s="41" t="s">
        <v>52</v>
      </c>
      <c r="E7" s="41" t="s">
        <v>53</v>
      </c>
      <c r="F7" s="40" t="str">
        <f t="shared" si="1"/>
        <v>CORRECT</v>
      </c>
      <c r="G7" s="40" t="s">
        <v>42</v>
      </c>
      <c r="H7" s="56" t="s">
        <v>42</v>
      </c>
      <c r="I7" s="54" t="s">
        <v>269</v>
      </c>
      <c r="J7" s="56">
        <v>23033.0</v>
      </c>
    </row>
    <row r="8" ht="60.0" customHeight="1">
      <c r="A8" s="40">
        <v>5.0</v>
      </c>
      <c r="B8" s="41" t="s">
        <v>55</v>
      </c>
      <c r="C8" s="41" t="s">
        <v>56</v>
      </c>
      <c r="D8" s="41" t="s">
        <v>57</v>
      </c>
      <c r="E8" s="41" t="s">
        <v>58</v>
      </c>
      <c r="F8" s="40" t="str">
        <f t="shared" si="1"/>
        <v>CORRECT</v>
      </c>
      <c r="G8" s="40" t="s">
        <v>48</v>
      </c>
      <c r="H8" s="55" t="s">
        <v>48</v>
      </c>
      <c r="I8" s="54" t="s">
        <v>59</v>
      </c>
      <c r="J8" s="56">
        <v>46945.0</v>
      </c>
    </row>
    <row r="9" ht="60.0" customHeight="1">
      <c r="A9" s="40">
        <v>6.0</v>
      </c>
      <c r="B9" s="41" t="s">
        <v>60</v>
      </c>
      <c r="C9" s="41" t="s">
        <v>61</v>
      </c>
      <c r="D9" s="41" t="s">
        <v>62</v>
      </c>
      <c r="E9" s="41" t="s">
        <v>63</v>
      </c>
      <c r="F9" s="40" t="str">
        <f t="shared" si="1"/>
        <v>CORRECT</v>
      </c>
      <c r="G9" s="40" t="s">
        <v>42</v>
      </c>
      <c r="H9" s="56" t="s">
        <v>42</v>
      </c>
      <c r="I9" s="54" t="s">
        <v>270</v>
      </c>
      <c r="J9" s="56">
        <v>37760.0</v>
      </c>
    </row>
    <row r="10" ht="60.0" customHeight="1">
      <c r="A10" s="40">
        <v>7.0</v>
      </c>
      <c r="B10" s="41" t="s">
        <v>65</v>
      </c>
      <c r="C10" s="41" t="s">
        <v>66</v>
      </c>
      <c r="D10" s="41" t="s">
        <v>67</v>
      </c>
      <c r="E10" s="41" t="s">
        <v>68</v>
      </c>
      <c r="F10" s="40" t="str">
        <f t="shared" si="1"/>
        <v>WRONG</v>
      </c>
      <c r="G10" s="40" t="s">
        <v>42</v>
      </c>
      <c r="H10" s="56" t="s">
        <v>36</v>
      </c>
      <c r="I10" s="54" t="s">
        <v>271</v>
      </c>
      <c r="J10" s="56">
        <v>38886.0</v>
      </c>
    </row>
    <row r="11" ht="60.0" customHeight="1">
      <c r="A11" s="40">
        <v>8.0</v>
      </c>
      <c r="B11" s="41" t="s">
        <v>70</v>
      </c>
      <c r="C11" s="41" t="s">
        <v>71</v>
      </c>
      <c r="D11" s="41" t="s">
        <v>72</v>
      </c>
      <c r="E11" s="41" t="s">
        <v>73</v>
      </c>
      <c r="F11" s="40" t="str">
        <f t="shared" si="1"/>
        <v>CORRECT</v>
      </c>
      <c r="G11" s="40" t="s">
        <v>48</v>
      </c>
      <c r="H11" s="56" t="s">
        <v>48</v>
      </c>
      <c r="I11" s="54" t="s">
        <v>74</v>
      </c>
      <c r="J11" s="56">
        <v>36726.0</v>
      </c>
    </row>
    <row r="12" ht="60.0" customHeight="1">
      <c r="A12" s="40">
        <v>9.0</v>
      </c>
      <c r="B12" s="41" t="s">
        <v>75</v>
      </c>
      <c r="C12" s="41" t="s">
        <v>76</v>
      </c>
      <c r="D12" s="41" t="s">
        <v>77</v>
      </c>
      <c r="E12" s="41" t="s">
        <v>78</v>
      </c>
      <c r="F12" s="40" t="str">
        <f t="shared" si="1"/>
        <v>WRONG</v>
      </c>
      <c r="G12" s="40" t="s">
        <v>42</v>
      </c>
      <c r="H12" s="55" t="s">
        <v>48</v>
      </c>
      <c r="I12" s="54" t="s">
        <v>79</v>
      </c>
      <c r="J12" s="56">
        <v>35193.0</v>
      </c>
    </row>
    <row r="13" ht="60.0" customHeight="1">
      <c r="A13" s="40">
        <v>10.0</v>
      </c>
      <c r="B13" s="41" t="s">
        <v>80</v>
      </c>
      <c r="C13" s="41" t="s">
        <v>81</v>
      </c>
      <c r="D13" s="41" t="s">
        <v>82</v>
      </c>
      <c r="E13" s="41" t="s">
        <v>83</v>
      </c>
      <c r="F13" s="40" t="str">
        <f t="shared" si="1"/>
        <v>CORRECT</v>
      </c>
      <c r="G13" s="40" t="s">
        <v>48</v>
      </c>
      <c r="H13" s="56" t="s">
        <v>48</v>
      </c>
      <c r="I13" s="54" t="s">
        <v>395</v>
      </c>
      <c r="J13" s="56">
        <v>33894.0</v>
      </c>
    </row>
    <row r="14" ht="60.0" customHeight="1">
      <c r="A14" s="40">
        <v>11.0</v>
      </c>
      <c r="B14" s="41" t="s">
        <v>85</v>
      </c>
      <c r="C14" s="41" t="s">
        <v>86</v>
      </c>
      <c r="D14" s="41" t="s">
        <v>87</v>
      </c>
      <c r="E14" s="41" t="s">
        <v>88</v>
      </c>
      <c r="F14" s="40" t="str">
        <f t="shared" si="1"/>
        <v>WRONG</v>
      </c>
      <c r="G14" s="40" t="s">
        <v>42</v>
      </c>
      <c r="H14" s="55" t="s">
        <v>48</v>
      </c>
      <c r="I14" s="54" t="s">
        <v>273</v>
      </c>
      <c r="J14" s="56">
        <v>42861.0</v>
      </c>
    </row>
    <row r="15" ht="60.0" customHeight="1">
      <c r="A15" s="40">
        <v>12.0</v>
      </c>
      <c r="B15" s="41" t="s">
        <v>90</v>
      </c>
      <c r="C15" s="41" t="s">
        <v>91</v>
      </c>
      <c r="D15" s="41" t="s">
        <v>92</v>
      </c>
      <c r="E15" s="41" t="s">
        <v>93</v>
      </c>
      <c r="F15" s="40" t="str">
        <f t="shared" si="1"/>
        <v>CORRECT</v>
      </c>
      <c r="G15" s="40" t="s">
        <v>48</v>
      </c>
      <c r="H15" s="55" t="s">
        <v>48</v>
      </c>
      <c r="I15" s="54" t="s">
        <v>396</v>
      </c>
      <c r="J15" s="56">
        <v>44142.0</v>
      </c>
    </row>
    <row r="16" ht="60.0" customHeight="1">
      <c r="A16" s="40">
        <v>13.0</v>
      </c>
      <c r="B16" s="41" t="s">
        <v>95</v>
      </c>
      <c r="C16" s="41" t="s">
        <v>96</v>
      </c>
      <c r="D16" s="41" t="s">
        <v>97</v>
      </c>
      <c r="E16" s="41" t="s">
        <v>98</v>
      </c>
      <c r="F16" s="40" t="str">
        <f t="shared" si="1"/>
        <v>CORRECT</v>
      </c>
      <c r="G16" s="40" t="s">
        <v>36</v>
      </c>
      <c r="H16" s="56" t="s">
        <v>36</v>
      </c>
      <c r="I16" s="54" t="s">
        <v>99</v>
      </c>
      <c r="J16" s="56">
        <v>23705.0</v>
      </c>
    </row>
    <row r="17" ht="60.0" customHeight="1">
      <c r="A17" s="40">
        <v>14.0</v>
      </c>
      <c r="B17" s="41" t="s">
        <v>100</v>
      </c>
      <c r="C17" s="41" t="s">
        <v>101</v>
      </c>
      <c r="D17" s="41" t="s">
        <v>102</v>
      </c>
      <c r="E17" s="41" t="s">
        <v>103</v>
      </c>
      <c r="F17" s="40" t="str">
        <f t="shared" si="1"/>
        <v>WRONG</v>
      </c>
      <c r="G17" s="40" t="s">
        <v>36</v>
      </c>
      <c r="H17" s="55" t="s">
        <v>48</v>
      </c>
      <c r="I17" s="54" t="s">
        <v>104</v>
      </c>
      <c r="J17" s="56">
        <v>39023.0</v>
      </c>
    </row>
    <row r="18" ht="60.0" customHeight="1">
      <c r="A18" s="40">
        <v>15.0</v>
      </c>
      <c r="B18" s="41" t="s">
        <v>105</v>
      </c>
      <c r="C18" s="41" t="s">
        <v>106</v>
      </c>
      <c r="D18" s="41" t="s">
        <v>107</v>
      </c>
      <c r="E18" s="41" t="s">
        <v>108</v>
      </c>
      <c r="F18" s="40" t="str">
        <f t="shared" si="1"/>
        <v>CORRECT</v>
      </c>
      <c r="G18" s="40" t="s">
        <v>48</v>
      </c>
      <c r="H18" s="56" t="s">
        <v>48</v>
      </c>
      <c r="I18" s="54" t="s">
        <v>109</v>
      </c>
      <c r="J18" s="56">
        <v>39921.0</v>
      </c>
    </row>
    <row r="19" ht="60.0" customHeight="1">
      <c r="A19" s="40">
        <v>16.0</v>
      </c>
      <c r="B19" s="41" t="s">
        <v>110</v>
      </c>
      <c r="C19" s="41" t="s">
        <v>111</v>
      </c>
      <c r="D19" s="41" t="s">
        <v>112</v>
      </c>
      <c r="E19" s="41" t="s">
        <v>113</v>
      </c>
      <c r="F19" s="40" t="str">
        <f t="shared" si="1"/>
        <v>WRONG</v>
      </c>
      <c r="G19" s="40" t="s">
        <v>48</v>
      </c>
      <c r="H19" s="55" t="s">
        <v>36</v>
      </c>
      <c r="I19" s="54" t="s">
        <v>114</v>
      </c>
      <c r="J19" s="56">
        <v>37033.0</v>
      </c>
    </row>
    <row r="20" ht="60.0" customHeight="1">
      <c r="A20" s="40">
        <v>17.0</v>
      </c>
      <c r="B20" s="41" t="s">
        <v>115</v>
      </c>
      <c r="C20" s="41" t="s">
        <v>116</v>
      </c>
      <c r="D20" s="41" t="s">
        <v>117</v>
      </c>
      <c r="E20" s="41" t="s">
        <v>118</v>
      </c>
      <c r="F20" s="40" t="str">
        <f t="shared" si="1"/>
        <v>WRONG</v>
      </c>
      <c r="G20" s="40" t="s">
        <v>42</v>
      </c>
      <c r="H20" s="56" t="s">
        <v>36</v>
      </c>
      <c r="I20" s="54" t="s">
        <v>119</v>
      </c>
      <c r="J20" s="56">
        <v>28383.0</v>
      </c>
    </row>
    <row r="21" ht="60.0" customHeight="1">
      <c r="A21" s="40">
        <v>18.0</v>
      </c>
      <c r="B21" s="41" t="s">
        <v>120</v>
      </c>
      <c r="C21" s="41" t="s">
        <v>121</v>
      </c>
      <c r="D21" s="41" t="s">
        <v>122</v>
      </c>
      <c r="E21" s="41" t="s">
        <v>123</v>
      </c>
      <c r="F21" s="40" t="str">
        <f t="shared" si="1"/>
        <v>CORRECT</v>
      </c>
      <c r="G21" s="40" t="s">
        <v>42</v>
      </c>
      <c r="H21" s="56" t="s">
        <v>42</v>
      </c>
      <c r="I21" s="54" t="s">
        <v>124</v>
      </c>
      <c r="J21" s="56">
        <v>23985.0</v>
      </c>
    </row>
    <row r="22" ht="60.0" customHeight="1">
      <c r="A22" s="40">
        <v>19.0</v>
      </c>
      <c r="B22" s="41" t="s">
        <v>125</v>
      </c>
      <c r="C22" s="41" t="s">
        <v>126</v>
      </c>
      <c r="D22" s="41" t="s">
        <v>127</v>
      </c>
      <c r="E22" s="41" t="s">
        <v>128</v>
      </c>
      <c r="F22" s="40" t="str">
        <f t="shared" si="1"/>
        <v>WRONG</v>
      </c>
      <c r="G22" s="40" t="s">
        <v>36</v>
      </c>
      <c r="H22" s="55" t="s">
        <v>48</v>
      </c>
      <c r="I22" s="54" t="s">
        <v>275</v>
      </c>
      <c r="J22" s="56">
        <v>35040.0</v>
      </c>
    </row>
    <row r="23" ht="60.0" customHeight="1">
      <c r="A23" s="40">
        <v>20.0</v>
      </c>
      <c r="B23" s="41" t="s">
        <v>130</v>
      </c>
      <c r="C23" s="41" t="s">
        <v>131</v>
      </c>
      <c r="D23" s="41" t="s">
        <v>132</v>
      </c>
      <c r="E23" s="41" t="s">
        <v>133</v>
      </c>
      <c r="F23" s="40" t="str">
        <f t="shared" si="1"/>
        <v>WRONG</v>
      </c>
      <c r="G23" s="40" t="s">
        <v>42</v>
      </c>
      <c r="H23" s="56" t="s">
        <v>36</v>
      </c>
      <c r="I23" s="54" t="s">
        <v>134</v>
      </c>
      <c r="J23" s="56">
        <v>31508.0</v>
      </c>
    </row>
    <row r="24" ht="60.0" customHeight="1">
      <c r="A24" s="40">
        <v>21.0</v>
      </c>
      <c r="B24" s="41" t="s">
        <v>135</v>
      </c>
      <c r="C24" s="41" t="s">
        <v>136</v>
      </c>
      <c r="D24" s="41" t="s">
        <v>137</v>
      </c>
      <c r="E24" s="41" t="s">
        <v>138</v>
      </c>
      <c r="F24" s="40" t="str">
        <f t="shared" si="1"/>
        <v>WRONG</v>
      </c>
      <c r="G24" s="40" t="s">
        <v>42</v>
      </c>
      <c r="H24" s="56" t="s">
        <v>36</v>
      </c>
      <c r="I24" s="54" t="s">
        <v>139</v>
      </c>
      <c r="J24" s="56">
        <v>22718.0</v>
      </c>
    </row>
    <row r="25" ht="60.0" customHeight="1">
      <c r="A25" s="40">
        <v>22.0</v>
      </c>
      <c r="B25" s="41" t="s">
        <v>140</v>
      </c>
      <c r="C25" s="41" t="s">
        <v>141</v>
      </c>
      <c r="D25" s="41" t="s">
        <v>142</v>
      </c>
      <c r="E25" s="41" t="s">
        <v>143</v>
      </c>
      <c r="F25" s="40" t="str">
        <f t="shared" si="1"/>
        <v>CORRECT</v>
      </c>
      <c r="G25" s="40" t="s">
        <v>42</v>
      </c>
      <c r="H25" s="56" t="s">
        <v>42</v>
      </c>
      <c r="I25" s="54" t="s">
        <v>144</v>
      </c>
      <c r="J25" s="56">
        <v>20318.0</v>
      </c>
    </row>
    <row r="26" ht="60.0" customHeight="1">
      <c r="A26" s="40">
        <v>23.0</v>
      </c>
      <c r="B26" s="41" t="s">
        <v>145</v>
      </c>
      <c r="C26" s="41" t="s">
        <v>146</v>
      </c>
      <c r="D26" s="41" t="s">
        <v>147</v>
      </c>
      <c r="E26" s="41" t="s">
        <v>148</v>
      </c>
      <c r="F26" s="40" t="str">
        <f t="shared" si="1"/>
        <v>CORRECT</v>
      </c>
      <c r="G26" s="40" t="s">
        <v>48</v>
      </c>
      <c r="H26" s="56" t="s">
        <v>48</v>
      </c>
      <c r="I26" s="54" t="s">
        <v>149</v>
      </c>
      <c r="J26" s="56">
        <v>28487.0</v>
      </c>
    </row>
    <row r="27" ht="60.0" customHeight="1">
      <c r="A27" s="40">
        <v>24.0</v>
      </c>
      <c r="B27" s="41" t="s">
        <v>150</v>
      </c>
      <c r="C27" s="41" t="s">
        <v>151</v>
      </c>
      <c r="D27" s="41" t="s">
        <v>152</v>
      </c>
      <c r="E27" s="41" t="s">
        <v>153</v>
      </c>
      <c r="F27" s="40" t="str">
        <f t="shared" si="1"/>
        <v>CORRECT</v>
      </c>
      <c r="G27" s="40" t="s">
        <v>36</v>
      </c>
      <c r="H27" s="56" t="s">
        <v>36</v>
      </c>
      <c r="I27" s="54" t="s">
        <v>154</v>
      </c>
      <c r="J27" s="56">
        <v>30337.0</v>
      </c>
    </row>
    <row r="28" ht="60.0" customHeight="1">
      <c r="A28" s="40">
        <v>25.0</v>
      </c>
      <c r="B28" s="41" t="s">
        <v>155</v>
      </c>
      <c r="C28" s="41" t="s">
        <v>151</v>
      </c>
      <c r="D28" s="41" t="s">
        <v>156</v>
      </c>
      <c r="E28" s="41" t="s">
        <v>153</v>
      </c>
      <c r="F28" s="40" t="str">
        <f t="shared" si="1"/>
        <v>WRONG</v>
      </c>
      <c r="G28" s="40" t="s">
        <v>48</v>
      </c>
      <c r="H28" s="55" t="s">
        <v>42</v>
      </c>
      <c r="I28" s="54" t="s">
        <v>157</v>
      </c>
      <c r="J28" s="56">
        <v>34583.0</v>
      </c>
    </row>
    <row r="29" ht="60.0" customHeight="1">
      <c r="A29" s="40">
        <v>26.0</v>
      </c>
      <c r="B29" s="41" t="s">
        <v>158</v>
      </c>
      <c r="C29" s="41" t="s">
        <v>159</v>
      </c>
      <c r="D29" s="41" t="s">
        <v>160</v>
      </c>
      <c r="E29" s="41" t="s">
        <v>161</v>
      </c>
      <c r="F29" s="40" t="str">
        <f t="shared" si="1"/>
        <v>WRONG</v>
      </c>
      <c r="G29" s="40" t="s">
        <v>36</v>
      </c>
      <c r="H29" s="55" t="s">
        <v>48</v>
      </c>
      <c r="I29" s="54" t="s">
        <v>162</v>
      </c>
      <c r="J29" s="56">
        <v>23324.0</v>
      </c>
    </row>
    <row r="30" ht="60.0" customHeight="1">
      <c r="A30" s="40">
        <v>27.0</v>
      </c>
      <c r="B30" s="41" t="s">
        <v>163</v>
      </c>
      <c r="C30" s="41" t="s">
        <v>164</v>
      </c>
      <c r="D30" s="41" t="s">
        <v>165</v>
      </c>
      <c r="E30" s="41" t="s">
        <v>166</v>
      </c>
      <c r="F30" s="40" t="str">
        <f t="shared" si="1"/>
        <v>CORRECT</v>
      </c>
      <c r="G30" s="40" t="s">
        <v>42</v>
      </c>
      <c r="H30" s="55" t="s">
        <v>42</v>
      </c>
      <c r="I30" s="54" t="s">
        <v>167</v>
      </c>
      <c r="J30" s="56">
        <v>43034.0</v>
      </c>
    </row>
    <row r="31" ht="60.0" customHeight="1">
      <c r="A31" s="40">
        <v>28.0</v>
      </c>
      <c r="B31" s="41" t="s">
        <v>168</v>
      </c>
      <c r="C31" s="41" t="s">
        <v>169</v>
      </c>
      <c r="D31" s="41" t="s">
        <v>170</v>
      </c>
      <c r="E31" s="41" t="s">
        <v>171</v>
      </c>
      <c r="F31" s="40" t="str">
        <f t="shared" si="1"/>
        <v>WRONG</v>
      </c>
      <c r="G31" s="40" t="s">
        <v>36</v>
      </c>
      <c r="H31" s="55" t="s">
        <v>48</v>
      </c>
      <c r="I31" s="54" t="s">
        <v>172</v>
      </c>
      <c r="J31" s="56">
        <v>28795.0</v>
      </c>
    </row>
    <row r="32" ht="60.0" customHeight="1">
      <c r="A32" s="40">
        <v>29.0</v>
      </c>
      <c r="B32" s="41" t="s">
        <v>173</v>
      </c>
      <c r="C32" s="41" t="s">
        <v>174</v>
      </c>
      <c r="D32" s="41" t="s">
        <v>175</v>
      </c>
      <c r="E32" s="41" t="s">
        <v>176</v>
      </c>
      <c r="F32" s="40" t="str">
        <f t="shared" si="1"/>
        <v>CORRECT</v>
      </c>
      <c r="G32" s="40" t="s">
        <v>42</v>
      </c>
      <c r="H32" s="56" t="s">
        <v>42</v>
      </c>
      <c r="I32" s="54" t="s">
        <v>177</v>
      </c>
      <c r="J32" s="56">
        <v>40366.0</v>
      </c>
    </row>
    <row r="33" ht="60.0" customHeight="1">
      <c r="A33" s="40">
        <v>30.0</v>
      </c>
      <c r="B33" s="41" t="s">
        <v>178</v>
      </c>
      <c r="C33" s="41" t="s">
        <v>179</v>
      </c>
      <c r="D33" s="41" t="s">
        <v>180</v>
      </c>
      <c r="E33" s="41" t="s">
        <v>181</v>
      </c>
      <c r="F33" s="40" t="str">
        <f t="shared" si="1"/>
        <v>WRONG</v>
      </c>
      <c r="G33" s="40" t="s">
        <v>48</v>
      </c>
      <c r="H33" s="56" t="s">
        <v>36</v>
      </c>
      <c r="I33" s="54" t="s">
        <v>182</v>
      </c>
      <c r="J33" s="56">
        <v>34963.0</v>
      </c>
    </row>
    <row r="34" ht="60.0" customHeight="1">
      <c r="A34" s="40">
        <v>31.0</v>
      </c>
      <c r="B34" s="41" t="s">
        <v>183</v>
      </c>
      <c r="C34" s="41" t="s">
        <v>184</v>
      </c>
      <c r="D34" s="41" t="s">
        <v>185</v>
      </c>
      <c r="E34" s="41" t="s">
        <v>186</v>
      </c>
      <c r="F34" s="40" t="str">
        <f t="shared" si="1"/>
        <v>WRONG</v>
      </c>
      <c r="G34" s="40" t="s">
        <v>42</v>
      </c>
      <c r="H34" s="56" t="s">
        <v>36</v>
      </c>
      <c r="I34" s="54" t="s">
        <v>187</v>
      </c>
      <c r="J34" s="56">
        <v>33800.0</v>
      </c>
    </row>
    <row r="35" ht="60.0" customHeight="1">
      <c r="A35" s="40">
        <v>32.0</v>
      </c>
      <c r="B35" s="41" t="s">
        <v>188</v>
      </c>
      <c r="C35" s="41" t="s">
        <v>189</v>
      </c>
      <c r="D35" s="41" t="s">
        <v>190</v>
      </c>
      <c r="E35" s="41" t="s">
        <v>191</v>
      </c>
      <c r="F35" s="40" t="str">
        <f t="shared" si="1"/>
        <v>CORRECT</v>
      </c>
      <c r="G35" s="40" t="s">
        <v>36</v>
      </c>
      <c r="H35" s="55" t="s">
        <v>36</v>
      </c>
      <c r="I35" s="54" t="s">
        <v>192</v>
      </c>
      <c r="J35" s="56">
        <v>42239.0</v>
      </c>
    </row>
    <row r="36" ht="60.0" customHeight="1">
      <c r="A36" s="40">
        <v>33.0</v>
      </c>
      <c r="B36" s="41" t="s">
        <v>193</v>
      </c>
      <c r="C36" s="41" t="s">
        <v>194</v>
      </c>
      <c r="D36" s="41" t="s">
        <v>195</v>
      </c>
      <c r="E36" s="41" t="s">
        <v>196</v>
      </c>
      <c r="F36" s="40" t="str">
        <f t="shared" si="1"/>
        <v>CORRECT</v>
      </c>
      <c r="G36" s="40" t="s">
        <v>48</v>
      </c>
      <c r="H36" s="55" t="s">
        <v>48</v>
      </c>
      <c r="I36" s="54" t="s">
        <v>197</v>
      </c>
      <c r="J36" s="56">
        <v>36364.0</v>
      </c>
    </row>
    <row r="37" ht="60.0" customHeight="1">
      <c r="A37" s="40">
        <v>34.0</v>
      </c>
      <c r="B37" s="41" t="s">
        <v>198</v>
      </c>
      <c r="C37" s="41" t="s">
        <v>199</v>
      </c>
      <c r="D37" s="41" t="s">
        <v>200</v>
      </c>
      <c r="E37" s="41" t="s">
        <v>201</v>
      </c>
      <c r="F37" s="40" t="str">
        <f t="shared" si="1"/>
        <v>CORRECT</v>
      </c>
      <c r="G37" s="40" t="s">
        <v>36</v>
      </c>
      <c r="H37" s="56" t="s">
        <v>36</v>
      </c>
      <c r="I37" s="54" t="s">
        <v>202</v>
      </c>
      <c r="J37" s="56">
        <v>23401.0</v>
      </c>
    </row>
    <row r="38" ht="60.0" customHeight="1">
      <c r="A38" s="40">
        <v>35.0</v>
      </c>
      <c r="B38" s="41" t="s">
        <v>203</v>
      </c>
      <c r="C38" s="41" t="s">
        <v>204</v>
      </c>
      <c r="D38" s="41" t="s">
        <v>205</v>
      </c>
      <c r="E38" s="41" t="s">
        <v>206</v>
      </c>
      <c r="F38" s="40" t="str">
        <f t="shared" si="1"/>
        <v>CORRECT</v>
      </c>
      <c r="G38" s="40" t="s">
        <v>48</v>
      </c>
      <c r="H38" s="56" t="s">
        <v>48</v>
      </c>
      <c r="I38" s="54" t="s">
        <v>207</v>
      </c>
      <c r="J38" s="56">
        <v>28594.0</v>
      </c>
    </row>
    <row r="39" ht="60.0" customHeight="1">
      <c r="A39" s="40">
        <v>36.0</v>
      </c>
      <c r="B39" s="41" t="s">
        <v>208</v>
      </c>
      <c r="C39" s="41" t="s">
        <v>209</v>
      </c>
      <c r="D39" s="41" t="s">
        <v>210</v>
      </c>
      <c r="E39" s="41" t="s">
        <v>211</v>
      </c>
      <c r="F39" s="40" t="str">
        <f t="shared" si="1"/>
        <v>CORRECT</v>
      </c>
      <c r="G39" s="40" t="s">
        <v>36</v>
      </c>
      <c r="H39" s="56" t="s">
        <v>36</v>
      </c>
      <c r="I39" s="54" t="s">
        <v>212</v>
      </c>
      <c r="J39" s="56">
        <v>28317.0</v>
      </c>
    </row>
    <row r="40" ht="60.0" customHeight="1">
      <c r="A40" s="40">
        <v>37.0</v>
      </c>
      <c r="B40" s="41" t="s">
        <v>213</v>
      </c>
      <c r="C40" s="41" t="s">
        <v>214</v>
      </c>
      <c r="D40" s="41" t="s">
        <v>215</v>
      </c>
      <c r="E40" s="41" t="s">
        <v>216</v>
      </c>
      <c r="F40" s="40" t="str">
        <f t="shared" si="1"/>
        <v>WRONG</v>
      </c>
      <c r="G40" s="40" t="s">
        <v>36</v>
      </c>
      <c r="H40" s="56" t="s">
        <v>42</v>
      </c>
      <c r="I40" s="54" t="s">
        <v>217</v>
      </c>
      <c r="J40" s="56">
        <v>17702.0</v>
      </c>
    </row>
    <row r="41" ht="60.0" customHeight="1">
      <c r="A41" s="40">
        <v>38.0</v>
      </c>
      <c r="B41" s="41" t="s">
        <v>218</v>
      </c>
      <c r="C41" s="41" t="s">
        <v>219</v>
      </c>
      <c r="D41" s="41" t="s">
        <v>220</v>
      </c>
      <c r="E41" s="41" t="s">
        <v>221</v>
      </c>
      <c r="F41" s="40" t="str">
        <f t="shared" si="1"/>
        <v>CORRECT</v>
      </c>
      <c r="G41" s="40" t="s">
        <v>36</v>
      </c>
      <c r="H41" s="56" t="s">
        <v>36</v>
      </c>
      <c r="I41" s="54" t="s">
        <v>222</v>
      </c>
      <c r="J41" s="56">
        <v>29250.0</v>
      </c>
    </row>
    <row r="42" ht="60.0" customHeight="1">
      <c r="A42" s="40">
        <v>39.0</v>
      </c>
      <c r="B42" s="41" t="s">
        <v>223</v>
      </c>
      <c r="C42" s="41" t="s">
        <v>224</v>
      </c>
      <c r="D42" s="41" t="s">
        <v>225</v>
      </c>
      <c r="E42" s="41" t="s">
        <v>226</v>
      </c>
      <c r="F42" s="40" t="str">
        <f t="shared" si="1"/>
        <v>WRONG</v>
      </c>
      <c r="G42" s="40" t="s">
        <v>42</v>
      </c>
      <c r="H42" s="56" t="s">
        <v>48</v>
      </c>
      <c r="I42" s="54" t="s">
        <v>227</v>
      </c>
      <c r="J42" s="56">
        <v>22647.0</v>
      </c>
    </row>
    <row r="43" ht="60.0" customHeight="1">
      <c r="A43" s="40">
        <v>40.0</v>
      </c>
      <c r="B43" s="41" t="s">
        <v>228</v>
      </c>
      <c r="C43" s="41" t="s">
        <v>229</v>
      </c>
      <c r="D43" s="41" t="s">
        <v>230</v>
      </c>
      <c r="E43" s="41" t="s">
        <v>231</v>
      </c>
      <c r="F43" s="40" t="str">
        <f t="shared" si="1"/>
        <v>CORRECT</v>
      </c>
      <c r="G43" s="40" t="s">
        <v>48</v>
      </c>
      <c r="H43" s="56" t="s">
        <v>48</v>
      </c>
      <c r="I43" s="54" t="s">
        <v>232</v>
      </c>
      <c r="J43" s="56">
        <v>36394.0</v>
      </c>
    </row>
    <row r="44" ht="60.0" customHeight="1">
      <c r="A44" s="40">
        <v>41.0</v>
      </c>
      <c r="B44" s="41" t="s">
        <v>233</v>
      </c>
      <c r="C44" s="41" t="s">
        <v>234</v>
      </c>
      <c r="D44" s="41" t="s">
        <v>235</v>
      </c>
      <c r="E44" s="41" t="s">
        <v>236</v>
      </c>
      <c r="F44" s="40" t="str">
        <f t="shared" si="1"/>
        <v>CORRECT</v>
      </c>
      <c r="G44" s="40" t="s">
        <v>42</v>
      </c>
      <c r="H44" s="56" t="s">
        <v>42</v>
      </c>
      <c r="I44" s="54" t="s">
        <v>237</v>
      </c>
      <c r="J44" s="56">
        <v>19605.0</v>
      </c>
    </row>
    <row r="45" ht="60.0" customHeight="1">
      <c r="A45" s="40">
        <v>42.0</v>
      </c>
      <c r="B45" s="41" t="s">
        <v>238</v>
      </c>
      <c r="C45" s="41" t="s">
        <v>239</v>
      </c>
      <c r="D45" s="41" t="s">
        <v>240</v>
      </c>
      <c r="E45" s="41" t="s">
        <v>241</v>
      </c>
      <c r="F45" s="40" t="str">
        <f t="shared" si="1"/>
        <v>WRONG</v>
      </c>
      <c r="G45" s="40" t="s">
        <v>36</v>
      </c>
      <c r="H45" s="56" t="s">
        <v>42</v>
      </c>
      <c r="I45" s="54" t="s">
        <v>242</v>
      </c>
      <c r="J45" s="56">
        <v>36461.0</v>
      </c>
    </row>
    <row r="46" ht="60.0" customHeight="1">
      <c r="A46" s="40">
        <v>43.0</v>
      </c>
      <c r="B46" s="41" t="s">
        <v>243</v>
      </c>
      <c r="C46" s="41" t="s">
        <v>244</v>
      </c>
      <c r="D46" s="41" t="s">
        <v>245</v>
      </c>
      <c r="E46" s="41" t="s">
        <v>246</v>
      </c>
      <c r="F46" s="40" t="str">
        <f t="shared" si="1"/>
        <v>CORRECT</v>
      </c>
      <c r="G46" s="40" t="s">
        <v>48</v>
      </c>
      <c r="H46" s="56" t="s">
        <v>48</v>
      </c>
      <c r="I46" s="54" t="s">
        <v>247</v>
      </c>
      <c r="J46" s="56">
        <v>35746.0</v>
      </c>
    </row>
    <row r="47" ht="60.0" customHeight="1">
      <c r="A47" s="40">
        <v>44.0</v>
      </c>
      <c r="B47" s="41" t="s">
        <v>248</v>
      </c>
      <c r="C47" s="41" t="s">
        <v>249</v>
      </c>
      <c r="D47" s="41" t="s">
        <v>250</v>
      </c>
      <c r="E47" s="41" t="s">
        <v>251</v>
      </c>
      <c r="F47" s="40" t="str">
        <f t="shared" si="1"/>
        <v>CORRECT</v>
      </c>
      <c r="G47" s="40" t="s">
        <v>36</v>
      </c>
      <c r="H47" s="55" t="s">
        <v>36</v>
      </c>
      <c r="I47" s="54" t="s">
        <v>252</v>
      </c>
      <c r="J47" s="56">
        <v>27742.0</v>
      </c>
    </row>
    <row r="48" ht="60.0" customHeight="1">
      <c r="A48" s="40">
        <v>45.0</v>
      </c>
      <c r="B48" s="41" t="s">
        <v>253</v>
      </c>
      <c r="C48" s="41" t="s">
        <v>254</v>
      </c>
      <c r="D48" s="41" t="s">
        <v>255</v>
      </c>
      <c r="E48" s="41" t="s">
        <v>256</v>
      </c>
      <c r="F48" s="40" t="str">
        <f t="shared" si="1"/>
        <v>CORRECT</v>
      </c>
      <c r="G48" s="40" t="s">
        <v>36</v>
      </c>
      <c r="H48" s="56" t="s">
        <v>36</v>
      </c>
      <c r="I48" s="54" t="s">
        <v>397</v>
      </c>
      <c r="J48" s="56">
        <v>56791.0</v>
      </c>
    </row>
    <row r="49" ht="60.0" customHeight="1">
      <c r="A49" s="40">
        <v>46.0</v>
      </c>
      <c r="B49" s="41" t="s">
        <v>258</v>
      </c>
      <c r="C49" s="41" t="s">
        <v>39</v>
      </c>
      <c r="D49" s="41" t="s">
        <v>259</v>
      </c>
      <c r="E49" s="41" t="s">
        <v>260</v>
      </c>
      <c r="F49" s="40" t="str">
        <f t="shared" si="1"/>
        <v>CORRECT</v>
      </c>
      <c r="G49" s="40" t="s">
        <v>36</v>
      </c>
      <c r="H49" s="56" t="s">
        <v>36</v>
      </c>
      <c r="I49" s="54" t="s">
        <v>261</v>
      </c>
      <c r="J49" s="56">
        <v>25881.0</v>
      </c>
    </row>
    <row r="50">
      <c r="A50" s="45" t="s">
        <v>262</v>
      </c>
      <c r="B50" s="2"/>
      <c r="C50" s="2"/>
      <c r="D50" s="2"/>
      <c r="E50" s="3"/>
      <c r="F50" s="46">
        <f>COUNTIFS(F4:F49,"CORRECT")</f>
        <v>29</v>
      </c>
      <c r="G50" s="47"/>
      <c r="H50" s="47"/>
      <c r="J50" s="48">
        <f>AVERAGE(J4:J49)</f>
        <v>32758.71739</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398</v>
      </c>
      <c r="C2" s="2"/>
      <c r="D2" s="2"/>
      <c r="E2" s="2"/>
      <c r="F2" s="2"/>
      <c r="G2" s="2"/>
      <c r="H2" s="3"/>
      <c r="I2" s="38" t="s">
        <v>399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54" t="s">
        <v>400</v>
      </c>
      <c r="J4" s="56">
        <v>29451.0</v>
      </c>
    </row>
    <row r="5" ht="60.0" customHeight="1">
      <c r="A5" s="40">
        <v>2.0</v>
      </c>
      <c r="B5" s="41" t="s">
        <v>38</v>
      </c>
      <c r="C5" s="41" t="s">
        <v>39</v>
      </c>
      <c r="D5" s="41" t="s">
        <v>40</v>
      </c>
      <c r="E5" s="41" t="s">
        <v>41</v>
      </c>
      <c r="F5" s="40" t="str">
        <f t="shared" si="1"/>
        <v>CORRECT</v>
      </c>
      <c r="G5" s="40" t="s">
        <v>42</v>
      </c>
      <c r="H5" s="55" t="s">
        <v>42</v>
      </c>
      <c r="I5" s="54" t="s">
        <v>401</v>
      </c>
      <c r="J5" s="56">
        <v>32929.0</v>
      </c>
    </row>
    <row r="6" ht="60.0" customHeight="1">
      <c r="A6" s="40">
        <v>3.0</v>
      </c>
      <c r="B6" s="41" t="s">
        <v>44</v>
      </c>
      <c r="C6" s="41" t="s">
        <v>45</v>
      </c>
      <c r="D6" s="41" t="s">
        <v>46</v>
      </c>
      <c r="E6" s="41" t="s">
        <v>47</v>
      </c>
      <c r="F6" s="40" t="str">
        <f t="shared" si="1"/>
        <v>CORRECT</v>
      </c>
      <c r="G6" s="40" t="s">
        <v>48</v>
      </c>
      <c r="H6" s="56" t="s">
        <v>48</v>
      </c>
      <c r="I6" s="54" t="s">
        <v>402</v>
      </c>
      <c r="J6" s="56">
        <v>34713.0</v>
      </c>
    </row>
    <row r="7" ht="60.0" customHeight="1">
      <c r="A7" s="40">
        <v>4.0</v>
      </c>
      <c r="B7" s="41" t="s">
        <v>50</v>
      </c>
      <c r="C7" s="41" t="s">
        <v>51</v>
      </c>
      <c r="D7" s="41" t="s">
        <v>52</v>
      </c>
      <c r="E7" s="41" t="s">
        <v>53</v>
      </c>
      <c r="F7" s="40" t="str">
        <f t="shared" si="1"/>
        <v>CORRECT</v>
      </c>
      <c r="G7" s="40" t="s">
        <v>42</v>
      </c>
      <c r="H7" s="56" t="s">
        <v>42</v>
      </c>
      <c r="I7" s="54" t="s">
        <v>403</v>
      </c>
      <c r="J7" s="56">
        <v>25764.0</v>
      </c>
    </row>
    <row r="8" ht="60.0" customHeight="1">
      <c r="A8" s="40">
        <v>5.0</v>
      </c>
      <c r="B8" s="41" t="s">
        <v>55</v>
      </c>
      <c r="C8" s="41" t="s">
        <v>56</v>
      </c>
      <c r="D8" s="41" t="s">
        <v>57</v>
      </c>
      <c r="E8" s="41" t="s">
        <v>58</v>
      </c>
      <c r="F8" s="40" t="str">
        <f t="shared" si="1"/>
        <v>CORRECT</v>
      </c>
      <c r="G8" s="40" t="s">
        <v>48</v>
      </c>
      <c r="H8" s="55" t="s">
        <v>48</v>
      </c>
      <c r="I8" s="54" t="s">
        <v>404</v>
      </c>
      <c r="J8" s="56">
        <v>54935.0</v>
      </c>
    </row>
    <row r="9" ht="60.0" customHeight="1">
      <c r="A9" s="40">
        <v>6.0</v>
      </c>
      <c r="B9" s="41" t="s">
        <v>60</v>
      </c>
      <c r="C9" s="41" t="s">
        <v>61</v>
      </c>
      <c r="D9" s="41" t="s">
        <v>62</v>
      </c>
      <c r="E9" s="41" t="s">
        <v>63</v>
      </c>
      <c r="F9" s="40" t="str">
        <f t="shared" si="1"/>
        <v>CORRECT</v>
      </c>
      <c r="G9" s="40" t="s">
        <v>42</v>
      </c>
      <c r="H9" s="56" t="s">
        <v>42</v>
      </c>
      <c r="I9" s="54" t="s">
        <v>405</v>
      </c>
      <c r="J9" s="56">
        <v>31609.0</v>
      </c>
    </row>
    <row r="10" ht="60.0" customHeight="1">
      <c r="A10" s="40">
        <v>7.0</v>
      </c>
      <c r="B10" s="41" t="s">
        <v>65</v>
      </c>
      <c r="C10" s="41" t="s">
        <v>66</v>
      </c>
      <c r="D10" s="41" t="s">
        <v>67</v>
      </c>
      <c r="E10" s="41" t="s">
        <v>68</v>
      </c>
      <c r="F10" s="40" t="str">
        <f t="shared" si="1"/>
        <v>WRONG</v>
      </c>
      <c r="G10" s="40" t="s">
        <v>42</v>
      </c>
      <c r="H10" s="56" t="s">
        <v>36</v>
      </c>
      <c r="I10" s="54" t="s">
        <v>406</v>
      </c>
      <c r="J10" s="56">
        <v>44921.0</v>
      </c>
    </row>
    <row r="11" ht="60.0" customHeight="1">
      <c r="A11" s="40">
        <v>8.0</v>
      </c>
      <c r="B11" s="41" t="s">
        <v>70</v>
      </c>
      <c r="C11" s="41" t="s">
        <v>71</v>
      </c>
      <c r="D11" s="41" t="s">
        <v>72</v>
      </c>
      <c r="E11" s="41" t="s">
        <v>73</v>
      </c>
      <c r="F11" s="40" t="str">
        <f t="shared" si="1"/>
        <v>WRONG</v>
      </c>
      <c r="G11" s="40" t="s">
        <v>48</v>
      </c>
      <c r="H11" s="56" t="s">
        <v>42</v>
      </c>
      <c r="I11" s="54" t="s">
        <v>407</v>
      </c>
      <c r="J11" s="56">
        <v>27275.0</v>
      </c>
    </row>
    <row r="12" ht="60.0" customHeight="1">
      <c r="A12" s="40">
        <v>9.0</v>
      </c>
      <c r="B12" s="41" t="s">
        <v>75</v>
      </c>
      <c r="C12" s="41" t="s">
        <v>76</v>
      </c>
      <c r="D12" s="41" t="s">
        <v>77</v>
      </c>
      <c r="E12" s="41" t="s">
        <v>78</v>
      </c>
      <c r="F12" s="40" t="str">
        <f t="shared" si="1"/>
        <v>WRONG</v>
      </c>
      <c r="G12" s="40" t="s">
        <v>42</v>
      </c>
      <c r="H12" s="55" t="s">
        <v>48</v>
      </c>
      <c r="I12" s="54" t="s">
        <v>408</v>
      </c>
      <c r="J12" s="56">
        <v>23665.0</v>
      </c>
    </row>
    <row r="13" ht="60.0" customHeight="1">
      <c r="A13" s="40">
        <v>10.0</v>
      </c>
      <c r="B13" s="41" t="s">
        <v>80</v>
      </c>
      <c r="C13" s="41" t="s">
        <v>81</v>
      </c>
      <c r="D13" s="41" t="s">
        <v>82</v>
      </c>
      <c r="E13" s="41" t="s">
        <v>83</v>
      </c>
      <c r="F13" s="40" t="str">
        <f t="shared" si="1"/>
        <v>CORRECT</v>
      </c>
      <c r="G13" s="40" t="s">
        <v>48</v>
      </c>
      <c r="H13" s="56" t="s">
        <v>48</v>
      </c>
      <c r="I13" s="54" t="s">
        <v>409</v>
      </c>
      <c r="J13" s="56">
        <v>45050.0</v>
      </c>
    </row>
    <row r="14" ht="60.0" customHeight="1">
      <c r="A14" s="40">
        <v>11.0</v>
      </c>
      <c r="B14" s="41" t="s">
        <v>85</v>
      </c>
      <c r="C14" s="41" t="s">
        <v>86</v>
      </c>
      <c r="D14" s="41" t="s">
        <v>87</v>
      </c>
      <c r="E14" s="41" t="s">
        <v>88</v>
      </c>
      <c r="F14" s="40" t="str">
        <f t="shared" si="1"/>
        <v>WRONG</v>
      </c>
      <c r="G14" s="40" t="s">
        <v>42</v>
      </c>
      <c r="H14" s="55" t="s">
        <v>48</v>
      </c>
      <c r="I14" s="54" t="s">
        <v>410</v>
      </c>
      <c r="J14" s="56">
        <v>32869.0</v>
      </c>
    </row>
    <row r="15" ht="60.0" customHeight="1">
      <c r="A15" s="40">
        <v>12.0</v>
      </c>
      <c r="B15" s="41" t="s">
        <v>90</v>
      </c>
      <c r="C15" s="41" t="s">
        <v>91</v>
      </c>
      <c r="D15" s="41" t="s">
        <v>92</v>
      </c>
      <c r="E15" s="41" t="s">
        <v>93</v>
      </c>
      <c r="F15" s="40" t="str">
        <f t="shared" si="1"/>
        <v>CORRECT</v>
      </c>
      <c r="G15" s="40" t="s">
        <v>48</v>
      </c>
      <c r="H15" s="55" t="s">
        <v>48</v>
      </c>
      <c r="I15" s="54" t="s">
        <v>411</v>
      </c>
      <c r="J15" s="56">
        <v>41872.0</v>
      </c>
    </row>
    <row r="16" ht="60.0" customHeight="1">
      <c r="A16" s="40">
        <v>13.0</v>
      </c>
      <c r="B16" s="41" t="s">
        <v>95</v>
      </c>
      <c r="C16" s="41" t="s">
        <v>96</v>
      </c>
      <c r="D16" s="41" t="s">
        <v>97</v>
      </c>
      <c r="E16" s="41" t="s">
        <v>98</v>
      </c>
      <c r="F16" s="40" t="str">
        <f t="shared" si="1"/>
        <v>CORRECT</v>
      </c>
      <c r="G16" s="40" t="s">
        <v>36</v>
      </c>
      <c r="H16" s="56" t="s">
        <v>36</v>
      </c>
      <c r="I16" s="54" t="s">
        <v>412</v>
      </c>
      <c r="J16" s="56">
        <v>24566.0</v>
      </c>
    </row>
    <row r="17" ht="60.0" customHeight="1">
      <c r="A17" s="40">
        <v>14.0</v>
      </c>
      <c r="B17" s="41" t="s">
        <v>100</v>
      </c>
      <c r="C17" s="41" t="s">
        <v>101</v>
      </c>
      <c r="D17" s="41" t="s">
        <v>102</v>
      </c>
      <c r="E17" s="41" t="s">
        <v>103</v>
      </c>
      <c r="F17" s="40" t="str">
        <f t="shared" si="1"/>
        <v>WRONG</v>
      </c>
      <c r="G17" s="40" t="s">
        <v>36</v>
      </c>
      <c r="H17" s="55" t="s">
        <v>48</v>
      </c>
      <c r="I17" s="54" t="s">
        <v>413</v>
      </c>
      <c r="J17" s="56">
        <v>45458.0</v>
      </c>
    </row>
    <row r="18" ht="60.0" customHeight="1">
      <c r="A18" s="40">
        <v>15.0</v>
      </c>
      <c r="B18" s="41" t="s">
        <v>105</v>
      </c>
      <c r="C18" s="41" t="s">
        <v>106</v>
      </c>
      <c r="D18" s="41" t="s">
        <v>107</v>
      </c>
      <c r="E18" s="41" t="s">
        <v>108</v>
      </c>
      <c r="F18" s="40" t="str">
        <f t="shared" si="1"/>
        <v>CORRECT</v>
      </c>
      <c r="G18" s="40" t="s">
        <v>48</v>
      </c>
      <c r="H18" s="56" t="s">
        <v>48</v>
      </c>
      <c r="I18" s="54" t="s">
        <v>414</v>
      </c>
      <c r="J18" s="56">
        <v>36422.0</v>
      </c>
    </row>
    <row r="19" ht="60.0" customHeight="1">
      <c r="A19" s="40">
        <v>16.0</v>
      </c>
      <c r="B19" s="41" t="s">
        <v>110</v>
      </c>
      <c r="C19" s="41" t="s">
        <v>111</v>
      </c>
      <c r="D19" s="41" t="s">
        <v>112</v>
      </c>
      <c r="E19" s="41" t="s">
        <v>113</v>
      </c>
      <c r="F19" s="40" t="str">
        <f t="shared" si="1"/>
        <v>WRONG</v>
      </c>
      <c r="G19" s="40" t="s">
        <v>48</v>
      </c>
      <c r="H19" s="56" t="s">
        <v>36</v>
      </c>
      <c r="I19" s="54" t="s">
        <v>415</v>
      </c>
      <c r="J19" s="56">
        <v>28038.0</v>
      </c>
    </row>
    <row r="20" ht="60.0" customHeight="1">
      <c r="A20" s="40">
        <v>17.0</v>
      </c>
      <c r="B20" s="41" t="s">
        <v>115</v>
      </c>
      <c r="C20" s="41" t="s">
        <v>116</v>
      </c>
      <c r="D20" s="41" t="s">
        <v>117</v>
      </c>
      <c r="E20" s="41" t="s">
        <v>118</v>
      </c>
      <c r="F20" s="40" t="str">
        <f t="shared" si="1"/>
        <v>WRONG</v>
      </c>
      <c r="G20" s="40" t="s">
        <v>42</v>
      </c>
      <c r="H20" s="56" t="s">
        <v>36</v>
      </c>
      <c r="I20" s="54" t="s">
        <v>416</v>
      </c>
      <c r="J20" s="56">
        <v>27525.0</v>
      </c>
    </row>
    <row r="21" ht="60.0" customHeight="1">
      <c r="A21" s="40">
        <v>18.0</v>
      </c>
      <c r="B21" s="41" t="s">
        <v>120</v>
      </c>
      <c r="C21" s="41" t="s">
        <v>121</v>
      </c>
      <c r="D21" s="41" t="s">
        <v>122</v>
      </c>
      <c r="E21" s="41" t="s">
        <v>123</v>
      </c>
      <c r="F21" s="40" t="str">
        <f t="shared" si="1"/>
        <v>CORRECT</v>
      </c>
      <c r="G21" s="40" t="s">
        <v>42</v>
      </c>
      <c r="H21" s="56" t="s">
        <v>42</v>
      </c>
      <c r="I21" s="54" t="s">
        <v>417</v>
      </c>
      <c r="J21" s="56">
        <v>29812.0</v>
      </c>
    </row>
    <row r="22" ht="60.0" customHeight="1">
      <c r="A22" s="40">
        <v>19.0</v>
      </c>
      <c r="B22" s="41" t="s">
        <v>125</v>
      </c>
      <c r="C22" s="41" t="s">
        <v>126</v>
      </c>
      <c r="D22" s="41" t="s">
        <v>127</v>
      </c>
      <c r="E22" s="41" t="s">
        <v>128</v>
      </c>
      <c r="F22" s="40" t="str">
        <f t="shared" si="1"/>
        <v>WRONG</v>
      </c>
      <c r="G22" s="40" t="s">
        <v>36</v>
      </c>
      <c r="H22" s="55" t="s">
        <v>48</v>
      </c>
      <c r="I22" s="54" t="s">
        <v>418</v>
      </c>
      <c r="J22" s="56">
        <v>36245.0</v>
      </c>
    </row>
    <row r="23" ht="60.0" customHeight="1">
      <c r="A23" s="40">
        <v>20.0</v>
      </c>
      <c r="B23" s="41" t="s">
        <v>130</v>
      </c>
      <c r="C23" s="41" t="s">
        <v>131</v>
      </c>
      <c r="D23" s="41" t="s">
        <v>132</v>
      </c>
      <c r="E23" s="41" t="s">
        <v>133</v>
      </c>
      <c r="F23" s="40" t="str">
        <f t="shared" si="1"/>
        <v>WRONG</v>
      </c>
      <c r="G23" s="40" t="s">
        <v>42</v>
      </c>
      <c r="H23" s="56" t="s">
        <v>36</v>
      </c>
      <c r="I23" s="54" t="s">
        <v>419</v>
      </c>
      <c r="J23" s="56">
        <v>32810.0</v>
      </c>
    </row>
    <row r="24" ht="60.0" customHeight="1">
      <c r="A24" s="40">
        <v>21.0</v>
      </c>
      <c r="B24" s="41" t="s">
        <v>135</v>
      </c>
      <c r="C24" s="41" t="s">
        <v>136</v>
      </c>
      <c r="D24" s="41" t="s">
        <v>137</v>
      </c>
      <c r="E24" s="41" t="s">
        <v>138</v>
      </c>
      <c r="F24" s="40" t="str">
        <f t="shared" si="1"/>
        <v>WRONG</v>
      </c>
      <c r="G24" s="40" t="s">
        <v>42</v>
      </c>
      <c r="H24" s="56" t="s">
        <v>36</v>
      </c>
      <c r="I24" s="54" t="s">
        <v>420</v>
      </c>
      <c r="J24" s="56">
        <v>38814.0</v>
      </c>
    </row>
    <row r="25" ht="60.0" customHeight="1">
      <c r="A25" s="40">
        <v>22.0</v>
      </c>
      <c r="B25" s="41" t="s">
        <v>140</v>
      </c>
      <c r="C25" s="41" t="s">
        <v>141</v>
      </c>
      <c r="D25" s="41" t="s">
        <v>142</v>
      </c>
      <c r="E25" s="41" t="s">
        <v>143</v>
      </c>
      <c r="F25" s="40" t="str">
        <f t="shared" si="1"/>
        <v>CORRECT</v>
      </c>
      <c r="G25" s="40" t="s">
        <v>42</v>
      </c>
      <c r="H25" s="56" t="s">
        <v>42</v>
      </c>
      <c r="I25" s="54" t="s">
        <v>421</v>
      </c>
      <c r="J25" s="56">
        <v>36671.0</v>
      </c>
    </row>
    <row r="26" ht="60.0" customHeight="1">
      <c r="A26" s="40">
        <v>23.0</v>
      </c>
      <c r="B26" s="41" t="s">
        <v>145</v>
      </c>
      <c r="C26" s="41" t="s">
        <v>146</v>
      </c>
      <c r="D26" s="41" t="s">
        <v>147</v>
      </c>
      <c r="E26" s="41" t="s">
        <v>148</v>
      </c>
      <c r="F26" s="40" t="str">
        <f t="shared" si="1"/>
        <v>CORRECT</v>
      </c>
      <c r="G26" s="40" t="s">
        <v>48</v>
      </c>
      <c r="H26" s="56" t="s">
        <v>48</v>
      </c>
      <c r="I26" s="54" t="s">
        <v>422</v>
      </c>
      <c r="J26" s="56">
        <v>29659.0</v>
      </c>
    </row>
    <row r="27" ht="60.0" customHeight="1">
      <c r="A27" s="40">
        <v>24.0</v>
      </c>
      <c r="B27" s="41" t="s">
        <v>150</v>
      </c>
      <c r="C27" s="41" t="s">
        <v>151</v>
      </c>
      <c r="D27" s="41" t="s">
        <v>152</v>
      </c>
      <c r="E27" s="41" t="s">
        <v>153</v>
      </c>
      <c r="F27" s="40" t="str">
        <f t="shared" si="1"/>
        <v>CORRECT</v>
      </c>
      <c r="G27" s="40" t="s">
        <v>36</v>
      </c>
      <c r="H27" s="56" t="s">
        <v>36</v>
      </c>
      <c r="I27" s="54" t="s">
        <v>423</v>
      </c>
      <c r="J27" s="56">
        <v>24631.0</v>
      </c>
    </row>
    <row r="28" ht="60.0" customHeight="1">
      <c r="A28" s="40">
        <v>25.0</v>
      </c>
      <c r="B28" s="41" t="s">
        <v>155</v>
      </c>
      <c r="C28" s="41" t="s">
        <v>151</v>
      </c>
      <c r="D28" s="41" t="s">
        <v>156</v>
      </c>
      <c r="E28" s="41" t="s">
        <v>153</v>
      </c>
      <c r="F28" s="40" t="str">
        <f t="shared" si="1"/>
        <v>WRONG</v>
      </c>
      <c r="G28" s="40" t="s">
        <v>48</v>
      </c>
      <c r="H28" s="55" t="s">
        <v>42</v>
      </c>
      <c r="I28" s="54" t="s">
        <v>424</v>
      </c>
      <c r="J28" s="56">
        <v>37967.0</v>
      </c>
    </row>
    <row r="29" ht="60.0" customHeight="1">
      <c r="A29" s="40">
        <v>26.0</v>
      </c>
      <c r="B29" s="41" t="s">
        <v>158</v>
      </c>
      <c r="C29" s="41" t="s">
        <v>159</v>
      </c>
      <c r="D29" s="41" t="s">
        <v>160</v>
      </c>
      <c r="E29" s="41" t="s">
        <v>161</v>
      </c>
      <c r="F29" s="40" t="str">
        <f t="shared" si="1"/>
        <v>WRONG</v>
      </c>
      <c r="G29" s="40" t="s">
        <v>36</v>
      </c>
      <c r="H29" s="55" t="s">
        <v>42</v>
      </c>
      <c r="I29" s="54" t="s">
        <v>425</v>
      </c>
      <c r="J29" s="56">
        <v>28449.0</v>
      </c>
    </row>
    <row r="30" ht="60.0" customHeight="1">
      <c r="A30" s="40">
        <v>27.0</v>
      </c>
      <c r="B30" s="41" t="s">
        <v>163</v>
      </c>
      <c r="C30" s="41" t="s">
        <v>164</v>
      </c>
      <c r="D30" s="41" t="s">
        <v>165</v>
      </c>
      <c r="E30" s="41" t="s">
        <v>166</v>
      </c>
      <c r="F30" s="40" t="str">
        <f t="shared" si="1"/>
        <v>CORRECT</v>
      </c>
      <c r="G30" s="40" t="s">
        <v>42</v>
      </c>
      <c r="H30" s="55" t="s">
        <v>42</v>
      </c>
      <c r="I30" s="54" t="s">
        <v>426</v>
      </c>
      <c r="J30" s="56">
        <v>46163.0</v>
      </c>
    </row>
    <row r="31" ht="60.0" customHeight="1">
      <c r="A31" s="40">
        <v>28.0</v>
      </c>
      <c r="B31" s="41" t="s">
        <v>168</v>
      </c>
      <c r="C31" s="41" t="s">
        <v>169</v>
      </c>
      <c r="D31" s="41" t="s">
        <v>170</v>
      </c>
      <c r="E31" s="41" t="s">
        <v>171</v>
      </c>
      <c r="F31" s="40" t="str">
        <f t="shared" si="1"/>
        <v>WRONG</v>
      </c>
      <c r="G31" s="40" t="s">
        <v>36</v>
      </c>
      <c r="H31" s="56" t="s">
        <v>48</v>
      </c>
      <c r="I31" s="54" t="s">
        <v>427</v>
      </c>
      <c r="J31" s="56">
        <v>58375.0</v>
      </c>
    </row>
    <row r="32" ht="60.0" customHeight="1">
      <c r="A32" s="40">
        <v>29.0</v>
      </c>
      <c r="B32" s="41" t="s">
        <v>173</v>
      </c>
      <c r="C32" s="41" t="s">
        <v>174</v>
      </c>
      <c r="D32" s="41" t="s">
        <v>175</v>
      </c>
      <c r="E32" s="41" t="s">
        <v>176</v>
      </c>
      <c r="F32" s="40" t="str">
        <f t="shared" si="1"/>
        <v>WRONG</v>
      </c>
      <c r="G32" s="40" t="s">
        <v>42</v>
      </c>
      <c r="H32" s="56" t="s">
        <v>48</v>
      </c>
      <c r="I32" s="54" t="s">
        <v>428</v>
      </c>
      <c r="J32" s="56">
        <v>38617.0</v>
      </c>
    </row>
    <row r="33" ht="60.0" customHeight="1">
      <c r="A33" s="40">
        <v>30.0</v>
      </c>
      <c r="B33" s="41" t="s">
        <v>178</v>
      </c>
      <c r="C33" s="41" t="s">
        <v>179</v>
      </c>
      <c r="D33" s="41" t="s">
        <v>180</v>
      </c>
      <c r="E33" s="41" t="s">
        <v>181</v>
      </c>
      <c r="F33" s="40" t="str">
        <f t="shared" si="1"/>
        <v>WRONG</v>
      </c>
      <c r="G33" s="40" t="s">
        <v>48</v>
      </c>
      <c r="H33" s="56" t="s">
        <v>36</v>
      </c>
      <c r="I33" s="54" t="s">
        <v>429</v>
      </c>
      <c r="J33" s="56">
        <v>54383.0</v>
      </c>
    </row>
    <row r="34" ht="60.0" customHeight="1">
      <c r="A34" s="40">
        <v>31.0</v>
      </c>
      <c r="B34" s="41" t="s">
        <v>183</v>
      </c>
      <c r="C34" s="41" t="s">
        <v>184</v>
      </c>
      <c r="D34" s="41" t="s">
        <v>185</v>
      </c>
      <c r="E34" s="41" t="s">
        <v>186</v>
      </c>
      <c r="F34" s="40" t="str">
        <f t="shared" si="1"/>
        <v>WRONG</v>
      </c>
      <c r="G34" s="40" t="s">
        <v>42</v>
      </c>
      <c r="H34" s="56" t="s">
        <v>36</v>
      </c>
      <c r="I34" s="54" t="s">
        <v>430</v>
      </c>
      <c r="J34" s="56">
        <v>22949.0</v>
      </c>
    </row>
    <row r="35" ht="60.0" customHeight="1">
      <c r="A35" s="40">
        <v>32.0</v>
      </c>
      <c r="B35" s="41" t="s">
        <v>188</v>
      </c>
      <c r="C35" s="41" t="s">
        <v>189</v>
      </c>
      <c r="D35" s="41" t="s">
        <v>190</v>
      </c>
      <c r="E35" s="41" t="s">
        <v>191</v>
      </c>
      <c r="F35" s="40" t="str">
        <f t="shared" si="1"/>
        <v>CORRECT</v>
      </c>
      <c r="G35" s="40" t="s">
        <v>36</v>
      </c>
      <c r="H35" s="55" t="s">
        <v>36</v>
      </c>
      <c r="I35" s="54" t="s">
        <v>431</v>
      </c>
      <c r="J35" s="56">
        <v>59138.0</v>
      </c>
    </row>
    <row r="36" ht="60.0" customHeight="1">
      <c r="A36" s="40">
        <v>33.0</v>
      </c>
      <c r="B36" s="41" t="s">
        <v>193</v>
      </c>
      <c r="C36" s="41" t="s">
        <v>194</v>
      </c>
      <c r="D36" s="41" t="s">
        <v>195</v>
      </c>
      <c r="E36" s="41" t="s">
        <v>196</v>
      </c>
      <c r="F36" s="40" t="str">
        <f t="shared" si="1"/>
        <v>CORRECT</v>
      </c>
      <c r="G36" s="40" t="s">
        <v>48</v>
      </c>
      <c r="H36" s="55" t="s">
        <v>48</v>
      </c>
      <c r="I36" s="54" t="s">
        <v>432</v>
      </c>
      <c r="J36" s="56">
        <v>41289.0</v>
      </c>
    </row>
    <row r="37" ht="60.0" customHeight="1">
      <c r="A37" s="40">
        <v>34.0</v>
      </c>
      <c r="B37" s="41" t="s">
        <v>198</v>
      </c>
      <c r="C37" s="41" t="s">
        <v>199</v>
      </c>
      <c r="D37" s="41" t="s">
        <v>200</v>
      </c>
      <c r="E37" s="41" t="s">
        <v>201</v>
      </c>
      <c r="F37" s="40" t="str">
        <f t="shared" si="1"/>
        <v>CORRECT</v>
      </c>
      <c r="G37" s="40" t="s">
        <v>36</v>
      </c>
      <c r="H37" s="56" t="s">
        <v>36</v>
      </c>
      <c r="I37" s="54" t="s">
        <v>433</v>
      </c>
      <c r="J37" s="56">
        <v>34678.0</v>
      </c>
    </row>
    <row r="38" ht="60.0" customHeight="1">
      <c r="A38" s="40">
        <v>35.0</v>
      </c>
      <c r="B38" s="41" t="s">
        <v>203</v>
      </c>
      <c r="C38" s="41" t="s">
        <v>204</v>
      </c>
      <c r="D38" s="41" t="s">
        <v>205</v>
      </c>
      <c r="E38" s="41" t="s">
        <v>206</v>
      </c>
      <c r="F38" s="40" t="str">
        <f t="shared" si="1"/>
        <v>CORRECT</v>
      </c>
      <c r="G38" s="40" t="s">
        <v>48</v>
      </c>
      <c r="H38" s="56" t="s">
        <v>48</v>
      </c>
      <c r="I38" s="54" t="s">
        <v>434</v>
      </c>
      <c r="J38" s="56">
        <v>28651.0</v>
      </c>
    </row>
    <row r="39" ht="60.0" customHeight="1">
      <c r="A39" s="40">
        <v>36.0</v>
      </c>
      <c r="B39" s="41" t="s">
        <v>208</v>
      </c>
      <c r="C39" s="41" t="s">
        <v>209</v>
      </c>
      <c r="D39" s="41" t="s">
        <v>210</v>
      </c>
      <c r="E39" s="41" t="s">
        <v>211</v>
      </c>
      <c r="F39" s="40" t="str">
        <f t="shared" si="1"/>
        <v>CORRECT</v>
      </c>
      <c r="G39" s="40" t="s">
        <v>36</v>
      </c>
      <c r="H39" s="56" t="s">
        <v>36</v>
      </c>
      <c r="I39" s="54" t="s">
        <v>435</v>
      </c>
      <c r="J39" s="56">
        <v>32280.0</v>
      </c>
    </row>
    <row r="40" ht="60.0" customHeight="1">
      <c r="A40" s="40">
        <v>37.0</v>
      </c>
      <c r="B40" s="41" t="s">
        <v>213</v>
      </c>
      <c r="C40" s="41" t="s">
        <v>214</v>
      </c>
      <c r="D40" s="41" t="s">
        <v>215</v>
      </c>
      <c r="E40" s="41" t="s">
        <v>216</v>
      </c>
      <c r="F40" s="40" t="str">
        <f t="shared" si="1"/>
        <v>WRONG</v>
      </c>
      <c r="G40" s="40" t="s">
        <v>36</v>
      </c>
      <c r="H40" s="56" t="s">
        <v>42</v>
      </c>
      <c r="I40" s="54" t="s">
        <v>436</v>
      </c>
      <c r="J40" s="56">
        <v>31256.0</v>
      </c>
    </row>
    <row r="41" ht="60.0" customHeight="1">
      <c r="A41" s="40">
        <v>38.0</v>
      </c>
      <c r="B41" s="41" t="s">
        <v>218</v>
      </c>
      <c r="C41" s="41" t="s">
        <v>219</v>
      </c>
      <c r="D41" s="41" t="s">
        <v>220</v>
      </c>
      <c r="E41" s="41" t="s">
        <v>221</v>
      </c>
      <c r="F41" s="40" t="str">
        <f t="shared" si="1"/>
        <v>CORRECT</v>
      </c>
      <c r="G41" s="40" t="s">
        <v>36</v>
      </c>
      <c r="H41" s="56" t="s">
        <v>36</v>
      </c>
      <c r="I41" s="54" t="s">
        <v>437</v>
      </c>
      <c r="J41" s="56">
        <v>29545.0</v>
      </c>
    </row>
    <row r="42" ht="60.0" customHeight="1">
      <c r="A42" s="40">
        <v>39.0</v>
      </c>
      <c r="B42" s="41" t="s">
        <v>223</v>
      </c>
      <c r="C42" s="41" t="s">
        <v>224</v>
      </c>
      <c r="D42" s="41" t="s">
        <v>225</v>
      </c>
      <c r="E42" s="41" t="s">
        <v>226</v>
      </c>
      <c r="F42" s="40" t="str">
        <f t="shared" si="1"/>
        <v>WRONG</v>
      </c>
      <c r="G42" s="40" t="s">
        <v>42</v>
      </c>
      <c r="H42" s="56" t="s">
        <v>48</v>
      </c>
      <c r="I42" s="54" t="s">
        <v>438</v>
      </c>
      <c r="J42" s="56">
        <v>23741.0</v>
      </c>
    </row>
    <row r="43" ht="60.0" customHeight="1">
      <c r="A43" s="40">
        <v>40.0</v>
      </c>
      <c r="B43" s="41" t="s">
        <v>228</v>
      </c>
      <c r="C43" s="41" t="s">
        <v>229</v>
      </c>
      <c r="D43" s="41" t="s">
        <v>230</v>
      </c>
      <c r="E43" s="41" t="s">
        <v>231</v>
      </c>
      <c r="F43" s="40" t="str">
        <f t="shared" si="1"/>
        <v>CORRECT</v>
      </c>
      <c r="G43" s="40" t="s">
        <v>48</v>
      </c>
      <c r="H43" s="56" t="s">
        <v>48</v>
      </c>
      <c r="I43" s="54" t="s">
        <v>439</v>
      </c>
      <c r="J43" s="56">
        <v>30934.0</v>
      </c>
    </row>
    <row r="44" ht="60.0" customHeight="1">
      <c r="A44" s="40">
        <v>41.0</v>
      </c>
      <c r="B44" s="41" t="s">
        <v>233</v>
      </c>
      <c r="C44" s="41" t="s">
        <v>234</v>
      </c>
      <c r="D44" s="41" t="s">
        <v>235</v>
      </c>
      <c r="E44" s="41" t="s">
        <v>236</v>
      </c>
      <c r="F44" s="40" t="str">
        <f t="shared" si="1"/>
        <v>CORRECT</v>
      </c>
      <c r="G44" s="40" t="s">
        <v>42</v>
      </c>
      <c r="H44" s="56" t="s">
        <v>42</v>
      </c>
      <c r="I44" s="54" t="s">
        <v>440</v>
      </c>
      <c r="J44" s="56">
        <v>23834.0</v>
      </c>
    </row>
    <row r="45" ht="60.0" customHeight="1">
      <c r="A45" s="40">
        <v>42.0</v>
      </c>
      <c r="B45" s="41" t="s">
        <v>238</v>
      </c>
      <c r="C45" s="41" t="s">
        <v>239</v>
      </c>
      <c r="D45" s="41" t="s">
        <v>240</v>
      </c>
      <c r="E45" s="41" t="s">
        <v>241</v>
      </c>
      <c r="F45" s="40" t="str">
        <f t="shared" si="1"/>
        <v>WRONG</v>
      </c>
      <c r="G45" s="40" t="s">
        <v>36</v>
      </c>
      <c r="H45" s="56" t="s">
        <v>42</v>
      </c>
      <c r="I45" s="54" t="s">
        <v>441</v>
      </c>
      <c r="J45" s="56">
        <v>37348.0</v>
      </c>
    </row>
    <row r="46" ht="60.0" customHeight="1">
      <c r="A46" s="40">
        <v>43.0</v>
      </c>
      <c r="B46" s="41" t="s">
        <v>243</v>
      </c>
      <c r="C46" s="41" t="s">
        <v>244</v>
      </c>
      <c r="D46" s="41" t="s">
        <v>245</v>
      </c>
      <c r="E46" s="41" t="s">
        <v>246</v>
      </c>
      <c r="F46" s="40" t="str">
        <f t="shared" si="1"/>
        <v>CORRECT</v>
      </c>
      <c r="G46" s="40" t="s">
        <v>48</v>
      </c>
      <c r="H46" s="56" t="s">
        <v>48</v>
      </c>
      <c r="I46" s="54" t="s">
        <v>442</v>
      </c>
      <c r="J46" s="56">
        <v>33803.0</v>
      </c>
    </row>
    <row r="47" ht="60.0" customHeight="1">
      <c r="A47" s="40">
        <v>44.0</v>
      </c>
      <c r="B47" s="41" t="s">
        <v>248</v>
      </c>
      <c r="C47" s="41" t="s">
        <v>249</v>
      </c>
      <c r="D47" s="41" t="s">
        <v>250</v>
      </c>
      <c r="E47" s="41" t="s">
        <v>251</v>
      </c>
      <c r="F47" s="40" t="str">
        <f t="shared" si="1"/>
        <v>CORRECT</v>
      </c>
      <c r="G47" s="40" t="s">
        <v>36</v>
      </c>
      <c r="H47" s="55" t="s">
        <v>36</v>
      </c>
      <c r="I47" s="54" t="s">
        <v>443</v>
      </c>
      <c r="J47" s="56">
        <v>21590.0</v>
      </c>
    </row>
    <row r="48" ht="60.0" customHeight="1">
      <c r="A48" s="40">
        <v>45.0</v>
      </c>
      <c r="B48" s="41" t="s">
        <v>253</v>
      </c>
      <c r="C48" s="41" t="s">
        <v>254</v>
      </c>
      <c r="D48" s="41" t="s">
        <v>255</v>
      </c>
      <c r="E48" s="41" t="s">
        <v>256</v>
      </c>
      <c r="F48" s="40" t="str">
        <f t="shared" si="1"/>
        <v>CORRECT</v>
      </c>
      <c r="G48" s="40" t="s">
        <v>36</v>
      </c>
      <c r="H48" s="56" t="s">
        <v>36</v>
      </c>
      <c r="I48" s="54" t="s">
        <v>444</v>
      </c>
      <c r="J48" s="56">
        <v>47276.0</v>
      </c>
    </row>
    <row r="49" ht="60.0" customHeight="1">
      <c r="A49" s="40">
        <v>46.0</v>
      </c>
      <c r="B49" s="41" t="s">
        <v>258</v>
      </c>
      <c r="C49" s="41" t="s">
        <v>39</v>
      </c>
      <c r="D49" s="41" t="s">
        <v>259</v>
      </c>
      <c r="E49" s="41" t="s">
        <v>260</v>
      </c>
      <c r="F49" s="40" t="str">
        <f t="shared" si="1"/>
        <v>CORRECT</v>
      </c>
      <c r="G49" s="40" t="s">
        <v>36</v>
      </c>
      <c r="H49" s="56" t="s">
        <v>36</v>
      </c>
      <c r="I49" s="54" t="s">
        <v>445</v>
      </c>
      <c r="J49" s="56">
        <v>23555.0</v>
      </c>
    </row>
    <row r="50">
      <c r="A50" s="45" t="s">
        <v>262</v>
      </c>
      <c r="B50" s="2"/>
      <c r="C50" s="2"/>
      <c r="D50" s="2"/>
      <c r="E50" s="3"/>
      <c r="F50" s="46">
        <f>COUNTIFS(F4:F49,"CORRECT")</f>
        <v>27</v>
      </c>
      <c r="G50" s="47"/>
      <c r="H50" s="47"/>
      <c r="J50" s="48">
        <f>AVERAGE(J4:J49)</f>
        <v>34815.76087</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446</v>
      </c>
      <c r="C2" s="2"/>
      <c r="D2" s="2"/>
      <c r="E2" s="2"/>
      <c r="F2" s="2"/>
      <c r="G2" s="2"/>
      <c r="H2" s="3"/>
      <c r="I2" s="38" t="s">
        <v>447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57" t="s">
        <v>448</v>
      </c>
      <c r="J4" s="56">
        <v>35729.0</v>
      </c>
    </row>
    <row r="5" ht="60.0" customHeight="1">
      <c r="A5" s="40">
        <v>2.0</v>
      </c>
      <c r="B5" s="41" t="s">
        <v>38</v>
      </c>
      <c r="C5" s="41" t="s">
        <v>39</v>
      </c>
      <c r="D5" s="41" t="s">
        <v>40</v>
      </c>
      <c r="E5" s="41" t="s">
        <v>41</v>
      </c>
      <c r="F5" s="40" t="str">
        <f t="shared" si="1"/>
        <v>WRONG</v>
      </c>
      <c r="G5" s="40" t="s">
        <v>42</v>
      </c>
      <c r="H5" s="55" t="s">
        <v>36</v>
      </c>
      <c r="I5" s="54" t="s">
        <v>449</v>
      </c>
      <c r="J5" s="56">
        <v>30770.0</v>
      </c>
    </row>
    <row r="6" ht="60.0" customHeight="1">
      <c r="A6" s="40">
        <v>3.0</v>
      </c>
      <c r="B6" s="41" t="s">
        <v>44</v>
      </c>
      <c r="C6" s="41" t="s">
        <v>45</v>
      </c>
      <c r="D6" s="41" t="s">
        <v>46</v>
      </c>
      <c r="E6" s="41" t="s">
        <v>47</v>
      </c>
      <c r="F6" s="40" t="str">
        <f t="shared" si="1"/>
        <v>CORRECT</v>
      </c>
      <c r="G6" s="40" t="s">
        <v>48</v>
      </c>
      <c r="H6" s="56" t="s">
        <v>48</v>
      </c>
      <c r="I6" s="54" t="s">
        <v>450</v>
      </c>
      <c r="J6" s="56">
        <v>25682.0</v>
      </c>
    </row>
    <row r="7" ht="60.0" customHeight="1">
      <c r="A7" s="40">
        <v>4.0</v>
      </c>
      <c r="B7" s="41" t="s">
        <v>50</v>
      </c>
      <c r="C7" s="41" t="s">
        <v>51</v>
      </c>
      <c r="D7" s="41" t="s">
        <v>52</v>
      </c>
      <c r="E7" s="41" t="s">
        <v>53</v>
      </c>
      <c r="F7" s="40" t="str">
        <f t="shared" si="1"/>
        <v>WRONG</v>
      </c>
      <c r="G7" s="40" t="s">
        <v>42</v>
      </c>
      <c r="H7" s="55" t="s">
        <v>48</v>
      </c>
      <c r="I7" s="54" t="s">
        <v>451</v>
      </c>
      <c r="J7" s="56">
        <v>47081.0</v>
      </c>
    </row>
    <row r="8" ht="60.0" customHeight="1">
      <c r="A8" s="40">
        <v>5.0</v>
      </c>
      <c r="B8" s="41" t="s">
        <v>55</v>
      </c>
      <c r="C8" s="41" t="s">
        <v>56</v>
      </c>
      <c r="D8" s="41" t="s">
        <v>57</v>
      </c>
      <c r="E8" s="41" t="s">
        <v>58</v>
      </c>
      <c r="F8" s="40" t="str">
        <f t="shared" si="1"/>
        <v>CORRECT</v>
      </c>
      <c r="G8" s="40" t="s">
        <v>48</v>
      </c>
      <c r="H8" s="55" t="s">
        <v>48</v>
      </c>
      <c r="I8" s="54" t="s">
        <v>452</v>
      </c>
      <c r="J8" s="56">
        <v>85949.0</v>
      </c>
    </row>
    <row r="9" ht="60.0" customHeight="1">
      <c r="A9" s="40">
        <v>6.0</v>
      </c>
      <c r="B9" s="41" t="s">
        <v>60</v>
      </c>
      <c r="C9" s="41" t="s">
        <v>61</v>
      </c>
      <c r="D9" s="41" t="s">
        <v>62</v>
      </c>
      <c r="E9" s="41" t="s">
        <v>63</v>
      </c>
      <c r="F9" s="40" t="str">
        <f t="shared" si="1"/>
        <v>WRONG</v>
      </c>
      <c r="G9" s="40" t="s">
        <v>42</v>
      </c>
      <c r="H9" s="55" t="s">
        <v>453</v>
      </c>
      <c r="I9" s="54" t="s">
        <v>454</v>
      </c>
      <c r="J9" s="56">
        <v>33067.0</v>
      </c>
    </row>
    <row r="10" ht="60.0" customHeight="1">
      <c r="A10" s="40">
        <v>7.0</v>
      </c>
      <c r="B10" s="41" t="s">
        <v>65</v>
      </c>
      <c r="C10" s="41" t="s">
        <v>66</v>
      </c>
      <c r="D10" s="41" t="s">
        <v>67</v>
      </c>
      <c r="E10" s="41" t="s">
        <v>68</v>
      </c>
      <c r="F10" s="40" t="str">
        <f t="shared" si="1"/>
        <v>CORRECT</v>
      </c>
      <c r="G10" s="40" t="s">
        <v>42</v>
      </c>
      <c r="H10" s="55" t="s">
        <v>42</v>
      </c>
      <c r="I10" s="54" t="s">
        <v>455</v>
      </c>
      <c r="J10" s="56">
        <v>47811.0</v>
      </c>
    </row>
    <row r="11" ht="60.0" customHeight="1">
      <c r="A11" s="40">
        <v>8.0</v>
      </c>
      <c r="B11" s="41" t="s">
        <v>70</v>
      </c>
      <c r="C11" s="41" t="s">
        <v>71</v>
      </c>
      <c r="D11" s="41" t="s">
        <v>72</v>
      </c>
      <c r="E11" s="41" t="s">
        <v>73</v>
      </c>
      <c r="F11" s="40" t="str">
        <f t="shared" si="1"/>
        <v>CORRECT</v>
      </c>
      <c r="G11" s="40" t="s">
        <v>48</v>
      </c>
      <c r="H11" s="55" t="s">
        <v>48</v>
      </c>
      <c r="I11" s="54" t="s">
        <v>456</v>
      </c>
      <c r="J11" s="56">
        <v>26666.0</v>
      </c>
    </row>
    <row r="12" ht="60.0" customHeight="1">
      <c r="A12" s="40">
        <v>9.0</v>
      </c>
      <c r="B12" s="41" t="s">
        <v>75</v>
      </c>
      <c r="C12" s="41" t="s">
        <v>76</v>
      </c>
      <c r="D12" s="41" t="s">
        <v>77</v>
      </c>
      <c r="E12" s="41" t="s">
        <v>78</v>
      </c>
      <c r="F12" s="40" t="str">
        <f t="shared" si="1"/>
        <v>WRONG</v>
      </c>
      <c r="G12" s="40" t="s">
        <v>42</v>
      </c>
      <c r="H12" s="55" t="s">
        <v>48</v>
      </c>
      <c r="I12" s="54" t="s">
        <v>457</v>
      </c>
      <c r="J12" s="56">
        <v>23653.0</v>
      </c>
    </row>
    <row r="13" ht="60.0" customHeight="1">
      <c r="A13" s="40">
        <v>10.0</v>
      </c>
      <c r="B13" s="41" t="s">
        <v>80</v>
      </c>
      <c r="C13" s="41" t="s">
        <v>81</v>
      </c>
      <c r="D13" s="41" t="s">
        <v>82</v>
      </c>
      <c r="E13" s="41" t="s">
        <v>83</v>
      </c>
      <c r="F13" s="40" t="str">
        <f t="shared" si="1"/>
        <v>CORRECT</v>
      </c>
      <c r="G13" s="40" t="s">
        <v>48</v>
      </c>
      <c r="H13" s="55" t="s">
        <v>48</v>
      </c>
      <c r="I13" s="54" t="s">
        <v>458</v>
      </c>
      <c r="J13" s="56">
        <v>40233.0</v>
      </c>
    </row>
    <row r="14" ht="60.0" customHeight="1">
      <c r="A14" s="40">
        <v>11.0</v>
      </c>
      <c r="B14" s="41" t="s">
        <v>85</v>
      </c>
      <c r="C14" s="41" t="s">
        <v>86</v>
      </c>
      <c r="D14" s="41" t="s">
        <v>87</v>
      </c>
      <c r="E14" s="41" t="s">
        <v>88</v>
      </c>
      <c r="F14" s="40" t="str">
        <f t="shared" si="1"/>
        <v>WRONG</v>
      </c>
      <c r="G14" s="40" t="s">
        <v>42</v>
      </c>
      <c r="H14" s="55" t="s">
        <v>48</v>
      </c>
      <c r="I14" s="54" t="s">
        <v>459</v>
      </c>
      <c r="J14" s="56">
        <v>39249.0</v>
      </c>
    </row>
    <row r="15" ht="60.0" customHeight="1">
      <c r="A15" s="40">
        <v>12.0</v>
      </c>
      <c r="B15" s="41" t="s">
        <v>90</v>
      </c>
      <c r="C15" s="41" t="s">
        <v>91</v>
      </c>
      <c r="D15" s="41" t="s">
        <v>92</v>
      </c>
      <c r="E15" s="41" t="s">
        <v>93</v>
      </c>
      <c r="F15" s="40" t="str">
        <f t="shared" si="1"/>
        <v>CORRECT</v>
      </c>
      <c r="G15" s="40" t="s">
        <v>48</v>
      </c>
      <c r="H15" s="55" t="s">
        <v>48</v>
      </c>
      <c r="I15" s="54" t="s">
        <v>460</v>
      </c>
      <c r="J15" s="56">
        <v>57148.0</v>
      </c>
    </row>
    <row r="16" ht="60.0" customHeight="1">
      <c r="A16" s="40">
        <v>13.0</v>
      </c>
      <c r="B16" s="41" t="s">
        <v>95</v>
      </c>
      <c r="C16" s="41" t="s">
        <v>96</v>
      </c>
      <c r="D16" s="41" t="s">
        <v>97</v>
      </c>
      <c r="E16" s="41" t="s">
        <v>98</v>
      </c>
      <c r="F16" s="40" t="str">
        <f t="shared" si="1"/>
        <v>CORRECT</v>
      </c>
      <c r="G16" s="40" t="s">
        <v>36</v>
      </c>
      <c r="H16" s="55" t="s">
        <v>36</v>
      </c>
      <c r="I16" s="54" t="s">
        <v>461</v>
      </c>
      <c r="J16" s="56">
        <v>26948.0</v>
      </c>
    </row>
    <row r="17" ht="60.0" customHeight="1">
      <c r="A17" s="40">
        <v>14.0</v>
      </c>
      <c r="B17" s="41" t="s">
        <v>100</v>
      </c>
      <c r="C17" s="41" t="s">
        <v>101</v>
      </c>
      <c r="D17" s="41" t="s">
        <v>102</v>
      </c>
      <c r="E17" s="41" t="s">
        <v>103</v>
      </c>
      <c r="F17" s="40" t="str">
        <f t="shared" si="1"/>
        <v>WRONG</v>
      </c>
      <c r="G17" s="40" t="s">
        <v>36</v>
      </c>
      <c r="H17" s="55" t="s">
        <v>48</v>
      </c>
      <c r="I17" s="57" t="s">
        <v>462</v>
      </c>
      <c r="J17" s="56">
        <v>26468.0</v>
      </c>
    </row>
    <row r="18" ht="60.0" customHeight="1">
      <c r="A18" s="40">
        <v>15.0</v>
      </c>
      <c r="B18" s="41" t="s">
        <v>105</v>
      </c>
      <c r="C18" s="41" t="s">
        <v>106</v>
      </c>
      <c r="D18" s="41" t="s">
        <v>107</v>
      </c>
      <c r="E18" s="41" t="s">
        <v>108</v>
      </c>
      <c r="F18" s="40" t="str">
        <f t="shared" si="1"/>
        <v>WRONG</v>
      </c>
      <c r="G18" s="40" t="s">
        <v>48</v>
      </c>
      <c r="H18" s="55" t="s">
        <v>453</v>
      </c>
      <c r="I18" s="57" t="s">
        <v>463</v>
      </c>
      <c r="J18" s="56">
        <v>4388.0</v>
      </c>
    </row>
    <row r="19" ht="60.0" customHeight="1">
      <c r="A19" s="40">
        <v>16.0</v>
      </c>
      <c r="B19" s="41" t="s">
        <v>110</v>
      </c>
      <c r="C19" s="41" t="s">
        <v>111</v>
      </c>
      <c r="D19" s="41" t="s">
        <v>112</v>
      </c>
      <c r="E19" s="41" t="s">
        <v>113</v>
      </c>
      <c r="F19" s="40" t="str">
        <f t="shared" si="1"/>
        <v>CORRECT</v>
      </c>
      <c r="G19" s="40" t="s">
        <v>48</v>
      </c>
      <c r="H19" s="55" t="s">
        <v>48</v>
      </c>
      <c r="I19" s="54" t="s">
        <v>464</v>
      </c>
      <c r="J19" s="56">
        <v>62375.0</v>
      </c>
    </row>
    <row r="20" ht="60.0" customHeight="1">
      <c r="A20" s="40">
        <v>17.0</v>
      </c>
      <c r="B20" s="41" t="s">
        <v>115</v>
      </c>
      <c r="C20" s="41" t="s">
        <v>116</v>
      </c>
      <c r="D20" s="41" t="s">
        <v>117</v>
      </c>
      <c r="E20" s="41" t="s">
        <v>118</v>
      </c>
      <c r="F20" s="40" t="str">
        <f t="shared" si="1"/>
        <v>WRONG</v>
      </c>
      <c r="G20" s="40" t="s">
        <v>42</v>
      </c>
      <c r="H20" s="55" t="s">
        <v>36</v>
      </c>
      <c r="I20" s="54" t="s">
        <v>465</v>
      </c>
      <c r="J20" s="56">
        <v>38994.0</v>
      </c>
    </row>
    <row r="21" ht="60.0" customHeight="1">
      <c r="A21" s="40">
        <v>18.0</v>
      </c>
      <c r="B21" s="41" t="s">
        <v>120</v>
      </c>
      <c r="C21" s="41" t="s">
        <v>121</v>
      </c>
      <c r="D21" s="41" t="s">
        <v>122</v>
      </c>
      <c r="E21" s="41" t="s">
        <v>123</v>
      </c>
      <c r="F21" s="40" t="str">
        <f t="shared" si="1"/>
        <v>WRONG</v>
      </c>
      <c r="G21" s="40" t="s">
        <v>42</v>
      </c>
      <c r="H21" s="55" t="s">
        <v>36</v>
      </c>
      <c r="I21" s="54" t="s">
        <v>466</v>
      </c>
      <c r="J21" s="56">
        <v>35551.0</v>
      </c>
    </row>
    <row r="22" ht="60.0" customHeight="1">
      <c r="A22" s="40">
        <v>19.0</v>
      </c>
      <c r="B22" s="41" t="s">
        <v>125</v>
      </c>
      <c r="C22" s="41" t="s">
        <v>126</v>
      </c>
      <c r="D22" s="41" t="s">
        <v>127</v>
      </c>
      <c r="E22" s="41" t="s">
        <v>128</v>
      </c>
      <c r="F22" s="40" t="str">
        <f t="shared" si="1"/>
        <v>WRONG</v>
      </c>
      <c r="G22" s="40" t="s">
        <v>36</v>
      </c>
      <c r="H22" s="55" t="s">
        <v>42</v>
      </c>
      <c r="I22" s="54" t="s">
        <v>467</v>
      </c>
      <c r="J22" s="56">
        <v>37377.0</v>
      </c>
    </row>
    <row r="23" ht="60.0" customHeight="1">
      <c r="A23" s="40">
        <v>20.0</v>
      </c>
      <c r="B23" s="41" t="s">
        <v>130</v>
      </c>
      <c r="C23" s="41" t="s">
        <v>131</v>
      </c>
      <c r="D23" s="41" t="s">
        <v>132</v>
      </c>
      <c r="E23" s="41" t="s">
        <v>133</v>
      </c>
      <c r="F23" s="40" t="str">
        <f t="shared" si="1"/>
        <v>WRONG</v>
      </c>
      <c r="G23" s="40" t="s">
        <v>42</v>
      </c>
      <c r="H23" s="55" t="s">
        <v>48</v>
      </c>
      <c r="I23" s="54" t="s">
        <v>468</v>
      </c>
      <c r="J23" s="56">
        <v>26025.0</v>
      </c>
    </row>
    <row r="24" ht="60.0" customHeight="1">
      <c r="A24" s="40">
        <v>21.0</v>
      </c>
      <c r="B24" s="41" t="s">
        <v>135</v>
      </c>
      <c r="C24" s="41" t="s">
        <v>136</v>
      </c>
      <c r="D24" s="41" t="s">
        <v>137</v>
      </c>
      <c r="E24" s="41" t="s">
        <v>138</v>
      </c>
      <c r="F24" s="40" t="str">
        <f t="shared" si="1"/>
        <v>WRONG</v>
      </c>
      <c r="G24" s="40" t="s">
        <v>42</v>
      </c>
      <c r="H24" s="55" t="s">
        <v>36</v>
      </c>
      <c r="I24" s="54" t="s">
        <v>469</v>
      </c>
      <c r="J24" s="56">
        <v>49644.0</v>
      </c>
    </row>
    <row r="25" ht="60.0" customHeight="1">
      <c r="A25" s="40">
        <v>22.0</v>
      </c>
      <c r="B25" s="41" t="s">
        <v>140</v>
      </c>
      <c r="C25" s="41" t="s">
        <v>141</v>
      </c>
      <c r="D25" s="41" t="s">
        <v>142</v>
      </c>
      <c r="E25" s="41" t="s">
        <v>143</v>
      </c>
      <c r="F25" s="40" t="str">
        <f t="shared" si="1"/>
        <v>CORRECT</v>
      </c>
      <c r="G25" s="40" t="s">
        <v>42</v>
      </c>
      <c r="H25" s="55" t="s">
        <v>42</v>
      </c>
      <c r="I25" s="54" t="s">
        <v>470</v>
      </c>
      <c r="J25" s="56">
        <v>31940.0</v>
      </c>
    </row>
    <row r="26" ht="60.0" customHeight="1">
      <c r="A26" s="40">
        <v>23.0</v>
      </c>
      <c r="B26" s="41" t="s">
        <v>145</v>
      </c>
      <c r="C26" s="41" t="s">
        <v>146</v>
      </c>
      <c r="D26" s="41" t="s">
        <v>147</v>
      </c>
      <c r="E26" s="41" t="s">
        <v>148</v>
      </c>
      <c r="F26" s="40" t="str">
        <f t="shared" si="1"/>
        <v>CORRECT</v>
      </c>
      <c r="G26" s="40" t="s">
        <v>48</v>
      </c>
      <c r="H26" s="56" t="s">
        <v>48</v>
      </c>
      <c r="I26" s="54" t="s">
        <v>471</v>
      </c>
      <c r="J26" s="56">
        <v>35554.0</v>
      </c>
    </row>
    <row r="27" ht="60.0" customHeight="1">
      <c r="A27" s="40">
        <v>24.0</v>
      </c>
      <c r="B27" s="41" t="s">
        <v>150</v>
      </c>
      <c r="C27" s="41" t="s">
        <v>151</v>
      </c>
      <c r="D27" s="41" t="s">
        <v>152</v>
      </c>
      <c r="E27" s="41" t="s">
        <v>153</v>
      </c>
      <c r="F27" s="40" t="str">
        <f t="shared" si="1"/>
        <v>CORRECT</v>
      </c>
      <c r="G27" s="40" t="s">
        <v>36</v>
      </c>
      <c r="H27" s="55" t="s">
        <v>36</v>
      </c>
      <c r="I27" s="54" t="s">
        <v>472</v>
      </c>
      <c r="J27" s="56">
        <v>20242.0</v>
      </c>
    </row>
    <row r="28" ht="60.0" customHeight="1">
      <c r="A28" s="40">
        <v>25.0</v>
      </c>
      <c r="B28" s="41" t="s">
        <v>155</v>
      </c>
      <c r="C28" s="41" t="s">
        <v>151</v>
      </c>
      <c r="D28" s="41" t="s">
        <v>156</v>
      </c>
      <c r="E28" s="41" t="s">
        <v>153</v>
      </c>
      <c r="F28" s="40" t="str">
        <f t="shared" si="1"/>
        <v>WRONG</v>
      </c>
      <c r="G28" s="40" t="s">
        <v>48</v>
      </c>
      <c r="H28" s="55" t="s">
        <v>36</v>
      </c>
      <c r="I28" s="54" t="s">
        <v>473</v>
      </c>
      <c r="J28" s="56">
        <v>16484.0</v>
      </c>
    </row>
    <row r="29" ht="60.0" customHeight="1">
      <c r="A29" s="40">
        <v>26.0</v>
      </c>
      <c r="B29" s="41" t="s">
        <v>158</v>
      </c>
      <c r="C29" s="41" t="s">
        <v>159</v>
      </c>
      <c r="D29" s="41" t="s">
        <v>160</v>
      </c>
      <c r="E29" s="41" t="s">
        <v>161</v>
      </c>
      <c r="F29" s="40" t="str">
        <f t="shared" si="1"/>
        <v>WRONG</v>
      </c>
      <c r="G29" s="40" t="s">
        <v>36</v>
      </c>
      <c r="H29" s="55" t="s">
        <v>48</v>
      </c>
      <c r="I29" s="54" t="s">
        <v>474</v>
      </c>
      <c r="J29" s="56">
        <v>28274.0</v>
      </c>
    </row>
    <row r="30" ht="60.0" customHeight="1">
      <c r="A30" s="40">
        <v>27.0</v>
      </c>
      <c r="B30" s="41" t="s">
        <v>163</v>
      </c>
      <c r="C30" s="41" t="s">
        <v>164</v>
      </c>
      <c r="D30" s="41" t="s">
        <v>165</v>
      </c>
      <c r="E30" s="41" t="s">
        <v>166</v>
      </c>
      <c r="F30" s="40" t="str">
        <f t="shared" si="1"/>
        <v>WRONG</v>
      </c>
      <c r="G30" s="40" t="s">
        <v>42</v>
      </c>
      <c r="H30" s="55" t="s">
        <v>36</v>
      </c>
      <c r="I30" s="54" t="s">
        <v>475</v>
      </c>
      <c r="J30" s="56">
        <v>21947.0</v>
      </c>
    </row>
    <row r="31" ht="60.0" customHeight="1">
      <c r="A31" s="40">
        <v>28.0</v>
      </c>
      <c r="B31" s="41" t="s">
        <v>168</v>
      </c>
      <c r="C31" s="41" t="s">
        <v>169</v>
      </c>
      <c r="D31" s="41" t="s">
        <v>170</v>
      </c>
      <c r="E31" s="41" t="s">
        <v>171</v>
      </c>
      <c r="F31" s="40" t="str">
        <f t="shared" si="1"/>
        <v>WRONG</v>
      </c>
      <c r="G31" s="40" t="s">
        <v>36</v>
      </c>
      <c r="H31" s="55" t="s">
        <v>48</v>
      </c>
      <c r="I31" s="54" t="s">
        <v>476</v>
      </c>
      <c r="J31" s="56">
        <v>46639.0</v>
      </c>
    </row>
    <row r="32" ht="60.0" customHeight="1">
      <c r="A32" s="40">
        <v>29.0</v>
      </c>
      <c r="B32" s="41" t="s">
        <v>173</v>
      </c>
      <c r="C32" s="41" t="s">
        <v>174</v>
      </c>
      <c r="D32" s="41" t="s">
        <v>175</v>
      </c>
      <c r="E32" s="41" t="s">
        <v>176</v>
      </c>
      <c r="F32" s="40" t="str">
        <f t="shared" si="1"/>
        <v>CORRECT</v>
      </c>
      <c r="G32" s="40" t="s">
        <v>42</v>
      </c>
      <c r="H32" s="55" t="s">
        <v>42</v>
      </c>
      <c r="I32" s="54" t="s">
        <v>477</v>
      </c>
      <c r="J32" s="56">
        <v>27130.0</v>
      </c>
    </row>
    <row r="33" ht="60.0" customHeight="1">
      <c r="A33" s="40">
        <v>30.0</v>
      </c>
      <c r="B33" s="41" t="s">
        <v>178</v>
      </c>
      <c r="C33" s="41" t="s">
        <v>179</v>
      </c>
      <c r="D33" s="41" t="s">
        <v>180</v>
      </c>
      <c r="E33" s="41" t="s">
        <v>181</v>
      </c>
      <c r="F33" s="40" t="str">
        <f t="shared" si="1"/>
        <v>WRONG</v>
      </c>
      <c r="G33" s="40" t="s">
        <v>48</v>
      </c>
      <c r="H33" s="55" t="s">
        <v>36</v>
      </c>
      <c r="I33" s="54" t="s">
        <v>478</v>
      </c>
      <c r="J33" s="56">
        <v>22286.0</v>
      </c>
    </row>
    <row r="34" ht="60.0" customHeight="1">
      <c r="A34" s="40">
        <v>31.0</v>
      </c>
      <c r="B34" s="41" t="s">
        <v>183</v>
      </c>
      <c r="C34" s="41" t="s">
        <v>184</v>
      </c>
      <c r="D34" s="41" t="s">
        <v>185</v>
      </c>
      <c r="E34" s="41" t="s">
        <v>186</v>
      </c>
      <c r="F34" s="40" t="str">
        <f t="shared" si="1"/>
        <v>WRONG</v>
      </c>
      <c r="G34" s="40" t="s">
        <v>42</v>
      </c>
      <c r="H34" s="55" t="s">
        <v>36</v>
      </c>
      <c r="I34" s="54" t="s">
        <v>479</v>
      </c>
      <c r="J34" s="56">
        <v>45063.0</v>
      </c>
    </row>
    <row r="35" ht="60.0" customHeight="1">
      <c r="A35" s="40">
        <v>32.0</v>
      </c>
      <c r="B35" s="41" t="s">
        <v>188</v>
      </c>
      <c r="C35" s="41" t="s">
        <v>189</v>
      </c>
      <c r="D35" s="41" t="s">
        <v>190</v>
      </c>
      <c r="E35" s="41" t="s">
        <v>191</v>
      </c>
      <c r="F35" s="40" t="str">
        <f t="shared" si="1"/>
        <v>CORRECT</v>
      </c>
      <c r="G35" s="40" t="s">
        <v>36</v>
      </c>
      <c r="H35" s="55" t="s">
        <v>36</v>
      </c>
      <c r="I35" s="54" t="s">
        <v>480</v>
      </c>
      <c r="J35" s="56">
        <v>59850.0</v>
      </c>
    </row>
    <row r="36" ht="60.0" customHeight="1">
      <c r="A36" s="40">
        <v>33.0</v>
      </c>
      <c r="B36" s="41" t="s">
        <v>193</v>
      </c>
      <c r="C36" s="41" t="s">
        <v>194</v>
      </c>
      <c r="D36" s="41" t="s">
        <v>195</v>
      </c>
      <c r="E36" s="41" t="s">
        <v>196</v>
      </c>
      <c r="F36" s="40" t="str">
        <f t="shared" si="1"/>
        <v>WRONG</v>
      </c>
      <c r="G36" s="40" t="s">
        <v>48</v>
      </c>
      <c r="H36" s="56" t="s">
        <v>42</v>
      </c>
      <c r="I36" s="54" t="s">
        <v>481</v>
      </c>
      <c r="J36" s="56">
        <v>35315.0</v>
      </c>
    </row>
    <row r="37" ht="60.0" customHeight="1">
      <c r="A37" s="40">
        <v>34.0</v>
      </c>
      <c r="B37" s="41" t="s">
        <v>198</v>
      </c>
      <c r="C37" s="41" t="s">
        <v>199</v>
      </c>
      <c r="D37" s="41" t="s">
        <v>200</v>
      </c>
      <c r="E37" s="41" t="s">
        <v>201</v>
      </c>
      <c r="F37" s="40" t="str">
        <f t="shared" si="1"/>
        <v>CORRECT</v>
      </c>
      <c r="G37" s="40" t="s">
        <v>36</v>
      </c>
      <c r="H37" s="55" t="s">
        <v>36</v>
      </c>
      <c r="I37" s="54" t="s">
        <v>482</v>
      </c>
      <c r="J37" s="56">
        <v>59995.0</v>
      </c>
    </row>
    <row r="38" ht="60.0" customHeight="1">
      <c r="A38" s="40">
        <v>35.0</v>
      </c>
      <c r="B38" s="41" t="s">
        <v>203</v>
      </c>
      <c r="C38" s="41" t="s">
        <v>204</v>
      </c>
      <c r="D38" s="41" t="s">
        <v>205</v>
      </c>
      <c r="E38" s="41" t="s">
        <v>206</v>
      </c>
      <c r="F38" s="40" t="str">
        <f t="shared" si="1"/>
        <v>CORRECT</v>
      </c>
      <c r="G38" s="40" t="s">
        <v>48</v>
      </c>
      <c r="H38" s="55" t="s">
        <v>48</v>
      </c>
      <c r="I38" s="54" t="s">
        <v>483</v>
      </c>
      <c r="J38" s="56">
        <v>44024.0</v>
      </c>
    </row>
    <row r="39" ht="60.0" customHeight="1">
      <c r="A39" s="40">
        <v>36.0</v>
      </c>
      <c r="B39" s="41" t="s">
        <v>208</v>
      </c>
      <c r="C39" s="41" t="s">
        <v>209</v>
      </c>
      <c r="D39" s="41" t="s">
        <v>210</v>
      </c>
      <c r="E39" s="41" t="s">
        <v>211</v>
      </c>
      <c r="F39" s="40" t="str">
        <f t="shared" si="1"/>
        <v>CORRECT</v>
      </c>
      <c r="G39" s="40" t="s">
        <v>36</v>
      </c>
      <c r="H39" s="55" t="s">
        <v>36</v>
      </c>
      <c r="I39" s="54" t="s">
        <v>484</v>
      </c>
      <c r="J39" s="56">
        <v>26975.0</v>
      </c>
    </row>
    <row r="40" ht="60.0" customHeight="1">
      <c r="A40" s="40">
        <v>37.0</v>
      </c>
      <c r="B40" s="41" t="s">
        <v>213</v>
      </c>
      <c r="C40" s="41" t="s">
        <v>214</v>
      </c>
      <c r="D40" s="41" t="s">
        <v>215</v>
      </c>
      <c r="E40" s="41" t="s">
        <v>216</v>
      </c>
      <c r="F40" s="40" t="str">
        <f t="shared" si="1"/>
        <v>CORRECT</v>
      </c>
      <c r="G40" s="40" t="s">
        <v>36</v>
      </c>
      <c r="H40" s="55" t="s">
        <v>36</v>
      </c>
      <c r="I40" s="54" t="s">
        <v>485</v>
      </c>
      <c r="J40" s="56">
        <v>28967.0</v>
      </c>
    </row>
    <row r="41" ht="60.0" customHeight="1">
      <c r="A41" s="40">
        <v>38.0</v>
      </c>
      <c r="B41" s="41" t="s">
        <v>218</v>
      </c>
      <c r="C41" s="41" t="s">
        <v>219</v>
      </c>
      <c r="D41" s="41" t="s">
        <v>220</v>
      </c>
      <c r="E41" s="41" t="s">
        <v>221</v>
      </c>
      <c r="F41" s="40" t="str">
        <f t="shared" si="1"/>
        <v>CORRECT</v>
      </c>
      <c r="G41" s="40" t="s">
        <v>36</v>
      </c>
      <c r="H41" s="56" t="s">
        <v>36</v>
      </c>
      <c r="I41" s="54" t="s">
        <v>486</v>
      </c>
      <c r="J41" s="56">
        <v>77089.0</v>
      </c>
    </row>
    <row r="42" ht="60.0" customHeight="1">
      <c r="A42" s="40">
        <v>39.0</v>
      </c>
      <c r="B42" s="41" t="s">
        <v>223</v>
      </c>
      <c r="C42" s="41" t="s">
        <v>224</v>
      </c>
      <c r="D42" s="41" t="s">
        <v>225</v>
      </c>
      <c r="E42" s="41" t="s">
        <v>226</v>
      </c>
      <c r="F42" s="40" t="str">
        <f t="shared" si="1"/>
        <v>WRONG</v>
      </c>
      <c r="G42" s="40" t="s">
        <v>42</v>
      </c>
      <c r="H42" s="56" t="s">
        <v>48</v>
      </c>
      <c r="I42" s="54" t="s">
        <v>487</v>
      </c>
      <c r="J42" s="56">
        <v>28503.0</v>
      </c>
    </row>
    <row r="43" ht="60.0" customHeight="1">
      <c r="A43" s="40">
        <v>40.0</v>
      </c>
      <c r="B43" s="41" t="s">
        <v>228</v>
      </c>
      <c r="C43" s="41" t="s">
        <v>229</v>
      </c>
      <c r="D43" s="41" t="s">
        <v>230</v>
      </c>
      <c r="E43" s="41" t="s">
        <v>231</v>
      </c>
      <c r="F43" s="40" t="str">
        <f t="shared" si="1"/>
        <v>WRONG</v>
      </c>
      <c r="G43" s="40" t="s">
        <v>48</v>
      </c>
      <c r="H43" s="55" t="s">
        <v>42</v>
      </c>
      <c r="I43" s="54" t="s">
        <v>488</v>
      </c>
      <c r="J43" s="56">
        <v>33019.0</v>
      </c>
    </row>
    <row r="44" ht="60.0" customHeight="1">
      <c r="A44" s="40">
        <v>41.0</v>
      </c>
      <c r="B44" s="41" t="s">
        <v>233</v>
      </c>
      <c r="C44" s="41" t="s">
        <v>234</v>
      </c>
      <c r="D44" s="41" t="s">
        <v>235</v>
      </c>
      <c r="E44" s="41" t="s">
        <v>236</v>
      </c>
      <c r="F44" s="40" t="str">
        <f t="shared" si="1"/>
        <v>CORRECT</v>
      </c>
      <c r="G44" s="40" t="s">
        <v>42</v>
      </c>
      <c r="H44" s="56" t="s">
        <v>42</v>
      </c>
      <c r="I44" s="54" t="s">
        <v>489</v>
      </c>
      <c r="J44" s="56">
        <v>8718.0</v>
      </c>
    </row>
    <row r="45" ht="60.0" customHeight="1">
      <c r="A45" s="40">
        <v>42.0</v>
      </c>
      <c r="B45" s="41" t="s">
        <v>238</v>
      </c>
      <c r="C45" s="41" t="s">
        <v>239</v>
      </c>
      <c r="D45" s="41" t="s">
        <v>240</v>
      </c>
      <c r="E45" s="41" t="s">
        <v>241</v>
      </c>
      <c r="F45" s="40" t="str">
        <f t="shared" si="1"/>
        <v>WRONG</v>
      </c>
      <c r="G45" s="40" t="s">
        <v>36</v>
      </c>
      <c r="H45" s="55" t="s">
        <v>42</v>
      </c>
      <c r="I45" s="54" t="s">
        <v>490</v>
      </c>
      <c r="J45" s="56">
        <v>30222.0</v>
      </c>
    </row>
    <row r="46" ht="60.0" customHeight="1">
      <c r="A46" s="40">
        <v>43.0</v>
      </c>
      <c r="B46" s="41" t="s">
        <v>243</v>
      </c>
      <c r="C46" s="41" t="s">
        <v>244</v>
      </c>
      <c r="D46" s="41" t="s">
        <v>245</v>
      </c>
      <c r="E46" s="41" t="s">
        <v>246</v>
      </c>
      <c r="F46" s="40" t="str">
        <f t="shared" si="1"/>
        <v>WRONG</v>
      </c>
      <c r="G46" s="40" t="s">
        <v>48</v>
      </c>
      <c r="H46" s="55" t="s">
        <v>42</v>
      </c>
      <c r="I46" s="54" t="s">
        <v>491</v>
      </c>
      <c r="J46" s="56">
        <v>15808.0</v>
      </c>
    </row>
    <row r="47" ht="60.0" customHeight="1">
      <c r="A47" s="40">
        <v>44.0</v>
      </c>
      <c r="B47" s="41" t="s">
        <v>248</v>
      </c>
      <c r="C47" s="41" t="s">
        <v>249</v>
      </c>
      <c r="D47" s="41" t="s">
        <v>250</v>
      </c>
      <c r="E47" s="41" t="s">
        <v>251</v>
      </c>
      <c r="F47" s="40" t="str">
        <f t="shared" si="1"/>
        <v>WRONG</v>
      </c>
      <c r="G47" s="40" t="s">
        <v>36</v>
      </c>
      <c r="H47" s="55" t="s">
        <v>48</v>
      </c>
      <c r="I47" s="54" t="s">
        <v>492</v>
      </c>
      <c r="J47" s="56">
        <v>29803.0</v>
      </c>
    </row>
    <row r="48" ht="60.0" customHeight="1">
      <c r="A48" s="40">
        <v>45.0</v>
      </c>
      <c r="B48" s="41" t="s">
        <v>253</v>
      </c>
      <c r="C48" s="41" t="s">
        <v>254</v>
      </c>
      <c r="D48" s="41" t="s">
        <v>255</v>
      </c>
      <c r="E48" s="41" t="s">
        <v>256</v>
      </c>
      <c r="F48" s="40" t="str">
        <f t="shared" si="1"/>
        <v>WRONG</v>
      </c>
      <c r="G48" s="40" t="s">
        <v>36</v>
      </c>
      <c r="H48" s="55" t="s">
        <v>48</v>
      </c>
      <c r="I48" s="54" t="s">
        <v>493</v>
      </c>
      <c r="J48" s="56">
        <v>41104.0</v>
      </c>
    </row>
    <row r="49" ht="60.0" customHeight="1">
      <c r="A49" s="40">
        <v>46.0</v>
      </c>
      <c r="B49" s="41" t="s">
        <v>258</v>
      </c>
      <c r="C49" s="41" t="s">
        <v>39</v>
      </c>
      <c r="D49" s="41" t="s">
        <v>259</v>
      </c>
      <c r="E49" s="41" t="s">
        <v>260</v>
      </c>
      <c r="F49" s="40" t="str">
        <f t="shared" si="1"/>
        <v>WRONG</v>
      </c>
      <c r="G49" s="40" t="s">
        <v>36</v>
      </c>
      <c r="H49" s="55" t="s">
        <v>453</v>
      </c>
      <c r="I49" s="57" t="s">
        <v>494</v>
      </c>
      <c r="J49" s="56">
        <v>13294.0</v>
      </c>
    </row>
    <row r="50">
      <c r="A50" s="45" t="s">
        <v>262</v>
      </c>
      <c r="B50" s="2"/>
      <c r="C50" s="2"/>
      <c r="D50" s="2"/>
      <c r="E50" s="3"/>
      <c r="F50" s="46">
        <f>COUNTIFS(F4:F49,"CORRECT")</f>
        <v>20</v>
      </c>
      <c r="G50" s="47"/>
      <c r="H50" s="47"/>
      <c r="J50" s="48">
        <f>AVERAGE(J4:J49)</f>
        <v>35414.19565</v>
      </c>
    </row>
    <row r="51">
      <c r="A51" s="49" t="s">
        <v>263</v>
      </c>
      <c r="B51" s="2"/>
      <c r="C51" s="2"/>
      <c r="D51" s="2"/>
      <c r="E51" s="3"/>
      <c r="F51" s="50">
        <v>46.0</v>
      </c>
      <c r="G51" s="47"/>
      <c r="H51" s="47"/>
    </row>
    <row r="52">
      <c r="A52" s="45" t="s">
        <v>264</v>
      </c>
      <c r="B52" s="2"/>
      <c r="C52" s="2"/>
      <c r="D52" s="2"/>
      <c r="E52" s="3"/>
      <c r="F52" s="51">
        <f>F50/F51</f>
        <v>0.4347826087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